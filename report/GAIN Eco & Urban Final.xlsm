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20" codeName="{00000000-0000-0000-0000-000000000000}"/>
  <workbookPr showInkAnnotation="0" codeName="ThisWorkbook" autoCompressPictures="0"/>
  <bookViews>
    <workbookView xWindow="2240" yWindow="2240" windowWidth="24460" windowHeight="14560" tabRatio="500"/>
  </bookViews>
  <sheets>
    <sheet name="Explanation" sheetId="17" r:id="rId1"/>
    <sheet name="New Data" sheetId="9" r:id="rId2"/>
    <sheet name="Graphics &amp; Tables" sheetId="14" r:id="rId3"/>
    <sheet name="Correlation matrix" sheetId="16" r:id="rId4"/>
    <sheet name="Urban Data" sheetId="10" r:id="rId5"/>
    <sheet name="Nat Cap Scores " sheetId="12" r:id="rId6"/>
    <sheet name="Threatened Data" sheetId="11" r:id="rId7"/>
    <sheet name="Existing 2011 Scores " sheetId="6" r:id="rId8"/>
    <sheet name="Full Set of Scores" sheetId="7" r:id="rId9"/>
  </sheets>
  <externalReferences>
    <externalReference r:id="rId10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67" i="16" l="1" a="1"/>
  <c r="M67" i="16"/>
  <c r="N67" i="16" a="1"/>
  <c r="N67" i="16"/>
  <c r="M68" i="16" a="1"/>
  <c r="M68" i="16"/>
  <c r="N68" i="16" a="1"/>
  <c r="N68" i="16"/>
  <c r="M69" i="16" a="1"/>
  <c r="M69" i="16"/>
  <c r="N69" i="16" a="1"/>
  <c r="N69" i="16"/>
  <c r="E67" i="16" a="1"/>
  <c r="E67" i="16"/>
  <c r="F67" i="16" a="1"/>
  <c r="F67" i="16"/>
  <c r="G67" i="16" a="1"/>
  <c r="G67" i="16"/>
  <c r="H67" i="16" a="1"/>
  <c r="H67" i="16"/>
  <c r="I67" i="16" a="1"/>
  <c r="I67" i="16"/>
  <c r="J67" i="16" a="1"/>
  <c r="J67" i="16"/>
  <c r="K67" i="16" a="1"/>
  <c r="K67" i="16"/>
  <c r="L67" i="16" a="1"/>
  <c r="L67" i="16"/>
  <c r="E68" i="16" a="1"/>
  <c r="E68" i="16"/>
  <c r="F68" i="16" a="1"/>
  <c r="F68" i="16"/>
  <c r="G68" i="16" a="1"/>
  <c r="G68" i="16"/>
  <c r="H68" i="16" a="1"/>
  <c r="H68" i="16"/>
  <c r="I68" i="16" a="1"/>
  <c r="I68" i="16"/>
  <c r="J68" i="16" a="1"/>
  <c r="J68" i="16"/>
  <c r="K68" i="16" a="1"/>
  <c r="K68" i="16"/>
  <c r="L68" i="16" a="1"/>
  <c r="L68" i="16"/>
  <c r="E69" i="16" a="1"/>
  <c r="E69" i="16"/>
  <c r="F69" i="16" a="1"/>
  <c r="F69" i="16"/>
  <c r="G69" i="16" a="1"/>
  <c r="G69" i="16"/>
  <c r="H69" i="16" a="1"/>
  <c r="H69" i="16"/>
  <c r="I69" i="16" a="1"/>
  <c r="I69" i="16"/>
  <c r="J69" i="16" a="1"/>
  <c r="J69" i="16"/>
  <c r="K69" i="16" a="1"/>
  <c r="K69" i="16"/>
  <c r="L69" i="16" a="1"/>
  <c r="L69" i="16"/>
  <c r="D68" i="16" a="1"/>
  <c r="D68" i="16"/>
  <c r="D67" i="16" a="1"/>
  <c r="D67" i="16"/>
  <c r="D69" i="16" a="1"/>
  <c r="D69" i="16"/>
  <c r="H164" i="14"/>
  <c r="H102" i="14"/>
  <c r="H112" i="14"/>
  <c r="H55" i="14"/>
  <c r="H89" i="14"/>
  <c r="H167" i="14"/>
  <c r="H70" i="14"/>
  <c r="H60" i="14"/>
  <c r="H57" i="14"/>
  <c r="H94" i="14"/>
  <c r="H38" i="14"/>
  <c r="H44" i="14"/>
  <c r="H35" i="14"/>
  <c r="H75" i="14"/>
  <c r="H52" i="14"/>
  <c r="H59" i="14"/>
  <c r="H151" i="14"/>
  <c r="H177" i="14"/>
  <c r="H88" i="14"/>
  <c r="H69" i="14"/>
  <c r="H46" i="14"/>
  <c r="H138" i="14"/>
  <c r="H141" i="14"/>
  <c r="H162" i="14"/>
  <c r="H20" i="14"/>
  <c r="H43" i="14"/>
  <c r="H84" i="14"/>
  <c r="H98" i="14"/>
  <c r="H114" i="14"/>
  <c r="H165" i="14"/>
  <c r="H11" i="14"/>
  <c r="H66" i="14"/>
  <c r="H80" i="14"/>
  <c r="H93" i="14"/>
  <c r="H76" i="14"/>
  <c r="H101" i="14"/>
  <c r="H123" i="14"/>
  <c r="H155" i="14"/>
  <c r="H170" i="14"/>
  <c r="H179" i="14"/>
  <c r="H42" i="14"/>
  <c r="H48" i="14"/>
  <c r="H72" i="14"/>
  <c r="H74" i="14"/>
  <c r="H134" i="14"/>
  <c r="H143" i="14"/>
  <c r="H22" i="14"/>
  <c r="H159" i="14"/>
  <c r="H64" i="14"/>
  <c r="H96" i="14"/>
  <c r="H100" i="14"/>
  <c r="H105" i="14"/>
  <c r="H137" i="14"/>
  <c r="H144" i="14"/>
  <c r="H157" i="14"/>
  <c r="H163" i="14"/>
  <c r="H7" i="14"/>
  <c r="H8" i="14"/>
  <c r="H16" i="14"/>
  <c r="H115" i="14"/>
  <c r="H135" i="14"/>
  <c r="H10" i="14"/>
  <c r="H17" i="14"/>
  <c r="H18" i="14"/>
  <c r="H25" i="14"/>
  <c r="H26" i="14"/>
  <c r="H45" i="14"/>
  <c r="H97" i="14"/>
  <c r="H106" i="14"/>
  <c r="H182" i="14"/>
  <c r="H15" i="14"/>
  <c r="H47" i="14"/>
  <c r="H53" i="14"/>
  <c r="H68" i="14"/>
  <c r="H119" i="14"/>
  <c r="H145" i="14"/>
  <c r="H148" i="14"/>
  <c r="H166" i="14"/>
  <c r="H6" i="14"/>
  <c r="H9" i="14"/>
  <c r="H12" i="14"/>
  <c r="H29" i="14"/>
  <c r="H73" i="14"/>
  <c r="H125" i="14"/>
  <c r="H21" i="14"/>
  <c r="H63" i="14"/>
  <c r="H85" i="14"/>
  <c r="H107" i="14"/>
  <c r="H116" i="14"/>
  <c r="H118" i="14"/>
  <c r="H39" i="14"/>
  <c r="H91" i="14"/>
  <c r="H109" i="14"/>
  <c r="H120" i="14"/>
  <c r="H121" i="14"/>
  <c r="H4" i="14"/>
  <c r="H30" i="14"/>
  <c r="H99" i="14"/>
  <c r="H104" i="14"/>
  <c r="H175" i="14"/>
  <c r="H181" i="14"/>
  <c r="H14" i="14"/>
  <c r="H83" i="14"/>
  <c r="H110" i="14"/>
  <c r="H127" i="14"/>
  <c r="H131" i="14"/>
  <c r="H27" i="14"/>
  <c r="H49" i="14"/>
  <c r="H172" i="14"/>
  <c r="H180" i="14"/>
  <c r="H183" i="14"/>
  <c r="H184" i="14"/>
  <c r="H5" i="14"/>
  <c r="H19" i="14"/>
  <c r="H24" i="14"/>
  <c r="H50" i="14"/>
  <c r="H169" i="14"/>
  <c r="H81" i="14"/>
  <c r="H92" i="14"/>
  <c r="H117" i="14"/>
  <c r="H150" i="14"/>
  <c r="H23" i="14"/>
  <c r="H82" i="14"/>
  <c r="H160" i="14"/>
  <c r="H173" i="14"/>
  <c r="H174" i="14"/>
  <c r="H41" i="14"/>
  <c r="H111" i="14"/>
  <c r="H130" i="14"/>
  <c r="H132" i="14"/>
  <c r="H178" i="14"/>
  <c r="H28" i="14"/>
  <c r="H139" i="14"/>
  <c r="H161" i="14"/>
  <c r="H176" i="14"/>
  <c r="H37" i="14"/>
  <c r="H168" i="14"/>
  <c r="H33" i="14"/>
  <c r="H79" i="14"/>
  <c r="H122" i="14"/>
  <c r="H140" i="14"/>
  <c r="H171" i="14"/>
  <c r="H13" i="14"/>
  <c r="H58" i="14"/>
  <c r="H156" i="14"/>
  <c r="H65" i="14"/>
  <c r="H67" i="14"/>
  <c r="H95" i="14"/>
  <c r="H124" i="14"/>
  <c r="H152" i="14"/>
  <c r="H61" i="14"/>
  <c r="H113" i="14"/>
  <c r="H126" i="14"/>
  <c r="H158" i="14"/>
  <c r="H86" i="14"/>
  <c r="H128" i="14"/>
  <c r="H129" i="14"/>
  <c r="H147" i="14"/>
  <c r="H103" i="14"/>
  <c r="H142" i="14"/>
  <c r="H32" i="14"/>
  <c r="H34" i="14"/>
  <c r="H136" i="14"/>
  <c r="H77" i="14"/>
  <c r="H146" i="14"/>
  <c r="H153" i="14"/>
  <c r="H149" i="14"/>
  <c r="H62" i="14"/>
  <c r="H78" i="14"/>
  <c r="H154" i="14"/>
  <c r="H31" i="14"/>
  <c r="H54" i="14"/>
  <c r="H36" i="14"/>
  <c r="H40" i="14"/>
  <c r="H90" i="14"/>
  <c r="H133" i="14"/>
  <c r="H56" i="14"/>
  <c r="H87" i="14"/>
  <c r="H71" i="14"/>
  <c r="H51" i="14"/>
  <c r="H108" i="14"/>
  <c r="AF3" i="9"/>
  <c r="AF4" i="9"/>
  <c r="AF5" i="9"/>
  <c r="AF6" i="9"/>
  <c r="AF7" i="9"/>
  <c r="AF8" i="9"/>
  <c r="AF9" i="9"/>
  <c r="AF10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16" i="9"/>
  <c r="D1" i="14"/>
  <c r="C1" i="14"/>
  <c r="G7" i="14"/>
  <c r="G8" i="14"/>
  <c r="G6" i="14"/>
  <c r="G4" i="14"/>
  <c r="G10" i="14"/>
  <c r="G9" i="14"/>
  <c r="G20" i="14"/>
  <c r="G5" i="14"/>
  <c r="G12" i="14"/>
  <c r="G16" i="14"/>
  <c r="G15" i="14"/>
  <c r="G17" i="14"/>
  <c r="G18" i="14"/>
  <c r="G22" i="14"/>
  <c r="G14" i="14"/>
  <c r="G35" i="14"/>
  <c r="G197" i="14"/>
  <c r="G38" i="14"/>
  <c r="G21" i="14"/>
  <c r="G25" i="14"/>
  <c r="G26" i="14"/>
  <c r="G19" i="14"/>
  <c r="G13" i="14"/>
  <c r="G44" i="14"/>
  <c r="G55" i="14"/>
  <c r="G29" i="14"/>
  <c r="G24" i="14"/>
  <c r="G23" i="14"/>
  <c r="G27" i="14"/>
  <c r="G30" i="14"/>
  <c r="G43" i="14"/>
  <c r="G46" i="14"/>
  <c r="G42" i="14"/>
  <c r="G52" i="14"/>
  <c r="G28" i="14"/>
  <c r="G57" i="14"/>
  <c r="G60" i="14"/>
  <c r="G39" i="14"/>
  <c r="G48" i="14"/>
  <c r="G45" i="14"/>
  <c r="G59" i="14"/>
  <c r="G33" i="14"/>
  <c r="G47" i="14"/>
  <c r="G198" i="14"/>
  <c r="G37" i="14"/>
  <c r="G70" i="14"/>
  <c r="G41" i="14"/>
  <c r="G32" i="14"/>
  <c r="G53" i="14"/>
  <c r="G34" i="14"/>
  <c r="G49" i="14"/>
  <c r="G31" i="14"/>
  <c r="G50" i="14"/>
  <c r="G69" i="14"/>
  <c r="G66" i="14"/>
  <c r="G75" i="14"/>
  <c r="G64" i="14"/>
  <c r="G36" i="14"/>
  <c r="G108" i="14"/>
  <c r="G89" i="14"/>
  <c r="G63" i="14"/>
  <c r="G40" i="14"/>
  <c r="G72" i="14"/>
  <c r="G68" i="14"/>
  <c r="G74" i="14"/>
  <c r="G76" i="14"/>
  <c r="G102" i="14"/>
  <c r="G58" i="14"/>
  <c r="G80" i="14"/>
  <c r="G73" i="14"/>
  <c r="G88" i="14"/>
  <c r="G84" i="14"/>
  <c r="G94" i="14"/>
  <c r="G61" i="14"/>
  <c r="G54" i="14"/>
  <c r="G65" i="14"/>
  <c r="G112" i="14"/>
  <c r="G67" i="14"/>
  <c r="G56" i="14"/>
  <c r="G51" i="14"/>
  <c r="G62" i="14"/>
  <c r="G93" i="14"/>
  <c r="G85" i="14"/>
  <c r="G83" i="14"/>
  <c r="G81" i="14"/>
  <c r="G98" i="14"/>
  <c r="G82" i="14"/>
  <c r="G79" i="14"/>
  <c r="G96" i="14"/>
  <c r="G91" i="14"/>
  <c r="G101" i="14"/>
  <c r="G97" i="14"/>
  <c r="G100" i="14"/>
  <c r="G77" i="14"/>
  <c r="G71" i="14"/>
  <c r="G92" i="14"/>
  <c r="G78" i="14"/>
  <c r="G105" i="14"/>
  <c r="G99" i="14"/>
  <c r="G86" i="14"/>
  <c r="G106" i="14"/>
  <c r="G114" i="14"/>
  <c r="G199" i="14"/>
  <c r="G104" i="14"/>
  <c r="G107" i="14"/>
  <c r="G95" i="14"/>
  <c r="G200" i="14"/>
  <c r="G109" i="14"/>
  <c r="G115" i="14"/>
  <c r="G87" i="14"/>
  <c r="G110" i="14"/>
  <c r="G90" i="14"/>
  <c r="G123" i="14"/>
  <c r="G116" i="14"/>
  <c r="G119" i="14"/>
  <c r="G118" i="14"/>
  <c r="G111" i="14"/>
  <c r="G103" i="14"/>
  <c r="G120" i="14"/>
  <c r="G121" i="14"/>
  <c r="G117" i="14"/>
  <c r="G125" i="14"/>
  <c r="G164" i="14"/>
  <c r="G138" i="14"/>
  <c r="G134" i="14"/>
  <c r="G113" i="14"/>
  <c r="G141" i="14"/>
  <c r="G127" i="14"/>
  <c r="G135" i="14"/>
  <c r="G137" i="14"/>
  <c r="G122" i="14"/>
  <c r="G131" i="14"/>
  <c r="G151" i="14"/>
  <c r="G143" i="14"/>
  <c r="G124" i="14"/>
  <c r="G130" i="14"/>
  <c r="G144" i="14"/>
  <c r="G132" i="14"/>
  <c r="G126" i="14"/>
  <c r="G167" i="14"/>
  <c r="G145" i="14"/>
  <c r="G128" i="14"/>
  <c r="G129" i="14"/>
  <c r="G148" i="14"/>
  <c r="G155" i="14"/>
  <c r="G139" i="14"/>
  <c r="G201" i="14"/>
  <c r="G162" i="14"/>
  <c r="G140" i="14"/>
  <c r="G157" i="14"/>
  <c r="G159" i="14"/>
  <c r="G136" i="14"/>
  <c r="G165" i="14"/>
  <c r="G150" i="14"/>
  <c r="G133" i="14"/>
  <c r="G163" i="14"/>
  <c r="G142" i="14"/>
  <c r="G202" i="14"/>
  <c r="G177" i="14"/>
  <c r="G170" i="14"/>
  <c r="G147" i="14"/>
  <c r="G166" i="14"/>
  <c r="G146" i="14"/>
  <c r="G152" i="14"/>
  <c r="G160" i="14"/>
  <c r="G156" i="14"/>
  <c r="G149" i="14"/>
  <c r="G161" i="14"/>
  <c r="G179" i="14"/>
  <c r="G153" i="14"/>
  <c r="G158" i="14"/>
  <c r="G169" i="14"/>
  <c r="G154" i="14"/>
  <c r="G172" i="14"/>
  <c r="G175" i="14"/>
  <c r="G168" i="14"/>
  <c r="G182" i="14"/>
  <c r="G173" i="14"/>
  <c r="G174" i="14"/>
  <c r="G171" i="14"/>
  <c r="G181" i="14"/>
  <c r="G180" i="14"/>
  <c r="G176" i="14"/>
  <c r="G178" i="14"/>
  <c r="G183" i="14"/>
  <c r="G184" i="14"/>
  <c r="G11" i="14"/>
  <c r="AD3" i="9"/>
  <c r="AE3" i="9"/>
  <c r="AD4" i="9"/>
  <c r="AE4" i="9"/>
  <c r="AD5" i="9"/>
  <c r="AE5" i="9"/>
  <c r="AD6" i="9"/>
  <c r="AE6" i="9"/>
  <c r="AD7" i="9"/>
  <c r="AE7" i="9"/>
  <c r="AD8" i="9"/>
  <c r="AE8" i="9"/>
  <c r="AD9" i="9"/>
  <c r="AE9" i="9"/>
  <c r="AD10" i="9"/>
  <c r="AE10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8" i="9"/>
  <c r="AE89" i="9"/>
  <c r="AE90" i="9"/>
  <c r="AE91" i="9"/>
  <c r="AE92" i="9"/>
  <c r="AE93" i="9"/>
  <c r="AE94" i="9"/>
  <c r="AE95" i="9"/>
  <c r="AE96" i="9"/>
  <c r="AE97" i="9"/>
  <c r="AE98" i="9"/>
  <c r="AE99" i="9"/>
  <c r="AE100" i="9"/>
  <c r="AE101" i="9"/>
  <c r="AE102" i="9"/>
  <c r="AE103" i="9"/>
  <c r="AE104" i="9"/>
  <c r="AE105" i="9"/>
  <c r="AE106" i="9"/>
  <c r="AE107" i="9"/>
  <c r="AE108" i="9"/>
  <c r="AE109" i="9"/>
  <c r="AE110" i="9"/>
  <c r="AE111" i="9"/>
  <c r="AE112" i="9"/>
  <c r="AE113" i="9"/>
  <c r="AE114" i="9"/>
  <c r="AE115" i="9"/>
  <c r="AE116" i="9"/>
  <c r="AE117" i="9"/>
  <c r="AE118" i="9"/>
  <c r="AE119" i="9"/>
  <c r="AE120" i="9"/>
  <c r="AE121" i="9"/>
  <c r="AE122" i="9"/>
  <c r="AE123" i="9"/>
  <c r="AE124" i="9"/>
  <c r="AE125" i="9"/>
  <c r="AE126" i="9"/>
  <c r="AE127" i="9"/>
  <c r="AE128" i="9"/>
  <c r="AE129" i="9"/>
  <c r="AE130" i="9"/>
  <c r="AE131" i="9"/>
  <c r="AE132" i="9"/>
  <c r="AE133" i="9"/>
  <c r="AE134" i="9"/>
  <c r="AE135" i="9"/>
  <c r="AE136" i="9"/>
  <c r="AE137" i="9"/>
  <c r="AE138" i="9"/>
  <c r="AE139" i="9"/>
  <c r="AE140" i="9"/>
  <c r="AE141" i="9"/>
  <c r="AE142" i="9"/>
  <c r="AE143" i="9"/>
  <c r="AE144" i="9"/>
  <c r="AE145" i="9"/>
  <c r="AE146" i="9"/>
  <c r="AE147" i="9"/>
  <c r="AE148" i="9"/>
  <c r="AE149" i="9"/>
  <c r="AE150" i="9"/>
  <c r="AE151" i="9"/>
  <c r="AE152" i="9"/>
  <c r="AE153" i="9"/>
  <c r="AE154" i="9"/>
  <c r="AE155" i="9"/>
  <c r="AE156" i="9"/>
  <c r="AE157" i="9"/>
  <c r="AE158" i="9"/>
  <c r="AE159" i="9"/>
  <c r="AE160" i="9"/>
  <c r="AE161" i="9"/>
  <c r="AE162" i="9"/>
  <c r="AE163" i="9"/>
  <c r="AE164" i="9"/>
  <c r="AE165" i="9"/>
  <c r="AE166" i="9"/>
  <c r="AE167" i="9"/>
  <c r="AE168" i="9"/>
  <c r="AE169" i="9"/>
  <c r="AE170" i="9"/>
  <c r="AE171" i="9"/>
  <c r="AE172" i="9"/>
  <c r="AE173" i="9"/>
  <c r="AE174" i="9"/>
  <c r="AE175" i="9"/>
  <c r="AE176" i="9"/>
  <c r="AE177" i="9"/>
  <c r="AE178" i="9"/>
  <c r="AE179" i="9"/>
  <c r="AE180" i="9"/>
  <c r="AE181" i="9"/>
  <c r="AE182" i="9"/>
  <c r="AE183" i="9"/>
  <c r="AE184" i="9"/>
  <c r="AE185" i="9"/>
  <c r="AE186" i="9"/>
  <c r="AE187" i="9"/>
  <c r="AE188" i="9"/>
  <c r="AE189" i="9"/>
  <c r="AE190" i="9"/>
  <c r="AE191" i="9"/>
  <c r="AE192" i="9"/>
  <c r="AE193" i="9"/>
  <c r="AE194" i="9"/>
  <c r="AE195" i="9"/>
  <c r="AE196" i="9"/>
  <c r="AE197" i="9"/>
  <c r="AE198" i="9"/>
  <c r="AE199" i="9"/>
  <c r="AE200" i="9"/>
  <c r="AE201" i="9"/>
  <c r="AE202" i="9"/>
  <c r="AE203" i="9"/>
  <c r="AE204" i="9"/>
  <c r="AE205" i="9"/>
  <c r="AE206" i="9"/>
  <c r="AE207" i="9"/>
  <c r="AE16" i="9"/>
  <c r="X17" i="9"/>
  <c r="Y17" i="9"/>
  <c r="Z17" i="9"/>
  <c r="AA17" i="9"/>
  <c r="X18" i="9"/>
  <c r="Y18" i="9"/>
  <c r="Z18" i="9"/>
  <c r="AA18" i="9"/>
  <c r="X19" i="9"/>
  <c r="Y19" i="9"/>
  <c r="Z19" i="9"/>
  <c r="AA19" i="9"/>
  <c r="X20" i="9"/>
  <c r="Y20" i="9"/>
  <c r="Z20" i="9"/>
  <c r="AA20" i="9"/>
  <c r="X21" i="9"/>
  <c r="Y21" i="9"/>
  <c r="Z21" i="9"/>
  <c r="AA21" i="9"/>
  <c r="X22" i="9"/>
  <c r="Y22" i="9"/>
  <c r="Z22" i="9"/>
  <c r="AA22" i="9"/>
  <c r="X23" i="9"/>
  <c r="Y23" i="9"/>
  <c r="Z23" i="9"/>
  <c r="AA23" i="9"/>
  <c r="X24" i="9"/>
  <c r="Y24" i="9"/>
  <c r="Z24" i="9"/>
  <c r="AA24" i="9"/>
  <c r="X25" i="9"/>
  <c r="Y25" i="9"/>
  <c r="Z25" i="9"/>
  <c r="AA25" i="9"/>
  <c r="X26" i="9"/>
  <c r="Y26" i="9"/>
  <c r="Z26" i="9"/>
  <c r="AA26" i="9"/>
  <c r="X27" i="9"/>
  <c r="Y27" i="9"/>
  <c r="Z27" i="9"/>
  <c r="AA27" i="9"/>
  <c r="X28" i="9"/>
  <c r="Y28" i="9"/>
  <c r="Z28" i="9"/>
  <c r="AA28" i="9"/>
  <c r="X29" i="9"/>
  <c r="Y29" i="9"/>
  <c r="Z29" i="9"/>
  <c r="AA29" i="9"/>
  <c r="X30" i="9"/>
  <c r="Y30" i="9"/>
  <c r="Z30" i="9"/>
  <c r="AA30" i="9"/>
  <c r="X31" i="9"/>
  <c r="Y31" i="9"/>
  <c r="Z31" i="9"/>
  <c r="AA31" i="9"/>
  <c r="X32" i="9"/>
  <c r="Y32" i="9"/>
  <c r="Z32" i="9"/>
  <c r="AA32" i="9"/>
  <c r="X33" i="9"/>
  <c r="Y33" i="9"/>
  <c r="Z33" i="9"/>
  <c r="AA33" i="9"/>
  <c r="X34" i="9"/>
  <c r="Y34" i="9"/>
  <c r="Z34" i="9"/>
  <c r="AA34" i="9"/>
  <c r="X35" i="9"/>
  <c r="Y35" i="9"/>
  <c r="Z35" i="9"/>
  <c r="AA35" i="9"/>
  <c r="X36" i="9"/>
  <c r="Y36" i="9"/>
  <c r="Z36" i="9"/>
  <c r="AA36" i="9"/>
  <c r="X37" i="9"/>
  <c r="Y37" i="9"/>
  <c r="Z37" i="9"/>
  <c r="AA37" i="9"/>
  <c r="X38" i="9"/>
  <c r="Y38" i="9"/>
  <c r="Z38" i="9"/>
  <c r="AA38" i="9"/>
  <c r="X39" i="9"/>
  <c r="Y39" i="9"/>
  <c r="Z39" i="9"/>
  <c r="AA39" i="9"/>
  <c r="X40" i="9"/>
  <c r="Y40" i="9"/>
  <c r="Z40" i="9"/>
  <c r="AA40" i="9"/>
  <c r="X41" i="9"/>
  <c r="Y41" i="9"/>
  <c r="Z41" i="9"/>
  <c r="AA41" i="9"/>
  <c r="X42" i="9"/>
  <c r="Y42" i="9"/>
  <c r="Z42" i="9"/>
  <c r="AA42" i="9"/>
  <c r="X43" i="9"/>
  <c r="Y43" i="9"/>
  <c r="Z43" i="9"/>
  <c r="AA43" i="9"/>
  <c r="X44" i="9"/>
  <c r="Y44" i="9"/>
  <c r="Z44" i="9"/>
  <c r="AA44" i="9"/>
  <c r="X45" i="9"/>
  <c r="Y45" i="9"/>
  <c r="Z45" i="9"/>
  <c r="AA45" i="9"/>
  <c r="X46" i="9"/>
  <c r="Y46" i="9"/>
  <c r="Z46" i="9"/>
  <c r="AA46" i="9"/>
  <c r="X47" i="9"/>
  <c r="Y47" i="9"/>
  <c r="Z47" i="9"/>
  <c r="AA47" i="9"/>
  <c r="X48" i="9"/>
  <c r="Y48" i="9"/>
  <c r="Z48" i="9"/>
  <c r="AA48" i="9"/>
  <c r="X49" i="9"/>
  <c r="Y49" i="9"/>
  <c r="Z49" i="9"/>
  <c r="AA49" i="9"/>
  <c r="X50" i="9"/>
  <c r="Y50" i="9"/>
  <c r="Z50" i="9"/>
  <c r="AA50" i="9"/>
  <c r="X51" i="9"/>
  <c r="Y51" i="9"/>
  <c r="Z51" i="9"/>
  <c r="AA51" i="9"/>
  <c r="X52" i="9"/>
  <c r="Y52" i="9"/>
  <c r="Z52" i="9"/>
  <c r="AA52" i="9"/>
  <c r="X53" i="9"/>
  <c r="Y53" i="9"/>
  <c r="Z53" i="9"/>
  <c r="AA53" i="9"/>
  <c r="X54" i="9"/>
  <c r="Y54" i="9"/>
  <c r="Z54" i="9"/>
  <c r="AA54" i="9"/>
  <c r="X55" i="9"/>
  <c r="Y55" i="9"/>
  <c r="Z55" i="9"/>
  <c r="AA55" i="9"/>
  <c r="X56" i="9"/>
  <c r="Y56" i="9"/>
  <c r="Z56" i="9"/>
  <c r="AA56" i="9"/>
  <c r="X57" i="9"/>
  <c r="Y57" i="9"/>
  <c r="Z57" i="9"/>
  <c r="AA57" i="9"/>
  <c r="X58" i="9"/>
  <c r="Y58" i="9"/>
  <c r="Z58" i="9"/>
  <c r="AA58" i="9"/>
  <c r="X59" i="9"/>
  <c r="Y59" i="9"/>
  <c r="Z59" i="9"/>
  <c r="AA59" i="9"/>
  <c r="X60" i="9"/>
  <c r="Y60" i="9"/>
  <c r="Z60" i="9"/>
  <c r="AA60" i="9"/>
  <c r="X61" i="9"/>
  <c r="Y61" i="9"/>
  <c r="Z61" i="9"/>
  <c r="AA61" i="9"/>
  <c r="X62" i="9"/>
  <c r="Y62" i="9"/>
  <c r="Z62" i="9"/>
  <c r="AA62" i="9"/>
  <c r="X63" i="9"/>
  <c r="Y63" i="9"/>
  <c r="Z63" i="9"/>
  <c r="AA63" i="9"/>
  <c r="X64" i="9"/>
  <c r="Y64" i="9"/>
  <c r="Z64" i="9"/>
  <c r="AA64" i="9"/>
  <c r="X65" i="9"/>
  <c r="Y65" i="9"/>
  <c r="Z65" i="9"/>
  <c r="AA65" i="9"/>
  <c r="X66" i="9"/>
  <c r="Y66" i="9"/>
  <c r="Z66" i="9"/>
  <c r="AA66" i="9"/>
  <c r="X67" i="9"/>
  <c r="Y67" i="9"/>
  <c r="Z67" i="9"/>
  <c r="AA67" i="9"/>
  <c r="X68" i="9"/>
  <c r="Y68" i="9"/>
  <c r="Z68" i="9"/>
  <c r="AA68" i="9"/>
  <c r="X69" i="9"/>
  <c r="Y69" i="9"/>
  <c r="Z69" i="9"/>
  <c r="AA69" i="9"/>
  <c r="X70" i="9"/>
  <c r="Y70" i="9"/>
  <c r="Z70" i="9"/>
  <c r="AA70" i="9"/>
  <c r="X71" i="9"/>
  <c r="Y71" i="9"/>
  <c r="Z71" i="9"/>
  <c r="AA71" i="9"/>
  <c r="X72" i="9"/>
  <c r="Y72" i="9"/>
  <c r="Z72" i="9"/>
  <c r="AA72" i="9"/>
  <c r="X73" i="9"/>
  <c r="Y73" i="9"/>
  <c r="Z73" i="9"/>
  <c r="AA73" i="9"/>
  <c r="X74" i="9"/>
  <c r="Y74" i="9"/>
  <c r="Z74" i="9"/>
  <c r="AA74" i="9"/>
  <c r="X75" i="9"/>
  <c r="Y75" i="9"/>
  <c r="Z75" i="9"/>
  <c r="AA75" i="9"/>
  <c r="X76" i="9"/>
  <c r="Y76" i="9"/>
  <c r="Z76" i="9"/>
  <c r="AA76" i="9"/>
  <c r="X77" i="9"/>
  <c r="Y77" i="9"/>
  <c r="Z77" i="9"/>
  <c r="AA77" i="9"/>
  <c r="X78" i="9"/>
  <c r="Y78" i="9"/>
  <c r="Z78" i="9"/>
  <c r="AA78" i="9"/>
  <c r="X79" i="9"/>
  <c r="Y79" i="9"/>
  <c r="Z79" i="9"/>
  <c r="AA79" i="9"/>
  <c r="X80" i="9"/>
  <c r="Y80" i="9"/>
  <c r="Z80" i="9"/>
  <c r="AA80" i="9"/>
  <c r="X81" i="9"/>
  <c r="Y81" i="9"/>
  <c r="Z81" i="9"/>
  <c r="AA81" i="9"/>
  <c r="X82" i="9"/>
  <c r="Y82" i="9"/>
  <c r="Z82" i="9"/>
  <c r="AA82" i="9"/>
  <c r="X83" i="9"/>
  <c r="Y83" i="9"/>
  <c r="Z83" i="9"/>
  <c r="AA83" i="9"/>
  <c r="X84" i="9"/>
  <c r="Y84" i="9"/>
  <c r="Z84" i="9"/>
  <c r="AA84" i="9"/>
  <c r="X85" i="9"/>
  <c r="Y85" i="9"/>
  <c r="Z85" i="9"/>
  <c r="AA85" i="9"/>
  <c r="X86" i="9"/>
  <c r="Y86" i="9"/>
  <c r="Z86" i="9"/>
  <c r="AA86" i="9"/>
  <c r="X87" i="9"/>
  <c r="Y87" i="9"/>
  <c r="Z87" i="9"/>
  <c r="AA87" i="9"/>
  <c r="X88" i="9"/>
  <c r="Y88" i="9"/>
  <c r="Z88" i="9"/>
  <c r="AA88" i="9"/>
  <c r="X89" i="9"/>
  <c r="Y89" i="9"/>
  <c r="Z89" i="9"/>
  <c r="AA89" i="9"/>
  <c r="X90" i="9"/>
  <c r="Y90" i="9"/>
  <c r="Z90" i="9"/>
  <c r="AA90" i="9"/>
  <c r="X91" i="9"/>
  <c r="Y91" i="9"/>
  <c r="Z91" i="9"/>
  <c r="AA91" i="9"/>
  <c r="X92" i="9"/>
  <c r="Y92" i="9"/>
  <c r="Z92" i="9"/>
  <c r="AA92" i="9"/>
  <c r="X93" i="9"/>
  <c r="Y93" i="9"/>
  <c r="Z93" i="9"/>
  <c r="AA93" i="9"/>
  <c r="X94" i="9"/>
  <c r="Y94" i="9"/>
  <c r="Z94" i="9"/>
  <c r="AA94" i="9"/>
  <c r="X95" i="9"/>
  <c r="Y95" i="9"/>
  <c r="Z95" i="9"/>
  <c r="AA95" i="9"/>
  <c r="X96" i="9"/>
  <c r="Y96" i="9"/>
  <c r="Z96" i="9"/>
  <c r="AA96" i="9"/>
  <c r="X97" i="9"/>
  <c r="Y97" i="9"/>
  <c r="Z97" i="9"/>
  <c r="AA97" i="9"/>
  <c r="X98" i="9"/>
  <c r="Y98" i="9"/>
  <c r="Z98" i="9"/>
  <c r="AA98" i="9"/>
  <c r="X99" i="9"/>
  <c r="Y99" i="9"/>
  <c r="Z99" i="9"/>
  <c r="AA99" i="9"/>
  <c r="X100" i="9"/>
  <c r="Y100" i="9"/>
  <c r="Z100" i="9"/>
  <c r="AA100" i="9"/>
  <c r="X101" i="9"/>
  <c r="Y101" i="9"/>
  <c r="Z101" i="9"/>
  <c r="AA101" i="9"/>
  <c r="X102" i="9"/>
  <c r="Y102" i="9"/>
  <c r="Z102" i="9"/>
  <c r="AA102" i="9"/>
  <c r="X103" i="9"/>
  <c r="Y103" i="9"/>
  <c r="Z103" i="9"/>
  <c r="AA103" i="9"/>
  <c r="X104" i="9"/>
  <c r="Y104" i="9"/>
  <c r="Z104" i="9"/>
  <c r="AA104" i="9"/>
  <c r="X105" i="9"/>
  <c r="Y105" i="9"/>
  <c r="Z105" i="9"/>
  <c r="AA105" i="9"/>
  <c r="X106" i="9"/>
  <c r="Y106" i="9"/>
  <c r="Z106" i="9"/>
  <c r="AA106" i="9"/>
  <c r="X107" i="9"/>
  <c r="Y107" i="9"/>
  <c r="Z107" i="9"/>
  <c r="AA107" i="9"/>
  <c r="X108" i="9"/>
  <c r="Y108" i="9"/>
  <c r="Z108" i="9"/>
  <c r="AA108" i="9"/>
  <c r="X109" i="9"/>
  <c r="Y109" i="9"/>
  <c r="Z109" i="9"/>
  <c r="AA109" i="9"/>
  <c r="X110" i="9"/>
  <c r="Y110" i="9"/>
  <c r="Z110" i="9"/>
  <c r="AA110" i="9"/>
  <c r="X111" i="9"/>
  <c r="Y111" i="9"/>
  <c r="Z111" i="9"/>
  <c r="AA111" i="9"/>
  <c r="X112" i="9"/>
  <c r="Y112" i="9"/>
  <c r="Z112" i="9"/>
  <c r="AA112" i="9"/>
  <c r="X113" i="9"/>
  <c r="Y113" i="9"/>
  <c r="Z113" i="9"/>
  <c r="AA113" i="9"/>
  <c r="X114" i="9"/>
  <c r="Y114" i="9"/>
  <c r="Z114" i="9"/>
  <c r="AA114" i="9"/>
  <c r="X115" i="9"/>
  <c r="Y115" i="9"/>
  <c r="Z115" i="9"/>
  <c r="AA115" i="9"/>
  <c r="X116" i="9"/>
  <c r="Y116" i="9"/>
  <c r="Z116" i="9"/>
  <c r="AA116" i="9"/>
  <c r="X117" i="9"/>
  <c r="Y117" i="9"/>
  <c r="Z117" i="9"/>
  <c r="AA117" i="9"/>
  <c r="X118" i="9"/>
  <c r="Y118" i="9"/>
  <c r="Z118" i="9"/>
  <c r="AA118" i="9"/>
  <c r="X119" i="9"/>
  <c r="Y119" i="9"/>
  <c r="Z119" i="9"/>
  <c r="AA119" i="9"/>
  <c r="X120" i="9"/>
  <c r="Y120" i="9"/>
  <c r="Z120" i="9"/>
  <c r="AA120" i="9"/>
  <c r="X121" i="9"/>
  <c r="Y121" i="9"/>
  <c r="Z121" i="9"/>
  <c r="AA121" i="9"/>
  <c r="X122" i="9"/>
  <c r="Y122" i="9"/>
  <c r="Z122" i="9"/>
  <c r="AA122" i="9"/>
  <c r="X123" i="9"/>
  <c r="Y123" i="9"/>
  <c r="Z123" i="9"/>
  <c r="AA123" i="9"/>
  <c r="X124" i="9"/>
  <c r="Y124" i="9"/>
  <c r="Z124" i="9"/>
  <c r="AA124" i="9"/>
  <c r="X125" i="9"/>
  <c r="Y125" i="9"/>
  <c r="Z125" i="9"/>
  <c r="AA125" i="9"/>
  <c r="X126" i="9"/>
  <c r="Y126" i="9"/>
  <c r="Z126" i="9"/>
  <c r="AA126" i="9"/>
  <c r="X127" i="9"/>
  <c r="Y127" i="9"/>
  <c r="Z127" i="9"/>
  <c r="AA127" i="9"/>
  <c r="X128" i="9"/>
  <c r="Y128" i="9"/>
  <c r="Z128" i="9"/>
  <c r="AA128" i="9"/>
  <c r="X129" i="9"/>
  <c r="Y129" i="9"/>
  <c r="Z129" i="9"/>
  <c r="AA129" i="9"/>
  <c r="X130" i="9"/>
  <c r="Y130" i="9"/>
  <c r="Z130" i="9"/>
  <c r="AA130" i="9"/>
  <c r="X131" i="9"/>
  <c r="Y131" i="9"/>
  <c r="Z131" i="9"/>
  <c r="AA131" i="9"/>
  <c r="X132" i="9"/>
  <c r="Y132" i="9"/>
  <c r="Z132" i="9"/>
  <c r="AA132" i="9"/>
  <c r="X133" i="9"/>
  <c r="Y133" i="9"/>
  <c r="Z133" i="9"/>
  <c r="AA133" i="9"/>
  <c r="X134" i="9"/>
  <c r="Y134" i="9"/>
  <c r="Z134" i="9"/>
  <c r="AA134" i="9"/>
  <c r="X135" i="9"/>
  <c r="Y135" i="9"/>
  <c r="Z135" i="9"/>
  <c r="AA135" i="9"/>
  <c r="X136" i="9"/>
  <c r="Y136" i="9"/>
  <c r="Z136" i="9"/>
  <c r="AA136" i="9"/>
  <c r="X137" i="9"/>
  <c r="Y137" i="9"/>
  <c r="Z137" i="9"/>
  <c r="AA137" i="9"/>
  <c r="X138" i="9"/>
  <c r="Y138" i="9"/>
  <c r="Z138" i="9"/>
  <c r="AA138" i="9"/>
  <c r="X139" i="9"/>
  <c r="Y139" i="9"/>
  <c r="Z139" i="9"/>
  <c r="AA139" i="9"/>
  <c r="X140" i="9"/>
  <c r="Y140" i="9"/>
  <c r="Z140" i="9"/>
  <c r="AA140" i="9"/>
  <c r="X141" i="9"/>
  <c r="Y141" i="9"/>
  <c r="Z141" i="9"/>
  <c r="AA141" i="9"/>
  <c r="X142" i="9"/>
  <c r="Y142" i="9"/>
  <c r="Z142" i="9"/>
  <c r="AA142" i="9"/>
  <c r="X143" i="9"/>
  <c r="Y143" i="9"/>
  <c r="Z143" i="9"/>
  <c r="AA143" i="9"/>
  <c r="X144" i="9"/>
  <c r="Y144" i="9"/>
  <c r="Z144" i="9"/>
  <c r="AA144" i="9"/>
  <c r="X145" i="9"/>
  <c r="Y145" i="9"/>
  <c r="Z145" i="9"/>
  <c r="AA145" i="9"/>
  <c r="X146" i="9"/>
  <c r="Y146" i="9"/>
  <c r="Z146" i="9"/>
  <c r="AA146" i="9"/>
  <c r="X147" i="9"/>
  <c r="Y147" i="9"/>
  <c r="Z147" i="9"/>
  <c r="AA147" i="9"/>
  <c r="X148" i="9"/>
  <c r="Y148" i="9"/>
  <c r="Z148" i="9"/>
  <c r="AA148" i="9"/>
  <c r="X149" i="9"/>
  <c r="Y149" i="9"/>
  <c r="Z149" i="9"/>
  <c r="AA149" i="9"/>
  <c r="X150" i="9"/>
  <c r="Y150" i="9"/>
  <c r="Z150" i="9"/>
  <c r="AA150" i="9"/>
  <c r="X151" i="9"/>
  <c r="Y151" i="9"/>
  <c r="Z151" i="9"/>
  <c r="AA151" i="9"/>
  <c r="X152" i="9"/>
  <c r="Y152" i="9"/>
  <c r="Z152" i="9"/>
  <c r="AA152" i="9"/>
  <c r="X153" i="9"/>
  <c r="Y153" i="9"/>
  <c r="Z153" i="9"/>
  <c r="AA153" i="9"/>
  <c r="X154" i="9"/>
  <c r="Y154" i="9"/>
  <c r="Z154" i="9"/>
  <c r="AA154" i="9"/>
  <c r="X155" i="9"/>
  <c r="Y155" i="9"/>
  <c r="Z155" i="9"/>
  <c r="AA155" i="9"/>
  <c r="X156" i="9"/>
  <c r="Y156" i="9"/>
  <c r="Z156" i="9"/>
  <c r="AA156" i="9"/>
  <c r="X157" i="9"/>
  <c r="Y157" i="9"/>
  <c r="Z157" i="9"/>
  <c r="AA157" i="9"/>
  <c r="X158" i="9"/>
  <c r="Y158" i="9"/>
  <c r="Z158" i="9"/>
  <c r="AA158" i="9"/>
  <c r="X159" i="9"/>
  <c r="Y159" i="9"/>
  <c r="Z159" i="9"/>
  <c r="AA159" i="9"/>
  <c r="X160" i="9"/>
  <c r="Y160" i="9"/>
  <c r="Z160" i="9"/>
  <c r="AA160" i="9"/>
  <c r="X161" i="9"/>
  <c r="Y161" i="9"/>
  <c r="Z161" i="9"/>
  <c r="AA161" i="9"/>
  <c r="X162" i="9"/>
  <c r="Y162" i="9"/>
  <c r="Z162" i="9"/>
  <c r="AA162" i="9"/>
  <c r="X163" i="9"/>
  <c r="Y163" i="9"/>
  <c r="Z163" i="9"/>
  <c r="AA163" i="9"/>
  <c r="X164" i="9"/>
  <c r="Y164" i="9"/>
  <c r="Z164" i="9"/>
  <c r="AA164" i="9"/>
  <c r="X165" i="9"/>
  <c r="Y165" i="9"/>
  <c r="Z165" i="9"/>
  <c r="AA165" i="9"/>
  <c r="X166" i="9"/>
  <c r="Y166" i="9"/>
  <c r="Z166" i="9"/>
  <c r="AA166" i="9"/>
  <c r="X167" i="9"/>
  <c r="Y167" i="9"/>
  <c r="Z167" i="9"/>
  <c r="AA167" i="9"/>
  <c r="X168" i="9"/>
  <c r="Y168" i="9"/>
  <c r="Z168" i="9"/>
  <c r="AA168" i="9"/>
  <c r="X169" i="9"/>
  <c r="Y169" i="9"/>
  <c r="Z169" i="9"/>
  <c r="AA169" i="9"/>
  <c r="X170" i="9"/>
  <c r="Y170" i="9"/>
  <c r="Z170" i="9"/>
  <c r="AA170" i="9"/>
  <c r="X171" i="9"/>
  <c r="Y171" i="9"/>
  <c r="Z171" i="9"/>
  <c r="AA171" i="9"/>
  <c r="X172" i="9"/>
  <c r="Y172" i="9"/>
  <c r="Z172" i="9"/>
  <c r="AA172" i="9"/>
  <c r="X173" i="9"/>
  <c r="Y173" i="9"/>
  <c r="Z173" i="9"/>
  <c r="AA173" i="9"/>
  <c r="X174" i="9"/>
  <c r="Y174" i="9"/>
  <c r="Z174" i="9"/>
  <c r="AA174" i="9"/>
  <c r="X175" i="9"/>
  <c r="Y175" i="9"/>
  <c r="Z175" i="9"/>
  <c r="AA175" i="9"/>
  <c r="X176" i="9"/>
  <c r="Y176" i="9"/>
  <c r="Z176" i="9"/>
  <c r="AA176" i="9"/>
  <c r="X177" i="9"/>
  <c r="Y177" i="9"/>
  <c r="Z177" i="9"/>
  <c r="AA177" i="9"/>
  <c r="X178" i="9"/>
  <c r="Y178" i="9"/>
  <c r="Z178" i="9"/>
  <c r="AA178" i="9"/>
  <c r="X179" i="9"/>
  <c r="Y179" i="9"/>
  <c r="Z179" i="9"/>
  <c r="AA179" i="9"/>
  <c r="X180" i="9"/>
  <c r="Y180" i="9"/>
  <c r="Z180" i="9"/>
  <c r="AA180" i="9"/>
  <c r="X181" i="9"/>
  <c r="Y181" i="9"/>
  <c r="Z181" i="9"/>
  <c r="AA181" i="9"/>
  <c r="X182" i="9"/>
  <c r="Y182" i="9"/>
  <c r="Z182" i="9"/>
  <c r="AA182" i="9"/>
  <c r="X183" i="9"/>
  <c r="Y183" i="9"/>
  <c r="Z183" i="9"/>
  <c r="AA183" i="9"/>
  <c r="X184" i="9"/>
  <c r="Y184" i="9"/>
  <c r="Z184" i="9"/>
  <c r="AA184" i="9"/>
  <c r="X185" i="9"/>
  <c r="Y185" i="9"/>
  <c r="Z185" i="9"/>
  <c r="AA185" i="9"/>
  <c r="X186" i="9"/>
  <c r="Y186" i="9"/>
  <c r="Z186" i="9"/>
  <c r="AA186" i="9"/>
  <c r="X187" i="9"/>
  <c r="Y187" i="9"/>
  <c r="Z187" i="9"/>
  <c r="AA187" i="9"/>
  <c r="X188" i="9"/>
  <c r="Y188" i="9"/>
  <c r="Z188" i="9"/>
  <c r="AA188" i="9"/>
  <c r="X189" i="9"/>
  <c r="Y189" i="9"/>
  <c r="Z189" i="9"/>
  <c r="AA189" i="9"/>
  <c r="X190" i="9"/>
  <c r="Y190" i="9"/>
  <c r="Z190" i="9"/>
  <c r="AA190" i="9"/>
  <c r="X191" i="9"/>
  <c r="Y191" i="9"/>
  <c r="Z191" i="9"/>
  <c r="AA191" i="9"/>
  <c r="X192" i="9"/>
  <c r="Y192" i="9"/>
  <c r="Z192" i="9"/>
  <c r="AA192" i="9"/>
  <c r="X193" i="9"/>
  <c r="Y193" i="9"/>
  <c r="Z193" i="9"/>
  <c r="AA193" i="9"/>
  <c r="X194" i="9"/>
  <c r="Y194" i="9"/>
  <c r="Z194" i="9"/>
  <c r="AA194" i="9"/>
  <c r="X195" i="9"/>
  <c r="Y195" i="9"/>
  <c r="Z195" i="9"/>
  <c r="AA195" i="9"/>
  <c r="X196" i="9"/>
  <c r="Y196" i="9"/>
  <c r="Z196" i="9"/>
  <c r="AA196" i="9"/>
  <c r="X197" i="9"/>
  <c r="Y197" i="9"/>
  <c r="Z197" i="9"/>
  <c r="AA197" i="9"/>
  <c r="X198" i="9"/>
  <c r="Y198" i="9"/>
  <c r="Z198" i="9"/>
  <c r="AA198" i="9"/>
  <c r="X199" i="9"/>
  <c r="Y199" i="9"/>
  <c r="Z199" i="9"/>
  <c r="AA199" i="9"/>
  <c r="X200" i="9"/>
  <c r="Y200" i="9"/>
  <c r="Z200" i="9"/>
  <c r="AA200" i="9"/>
  <c r="X201" i="9"/>
  <c r="Y201" i="9"/>
  <c r="Z201" i="9"/>
  <c r="AA201" i="9"/>
  <c r="X202" i="9"/>
  <c r="Y202" i="9"/>
  <c r="Z202" i="9"/>
  <c r="AA202" i="9"/>
  <c r="X203" i="9"/>
  <c r="Y203" i="9"/>
  <c r="Z203" i="9"/>
  <c r="AA203" i="9"/>
  <c r="X204" i="9"/>
  <c r="Y204" i="9"/>
  <c r="Z204" i="9"/>
  <c r="AA204" i="9"/>
  <c r="X205" i="9"/>
  <c r="Y205" i="9"/>
  <c r="Z205" i="9"/>
  <c r="AA205" i="9"/>
  <c r="X206" i="9"/>
  <c r="Y206" i="9"/>
  <c r="Z206" i="9"/>
  <c r="AA206" i="9"/>
  <c r="X207" i="9"/>
  <c r="Y207" i="9"/>
  <c r="Z207" i="9"/>
  <c r="AA207" i="9"/>
  <c r="Y16" i="9"/>
  <c r="Z16" i="9"/>
  <c r="AA16" i="9"/>
  <c r="X16" i="9"/>
  <c r="Q27" i="9"/>
  <c r="R27" i="9"/>
  <c r="S27" i="9"/>
  <c r="T27" i="9"/>
  <c r="U27" i="9"/>
  <c r="V27" i="9"/>
  <c r="Q28" i="9"/>
  <c r="R28" i="9"/>
  <c r="S28" i="9"/>
  <c r="T28" i="9"/>
  <c r="U28" i="9"/>
  <c r="V28" i="9"/>
  <c r="Q29" i="9"/>
  <c r="R29" i="9"/>
  <c r="S29" i="9"/>
  <c r="T29" i="9"/>
  <c r="U29" i="9"/>
  <c r="V29" i="9"/>
  <c r="Q30" i="9"/>
  <c r="R30" i="9"/>
  <c r="S30" i="9"/>
  <c r="T30" i="9"/>
  <c r="U30" i="9"/>
  <c r="V30" i="9"/>
  <c r="Q31" i="9"/>
  <c r="R31" i="9"/>
  <c r="S31" i="9"/>
  <c r="T31" i="9"/>
  <c r="U31" i="9"/>
  <c r="V31" i="9"/>
  <c r="Q32" i="9"/>
  <c r="R32" i="9"/>
  <c r="S32" i="9"/>
  <c r="T32" i="9"/>
  <c r="U32" i="9"/>
  <c r="V32" i="9"/>
  <c r="Q33" i="9"/>
  <c r="R33" i="9"/>
  <c r="S33" i="9"/>
  <c r="T33" i="9"/>
  <c r="U33" i="9"/>
  <c r="V33" i="9"/>
  <c r="Q34" i="9"/>
  <c r="R34" i="9"/>
  <c r="S34" i="9"/>
  <c r="T34" i="9"/>
  <c r="U34" i="9"/>
  <c r="V34" i="9"/>
  <c r="Q35" i="9"/>
  <c r="R35" i="9"/>
  <c r="S35" i="9"/>
  <c r="T35" i="9"/>
  <c r="U35" i="9"/>
  <c r="V35" i="9"/>
  <c r="Q36" i="9"/>
  <c r="R36" i="9"/>
  <c r="S36" i="9"/>
  <c r="T36" i="9"/>
  <c r="U36" i="9"/>
  <c r="V36" i="9"/>
  <c r="Q37" i="9"/>
  <c r="R37" i="9"/>
  <c r="S37" i="9"/>
  <c r="T37" i="9"/>
  <c r="U37" i="9"/>
  <c r="V37" i="9"/>
  <c r="Q38" i="9"/>
  <c r="R38" i="9"/>
  <c r="S38" i="9"/>
  <c r="T38" i="9"/>
  <c r="U38" i="9"/>
  <c r="V38" i="9"/>
  <c r="Q39" i="9"/>
  <c r="R39" i="9"/>
  <c r="S39" i="9"/>
  <c r="T39" i="9"/>
  <c r="U39" i="9"/>
  <c r="V39" i="9"/>
  <c r="Q40" i="9"/>
  <c r="R40" i="9"/>
  <c r="S40" i="9"/>
  <c r="T40" i="9"/>
  <c r="U40" i="9"/>
  <c r="V40" i="9"/>
  <c r="Q41" i="9"/>
  <c r="R41" i="9"/>
  <c r="S41" i="9"/>
  <c r="T41" i="9"/>
  <c r="U41" i="9"/>
  <c r="V41" i="9"/>
  <c r="Q42" i="9"/>
  <c r="R42" i="9"/>
  <c r="S42" i="9"/>
  <c r="T42" i="9"/>
  <c r="U42" i="9"/>
  <c r="V42" i="9"/>
  <c r="Q43" i="9"/>
  <c r="R43" i="9"/>
  <c r="S43" i="9"/>
  <c r="T43" i="9"/>
  <c r="U43" i="9"/>
  <c r="V43" i="9"/>
  <c r="Q44" i="9"/>
  <c r="R44" i="9"/>
  <c r="S44" i="9"/>
  <c r="T44" i="9"/>
  <c r="U44" i="9"/>
  <c r="V44" i="9"/>
  <c r="Q45" i="9"/>
  <c r="R45" i="9"/>
  <c r="S45" i="9"/>
  <c r="T45" i="9"/>
  <c r="U45" i="9"/>
  <c r="V45" i="9"/>
  <c r="Q46" i="9"/>
  <c r="R46" i="9"/>
  <c r="S46" i="9"/>
  <c r="T46" i="9"/>
  <c r="U46" i="9"/>
  <c r="V46" i="9"/>
  <c r="Q47" i="9"/>
  <c r="R47" i="9"/>
  <c r="S47" i="9"/>
  <c r="T47" i="9"/>
  <c r="U47" i="9"/>
  <c r="V47" i="9"/>
  <c r="Q48" i="9"/>
  <c r="R48" i="9"/>
  <c r="S48" i="9"/>
  <c r="T48" i="9"/>
  <c r="U48" i="9"/>
  <c r="V48" i="9"/>
  <c r="Q49" i="9"/>
  <c r="R49" i="9"/>
  <c r="S49" i="9"/>
  <c r="T49" i="9"/>
  <c r="U49" i="9"/>
  <c r="V49" i="9"/>
  <c r="Q50" i="9"/>
  <c r="R50" i="9"/>
  <c r="S50" i="9"/>
  <c r="T50" i="9"/>
  <c r="U50" i="9"/>
  <c r="V50" i="9"/>
  <c r="Q51" i="9"/>
  <c r="R51" i="9"/>
  <c r="S51" i="9"/>
  <c r="T51" i="9"/>
  <c r="U51" i="9"/>
  <c r="V51" i="9"/>
  <c r="Q52" i="9"/>
  <c r="R52" i="9"/>
  <c r="S52" i="9"/>
  <c r="T52" i="9"/>
  <c r="U52" i="9"/>
  <c r="V52" i="9"/>
  <c r="Q53" i="9"/>
  <c r="R53" i="9"/>
  <c r="S53" i="9"/>
  <c r="T53" i="9"/>
  <c r="U53" i="9"/>
  <c r="V53" i="9"/>
  <c r="Q54" i="9"/>
  <c r="R54" i="9"/>
  <c r="S54" i="9"/>
  <c r="T54" i="9"/>
  <c r="U54" i="9"/>
  <c r="V54" i="9"/>
  <c r="Q55" i="9"/>
  <c r="R55" i="9"/>
  <c r="S55" i="9"/>
  <c r="T55" i="9"/>
  <c r="U55" i="9"/>
  <c r="V55" i="9"/>
  <c r="Q56" i="9"/>
  <c r="R56" i="9"/>
  <c r="S56" i="9"/>
  <c r="T56" i="9"/>
  <c r="U56" i="9"/>
  <c r="V56" i="9"/>
  <c r="Q57" i="9"/>
  <c r="R57" i="9"/>
  <c r="S57" i="9"/>
  <c r="T57" i="9"/>
  <c r="U57" i="9"/>
  <c r="V57" i="9"/>
  <c r="Q58" i="9"/>
  <c r="R58" i="9"/>
  <c r="S58" i="9"/>
  <c r="T58" i="9"/>
  <c r="U58" i="9"/>
  <c r="V58" i="9"/>
  <c r="Q59" i="9"/>
  <c r="R59" i="9"/>
  <c r="S59" i="9"/>
  <c r="T59" i="9"/>
  <c r="U59" i="9"/>
  <c r="V59" i="9"/>
  <c r="Q60" i="9"/>
  <c r="R60" i="9"/>
  <c r="S60" i="9"/>
  <c r="T60" i="9"/>
  <c r="U60" i="9"/>
  <c r="V60" i="9"/>
  <c r="Q61" i="9"/>
  <c r="R61" i="9"/>
  <c r="S61" i="9"/>
  <c r="T61" i="9"/>
  <c r="U61" i="9"/>
  <c r="V61" i="9"/>
  <c r="Q62" i="9"/>
  <c r="R62" i="9"/>
  <c r="S62" i="9"/>
  <c r="T62" i="9"/>
  <c r="U62" i="9"/>
  <c r="V62" i="9"/>
  <c r="Q63" i="9"/>
  <c r="R63" i="9"/>
  <c r="S63" i="9"/>
  <c r="T63" i="9"/>
  <c r="U63" i="9"/>
  <c r="V63" i="9"/>
  <c r="Q64" i="9"/>
  <c r="R64" i="9"/>
  <c r="S64" i="9"/>
  <c r="T64" i="9"/>
  <c r="U64" i="9"/>
  <c r="V64" i="9"/>
  <c r="Q65" i="9"/>
  <c r="R65" i="9"/>
  <c r="S65" i="9"/>
  <c r="T65" i="9"/>
  <c r="U65" i="9"/>
  <c r="V65" i="9"/>
  <c r="Q66" i="9"/>
  <c r="R66" i="9"/>
  <c r="S66" i="9"/>
  <c r="T66" i="9"/>
  <c r="U66" i="9"/>
  <c r="V66" i="9"/>
  <c r="Q67" i="9"/>
  <c r="R67" i="9"/>
  <c r="S67" i="9"/>
  <c r="T67" i="9"/>
  <c r="U67" i="9"/>
  <c r="V67" i="9"/>
  <c r="Q68" i="9"/>
  <c r="R68" i="9"/>
  <c r="S68" i="9"/>
  <c r="T68" i="9"/>
  <c r="U68" i="9"/>
  <c r="V68" i="9"/>
  <c r="Q69" i="9"/>
  <c r="R69" i="9"/>
  <c r="S69" i="9"/>
  <c r="T69" i="9"/>
  <c r="U69" i="9"/>
  <c r="V69" i="9"/>
  <c r="Q70" i="9"/>
  <c r="R70" i="9"/>
  <c r="S70" i="9"/>
  <c r="T70" i="9"/>
  <c r="U70" i="9"/>
  <c r="V70" i="9"/>
  <c r="Q71" i="9"/>
  <c r="R71" i="9"/>
  <c r="S71" i="9"/>
  <c r="T71" i="9"/>
  <c r="U71" i="9"/>
  <c r="V71" i="9"/>
  <c r="Q72" i="9"/>
  <c r="R72" i="9"/>
  <c r="S72" i="9"/>
  <c r="T72" i="9"/>
  <c r="U72" i="9"/>
  <c r="V72" i="9"/>
  <c r="Q73" i="9"/>
  <c r="R73" i="9"/>
  <c r="S73" i="9"/>
  <c r="T73" i="9"/>
  <c r="U73" i="9"/>
  <c r="V73" i="9"/>
  <c r="Q74" i="9"/>
  <c r="R74" i="9"/>
  <c r="S74" i="9"/>
  <c r="T74" i="9"/>
  <c r="U74" i="9"/>
  <c r="V74" i="9"/>
  <c r="Q75" i="9"/>
  <c r="R75" i="9"/>
  <c r="S75" i="9"/>
  <c r="T75" i="9"/>
  <c r="U75" i="9"/>
  <c r="V75" i="9"/>
  <c r="Q76" i="9"/>
  <c r="R76" i="9"/>
  <c r="S76" i="9"/>
  <c r="T76" i="9"/>
  <c r="U76" i="9"/>
  <c r="V76" i="9"/>
  <c r="Q77" i="9"/>
  <c r="R77" i="9"/>
  <c r="S77" i="9"/>
  <c r="T77" i="9"/>
  <c r="U77" i="9"/>
  <c r="V77" i="9"/>
  <c r="Q78" i="9"/>
  <c r="R78" i="9"/>
  <c r="S78" i="9"/>
  <c r="T78" i="9"/>
  <c r="U78" i="9"/>
  <c r="V78" i="9"/>
  <c r="Q79" i="9"/>
  <c r="R79" i="9"/>
  <c r="S79" i="9"/>
  <c r="T79" i="9"/>
  <c r="U79" i="9"/>
  <c r="V79" i="9"/>
  <c r="Q80" i="9"/>
  <c r="R80" i="9"/>
  <c r="S80" i="9"/>
  <c r="T80" i="9"/>
  <c r="U80" i="9"/>
  <c r="V80" i="9"/>
  <c r="Q81" i="9"/>
  <c r="R81" i="9"/>
  <c r="S81" i="9"/>
  <c r="T81" i="9"/>
  <c r="U81" i="9"/>
  <c r="V81" i="9"/>
  <c r="Q82" i="9"/>
  <c r="R82" i="9"/>
  <c r="S82" i="9"/>
  <c r="T82" i="9"/>
  <c r="U82" i="9"/>
  <c r="V82" i="9"/>
  <c r="Q83" i="9"/>
  <c r="R83" i="9"/>
  <c r="S83" i="9"/>
  <c r="T83" i="9"/>
  <c r="U83" i="9"/>
  <c r="V83" i="9"/>
  <c r="Q84" i="9"/>
  <c r="R84" i="9"/>
  <c r="S84" i="9"/>
  <c r="T84" i="9"/>
  <c r="U84" i="9"/>
  <c r="V84" i="9"/>
  <c r="Q85" i="9"/>
  <c r="R85" i="9"/>
  <c r="S85" i="9"/>
  <c r="T85" i="9"/>
  <c r="U85" i="9"/>
  <c r="V85" i="9"/>
  <c r="Q86" i="9"/>
  <c r="R86" i="9"/>
  <c r="S86" i="9"/>
  <c r="T86" i="9"/>
  <c r="U86" i="9"/>
  <c r="V86" i="9"/>
  <c r="Q87" i="9"/>
  <c r="R87" i="9"/>
  <c r="S87" i="9"/>
  <c r="T87" i="9"/>
  <c r="U87" i="9"/>
  <c r="V87" i="9"/>
  <c r="Q88" i="9"/>
  <c r="R88" i="9"/>
  <c r="S88" i="9"/>
  <c r="T88" i="9"/>
  <c r="U88" i="9"/>
  <c r="V88" i="9"/>
  <c r="Q89" i="9"/>
  <c r="R89" i="9"/>
  <c r="S89" i="9"/>
  <c r="T89" i="9"/>
  <c r="U89" i="9"/>
  <c r="V89" i="9"/>
  <c r="Q90" i="9"/>
  <c r="R90" i="9"/>
  <c r="S90" i="9"/>
  <c r="T90" i="9"/>
  <c r="U90" i="9"/>
  <c r="V90" i="9"/>
  <c r="Q91" i="9"/>
  <c r="R91" i="9"/>
  <c r="S91" i="9"/>
  <c r="T91" i="9"/>
  <c r="U91" i="9"/>
  <c r="V91" i="9"/>
  <c r="Q92" i="9"/>
  <c r="R92" i="9"/>
  <c r="S92" i="9"/>
  <c r="T92" i="9"/>
  <c r="U92" i="9"/>
  <c r="V92" i="9"/>
  <c r="Q93" i="9"/>
  <c r="R93" i="9"/>
  <c r="S93" i="9"/>
  <c r="T93" i="9"/>
  <c r="U93" i="9"/>
  <c r="V93" i="9"/>
  <c r="Q94" i="9"/>
  <c r="R94" i="9"/>
  <c r="S94" i="9"/>
  <c r="T94" i="9"/>
  <c r="U94" i="9"/>
  <c r="V94" i="9"/>
  <c r="Q95" i="9"/>
  <c r="R95" i="9"/>
  <c r="S95" i="9"/>
  <c r="T95" i="9"/>
  <c r="U95" i="9"/>
  <c r="V95" i="9"/>
  <c r="Q96" i="9"/>
  <c r="R96" i="9"/>
  <c r="S96" i="9"/>
  <c r="T96" i="9"/>
  <c r="U96" i="9"/>
  <c r="V96" i="9"/>
  <c r="Q97" i="9"/>
  <c r="R97" i="9"/>
  <c r="S97" i="9"/>
  <c r="T97" i="9"/>
  <c r="U97" i="9"/>
  <c r="V97" i="9"/>
  <c r="Q98" i="9"/>
  <c r="R98" i="9"/>
  <c r="S98" i="9"/>
  <c r="T98" i="9"/>
  <c r="U98" i="9"/>
  <c r="V98" i="9"/>
  <c r="Q99" i="9"/>
  <c r="R99" i="9"/>
  <c r="S99" i="9"/>
  <c r="T99" i="9"/>
  <c r="U99" i="9"/>
  <c r="V99" i="9"/>
  <c r="Q100" i="9"/>
  <c r="R100" i="9"/>
  <c r="S100" i="9"/>
  <c r="T100" i="9"/>
  <c r="U100" i="9"/>
  <c r="V100" i="9"/>
  <c r="Q101" i="9"/>
  <c r="R101" i="9"/>
  <c r="S101" i="9"/>
  <c r="T101" i="9"/>
  <c r="U101" i="9"/>
  <c r="V101" i="9"/>
  <c r="Q102" i="9"/>
  <c r="R102" i="9"/>
  <c r="S102" i="9"/>
  <c r="T102" i="9"/>
  <c r="U102" i="9"/>
  <c r="V102" i="9"/>
  <c r="Q103" i="9"/>
  <c r="R103" i="9"/>
  <c r="S103" i="9"/>
  <c r="T103" i="9"/>
  <c r="U103" i="9"/>
  <c r="V103" i="9"/>
  <c r="Q104" i="9"/>
  <c r="R104" i="9"/>
  <c r="S104" i="9"/>
  <c r="T104" i="9"/>
  <c r="U104" i="9"/>
  <c r="V104" i="9"/>
  <c r="Q105" i="9"/>
  <c r="R105" i="9"/>
  <c r="S105" i="9"/>
  <c r="T105" i="9"/>
  <c r="U105" i="9"/>
  <c r="V105" i="9"/>
  <c r="Q106" i="9"/>
  <c r="R106" i="9"/>
  <c r="S106" i="9"/>
  <c r="T106" i="9"/>
  <c r="U106" i="9"/>
  <c r="V106" i="9"/>
  <c r="Q107" i="9"/>
  <c r="R107" i="9"/>
  <c r="S107" i="9"/>
  <c r="T107" i="9"/>
  <c r="U107" i="9"/>
  <c r="V107" i="9"/>
  <c r="Q108" i="9"/>
  <c r="R108" i="9"/>
  <c r="S108" i="9"/>
  <c r="T108" i="9"/>
  <c r="U108" i="9"/>
  <c r="V108" i="9"/>
  <c r="Q109" i="9"/>
  <c r="R109" i="9"/>
  <c r="S109" i="9"/>
  <c r="T109" i="9"/>
  <c r="U109" i="9"/>
  <c r="V109" i="9"/>
  <c r="Q110" i="9"/>
  <c r="R110" i="9"/>
  <c r="S110" i="9"/>
  <c r="T110" i="9"/>
  <c r="U110" i="9"/>
  <c r="V110" i="9"/>
  <c r="Q111" i="9"/>
  <c r="R111" i="9"/>
  <c r="S111" i="9"/>
  <c r="T111" i="9"/>
  <c r="U111" i="9"/>
  <c r="V111" i="9"/>
  <c r="Q112" i="9"/>
  <c r="R112" i="9"/>
  <c r="S112" i="9"/>
  <c r="T112" i="9"/>
  <c r="U112" i="9"/>
  <c r="V112" i="9"/>
  <c r="Q113" i="9"/>
  <c r="R113" i="9"/>
  <c r="S113" i="9"/>
  <c r="T113" i="9"/>
  <c r="U113" i="9"/>
  <c r="V113" i="9"/>
  <c r="Q114" i="9"/>
  <c r="R114" i="9"/>
  <c r="S114" i="9"/>
  <c r="T114" i="9"/>
  <c r="U114" i="9"/>
  <c r="V114" i="9"/>
  <c r="Q115" i="9"/>
  <c r="R115" i="9"/>
  <c r="S115" i="9"/>
  <c r="T115" i="9"/>
  <c r="U115" i="9"/>
  <c r="V115" i="9"/>
  <c r="Q116" i="9"/>
  <c r="R116" i="9"/>
  <c r="S116" i="9"/>
  <c r="T116" i="9"/>
  <c r="U116" i="9"/>
  <c r="V116" i="9"/>
  <c r="Q117" i="9"/>
  <c r="R117" i="9"/>
  <c r="S117" i="9"/>
  <c r="T117" i="9"/>
  <c r="U117" i="9"/>
  <c r="V117" i="9"/>
  <c r="Q118" i="9"/>
  <c r="R118" i="9"/>
  <c r="S118" i="9"/>
  <c r="T118" i="9"/>
  <c r="U118" i="9"/>
  <c r="V118" i="9"/>
  <c r="Q119" i="9"/>
  <c r="R119" i="9"/>
  <c r="S119" i="9"/>
  <c r="T119" i="9"/>
  <c r="U119" i="9"/>
  <c r="V119" i="9"/>
  <c r="Q120" i="9"/>
  <c r="R120" i="9"/>
  <c r="S120" i="9"/>
  <c r="T120" i="9"/>
  <c r="U120" i="9"/>
  <c r="V120" i="9"/>
  <c r="Q121" i="9"/>
  <c r="R121" i="9"/>
  <c r="S121" i="9"/>
  <c r="T121" i="9"/>
  <c r="U121" i="9"/>
  <c r="V121" i="9"/>
  <c r="Q122" i="9"/>
  <c r="R122" i="9"/>
  <c r="S122" i="9"/>
  <c r="T122" i="9"/>
  <c r="U122" i="9"/>
  <c r="V122" i="9"/>
  <c r="Q123" i="9"/>
  <c r="R123" i="9"/>
  <c r="S123" i="9"/>
  <c r="T123" i="9"/>
  <c r="U123" i="9"/>
  <c r="V123" i="9"/>
  <c r="Q124" i="9"/>
  <c r="R124" i="9"/>
  <c r="S124" i="9"/>
  <c r="T124" i="9"/>
  <c r="U124" i="9"/>
  <c r="V124" i="9"/>
  <c r="Q125" i="9"/>
  <c r="R125" i="9"/>
  <c r="S125" i="9"/>
  <c r="T125" i="9"/>
  <c r="U125" i="9"/>
  <c r="V125" i="9"/>
  <c r="Q126" i="9"/>
  <c r="R126" i="9"/>
  <c r="S126" i="9"/>
  <c r="T126" i="9"/>
  <c r="U126" i="9"/>
  <c r="V126" i="9"/>
  <c r="Q127" i="9"/>
  <c r="R127" i="9"/>
  <c r="S127" i="9"/>
  <c r="T127" i="9"/>
  <c r="U127" i="9"/>
  <c r="V127" i="9"/>
  <c r="Q128" i="9"/>
  <c r="R128" i="9"/>
  <c r="S128" i="9"/>
  <c r="T128" i="9"/>
  <c r="U128" i="9"/>
  <c r="V128" i="9"/>
  <c r="Q129" i="9"/>
  <c r="R129" i="9"/>
  <c r="S129" i="9"/>
  <c r="T129" i="9"/>
  <c r="U129" i="9"/>
  <c r="V129" i="9"/>
  <c r="Q130" i="9"/>
  <c r="R130" i="9"/>
  <c r="S130" i="9"/>
  <c r="T130" i="9"/>
  <c r="U130" i="9"/>
  <c r="V130" i="9"/>
  <c r="Q131" i="9"/>
  <c r="R131" i="9"/>
  <c r="S131" i="9"/>
  <c r="T131" i="9"/>
  <c r="U131" i="9"/>
  <c r="V131" i="9"/>
  <c r="Q132" i="9"/>
  <c r="R132" i="9"/>
  <c r="S132" i="9"/>
  <c r="T132" i="9"/>
  <c r="U132" i="9"/>
  <c r="V132" i="9"/>
  <c r="Q133" i="9"/>
  <c r="R133" i="9"/>
  <c r="S133" i="9"/>
  <c r="T133" i="9"/>
  <c r="U133" i="9"/>
  <c r="V133" i="9"/>
  <c r="Q134" i="9"/>
  <c r="R134" i="9"/>
  <c r="S134" i="9"/>
  <c r="T134" i="9"/>
  <c r="U134" i="9"/>
  <c r="V134" i="9"/>
  <c r="Q135" i="9"/>
  <c r="R135" i="9"/>
  <c r="S135" i="9"/>
  <c r="T135" i="9"/>
  <c r="U135" i="9"/>
  <c r="V135" i="9"/>
  <c r="Q136" i="9"/>
  <c r="R136" i="9"/>
  <c r="S136" i="9"/>
  <c r="T136" i="9"/>
  <c r="U136" i="9"/>
  <c r="V136" i="9"/>
  <c r="Q137" i="9"/>
  <c r="R137" i="9"/>
  <c r="S137" i="9"/>
  <c r="T137" i="9"/>
  <c r="U137" i="9"/>
  <c r="V137" i="9"/>
  <c r="Q138" i="9"/>
  <c r="R138" i="9"/>
  <c r="S138" i="9"/>
  <c r="T138" i="9"/>
  <c r="U138" i="9"/>
  <c r="V138" i="9"/>
  <c r="Q139" i="9"/>
  <c r="R139" i="9"/>
  <c r="S139" i="9"/>
  <c r="T139" i="9"/>
  <c r="U139" i="9"/>
  <c r="V139" i="9"/>
  <c r="Q140" i="9"/>
  <c r="R140" i="9"/>
  <c r="S140" i="9"/>
  <c r="T140" i="9"/>
  <c r="U140" i="9"/>
  <c r="V140" i="9"/>
  <c r="Q141" i="9"/>
  <c r="R141" i="9"/>
  <c r="S141" i="9"/>
  <c r="T141" i="9"/>
  <c r="U141" i="9"/>
  <c r="V141" i="9"/>
  <c r="Q142" i="9"/>
  <c r="R142" i="9"/>
  <c r="S142" i="9"/>
  <c r="T142" i="9"/>
  <c r="U142" i="9"/>
  <c r="V142" i="9"/>
  <c r="Q143" i="9"/>
  <c r="R143" i="9"/>
  <c r="S143" i="9"/>
  <c r="T143" i="9"/>
  <c r="U143" i="9"/>
  <c r="V143" i="9"/>
  <c r="Q144" i="9"/>
  <c r="R144" i="9"/>
  <c r="S144" i="9"/>
  <c r="T144" i="9"/>
  <c r="U144" i="9"/>
  <c r="V144" i="9"/>
  <c r="Q145" i="9"/>
  <c r="R145" i="9"/>
  <c r="S145" i="9"/>
  <c r="T145" i="9"/>
  <c r="U145" i="9"/>
  <c r="V145" i="9"/>
  <c r="Q146" i="9"/>
  <c r="R146" i="9"/>
  <c r="S146" i="9"/>
  <c r="T146" i="9"/>
  <c r="U146" i="9"/>
  <c r="V146" i="9"/>
  <c r="Q147" i="9"/>
  <c r="R147" i="9"/>
  <c r="S147" i="9"/>
  <c r="T147" i="9"/>
  <c r="U147" i="9"/>
  <c r="V147" i="9"/>
  <c r="Q148" i="9"/>
  <c r="R148" i="9"/>
  <c r="S148" i="9"/>
  <c r="T148" i="9"/>
  <c r="U148" i="9"/>
  <c r="V148" i="9"/>
  <c r="Q149" i="9"/>
  <c r="R149" i="9"/>
  <c r="S149" i="9"/>
  <c r="T149" i="9"/>
  <c r="U149" i="9"/>
  <c r="V149" i="9"/>
  <c r="Q150" i="9"/>
  <c r="R150" i="9"/>
  <c r="S150" i="9"/>
  <c r="T150" i="9"/>
  <c r="U150" i="9"/>
  <c r="V150" i="9"/>
  <c r="Q151" i="9"/>
  <c r="R151" i="9"/>
  <c r="S151" i="9"/>
  <c r="T151" i="9"/>
  <c r="U151" i="9"/>
  <c r="V151" i="9"/>
  <c r="Q152" i="9"/>
  <c r="R152" i="9"/>
  <c r="S152" i="9"/>
  <c r="T152" i="9"/>
  <c r="U152" i="9"/>
  <c r="V152" i="9"/>
  <c r="Q153" i="9"/>
  <c r="R153" i="9"/>
  <c r="S153" i="9"/>
  <c r="T153" i="9"/>
  <c r="U153" i="9"/>
  <c r="V153" i="9"/>
  <c r="Q154" i="9"/>
  <c r="R154" i="9"/>
  <c r="S154" i="9"/>
  <c r="T154" i="9"/>
  <c r="U154" i="9"/>
  <c r="V154" i="9"/>
  <c r="Q155" i="9"/>
  <c r="R155" i="9"/>
  <c r="S155" i="9"/>
  <c r="T155" i="9"/>
  <c r="U155" i="9"/>
  <c r="V155" i="9"/>
  <c r="Q156" i="9"/>
  <c r="R156" i="9"/>
  <c r="S156" i="9"/>
  <c r="T156" i="9"/>
  <c r="U156" i="9"/>
  <c r="V156" i="9"/>
  <c r="Q157" i="9"/>
  <c r="R157" i="9"/>
  <c r="S157" i="9"/>
  <c r="T157" i="9"/>
  <c r="U157" i="9"/>
  <c r="V157" i="9"/>
  <c r="Q158" i="9"/>
  <c r="R158" i="9"/>
  <c r="S158" i="9"/>
  <c r="T158" i="9"/>
  <c r="U158" i="9"/>
  <c r="V158" i="9"/>
  <c r="Q159" i="9"/>
  <c r="R159" i="9"/>
  <c r="S159" i="9"/>
  <c r="T159" i="9"/>
  <c r="U159" i="9"/>
  <c r="V159" i="9"/>
  <c r="Q160" i="9"/>
  <c r="R160" i="9"/>
  <c r="S160" i="9"/>
  <c r="T160" i="9"/>
  <c r="U160" i="9"/>
  <c r="V160" i="9"/>
  <c r="Q161" i="9"/>
  <c r="R161" i="9"/>
  <c r="S161" i="9"/>
  <c r="T161" i="9"/>
  <c r="U161" i="9"/>
  <c r="V161" i="9"/>
  <c r="Q162" i="9"/>
  <c r="R162" i="9"/>
  <c r="S162" i="9"/>
  <c r="T162" i="9"/>
  <c r="U162" i="9"/>
  <c r="V162" i="9"/>
  <c r="Q163" i="9"/>
  <c r="R163" i="9"/>
  <c r="S163" i="9"/>
  <c r="T163" i="9"/>
  <c r="U163" i="9"/>
  <c r="V163" i="9"/>
  <c r="Q164" i="9"/>
  <c r="R164" i="9"/>
  <c r="S164" i="9"/>
  <c r="T164" i="9"/>
  <c r="U164" i="9"/>
  <c r="V164" i="9"/>
  <c r="Q165" i="9"/>
  <c r="R165" i="9"/>
  <c r="S165" i="9"/>
  <c r="T165" i="9"/>
  <c r="U165" i="9"/>
  <c r="V165" i="9"/>
  <c r="Q166" i="9"/>
  <c r="R166" i="9"/>
  <c r="S166" i="9"/>
  <c r="T166" i="9"/>
  <c r="U166" i="9"/>
  <c r="V166" i="9"/>
  <c r="Q167" i="9"/>
  <c r="R167" i="9"/>
  <c r="S167" i="9"/>
  <c r="T167" i="9"/>
  <c r="U167" i="9"/>
  <c r="V167" i="9"/>
  <c r="Q168" i="9"/>
  <c r="R168" i="9"/>
  <c r="S168" i="9"/>
  <c r="T168" i="9"/>
  <c r="U168" i="9"/>
  <c r="V168" i="9"/>
  <c r="Q169" i="9"/>
  <c r="R169" i="9"/>
  <c r="S169" i="9"/>
  <c r="T169" i="9"/>
  <c r="U169" i="9"/>
  <c r="V169" i="9"/>
  <c r="Q170" i="9"/>
  <c r="R170" i="9"/>
  <c r="S170" i="9"/>
  <c r="T170" i="9"/>
  <c r="U170" i="9"/>
  <c r="V170" i="9"/>
  <c r="Q171" i="9"/>
  <c r="R171" i="9"/>
  <c r="S171" i="9"/>
  <c r="T171" i="9"/>
  <c r="U171" i="9"/>
  <c r="V171" i="9"/>
  <c r="Q172" i="9"/>
  <c r="R172" i="9"/>
  <c r="S172" i="9"/>
  <c r="T172" i="9"/>
  <c r="U172" i="9"/>
  <c r="V172" i="9"/>
  <c r="Q173" i="9"/>
  <c r="R173" i="9"/>
  <c r="S173" i="9"/>
  <c r="T173" i="9"/>
  <c r="U173" i="9"/>
  <c r="V173" i="9"/>
  <c r="Q174" i="9"/>
  <c r="R174" i="9"/>
  <c r="S174" i="9"/>
  <c r="T174" i="9"/>
  <c r="U174" i="9"/>
  <c r="V174" i="9"/>
  <c r="Q175" i="9"/>
  <c r="R175" i="9"/>
  <c r="S175" i="9"/>
  <c r="T175" i="9"/>
  <c r="U175" i="9"/>
  <c r="V175" i="9"/>
  <c r="Q176" i="9"/>
  <c r="R176" i="9"/>
  <c r="S176" i="9"/>
  <c r="T176" i="9"/>
  <c r="U176" i="9"/>
  <c r="V176" i="9"/>
  <c r="Q177" i="9"/>
  <c r="R177" i="9"/>
  <c r="S177" i="9"/>
  <c r="T177" i="9"/>
  <c r="U177" i="9"/>
  <c r="V177" i="9"/>
  <c r="Q178" i="9"/>
  <c r="R178" i="9"/>
  <c r="S178" i="9"/>
  <c r="T178" i="9"/>
  <c r="U178" i="9"/>
  <c r="V178" i="9"/>
  <c r="Q179" i="9"/>
  <c r="R179" i="9"/>
  <c r="S179" i="9"/>
  <c r="T179" i="9"/>
  <c r="U179" i="9"/>
  <c r="V179" i="9"/>
  <c r="Q180" i="9"/>
  <c r="R180" i="9"/>
  <c r="S180" i="9"/>
  <c r="T180" i="9"/>
  <c r="U180" i="9"/>
  <c r="V180" i="9"/>
  <c r="Q181" i="9"/>
  <c r="R181" i="9"/>
  <c r="S181" i="9"/>
  <c r="T181" i="9"/>
  <c r="U181" i="9"/>
  <c r="V181" i="9"/>
  <c r="Q182" i="9"/>
  <c r="R182" i="9"/>
  <c r="S182" i="9"/>
  <c r="T182" i="9"/>
  <c r="U182" i="9"/>
  <c r="V182" i="9"/>
  <c r="Q183" i="9"/>
  <c r="R183" i="9"/>
  <c r="S183" i="9"/>
  <c r="T183" i="9"/>
  <c r="U183" i="9"/>
  <c r="V183" i="9"/>
  <c r="Q184" i="9"/>
  <c r="R184" i="9"/>
  <c r="S184" i="9"/>
  <c r="T184" i="9"/>
  <c r="U184" i="9"/>
  <c r="V184" i="9"/>
  <c r="Q185" i="9"/>
  <c r="R185" i="9"/>
  <c r="S185" i="9"/>
  <c r="T185" i="9"/>
  <c r="U185" i="9"/>
  <c r="V185" i="9"/>
  <c r="Q186" i="9"/>
  <c r="R186" i="9"/>
  <c r="S186" i="9"/>
  <c r="T186" i="9"/>
  <c r="U186" i="9"/>
  <c r="V186" i="9"/>
  <c r="Q187" i="9"/>
  <c r="R187" i="9"/>
  <c r="S187" i="9"/>
  <c r="T187" i="9"/>
  <c r="U187" i="9"/>
  <c r="V187" i="9"/>
  <c r="Q188" i="9"/>
  <c r="R188" i="9"/>
  <c r="S188" i="9"/>
  <c r="T188" i="9"/>
  <c r="U188" i="9"/>
  <c r="V188" i="9"/>
  <c r="Q189" i="9"/>
  <c r="R189" i="9"/>
  <c r="S189" i="9"/>
  <c r="T189" i="9"/>
  <c r="U189" i="9"/>
  <c r="V189" i="9"/>
  <c r="Q190" i="9"/>
  <c r="R190" i="9"/>
  <c r="S190" i="9"/>
  <c r="T190" i="9"/>
  <c r="U190" i="9"/>
  <c r="V190" i="9"/>
  <c r="Q191" i="9"/>
  <c r="R191" i="9"/>
  <c r="S191" i="9"/>
  <c r="T191" i="9"/>
  <c r="U191" i="9"/>
  <c r="V191" i="9"/>
  <c r="Q192" i="9"/>
  <c r="R192" i="9"/>
  <c r="S192" i="9"/>
  <c r="T192" i="9"/>
  <c r="U192" i="9"/>
  <c r="V192" i="9"/>
  <c r="Q193" i="9"/>
  <c r="R193" i="9"/>
  <c r="S193" i="9"/>
  <c r="T193" i="9"/>
  <c r="U193" i="9"/>
  <c r="V193" i="9"/>
  <c r="Q194" i="9"/>
  <c r="R194" i="9"/>
  <c r="S194" i="9"/>
  <c r="T194" i="9"/>
  <c r="U194" i="9"/>
  <c r="V194" i="9"/>
  <c r="Q195" i="9"/>
  <c r="R195" i="9"/>
  <c r="S195" i="9"/>
  <c r="T195" i="9"/>
  <c r="U195" i="9"/>
  <c r="V195" i="9"/>
  <c r="Q196" i="9"/>
  <c r="R196" i="9"/>
  <c r="S196" i="9"/>
  <c r="T196" i="9"/>
  <c r="U196" i="9"/>
  <c r="V196" i="9"/>
  <c r="Q197" i="9"/>
  <c r="R197" i="9"/>
  <c r="S197" i="9"/>
  <c r="T197" i="9"/>
  <c r="U197" i="9"/>
  <c r="V197" i="9"/>
  <c r="Q198" i="9"/>
  <c r="R198" i="9"/>
  <c r="S198" i="9"/>
  <c r="T198" i="9"/>
  <c r="U198" i="9"/>
  <c r="V198" i="9"/>
  <c r="Q199" i="9"/>
  <c r="R199" i="9"/>
  <c r="S199" i="9"/>
  <c r="T199" i="9"/>
  <c r="U199" i="9"/>
  <c r="V199" i="9"/>
  <c r="Q200" i="9"/>
  <c r="R200" i="9"/>
  <c r="S200" i="9"/>
  <c r="T200" i="9"/>
  <c r="U200" i="9"/>
  <c r="V200" i="9"/>
  <c r="Q201" i="9"/>
  <c r="R201" i="9"/>
  <c r="S201" i="9"/>
  <c r="T201" i="9"/>
  <c r="U201" i="9"/>
  <c r="V201" i="9"/>
  <c r="Q202" i="9"/>
  <c r="R202" i="9"/>
  <c r="S202" i="9"/>
  <c r="T202" i="9"/>
  <c r="U202" i="9"/>
  <c r="V202" i="9"/>
  <c r="Q203" i="9"/>
  <c r="R203" i="9"/>
  <c r="S203" i="9"/>
  <c r="T203" i="9"/>
  <c r="U203" i="9"/>
  <c r="V203" i="9"/>
  <c r="Q204" i="9"/>
  <c r="R204" i="9"/>
  <c r="S204" i="9"/>
  <c r="T204" i="9"/>
  <c r="U204" i="9"/>
  <c r="V204" i="9"/>
  <c r="Q205" i="9"/>
  <c r="R205" i="9"/>
  <c r="S205" i="9"/>
  <c r="T205" i="9"/>
  <c r="U205" i="9"/>
  <c r="V205" i="9"/>
  <c r="Q206" i="9"/>
  <c r="R206" i="9"/>
  <c r="S206" i="9"/>
  <c r="T206" i="9"/>
  <c r="U206" i="9"/>
  <c r="V206" i="9"/>
  <c r="Q207" i="9"/>
  <c r="R207" i="9"/>
  <c r="S207" i="9"/>
  <c r="T207" i="9"/>
  <c r="U207" i="9"/>
  <c r="V207" i="9"/>
  <c r="Q17" i="9"/>
  <c r="R17" i="9"/>
  <c r="S17" i="9"/>
  <c r="T17" i="9"/>
  <c r="U17" i="9"/>
  <c r="V17" i="9"/>
  <c r="Q18" i="9"/>
  <c r="R18" i="9"/>
  <c r="S18" i="9"/>
  <c r="T18" i="9"/>
  <c r="U18" i="9"/>
  <c r="V18" i="9"/>
  <c r="Q19" i="9"/>
  <c r="R19" i="9"/>
  <c r="S19" i="9"/>
  <c r="T19" i="9"/>
  <c r="U19" i="9"/>
  <c r="V19" i="9"/>
  <c r="Q20" i="9"/>
  <c r="R20" i="9"/>
  <c r="S20" i="9"/>
  <c r="T20" i="9"/>
  <c r="U20" i="9"/>
  <c r="V20" i="9"/>
  <c r="Q21" i="9"/>
  <c r="R21" i="9"/>
  <c r="S21" i="9"/>
  <c r="T21" i="9"/>
  <c r="U21" i="9"/>
  <c r="V21" i="9"/>
  <c r="Q22" i="9"/>
  <c r="R22" i="9"/>
  <c r="S22" i="9"/>
  <c r="T22" i="9"/>
  <c r="U22" i="9"/>
  <c r="V22" i="9"/>
  <c r="Q23" i="9"/>
  <c r="R23" i="9"/>
  <c r="S23" i="9"/>
  <c r="T23" i="9"/>
  <c r="U23" i="9"/>
  <c r="V23" i="9"/>
  <c r="Q24" i="9"/>
  <c r="R24" i="9"/>
  <c r="S24" i="9"/>
  <c r="T24" i="9"/>
  <c r="U24" i="9"/>
  <c r="V24" i="9"/>
  <c r="Q25" i="9"/>
  <c r="R25" i="9"/>
  <c r="S25" i="9"/>
  <c r="T25" i="9"/>
  <c r="U25" i="9"/>
  <c r="V25" i="9"/>
  <c r="Q26" i="9"/>
  <c r="R26" i="9"/>
  <c r="S26" i="9"/>
  <c r="T26" i="9"/>
  <c r="U26" i="9"/>
  <c r="V26" i="9"/>
  <c r="R16" i="9"/>
  <c r="S16" i="9"/>
  <c r="T16" i="9"/>
  <c r="U16" i="9"/>
  <c r="V16" i="9"/>
  <c r="Q16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3" i="9"/>
  <c r="AB4" i="9"/>
  <c r="AB5" i="9"/>
  <c r="AB6" i="9"/>
  <c r="AB7" i="9"/>
  <c r="AB8" i="9"/>
  <c r="AB9" i="9"/>
  <c r="AB10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16" i="9"/>
  <c r="D1" i="12"/>
  <c r="E1" i="12"/>
  <c r="G1" i="12"/>
  <c r="H1" i="12"/>
  <c r="I1" i="12"/>
  <c r="D2" i="12"/>
  <c r="E2" i="12"/>
  <c r="G2" i="12"/>
  <c r="H2" i="12"/>
  <c r="I2" i="12"/>
  <c r="D3" i="12"/>
  <c r="E3" i="12"/>
  <c r="G3" i="12"/>
  <c r="H3" i="12"/>
  <c r="I3" i="12"/>
  <c r="D4" i="12"/>
  <c r="E4" i="12"/>
  <c r="G4" i="12"/>
  <c r="H4" i="12"/>
  <c r="I4" i="12"/>
  <c r="D5" i="12"/>
  <c r="E5" i="12"/>
  <c r="G5" i="12"/>
  <c r="H5" i="12"/>
  <c r="I5" i="12"/>
  <c r="D6" i="12"/>
  <c r="E6" i="12"/>
  <c r="G6" i="12"/>
  <c r="H6" i="12"/>
  <c r="I6" i="12"/>
  <c r="D7" i="12"/>
  <c r="E7" i="12"/>
  <c r="G7" i="12"/>
  <c r="H7" i="12"/>
  <c r="I7" i="12"/>
  <c r="D8" i="12"/>
  <c r="E8" i="12"/>
  <c r="G8" i="12"/>
  <c r="H8" i="12"/>
  <c r="I8" i="12"/>
  <c r="D9" i="12"/>
  <c r="E9" i="12"/>
  <c r="G9" i="12"/>
  <c r="H9" i="12"/>
  <c r="I9" i="12"/>
  <c r="C9" i="12"/>
  <c r="C8" i="12"/>
  <c r="C7" i="12"/>
  <c r="C6" i="12"/>
  <c r="C5" i="12"/>
  <c r="C4" i="12"/>
  <c r="C3" i="12"/>
  <c r="C2" i="12"/>
  <c r="C1" i="12"/>
  <c r="M205" i="12"/>
  <c r="L205" i="12"/>
  <c r="K205" i="12"/>
  <c r="M204" i="12"/>
  <c r="L204" i="12"/>
  <c r="K204" i="12"/>
  <c r="M203" i="12"/>
  <c r="L203" i="12"/>
  <c r="K203" i="12"/>
  <c r="M202" i="12"/>
  <c r="L202" i="12"/>
  <c r="K202" i="12"/>
  <c r="M201" i="12"/>
  <c r="L201" i="12"/>
  <c r="K201" i="12"/>
  <c r="M200" i="12"/>
  <c r="L200" i="12"/>
  <c r="K200" i="12"/>
  <c r="M199" i="12"/>
  <c r="L199" i="12"/>
  <c r="K199" i="12"/>
  <c r="M198" i="12"/>
  <c r="L198" i="12"/>
  <c r="K198" i="12"/>
  <c r="M197" i="12"/>
  <c r="L197" i="12"/>
  <c r="K197" i="12"/>
  <c r="M196" i="12"/>
  <c r="L196" i="12"/>
  <c r="K196" i="12"/>
  <c r="M195" i="12"/>
  <c r="L195" i="12"/>
  <c r="K195" i="12"/>
  <c r="M194" i="12"/>
  <c r="L194" i="12"/>
  <c r="K194" i="12"/>
  <c r="M193" i="12"/>
  <c r="L193" i="12"/>
  <c r="K193" i="12"/>
  <c r="M192" i="12"/>
  <c r="L192" i="12"/>
  <c r="K192" i="12"/>
  <c r="M191" i="12"/>
  <c r="L191" i="12"/>
  <c r="K191" i="12"/>
  <c r="M190" i="12"/>
  <c r="L190" i="12"/>
  <c r="K190" i="12"/>
  <c r="M189" i="12"/>
  <c r="L189" i="12"/>
  <c r="K189" i="12"/>
  <c r="M188" i="12"/>
  <c r="L188" i="12"/>
  <c r="K188" i="12"/>
  <c r="M187" i="12"/>
  <c r="L187" i="12"/>
  <c r="K187" i="12"/>
  <c r="M186" i="12"/>
  <c r="L186" i="12"/>
  <c r="K186" i="12"/>
  <c r="M185" i="12"/>
  <c r="L185" i="12"/>
  <c r="K185" i="12"/>
  <c r="M184" i="12"/>
  <c r="L184" i="12"/>
  <c r="K184" i="12"/>
  <c r="M183" i="12"/>
  <c r="L183" i="12"/>
  <c r="K183" i="12"/>
  <c r="M182" i="12"/>
  <c r="L182" i="12"/>
  <c r="K182" i="12"/>
  <c r="M181" i="12"/>
  <c r="L181" i="12"/>
  <c r="K181" i="12"/>
  <c r="M180" i="12"/>
  <c r="L180" i="12"/>
  <c r="K180" i="12"/>
  <c r="M179" i="12"/>
  <c r="L179" i="12"/>
  <c r="K179" i="12"/>
  <c r="M178" i="12"/>
  <c r="L178" i="12"/>
  <c r="K178" i="12"/>
  <c r="M177" i="12"/>
  <c r="L177" i="12"/>
  <c r="K177" i="12"/>
  <c r="M176" i="12"/>
  <c r="L176" i="12"/>
  <c r="K176" i="12"/>
  <c r="M175" i="12"/>
  <c r="L175" i="12"/>
  <c r="K175" i="12"/>
  <c r="M174" i="12"/>
  <c r="L174" i="12"/>
  <c r="K174" i="12"/>
  <c r="M173" i="12"/>
  <c r="L173" i="12"/>
  <c r="K173" i="12"/>
  <c r="M172" i="12"/>
  <c r="L172" i="12"/>
  <c r="K172" i="12"/>
  <c r="M171" i="12"/>
  <c r="L171" i="12"/>
  <c r="K171" i="12"/>
  <c r="M170" i="12"/>
  <c r="L170" i="12"/>
  <c r="K170" i="12"/>
  <c r="M169" i="12"/>
  <c r="L169" i="12"/>
  <c r="K169" i="12"/>
  <c r="M168" i="12"/>
  <c r="L168" i="12"/>
  <c r="K168" i="12"/>
  <c r="M167" i="12"/>
  <c r="L167" i="12"/>
  <c r="K167" i="12"/>
  <c r="M166" i="12"/>
  <c r="L166" i="12"/>
  <c r="K166" i="12"/>
  <c r="M165" i="12"/>
  <c r="L165" i="12"/>
  <c r="K165" i="12"/>
  <c r="M164" i="12"/>
  <c r="L164" i="12"/>
  <c r="K164" i="12"/>
  <c r="M163" i="12"/>
  <c r="L163" i="12"/>
  <c r="K163" i="12"/>
  <c r="M162" i="12"/>
  <c r="L162" i="12"/>
  <c r="K162" i="12"/>
  <c r="M161" i="12"/>
  <c r="L161" i="12"/>
  <c r="K161" i="12"/>
  <c r="M160" i="12"/>
  <c r="L160" i="12"/>
  <c r="K160" i="12"/>
  <c r="M159" i="12"/>
  <c r="L159" i="12"/>
  <c r="K159" i="12"/>
  <c r="M158" i="12"/>
  <c r="L158" i="12"/>
  <c r="K158" i="12"/>
  <c r="M157" i="12"/>
  <c r="L157" i="12"/>
  <c r="K157" i="12"/>
  <c r="M156" i="12"/>
  <c r="L156" i="12"/>
  <c r="K156" i="12"/>
  <c r="M155" i="12"/>
  <c r="L155" i="12"/>
  <c r="K155" i="12"/>
  <c r="M154" i="12"/>
  <c r="L154" i="12"/>
  <c r="K154" i="12"/>
  <c r="M153" i="12"/>
  <c r="L153" i="12"/>
  <c r="K153" i="12"/>
  <c r="M152" i="12"/>
  <c r="L152" i="12"/>
  <c r="K152" i="12"/>
  <c r="M151" i="12"/>
  <c r="L151" i="12"/>
  <c r="K151" i="12"/>
  <c r="M150" i="12"/>
  <c r="L150" i="12"/>
  <c r="K150" i="12"/>
  <c r="M149" i="12"/>
  <c r="L149" i="12"/>
  <c r="K149" i="12"/>
  <c r="M148" i="12"/>
  <c r="L148" i="12"/>
  <c r="K148" i="12"/>
  <c r="M147" i="12"/>
  <c r="L147" i="12"/>
  <c r="K147" i="12"/>
  <c r="M146" i="12"/>
  <c r="L146" i="12"/>
  <c r="K146" i="12"/>
  <c r="M145" i="12"/>
  <c r="L145" i="12"/>
  <c r="K145" i="12"/>
  <c r="M144" i="12"/>
  <c r="L144" i="12"/>
  <c r="K144" i="12"/>
  <c r="M143" i="12"/>
  <c r="L143" i="12"/>
  <c r="K143" i="12"/>
  <c r="M142" i="12"/>
  <c r="L142" i="12"/>
  <c r="K142" i="12"/>
  <c r="M141" i="12"/>
  <c r="L141" i="12"/>
  <c r="K141" i="12"/>
  <c r="M140" i="12"/>
  <c r="L140" i="12"/>
  <c r="K140" i="12"/>
  <c r="M139" i="12"/>
  <c r="L139" i="12"/>
  <c r="K139" i="12"/>
  <c r="M138" i="12"/>
  <c r="L138" i="12"/>
  <c r="K138" i="12"/>
  <c r="M137" i="12"/>
  <c r="L137" i="12"/>
  <c r="K137" i="12"/>
  <c r="M136" i="12"/>
  <c r="L136" i="12"/>
  <c r="K136" i="12"/>
  <c r="M135" i="12"/>
  <c r="L135" i="12"/>
  <c r="K135" i="12"/>
  <c r="M134" i="12"/>
  <c r="L134" i="12"/>
  <c r="K134" i="12"/>
  <c r="M133" i="12"/>
  <c r="L133" i="12"/>
  <c r="K133" i="12"/>
  <c r="M132" i="12"/>
  <c r="L132" i="12"/>
  <c r="K132" i="12"/>
  <c r="M131" i="12"/>
  <c r="L131" i="12"/>
  <c r="K131" i="12"/>
  <c r="M130" i="12"/>
  <c r="L130" i="12"/>
  <c r="K130" i="12"/>
  <c r="M129" i="12"/>
  <c r="L129" i="12"/>
  <c r="K129" i="12"/>
  <c r="M128" i="12"/>
  <c r="L128" i="12"/>
  <c r="K128" i="12"/>
  <c r="M127" i="12"/>
  <c r="L127" i="12"/>
  <c r="K127" i="12"/>
  <c r="M126" i="12"/>
  <c r="L126" i="12"/>
  <c r="K126" i="12"/>
  <c r="M125" i="12"/>
  <c r="L125" i="12"/>
  <c r="K125" i="12"/>
  <c r="M124" i="12"/>
  <c r="L124" i="12"/>
  <c r="K124" i="12"/>
  <c r="M123" i="12"/>
  <c r="L123" i="12"/>
  <c r="K123" i="12"/>
  <c r="M122" i="12"/>
  <c r="L122" i="12"/>
  <c r="K122" i="12"/>
  <c r="M121" i="12"/>
  <c r="L121" i="12"/>
  <c r="K121" i="12"/>
  <c r="M120" i="12"/>
  <c r="L120" i="12"/>
  <c r="K120" i="12"/>
  <c r="M119" i="12"/>
  <c r="L119" i="12"/>
  <c r="K119" i="12"/>
  <c r="M118" i="12"/>
  <c r="L118" i="12"/>
  <c r="K118" i="12"/>
  <c r="M117" i="12"/>
  <c r="L117" i="12"/>
  <c r="K117" i="12"/>
  <c r="M116" i="12"/>
  <c r="L116" i="12"/>
  <c r="K116" i="12"/>
  <c r="M115" i="12"/>
  <c r="L115" i="12"/>
  <c r="K115" i="12"/>
  <c r="M114" i="12"/>
  <c r="L114" i="12"/>
  <c r="K114" i="12"/>
  <c r="M113" i="12"/>
  <c r="L113" i="12"/>
  <c r="K113" i="12"/>
  <c r="M112" i="12"/>
  <c r="L112" i="12"/>
  <c r="K112" i="12"/>
  <c r="M111" i="12"/>
  <c r="L111" i="12"/>
  <c r="K111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M103" i="12"/>
  <c r="L103" i="12"/>
  <c r="K103" i="12"/>
  <c r="M102" i="12"/>
  <c r="L102" i="12"/>
  <c r="K102" i="12"/>
  <c r="M101" i="12"/>
  <c r="L101" i="12"/>
  <c r="K101" i="12"/>
  <c r="M100" i="12"/>
  <c r="L100" i="12"/>
  <c r="K100" i="12"/>
  <c r="M99" i="12"/>
  <c r="L99" i="12"/>
  <c r="K99" i="12"/>
  <c r="M98" i="12"/>
  <c r="L98" i="12"/>
  <c r="K98" i="12"/>
  <c r="M97" i="12"/>
  <c r="L97" i="12"/>
  <c r="K97" i="12"/>
  <c r="M96" i="12"/>
  <c r="L96" i="12"/>
  <c r="K96" i="12"/>
  <c r="M95" i="12"/>
  <c r="L95" i="12"/>
  <c r="K95" i="12"/>
  <c r="M94" i="12"/>
  <c r="L94" i="12"/>
  <c r="K94" i="12"/>
  <c r="M93" i="12"/>
  <c r="L93" i="12"/>
  <c r="K93" i="12"/>
  <c r="M92" i="12"/>
  <c r="L92" i="12"/>
  <c r="K92" i="12"/>
  <c r="M91" i="12"/>
  <c r="L91" i="12"/>
  <c r="K91" i="12"/>
  <c r="M90" i="12"/>
  <c r="L90" i="12"/>
  <c r="K90" i="12"/>
  <c r="M89" i="12"/>
  <c r="L89" i="12"/>
  <c r="K89" i="12"/>
  <c r="M88" i="12"/>
  <c r="L88" i="12"/>
  <c r="K88" i="12"/>
  <c r="M87" i="12"/>
  <c r="L87" i="12"/>
  <c r="K87" i="12"/>
  <c r="M86" i="12"/>
  <c r="L86" i="12"/>
  <c r="K86" i="12"/>
  <c r="M85" i="12"/>
  <c r="L85" i="12"/>
  <c r="K85" i="12"/>
  <c r="M84" i="12"/>
  <c r="L84" i="12"/>
  <c r="K84" i="12"/>
  <c r="M83" i="12"/>
  <c r="L83" i="12"/>
  <c r="K83" i="12"/>
  <c r="M82" i="12"/>
  <c r="L82" i="12"/>
  <c r="K82" i="12"/>
  <c r="M81" i="12"/>
  <c r="L81" i="12"/>
  <c r="K81" i="12"/>
  <c r="M80" i="12"/>
  <c r="L80" i="12"/>
  <c r="K80" i="12"/>
  <c r="M79" i="12"/>
  <c r="L79" i="12"/>
  <c r="K79" i="12"/>
  <c r="M78" i="12"/>
  <c r="L78" i="12"/>
  <c r="K78" i="12"/>
  <c r="M77" i="12"/>
  <c r="L77" i="12"/>
  <c r="K77" i="12"/>
  <c r="M76" i="12"/>
  <c r="L76" i="12"/>
  <c r="K76" i="12"/>
  <c r="M75" i="12"/>
  <c r="L75" i="12"/>
  <c r="K75" i="12"/>
  <c r="M74" i="12"/>
  <c r="L74" i="12"/>
  <c r="K74" i="12"/>
  <c r="M73" i="12"/>
  <c r="L73" i="12"/>
  <c r="K73" i="12"/>
  <c r="M72" i="12"/>
  <c r="L72" i="12"/>
  <c r="K72" i="12"/>
  <c r="M71" i="12"/>
  <c r="L71" i="12"/>
  <c r="K71" i="12"/>
  <c r="M70" i="12"/>
  <c r="L70" i="12"/>
  <c r="K70" i="12"/>
  <c r="M69" i="12"/>
  <c r="L69" i="12"/>
  <c r="K69" i="12"/>
  <c r="M68" i="12"/>
  <c r="L68" i="12"/>
  <c r="K68" i="12"/>
  <c r="M67" i="12"/>
  <c r="L67" i="12"/>
  <c r="K67" i="12"/>
  <c r="M66" i="12"/>
  <c r="L66" i="12"/>
  <c r="K66" i="12"/>
  <c r="M65" i="12"/>
  <c r="L65" i="12"/>
  <c r="K65" i="12"/>
  <c r="M64" i="12"/>
  <c r="L64" i="12"/>
  <c r="K64" i="12"/>
  <c r="M63" i="12"/>
  <c r="L63" i="12"/>
  <c r="K63" i="12"/>
  <c r="M62" i="12"/>
  <c r="L62" i="12"/>
  <c r="K62" i="12"/>
  <c r="M61" i="12"/>
  <c r="L61" i="12"/>
  <c r="K61" i="12"/>
  <c r="M60" i="12"/>
  <c r="L60" i="12"/>
  <c r="K60" i="12"/>
  <c r="M59" i="12"/>
  <c r="L59" i="12"/>
  <c r="K59" i="12"/>
  <c r="M58" i="12"/>
  <c r="L58" i="12"/>
  <c r="K58" i="12"/>
  <c r="M57" i="12"/>
  <c r="L57" i="12"/>
  <c r="K57" i="12"/>
  <c r="M56" i="12"/>
  <c r="L56" i="12"/>
  <c r="K56" i="12"/>
  <c r="M55" i="12"/>
  <c r="L55" i="12"/>
  <c r="K55" i="12"/>
  <c r="M54" i="12"/>
  <c r="L54" i="12"/>
  <c r="K54" i="12"/>
  <c r="M53" i="12"/>
  <c r="L53" i="12"/>
  <c r="K53" i="12"/>
  <c r="M52" i="12"/>
  <c r="L52" i="12"/>
  <c r="K52" i="12"/>
  <c r="M51" i="12"/>
  <c r="L51" i="12"/>
  <c r="K51" i="12"/>
  <c r="M50" i="12"/>
  <c r="L50" i="12"/>
  <c r="K50" i="12"/>
  <c r="M49" i="12"/>
  <c r="L49" i="12"/>
  <c r="K49" i="12"/>
  <c r="M48" i="12"/>
  <c r="L48" i="12"/>
  <c r="K48" i="12"/>
  <c r="M47" i="12"/>
  <c r="L47" i="12"/>
  <c r="K47" i="12"/>
  <c r="M46" i="12"/>
  <c r="L46" i="12"/>
  <c r="K46" i="12"/>
  <c r="M45" i="12"/>
  <c r="L45" i="12"/>
  <c r="K45" i="12"/>
  <c r="M44" i="12"/>
  <c r="L44" i="12"/>
  <c r="K44" i="12"/>
  <c r="M43" i="12"/>
  <c r="L43" i="12"/>
  <c r="K43" i="12"/>
  <c r="M42" i="12"/>
  <c r="L42" i="12"/>
  <c r="K42" i="12"/>
  <c r="M41" i="12"/>
  <c r="L41" i="12"/>
  <c r="K41" i="12"/>
  <c r="M40" i="12"/>
  <c r="L40" i="12"/>
  <c r="K40" i="12"/>
  <c r="M39" i="12"/>
  <c r="L39" i="12"/>
  <c r="K39" i="12"/>
  <c r="M38" i="12"/>
  <c r="L38" i="12"/>
  <c r="K38" i="12"/>
  <c r="M37" i="12"/>
  <c r="L37" i="12"/>
  <c r="K37" i="12"/>
  <c r="M36" i="12"/>
  <c r="L36" i="12"/>
  <c r="K36" i="12"/>
  <c r="M35" i="12"/>
  <c r="L35" i="12"/>
  <c r="K35" i="12"/>
  <c r="M34" i="12"/>
  <c r="L34" i="12"/>
  <c r="K34" i="12"/>
  <c r="M33" i="12"/>
  <c r="L33" i="12"/>
  <c r="K33" i="12"/>
  <c r="M32" i="12"/>
  <c r="L32" i="12"/>
  <c r="K32" i="12"/>
  <c r="M31" i="12"/>
  <c r="L31" i="12"/>
  <c r="K31" i="12"/>
  <c r="M30" i="12"/>
  <c r="L30" i="12"/>
  <c r="K30" i="12"/>
  <c r="M29" i="12"/>
  <c r="L29" i="12"/>
  <c r="K29" i="12"/>
  <c r="M28" i="12"/>
  <c r="L28" i="12"/>
  <c r="K28" i="12"/>
  <c r="M27" i="12"/>
  <c r="L27" i="12"/>
  <c r="K27" i="12"/>
  <c r="M26" i="12"/>
  <c r="L26" i="12"/>
  <c r="K26" i="12"/>
  <c r="M25" i="12"/>
  <c r="L25" i="12"/>
  <c r="K25" i="12"/>
  <c r="M24" i="12"/>
  <c r="L24" i="12"/>
  <c r="K24" i="12"/>
  <c r="M23" i="12"/>
  <c r="L23" i="12"/>
  <c r="K23" i="12"/>
  <c r="M22" i="12"/>
  <c r="L22" i="12"/>
  <c r="K22" i="12"/>
  <c r="M21" i="12"/>
  <c r="L21" i="12"/>
  <c r="K21" i="12"/>
  <c r="M20" i="12"/>
  <c r="L20" i="12"/>
  <c r="K20" i="12"/>
  <c r="M19" i="12"/>
  <c r="L19" i="12"/>
  <c r="K19" i="12"/>
  <c r="M18" i="12"/>
  <c r="L18" i="12"/>
  <c r="K18" i="12"/>
  <c r="M17" i="12"/>
  <c r="L17" i="12"/>
  <c r="K17" i="12"/>
  <c r="M16" i="12"/>
  <c r="L16" i="12"/>
  <c r="K16" i="12"/>
  <c r="M15" i="12"/>
  <c r="L15" i="12"/>
  <c r="K15" i="12"/>
  <c r="M14" i="12"/>
  <c r="L14" i="12"/>
  <c r="K14" i="12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D1" i="11"/>
  <c r="E1" i="11"/>
  <c r="F1" i="11"/>
  <c r="G1" i="11"/>
  <c r="H1" i="11"/>
  <c r="I1" i="11"/>
  <c r="J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1" i="11"/>
  <c r="O1" i="11"/>
  <c r="P1" i="11"/>
  <c r="Q1" i="11"/>
  <c r="D2" i="11"/>
  <c r="E2" i="11"/>
  <c r="F2" i="11"/>
  <c r="G2" i="11"/>
  <c r="H2" i="11"/>
  <c r="I2" i="11"/>
  <c r="J2" i="11"/>
  <c r="K2" i="11"/>
  <c r="L2" i="11"/>
  <c r="M2" i="11"/>
  <c r="O2" i="11"/>
  <c r="P2" i="11"/>
  <c r="Q2" i="11"/>
  <c r="D3" i="11"/>
  <c r="E3" i="11"/>
  <c r="F3" i="11"/>
  <c r="G3" i="11"/>
  <c r="H3" i="11"/>
  <c r="I3" i="11"/>
  <c r="J3" i="11"/>
  <c r="K3" i="11"/>
  <c r="L3" i="11"/>
  <c r="M3" i="11"/>
  <c r="O3" i="11"/>
  <c r="P3" i="11"/>
  <c r="Q3" i="11"/>
  <c r="D4" i="11"/>
  <c r="E4" i="11"/>
  <c r="F4" i="11"/>
  <c r="G4" i="11"/>
  <c r="H4" i="11"/>
  <c r="I4" i="11"/>
  <c r="J4" i="11"/>
  <c r="K4" i="11"/>
  <c r="L4" i="11"/>
  <c r="M4" i="11"/>
  <c r="O4" i="11"/>
  <c r="P4" i="11"/>
  <c r="Q4" i="11"/>
  <c r="D5" i="11"/>
  <c r="E5" i="11"/>
  <c r="F5" i="11"/>
  <c r="G5" i="11"/>
  <c r="H5" i="11"/>
  <c r="I5" i="11"/>
  <c r="J5" i="11"/>
  <c r="K5" i="11"/>
  <c r="L5" i="11"/>
  <c r="M5" i="11"/>
  <c r="O5" i="11"/>
  <c r="P5" i="11"/>
  <c r="Q5" i="11"/>
  <c r="D6" i="11"/>
  <c r="E6" i="11"/>
  <c r="F6" i="11"/>
  <c r="G6" i="11"/>
  <c r="H6" i="11"/>
  <c r="I6" i="11"/>
  <c r="J6" i="11"/>
  <c r="K6" i="11"/>
  <c r="L6" i="11"/>
  <c r="M6" i="11"/>
  <c r="O6" i="11"/>
  <c r="P6" i="11"/>
  <c r="Q6" i="11"/>
  <c r="D7" i="11"/>
  <c r="E7" i="11"/>
  <c r="F7" i="11"/>
  <c r="G7" i="11"/>
  <c r="H7" i="11"/>
  <c r="I7" i="11"/>
  <c r="J7" i="11"/>
  <c r="K7" i="11"/>
  <c r="L7" i="11"/>
  <c r="M7" i="11"/>
  <c r="O7" i="11"/>
  <c r="P7" i="11"/>
  <c r="Q7" i="11"/>
  <c r="U203" i="11"/>
  <c r="U202" i="11"/>
  <c r="U201" i="11"/>
  <c r="U200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7" i="11"/>
  <c r="V203" i="11"/>
  <c r="V202" i="11"/>
  <c r="V201" i="11"/>
  <c r="V200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7" i="11"/>
  <c r="W203" i="11"/>
  <c r="W202" i="11"/>
  <c r="W201" i="11"/>
  <c r="W200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7" i="11"/>
  <c r="X203" i="11"/>
  <c r="X202" i="11"/>
  <c r="X201" i="11"/>
  <c r="X200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7" i="11"/>
  <c r="D8" i="11"/>
  <c r="E8" i="11"/>
  <c r="F8" i="11"/>
  <c r="G8" i="11"/>
  <c r="H8" i="11"/>
  <c r="I8" i="11"/>
  <c r="J8" i="11"/>
  <c r="K8" i="11"/>
  <c r="L8" i="11"/>
  <c r="M8" i="11"/>
  <c r="O8" i="11"/>
  <c r="P8" i="11"/>
  <c r="Q8" i="11"/>
  <c r="U8" i="11"/>
  <c r="V8" i="11"/>
  <c r="W8" i="11"/>
  <c r="X8" i="11"/>
  <c r="D9" i="11"/>
  <c r="E9" i="11"/>
  <c r="F9" i="11"/>
  <c r="G9" i="11"/>
  <c r="H9" i="11"/>
  <c r="I9" i="11"/>
  <c r="J9" i="11"/>
  <c r="K9" i="11"/>
  <c r="L9" i="11"/>
  <c r="M9" i="11"/>
  <c r="O9" i="11"/>
  <c r="P9" i="11"/>
  <c r="Q9" i="11"/>
  <c r="AA10" i="9"/>
  <c r="Z10" i="9"/>
  <c r="Y10" i="9"/>
  <c r="X10" i="9"/>
  <c r="W10" i="9"/>
  <c r="V10" i="9"/>
  <c r="U10" i="9"/>
  <c r="T10" i="9"/>
  <c r="S10" i="9"/>
  <c r="R10" i="9"/>
  <c r="AA9" i="9"/>
  <c r="Z9" i="9"/>
  <c r="Y9" i="9"/>
  <c r="X9" i="9"/>
  <c r="W9" i="9"/>
  <c r="V9" i="9"/>
  <c r="U9" i="9"/>
  <c r="T9" i="9"/>
  <c r="S9" i="9"/>
  <c r="R9" i="9"/>
  <c r="AA8" i="9"/>
  <c r="Z8" i="9"/>
  <c r="Y8" i="9"/>
  <c r="X8" i="9"/>
  <c r="W8" i="9"/>
  <c r="V8" i="9"/>
  <c r="U8" i="9"/>
  <c r="T8" i="9"/>
  <c r="S8" i="9"/>
  <c r="R8" i="9"/>
  <c r="AA7" i="9"/>
  <c r="Z7" i="9"/>
  <c r="Y7" i="9"/>
  <c r="X7" i="9"/>
  <c r="W7" i="9"/>
  <c r="V7" i="9"/>
  <c r="U7" i="9"/>
  <c r="T7" i="9"/>
  <c r="S7" i="9"/>
  <c r="R7" i="9"/>
  <c r="AA6" i="9"/>
  <c r="Z6" i="9"/>
  <c r="Y6" i="9"/>
  <c r="X6" i="9"/>
  <c r="W6" i="9"/>
  <c r="V6" i="9"/>
  <c r="U6" i="9"/>
  <c r="T6" i="9"/>
  <c r="S6" i="9"/>
  <c r="R6" i="9"/>
  <c r="AA5" i="9"/>
  <c r="Z5" i="9"/>
  <c r="Y5" i="9"/>
  <c r="X5" i="9"/>
  <c r="W5" i="9"/>
  <c r="V5" i="9"/>
  <c r="U5" i="9"/>
  <c r="T5" i="9"/>
  <c r="S5" i="9"/>
  <c r="R5" i="9"/>
  <c r="AA4" i="9"/>
  <c r="Z4" i="9"/>
  <c r="Y4" i="9"/>
  <c r="X4" i="9"/>
  <c r="W4" i="9"/>
  <c r="V4" i="9"/>
  <c r="U4" i="9"/>
  <c r="T4" i="9"/>
  <c r="S4" i="9"/>
  <c r="R4" i="9"/>
  <c r="AA3" i="9"/>
  <c r="Z3" i="9"/>
  <c r="Y3" i="9"/>
  <c r="X3" i="9"/>
  <c r="W3" i="9"/>
  <c r="V3" i="9"/>
  <c r="U3" i="9"/>
  <c r="T3" i="9"/>
  <c r="S3" i="9"/>
  <c r="R3" i="9"/>
  <c r="D202" i="10"/>
  <c r="L202" i="10"/>
  <c r="M202" i="10"/>
  <c r="Z202" i="10"/>
  <c r="AA202" i="10"/>
  <c r="U202" i="10"/>
  <c r="AB202" i="10"/>
  <c r="AC202" i="10"/>
  <c r="AG202" i="10"/>
  <c r="K202" i="10"/>
  <c r="H202" i="10"/>
  <c r="E202" i="10"/>
  <c r="D201" i="10"/>
  <c r="L201" i="10"/>
  <c r="M201" i="10"/>
  <c r="Z201" i="10"/>
  <c r="AA201" i="10"/>
  <c r="U201" i="10"/>
  <c r="AB201" i="10"/>
  <c r="AC201" i="10"/>
  <c r="AG201" i="10"/>
  <c r="K201" i="10"/>
  <c r="H201" i="10"/>
  <c r="E201" i="10"/>
  <c r="D200" i="10"/>
  <c r="L200" i="10"/>
  <c r="M200" i="10"/>
  <c r="Z200" i="10"/>
  <c r="AA200" i="10"/>
  <c r="U200" i="10"/>
  <c r="AB200" i="10"/>
  <c r="AC200" i="10"/>
  <c r="AG200" i="10"/>
  <c r="K200" i="10"/>
  <c r="H200" i="10"/>
  <c r="E200" i="10"/>
  <c r="D199" i="10"/>
  <c r="L199" i="10"/>
  <c r="M199" i="10"/>
  <c r="Z199" i="10"/>
  <c r="AA199" i="10"/>
  <c r="U199" i="10"/>
  <c r="AB199" i="10"/>
  <c r="AC199" i="10"/>
  <c r="AG199" i="10"/>
  <c r="K199" i="10"/>
  <c r="H199" i="10"/>
  <c r="E199" i="10"/>
  <c r="D198" i="10"/>
  <c r="L198" i="10"/>
  <c r="M198" i="10"/>
  <c r="Z198" i="10"/>
  <c r="AA198" i="10"/>
  <c r="U198" i="10"/>
  <c r="AB198" i="10"/>
  <c r="AC198" i="10"/>
  <c r="AG198" i="10"/>
  <c r="K198" i="10"/>
  <c r="H198" i="10"/>
  <c r="E198" i="10"/>
  <c r="D197" i="10"/>
  <c r="L197" i="10"/>
  <c r="M197" i="10"/>
  <c r="Z197" i="10"/>
  <c r="AA197" i="10"/>
  <c r="U197" i="10"/>
  <c r="AB197" i="10"/>
  <c r="AC197" i="10"/>
  <c r="AG197" i="10"/>
  <c r="K197" i="10"/>
  <c r="H197" i="10"/>
  <c r="E197" i="10"/>
  <c r="D196" i="10"/>
  <c r="L196" i="10"/>
  <c r="M196" i="10"/>
  <c r="Z196" i="10"/>
  <c r="AA196" i="10"/>
  <c r="U196" i="10"/>
  <c r="AB196" i="10"/>
  <c r="AC196" i="10"/>
  <c r="AG196" i="10"/>
  <c r="K196" i="10"/>
  <c r="H196" i="10"/>
  <c r="E196" i="10"/>
  <c r="D195" i="10"/>
  <c r="L195" i="10"/>
  <c r="M195" i="10"/>
  <c r="Z195" i="10"/>
  <c r="AA195" i="10"/>
  <c r="U195" i="10"/>
  <c r="AB195" i="10"/>
  <c r="AC195" i="10"/>
  <c r="AG195" i="10"/>
  <c r="K195" i="10"/>
  <c r="H195" i="10"/>
  <c r="E195" i="10"/>
  <c r="D194" i="10"/>
  <c r="L194" i="10"/>
  <c r="M194" i="10"/>
  <c r="Z194" i="10"/>
  <c r="AA194" i="10"/>
  <c r="U194" i="10"/>
  <c r="AB194" i="10"/>
  <c r="AC194" i="10"/>
  <c r="AG194" i="10"/>
  <c r="K194" i="10"/>
  <c r="H194" i="10"/>
  <c r="E194" i="10"/>
  <c r="D193" i="10"/>
  <c r="L193" i="10"/>
  <c r="M193" i="10"/>
  <c r="Z193" i="10"/>
  <c r="AA193" i="10"/>
  <c r="U193" i="10"/>
  <c r="AB193" i="10"/>
  <c r="AC193" i="10"/>
  <c r="AG193" i="10"/>
  <c r="K193" i="10"/>
  <c r="H193" i="10"/>
  <c r="E193" i="10"/>
  <c r="D192" i="10"/>
  <c r="L192" i="10"/>
  <c r="M192" i="10"/>
  <c r="Z192" i="10"/>
  <c r="AA192" i="10"/>
  <c r="U192" i="10"/>
  <c r="AB192" i="10"/>
  <c r="AC192" i="10"/>
  <c r="AG192" i="10"/>
  <c r="K192" i="10"/>
  <c r="H192" i="10"/>
  <c r="E192" i="10"/>
  <c r="D191" i="10"/>
  <c r="L191" i="10"/>
  <c r="M191" i="10"/>
  <c r="Z191" i="10"/>
  <c r="AA191" i="10"/>
  <c r="U191" i="10"/>
  <c r="AB191" i="10"/>
  <c r="AC191" i="10"/>
  <c r="AG191" i="10"/>
  <c r="K191" i="10"/>
  <c r="H191" i="10"/>
  <c r="E191" i="10"/>
  <c r="D190" i="10"/>
  <c r="L190" i="10"/>
  <c r="M190" i="10"/>
  <c r="Z190" i="10"/>
  <c r="AA190" i="10"/>
  <c r="U190" i="10"/>
  <c r="AB190" i="10"/>
  <c r="AC190" i="10"/>
  <c r="AG190" i="10"/>
  <c r="K190" i="10"/>
  <c r="H190" i="10"/>
  <c r="E190" i="10"/>
  <c r="D189" i="10"/>
  <c r="L189" i="10"/>
  <c r="M189" i="10"/>
  <c r="Z189" i="10"/>
  <c r="AA189" i="10"/>
  <c r="U189" i="10"/>
  <c r="AB189" i="10"/>
  <c r="AC189" i="10"/>
  <c r="AG189" i="10"/>
  <c r="K189" i="10"/>
  <c r="H189" i="10"/>
  <c r="E189" i="10"/>
  <c r="D188" i="10"/>
  <c r="L188" i="10"/>
  <c r="M188" i="10"/>
  <c r="Z188" i="10"/>
  <c r="AA188" i="10"/>
  <c r="U188" i="10"/>
  <c r="AB188" i="10"/>
  <c r="AC188" i="10"/>
  <c r="AG188" i="10"/>
  <c r="K188" i="10"/>
  <c r="H188" i="10"/>
  <c r="E188" i="10"/>
  <c r="D187" i="10"/>
  <c r="L187" i="10"/>
  <c r="M187" i="10"/>
  <c r="Z187" i="10"/>
  <c r="AA187" i="10"/>
  <c r="U187" i="10"/>
  <c r="AB187" i="10"/>
  <c r="AC187" i="10"/>
  <c r="AG187" i="10"/>
  <c r="K187" i="10"/>
  <c r="H187" i="10"/>
  <c r="E187" i="10"/>
  <c r="D186" i="10"/>
  <c r="L186" i="10"/>
  <c r="M186" i="10"/>
  <c r="Z186" i="10"/>
  <c r="AA186" i="10"/>
  <c r="U186" i="10"/>
  <c r="AB186" i="10"/>
  <c r="AC186" i="10"/>
  <c r="AG186" i="10"/>
  <c r="K186" i="10"/>
  <c r="H186" i="10"/>
  <c r="E186" i="10"/>
  <c r="D185" i="10"/>
  <c r="L185" i="10"/>
  <c r="M185" i="10"/>
  <c r="Z185" i="10"/>
  <c r="AA185" i="10"/>
  <c r="U185" i="10"/>
  <c r="AB185" i="10"/>
  <c r="AC185" i="10"/>
  <c r="AG185" i="10"/>
  <c r="K185" i="10"/>
  <c r="H185" i="10"/>
  <c r="E185" i="10"/>
  <c r="D184" i="10"/>
  <c r="L184" i="10"/>
  <c r="M184" i="10"/>
  <c r="Z184" i="10"/>
  <c r="AA184" i="10"/>
  <c r="U184" i="10"/>
  <c r="AB184" i="10"/>
  <c r="AC184" i="10"/>
  <c r="AG184" i="10"/>
  <c r="K184" i="10"/>
  <c r="H184" i="10"/>
  <c r="E184" i="10"/>
  <c r="D183" i="10"/>
  <c r="L183" i="10"/>
  <c r="M183" i="10"/>
  <c r="Z183" i="10"/>
  <c r="AA183" i="10"/>
  <c r="U183" i="10"/>
  <c r="AB183" i="10"/>
  <c r="AC183" i="10"/>
  <c r="AG183" i="10"/>
  <c r="K183" i="10"/>
  <c r="H183" i="10"/>
  <c r="E183" i="10"/>
  <c r="D182" i="10"/>
  <c r="L182" i="10"/>
  <c r="M182" i="10"/>
  <c r="Z182" i="10"/>
  <c r="AA182" i="10"/>
  <c r="U182" i="10"/>
  <c r="AB182" i="10"/>
  <c r="AC182" i="10"/>
  <c r="AG182" i="10"/>
  <c r="K182" i="10"/>
  <c r="H182" i="10"/>
  <c r="E182" i="10"/>
  <c r="D181" i="10"/>
  <c r="L181" i="10"/>
  <c r="M181" i="10"/>
  <c r="Z181" i="10"/>
  <c r="AA181" i="10"/>
  <c r="U181" i="10"/>
  <c r="AB181" i="10"/>
  <c r="AC181" i="10"/>
  <c r="AG181" i="10"/>
  <c r="K181" i="10"/>
  <c r="H181" i="10"/>
  <c r="E181" i="10"/>
  <c r="D180" i="10"/>
  <c r="L180" i="10"/>
  <c r="M180" i="10"/>
  <c r="Z180" i="10"/>
  <c r="AA180" i="10"/>
  <c r="U180" i="10"/>
  <c r="AB180" i="10"/>
  <c r="AC180" i="10"/>
  <c r="AG180" i="10"/>
  <c r="K180" i="10"/>
  <c r="H180" i="10"/>
  <c r="E180" i="10"/>
  <c r="D179" i="10"/>
  <c r="L179" i="10"/>
  <c r="M179" i="10"/>
  <c r="Z179" i="10"/>
  <c r="AA179" i="10"/>
  <c r="U179" i="10"/>
  <c r="AB179" i="10"/>
  <c r="AC179" i="10"/>
  <c r="AG179" i="10"/>
  <c r="K179" i="10"/>
  <c r="H179" i="10"/>
  <c r="E179" i="10"/>
  <c r="D178" i="10"/>
  <c r="L178" i="10"/>
  <c r="M178" i="10"/>
  <c r="Z178" i="10"/>
  <c r="AA178" i="10"/>
  <c r="U178" i="10"/>
  <c r="AB178" i="10"/>
  <c r="AC178" i="10"/>
  <c r="AG178" i="10"/>
  <c r="K178" i="10"/>
  <c r="H178" i="10"/>
  <c r="E178" i="10"/>
  <c r="D177" i="10"/>
  <c r="L177" i="10"/>
  <c r="M177" i="10"/>
  <c r="Z177" i="10"/>
  <c r="AA177" i="10"/>
  <c r="U177" i="10"/>
  <c r="AB177" i="10"/>
  <c r="AC177" i="10"/>
  <c r="AG177" i="10"/>
  <c r="K177" i="10"/>
  <c r="H177" i="10"/>
  <c r="E177" i="10"/>
  <c r="D176" i="10"/>
  <c r="L176" i="10"/>
  <c r="M176" i="10"/>
  <c r="Z176" i="10"/>
  <c r="AA176" i="10"/>
  <c r="U176" i="10"/>
  <c r="AB176" i="10"/>
  <c r="AC176" i="10"/>
  <c r="AG176" i="10"/>
  <c r="K176" i="10"/>
  <c r="H176" i="10"/>
  <c r="E176" i="10"/>
  <c r="D175" i="10"/>
  <c r="L175" i="10"/>
  <c r="M175" i="10"/>
  <c r="Z175" i="10"/>
  <c r="AA175" i="10"/>
  <c r="U175" i="10"/>
  <c r="AB175" i="10"/>
  <c r="AC175" i="10"/>
  <c r="AG175" i="10"/>
  <c r="K175" i="10"/>
  <c r="H175" i="10"/>
  <c r="E175" i="10"/>
  <c r="D174" i="10"/>
  <c r="L174" i="10"/>
  <c r="M174" i="10"/>
  <c r="Z174" i="10"/>
  <c r="AA174" i="10"/>
  <c r="U174" i="10"/>
  <c r="AB174" i="10"/>
  <c r="AC174" i="10"/>
  <c r="AG174" i="10"/>
  <c r="K174" i="10"/>
  <c r="H174" i="10"/>
  <c r="E174" i="10"/>
  <c r="D173" i="10"/>
  <c r="L173" i="10"/>
  <c r="M173" i="10"/>
  <c r="Z173" i="10"/>
  <c r="AA173" i="10"/>
  <c r="U173" i="10"/>
  <c r="AB173" i="10"/>
  <c r="AC173" i="10"/>
  <c r="AG173" i="10"/>
  <c r="K173" i="10"/>
  <c r="H173" i="10"/>
  <c r="E173" i="10"/>
  <c r="D172" i="10"/>
  <c r="L172" i="10"/>
  <c r="M172" i="10"/>
  <c r="Z172" i="10"/>
  <c r="AA172" i="10"/>
  <c r="U172" i="10"/>
  <c r="AB172" i="10"/>
  <c r="AC172" i="10"/>
  <c r="AG172" i="10"/>
  <c r="K172" i="10"/>
  <c r="H172" i="10"/>
  <c r="E172" i="10"/>
  <c r="D171" i="10"/>
  <c r="L171" i="10"/>
  <c r="M171" i="10"/>
  <c r="Z171" i="10"/>
  <c r="AA171" i="10"/>
  <c r="U171" i="10"/>
  <c r="AB171" i="10"/>
  <c r="AC171" i="10"/>
  <c r="AG171" i="10"/>
  <c r="K171" i="10"/>
  <c r="H171" i="10"/>
  <c r="E171" i="10"/>
  <c r="D170" i="10"/>
  <c r="L170" i="10"/>
  <c r="M170" i="10"/>
  <c r="Z170" i="10"/>
  <c r="AA170" i="10"/>
  <c r="U170" i="10"/>
  <c r="AB170" i="10"/>
  <c r="AC170" i="10"/>
  <c r="AG170" i="10"/>
  <c r="K170" i="10"/>
  <c r="H170" i="10"/>
  <c r="E170" i="10"/>
  <c r="D169" i="10"/>
  <c r="L169" i="10"/>
  <c r="M169" i="10"/>
  <c r="Z169" i="10"/>
  <c r="AA169" i="10"/>
  <c r="U169" i="10"/>
  <c r="AB169" i="10"/>
  <c r="AC169" i="10"/>
  <c r="AG169" i="10"/>
  <c r="K169" i="10"/>
  <c r="H169" i="10"/>
  <c r="E169" i="10"/>
  <c r="D168" i="10"/>
  <c r="L168" i="10"/>
  <c r="M168" i="10"/>
  <c r="Z168" i="10"/>
  <c r="AA168" i="10"/>
  <c r="U168" i="10"/>
  <c r="AB168" i="10"/>
  <c r="AC168" i="10"/>
  <c r="AG168" i="10"/>
  <c r="K168" i="10"/>
  <c r="H168" i="10"/>
  <c r="E168" i="10"/>
  <c r="D167" i="10"/>
  <c r="L167" i="10"/>
  <c r="M167" i="10"/>
  <c r="Z167" i="10"/>
  <c r="AA167" i="10"/>
  <c r="U167" i="10"/>
  <c r="AB167" i="10"/>
  <c r="AC167" i="10"/>
  <c r="AG167" i="10"/>
  <c r="K167" i="10"/>
  <c r="H167" i="10"/>
  <c r="E167" i="10"/>
  <c r="D166" i="10"/>
  <c r="L166" i="10"/>
  <c r="M166" i="10"/>
  <c r="Z166" i="10"/>
  <c r="AA166" i="10"/>
  <c r="U166" i="10"/>
  <c r="AB166" i="10"/>
  <c r="AC166" i="10"/>
  <c r="AG166" i="10"/>
  <c r="K166" i="10"/>
  <c r="H166" i="10"/>
  <c r="E166" i="10"/>
  <c r="D165" i="10"/>
  <c r="L165" i="10"/>
  <c r="M165" i="10"/>
  <c r="Z165" i="10"/>
  <c r="AA165" i="10"/>
  <c r="U165" i="10"/>
  <c r="AB165" i="10"/>
  <c r="AC165" i="10"/>
  <c r="AG165" i="10"/>
  <c r="K165" i="10"/>
  <c r="H165" i="10"/>
  <c r="E165" i="10"/>
  <c r="D164" i="10"/>
  <c r="L164" i="10"/>
  <c r="M164" i="10"/>
  <c r="Z164" i="10"/>
  <c r="AA164" i="10"/>
  <c r="U164" i="10"/>
  <c r="AB164" i="10"/>
  <c r="AC164" i="10"/>
  <c r="AG164" i="10"/>
  <c r="K164" i="10"/>
  <c r="H164" i="10"/>
  <c r="E164" i="10"/>
  <c r="D163" i="10"/>
  <c r="L163" i="10"/>
  <c r="M163" i="10"/>
  <c r="Z163" i="10"/>
  <c r="AA163" i="10"/>
  <c r="U163" i="10"/>
  <c r="AB163" i="10"/>
  <c r="AC163" i="10"/>
  <c r="AG163" i="10"/>
  <c r="K163" i="10"/>
  <c r="H163" i="10"/>
  <c r="E163" i="10"/>
  <c r="D162" i="10"/>
  <c r="L162" i="10"/>
  <c r="M162" i="10"/>
  <c r="Z162" i="10"/>
  <c r="AA162" i="10"/>
  <c r="U162" i="10"/>
  <c r="AB162" i="10"/>
  <c r="AC162" i="10"/>
  <c r="AG162" i="10"/>
  <c r="K162" i="10"/>
  <c r="H162" i="10"/>
  <c r="E162" i="10"/>
  <c r="D161" i="10"/>
  <c r="L161" i="10"/>
  <c r="M161" i="10"/>
  <c r="Z161" i="10"/>
  <c r="AA161" i="10"/>
  <c r="U161" i="10"/>
  <c r="AB161" i="10"/>
  <c r="AC161" i="10"/>
  <c r="AG161" i="10"/>
  <c r="K161" i="10"/>
  <c r="H161" i="10"/>
  <c r="E161" i="10"/>
  <c r="D160" i="10"/>
  <c r="L160" i="10"/>
  <c r="M160" i="10"/>
  <c r="Z160" i="10"/>
  <c r="AA160" i="10"/>
  <c r="U160" i="10"/>
  <c r="AB160" i="10"/>
  <c r="AC160" i="10"/>
  <c r="AG160" i="10"/>
  <c r="K160" i="10"/>
  <c r="H160" i="10"/>
  <c r="E160" i="10"/>
  <c r="D159" i="10"/>
  <c r="L159" i="10"/>
  <c r="M159" i="10"/>
  <c r="Z159" i="10"/>
  <c r="AA159" i="10"/>
  <c r="U159" i="10"/>
  <c r="AB159" i="10"/>
  <c r="AC159" i="10"/>
  <c r="AG159" i="10"/>
  <c r="K159" i="10"/>
  <c r="H159" i="10"/>
  <c r="E159" i="10"/>
  <c r="D158" i="10"/>
  <c r="L158" i="10"/>
  <c r="M158" i="10"/>
  <c r="Z158" i="10"/>
  <c r="AA158" i="10"/>
  <c r="U158" i="10"/>
  <c r="AB158" i="10"/>
  <c r="AC158" i="10"/>
  <c r="AG158" i="10"/>
  <c r="K158" i="10"/>
  <c r="H158" i="10"/>
  <c r="E158" i="10"/>
  <c r="D157" i="10"/>
  <c r="L157" i="10"/>
  <c r="M157" i="10"/>
  <c r="Z157" i="10"/>
  <c r="AA157" i="10"/>
  <c r="U157" i="10"/>
  <c r="AB157" i="10"/>
  <c r="AC157" i="10"/>
  <c r="AG157" i="10"/>
  <c r="K157" i="10"/>
  <c r="H157" i="10"/>
  <c r="E157" i="10"/>
  <c r="D156" i="10"/>
  <c r="L156" i="10"/>
  <c r="M156" i="10"/>
  <c r="Z156" i="10"/>
  <c r="AA156" i="10"/>
  <c r="U156" i="10"/>
  <c r="AB156" i="10"/>
  <c r="AC156" i="10"/>
  <c r="AG156" i="10"/>
  <c r="K156" i="10"/>
  <c r="H156" i="10"/>
  <c r="E156" i="10"/>
  <c r="D155" i="10"/>
  <c r="L155" i="10"/>
  <c r="M155" i="10"/>
  <c r="Z155" i="10"/>
  <c r="AA155" i="10"/>
  <c r="U155" i="10"/>
  <c r="AB155" i="10"/>
  <c r="AC155" i="10"/>
  <c r="AG155" i="10"/>
  <c r="K155" i="10"/>
  <c r="H155" i="10"/>
  <c r="E155" i="10"/>
  <c r="D154" i="10"/>
  <c r="L154" i="10"/>
  <c r="M154" i="10"/>
  <c r="Z154" i="10"/>
  <c r="AA154" i="10"/>
  <c r="U154" i="10"/>
  <c r="AB154" i="10"/>
  <c r="AC154" i="10"/>
  <c r="AG154" i="10"/>
  <c r="K154" i="10"/>
  <c r="H154" i="10"/>
  <c r="E154" i="10"/>
  <c r="D153" i="10"/>
  <c r="L153" i="10"/>
  <c r="M153" i="10"/>
  <c r="Z153" i="10"/>
  <c r="AA153" i="10"/>
  <c r="U153" i="10"/>
  <c r="AB153" i="10"/>
  <c r="AC153" i="10"/>
  <c r="AG153" i="10"/>
  <c r="K153" i="10"/>
  <c r="H153" i="10"/>
  <c r="E153" i="10"/>
  <c r="D152" i="10"/>
  <c r="L152" i="10"/>
  <c r="M152" i="10"/>
  <c r="Z152" i="10"/>
  <c r="AA152" i="10"/>
  <c r="U152" i="10"/>
  <c r="AB152" i="10"/>
  <c r="AC152" i="10"/>
  <c r="AG152" i="10"/>
  <c r="K152" i="10"/>
  <c r="H152" i="10"/>
  <c r="E152" i="10"/>
  <c r="D151" i="10"/>
  <c r="L151" i="10"/>
  <c r="M151" i="10"/>
  <c r="Z151" i="10"/>
  <c r="AA151" i="10"/>
  <c r="U151" i="10"/>
  <c r="AB151" i="10"/>
  <c r="AC151" i="10"/>
  <c r="AG151" i="10"/>
  <c r="K151" i="10"/>
  <c r="H151" i="10"/>
  <c r="E151" i="10"/>
  <c r="D150" i="10"/>
  <c r="L150" i="10"/>
  <c r="M150" i="10"/>
  <c r="Z150" i="10"/>
  <c r="AA150" i="10"/>
  <c r="U150" i="10"/>
  <c r="AB150" i="10"/>
  <c r="AC150" i="10"/>
  <c r="AG150" i="10"/>
  <c r="K150" i="10"/>
  <c r="H150" i="10"/>
  <c r="E150" i="10"/>
  <c r="D149" i="10"/>
  <c r="L149" i="10"/>
  <c r="M149" i="10"/>
  <c r="Z149" i="10"/>
  <c r="AA149" i="10"/>
  <c r="U149" i="10"/>
  <c r="AB149" i="10"/>
  <c r="AC149" i="10"/>
  <c r="AG149" i="10"/>
  <c r="K149" i="10"/>
  <c r="H149" i="10"/>
  <c r="E149" i="10"/>
  <c r="D148" i="10"/>
  <c r="L148" i="10"/>
  <c r="M148" i="10"/>
  <c r="Z148" i="10"/>
  <c r="AA148" i="10"/>
  <c r="U148" i="10"/>
  <c r="AB148" i="10"/>
  <c r="AC148" i="10"/>
  <c r="AG148" i="10"/>
  <c r="K148" i="10"/>
  <c r="H148" i="10"/>
  <c r="E148" i="10"/>
  <c r="D147" i="10"/>
  <c r="L147" i="10"/>
  <c r="M147" i="10"/>
  <c r="Z147" i="10"/>
  <c r="AA147" i="10"/>
  <c r="U147" i="10"/>
  <c r="AB147" i="10"/>
  <c r="AC147" i="10"/>
  <c r="AG147" i="10"/>
  <c r="K147" i="10"/>
  <c r="H147" i="10"/>
  <c r="E147" i="10"/>
  <c r="D146" i="10"/>
  <c r="L146" i="10"/>
  <c r="M146" i="10"/>
  <c r="Z146" i="10"/>
  <c r="AA146" i="10"/>
  <c r="U146" i="10"/>
  <c r="AB146" i="10"/>
  <c r="AC146" i="10"/>
  <c r="AG146" i="10"/>
  <c r="K146" i="10"/>
  <c r="H146" i="10"/>
  <c r="E146" i="10"/>
  <c r="D145" i="10"/>
  <c r="L145" i="10"/>
  <c r="M145" i="10"/>
  <c r="Z145" i="10"/>
  <c r="AA145" i="10"/>
  <c r="U145" i="10"/>
  <c r="AB145" i="10"/>
  <c r="AC145" i="10"/>
  <c r="AG145" i="10"/>
  <c r="K145" i="10"/>
  <c r="H145" i="10"/>
  <c r="E145" i="10"/>
  <c r="D144" i="10"/>
  <c r="L144" i="10"/>
  <c r="M144" i="10"/>
  <c r="Z144" i="10"/>
  <c r="AA144" i="10"/>
  <c r="U144" i="10"/>
  <c r="AB144" i="10"/>
  <c r="AC144" i="10"/>
  <c r="AG144" i="10"/>
  <c r="K144" i="10"/>
  <c r="H144" i="10"/>
  <c r="E144" i="10"/>
  <c r="D143" i="10"/>
  <c r="L143" i="10"/>
  <c r="M143" i="10"/>
  <c r="Z143" i="10"/>
  <c r="AA143" i="10"/>
  <c r="U143" i="10"/>
  <c r="AB143" i="10"/>
  <c r="AC143" i="10"/>
  <c r="AG143" i="10"/>
  <c r="K143" i="10"/>
  <c r="H143" i="10"/>
  <c r="E143" i="10"/>
  <c r="D142" i="10"/>
  <c r="L142" i="10"/>
  <c r="M142" i="10"/>
  <c r="Z142" i="10"/>
  <c r="AA142" i="10"/>
  <c r="U142" i="10"/>
  <c r="AB142" i="10"/>
  <c r="AC142" i="10"/>
  <c r="AG142" i="10"/>
  <c r="K142" i="10"/>
  <c r="H142" i="10"/>
  <c r="E142" i="10"/>
  <c r="D141" i="10"/>
  <c r="L141" i="10"/>
  <c r="M141" i="10"/>
  <c r="Z141" i="10"/>
  <c r="AA141" i="10"/>
  <c r="U141" i="10"/>
  <c r="AB141" i="10"/>
  <c r="AC141" i="10"/>
  <c r="AG141" i="10"/>
  <c r="K141" i="10"/>
  <c r="H141" i="10"/>
  <c r="E141" i="10"/>
  <c r="D140" i="10"/>
  <c r="L140" i="10"/>
  <c r="M140" i="10"/>
  <c r="Z140" i="10"/>
  <c r="AA140" i="10"/>
  <c r="U140" i="10"/>
  <c r="AB140" i="10"/>
  <c r="AC140" i="10"/>
  <c r="AG140" i="10"/>
  <c r="K140" i="10"/>
  <c r="H140" i="10"/>
  <c r="E140" i="10"/>
  <c r="D139" i="10"/>
  <c r="L139" i="10"/>
  <c r="M139" i="10"/>
  <c r="Z139" i="10"/>
  <c r="AA139" i="10"/>
  <c r="U139" i="10"/>
  <c r="AB139" i="10"/>
  <c r="AC139" i="10"/>
  <c r="AG139" i="10"/>
  <c r="K139" i="10"/>
  <c r="H139" i="10"/>
  <c r="E139" i="10"/>
  <c r="D138" i="10"/>
  <c r="L138" i="10"/>
  <c r="M138" i="10"/>
  <c r="Z138" i="10"/>
  <c r="AA138" i="10"/>
  <c r="U138" i="10"/>
  <c r="AB138" i="10"/>
  <c r="AC138" i="10"/>
  <c r="AG138" i="10"/>
  <c r="K138" i="10"/>
  <c r="H138" i="10"/>
  <c r="E138" i="10"/>
  <c r="D137" i="10"/>
  <c r="L137" i="10"/>
  <c r="M137" i="10"/>
  <c r="Z137" i="10"/>
  <c r="AA137" i="10"/>
  <c r="U137" i="10"/>
  <c r="AB137" i="10"/>
  <c r="AC137" i="10"/>
  <c r="AG137" i="10"/>
  <c r="K137" i="10"/>
  <c r="H137" i="10"/>
  <c r="E137" i="10"/>
  <c r="D136" i="10"/>
  <c r="L136" i="10"/>
  <c r="M136" i="10"/>
  <c r="Z136" i="10"/>
  <c r="AA136" i="10"/>
  <c r="U136" i="10"/>
  <c r="AB136" i="10"/>
  <c r="AC136" i="10"/>
  <c r="AG136" i="10"/>
  <c r="K136" i="10"/>
  <c r="H136" i="10"/>
  <c r="E136" i="10"/>
  <c r="D135" i="10"/>
  <c r="L135" i="10"/>
  <c r="M135" i="10"/>
  <c r="Z135" i="10"/>
  <c r="AA135" i="10"/>
  <c r="U135" i="10"/>
  <c r="AB135" i="10"/>
  <c r="AC135" i="10"/>
  <c r="AG135" i="10"/>
  <c r="K135" i="10"/>
  <c r="H135" i="10"/>
  <c r="E135" i="10"/>
  <c r="D134" i="10"/>
  <c r="L134" i="10"/>
  <c r="M134" i="10"/>
  <c r="Z134" i="10"/>
  <c r="AA134" i="10"/>
  <c r="U134" i="10"/>
  <c r="AB134" i="10"/>
  <c r="AC134" i="10"/>
  <c r="AG134" i="10"/>
  <c r="K134" i="10"/>
  <c r="H134" i="10"/>
  <c r="E134" i="10"/>
  <c r="D133" i="10"/>
  <c r="L133" i="10"/>
  <c r="M133" i="10"/>
  <c r="Z133" i="10"/>
  <c r="AA133" i="10"/>
  <c r="U133" i="10"/>
  <c r="AB133" i="10"/>
  <c r="AC133" i="10"/>
  <c r="AG133" i="10"/>
  <c r="K133" i="10"/>
  <c r="H133" i="10"/>
  <c r="E133" i="10"/>
  <c r="D132" i="10"/>
  <c r="L132" i="10"/>
  <c r="M132" i="10"/>
  <c r="Z132" i="10"/>
  <c r="AA132" i="10"/>
  <c r="U132" i="10"/>
  <c r="AB132" i="10"/>
  <c r="AC132" i="10"/>
  <c r="AG132" i="10"/>
  <c r="K132" i="10"/>
  <c r="H132" i="10"/>
  <c r="E132" i="10"/>
  <c r="D131" i="10"/>
  <c r="L131" i="10"/>
  <c r="M131" i="10"/>
  <c r="Z131" i="10"/>
  <c r="AA131" i="10"/>
  <c r="U131" i="10"/>
  <c r="AB131" i="10"/>
  <c r="AC131" i="10"/>
  <c r="AG131" i="10"/>
  <c r="K131" i="10"/>
  <c r="H131" i="10"/>
  <c r="E131" i="10"/>
  <c r="D130" i="10"/>
  <c r="L130" i="10"/>
  <c r="M130" i="10"/>
  <c r="Z130" i="10"/>
  <c r="AA130" i="10"/>
  <c r="U130" i="10"/>
  <c r="AB130" i="10"/>
  <c r="AC130" i="10"/>
  <c r="AG130" i="10"/>
  <c r="K130" i="10"/>
  <c r="H130" i="10"/>
  <c r="E130" i="10"/>
  <c r="D129" i="10"/>
  <c r="L129" i="10"/>
  <c r="M129" i="10"/>
  <c r="Z129" i="10"/>
  <c r="AA129" i="10"/>
  <c r="U129" i="10"/>
  <c r="AB129" i="10"/>
  <c r="AC129" i="10"/>
  <c r="AG129" i="10"/>
  <c r="K129" i="10"/>
  <c r="H129" i="10"/>
  <c r="E129" i="10"/>
  <c r="D128" i="10"/>
  <c r="L128" i="10"/>
  <c r="M128" i="10"/>
  <c r="Z128" i="10"/>
  <c r="AA128" i="10"/>
  <c r="U128" i="10"/>
  <c r="AB128" i="10"/>
  <c r="AC128" i="10"/>
  <c r="AG128" i="10"/>
  <c r="K128" i="10"/>
  <c r="H128" i="10"/>
  <c r="E128" i="10"/>
  <c r="D127" i="10"/>
  <c r="L127" i="10"/>
  <c r="M127" i="10"/>
  <c r="Z127" i="10"/>
  <c r="AA127" i="10"/>
  <c r="U127" i="10"/>
  <c r="AB127" i="10"/>
  <c r="AC127" i="10"/>
  <c r="AG127" i="10"/>
  <c r="K127" i="10"/>
  <c r="H127" i="10"/>
  <c r="E127" i="10"/>
  <c r="D126" i="10"/>
  <c r="L126" i="10"/>
  <c r="M126" i="10"/>
  <c r="Z126" i="10"/>
  <c r="AA126" i="10"/>
  <c r="U126" i="10"/>
  <c r="AB126" i="10"/>
  <c r="AC126" i="10"/>
  <c r="AG126" i="10"/>
  <c r="K126" i="10"/>
  <c r="H126" i="10"/>
  <c r="E126" i="10"/>
  <c r="D125" i="10"/>
  <c r="L125" i="10"/>
  <c r="M125" i="10"/>
  <c r="Z125" i="10"/>
  <c r="AA125" i="10"/>
  <c r="U125" i="10"/>
  <c r="AB125" i="10"/>
  <c r="AC125" i="10"/>
  <c r="AG125" i="10"/>
  <c r="K125" i="10"/>
  <c r="H125" i="10"/>
  <c r="E125" i="10"/>
  <c r="D124" i="10"/>
  <c r="L124" i="10"/>
  <c r="M124" i="10"/>
  <c r="Z124" i="10"/>
  <c r="AA124" i="10"/>
  <c r="U124" i="10"/>
  <c r="AB124" i="10"/>
  <c r="AC124" i="10"/>
  <c r="AG124" i="10"/>
  <c r="K124" i="10"/>
  <c r="H124" i="10"/>
  <c r="E124" i="10"/>
  <c r="D123" i="10"/>
  <c r="L123" i="10"/>
  <c r="M123" i="10"/>
  <c r="Z123" i="10"/>
  <c r="AA123" i="10"/>
  <c r="U123" i="10"/>
  <c r="AB123" i="10"/>
  <c r="AC123" i="10"/>
  <c r="AG123" i="10"/>
  <c r="K123" i="10"/>
  <c r="H123" i="10"/>
  <c r="E123" i="10"/>
  <c r="D122" i="10"/>
  <c r="L122" i="10"/>
  <c r="M122" i="10"/>
  <c r="Z122" i="10"/>
  <c r="AA122" i="10"/>
  <c r="U122" i="10"/>
  <c r="AB122" i="10"/>
  <c r="AC122" i="10"/>
  <c r="AG122" i="10"/>
  <c r="K122" i="10"/>
  <c r="H122" i="10"/>
  <c r="E122" i="10"/>
  <c r="D121" i="10"/>
  <c r="L121" i="10"/>
  <c r="M121" i="10"/>
  <c r="Z121" i="10"/>
  <c r="AA121" i="10"/>
  <c r="U121" i="10"/>
  <c r="AB121" i="10"/>
  <c r="AC121" i="10"/>
  <c r="AG121" i="10"/>
  <c r="K121" i="10"/>
  <c r="H121" i="10"/>
  <c r="E121" i="10"/>
  <c r="D120" i="10"/>
  <c r="L120" i="10"/>
  <c r="M120" i="10"/>
  <c r="Z120" i="10"/>
  <c r="AA120" i="10"/>
  <c r="U120" i="10"/>
  <c r="AB120" i="10"/>
  <c r="AC120" i="10"/>
  <c r="AG120" i="10"/>
  <c r="K120" i="10"/>
  <c r="H120" i="10"/>
  <c r="E120" i="10"/>
  <c r="D119" i="10"/>
  <c r="L119" i="10"/>
  <c r="M119" i="10"/>
  <c r="Z119" i="10"/>
  <c r="AA119" i="10"/>
  <c r="U119" i="10"/>
  <c r="AB119" i="10"/>
  <c r="AC119" i="10"/>
  <c r="AG119" i="10"/>
  <c r="K119" i="10"/>
  <c r="H119" i="10"/>
  <c r="E119" i="10"/>
  <c r="D118" i="10"/>
  <c r="L118" i="10"/>
  <c r="M118" i="10"/>
  <c r="Z118" i="10"/>
  <c r="AA118" i="10"/>
  <c r="U118" i="10"/>
  <c r="AB118" i="10"/>
  <c r="AC118" i="10"/>
  <c r="AG118" i="10"/>
  <c r="K118" i="10"/>
  <c r="H118" i="10"/>
  <c r="E118" i="10"/>
  <c r="D117" i="10"/>
  <c r="L117" i="10"/>
  <c r="M117" i="10"/>
  <c r="Z117" i="10"/>
  <c r="AA117" i="10"/>
  <c r="U117" i="10"/>
  <c r="AB117" i="10"/>
  <c r="AC117" i="10"/>
  <c r="AG117" i="10"/>
  <c r="K117" i="10"/>
  <c r="H117" i="10"/>
  <c r="E117" i="10"/>
  <c r="D116" i="10"/>
  <c r="L116" i="10"/>
  <c r="M116" i="10"/>
  <c r="Z116" i="10"/>
  <c r="AA116" i="10"/>
  <c r="U116" i="10"/>
  <c r="AB116" i="10"/>
  <c r="AC116" i="10"/>
  <c r="AG116" i="10"/>
  <c r="K116" i="10"/>
  <c r="H116" i="10"/>
  <c r="E116" i="10"/>
  <c r="D115" i="10"/>
  <c r="L115" i="10"/>
  <c r="M115" i="10"/>
  <c r="Z115" i="10"/>
  <c r="AA115" i="10"/>
  <c r="U115" i="10"/>
  <c r="AB115" i="10"/>
  <c r="AC115" i="10"/>
  <c r="AG115" i="10"/>
  <c r="K115" i="10"/>
  <c r="H115" i="10"/>
  <c r="E115" i="10"/>
  <c r="D114" i="10"/>
  <c r="L114" i="10"/>
  <c r="M114" i="10"/>
  <c r="Z114" i="10"/>
  <c r="AA114" i="10"/>
  <c r="U114" i="10"/>
  <c r="AB114" i="10"/>
  <c r="AC114" i="10"/>
  <c r="AG114" i="10"/>
  <c r="K114" i="10"/>
  <c r="H114" i="10"/>
  <c r="E114" i="10"/>
  <c r="D113" i="10"/>
  <c r="L113" i="10"/>
  <c r="M113" i="10"/>
  <c r="Z113" i="10"/>
  <c r="AA113" i="10"/>
  <c r="U113" i="10"/>
  <c r="AB113" i="10"/>
  <c r="AC113" i="10"/>
  <c r="AG113" i="10"/>
  <c r="K113" i="10"/>
  <c r="H113" i="10"/>
  <c r="E113" i="10"/>
  <c r="D112" i="10"/>
  <c r="L112" i="10"/>
  <c r="M112" i="10"/>
  <c r="Z112" i="10"/>
  <c r="AA112" i="10"/>
  <c r="U112" i="10"/>
  <c r="AB112" i="10"/>
  <c r="AC112" i="10"/>
  <c r="AG112" i="10"/>
  <c r="K112" i="10"/>
  <c r="H112" i="10"/>
  <c r="E112" i="10"/>
  <c r="D111" i="10"/>
  <c r="L111" i="10"/>
  <c r="M111" i="10"/>
  <c r="Z111" i="10"/>
  <c r="AA111" i="10"/>
  <c r="U111" i="10"/>
  <c r="AB111" i="10"/>
  <c r="AC111" i="10"/>
  <c r="AG111" i="10"/>
  <c r="K111" i="10"/>
  <c r="H111" i="10"/>
  <c r="E111" i="10"/>
  <c r="D110" i="10"/>
  <c r="L110" i="10"/>
  <c r="M110" i="10"/>
  <c r="Z110" i="10"/>
  <c r="AA110" i="10"/>
  <c r="U110" i="10"/>
  <c r="AB110" i="10"/>
  <c r="AC110" i="10"/>
  <c r="AG110" i="10"/>
  <c r="K110" i="10"/>
  <c r="H110" i="10"/>
  <c r="E110" i="10"/>
  <c r="D109" i="10"/>
  <c r="L109" i="10"/>
  <c r="M109" i="10"/>
  <c r="Z109" i="10"/>
  <c r="AA109" i="10"/>
  <c r="U109" i="10"/>
  <c r="AB109" i="10"/>
  <c r="AC109" i="10"/>
  <c r="AG109" i="10"/>
  <c r="K109" i="10"/>
  <c r="H109" i="10"/>
  <c r="E109" i="10"/>
  <c r="D108" i="10"/>
  <c r="L108" i="10"/>
  <c r="M108" i="10"/>
  <c r="Z108" i="10"/>
  <c r="AA108" i="10"/>
  <c r="U108" i="10"/>
  <c r="AB108" i="10"/>
  <c r="AC108" i="10"/>
  <c r="AG108" i="10"/>
  <c r="K108" i="10"/>
  <c r="H108" i="10"/>
  <c r="E108" i="10"/>
  <c r="D107" i="10"/>
  <c r="L107" i="10"/>
  <c r="M107" i="10"/>
  <c r="Z107" i="10"/>
  <c r="AA107" i="10"/>
  <c r="U107" i="10"/>
  <c r="AB107" i="10"/>
  <c r="AC107" i="10"/>
  <c r="AG107" i="10"/>
  <c r="K107" i="10"/>
  <c r="H107" i="10"/>
  <c r="E107" i="10"/>
  <c r="D106" i="10"/>
  <c r="L106" i="10"/>
  <c r="M106" i="10"/>
  <c r="Z106" i="10"/>
  <c r="AA106" i="10"/>
  <c r="U106" i="10"/>
  <c r="AB106" i="10"/>
  <c r="AC106" i="10"/>
  <c r="AG106" i="10"/>
  <c r="K106" i="10"/>
  <c r="H106" i="10"/>
  <c r="E106" i="10"/>
  <c r="D105" i="10"/>
  <c r="L105" i="10"/>
  <c r="M105" i="10"/>
  <c r="Z105" i="10"/>
  <c r="AA105" i="10"/>
  <c r="U105" i="10"/>
  <c r="AB105" i="10"/>
  <c r="AC105" i="10"/>
  <c r="AG105" i="10"/>
  <c r="K105" i="10"/>
  <c r="H105" i="10"/>
  <c r="E105" i="10"/>
  <c r="D104" i="10"/>
  <c r="L104" i="10"/>
  <c r="M104" i="10"/>
  <c r="Z104" i="10"/>
  <c r="AA104" i="10"/>
  <c r="U104" i="10"/>
  <c r="AB104" i="10"/>
  <c r="AC104" i="10"/>
  <c r="AG104" i="10"/>
  <c r="K104" i="10"/>
  <c r="H104" i="10"/>
  <c r="E104" i="10"/>
  <c r="D103" i="10"/>
  <c r="L103" i="10"/>
  <c r="M103" i="10"/>
  <c r="Z103" i="10"/>
  <c r="AA103" i="10"/>
  <c r="U103" i="10"/>
  <c r="AB103" i="10"/>
  <c r="AC103" i="10"/>
  <c r="AG103" i="10"/>
  <c r="K103" i="10"/>
  <c r="H103" i="10"/>
  <c r="E103" i="10"/>
  <c r="D102" i="10"/>
  <c r="L102" i="10"/>
  <c r="M102" i="10"/>
  <c r="Z102" i="10"/>
  <c r="AA102" i="10"/>
  <c r="U102" i="10"/>
  <c r="AB102" i="10"/>
  <c r="AC102" i="10"/>
  <c r="AG102" i="10"/>
  <c r="K102" i="10"/>
  <c r="H102" i="10"/>
  <c r="E102" i="10"/>
  <c r="D101" i="10"/>
  <c r="L101" i="10"/>
  <c r="M101" i="10"/>
  <c r="Z101" i="10"/>
  <c r="AA101" i="10"/>
  <c r="U101" i="10"/>
  <c r="AB101" i="10"/>
  <c r="AC101" i="10"/>
  <c r="AG101" i="10"/>
  <c r="K101" i="10"/>
  <c r="H101" i="10"/>
  <c r="E101" i="10"/>
  <c r="D100" i="10"/>
  <c r="L100" i="10"/>
  <c r="M100" i="10"/>
  <c r="Z100" i="10"/>
  <c r="AA100" i="10"/>
  <c r="U100" i="10"/>
  <c r="AB100" i="10"/>
  <c r="AC100" i="10"/>
  <c r="AG100" i="10"/>
  <c r="K100" i="10"/>
  <c r="H100" i="10"/>
  <c r="E100" i="10"/>
  <c r="D99" i="10"/>
  <c r="L99" i="10"/>
  <c r="M99" i="10"/>
  <c r="Z99" i="10"/>
  <c r="AA99" i="10"/>
  <c r="U99" i="10"/>
  <c r="AB99" i="10"/>
  <c r="AC99" i="10"/>
  <c r="AG99" i="10"/>
  <c r="K99" i="10"/>
  <c r="H99" i="10"/>
  <c r="E99" i="10"/>
  <c r="D98" i="10"/>
  <c r="L98" i="10"/>
  <c r="M98" i="10"/>
  <c r="Z98" i="10"/>
  <c r="AA98" i="10"/>
  <c r="U98" i="10"/>
  <c r="AB98" i="10"/>
  <c r="AC98" i="10"/>
  <c r="AG98" i="10"/>
  <c r="K98" i="10"/>
  <c r="H98" i="10"/>
  <c r="E98" i="10"/>
  <c r="D97" i="10"/>
  <c r="L97" i="10"/>
  <c r="M97" i="10"/>
  <c r="Z97" i="10"/>
  <c r="AA97" i="10"/>
  <c r="U97" i="10"/>
  <c r="AB97" i="10"/>
  <c r="AC97" i="10"/>
  <c r="AG97" i="10"/>
  <c r="K97" i="10"/>
  <c r="H97" i="10"/>
  <c r="E97" i="10"/>
  <c r="D96" i="10"/>
  <c r="L96" i="10"/>
  <c r="M96" i="10"/>
  <c r="Z96" i="10"/>
  <c r="AA96" i="10"/>
  <c r="U96" i="10"/>
  <c r="AB96" i="10"/>
  <c r="AC96" i="10"/>
  <c r="AG96" i="10"/>
  <c r="K96" i="10"/>
  <c r="H96" i="10"/>
  <c r="E96" i="10"/>
  <c r="D95" i="10"/>
  <c r="L95" i="10"/>
  <c r="M95" i="10"/>
  <c r="Z95" i="10"/>
  <c r="AA95" i="10"/>
  <c r="U95" i="10"/>
  <c r="AB95" i="10"/>
  <c r="AC95" i="10"/>
  <c r="AG95" i="10"/>
  <c r="K95" i="10"/>
  <c r="H95" i="10"/>
  <c r="E95" i="10"/>
  <c r="D94" i="10"/>
  <c r="L94" i="10"/>
  <c r="M94" i="10"/>
  <c r="Z94" i="10"/>
  <c r="AA94" i="10"/>
  <c r="U94" i="10"/>
  <c r="AB94" i="10"/>
  <c r="AC94" i="10"/>
  <c r="AG94" i="10"/>
  <c r="K94" i="10"/>
  <c r="H94" i="10"/>
  <c r="E94" i="10"/>
  <c r="D93" i="10"/>
  <c r="L93" i="10"/>
  <c r="M93" i="10"/>
  <c r="Z93" i="10"/>
  <c r="AA93" i="10"/>
  <c r="U93" i="10"/>
  <c r="AB93" i="10"/>
  <c r="AC93" i="10"/>
  <c r="AG93" i="10"/>
  <c r="K93" i="10"/>
  <c r="H93" i="10"/>
  <c r="E93" i="10"/>
  <c r="D92" i="10"/>
  <c r="L92" i="10"/>
  <c r="M92" i="10"/>
  <c r="Z92" i="10"/>
  <c r="AA92" i="10"/>
  <c r="U92" i="10"/>
  <c r="AB92" i="10"/>
  <c r="AC92" i="10"/>
  <c r="AG92" i="10"/>
  <c r="K92" i="10"/>
  <c r="H92" i="10"/>
  <c r="E92" i="10"/>
  <c r="D91" i="10"/>
  <c r="L91" i="10"/>
  <c r="M91" i="10"/>
  <c r="Z91" i="10"/>
  <c r="AA91" i="10"/>
  <c r="U91" i="10"/>
  <c r="AB91" i="10"/>
  <c r="AC91" i="10"/>
  <c r="AG91" i="10"/>
  <c r="K91" i="10"/>
  <c r="H91" i="10"/>
  <c r="E91" i="10"/>
  <c r="D90" i="10"/>
  <c r="L90" i="10"/>
  <c r="M90" i="10"/>
  <c r="Z90" i="10"/>
  <c r="AA90" i="10"/>
  <c r="U90" i="10"/>
  <c r="AB90" i="10"/>
  <c r="AC90" i="10"/>
  <c r="AG90" i="10"/>
  <c r="K90" i="10"/>
  <c r="H90" i="10"/>
  <c r="E90" i="10"/>
  <c r="D89" i="10"/>
  <c r="L89" i="10"/>
  <c r="M89" i="10"/>
  <c r="Z89" i="10"/>
  <c r="AA89" i="10"/>
  <c r="U89" i="10"/>
  <c r="AB89" i="10"/>
  <c r="AC89" i="10"/>
  <c r="AG89" i="10"/>
  <c r="K89" i="10"/>
  <c r="H89" i="10"/>
  <c r="E89" i="10"/>
  <c r="D88" i="10"/>
  <c r="L88" i="10"/>
  <c r="M88" i="10"/>
  <c r="Z88" i="10"/>
  <c r="AA88" i="10"/>
  <c r="U88" i="10"/>
  <c r="AB88" i="10"/>
  <c r="AC88" i="10"/>
  <c r="AG88" i="10"/>
  <c r="K88" i="10"/>
  <c r="H88" i="10"/>
  <c r="E88" i="10"/>
  <c r="D87" i="10"/>
  <c r="L87" i="10"/>
  <c r="M87" i="10"/>
  <c r="Z87" i="10"/>
  <c r="AA87" i="10"/>
  <c r="U87" i="10"/>
  <c r="AB87" i="10"/>
  <c r="AC87" i="10"/>
  <c r="AG87" i="10"/>
  <c r="K87" i="10"/>
  <c r="H87" i="10"/>
  <c r="E87" i="10"/>
  <c r="D86" i="10"/>
  <c r="L86" i="10"/>
  <c r="M86" i="10"/>
  <c r="Z86" i="10"/>
  <c r="AA86" i="10"/>
  <c r="U86" i="10"/>
  <c r="AB86" i="10"/>
  <c r="AC86" i="10"/>
  <c r="AG86" i="10"/>
  <c r="K86" i="10"/>
  <c r="H86" i="10"/>
  <c r="E86" i="10"/>
  <c r="D85" i="10"/>
  <c r="L85" i="10"/>
  <c r="M85" i="10"/>
  <c r="Z85" i="10"/>
  <c r="AA85" i="10"/>
  <c r="U85" i="10"/>
  <c r="AB85" i="10"/>
  <c r="AC85" i="10"/>
  <c r="AG85" i="10"/>
  <c r="K85" i="10"/>
  <c r="H85" i="10"/>
  <c r="E85" i="10"/>
  <c r="D84" i="10"/>
  <c r="L84" i="10"/>
  <c r="M84" i="10"/>
  <c r="Z84" i="10"/>
  <c r="AA84" i="10"/>
  <c r="U84" i="10"/>
  <c r="AB84" i="10"/>
  <c r="AC84" i="10"/>
  <c r="AG84" i="10"/>
  <c r="K84" i="10"/>
  <c r="H84" i="10"/>
  <c r="E84" i="10"/>
  <c r="D83" i="10"/>
  <c r="L83" i="10"/>
  <c r="M83" i="10"/>
  <c r="Z83" i="10"/>
  <c r="AA83" i="10"/>
  <c r="U83" i="10"/>
  <c r="AB83" i="10"/>
  <c r="AC83" i="10"/>
  <c r="AG83" i="10"/>
  <c r="K83" i="10"/>
  <c r="H83" i="10"/>
  <c r="E83" i="10"/>
  <c r="D82" i="10"/>
  <c r="L82" i="10"/>
  <c r="M82" i="10"/>
  <c r="Z82" i="10"/>
  <c r="AA82" i="10"/>
  <c r="U82" i="10"/>
  <c r="AB82" i="10"/>
  <c r="AC82" i="10"/>
  <c r="AG82" i="10"/>
  <c r="K82" i="10"/>
  <c r="H82" i="10"/>
  <c r="E82" i="10"/>
  <c r="D81" i="10"/>
  <c r="L81" i="10"/>
  <c r="M81" i="10"/>
  <c r="Z81" i="10"/>
  <c r="AA81" i="10"/>
  <c r="U81" i="10"/>
  <c r="AB81" i="10"/>
  <c r="AC81" i="10"/>
  <c r="AG81" i="10"/>
  <c r="K81" i="10"/>
  <c r="H81" i="10"/>
  <c r="E81" i="10"/>
  <c r="D80" i="10"/>
  <c r="L80" i="10"/>
  <c r="M80" i="10"/>
  <c r="Z80" i="10"/>
  <c r="AA80" i="10"/>
  <c r="U80" i="10"/>
  <c r="AB80" i="10"/>
  <c r="AC80" i="10"/>
  <c r="AG80" i="10"/>
  <c r="K80" i="10"/>
  <c r="H80" i="10"/>
  <c r="E80" i="10"/>
  <c r="D79" i="10"/>
  <c r="L79" i="10"/>
  <c r="M79" i="10"/>
  <c r="Z79" i="10"/>
  <c r="AA79" i="10"/>
  <c r="U79" i="10"/>
  <c r="AB79" i="10"/>
  <c r="AC79" i="10"/>
  <c r="AG79" i="10"/>
  <c r="K79" i="10"/>
  <c r="H79" i="10"/>
  <c r="E79" i="10"/>
  <c r="D78" i="10"/>
  <c r="L78" i="10"/>
  <c r="M78" i="10"/>
  <c r="Z78" i="10"/>
  <c r="AA78" i="10"/>
  <c r="U78" i="10"/>
  <c r="AB78" i="10"/>
  <c r="AC78" i="10"/>
  <c r="AG78" i="10"/>
  <c r="K78" i="10"/>
  <c r="H78" i="10"/>
  <c r="E78" i="10"/>
  <c r="D77" i="10"/>
  <c r="L77" i="10"/>
  <c r="M77" i="10"/>
  <c r="Z77" i="10"/>
  <c r="AA77" i="10"/>
  <c r="U77" i="10"/>
  <c r="AB77" i="10"/>
  <c r="AC77" i="10"/>
  <c r="AG77" i="10"/>
  <c r="K77" i="10"/>
  <c r="H77" i="10"/>
  <c r="E77" i="10"/>
  <c r="D76" i="10"/>
  <c r="L76" i="10"/>
  <c r="M76" i="10"/>
  <c r="Z76" i="10"/>
  <c r="AA76" i="10"/>
  <c r="U76" i="10"/>
  <c r="AB76" i="10"/>
  <c r="AC76" i="10"/>
  <c r="AG76" i="10"/>
  <c r="K76" i="10"/>
  <c r="H76" i="10"/>
  <c r="E76" i="10"/>
  <c r="D75" i="10"/>
  <c r="L75" i="10"/>
  <c r="M75" i="10"/>
  <c r="Z75" i="10"/>
  <c r="AA75" i="10"/>
  <c r="U75" i="10"/>
  <c r="AB75" i="10"/>
  <c r="AC75" i="10"/>
  <c r="AG75" i="10"/>
  <c r="K75" i="10"/>
  <c r="H75" i="10"/>
  <c r="E75" i="10"/>
  <c r="D74" i="10"/>
  <c r="L74" i="10"/>
  <c r="M74" i="10"/>
  <c r="Z74" i="10"/>
  <c r="AA74" i="10"/>
  <c r="U74" i="10"/>
  <c r="AB74" i="10"/>
  <c r="AC74" i="10"/>
  <c r="AG74" i="10"/>
  <c r="K74" i="10"/>
  <c r="H74" i="10"/>
  <c r="E74" i="10"/>
  <c r="D73" i="10"/>
  <c r="L73" i="10"/>
  <c r="M73" i="10"/>
  <c r="Z73" i="10"/>
  <c r="AA73" i="10"/>
  <c r="U73" i="10"/>
  <c r="AB73" i="10"/>
  <c r="AC73" i="10"/>
  <c r="AG73" i="10"/>
  <c r="K73" i="10"/>
  <c r="H73" i="10"/>
  <c r="E73" i="10"/>
  <c r="D72" i="10"/>
  <c r="L72" i="10"/>
  <c r="M72" i="10"/>
  <c r="Z72" i="10"/>
  <c r="AA72" i="10"/>
  <c r="U72" i="10"/>
  <c r="AB72" i="10"/>
  <c r="AC72" i="10"/>
  <c r="AG72" i="10"/>
  <c r="K72" i="10"/>
  <c r="H72" i="10"/>
  <c r="E72" i="10"/>
  <c r="D71" i="10"/>
  <c r="L71" i="10"/>
  <c r="M71" i="10"/>
  <c r="Z71" i="10"/>
  <c r="AA71" i="10"/>
  <c r="U71" i="10"/>
  <c r="AB71" i="10"/>
  <c r="AC71" i="10"/>
  <c r="AG71" i="10"/>
  <c r="K71" i="10"/>
  <c r="H71" i="10"/>
  <c r="E71" i="10"/>
  <c r="D70" i="10"/>
  <c r="L70" i="10"/>
  <c r="M70" i="10"/>
  <c r="Z70" i="10"/>
  <c r="AA70" i="10"/>
  <c r="U70" i="10"/>
  <c r="AB70" i="10"/>
  <c r="AC70" i="10"/>
  <c r="AG70" i="10"/>
  <c r="K70" i="10"/>
  <c r="H70" i="10"/>
  <c r="E70" i="10"/>
  <c r="D69" i="10"/>
  <c r="L69" i="10"/>
  <c r="M69" i="10"/>
  <c r="Z69" i="10"/>
  <c r="AA69" i="10"/>
  <c r="U69" i="10"/>
  <c r="AB69" i="10"/>
  <c r="AC69" i="10"/>
  <c r="AG69" i="10"/>
  <c r="K69" i="10"/>
  <c r="H69" i="10"/>
  <c r="E69" i="10"/>
  <c r="D68" i="10"/>
  <c r="L68" i="10"/>
  <c r="M68" i="10"/>
  <c r="Z68" i="10"/>
  <c r="AA68" i="10"/>
  <c r="U68" i="10"/>
  <c r="AB68" i="10"/>
  <c r="AC68" i="10"/>
  <c r="AG68" i="10"/>
  <c r="K68" i="10"/>
  <c r="H68" i="10"/>
  <c r="E68" i="10"/>
  <c r="D67" i="10"/>
  <c r="L67" i="10"/>
  <c r="M67" i="10"/>
  <c r="Z67" i="10"/>
  <c r="AA67" i="10"/>
  <c r="U67" i="10"/>
  <c r="AB67" i="10"/>
  <c r="AC67" i="10"/>
  <c r="AG67" i="10"/>
  <c r="K67" i="10"/>
  <c r="H67" i="10"/>
  <c r="E67" i="10"/>
  <c r="D66" i="10"/>
  <c r="L66" i="10"/>
  <c r="M66" i="10"/>
  <c r="Z66" i="10"/>
  <c r="AA66" i="10"/>
  <c r="U66" i="10"/>
  <c r="AB66" i="10"/>
  <c r="AC66" i="10"/>
  <c r="AG66" i="10"/>
  <c r="K66" i="10"/>
  <c r="H66" i="10"/>
  <c r="E66" i="10"/>
  <c r="D65" i="10"/>
  <c r="L65" i="10"/>
  <c r="M65" i="10"/>
  <c r="Z65" i="10"/>
  <c r="AA65" i="10"/>
  <c r="U65" i="10"/>
  <c r="AB65" i="10"/>
  <c r="AC65" i="10"/>
  <c r="AG65" i="10"/>
  <c r="K65" i="10"/>
  <c r="H65" i="10"/>
  <c r="E65" i="10"/>
  <c r="D64" i="10"/>
  <c r="L64" i="10"/>
  <c r="M64" i="10"/>
  <c r="Z64" i="10"/>
  <c r="AA64" i="10"/>
  <c r="U64" i="10"/>
  <c r="AB64" i="10"/>
  <c r="AC64" i="10"/>
  <c r="AG64" i="10"/>
  <c r="K64" i="10"/>
  <c r="H64" i="10"/>
  <c r="E64" i="10"/>
  <c r="D63" i="10"/>
  <c r="L63" i="10"/>
  <c r="M63" i="10"/>
  <c r="Z63" i="10"/>
  <c r="AA63" i="10"/>
  <c r="U63" i="10"/>
  <c r="AB63" i="10"/>
  <c r="AC63" i="10"/>
  <c r="AG63" i="10"/>
  <c r="K63" i="10"/>
  <c r="H63" i="10"/>
  <c r="E63" i="10"/>
  <c r="D62" i="10"/>
  <c r="L62" i="10"/>
  <c r="M62" i="10"/>
  <c r="Z62" i="10"/>
  <c r="AA62" i="10"/>
  <c r="U62" i="10"/>
  <c r="AB62" i="10"/>
  <c r="AC62" i="10"/>
  <c r="AG62" i="10"/>
  <c r="K62" i="10"/>
  <c r="H62" i="10"/>
  <c r="E62" i="10"/>
  <c r="D61" i="10"/>
  <c r="L61" i="10"/>
  <c r="M61" i="10"/>
  <c r="Z61" i="10"/>
  <c r="AA61" i="10"/>
  <c r="U61" i="10"/>
  <c r="AB61" i="10"/>
  <c r="AC61" i="10"/>
  <c r="AG61" i="10"/>
  <c r="K61" i="10"/>
  <c r="H61" i="10"/>
  <c r="E61" i="10"/>
  <c r="D60" i="10"/>
  <c r="L60" i="10"/>
  <c r="M60" i="10"/>
  <c r="Z60" i="10"/>
  <c r="AA60" i="10"/>
  <c r="U60" i="10"/>
  <c r="AB60" i="10"/>
  <c r="AC60" i="10"/>
  <c r="AG60" i="10"/>
  <c r="K60" i="10"/>
  <c r="H60" i="10"/>
  <c r="E60" i="10"/>
  <c r="D59" i="10"/>
  <c r="L59" i="10"/>
  <c r="M59" i="10"/>
  <c r="Z59" i="10"/>
  <c r="AA59" i="10"/>
  <c r="U59" i="10"/>
  <c r="AB59" i="10"/>
  <c r="AC59" i="10"/>
  <c r="AG59" i="10"/>
  <c r="K59" i="10"/>
  <c r="H59" i="10"/>
  <c r="E59" i="10"/>
  <c r="D58" i="10"/>
  <c r="L58" i="10"/>
  <c r="M58" i="10"/>
  <c r="Z58" i="10"/>
  <c r="AA58" i="10"/>
  <c r="U58" i="10"/>
  <c r="AB58" i="10"/>
  <c r="AC58" i="10"/>
  <c r="AG58" i="10"/>
  <c r="K58" i="10"/>
  <c r="H58" i="10"/>
  <c r="E58" i="10"/>
  <c r="D57" i="10"/>
  <c r="L57" i="10"/>
  <c r="M57" i="10"/>
  <c r="Z57" i="10"/>
  <c r="AA57" i="10"/>
  <c r="U57" i="10"/>
  <c r="AB57" i="10"/>
  <c r="AC57" i="10"/>
  <c r="AG57" i="10"/>
  <c r="K57" i="10"/>
  <c r="H57" i="10"/>
  <c r="E57" i="10"/>
  <c r="D56" i="10"/>
  <c r="L56" i="10"/>
  <c r="M56" i="10"/>
  <c r="Z56" i="10"/>
  <c r="AA56" i="10"/>
  <c r="U56" i="10"/>
  <c r="AB56" i="10"/>
  <c r="AC56" i="10"/>
  <c r="AG56" i="10"/>
  <c r="K56" i="10"/>
  <c r="H56" i="10"/>
  <c r="E56" i="10"/>
  <c r="D55" i="10"/>
  <c r="L55" i="10"/>
  <c r="M55" i="10"/>
  <c r="Z55" i="10"/>
  <c r="AA55" i="10"/>
  <c r="U55" i="10"/>
  <c r="AB55" i="10"/>
  <c r="AC55" i="10"/>
  <c r="AG55" i="10"/>
  <c r="K55" i="10"/>
  <c r="H55" i="10"/>
  <c r="E55" i="10"/>
  <c r="D54" i="10"/>
  <c r="L54" i="10"/>
  <c r="M54" i="10"/>
  <c r="Z54" i="10"/>
  <c r="AA54" i="10"/>
  <c r="U54" i="10"/>
  <c r="AB54" i="10"/>
  <c r="AC54" i="10"/>
  <c r="AG54" i="10"/>
  <c r="K54" i="10"/>
  <c r="H54" i="10"/>
  <c r="E54" i="10"/>
  <c r="D53" i="10"/>
  <c r="L53" i="10"/>
  <c r="M53" i="10"/>
  <c r="Z53" i="10"/>
  <c r="AA53" i="10"/>
  <c r="U53" i="10"/>
  <c r="AB53" i="10"/>
  <c r="AC53" i="10"/>
  <c r="AG53" i="10"/>
  <c r="K53" i="10"/>
  <c r="H53" i="10"/>
  <c r="E53" i="10"/>
  <c r="D52" i="10"/>
  <c r="L52" i="10"/>
  <c r="M52" i="10"/>
  <c r="Z52" i="10"/>
  <c r="AA52" i="10"/>
  <c r="U52" i="10"/>
  <c r="AB52" i="10"/>
  <c r="AC52" i="10"/>
  <c r="AG52" i="10"/>
  <c r="K52" i="10"/>
  <c r="H52" i="10"/>
  <c r="E52" i="10"/>
  <c r="D51" i="10"/>
  <c r="L51" i="10"/>
  <c r="M51" i="10"/>
  <c r="Z51" i="10"/>
  <c r="AA51" i="10"/>
  <c r="U51" i="10"/>
  <c r="AB51" i="10"/>
  <c r="AC51" i="10"/>
  <c r="AG51" i="10"/>
  <c r="K51" i="10"/>
  <c r="H51" i="10"/>
  <c r="E51" i="10"/>
  <c r="D50" i="10"/>
  <c r="L50" i="10"/>
  <c r="M50" i="10"/>
  <c r="Z50" i="10"/>
  <c r="AA50" i="10"/>
  <c r="U50" i="10"/>
  <c r="AB50" i="10"/>
  <c r="AC50" i="10"/>
  <c r="AG50" i="10"/>
  <c r="K50" i="10"/>
  <c r="H50" i="10"/>
  <c r="E50" i="10"/>
  <c r="D49" i="10"/>
  <c r="L49" i="10"/>
  <c r="M49" i="10"/>
  <c r="Z49" i="10"/>
  <c r="AA49" i="10"/>
  <c r="U49" i="10"/>
  <c r="AB49" i="10"/>
  <c r="AC49" i="10"/>
  <c r="AG49" i="10"/>
  <c r="K49" i="10"/>
  <c r="H49" i="10"/>
  <c r="E49" i="10"/>
  <c r="D48" i="10"/>
  <c r="L48" i="10"/>
  <c r="M48" i="10"/>
  <c r="Z48" i="10"/>
  <c r="AA48" i="10"/>
  <c r="U48" i="10"/>
  <c r="AB48" i="10"/>
  <c r="AC48" i="10"/>
  <c r="AG48" i="10"/>
  <c r="K48" i="10"/>
  <c r="H48" i="10"/>
  <c r="E48" i="10"/>
  <c r="D47" i="10"/>
  <c r="L47" i="10"/>
  <c r="M47" i="10"/>
  <c r="Z47" i="10"/>
  <c r="AA47" i="10"/>
  <c r="U47" i="10"/>
  <c r="AB47" i="10"/>
  <c r="AC47" i="10"/>
  <c r="AG47" i="10"/>
  <c r="K47" i="10"/>
  <c r="H47" i="10"/>
  <c r="E47" i="10"/>
  <c r="D46" i="10"/>
  <c r="L46" i="10"/>
  <c r="M46" i="10"/>
  <c r="Z46" i="10"/>
  <c r="AA46" i="10"/>
  <c r="U46" i="10"/>
  <c r="AB46" i="10"/>
  <c r="AC46" i="10"/>
  <c r="AG46" i="10"/>
  <c r="K46" i="10"/>
  <c r="H46" i="10"/>
  <c r="E46" i="10"/>
  <c r="D45" i="10"/>
  <c r="L45" i="10"/>
  <c r="M45" i="10"/>
  <c r="Z45" i="10"/>
  <c r="AA45" i="10"/>
  <c r="U45" i="10"/>
  <c r="AB45" i="10"/>
  <c r="AC45" i="10"/>
  <c r="AG45" i="10"/>
  <c r="K45" i="10"/>
  <c r="H45" i="10"/>
  <c r="E45" i="10"/>
  <c r="D44" i="10"/>
  <c r="L44" i="10"/>
  <c r="M44" i="10"/>
  <c r="Z44" i="10"/>
  <c r="AA44" i="10"/>
  <c r="U44" i="10"/>
  <c r="AB44" i="10"/>
  <c r="AC44" i="10"/>
  <c r="AG44" i="10"/>
  <c r="K44" i="10"/>
  <c r="H44" i="10"/>
  <c r="E44" i="10"/>
  <c r="D43" i="10"/>
  <c r="L43" i="10"/>
  <c r="M43" i="10"/>
  <c r="Z43" i="10"/>
  <c r="AA43" i="10"/>
  <c r="U43" i="10"/>
  <c r="AB43" i="10"/>
  <c r="AC43" i="10"/>
  <c r="AG43" i="10"/>
  <c r="K43" i="10"/>
  <c r="H43" i="10"/>
  <c r="E43" i="10"/>
  <c r="D42" i="10"/>
  <c r="L42" i="10"/>
  <c r="M42" i="10"/>
  <c r="Z42" i="10"/>
  <c r="AA42" i="10"/>
  <c r="U42" i="10"/>
  <c r="AB42" i="10"/>
  <c r="AC42" i="10"/>
  <c r="AG42" i="10"/>
  <c r="K42" i="10"/>
  <c r="H42" i="10"/>
  <c r="E42" i="10"/>
  <c r="D41" i="10"/>
  <c r="L41" i="10"/>
  <c r="M41" i="10"/>
  <c r="Z41" i="10"/>
  <c r="AA41" i="10"/>
  <c r="U41" i="10"/>
  <c r="AB41" i="10"/>
  <c r="AC41" i="10"/>
  <c r="AG41" i="10"/>
  <c r="K41" i="10"/>
  <c r="H41" i="10"/>
  <c r="E41" i="10"/>
  <c r="D40" i="10"/>
  <c r="L40" i="10"/>
  <c r="M40" i="10"/>
  <c r="Z40" i="10"/>
  <c r="AA40" i="10"/>
  <c r="U40" i="10"/>
  <c r="AB40" i="10"/>
  <c r="AC40" i="10"/>
  <c r="AG40" i="10"/>
  <c r="K40" i="10"/>
  <c r="H40" i="10"/>
  <c r="E40" i="10"/>
  <c r="D39" i="10"/>
  <c r="L39" i="10"/>
  <c r="M39" i="10"/>
  <c r="Z39" i="10"/>
  <c r="AA39" i="10"/>
  <c r="U39" i="10"/>
  <c r="AB39" i="10"/>
  <c r="AC39" i="10"/>
  <c r="AG39" i="10"/>
  <c r="K39" i="10"/>
  <c r="H39" i="10"/>
  <c r="E39" i="10"/>
  <c r="D38" i="10"/>
  <c r="L38" i="10"/>
  <c r="M38" i="10"/>
  <c r="Z38" i="10"/>
  <c r="AA38" i="10"/>
  <c r="U38" i="10"/>
  <c r="AB38" i="10"/>
  <c r="AC38" i="10"/>
  <c r="AG38" i="10"/>
  <c r="K38" i="10"/>
  <c r="H38" i="10"/>
  <c r="E38" i="10"/>
  <c r="D37" i="10"/>
  <c r="L37" i="10"/>
  <c r="M37" i="10"/>
  <c r="Z37" i="10"/>
  <c r="AA37" i="10"/>
  <c r="U37" i="10"/>
  <c r="AB37" i="10"/>
  <c r="AC37" i="10"/>
  <c r="AG37" i="10"/>
  <c r="K37" i="10"/>
  <c r="H37" i="10"/>
  <c r="E37" i="10"/>
  <c r="D36" i="10"/>
  <c r="L36" i="10"/>
  <c r="M36" i="10"/>
  <c r="Z36" i="10"/>
  <c r="AA36" i="10"/>
  <c r="U36" i="10"/>
  <c r="AB36" i="10"/>
  <c r="AC36" i="10"/>
  <c r="AG36" i="10"/>
  <c r="K36" i="10"/>
  <c r="H36" i="10"/>
  <c r="E36" i="10"/>
  <c r="D35" i="10"/>
  <c r="L35" i="10"/>
  <c r="M35" i="10"/>
  <c r="Z35" i="10"/>
  <c r="AA35" i="10"/>
  <c r="U35" i="10"/>
  <c r="AB35" i="10"/>
  <c r="AC35" i="10"/>
  <c r="AG35" i="10"/>
  <c r="K35" i="10"/>
  <c r="H35" i="10"/>
  <c r="E35" i="10"/>
  <c r="D34" i="10"/>
  <c r="L34" i="10"/>
  <c r="M34" i="10"/>
  <c r="Z34" i="10"/>
  <c r="AA34" i="10"/>
  <c r="U34" i="10"/>
  <c r="AB34" i="10"/>
  <c r="AC34" i="10"/>
  <c r="AG34" i="10"/>
  <c r="K34" i="10"/>
  <c r="H34" i="10"/>
  <c r="E34" i="10"/>
  <c r="D33" i="10"/>
  <c r="L33" i="10"/>
  <c r="M33" i="10"/>
  <c r="Z33" i="10"/>
  <c r="AA33" i="10"/>
  <c r="U33" i="10"/>
  <c r="AB33" i="10"/>
  <c r="AC33" i="10"/>
  <c r="AG33" i="10"/>
  <c r="K33" i="10"/>
  <c r="H33" i="10"/>
  <c r="E33" i="10"/>
  <c r="D32" i="10"/>
  <c r="L32" i="10"/>
  <c r="M32" i="10"/>
  <c r="Z32" i="10"/>
  <c r="AA32" i="10"/>
  <c r="U32" i="10"/>
  <c r="AB32" i="10"/>
  <c r="AC32" i="10"/>
  <c r="AG32" i="10"/>
  <c r="K32" i="10"/>
  <c r="H32" i="10"/>
  <c r="E32" i="10"/>
  <c r="D31" i="10"/>
  <c r="L31" i="10"/>
  <c r="M31" i="10"/>
  <c r="Z31" i="10"/>
  <c r="AA31" i="10"/>
  <c r="U31" i="10"/>
  <c r="AB31" i="10"/>
  <c r="AC31" i="10"/>
  <c r="AG31" i="10"/>
  <c r="K31" i="10"/>
  <c r="H31" i="10"/>
  <c r="E31" i="10"/>
  <c r="D30" i="10"/>
  <c r="L30" i="10"/>
  <c r="M30" i="10"/>
  <c r="Z30" i="10"/>
  <c r="AA30" i="10"/>
  <c r="U30" i="10"/>
  <c r="AB30" i="10"/>
  <c r="AC30" i="10"/>
  <c r="AG30" i="10"/>
  <c r="K30" i="10"/>
  <c r="H30" i="10"/>
  <c r="E30" i="10"/>
  <c r="D29" i="10"/>
  <c r="L29" i="10"/>
  <c r="M29" i="10"/>
  <c r="Z29" i="10"/>
  <c r="AA29" i="10"/>
  <c r="U29" i="10"/>
  <c r="AB29" i="10"/>
  <c r="AC29" i="10"/>
  <c r="AG29" i="10"/>
  <c r="K29" i="10"/>
  <c r="H29" i="10"/>
  <c r="E29" i="10"/>
  <c r="D28" i="10"/>
  <c r="L28" i="10"/>
  <c r="M28" i="10"/>
  <c r="Z28" i="10"/>
  <c r="AA28" i="10"/>
  <c r="U28" i="10"/>
  <c r="AB28" i="10"/>
  <c r="AC28" i="10"/>
  <c r="AG28" i="10"/>
  <c r="K28" i="10"/>
  <c r="H28" i="10"/>
  <c r="E28" i="10"/>
  <c r="D27" i="10"/>
  <c r="L27" i="10"/>
  <c r="M27" i="10"/>
  <c r="Z27" i="10"/>
  <c r="AA27" i="10"/>
  <c r="U27" i="10"/>
  <c r="AB27" i="10"/>
  <c r="AC27" i="10"/>
  <c r="AG27" i="10"/>
  <c r="K27" i="10"/>
  <c r="H27" i="10"/>
  <c r="E27" i="10"/>
  <c r="D26" i="10"/>
  <c r="L26" i="10"/>
  <c r="M26" i="10"/>
  <c r="Z26" i="10"/>
  <c r="AA26" i="10"/>
  <c r="U26" i="10"/>
  <c r="AB26" i="10"/>
  <c r="AC26" i="10"/>
  <c r="AG26" i="10"/>
  <c r="K26" i="10"/>
  <c r="H26" i="10"/>
  <c r="E26" i="10"/>
  <c r="D25" i="10"/>
  <c r="L25" i="10"/>
  <c r="M25" i="10"/>
  <c r="Z25" i="10"/>
  <c r="AA25" i="10"/>
  <c r="U25" i="10"/>
  <c r="AB25" i="10"/>
  <c r="AC25" i="10"/>
  <c r="AG25" i="10"/>
  <c r="K25" i="10"/>
  <c r="H25" i="10"/>
  <c r="E25" i="10"/>
  <c r="D24" i="10"/>
  <c r="L24" i="10"/>
  <c r="M24" i="10"/>
  <c r="Z24" i="10"/>
  <c r="AA24" i="10"/>
  <c r="U24" i="10"/>
  <c r="AB24" i="10"/>
  <c r="AC24" i="10"/>
  <c r="AG24" i="10"/>
  <c r="K24" i="10"/>
  <c r="H24" i="10"/>
  <c r="E24" i="10"/>
  <c r="D23" i="10"/>
  <c r="L23" i="10"/>
  <c r="M23" i="10"/>
  <c r="Z23" i="10"/>
  <c r="AA23" i="10"/>
  <c r="U23" i="10"/>
  <c r="AB23" i="10"/>
  <c r="AC23" i="10"/>
  <c r="AG23" i="10"/>
  <c r="K23" i="10"/>
  <c r="H23" i="10"/>
  <c r="E23" i="10"/>
  <c r="D22" i="10"/>
  <c r="L22" i="10"/>
  <c r="M22" i="10"/>
  <c r="Z22" i="10"/>
  <c r="AA22" i="10"/>
  <c r="U22" i="10"/>
  <c r="AB22" i="10"/>
  <c r="AC22" i="10"/>
  <c r="AG22" i="10"/>
  <c r="K22" i="10"/>
  <c r="H22" i="10"/>
  <c r="E22" i="10"/>
  <c r="D21" i="10"/>
  <c r="L21" i="10"/>
  <c r="M21" i="10"/>
  <c r="Z21" i="10"/>
  <c r="AA21" i="10"/>
  <c r="U21" i="10"/>
  <c r="AB21" i="10"/>
  <c r="AC21" i="10"/>
  <c r="AG21" i="10"/>
  <c r="K21" i="10"/>
  <c r="H21" i="10"/>
  <c r="E21" i="10"/>
  <c r="D20" i="10"/>
  <c r="L20" i="10"/>
  <c r="M20" i="10"/>
  <c r="Z20" i="10"/>
  <c r="AA20" i="10"/>
  <c r="U20" i="10"/>
  <c r="AB20" i="10"/>
  <c r="AC20" i="10"/>
  <c r="AG20" i="10"/>
  <c r="K20" i="10"/>
  <c r="H20" i="10"/>
  <c r="E20" i="10"/>
  <c r="D19" i="10"/>
  <c r="L19" i="10"/>
  <c r="M19" i="10"/>
  <c r="Z19" i="10"/>
  <c r="AA19" i="10"/>
  <c r="U19" i="10"/>
  <c r="AB19" i="10"/>
  <c r="AC19" i="10"/>
  <c r="AG19" i="10"/>
  <c r="K19" i="10"/>
  <c r="H19" i="10"/>
  <c r="E19" i="10"/>
  <c r="D18" i="10"/>
  <c r="L18" i="10"/>
  <c r="M18" i="10"/>
  <c r="Z18" i="10"/>
  <c r="AA18" i="10"/>
  <c r="U18" i="10"/>
  <c r="AB18" i="10"/>
  <c r="AC18" i="10"/>
  <c r="AG18" i="10"/>
  <c r="K18" i="10"/>
  <c r="H18" i="10"/>
  <c r="E18" i="10"/>
  <c r="D17" i="10"/>
  <c r="L17" i="10"/>
  <c r="M17" i="10"/>
  <c r="Z17" i="10"/>
  <c r="AA17" i="10"/>
  <c r="U17" i="10"/>
  <c r="AB17" i="10"/>
  <c r="AC17" i="10"/>
  <c r="AG17" i="10"/>
  <c r="K17" i="10"/>
  <c r="H17" i="10"/>
  <c r="E17" i="10"/>
  <c r="D16" i="10"/>
  <c r="L16" i="10"/>
  <c r="M16" i="10"/>
  <c r="Z16" i="10"/>
  <c r="AA16" i="10"/>
  <c r="U16" i="10"/>
  <c r="AB16" i="10"/>
  <c r="AC16" i="10"/>
  <c r="AG16" i="10"/>
  <c r="K16" i="10"/>
  <c r="H16" i="10"/>
  <c r="E16" i="10"/>
  <c r="D15" i="10"/>
  <c r="L15" i="10"/>
  <c r="M15" i="10"/>
  <c r="Z15" i="10"/>
  <c r="AA15" i="10"/>
  <c r="U15" i="10"/>
  <c r="AB15" i="10"/>
  <c r="AC15" i="10"/>
  <c r="AG15" i="10"/>
  <c r="K15" i="10"/>
  <c r="H15" i="10"/>
  <c r="E15" i="10"/>
  <c r="D14" i="10"/>
  <c r="L14" i="10"/>
  <c r="M14" i="10"/>
  <c r="Z14" i="10"/>
  <c r="AA14" i="10"/>
  <c r="U14" i="10"/>
  <c r="AB14" i="10"/>
  <c r="AC14" i="10"/>
  <c r="AG14" i="10"/>
  <c r="K14" i="10"/>
  <c r="H14" i="10"/>
  <c r="E14" i="10"/>
  <c r="D13" i="10"/>
  <c r="L13" i="10"/>
  <c r="M13" i="10"/>
  <c r="Z13" i="10"/>
  <c r="AA13" i="10"/>
  <c r="U13" i="10"/>
  <c r="AB13" i="10"/>
  <c r="AC13" i="10"/>
  <c r="AG13" i="10"/>
  <c r="K13" i="10"/>
  <c r="H13" i="10"/>
  <c r="E13" i="10"/>
  <c r="D12" i="10"/>
  <c r="L12" i="10"/>
  <c r="M12" i="10"/>
  <c r="Z12" i="10"/>
  <c r="AA12" i="10"/>
  <c r="U12" i="10"/>
  <c r="AB12" i="10"/>
  <c r="AC12" i="10"/>
  <c r="AG12" i="10"/>
  <c r="K12" i="10"/>
  <c r="H12" i="10"/>
  <c r="E12" i="10"/>
  <c r="D11" i="10"/>
  <c r="L11" i="10"/>
  <c r="M11" i="10"/>
  <c r="Z11" i="10"/>
  <c r="AA11" i="10"/>
  <c r="U11" i="10"/>
  <c r="AB11" i="10"/>
  <c r="AC11" i="10"/>
  <c r="AG11" i="10"/>
  <c r="K11" i="10"/>
  <c r="H11" i="10"/>
  <c r="E11" i="10"/>
  <c r="W9" i="10"/>
  <c r="T9" i="10"/>
  <c r="S9" i="10"/>
  <c r="R9" i="10"/>
  <c r="P9" i="10"/>
  <c r="O9" i="10"/>
  <c r="M9" i="10"/>
  <c r="L9" i="10"/>
  <c r="K9" i="10"/>
  <c r="J9" i="10"/>
  <c r="I9" i="10"/>
  <c r="H9" i="10"/>
  <c r="G9" i="10"/>
  <c r="F9" i="10"/>
  <c r="E9" i="10"/>
  <c r="D9" i="10"/>
  <c r="C9" i="10"/>
  <c r="W8" i="10"/>
  <c r="T8" i="10"/>
  <c r="S8" i="10"/>
  <c r="R8" i="10"/>
  <c r="P8" i="10"/>
  <c r="O8" i="10"/>
  <c r="M8" i="10"/>
  <c r="L8" i="10"/>
  <c r="K8" i="10"/>
  <c r="J8" i="10"/>
  <c r="I8" i="10"/>
  <c r="H8" i="10"/>
  <c r="G8" i="10"/>
  <c r="F8" i="10"/>
  <c r="E8" i="10"/>
  <c r="D8" i="10"/>
  <c r="C8" i="10"/>
  <c r="W7" i="10"/>
  <c r="T7" i="10"/>
  <c r="S7" i="10"/>
  <c r="R7" i="10"/>
  <c r="P7" i="10"/>
  <c r="O7" i="10"/>
  <c r="M7" i="10"/>
  <c r="L7" i="10"/>
  <c r="K7" i="10"/>
  <c r="J7" i="10"/>
  <c r="I7" i="10"/>
  <c r="H7" i="10"/>
  <c r="G7" i="10"/>
  <c r="F7" i="10"/>
  <c r="E7" i="10"/>
  <c r="D7" i="10"/>
  <c r="C7" i="10"/>
  <c r="W6" i="10"/>
  <c r="T6" i="10"/>
  <c r="S6" i="10"/>
  <c r="R6" i="10"/>
  <c r="P6" i="10"/>
  <c r="O6" i="10"/>
  <c r="M6" i="10"/>
  <c r="L6" i="10"/>
  <c r="K6" i="10"/>
  <c r="J6" i="10"/>
  <c r="I6" i="10"/>
  <c r="H6" i="10"/>
  <c r="G6" i="10"/>
  <c r="F6" i="10"/>
  <c r="E6" i="10"/>
  <c r="D6" i="10"/>
  <c r="C6" i="10"/>
  <c r="W5" i="10"/>
  <c r="T5" i="10"/>
  <c r="S5" i="10"/>
  <c r="R5" i="10"/>
  <c r="P5" i="10"/>
  <c r="O5" i="10"/>
  <c r="M5" i="10"/>
  <c r="L5" i="10"/>
  <c r="K5" i="10"/>
  <c r="J5" i="10"/>
  <c r="I5" i="10"/>
  <c r="H5" i="10"/>
  <c r="G5" i="10"/>
  <c r="F5" i="10"/>
  <c r="E5" i="10"/>
  <c r="D5" i="10"/>
  <c r="C5" i="10"/>
  <c r="W4" i="10"/>
  <c r="T4" i="10"/>
  <c r="S4" i="10"/>
  <c r="R4" i="10"/>
  <c r="P4" i="10"/>
  <c r="O4" i="10"/>
  <c r="M4" i="10"/>
  <c r="L4" i="10"/>
  <c r="K4" i="10"/>
  <c r="J4" i="10"/>
  <c r="I4" i="10"/>
  <c r="H4" i="10"/>
  <c r="G4" i="10"/>
  <c r="F4" i="10"/>
  <c r="E4" i="10"/>
  <c r="D4" i="10"/>
  <c r="C4" i="10"/>
  <c r="AG3" i="10"/>
  <c r="AC3" i="10"/>
  <c r="AB3" i="10"/>
  <c r="AA3" i="10"/>
  <c r="Z3" i="10"/>
  <c r="W3" i="10"/>
  <c r="T3" i="10"/>
  <c r="S3" i="10"/>
  <c r="R3" i="10"/>
  <c r="P3" i="10"/>
  <c r="O3" i="10"/>
  <c r="M3" i="10"/>
  <c r="L3" i="10"/>
  <c r="K3" i="10"/>
  <c r="J3" i="10"/>
  <c r="I3" i="10"/>
  <c r="H3" i="10"/>
  <c r="G3" i="10"/>
  <c r="F3" i="10"/>
  <c r="E3" i="10"/>
  <c r="D3" i="10"/>
  <c r="C3" i="10"/>
  <c r="AG2" i="10"/>
  <c r="AC2" i="10"/>
  <c r="AB2" i="10"/>
  <c r="AA2" i="10"/>
  <c r="Z2" i="10"/>
  <c r="W2" i="10"/>
  <c r="T2" i="10"/>
  <c r="S2" i="10"/>
  <c r="R2" i="10"/>
  <c r="P2" i="10"/>
  <c r="O2" i="10"/>
  <c r="M2" i="10"/>
  <c r="L2" i="10"/>
  <c r="K2" i="10"/>
  <c r="J2" i="10"/>
  <c r="I2" i="10"/>
  <c r="H2" i="10"/>
  <c r="G2" i="10"/>
  <c r="F2" i="10"/>
  <c r="E2" i="10"/>
  <c r="D2" i="10"/>
  <c r="C2" i="10"/>
  <c r="M10" i="9"/>
  <c r="L10" i="9"/>
  <c r="K10" i="9"/>
  <c r="J10" i="9"/>
  <c r="H10" i="9"/>
  <c r="G10" i="9"/>
  <c r="F10" i="9"/>
  <c r="E10" i="9"/>
  <c r="D10" i="9"/>
  <c r="M9" i="9"/>
  <c r="L9" i="9"/>
  <c r="K9" i="9"/>
  <c r="J9" i="9"/>
  <c r="H9" i="9"/>
  <c r="G9" i="9"/>
  <c r="F9" i="9"/>
  <c r="E9" i="9"/>
  <c r="D9" i="9"/>
  <c r="M8" i="9"/>
  <c r="L8" i="9"/>
  <c r="K8" i="9"/>
  <c r="J8" i="9"/>
  <c r="H8" i="9"/>
  <c r="G8" i="9"/>
  <c r="F8" i="9"/>
  <c r="E8" i="9"/>
  <c r="D8" i="9"/>
  <c r="M7" i="9"/>
  <c r="L7" i="9"/>
  <c r="K7" i="9"/>
  <c r="J7" i="9"/>
  <c r="H7" i="9"/>
  <c r="G7" i="9"/>
  <c r="F7" i="9"/>
  <c r="E7" i="9"/>
  <c r="D7" i="9"/>
  <c r="M6" i="9"/>
  <c r="L6" i="9"/>
  <c r="K6" i="9"/>
  <c r="J6" i="9"/>
  <c r="H6" i="9"/>
  <c r="G6" i="9"/>
  <c r="F6" i="9"/>
  <c r="E6" i="9"/>
  <c r="D6" i="9"/>
  <c r="M5" i="9"/>
  <c r="L5" i="9"/>
  <c r="K5" i="9"/>
  <c r="J5" i="9"/>
  <c r="H5" i="9"/>
  <c r="G5" i="9"/>
  <c r="F5" i="9"/>
  <c r="E5" i="9"/>
  <c r="D5" i="9"/>
  <c r="M4" i="9"/>
  <c r="L4" i="9"/>
  <c r="K4" i="9"/>
  <c r="J4" i="9"/>
  <c r="H4" i="9"/>
  <c r="G4" i="9"/>
  <c r="F4" i="9"/>
  <c r="E4" i="9"/>
  <c r="D4" i="9"/>
  <c r="M3" i="9"/>
  <c r="L3" i="9"/>
  <c r="K3" i="9"/>
  <c r="J3" i="9"/>
  <c r="H3" i="9"/>
  <c r="G3" i="9"/>
  <c r="F3" i="9"/>
  <c r="E3" i="9"/>
  <c r="D3" i="9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60" i="6"/>
  <c r="AE161" i="6"/>
  <c r="AE162" i="6"/>
  <c r="AE163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8" i="6"/>
  <c r="AE189" i="6"/>
  <c r="AE190" i="6"/>
  <c r="AE191" i="6"/>
  <c r="AE192" i="6"/>
  <c r="AE193" i="6"/>
  <c r="AE194" i="6"/>
  <c r="AE195" i="6"/>
  <c r="AE196" i="6"/>
  <c r="AE197" i="6"/>
  <c r="AE198" i="6"/>
  <c r="AE7" i="6"/>
  <c r="G1" i="14" a="1"/>
  <c r="G1" i="14"/>
</calcChain>
</file>

<file path=xl/comments1.xml><?xml version="1.0" encoding="utf-8"?>
<comments xmlns="http://schemas.openxmlformats.org/spreadsheetml/2006/main">
  <authors>
    <author>Ian Noble</author>
  </authors>
  <commentList>
    <comment ref="D13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Chose to be symetrical about the zero point (also median) and to give a mean score as close to the range 03. to 0.4as possible</t>
        </r>
      </text>
    </comment>
  </commentList>
</comments>
</file>

<file path=xl/comments2.xml><?xml version="1.0" encoding="utf-8"?>
<comments xmlns="http://schemas.openxmlformats.org/spreadsheetml/2006/main">
  <authors>
    <author>Ian Noble</author>
  </authors>
  <commentList>
    <comment ref="F11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These data are unreliable - the breeding spp may be correct but differs greatly(usu much less by factor of 2 or 3)  from the reported resident or native spp.  Cannot really calculate % threatened for birds</t>
        </r>
      </text>
    </comment>
    <comment ref="F20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Red implies data from Wiki bird lists for each country - subtracted rare and accidental from total
BUT ********
These numbers are typically 2 to 3 times the number of breeding species listed.   May have to dropthe bird estimate</t>
        </r>
      </text>
    </comment>
  </commentList>
</comments>
</file>

<file path=xl/sharedStrings.xml><?xml version="1.0" encoding="utf-8"?>
<sst xmlns="http://schemas.openxmlformats.org/spreadsheetml/2006/main" count="5050" uniqueCount="563">
  <si>
    <t>SGP</t>
  </si>
  <si>
    <t>NRU</t>
  </si>
  <si>
    <t>MCO</t>
  </si>
  <si>
    <t>KWT</t>
  </si>
  <si>
    <t>BEL</t>
  </si>
  <si>
    <t>QAT</t>
  </si>
  <si>
    <t>USA</t>
  </si>
  <si>
    <t>SMR</t>
  </si>
  <si>
    <t>MLT</t>
  </si>
  <si>
    <t>VEN</t>
  </si>
  <si>
    <t>URY</t>
  </si>
  <si>
    <t>ISR</t>
  </si>
  <si>
    <t>ISL</t>
  </si>
  <si>
    <t>ARG</t>
  </si>
  <si>
    <t>GBR</t>
  </si>
  <si>
    <t>BHR</t>
  </si>
  <si>
    <t>AUS</t>
  </si>
  <si>
    <t>AND</t>
  </si>
  <si>
    <t>CHL</t>
  </si>
  <si>
    <t>NZL</t>
  </si>
  <si>
    <t>LBN</t>
  </si>
  <si>
    <t>DJI</t>
  </si>
  <si>
    <t>DNK</t>
  </si>
  <si>
    <t>BRA</t>
  </si>
  <si>
    <t>SWE</t>
  </si>
  <si>
    <t>GAB</t>
  </si>
  <si>
    <t>BHS</t>
  </si>
  <si>
    <t>SAU</t>
  </si>
  <si>
    <t>NLD</t>
  </si>
  <si>
    <t>LUX</t>
  </si>
  <si>
    <t>PLW</t>
  </si>
  <si>
    <t>KOR</t>
  </si>
  <si>
    <t>CAN</t>
  </si>
  <si>
    <t>ARE</t>
  </si>
  <si>
    <t>LBY</t>
  </si>
  <si>
    <t>JOR</t>
  </si>
  <si>
    <t>ESP</t>
  </si>
  <si>
    <t>PER</t>
  </si>
  <si>
    <t>NOR</t>
  </si>
  <si>
    <t>MEX</t>
  </si>
  <si>
    <t>FRA</t>
  </si>
  <si>
    <t>CUB</t>
  </si>
  <si>
    <t>SUR</t>
  </si>
  <si>
    <t>BRN</t>
  </si>
  <si>
    <t>DEU</t>
  </si>
  <si>
    <t>DMA</t>
  </si>
  <si>
    <t>COL</t>
  </si>
  <si>
    <t>CHE</t>
  </si>
  <si>
    <t>RUS</t>
  </si>
  <si>
    <t>PAN</t>
  </si>
  <si>
    <t>CZE</t>
  </si>
  <si>
    <t>BLR</t>
  </si>
  <si>
    <t>OMN</t>
  </si>
  <si>
    <t>MHL</t>
  </si>
  <si>
    <t>BGR</t>
  </si>
  <si>
    <t>MYS</t>
  </si>
  <si>
    <t>CYP</t>
  </si>
  <si>
    <t>TUR</t>
  </si>
  <si>
    <t>EST</t>
  </si>
  <si>
    <t>DOM</t>
  </si>
  <si>
    <t>UKR</t>
  </si>
  <si>
    <t>LVA</t>
  </si>
  <si>
    <t>ITA</t>
  </si>
  <si>
    <t>IRN</t>
  </si>
  <si>
    <t>HUN</t>
  </si>
  <si>
    <t>TUN</t>
  </si>
  <si>
    <t>MKD</t>
  </si>
  <si>
    <t>LTU</t>
  </si>
  <si>
    <t>IRQ</t>
  </si>
  <si>
    <t>AUT</t>
  </si>
  <si>
    <t>JPN</t>
  </si>
  <si>
    <t>ECU</t>
  </si>
  <si>
    <t>BOL</t>
  </si>
  <si>
    <t>PHL</t>
  </si>
  <si>
    <t>DZA</t>
  </si>
  <si>
    <t>ARM</t>
  </si>
  <si>
    <t>PRK</t>
  </si>
  <si>
    <t>FIN</t>
  </si>
  <si>
    <t>CRI</t>
  </si>
  <si>
    <t>ZAF</t>
  </si>
  <si>
    <t>STP</t>
  </si>
  <si>
    <t>POL</t>
  </si>
  <si>
    <t>IRL</t>
  </si>
  <si>
    <t>GRC</t>
  </si>
  <si>
    <t>SLV</t>
  </si>
  <si>
    <t>COG</t>
  </si>
  <si>
    <t>PRY</t>
  </si>
  <si>
    <t>MNE</t>
  </si>
  <si>
    <t>LBR</t>
  </si>
  <si>
    <t>CPV</t>
  </si>
  <si>
    <t>BWA</t>
  </si>
  <si>
    <t>PRT</t>
  </si>
  <si>
    <t>KAZ</t>
  </si>
  <si>
    <t>NIC</t>
  </si>
  <si>
    <t>MNG</t>
  </si>
  <si>
    <t>GMB</t>
  </si>
  <si>
    <t>HRV</t>
  </si>
  <si>
    <t>CMR</t>
  </si>
  <si>
    <t>AGO</t>
  </si>
  <si>
    <t>SVK</t>
  </si>
  <si>
    <t>MAR</t>
  </si>
  <si>
    <t>SYR</t>
  </si>
  <si>
    <t>SYC</t>
  </si>
  <si>
    <t>ROU</t>
  </si>
  <si>
    <t>JAM</t>
  </si>
  <si>
    <t>GEO</t>
  </si>
  <si>
    <t>SRB</t>
  </si>
  <si>
    <t>IDN</t>
  </si>
  <si>
    <t>FJI</t>
  </si>
  <si>
    <t>BLZ</t>
  </si>
  <si>
    <t>AZE</t>
  </si>
  <si>
    <t>CHN</t>
  </si>
  <si>
    <t>GHA</t>
  </si>
  <si>
    <t>TUV</t>
  </si>
  <si>
    <t>TKM</t>
  </si>
  <si>
    <t>GTM</t>
  </si>
  <si>
    <t>CIV</t>
  </si>
  <si>
    <t>SVN</t>
  </si>
  <si>
    <t>NGA</t>
  </si>
  <si>
    <t>HND</t>
  </si>
  <si>
    <t>VCT</t>
  </si>
  <si>
    <t>HTI</t>
  </si>
  <si>
    <t>BIH</t>
  </si>
  <si>
    <t>ALB</t>
  </si>
  <si>
    <t>KIR</t>
  </si>
  <si>
    <t>SDN</t>
  </si>
  <si>
    <t>EGY</t>
  </si>
  <si>
    <t>TGO</t>
  </si>
  <si>
    <t>SEN</t>
  </si>
  <si>
    <t>MDA</t>
  </si>
  <si>
    <t>MUS</t>
  </si>
  <si>
    <t>MRT</t>
  </si>
  <si>
    <t>BEN</t>
  </si>
  <si>
    <t>BRB</t>
  </si>
  <si>
    <t>GNQ</t>
  </si>
  <si>
    <t>CAF</t>
  </si>
  <si>
    <t>SLE</t>
  </si>
  <si>
    <t>MDV</t>
  </si>
  <si>
    <t>ZWE</t>
  </si>
  <si>
    <t>UZB</t>
  </si>
  <si>
    <t>SOM</t>
  </si>
  <si>
    <t>NAM</t>
  </si>
  <si>
    <t>MOZ</t>
  </si>
  <si>
    <t>PAK</t>
  </si>
  <si>
    <t>KGZ</t>
  </si>
  <si>
    <t>ZMB</t>
  </si>
  <si>
    <t>BTN</t>
  </si>
  <si>
    <t>GIN</t>
  </si>
  <si>
    <t>COD</t>
  </si>
  <si>
    <t>THA</t>
  </si>
  <si>
    <t>MMR</t>
  </si>
  <si>
    <t>KNA</t>
  </si>
  <si>
    <t>MLI</t>
  </si>
  <si>
    <t>YEM</t>
  </si>
  <si>
    <t>LAO</t>
  </si>
  <si>
    <t>GRD</t>
  </si>
  <si>
    <t>GNB</t>
  </si>
  <si>
    <t>ATG</t>
  </si>
  <si>
    <t>MDG</t>
  </si>
  <si>
    <t>IND</t>
  </si>
  <si>
    <t>VNM</t>
  </si>
  <si>
    <t>LCA</t>
  </si>
  <si>
    <t>GUY</t>
  </si>
  <si>
    <t>COM</t>
  </si>
  <si>
    <t>TLS</t>
  </si>
  <si>
    <t>TCD</t>
  </si>
  <si>
    <t>BGD</t>
  </si>
  <si>
    <t>TJK</t>
  </si>
  <si>
    <t>VUT</t>
  </si>
  <si>
    <t>TON</t>
  </si>
  <si>
    <t>TZA</t>
  </si>
  <si>
    <t>SWZ</t>
  </si>
  <si>
    <t>LSO</t>
  </si>
  <si>
    <t>AFG</t>
  </si>
  <si>
    <t>WSM</t>
  </si>
  <si>
    <t>FSM</t>
  </si>
  <si>
    <t>KEN</t>
  </si>
  <si>
    <t>KHM</t>
  </si>
  <si>
    <t>ERI</t>
  </si>
  <si>
    <t>BFA</t>
  </si>
  <si>
    <t>MWI</t>
  </si>
  <si>
    <t>SLB</t>
  </si>
  <si>
    <t>RWA</t>
  </si>
  <si>
    <t>NPL</t>
  </si>
  <si>
    <t>ETH</t>
  </si>
  <si>
    <t>NER</t>
  </si>
  <si>
    <t>LKA</t>
  </si>
  <si>
    <t>LIE</t>
  </si>
  <si>
    <t>UGA</t>
  </si>
  <si>
    <t>TTO</t>
  </si>
  <si>
    <t>PNG</t>
  </si>
  <si>
    <t>BDI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</si>
  <si>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</si>
  <si>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</si>
  <si>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</si>
  <si>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</si>
  <si>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</si>
  <si>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</si>
  <si>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</si>
  <si>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</si>
  <si>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</si>
  <si>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</si>
  <si>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</si>
  <si>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</si>
  <si>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</si>
  <si>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 xml:space="preserve">Bangladesh </t>
  </si>
  <si>
    <t>Barbados</t>
  </si>
  <si>
    <t>Belarus</t>
  </si>
  <si>
    <t>Belgium</t>
  </si>
  <si>
    <t>Belize</t>
  </si>
  <si>
    <t>Benin</t>
  </si>
  <si>
    <t>Bhutan</t>
  </si>
  <si>
    <t>Bolivia, Plurinational State of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</si>
  <si>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</si>
  <si>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</si>
  <si>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</si>
  <si>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</si>
  <si>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</si>
  <si>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</si>
  <si>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</si>
  <si>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</si>
  <si>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</si>
  <si>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</si>
  <si>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</si>
  <si>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</si>
  <si>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</si>
  <si>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</si>
  <si>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</si>
  <si>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</si>
  <si>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</si>
  <si>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</t>
  </si>
  <si>
    <t>Congo, the Democratic Republic of the</t>
  </si>
  <si>
    <t>Costa Rica</t>
  </si>
  <si>
    <t>Côte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</si>
  <si>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</si>
  <si>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</si>
  <si>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</si>
  <si>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</si>
  <si>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</si>
  <si>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</si>
  <si>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</si>
  <si>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</si>
  <si>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</si>
  <si>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</si>
  <si>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</si>
  <si>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</si>
  <si>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</si>
  <si>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</si>
  <si>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</si>
  <si>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</si>
  <si>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</si>
  <si>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</si>
  <si>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</si>
  <si>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</si>
  <si>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</si>
  <si>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</si>
  <si>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</si>
  <si>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</si>
  <si>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</si>
  <si>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</si>
  <si>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</si>
  <si>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</si>
  <si>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</si>
  <si>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</si>
  <si>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</si>
  <si>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</si>
  <si>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</si>
  <si>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</si>
  <si>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</si>
  <si>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</si>
  <si>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</si>
  <si>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</si>
  <si>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</si>
  <si>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</si>
  <si>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</si>
  <si>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</si>
  <si>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</si>
  <si>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</si>
  <si>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</si>
  <si>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</si>
  <si>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</si>
  <si>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</si>
  <si>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</si>
  <si>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</si>
  <si>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</si>
  <si>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</si>
  <si>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</si>
  <si>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</si>
  <si>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</si>
  <si>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Libyan Arab Jamahiriya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</si>
  <si>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</si>
  <si>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</si>
  <si>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</si>
  <si>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</si>
  <si>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</si>
  <si>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</si>
  <si>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</si>
  <si>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</si>
  <si>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</si>
  <si>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</si>
  <si>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</si>
  <si>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</si>
  <si>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</si>
  <si>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</si>
  <si>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Moldova, Republic of</t>
  </si>
  <si>
    <t>Monaco</t>
  </si>
  <si>
    <t>Macedonia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</si>
  <si>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</si>
  <si>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</si>
  <si>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</si>
  <si>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</si>
  <si>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</si>
  <si>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</si>
  <si>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</si>
  <si>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</si>
  <si>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</si>
  <si>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</si>
  <si>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</si>
  <si>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</si>
  <si>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</si>
  <si>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</si>
  <si>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</si>
  <si>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</si>
  <si>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</si>
  <si>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</si>
  <si>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</si>
  <si>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</si>
  <si>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</si>
  <si>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</si>
  <si>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</si>
  <si>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</si>
  <si>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</si>
  <si>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</si>
  <si>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</si>
  <si>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</si>
  <si>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</si>
  <si>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</si>
  <si>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</si>
  <si>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</si>
  <si>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</si>
  <si>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</si>
  <si>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</si>
  <si>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</si>
  <si>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</si>
  <si>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</si>
  <si>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</si>
  <si>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</si>
  <si>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</si>
  <si>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</si>
  <si>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</si>
  <si>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</si>
  <si>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</si>
  <si>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</si>
  <si>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</si>
  <si>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</si>
  <si>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</si>
  <si>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</si>
  <si>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</si>
  <si>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</si>
  <si>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Syrian Arab Republic</t>
  </si>
  <si>
    <t>Tajikistan</t>
  </si>
  <si>
    <t>Tanzania, United Republic of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</si>
  <si>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</si>
  <si>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</si>
  <si>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</si>
  <si>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</si>
  <si>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</si>
  <si>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</si>
  <si>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</si>
  <si>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</si>
  <si>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</si>
  <si>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</si>
  <si>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</si>
  <si>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</si>
  <si>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</si>
  <si>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</si>
  <si>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</si>
  <si>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</si>
  <si>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</si>
  <si>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Bolivarian Republic of</t>
  </si>
  <si>
    <t>Viet Nam</t>
  </si>
  <si>
    <t>Yemen</t>
  </si>
  <si>
    <t>Zambia</t>
  </si>
  <si>
    <t>Zimbabwe</t>
  </si>
  <si>
    <t>Bangladesh</t>
  </si>
  <si>
    <t>% Urban in largest city</t>
  </si>
  <si>
    <t>Mean</t>
  </si>
  <si>
    <t>St Dev</t>
  </si>
  <si>
    <t>Count</t>
  </si>
  <si>
    <t>Absolute % urban sanitation over rural</t>
  </si>
  <si>
    <t>% excess urban popn growth</t>
  </si>
  <si>
    <t>Bolivia</t>
  </si>
  <si>
    <t>Venezuela</t>
  </si>
  <si>
    <t>% Urban population living in slums</t>
  </si>
  <si>
    <t>tbd</t>
  </si>
  <si>
    <t>Net Ecological Footprint Score</t>
  </si>
  <si>
    <t>PACOV</t>
  </si>
  <si>
    <t>Nat Cap dependency</t>
  </si>
  <si>
    <t>Threatened Spp Overall</t>
  </si>
  <si>
    <t>Weighted Treaties</t>
  </si>
  <si>
    <t>Total Eco-Services</t>
  </si>
  <si>
    <t>Water d-Ppt</t>
  </si>
  <si>
    <t>Water Use</t>
  </si>
  <si>
    <t>Water Acess</t>
  </si>
  <si>
    <t>Water d-Temp</t>
  </si>
  <si>
    <t>Water Disease</t>
  </si>
  <si>
    <t>Water Sanit</t>
  </si>
  <si>
    <t>Agric Yld Proj</t>
  </si>
  <si>
    <t>Agric rural popn</t>
  </si>
  <si>
    <t>Agric Capacity</t>
  </si>
  <si>
    <t>Agric Yield CV</t>
  </si>
  <si>
    <t>Agric Imports</t>
  </si>
  <si>
    <t>Agric Malnutr</t>
  </si>
  <si>
    <t>Health DALYs</t>
  </si>
  <si>
    <t>Health Staff</t>
  </si>
  <si>
    <t>Health Longev</t>
  </si>
  <si>
    <t>Health Disease</t>
  </si>
  <si>
    <t>Health External</t>
  </si>
  <si>
    <t>Health Matern</t>
  </si>
  <si>
    <t>Coast Area</t>
  </si>
  <si>
    <t>Coast Popn</t>
  </si>
  <si>
    <t>Energy Access</t>
  </si>
  <si>
    <t>Energy Sensit</t>
  </si>
  <si>
    <t>Road Floods</t>
  </si>
  <si>
    <t>Road Paved</t>
  </si>
  <si>
    <t>R-IEF Business free</t>
  </si>
  <si>
    <t>R-IEF Finan free</t>
  </si>
  <si>
    <t>R-IEF Fiscal Free</t>
  </si>
  <si>
    <t>R-IEF Gov Spending</t>
  </si>
  <si>
    <t>R-IEF Invest Free</t>
  </si>
  <si>
    <t>R-IEF Monetary Free</t>
  </si>
  <si>
    <t>R-IEF Trade Free</t>
  </si>
  <si>
    <t>R-WGI psnv</t>
  </si>
  <si>
    <t>R-WGI va</t>
  </si>
  <si>
    <t>R-WGI cc</t>
  </si>
  <si>
    <t>R-Mobiles</t>
  </si>
  <si>
    <t>R-Enrollment</t>
  </si>
  <si>
    <t>R-WGI rl</t>
  </si>
  <si>
    <t>R-IEF Labor Free</t>
  </si>
  <si>
    <t>Bosnia &amp; Herzegovina</t>
  </si>
  <si>
    <t>Central African Rep</t>
  </si>
  <si>
    <t>Congo, Dem Rep</t>
  </si>
  <si>
    <t>Dominican Rep</t>
  </si>
  <si>
    <t>Iran</t>
  </si>
  <si>
    <t>Korea, DPR</t>
  </si>
  <si>
    <t>Korea</t>
  </si>
  <si>
    <t>Laos</t>
  </si>
  <si>
    <t>Libya</t>
  </si>
  <si>
    <t>Micronesia FS</t>
  </si>
  <si>
    <t>Moldova</t>
  </si>
  <si>
    <t>Russian Fed</t>
  </si>
  <si>
    <t>St Vincent &amp; Grenadines</t>
  </si>
  <si>
    <t>Sao Tome &amp; Principe</t>
  </si>
  <si>
    <t>Syria</t>
  </si>
  <si>
    <t>Tanzania</t>
  </si>
  <si>
    <t>Trinidad &amp; Tobago</t>
  </si>
  <si>
    <t>Vulnerability</t>
  </si>
  <si>
    <t>GDP per capita, PPP</t>
  </si>
  <si>
    <t>Ln GDP/Cap</t>
  </si>
  <si>
    <t>HDI</t>
  </si>
  <si>
    <t>..</t>
  </si>
  <si>
    <t>GAIN</t>
  </si>
  <si>
    <t>Correlation matrix - Ignores data pairs with missing values</t>
  </si>
  <si>
    <t xml:space="preserve">Data worksheet is  </t>
  </si>
  <si>
    <t xml:space="preserve">Number of variables  </t>
  </si>
  <si>
    <t xml:space="preserve">Maximum number data pairs  </t>
  </si>
  <si>
    <t>P &lt; 5%</t>
  </si>
  <si>
    <t>P &lt; 1%</t>
  </si>
  <si>
    <t>P &lt; 0.1%</t>
  </si>
  <si>
    <t>r^2 &gt; 0.5</t>
  </si>
  <si>
    <t>R^2 values</t>
  </si>
  <si>
    <t>Top diagonal is the number of data pairs</t>
  </si>
  <si>
    <t>Low Bound</t>
  </si>
  <si>
    <t>High Bound</t>
  </si>
  <si>
    <t>Median</t>
  </si>
  <si>
    <t>5 percentile</t>
  </si>
  <si>
    <t>10 percentile</t>
  </si>
  <si>
    <t>90 percentile</t>
  </si>
  <si>
    <t>95 percentile</t>
  </si>
  <si>
    <t>Perc 5</t>
  </si>
  <si>
    <t>Perc 10</t>
  </si>
  <si>
    <t>Perc 90</t>
  </si>
  <si>
    <t>SCORES</t>
  </si>
  <si>
    <t>Perc 95</t>
  </si>
  <si>
    <t>Population, total</t>
  </si>
  <si>
    <t>Urban Popn total</t>
  </si>
  <si>
    <t>Rural popn total</t>
  </si>
  <si>
    <t>Population growth (annual %)</t>
  </si>
  <si>
    <t>Urban population (% of total)</t>
  </si>
  <si>
    <t>Rural Pop%</t>
  </si>
  <si>
    <t>Urban population growth (annual %)</t>
  </si>
  <si>
    <t>Rural population growth (annual %)</t>
  </si>
  <si>
    <t>Total Pop growth</t>
  </si>
  <si>
    <t>Expected Urban popn growth (based opn propn urban)</t>
  </si>
  <si>
    <t>Urban agglomerations &gt;1M (% of total population)</t>
  </si>
  <si>
    <t>Improved sanitation facilities (% of population with access)</t>
  </si>
  <si>
    <t>Improved sanitation facilities, rural (% of rural population with access)</t>
  </si>
  <si>
    <t>Improved sanitation facilities, urban (% of urban population with access)</t>
  </si>
  <si>
    <t>Urban score</t>
  </si>
  <si>
    <t xml:space="preserve"> Birds (Area) score</t>
  </si>
  <si>
    <t>Flower Plants score</t>
  </si>
  <si>
    <t xml:space="preserve"> Mammals score</t>
  </si>
  <si>
    <t>Threatened birds per ln Area</t>
  </si>
  <si>
    <t>Ln Area</t>
  </si>
  <si>
    <t>Area</t>
  </si>
  <si>
    <t>% Birds Threatened</t>
  </si>
  <si>
    <t>%Flower Plants threatened</t>
  </si>
  <si>
    <t>% Mammals threatened</t>
  </si>
  <si>
    <t>Threatened birds</t>
  </si>
  <si>
    <t>Threatened Flowering plants</t>
  </si>
  <si>
    <t>Threatened Mammals</t>
  </si>
  <si>
    <t>Native bird spp</t>
  </si>
  <si>
    <t># Breeding Bird Spp</t>
  </si>
  <si>
    <t>IUCN # Flowering Plants</t>
  </si>
  <si>
    <t>IUCN # Mammal spp</t>
  </si>
  <si>
    <t>95 Percentile</t>
  </si>
  <si>
    <t>St dev</t>
  </si>
  <si>
    <t>Max</t>
  </si>
  <si>
    <t>Min</t>
  </si>
  <si>
    <t>% dependency on Ecosystem Capita</t>
  </si>
  <si>
    <t>Ecosystem Capital</t>
  </si>
  <si>
    <t>% total wealth</t>
  </si>
  <si>
    <t>Nat Cap Dependency 1995</t>
  </si>
  <si>
    <t>Nat Cap Dependency 2000</t>
  </si>
  <si>
    <t>Nat Cap Dependency 2005</t>
  </si>
  <si>
    <t/>
  </si>
  <si>
    <t>Full Urban</t>
  </si>
  <si>
    <t>Scores required &gt; than …</t>
  </si>
  <si>
    <t>Direction (1=&gt; reverse)</t>
  </si>
  <si>
    <t>Full Set of Scores</t>
  </si>
  <si>
    <t>RAW VALUES</t>
  </si>
  <si>
    <t>Estim New GAIN Vuln</t>
  </si>
  <si>
    <t>2011 GAIN Vuln</t>
  </si>
  <si>
    <t>Rank 2011</t>
  </si>
  <si>
    <t>Rank 2012</t>
  </si>
  <si>
    <t>Abs change</t>
  </si>
  <si>
    <t>Rank Change</t>
  </si>
  <si>
    <t>Score Change</t>
  </si>
  <si>
    <t>Generated 26/07/2012 at 1:00:47 PM</t>
  </si>
  <si>
    <t xml:space="preserve">Average Correl </t>
  </si>
  <si>
    <t>Vuln</t>
  </si>
  <si>
    <t>Readin</t>
  </si>
  <si>
    <t>All</t>
  </si>
  <si>
    <t>New Data</t>
  </si>
  <si>
    <t>SHEETS</t>
  </si>
  <si>
    <t>Contains the underlying data and the scores derived from those data for the new measures</t>
  </si>
  <si>
    <t>Graphics and Tables</t>
  </si>
  <si>
    <t>Most are included in the Technical document</t>
  </si>
  <si>
    <t>Correlation Matrix</t>
  </si>
  <si>
    <t>A large correlation matrix of all the measures (2011 version and the new vulnerabiloity measures) and some co-variables (e.g. GDP/cap etc).</t>
  </si>
  <si>
    <t>Urban Data</t>
  </si>
  <si>
    <t>Nat Cap Scores</t>
  </si>
  <si>
    <t>Threatened Data</t>
  </si>
  <si>
    <t>Underlying data and calculations leading to the information used in the new measures.  For reference only</t>
  </si>
  <si>
    <t>Existing 2011 Scores</t>
  </si>
  <si>
    <t>For calculations only</t>
  </si>
  <si>
    <t>Draft Material only</t>
  </si>
  <si>
    <t>Do Not Circulate and Distribute Further</t>
  </si>
  <si>
    <t>Contacts</t>
  </si>
  <si>
    <t>Ian Noble</t>
  </si>
  <si>
    <t>inoble@gain.org</t>
  </si>
  <si>
    <t xml:space="preserve">Bruno Sanchez </t>
  </si>
  <si>
    <t>brunosan@gain.org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</si>
</sst>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0.0"/>
    <numFmt numFmtId="165" formatCode="_-* #,##0_-;\-* #,##0_-;_-* &quot;-&quot;??_-;_-@_-"/>
    <numFmt numFmtId="166" formatCode="#.000;[Red]\-#.000"/>
    <numFmt numFmtId="167" formatCode="0.000"/>
    <numFmt numFmtId="168" formatCode="0.00_ ;[Red]\-0.00\ "/>
    <numFmt numFmtId="169" formatCode="0.0%"/>
    <numFmt numFmtId="175" formatCode="0_ ;[Red]\-0\ "/>
    <numFmt numFmtId="176" formatCode="0.000_ ;[Red]\-0.000\ 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indexed="8"/>
      <name val="Arial"/>
      <family val="2"/>
    </font>
    <font>
      <sz val="12"/>
      <color rgb="FF0000F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12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FF"/>
      <name val="Arial"/>
      <family val="2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8"/>
      <color theme="0"/>
      <name val="Calibri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D0D0D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gray0625">
        <bgColor rgb="FFCCFFCC"/>
      </patternFill>
    </fill>
    <fill>
      <patternFill patternType="solid">
        <fgColor rgb="FFCCFFFF"/>
        <bgColor indexed="64"/>
      </patternFill>
    </fill>
    <fill>
      <patternFill patternType="gray0625">
        <bgColor rgb="FFFFCC99"/>
      </patternFill>
    </fill>
    <fill>
      <patternFill patternType="solid">
        <fgColor rgb="FFE0E0E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8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7">
    <xf numFmtId="0" fontId="0" fillId="0" borderId="0" xfId="0"/>
    <xf numFmtId="4" fontId="5" fillId="2" borderId="0" xfId="0" applyNumberFormat="1" applyFont="1" applyFill="1" applyAlignment="1">
      <alignment horizontal="right"/>
    </xf>
    <xf numFmtId="2" fontId="0" fillId="0" borderId="0" xfId="0" applyNumberFormat="1"/>
    <xf numFmtId="0" fontId="6" fillId="0" borderId="0" xfId="0" applyFont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6" fillId="4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5" borderId="0" xfId="0" applyFill="1"/>
    <xf numFmtId="0" fontId="0" fillId="5" borderId="0" xfId="0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7" fillId="7" borderId="0" xfId="0" applyFont="1" applyFill="1" applyAlignment="1">
      <alignment horizontal="center" wrapText="1"/>
    </xf>
    <xf numFmtId="2" fontId="0" fillId="8" borderId="0" xfId="0" applyNumberFormat="1" applyFill="1"/>
    <xf numFmtId="0" fontId="8" fillId="0" borderId="0" xfId="0" applyFont="1" applyAlignment="1">
      <alignment horizontal="center" vertical="center" wrapText="1"/>
    </xf>
    <xf numFmtId="0" fontId="0" fillId="2" borderId="0" xfId="0" applyNumberFormat="1" applyFont="1" applyFill="1" applyAlignment="1">
      <alignment horizontal="right" wrapText="1"/>
    </xf>
    <xf numFmtId="0" fontId="0" fillId="2" borderId="0" xfId="0" applyNumberFormat="1" applyFont="1" applyFill="1" applyAlignment="1">
      <alignment horizontal="center"/>
    </xf>
    <xf numFmtId="0" fontId="0" fillId="2" borderId="0" xfId="0" applyNumberFormat="1" applyFont="1" applyFill="1" applyAlignment="1">
      <alignment horizontal="center" wrapText="1"/>
    </xf>
    <xf numFmtId="2" fontId="0" fillId="11" borderId="0" xfId="0" applyNumberFormat="1" applyFill="1"/>
    <xf numFmtId="0" fontId="12" fillId="0" borderId="0" xfId="0" applyFont="1"/>
    <xf numFmtId="0" fontId="10" fillId="13" borderId="0" xfId="0" applyFont="1" applyFill="1" applyAlignment="1">
      <alignment horizontal="center" wrapText="1"/>
    </xf>
    <xf numFmtId="0" fontId="11" fillId="13" borderId="0" xfId="0" applyFont="1" applyFill="1" applyAlignment="1">
      <alignment horizontal="center" wrapText="1"/>
    </xf>
    <xf numFmtId="164" fontId="12" fillId="14" borderId="0" xfId="0" applyNumberFormat="1" applyFont="1" applyFill="1"/>
    <xf numFmtId="165" fontId="14" fillId="0" borderId="0" xfId="0" applyNumberFormat="1" applyFont="1" applyAlignment="1">
      <alignment horizontal="center"/>
    </xf>
    <xf numFmtId="43" fontId="14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13" fillId="12" borderId="0" xfId="0" applyFont="1" applyFill="1" applyAlignment="1">
      <alignment horizontal="center" wrapText="1"/>
    </xf>
    <xf numFmtId="0" fontId="7" fillId="10" borderId="0" xfId="0" applyFont="1" applyFill="1" applyAlignment="1">
      <alignment horizontal="center" wrapText="1"/>
    </xf>
    <xf numFmtId="0" fontId="16" fillId="15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16" borderId="0" xfId="0" applyFill="1"/>
    <xf numFmtId="0" fontId="0" fillId="17" borderId="0" xfId="0" applyFill="1"/>
    <xf numFmtId="0" fontId="0" fillId="18" borderId="0" xfId="0" applyFill="1" applyAlignment="1">
      <alignment horizontal="center"/>
    </xf>
    <xf numFmtId="0" fontId="0" fillId="19" borderId="0" xfId="0" applyFill="1"/>
    <xf numFmtId="0" fontId="16" fillId="20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right"/>
    </xf>
    <xf numFmtId="166" fontId="0" fillId="0" borderId="0" xfId="0" applyNumberFormat="1"/>
    <xf numFmtId="166" fontId="0" fillId="16" borderId="0" xfId="0" applyNumberFormat="1" applyFill="1"/>
    <xf numFmtId="166" fontId="0" fillId="17" borderId="0" xfId="0" applyNumberFormat="1" applyFill="1"/>
    <xf numFmtId="166" fontId="0" fillId="18" borderId="0" xfId="0" applyNumberFormat="1" applyFill="1"/>
    <xf numFmtId="0" fontId="0" fillId="18" borderId="0" xfId="0" applyFill="1"/>
    <xf numFmtId="166" fontId="0" fillId="21" borderId="0" xfId="0" applyNumberFormat="1" applyFill="1"/>
    <xf numFmtId="0" fontId="0" fillId="21" borderId="0" xfId="0" applyFill="1"/>
    <xf numFmtId="0" fontId="0" fillId="22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2" xfId="0" applyBorder="1" applyAlignment="1">
      <alignment horizontal="right"/>
    </xf>
    <xf numFmtId="167" fontId="0" fillId="0" borderId="0" xfId="0" applyNumberFormat="1"/>
    <xf numFmtId="164" fontId="0" fillId="0" borderId="0" xfId="0" applyNumberFormat="1"/>
    <xf numFmtId="165" fontId="0" fillId="0" borderId="0" xfId="71" applyNumberFormat="1" applyFont="1"/>
    <xf numFmtId="9" fontId="0" fillId="0" borderId="0" xfId="72" applyFont="1"/>
    <xf numFmtId="0" fontId="0" fillId="0" borderId="0" xfId="0" applyFill="1"/>
    <xf numFmtId="0" fontId="6" fillId="0" borderId="0" xfId="0" applyFont="1" applyFill="1" applyAlignment="1">
      <alignment horizontal="center" wrapText="1"/>
    </xf>
    <xf numFmtId="0" fontId="6" fillId="24" borderId="0" xfId="0" applyFont="1" applyFill="1" applyAlignment="1">
      <alignment horizontal="center" wrapText="1"/>
    </xf>
    <xf numFmtId="2" fontId="0" fillId="24" borderId="0" xfId="0" applyNumberFormat="1" applyFill="1" applyAlignment="1">
      <alignment wrapText="1"/>
    </xf>
    <xf numFmtId="0" fontId="15" fillId="0" borderId="0" xfId="0" applyFont="1"/>
    <xf numFmtId="2" fontId="0" fillId="25" borderId="0" xfId="0" applyNumberFormat="1" applyFill="1"/>
    <xf numFmtId="164" fontId="0" fillId="25" borderId="0" xfId="0" applyNumberFormat="1" applyFill="1"/>
    <xf numFmtId="0" fontId="0" fillId="25" borderId="0" xfId="0" applyFill="1"/>
    <xf numFmtId="0" fontId="6" fillId="25" borderId="0" xfId="0" applyFont="1" applyFill="1" applyAlignment="1">
      <alignment horizontal="center" wrapText="1"/>
    </xf>
    <xf numFmtId="9" fontId="0" fillId="25" borderId="0" xfId="72" applyFont="1" applyFill="1"/>
    <xf numFmtId="2" fontId="0" fillId="0" borderId="0" xfId="72" applyNumberFormat="1" applyFont="1"/>
    <xf numFmtId="0" fontId="0" fillId="26" borderId="0" xfId="0" applyFill="1"/>
    <xf numFmtId="2" fontId="0" fillId="26" borderId="0" xfId="0" applyNumberFormat="1" applyFill="1"/>
    <xf numFmtId="0" fontId="0" fillId="5" borderId="0" xfId="0" applyFill="1" applyAlignment="1">
      <alignment horizontal="center"/>
    </xf>
    <xf numFmtId="168" fontId="17" fillId="27" borderId="0" xfId="0" applyNumberFormat="1" applyFont="1" applyFill="1"/>
    <xf numFmtId="2" fontId="0" fillId="28" borderId="0" xfId="0" applyNumberFormat="1" applyFill="1"/>
    <xf numFmtId="10" fontId="0" fillId="0" borderId="0" xfId="72" applyNumberFormat="1" applyFont="1"/>
    <xf numFmtId="0" fontId="0" fillId="29" borderId="0" xfId="0" applyFill="1" applyAlignment="1">
      <alignment horizontal="center" wrapText="1"/>
    </xf>
    <xf numFmtId="165" fontId="0" fillId="0" borderId="0" xfId="71" applyNumberFormat="1" applyFont="1" applyAlignment="1">
      <alignment horizontal="center" wrapText="1"/>
    </xf>
    <xf numFmtId="0" fontId="0" fillId="31" borderId="0" xfId="0" applyFill="1"/>
    <xf numFmtId="2" fontId="0" fillId="31" borderId="0" xfId="72" applyNumberFormat="1" applyFont="1" applyFill="1"/>
    <xf numFmtId="9" fontId="0" fillId="31" borderId="0" xfId="72" applyFont="1" applyFill="1"/>
    <xf numFmtId="1" fontId="0" fillId="0" borderId="0" xfId="0" applyNumberFormat="1"/>
    <xf numFmtId="9" fontId="0" fillId="0" borderId="0" xfId="72" applyNumberFormat="1" applyFont="1"/>
    <xf numFmtId="0" fontId="0" fillId="30" borderId="0" xfId="0" applyFill="1" applyAlignment="1">
      <alignment horizontal="right"/>
    </xf>
    <xf numFmtId="0" fontId="0" fillId="4" borderId="0" xfId="0" applyFill="1" applyAlignment="1">
      <alignment horizontal="center" wrapText="1"/>
    </xf>
    <xf numFmtId="0" fontId="0" fillId="0" borderId="3" xfId="0" applyBorder="1" applyAlignment="1">
      <alignment wrapText="1"/>
    </xf>
    <xf numFmtId="3" fontId="0" fillId="0" borderId="0" xfId="0" applyNumberFormat="1"/>
    <xf numFmtId="169" fontId="0" fillId="0" borderId="0" xfId="72" applyNumberFormat="1" applyFont="1"/>
    <xf numFmtId="4" fontId="5" fillId="2" borderId="0" xfId="0" applyNumberFormat="1" applyFont="1" applyFill="1" applyAlignment="1"/>
    <xf numFmtId="0" fontId="0" fillId="23" borderId="0" xfId="0" applyFill="1" applyAlignment="1">
      <alignment horizontal="center"/>
    </xf>
    <xf numFmtId="0" fontId="7" fillId="9" borderId="0" xfId="0" applyFont="1" applyFill="1"/>
    <xf numFmtId="0" fontId="0" fillId="8" borderId="0" xfId="0" applyFill="1"/>
    <xf numFmtId="0" fontId="0" fillId="24" borderId="0" xfId="0" applyFill="1"/>
    <xf numFmtId="2" fontId="0" fillId="24" borderId="0" xfId="0" applyNumberFormat="1" applyFill="1"/>
    <xf numFmtId="0" fontId="16" fillId="0" borderId="0" xfId="0" applyFont="1" applyAlignment="1">
      <alignment horizontal="right"/>
    </xf>
    <xf numFmtId="0" fontId="20" fillId="32" borderId="0" xfId="0" applyFont="1" applyFill="1" applyAlignment="1">
      <alignment horizontal="center"/>
    </xf>
    <xf numFmtId="167" fontId="0" fillId="24" borderId="0" xfId="0" applyNumberFormat="1" applyFill="1"/>
    <xf numFmtId="167" fontId="0" fillId="26" borderId="0" xfId="0" applyNumberFormat="1" applyFill="1"/>
    <xf numFmtId="0" fontId="0" fillId="5" borderId="0" xfId="0" applyNumberFormat="1" applyFont="1" applyFill="1" applyAlignment="1">
      <alignment horizontal="right" wrapText="1"/>
    </xf>
    <xf numFmtId="0" fontId="0" fillId="3" borderId="0" xfId="0" applyNumberFormat="1" applyFont="1" applyFill="1" applyAlignment="1">
      <alignment horizontal="right" wrapText="1"/>
    </xf>
    <xf numFmtId="0" fontId="0" fillId="28" borderId="0" xfId="0" applyNumberFormat="1" applyFont="1" applyFill="1" applyAlignment="1">
      <alignment horizontal="right" wrapText="1"/>
    </xf>
    <xf numFmtId="1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1" xfId="0" applyBorder="1" applyAlignment="1">
      <alignment horizontal="center" wrapText="1"/>
    </xf>
    <xf numFmtId="0" fontId="7" fillId="32" borderId="0" xfId="0" applyFont="1" applyFill="1" applyAlignment="1">
      <alignment horizontal="center"/>
    </xf>
    <xf numFmtId="0" fontId="16" fillId="33" borderId="0" xfId="0" applyFont="1" applyFill="1" applyAlignment="1">
      <alignment horizontal="right" vertical="center"/>
    </xf>
    <xf numFmtId="0" fontId="16" fillId="33" borderId="0" xfId="0" applyFont="1" applyFill="1" applyAlignment="1">
      <alignment horizontal="right"/>
    </xf>
    <xf numFmtId="0" fontId="0" fillId="33" borderId="0" xfId="0" applyFill="1" applyAlignment="1">
      <alignment wrapText="1"/>
    </xf>
    <xf numFmtId="0" fontId="16" fillId="31" borderId="0" xfId="0" applyFont="1" applyFill="1" applyAlignment="1">
      <alignment horizontal="right"/>
    </xf>
    <xf numFmtId="0" fontId="0" fillId="31" borderId="0" xfId="0" applyFill="1" applyAlignment="1">
      <alignment horizontal="center" wrapText="1"/>
    </xf>
    <xf numFmtId="0" fontId="16" fillId="34" borderId="0" xfId="0" applyFont="1" applyFill="1" applyAlignment="1">
      <alignment horizontal="right"/>
    </xf>
    <xf numFmtId="0" fontId="0" fillId="34" borderId="0" xfId="0" applyFill="1" applyAlignment="1">
      <alignment horizontal="center" vertical="center" wrapText="1"/>
    </xf>
    <xf numFmtId="0" fontId="3" fillId="0" borderId="0" xfId="180" applyAlignment="1">
      <alignment wrapText="1"/>
    </xf>
    <xf numFmtId="0" fontId="16" fillId="0" borderId="0" xfId="0" applyFont="1" applyAlignment="1">
      <alignment horizontal="right" wrapText="1"/>
    </xf>
  </cellXfs>
  <cellStyles count="181">
    <cellStyle name="Comma" xfId="71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7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6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/>
    <cellStyle name="Normal" xfId="0" builtinId="0"/>
    <cellStyle name="Normal 2" xfId="93"/>
    <cellStyle name="Normal 6" xfId="58"/>
    <cellStyle name="Percent" xfId="72" builtinId="5"/>
    <cellStyle name="Percent 2" xfId="5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185141699969"/>
          <c:y val="0.0383705650459921"/>
          <c:w val="0.853065911220742"/>
          <c:h val="0.787245129181454"/>
        </c:manualLayout>
      </c:layout>
      <c:scatterChart>
        <c:scatterStyle val="lineMarker"/>
        <c:varyColors val="0"/>
        <c:ser>
          <c:idx val="0"/>
          <c:order val="0"/>
          <c:tx>
            <c:strRef>
              <c:f>'New Data'!$AE$15</c:f>
              <c:strCache>
                <c:ptCount val="1"/>
                <c:pt idx="0">
                  <c:v>Estim New GAIN Vuln</c:v>
                </c:pt>
              </c:strCache>
            </c:strRef>
          </c:tx>
          <c:spPr>
            <a:ln w="47625">
              <a:noFill/>
            </a:ln>
          </c:spPr>
          <c:trendline>
            <c:trendlineType val="poly"/>
            <c:order val="2"/>
            <c:dispRSqr val="0"/>
            <c:dispEq val="0"/>
          </c:trendline>
          <c:xVal>
            <c:numRef>
              <c:f>'New Data'!$AD$16:$AD$207</c:f>
              <c:numCache>
                <c:formatCode>0.000</c:formatCode>
                <c:ptCount val="192"/>
                <c:pt idx="0">
                  <c:v>0.626734601793658</c:v>
                </c:pt>
                <c:pt idx="1">
                  <c:v>0.29043285983259</c:v>
                </c:pt>
                <c:pt idx="2">
                  <c:v>0.2695615286713</c:v>
                </c:pt>
                <c:pt idx="3">
                  <c:v>#N/A</c:v>
                </c:pt>
                <c:pt idx="4">
                  <c:v>0.535900009334559</c:v>
                </c:pt>
                <c:pt idx="5">
                  <c:v>0.340510374560758</c:v>
                </c:pt>
                <c:pt idx="6">
                  <c:v>0.186501327516433</c:v>
                </c:pt>
                <c:pt idx="7">
                  <c:v>0.249886510262428</c:v>
                </c:pt>
                <c:pt idx="8">
                  <c:v>0.192771971410734</c:v>
                </c:pt>
                <c:pt idx="9">
                  <c:v>0.166720274924848</c:v>
                </c:pt>
                <c:pt idx="10">
                  <c:v>0.243578741040413</c:v>
                </c:pt>
                <c:pt idx="11">
                  <c:v>0.326427401150409</c:v>
                </c:pt>
                <c:pt idx="12">
                  <c:v>0.335201853120871</c:v>
                </c:pt>
                <c:pt idx="13">
                  <c:v>0.433333313518835</c:v>
                </c:pt>
                <c:pt idx="14">
                  <c:v>0.260759882461829</c:v>
                </c:pt>
                <c:pt idx="15">
                  <c:v>0.198623784031354</c:v>
                </c:pt>
                <c:pt idx="16">
                  <c:v>0.250080814008989</c:v>
                </c:pt>
                <c:pt idx="17">
                  <c:v>0.309945252586457</c:v>
                </c:pt>
                <c:pt idx="18">
                  <c:v>0.480734180606468</c:v>
                </c:pt>
                <c:pt idx="19">
                  <c:v>0.390219287230042</c:v>
                </c:pt>
                <c:pt idx="20">
                  <c:v>0.334494889777885</c:v>
                </c:pt>
                <c:pt idx="21">
                  <c:v>0.194600453902938</c:v>
                </c:pt>
                <c:pt idx="22">
                  <c:v>0.422195059923854</c:v>
                </c:pt>
                <c:pt idx="23">
                  <c:v>0.263918953088211</c:v>
                </c:pt>
                <c:pt idx="24">
                  <c:v>0.214793489438574</c:v>
                </c:pt>
                <c:pt idx="25">
                  <c:v>0.199949864708655</c:v>
                </c:pt>
                <c:pt idx="26">
                  <c:v>0.511922998423814</c:v>
                </c:pt>
                <c:pt idx="27">
                  <c:v>0.612854445432779</c:v>
                </c:pt>
                <c:pt idx="28">
                  <c:v>0.456598002528333</c:v>
                </c:pt>
                <c:pt idx="29">
                  <c:v>0.459876635882812</c:v>
                </c:pt>
                <c:pt idx="30">
                  <c:v>0.243193361960564</c:v>
                </c:pt>
                <c:pt idx="31">
                  <c:v>0.295691262053719</c:v>
                </c:pt>
                <c:pt idx="32">
                  <c:v>0.605083111962254</c:v>
                </c:pt>
                <c:pt idx="33">
                  <c:v>0.561298804045812</c:v>
                </c:pt>
                <c:pt idx="34">
                  <c:v>0.207749071863212</c:v>
                </c:pt>
                <c:pt idx="35">
                  <c:v>0.262281079076745</c:v>
                </c:pt>
                <c:pt idx="36">
                  <c:v>0.275164167309865</c:v>
                </c:pt>
                <c:pt idx="37">
                  <c:v>0.41804238766288</c:v>
                </c:pt>
                <c:pt idx="38">
                  <c:v>0.43746992073911</c:v>
                </c:pt>
                <c:pt idx="39">
                  <c:v>#N/A</c:v>
                </c:pt>
                <c:pt idx="40">
                  <c:v>0.306802230355058</c:v>
                </c:pt>
                <c:pt idx="41">
                  <c:v>0.441105935434817</c:v>
                </c:pt>
                <c:pt idx="42">
                  <c:v>0.1737271612325</c:v>
                </c:pt>
                <c:pt idx="43">
                  <c:v>0.262899067038012</c:v>
                </c:pt>
                <c:pt idx="44">
                  <c:v>0.237638078922661</c:v>
                </c:pt>
                <c:pt idx="45">
                  <c:v>0.13849436622867</c:v>
                </c:pt>
                <c:pt idx="46">
                  <c:v>0.114731675208681</c:v>
                </c:pt>
                <c:pt idx="47">
                  <c:v>0.447200930404966</c:v>
                </c:pt>
                <c:pt idx="48">
                  <c:v>0.394255670332551</c:v>
                </c:pt>
                <c:pt idx="49">
                  <c:v>0.290652367280613</c:v>
                </c:pt>
                <c:pt idx="50">
                  <c:v>0.219717303617315</c:v>
                </c:pt>
                <c:pt idx="51">
                  <c:v>0.232706229368895</c:v>
                </c:pt>
                <c:pt idx="52">
                  <c:v>0.299334380655323</c:v>
                </c:pt>
                <c:pt idx="53">
                  <c:v>0.446534795424147</c:v>
                </c:pt>
                <c:pt idx="54">
                  <c:v>0.467450877983566</c:v>
                </c:pt>
                <c:pt idx="55">
                  <c:v>0.255597439853165</c:v>
                </c:pt>
                <c:pt idx="56">
                  <c:v>0.564624088007273</c:v>
                </c:pt>
                <c:pt idx="57">
                  <c:v>0.323927515670786</c:v>
                </c:pt>
                <c:pt idx="58">
                  <c:v>0.175876385125444</c:v>
                </c:pt>
                <c:pt idx="59">
                  <c:v>0.126671070820129</c:v>
                </c:pt>
                <c:pt idx="60">
                  <c:v>0.363164245263944</c:v>
                </c:pt>
                <c:pt idx="61">
                  <c:v>0.429648701209457</c:v>
                </c:pt>
                <c:pt idx="62">
                  <c:v>0.255383418013796</c:v>
                </c:pt>
                <c:pt idx="63">
                  <c:v>0.13954152344871</c:v>
                </c:pt>
                <c:pt idx="64">
                  <c:v>0.428581039486563</c:v>
                </c:pt>
                <c:pt idx="65">
                  <c:v>0.192088488523923</c:v>
                </c:pt>
                <c:pt idx="66">
                  <c:v>0.309564208741866</c:v>
                </c:pt>
                <c:pt idx="67">
                  <c:v>0.324010154426815</c:v>
                </c:pt>
                <c:pt idx="68">
                  <c:v>0.49187351166469</c:v>
                </c:pt>
                <c:pt idx="69">
                  <c:v>0.479929809724413</c:v>
                </c:pt>
                <c:pt idx="70">
                  <c:v>0.352543137213963</c:v>
                </c:pt>
                <c:pt idx="71">
                  <c:v>0.466383511329011</c:v>
                </c:pt>
                <c:pt idx="72">
                  <c:v>0.315353021142221</c:v>
                </c:pt>
                <c:pt idx="73">
                  <c:v>0.199574291990891</c:v>
                </c:pt>
                <c:pt idx="74">
                  <c:v>0.21815733344438</c:v>
                </c:pt>
                <c:pt idx="75">
                  <c:v>0.410690105272608</c:v>
                </c:pt>
                <c:pt idx="76">
                  <c:v>0.26381284525269</c:v>
                </c:pt>
                <c:pt idx="77">
                  <c:v>0.215119254124558</c:v>
                </c:pt>
                <c:pt idx="78">
                  <c:v>0.377213089130119</c:v>
                </c:pt>
                <c:pt idx="79">
                  <c:v>0.150732007189524</c:v>
                </c:pt>
                <c:pt idx="80">
                  <c:v>0.22227758370009</c:v>
                </c:pt>
                <c:pt idx="81">
                  <c:v>0.183372457068526</c:v>
                </c:pt>
                <c:pt idx="82">
                  <c:v>0.325377218837513</c:v>
                </c:pt>
                <c:pt idx="83">
                  <c:v>0.237492504425344</c:v>
                </c:pt>
                <c:pt idx="84">
                  <c:v>0.272993327594446</c:v>
                </c:pt>
                <c:pt idx="85">
                  <c:v>0.24173291452893</c:v>
                </c:pt>
                <c:pt idx="86">
                  <c:v>0.487531513172891</c:v>
                </c:pt>
                <c:pt idx="87">
                  <c:v>0.449830012414996</c:v>
                </c:pt>
                <c:pt idx="88">
                  <c:v>0.42316842721101</c:v>
                </c:pt>
                <c:pt idx="89">
                  <c:v>0.285494532320034</c:v>
                </c:pt>
                <c:pt idx="90">
                  <c:v>0.260469363658281</c:v>
                </c:pt>
                <c:pt idx="91">
                  <c:v>0.263055044453838</c:v>
                </c:pt>
                <c:pt idx="92">
                  <c:v>0.438048455169433</c:v>
                </c:pt>
                <c:pt idx="93">
                  <c:v>0.226548815191758</c:v>
                </c:pt>
                <c:pt idx="94">
                  <c:v>0.252244208234725</c:v>
                </c:pt>
                <c:pt idx="95">
                  <c:v>0.493867209044775</c:v>
                </c:pt>
                <c:pt idx="96">
                  <c:v>0.5286423623786</c:v>
                </c:pt>
                <c:pt idx="97">
                  <c:v>0.290021428490676</c:v>
                </c:pt>
                <c:pt idx="98">
                  <c:v>#N/A</c:v>
                </c:pt>
                <c:pt idx="99">
                  <c:v>0.234919102811756</c:v>
                </c:pt>
                <c:pt idx="100">
                  <c:v>0.163292166591728</c:v>
                </c:pt>
                <c:pt idx="101">
                  <c:v>0.491255990930196</c:v>
                </c:pt>
                <c:pt idx="102">
                  <c:v>0.491313953292593</c:v>
                </c:pt>
                <c:pt idx="103">
                  <c:v>0.224530420718103</c:v>
                </c:pt>
                <c:pt idx="104">
                  <c:v>0.357656897920766</c:v>
                </c:pt>
                <c:pt idx="105">
                  <c:v>0.520080434698373</c:v>
                </c:pt>
                <c:pt idx="106">
                  <c:v>0.241761579803654</c:v>
                </c:pt>
                <c:pt idx="107">
                  <c:v>0.483824126090495</c:v>
                </c:pt>
                <c:pt idx="108">
                  <c:v>0.499001525211414</c:v>
                </c:pt>
                <c:pt idx="109">
                  <c:v>0.246191630800715</c:v>
                </c:pt>
                <c:pt idx="110">
                  <c:v>0.261060851159084</c:v>
                </c:pt>
                <c:pt idx="111">
                  <c:v>0.499774548103421</c:v>
                </c:pt>
                <c:pt idx="112">
                  <c:v>0.252171081542612</c:v>
                </c:pt>
                <c:pt idx="113">
                  <c:v>0.243387325090469</c:v>
                </c:pt>
                <c:pt idx="114">
                  <c:v>0.19640837186172</c:v>
                </c:pt>
                <c:pt idx="115">
                  <c:v>0.369111702442695</c:v>
                </c:pt>
                <c:pt idx="116">
                  <c:v>#N/A</c:v>
                </c:pt>
                <c:pt idx="117">
                  <c:v>0.376616083302876</c:v>
                </c:pt>
                <c:pt idx="118">
                  <c:v>0.543300468134209</c:v>
                </c:pt>
                <c:pt idx="119">
                  <c:v>0.415407266520919</c:v>
                </c:pt>
                <c:pt idx="120">
                  <c:v>0.442524642405633</c:v>
                </c:pt>
                <c:pt idx="121">
                  <c:v>#N/A</c:v>
                </c:pt>
                <c:pt idx="122">
                  <c:v>0.426097740355359</c:v>
                </c:pt>
                <c:pt idx="123">
                  <c:v>0.201792663015013</c:v>
                </c:pt>
                <c:pt idx="124">
                  <c:v>0.207068500035166</c:v>
                </c:pt>
                <c:pt idx="125">
                  <c:v>0.299262173889841</c:v>
                </c:pt>
                <c:pt idx="126">
                  <c:v>0.534119078118094</c:v>
                </c:pt>
                <c:pt idx="127">
                  <c:v>0.470431530619026</c:v>
                </c:pt>
                <c:pt idx="128">
                  <c:v>0.150353672067432</c:v>
                </c:pt>
                <c:pt idx="129">
                  <c:v>0.260039876956211</c:v>
                </c:pt>
                <c:pt idx="130">
                  <c:v>0.373904524220627</c:v>
                </c:pt>
                <c:pt idx="131">
                  <c:v>0.381107074755774</c:v>
                </c:pt>
                <c:pt idx="132">
                  <c:v>0.302515364585906</c:v>
                </c:pt>
                <c:pt idx="133">
                  <c:v>0.472330718844855</c:v>
                </c:pt>
                <c:pt idx="134">
                  <c:v>0.286107842149254</c:v>
                </c:pt>
                <c:pt idx="135">
                  <c:v>0.315700698550533</c:v>
                </c:pt>
                <c:pt idx="136">
                  <c:v>0.280882937578355</c:v>
                </c:pt>
                <c:pt idx="137">
                  <c:v>0.146275220584687</c:v>
                </c:pt>
                <c:pt idx="138">
                  <c:v>0.213979646494256</c:v>
                </c:pt>
                <c:pt idx="139">
                  <c:v>0.262831097146486</c:v>
                </c:pt>
                <c:pt idx="140">
                  <c:v>0.233817245866611</c:v>
                </c:pt>
                <c:pt idx="141">
                  <c:v>0.275043252607518</c:v>
                </c:pt>
                <c:pt idx="142">
                  <c:v>0.5045251213633</c:v>
                </c:pt>
                <c:pt idx="143">
                  <c:v>0.330026198819938</c:v>
                </c:pt>
                <c:pt idx="144">
                  <c:v>0.345230463462043</c:v>
                </c:pt>
                <c:pt idx="145">
                  <c:v>0.307706862969222</c:v>
                </c:pt>
                <c:pt idx="146">
                  <c:v>0.382352136432419</c:v>
                </c:pt>
                <c:pt idx="147">
                  <c:v>0.185871951448213</c:v>
                </c:pt>
                <c:pt idx="148">
                  <c:v>0.425710155410079</c:v>
                </c:pt>
                <c:pt idx="149">
                  <c:v>0.29970448782638</c:v>
                </c:pt>
                <c:pt idx="150">
                  <c:v>0.475363604068363</c:v>
                </c:pt>
                <c:pt idx="151">
                  <c:v>0.22195639221103</c:v>
                </c:pt>
                <c:pt idx="152">
                  <c:v>0.326922393177508</c:v>
                </c:pt>
                <c:pt idx="153">
                  <c:v>0.555945093456826</c:v>
                </c:pt>
                <c:pt idx="154">
                  <c:v>0.28141294690245</c:v>
                </c:pt>
                <c:pt idx="155">
                  <c:v>0.186686078002695</c:v>
                </c:pt>
                <c:pt idx="156">
                  <c:v>0.177330674400792</c:v>
                </c:pt>
                <c:pt idx="157">
                  <c:v>0.481736247093075</c:v>
                </c:pt>
                <c:pt idx="158">
                  <c:v>0.533642199300133</c:v>
                </c:pt>
                <c:pt idx="159">
                  <c:v>0.360388518893724</c:v>
                </c:pt>
                <c:pt idx="160">
                  <c:v>0.190438128013514</c:v>
                </c:pt>
                <c:pt idx="161">
                  <c:v>0.274920730860977</c:v>
                </c:pt>
                <c:pt idx="162">
                  <c:v>0.493459683905108</c:v>
                </c:pt>
                <c:pt idx="163">
                  <c:v>0.291585529710877</c:v>
                </c:pt>
                <c:pt idx="164">
                  <c:v>0.436375555905438</c:v>
                </c:pt>
                <c:pt idx="165">
                  <c:v>0.193621807754495</c:v>
                </c:pt>
                <c:pt idx="166">
                  <c:v>0.138582441716833</c:v>
                </c:pt>
                <c:pt idx="167">
                  <c:v>0.248445543843095</c:v>
                </c:pt>
                <c:pt idx="168">
                  <c:v>0.348585295673305</c:v>
                </c:pt>
                <c:pt idx="169">
                  <c:v>0.500769790946217</c:v>
                </c:pt>
                <c:pt idx="170">
                  <c:v>0.225120412680264</c:v>
                </c:pt>
                <c:pt idx="171">
                  <c:v>0.481095256943568</c:v>
                </c:pt>
                <c:pt idx="172">
                  <c:v>0.509039210114771</c:v>
                </c:pt>
                <c:pt idx="173">
                  <c:v>0.346442034784263</c:v>
                </c:pt>
                <c:pt idx="174">
                  <c:v>0.30033477324804</c:v>
                </c:pt>
                <c:pt idx="175">
                  <c:v>0.284310208574366</c:v>
                </c:pt>
                <c:pt idx="176">
                  <c:v>0.258431072824873</c:v>
                </c:pt>
                <c:pt idx="177">
                  <c:v>0.256797362449701</c:v>
                </c:pt>
                <c:pt idx="178">
                  <c:v>0.450300886558241</c:v>
                </c:pt>
                <c:pt idx="179">
                  <c:v>0.497756105845877</c:v>
                </c:pt>
                <c:pt idx="180">
                  <c:v>0.241887751290352</c:v>
                </c:pt>
                <c:pt idx="181">
                  <c:v>0.269330543164602</c:v>
                </c:pt>
                <c:pt idx="182">
                  <c:v>0.16386213909168</c:v>
                </c:pt>
                <c:pt idx="183">
                  <c:v>0.180543631074508</c:v>
                </c:pt>
                <c:pt idx="184">
                  <c:v>0.185802768014682</c:v>
                </c:pt>
                <c:pt idx="185">
                  <c:v>0.236642266037389</c:v>
                </c:pt>
                <c:pt idx="186">
                  <c:v>0.408849896183791</c:v>
                </c:pt>
                <c:pt idx="187">
                  <c:v>0.224417110286892</c:v>
                </c:pt>
                <c:pt idx="188">
                  <c:v>0.270168806109709</c:v>
                </c:pt>
                <c:pt idx="189">
                  <c:v>0.47087801862313</c:v>
                </c:pt>
                <c:pt idx="190">
                  <c:v>0.532187194464228</c:v>
                </c:pt>
                <c:pt idx="191">
                  <c:v>0.447058140485747</c:v>
                </c:pt>
              </c:numCache>
            </c:numRef>
          </c:xVal>
          <c:yVal>
            <c:numRef>
              <c:f>'New Data'!$AE$16:$AE$207</c:f>
              <c:numCache>
                <c:formatCode>0.000</c:formatCode>
                <c:ptCount val="192"/>
                <c:pt idx="0">
                  <c:v>0.608492912549005</c:v>
                </c:pt>
                <c:pt idx="1">
                  <c:v>0.309068132951268</c:v>
                </c:pt>
                <c:pt idx="2">
                  <c:v>0.285894441572181</c:v>
                </c:pt>
                <c:pt idx="3">
                  <c:v>#N/A</c:v>
                </c:pt>
                <c:pt idx="4">
                  <c:v>0.536283681996716</c:v>
                </c:pt>
                <c:pt idx="5">
                  <c:v>0.359881094290258</c:v>
                </c:pt>
                <c:pt idx="6">
                  <c:v>0.219662997023539</c:v>
                </c:pt>
                <c:pt idx="7">
                  <c:v>0.28532354882481</c:v>
                </c:pt>
                <c:pt idx="8">
                  <c:v>0.178499182723728</c:v>
                </c:pt>
                <c:pt idx="9">
                  <c:v>0.172670213800544</c:v>
                </c:pt>
                <c:pt idx="10">
                  <c:v>0.287049785629341</c:v>
                </c:pt>
                <c:pt idx="11">
                  <c:v>0.328914395816622</c:v>
                </c:pt>
                <c:pt idx="12">
                  <c:v>0.321557910429192</c:v>
                </c:pt>
                <c:pt idx="13">
                  <c:v>0.47318714595121</c:v>
                </c:pt>
                <c:pt idx="14">
                  <c:v>0.343084477439576</c:v>
                </c:pt>
                <c:pt idx="15">
                  <c:v>0.203111726106468</c:v>
                </c:pt>
                <c:pt idx="16">
                  <c:v>0.216973466901518</c:v>
                </c:pt>
                <c:pt idx="17">
                  <c:v>0.320385256878631</c:v>
                </c:pt>
                <c:pt idx="18">
                  <c:v>0.468178977271219</c:v>
                </c:pt>
                <c:pt idx="19">
                  <c:v>0.448411652336676</c:v>
                </c:pt>
                <c:pt idx="20">
                  <c:v>0.366526586727471</c:v>
                </c:pt>
                <c:pt idx="21">
                  <c:v>0.236133051632723</c:v>
                </c:pt>
                <c:pt idx="22">
                  <c:v>0.407190971301944</c:v>
                </c:pt>
                <c:pt idx="23">
                  <c:v>0.284062254114473</c:v>
                </c:pt>
                <c:pt idx="24">
                  <c:v>0.230918104836686</c:v>
                </c:pt>
                <c:pt idx="25">
                  <c:v>0.191016923161937</c:v>
                </c:pt>
                <c:pt idx="26">
                  <c:v>0.504784906716679</c:v>
                </c:pt>
                <c:pt idx="27">
                  <c:v>0.607304910054981</c:v>
                </c:pt>
                <c:pt idx="28">
                  <c:v>0.514004500654102</c:v>
                </c:pt>
                <c:pt idx="29">
                  <c:v>0.466192272004771</c:v>
                </c:pt>
                <c:pt idx="30">
                  <c:v>0.209718234930167</c:v>
                </c:pt>
                <c:pt idx="31">
                  <c:v>0.340335643968212</c:v>
                </c:pt>
                <c:pt idx="32">
                  <c:v>0.556281807550332</c:v>
                </c:pt>
                <c:pt idx="33">
                  <c:v>0.561248116263743</c:v>
                </c:pt>
                <c:pt idx="34">
                  <c:v>0.233738441466318</c:v>
                </c:pt>
                <c:pt idx="35">
                  <c:v>0.309281890270477</c:v>
                </c:pt>
                <c:pt idx="36">
                  <c:v>0.284750245725134</c:v>
                </c:pt>
                <c:pt idx="37">
                  <c:v>0.458035049520414</c:v>
                </c:pt>
                <c:pt idx="38">
                  <c:v>0.433253095228647</c:v>
                </c:pt>
                <c:pt idx="39">
                  <c:v>#N/A</c:v>
                </c:pt>
                <c:pt idx="40">
                  <c:v>0.304490985010052</c:v>
                </c:pt>
                <c:pt idx="41">
                  <c:v>0.473411044113399</c:v>
                </c:pt>
                <c:pt idx="42">
                  <c:v>0.171232779152261</c:v>
                </c:pt>
                <c:pt idx="43">
                  <c:v>0.321768131742889</c:v>
                </c:pt>
                <c:pt idx="44">
                  <c:v>0.213776717348702</c:v>
                </c:pt>
                <c:pt idx="45">
                  <c:v>0.132410385794278</c:v>
                </c:pt>
                <c:pt idx="46">
                  <c:v>0.144294620221149</c:v>
                </c:pt>
                <c:pt idx="47">
                  <c:v>0.506626430333632</c:v>
                </c:pt>
                <c:pt idx="48">
                  <c:v>0.364500049684567</c:v>
                </c:pt>
                <c:pt idx="49">
                  <c:v>0.329253704064941</c:v>
                </c:pt>
                <c:pt idx="50">
                  <c:v>0.277628371507319</c:v>
                </c:pt>
                <c:pt idx="51">
                  <c:v>0.245685582009249</c:v>
                </c:pt>
                <c:pt idx="52">
                  <c:v>0.339135586935038</c:v>
                </c:pt>
                <c:pt idx="53">
                  <c:v>0.437041424833823</c:v>
                </c:pt>
                <c:pt idx="54">
                  <c:v>0.512500754028957</c:v>
                </c:pt>
                <c:pt idx="55">
                  <c:v>0.226487126571832</c:v>
                </c:pt>
                <c:pt idx="56">
                  <c:v>0.5517753022802</c:v>
                </c:pt>
                <c:pt idx="57">
                  <c:v>#N/A</c:v>
                </c:pt>
                <c:pt idx="58">
                  <c:v>0.173094676411095</c:v>
                </c:pt>
                <c:pt idx="59">
                  <c:v>0.131692501774687</c:v>
                </c:pt>
                <c:pt idx="60">
                  <c:v>0.345294725572989</c:v>
                </c:pt>
                <c:pt idx="61">
                  <c:v>0.437218057865604</c:v>
                </c:pt>
                <c:pt idx="62">
                  <c:v>0.284837016404487</c:v>
                </c:pt>
                <c:pt idx="63">
                  <c:v>0.122557284871015</c:v>
                </c:pt>
                <c:pt idx="64">
                  <c:v>0.4222313395249</c:v>
                </c:pt>
                <c:pt idx="65">
                  <c:v>0.199839233578194</c:v>
                </c:pt>
                <c:pt idx="66">
                  <c:v>0.337511618057921</c:v>
                </c:pt>
                <c:pt idx="67">
                  <c:v>0.347250832899188</c:v>
                </c:pt>
                <c:pt idx="68">
                  <c:v>0.499903025570066</c:v>
                </c:pt>
                <c:pt idx="69">
                  <c:v>0.514018149096693</c:v>
                </c:pt>
                <c:pt idx="70">
                  <c:v>0.403768689242569</c:v>
                </c:pt>
                <c:pt idx="71">
                  <c:v>0.510542551529011</c:v>
                </c:pt>
                <c:pt idx="72">
                  <c:v>0.351168697779409</c:v>
                </c:pt>
                <c:pt idx="73">
                  <c:v>0.191873793388662</c:v>
                </c:pt>
                <c:pt idx="74">
                  <c:v>0.202895261794417</c:v>
                </c:pt>
                <c:pt idx="75">
                  <c:v>0.433919508406902</c:v>
                </c:pt>
                <c:pt idx="76">
                  <c:v>0.327401428545882</c:v>
                </c:pt>
                <c:pt idx="77">
                  <c:v>0.260709748940999</c:v>
                </c:pt>
                <c:pt idx="78">
                  <c:v>0.424525926695578</c:v>
                </c:pt>
                <c:pt idx="79">
                  <c:v>0.181949540950413</c:v>
                </c:pt>
                <c:pt idx="80">
                  <c:v>0.226473111356543</c:v>
                </c:pt>
                <c:pt idx="81">
                  <c:v>0.171005544231144</c:v>
                </c:pt>
                <c:pt idx="82">
                  <c:v>0.35469333797415</c:v>
                </c:pt>
                <c:pt idx="83">
                  <c:v>0.22907543337547</c:v>
                </c:pt>
                <c:pt idx="84">
                  <c:v>0.286803950900003</c:v>
                </c:pt>
                <c:pt idx="85">
                  <c:v>0.267116233568872</c:v>
                </c:pt>
                <c:pt idx="86">
                  <c:v>0.478812322878887</c:v>
                </c:pt>
                <c:pt idx="87">
                  <c:v>0.465493439038112</c:v>
                </c:pt>
                <c:pt idx="88">
                  <c:v>0.43881568957873</c:v>
                </c:pt>
                <c:pt idx="89">
                  <c:v>0.310238622640339</c:v>
                </c:pt>
                <c:pt idx="90">
                  <c:v>0.298567457112559</c:v>
                </c:pt>
                <c:pt idx="91">
                  <c:v>0.318727488616953</c:v>
                </c:pt>
                <c:pt idx="92">
                  <c:v>0.518325461537754</c:v>
                </c:pt>
                <c:pt idx="93">
                  <c:v>0.214027733603001</c:v>
                </c:pt>
                <c:pt idx="94">
                  <c:v>0.323531661823033</c:v>
                </c:pt>
                <c:pt idx="95">
                  <c:v>0.507886553642259</c:v>
                </c:pt>
                <c:pt idx="96">
                  <c:v>0.541478749368726</c:v>
                </c:pt>
                <c:pt idx="97">
                  <c:v>0.313277365202762</c:v>
                </c:pt>
                <c:pt idx="98">
                  <c:v>#N/A</c:v>
                </c:pt>
                <c:pt idx="99">
                  <c:v>0.219067461887019</c:v>
                </c:pt>
                <c:pt idx="100">
                  <c:v>0.124615796636538</c:v>
                </c:pt>
                <c:pt idx="101">
                  <c:v>0.516846261770086</c:v>
                </c:pt>
                <c:pt idx="102">
                  <c:v>0.478312639473956</c:v>
                </c:pt>
                <c:pt idx="103">
                  <c:v>0.236689514584159</c:v>
                </c:pt>
                <c:pt idx="104">
                  <c:v>0.401616587394411</c:v>
                </c:pt>
                <c:pt idx="105">
                  <c:v>0.533543373046853</c:v>
                </c:pt>
                <c:pt idx="106">
                  <c:v>0.215016413363258</c:v>
                </c:pt>
                <c:pt idx="107">
                  <c:v>0.529314260622496</c:v>
                </c:pt>
                <c:pt idx="108">
                  <c:v>0.513816563635737</c:v>
                </c:pt>
                <c:pt idx="109">
                  <c:v>0.28623206040426</c:v>
                </c:pt>
                <c:pt idx="110">
                  <c:v>0.277915728805955</c:v>
                </c:pt>
                <c:pt idx="111">
                  <c:v>0.560940611416169</c:v>
                </c:pt>
                <c:pt idx="112">
                  <c:v>0.354975121630617</c:v>
                </c:pt>
                <c:pt idx="113">
                  <c:v>0.253089685792756</c:v>
                </c:pt>
                <c:pt idx="114">
                  <c:v>0.271137109776518</c:v>
                </c:pt>
                <c:pt idx="115">
                  <c:v>0.403851179617943</c:v>
                </c:pt>
                <c:pt idx="116">
                  <c:v>#N/A</c:v>
                </c:pt>
                <c:pt idx="117">
                  <c:v>0.379175658102762</c:v>
                </c:pt>
                <c:pt idx="118">
                  <c:v>0.532389367436577</c:v>
                </c:pt>
                <c:pt idx="119">
                  <c:v>0.455510953288932</c:v>
                </c:pt>
                <c:pt idx="120">
                  <c:v>0.435675339846691</c:v>
                </c:pt>
                <c:pt idx="121">
                  <c:v>#N/A</c:v>
                </c:pt>
                <c:pt idx="122">
                  <c:v>0.47105386827893</c:v>
                </c:pt>
                <c:pt idx="123">
                  <c:v>0.199959811183696</c:v>
                </c:pt>
                <c:pt idx="124">
                  <c:v>0.204478456386092</c:v>
                </c:pt>
                <c:pt idx="125">
                  <c:v>0.329359281487294</c:v>
                </c:pt>
                <c:pt idx="126">
                  <c:v>0.53468930524143</c:v>
                </c:pt>
                <c:pt idx="127">
                  <c:v>0.455575110034755</c:v>
                </c:pt>
                <c:pt idx="128">
                  <c:v>0.137179776444496</c:v>
                </c:pt>
                <c:pt idx="129">
                  <c:v>0.295441952153945</c:v>
                </c:pt>
                <c:pt idx="130">
                  <c:v>0.406213820298281</c:v>
                </c:pt>
                <c:pt idx="131">
                  <c:v>0.515021689812751</c:v>
                </c:pt>
                <c:pt idx="132">
                  <c:v>0.325555610962229</c:v>
                </c:pt>
                <c:pt idx="133">
                  <c:v>0.492310508150474</c:v>
                </c:pt>
                <c:pt idx="134">
                  <c:v>0.331689320552575</c:v>
                </c:pt>
                <c:pt idx="135">
                  <c:v>0.365808475884292</c:v>
                </c:pt>
                <c:pt idx="136">
                  <c:v>0.325899248611148</c:v>
                </c:pt>
                <c:pt idx="137">
                  <c:v>0.141935347540665</c:v>
                </c:pt>
                <c:pt idx="138">
                  <c:v>0.242789969050857</c:v>
                </c:pt>
                <c:pt idx="139">
                  <c:v>0.294289911822047</c:v>
                </c:pt>
                <c:pt idx="140">
                  <c:v>#N/A</c:v>
                </c:pt>
                <c:pt idx="141">
                  <c:v>0.254490896394168</c:v>
                </c:pt>
                <c:pt idx="142">
                  <c:v>0.511310875652056</c:v>
                </c:pt>
                <c:pt idx="143">
                  <c:v>0.356048111254532</c:v>
                </c:pt>
                <c:pt idx="144">
                  <c:v>0.324399731650184</c:v>
                </c:pt>
                <c:pt idx="145">
                  <c:v>0.350191385725086</c:v>
                </c:pt>
                <c:pt idx="146">
                  <c:v>0.458997649147139</c:v>
                </c:pt>
                <c:pt idx="147">
                  <c:v>#N/A</c:v>
                </c:pt>
                <c:pt idx="148">
                  <c:v>0.494386696846276</c:v>
                </c:pt>
                <c:pt idx="149">
                  <c:v>0.299832493403731</c:v>
                </c:pt>
                <c:pt idx="150">
                  <c:v>0.447812581111571</c:v>
                </c:pt>
                <c:pt idx="151">
                  <c:v>0.283947155705761</c:v>
                </c:pt>
                <c:pt idx="152">
                  <c:v>#N/A</c:v>
                </c:pt>
                <c:pt idx="153">
                  <c:v>0.561730850869049</c:v>
                </c:pt>
                <c:pt idx="154">
                  <c:v>0.319608237976196</c:v>
                </c:pt>
                <c:pt idx="155">
                  <c:v>0.184866755301736</c:v>
                </c:pt>
                <c:pt idx="156">
                  <c:v>0.173896150070149</c:v>
                </c:pt>
                <c:pt idx="157">
                  <c:v>0.555067108928156</c:v>
                </c:pt>
                <c:pt idx="158">
                  <c:v>0.569121075557922</c:v>
                </c:pt>
                <c:pt idx="159">
                  <c:v>0.360335223689553</c:v>
                </c:pt>
                <c:pt idx="160">
                  <c:v>0.194267117418315</c:v>
                </c:pt>
                <c:pt idx="161">
                  <c:v>0.271843468930479</c:v>
                </c:pt>
                <c:pt idx="162">
                  <c:v>0.513419648091458</c:v>
                </c:pt>
                <c:pt idx="163">
                  <c:v>0.324779727580645</c:v>
                </c:pt>
                <c:pt idx="164">
                  <c:v>0.439553515599713</c:v>
                </c:pt>
                <c:pt idx="165">
                  <c:v>0.165282849644437</c:v>
                </c:pt>
                <c:pt idx="166">
                  <c:v>0.126500544227049</c:v>
                </c:pt>
                <c:pt idx="167">
                  <c:v>0.296227294831084</c:v>
                </c:pt>
                <c:pt idx="168">
                  <c:v>0.36693360182588</c:v>
                </c:pt>
                <c:pt idx="169">
                  <c:v>0.502416013142902</c:v>
                </c:pt>
                <c:pt idx="170">
                  <c:v>0.282612640879943</c:v>
                </c:pt>
                <c:pt idx="171">
                  <c:v>#N/A</c:v>
                </c:pt>
                <c:pt idx="172">
                  <c:v>0.522240947230219</c:v>
                </c:pt>
                <c:pt idx="173">
                  <c:v>0.420964751001026</c:v>
                </c:pt>
                <c:pt idx="174">
                  <c:v>0.293181780346482</c:v>
                </c:pt>
                <c:pt idx="175">
                  <c:v>0.313569502522255</c:v>
                </c:pt>
                <c:pt idx="176">
                  <c:v>0.286861905598567</c:v>
                </c:pt>
                <c:pt idx="177">
                  <c:v>0.29339758395916</c:v>
                </c:pt>
                <c:pt idx="178">
                  <c:v>#N/A</c:v>
                </c:pt>
                <c:pt idx="179">
                  <c:v>0.490021514331581</c:v>
                </c:pt>
                <c:pt idx="180">
                  <c:v>0.247239304314753</c:v>
                </c:pt>
                <c:pt idx="181">
                  <c:v>0.270636301222622</c:v>
                </c:pt>
                <c:pt idx="182">
                  <c:v>0.146472047400574</c:v>
                </c:pt>
                <c:pt idx="183">
                  <c:v>0.18520713479649</c:v>
                </c:pt>
                <c:pt idx="184">
                  <c:v>0.215443276567118</c:v>
                </c:pt>
                <c:pt idx="185">
                  <c:v>0.287387670471666</c:v>
                </c:pt>
                <c:pt idx="186">
                  <c:v>0.466620488670776</c:v>
                </c:pt>
                <c:pt idx="187">
                  <c:v>0.246626251663253</c:v>
                </c:pt>
                <c:pt idx="188">
                  <c:v>0.364101533384547</c:v>
                </c:pt>
                <c:pt idx="189">
                  <c:v>0.516275229844777</c:v>
                </c:pt>
                <c:pt idx="190">
                  <c:v>0.518629825968182</c:v>
                </c:pt>
                <c:pt idx="191">
                  <c:v>0.488995472808215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chemeClr val="tx2">
                  <a:lumMod val="60000"/>
                  <a:lumOff val="40000"/>
                  <a:alpha val="50000"/>
                </a:schemeClr>
              </a:solidFill>
            </a:ln>
          </c:spPr>
          <c:marker>
            <c:symbol val="none"/>
          </c:marker>
          <c:xVal>
            <c:numRef>
              <c:f>'New Data'!$AL$16:$AL$23</c:f>
              <c:numCache>
                <c:formatCode>General</c:formatCode>
                <c:ptCount val="8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</c:numCache>
            </c:numRef>
          </c:xVal>
          <c:yVal>
            <c:numRef>
              <c:f>'New Data'!$AM$16:$AM$23</c:f>
              <c:numCache>
                <c:formatCode>General</c:formatCode>
                <c:ptCount val="8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808296"/>
        <c:axId val="-2111804168"/>
      </c:scatterChart>
      <c:valAx>
        <c:axId val="-2111808296"/>
        <c:scaling>
          <c:orientation val="minMax"/>
          <c:max val="0.7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2011 GAIN Vuln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-2111804168"/>
        <c:crosses val="autoZero"/>
        <c:crossBetween val="midCat"/>
      </c:valAx>
      <c:valAx>
        <c:axId val="-2111804168"/>
        <c:scaling>
          <c:orientation val="minMax"/>
          <c:max val="0.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Expanded Vuln Score 2012</a:t>
                </a:r>
              </a:p>
            </c:rich>
          </c:tx>
          <c:layout>
            <c:manualLayout>
              <c:xMode val="edge"/>
              <c:yMode val="edge"/>
              <c:x val="0.0177838577291382"/>
              <c:y val="0.20348526079443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-2111808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'Threatened Data'!$AC$11</c:f>
              <c:strCache>
                <c:ptCount val="1"/>
                <c:pt idx="0">
                  <c:v>Threatened birds per ln Area</c:v>
                </c:pt>
              </c:strCache>
            </c:strRef>
          </c:tx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0105546806649169"/>
                  <c:y val="-0.185088947214931"/>
                </c:manualLayout>
              </c:layout>
              <c:numFmt formatCode="General" sourceLinked="0"/>
            </c:trendlineLbl>
          </c:trendline>
          <c:xVal>
            <c:numRef>
              <c:f>'Threatened Data'!$AB$12:$AB$203</c:f>
              <c:numCache>
                <c:formatCode>0.00%</c:formatCode>
                <c:ptCount val="192"/>
                <c:pt idx="0">
                  <c:v>0.0718232044198895</c:v>
                </c:pt>
                <c:pt idx="1">
                  <c:v>0.0310880829015544</c:v>
                </c:pt>
                <c:pt idx="2">
                  <c:v>0.0601092896174863</c:v>
                </c:pt>
                <c:pt idx="3">
                  <c:v>#N/A</c:v>
                </c:pt>
                <c:pt idx="4">
                  <c:v>0.0716981132075472</c:v>
                </c:pt>
                <c:pt idx="5">
                  <c:v>#N/A</c:v>
                </c:pt>
                <c:pt idx="6">
                  <c:v>0.138121546961326</c:v>
                </c:pt>
                <c:pt idx="7">
                  <c:v>0.0423728813559322</c:v>
                </c:pt>
                <c:pt idx="8">
                  <c:v>0.0644736842105263</c:v>
                </c:pt>
                <c:pt idx="9">
                  <c:v>0.0391304347826087</c:v>
                </c:pt>
                <c:pt idx="10">
                  <c:v>0.0655021834061135</c:v>
                </c:pt>
                <c:pt idx="11">
                  <c:v>#N/A</c:v>
                </c:pt>
                <c:pt idx="12">
                  <c:v>0.0153846153846154</c:v>
                </c:pt>
                <c:pt idx="13">
                  <c:v>0.162650602409639</c:v>
                </c:pt>
                <c:pt idx="14">
                  <c:v>0.0153846153846154</c:v>
                </c:pt>
                <c:pt idx="15">
                  <c:v>0.0206185567010309</c:v>
                </c:pt>
                <c:pt idx="16">
                  <c:v>0.0104712041884817</c:v>
                </c:pt>
                <c:pt idx="17">
                  <c:v>0.0248447204968944</c:v>
                </c:pt>
                <c:pt idx="18">
                  <c:v>0.0357142857142857</c:v>
                </c:pt>
                <c:pt idx="19">
                  <c:v>0.076555023923445</c:v>
                </c:pt>
                <c:pt idx="20">
                  <c:v>0.0615079365079365</c:v>
                </c:pt>
                <c:pt idx="21">
                  <c:v>0.0292682926829268</c:v>
                </c:pt>
                <c:pt idx="22">
                  <c:v>0.0434782608695652</c:v>
                </c:pt>
                <c:pt idx="23">
                  <c:v>0.180758017492711</c:v>
                </c:pt>
                <c:pt idx="24">
                  <c:v>#N/A</c:v>
                </c:pt>
                <c:pt idx="25">
                  <c:v>0.0483870967741935</c:v>
                </c:pt>
                <c:pt idx="26">
                  <c:v>0.036231884057971</c:v>
                </c:pt>
                <c:pt idx="27">
                  <c:v>0.0620689655172414</c:v>
                </c:pt>
                <c:pt idx="28">
                  <c:v>0.12568306010929</c:v>
                </c:pt>
                <c:pt idx="29">
                  <c:v>0.0848484848484848</c:v>
                </c:pt>
                <c:pt idx="30">
                  <c:v>0.0516129032258064</c:v>
                </c:pt>
                <c:pt idx="31">
                  <c:v>#N/A</c:v>
                </c:pt>
                <c:pt idx="32">
                  <c:v>0.0297619047619048</c:v>
                </c:pt>
                <c:pt idx="33">
                  <c:v>0.049645390070922</c:v>
                </c:pt>
                <c:pt idx="34">
                  <c:v>0.210191082802548</c:v>
                </c:pt>
                <c:pt idx="35">
                  <c:v>0.132686084142395</c:v>
                </c:pt>
                <c:pt idx="36">
                  <c:v>0.127118644067797</c:v>
                </c:pt>
                <c:pt idx="37">
                  <c:v>0.0666666666666667</c:v>
                </c:pt>
                <c:pt idx="38">
                  <c:v>#N/A</c:v>
                </c:pt>
                <c:pt idx="39">
                  <c:v>0.246153846153846</c:v>
                </c:pt>
                <c:pt idx="40">
                  <c:v>0.064516129032258</c:v>
                </c:pt>
                <c:pt idx="41">
                  <c:v>0.0555555555555555</c:v>
                </c:pt>
                <c:pt idx="42">
                  <c:v>0.0446428571428571</c:v>
                </c:pt>
                <c:pt idx="43">
                  <c:v>0.197674418604651</c:v>
                </c:pt>
                <c:pt idx="44">
                  <c:v>#N/A</c:v>
                </c:pt>
                <c:pt idx="45">
                  <c:v>0.0292682926829268</c:v>
                </c:pt>
                <c:pt idx="46">
                  <c:v>0.0102040816326531</c:v>
                </c:pt>
                <c:pt idx="47">
                  <c:v>#N/A</c:v>
                </c:pt>
                <c:pt idx="48">
                  <c:v>#N/A</c:v>
                </c:pt>
                <c:pt idx="49">
                  <c:v>0.0538461538461538</c:v>
                </c:pt>
                <c:pt idx="50">
                  <c:v>0.0432926829268293</c:v>
                </c:pt>
                <c:pt idx="51">
                  <c:v>0.0813008130081301</c:v>
                </c:pt>
                <c:pt idx="52">
                  <c:v>0.0283687943262411</c:v>
                </c:pt>
                <c:pt idx="53">
                  <c:v>0.0290697674418605</c:v>
                </c:pt>
                <c:pt idx="54">
                  <c:v>0.0652173913043478</c:v>
                </c:pt>
                <c:pt idx="55">
                  <c:v>0.0147058823529412</c:v>
                </c:pt>
                <c:pt idx="56">
                  <c:v>0.0801526717557252</c:v>
                </c:pt>
                <c:pt idx="57">
                  <c:v>0.212765957446808</c:v>
                </c:pt>
                <c:pt idx="58">
                  <c:v>0.0164609053497942</c:v>
                </c:pt>
                <c:pt idx="59">
                  <c:v>0.0212014134275618</c:v>
                </c:pt>
                <c:pt idx="60">
                  <c:v>0.032051282051282</c:v>
                </c:pt>
                <c:pt idx="61">
                  <c:v>0.0324675324675325</c:v>
                </c:pt>
                <c:pt idx="62">
                  <c:v>0.0480769230769231</c:v>
                </c:pt>
                <c:pt idx="63">
                  <c:v>0.0242914979757085</c:v>
                </c:pt>
                <c:pt idx="64">
                  <c:v>0.0388349514563107</c:v>
                </c:pt>
                <c:pt idx="65">
                  <c:v>0.0431372549019608</c:v>
                </c:pt>
                <c:pt idx="66">
                  <c:v>#N/A</c:v>
                </c:pt>
                <c:pt idx="67">
                  <c:v>0.0542986425339366</c:v>
                </c:pt>
                <c:pt idx="68">
                  <c:v>0.110091743119266</c:v>
                </c:pt>
                <c:pt idx="69">
                  <c:v>0.00851063829787234</c:v>
                </c:pt>
                <c:pt idx="70">
                  <c:v>0.012396694214876</c:v>
                </c:pt>
                <c:pt idx="71">
                  <c:v>0.209677419354839</c:v>
                </c:pt>
                <c:pt idx="72">
                  <c:v>0.0344827586206896</c:v>
                </c:pt>
                <c:pt idx="73">
                  <c:v>0.0432692307692308</c:v>
                </c:pt>
                <c:pt idx="74">
                  <c:v>0.0</c:v>
                </c:pt>
                <c:pt idx="75">
                  <c:v>0.163755458515284</c:v>
                </c:pt>
                <c:pt idx="76">
                  <c:v>0.122712594187298</c:v>
                </c:pt>
                <c:pt idx="77">
                  <c:v>#N/A</c:v>
                </c:pt>
                <c:pt idx="78">
                  <c:v>0.128571428571429</c:v>
                </c:pt>
                <c:pt idx="79">
                  <c:v>0.00699300699300699</c:v>
                </c:pt>
                <c:pt idx="80">
                  <c:v>0.0802469135802469</c:v>
                </c:pt>
                <c:pt idx="81">
                  <c:v>0.032</c:v>
                </c:pt>
                <c:pt idx="82">
                  <c:v>0.133333333333333</c:v>
                </c:pt>
                <c:pt idx="83">
                  <c:v>0.185714285714286</c:v>
                </c:pt>
                <c:pt idx="84">
                  <c:v>0.0683760683760684</c:v>
                </c:pt>
                <c:pt idx="85">
                  <c:v>0.0554089709762533</c:v>
                </c:pt>
                <c:pt idx="86">
                  <c:v>0.0813953488372093</c:v>
                </c:pt>
                <c:pt idx="87">
                  <c:v>#N/A</c:v>
                </c:pt>
                <c:pt idx="88">
                  <c:v>0.133333333333333</c:v>
                </c:pt>
                <c:pt idx="89">
                  <c:v>#N/A</c:v>
                </c:pt>
                <c:pt idx="90">
                  <c:v>0.228571428571429</c:v>
                </c:pt>
                <c:pt idx="91">
                  <c:v>0.0714285714285714</c:v>
                </c:pt>
                <c:pt idx="92">
                  <c:v>0.0990566037735849</c:v>
                </c:pt>
                <c:pt idx="93">
                  <c:v>0.0138888888888889</c:v>
                </c:pt>
                <c:pt idx="94">
                  <c:v>0.0517241379310345</c:v>
                </c:pt>
                <c:pt idx="95">
                  <c:v>0.040650406504065</c:v>
                </c:pt>
                <c:pt idx="96">
                  <c:v>0.0753424657534246</c:v>
                </c:pt>
                <c:pt idx="97">
                  <c:v>0.0526315789473684</c:v>
                </c:pt>
                <c:pt idx="98">
                  <c:v>#N/A</c:v>
                </c:pt>
                <c:pt idx="99">
                  <c:v>0.0199004975124378</c:v>
                </c:pt>
                <c:pt idx="100">
                  <c:v>#N/A</c:v>
                </c:pt>
                <c:pt idx="101">
                  <c:v>0.203488372093023</c:v>
                </c:pt>
                <c:pt idx="102">
                  <c:v>0.0593607305936073</c:v>
                </c:pt>
                <c:pt idx="103">
                  <c:v>0.165354330708661</c:v>
                </c:pt>
                <c:pt idx="104">
                  <c:v>#N/A</c:v>
                </c:pt>
                <c:pt idx="105">
                  <c:v>0.031413612565445</c:v>
                </c:pt>
                <c:pt idx="106">
                  <c:v>#N/A</c:v>
                </c:pt>
                <c:pt idx="107">
                  <c:v>#N/A</c:v>
                </c:pt>
                <c:pt idx="108">
                  <c:v>0.0465116279069767</c:v>
                </c:pt>
                <c:pt idx="109">
                  <c:v>#N/A</c:v>
                </c:pt>
                <c:pt idx="110">
                  <c:v>0.125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0.050251256281407</c:v>
                </c:pt>
                <c:pt idx="115">
                  <c:v>0.072992700729927</c:v>
                </c:pt>
                <c:pt idx="116">
                  <c:v>#N/A</c:v>
                </c:pt>
                <c:pt idx="117">
                  <c:v>0.0485436893203883</c:v>
                </c:pt>
                <c:pt idx="118">
                  <c:v>0.152777777777778</c:v>
                </c:pt>
                <c:pt idx="119">
                  <c:v>0.125806451612903</c:v>
                </c:pt>
                <c:pt idx="120">
                  <c:v>0.109452736318408</c:v>
                </c:pt>
                <c:pt idx="121">
                  <c:v>#N/A</c:v>
                </c:pt>
                <c:pt idx="122">
                  <c:v>0.116788321167883</c:v>
                </c:pt>
                <c:pt idx="123">
                  <c:v>0.0104166666666667</c:v>
                </c:pt>
                <c:pt idx="124">
                  <c:v>0.363157894736842</c:v>
                </c:pt>
                <c:pt idx="125">
                  <c:v>0.0465116279069767</c:v>
                </c:pt>
                <c:pt idx="126">
                  <c:v>0.04</c:v>
                </c:pt>
                <c:pt idx="127">
                  <c:v>0.041958041958042</c:v>
                </c:pt>
                <c:pt idx="128">
                  <c:v>0.00829875518672199</c:v>
                </c:pt>
                <c:pt idx="129">
                  <c:v>0.0825688073394495</c:v>
                </c:pt>
                <c:pt idx="130">
                  <c:v>0.105485232067511</c:v>
                </c:pt>
                <c:pt idx="131">
                  <c:v>#N/A</c:v>
                </c:pt>
                <c:pt idx="132">
                  <c:v>0.0596026490066225</c:v>
                </c:pt>
                <c:pt idx="133">
                  <c:v>0.0845410628019324</c:v>
                </c:pt>
                <c:pt idx="134">
                  <c:v>0.11587982832618</c:v>
                </c:pt>
                <c:pt idx="135">
                  <c:v>0.135251798561151</c:v>
                </c:pt>
                <c:pt idx="136">
                  <c:v>0.165841584158416</c:v>
                </c:pt>
                <c:pt idx="137">
                  <c:v>0.0257510729613734</c:v>
                </c:pt>
                <c:pt idx="138">
                  <c:v>0.0340425531914894</c:v>
                </c:pt>
                <c:pt idx="139">
                  <c:v>#N/A</c:v>
                </c:pt>
                <c:pt idx="140">
                  <c:v>0.046692607003891</c:v>
                </c:pt>
                <c:pt idx="141">
                  <c:v>0.0151515151515151</c:v>
                </c:pt>
                <c:pt idx="142">
                  <c:v>0.055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0.116666666666667</c:v>
                </c:pt>
                <c:pt idx="147">
                  <c:v>#N/A</c:v>
                </c:pt>
                <c:pt idx="148">
                  <c:v>#N/A</c:v>
                </c:pt>
                <c:pt idx="149">
                  <c:v>0.112</c:v>
                </c:pt>
                <c:pt idx="150">
                  <c:v>0.0457142857142857</c:v>
                </c:pt>
                <c:pt idx="151">
                  <c:v>#N/A</c:v>
                </c:pt>
                <c:pt idx="152">
                  <c:v>#N/A</c:v>
                </c:pt>
                <c:pt idx="153">
                  <c:v>0.0581395348837209</c:v>
                </c:pt>
                <c:pt idx="154">
                  <c:v>0.0985915492957746</c:v>
                </c:pt>
                <c:pt idx="155">
                  <c:v>0.0351758793969849</c:v>
                </c:pt>
                <c:pt idx="156">
                  <c:v>0.0199004975124378</c:v>
                </c:pt>
                <c:pt idx="157">
                  <c:v>0.18018018018018</c:v>
                </c:pt>
                <c:pt idx="158">
                  <c:v>0.0614525139664804</c:v>
                </c:pt>
                <c:pt idx="159">
                  <c:v>0.118421052631579</c:v>
                </c:pt>
                <c:pt idx="160">
                  <c:v>0.0533807829181495</c:v>
                </c:pt>
                <c:pt idx="161">
                  <c:v>0.103174603174603</c:v>
                </c:pt>
                <c:pt idx="162">
                  <c:v>0.0464285714285714</c:v>
                </c:pt>
                <c:pt idx="163">
                  <c:v>0.0</c:v>
                </c:pt>
                <c:pt idx="164">
                  <c:v>#N/A</c:v>
                </c:pt>
                <c:pt idx="165">
                  <c:v>0.0115830115830116</c:v>
                </c:pt>
                <c:pt idx="166">
                  <c:v>0.0100502512562814</c:v>
                </c:pt>
                <c:pt idx="167">
                  <c:v>0.0342105263157895</c:v>
                </c:pt>
                <c:pt idx="168">
                  <c:v>0.0428571428571428</c:v>
                </c:pt>
                <c:pt idx="169">
                  <c:v>0.0386792452830189</c:v>
                </c:pt>
                <c:pt idx="170">
                  <c:v>0.147368421052632</c:v>
                </c:pt>
                <c:pt idx="171">
                  <c:v>#N/A</c:v>
                </c:pt>
                <c:pt idx="172">
                  <c:v>0.0170940170940171</c:v>
                </c:pt>
                <c:pt idx="173">
                  <c:v>#N/A</c:v>
                </c:pt>
                <c:pt idx="174">
                  <c:v>0.0152671755725191</c:v>
                </c:pt>
                <c:pt idx="175">
                  <c:v>0.0484848484848485</c:v>
                </c:pt>
                <c:pt idx="176">
                  <c:v>0.0539568345323741</c:v>
                </c:pt>
                <c:pt idx="177">
                  <c:v>0.0735294117647059</c:v>
                </c:pt>
                <c:pt idx="178">
                  <c:v>#N/A</c:v>
                </c:pt>
                <c:pt idx="179">
                  <c:v>0.0740740740740741</c:v>
                </c:pt>
                <c:pt idx="180">
                  <c:v>0.0489795918367347</c:v>
                </c:pt>
                <c:pt idx="181">
                  <c:v>0.235294117647059</c:v>
                </c:pt>
                <c:pt idx="182">
                  <c:v>0.00873362445414847</c:v>
                </c:pt>
                <c:pt idx="183">
                  <c:v>0.145669291338583</c:v>
                </c:pt>
                <c:pt idx="184">
                  <c:v>0.2</c:v>
                </c:pt>
                <c:pt idx="185">
                  <c:v>0.0738916256157635</c:v>
                </c:pt>
                <c:pt idx="186">
                  <c:v>0.07</c:v>
                </c:pt>
                <c:pt idx="187">
                  <c:v>0.0475319926873857</c:v>
                </c:pt>
                <c:pt idx="188">
                  <c:v>0.137404580152672</c:v>
                </c:pt>
                <c:pt idx="189">
                  <c:v>0.139784946236559</c:v>
                </c:pt>
                <c:pt idx="190">
                  <c:v>0.0515873015873016</c:v>
                </c:pt>
                <c:pt idx="191">
                  <c:v>0.0524017467248908</c:v>
                </c:pt>
              </c:numCache>
            </c:numRef>
          </c:xVal>
          <c:yVal>
            <c:numRef>
              <c:f>'Threatened Data'!$AC$12:$AC$203</c:f>
              <c:numCache>
                <c:formatCode>0.00</c:formatCode>
                <c:ptCount val="192"/>
                <c:pt idx="0">
                  <c:v>0.971007759412951</c:v>
                </c:pt>
                <c:pt idx="1">
                  <c:v>0.58718191897731</c:v>
                </c:pt>
                <c:pt idx="2">
                  <c:v>0.749148259072426</c:v>
                </c:pt>
                <c:pt idx="3">
                  <c:v>0.0</c:v>
                </c:pt>
                <c:pt idx="4">
                  <c:v>1.35366098791513</c:v>
                </c:pt>
                <c:pt idx="5">
                  <c:v>0.164290621037536</c:v>
                </c:pt>
                <c:pt idx="6">
                  <c:v>3.373304809671158</c:v>
                </c:pt>
                <c:pt idx="7">
                  <c:v>0.975888026338515</c:v>
                </c:pt>
                <c:pt idx="8">
                  <c:v>3.090618926279108</c:v>
                </c:pt>
                <c:pt idx="9">
                  <c:v>0.795056702936078</c:v>
                </c:pt>
                <c:pt idx="10">
                  <c:v>1.324840693787902</c:v>
                </c:pt>
                <c:pt idx="11">
                  <c:v>0.542809197067061</c:v>
                </c:pt>
                <c:pt idx="12">
                  <c:v>0.609267107764343</c:v>
                </c:pt>
                <c:pt idx="13">
                  <c:v>2.292682766649469</c:v>
                </c:pt>
                <c:pt idx="14">
                  <c:v>0.164913493071505</c:v>
                </c:pt>
                <c:pt idx="15">
                  <c:v>0.327319692493835</c:v>
                </c:pt>
                <c:pt idx="16">
                  <c:v>0.193831455286112</c:v>
                </c:pt>
                <c:pt idx="17">
                  <c:v>0.398606697582062</c:v>
                </c:pt>
                <c:pt idx="18">
                  <c:v>0.344416181566473</c:v>
                </c:pt>
                <c:pt idx="19">
                  <c:v>1.515774981482348</c:v>
                </c:pt>
                <c:pt idx="20">
                  <c:v>2.230934461735551</c:v>
                </c:pt>
                <c:pt idx="21">
                  <c:v>0.55332714263838</c:v>
                </c:pt>
                <c:pt idx="22">
                  <c:v>0.603881222571634</c:v>
                </c:pt>
                <c:pt idx="23">
                  <c:v>7.773909059947658</c:v>
                </c:pt>
                <c:pt idx="24">
                  <c:v>1.86702452888114</c:v>
                </c:pt>
                <c:pt idx="25">
                  <c:v>1.034882547731026</c:v>
                </c:pt>
                <c:pt idx="26">
                  <c:v>0.399379445344695</c:v>
                </c:pt>
                <c:pt idx="27">
                  <c:v>0.886396669067339</c:v>
                </c:pt>
                <c:pt idx="28">
                  <c:v>1.903786052665593</c:v>
                </c:pt>
                <c:pt idx="29">
                  <c:v>1.071463773527002</c:v>
                </c:pt>
                <c:pt idx="30">
                  <c:v>0.998560105645683</c:v>
                </c:pt>
                <c:pt idx="31">
                  <c:v>0.481839374305476</c:v>
                </c:pt>
                <c:pt idx="32">
                  <c:v>0.374747931487792</c:v>
                </c:pt>
                <c:pt idx="33">
                  <c:v>0.498362978830451</c:v>
                </c:pt>
                <c:pt idx="34">
                  <c:v>2.440913715104447</c:v>
                </c:pt>
                <c:pt idx="35">
                  <c:v>5.109519304626107</c:v>
                </c:pt>
                <c:pt idx="36">
                  <c:v>6.465786639236729</c:v>
                </c:pt>
                <c:pt idx="37">
                  <c:v>1.062652423924597</c:v>
                </c:pt>
                <c:pt idx="38">
                  <c:v>0.235458422233217</c:v>
                </c:pt>
                <c:pt idx="39">
                  <c:v>2.181624261456998</c:v>
                </c:pt>
                <c:pt idx="40">
                  <c:v>1.66040070019127</c:v>
                </c:pt>
                <c:pt idx="41">
                  <c:v>1.104989237306377</c:v>
                </c:pt>
                <c:pt idx="42">
                  <c:v>0.91784622180141</c:v>
                </c:pt>
                <c:pt idx="43">
                  <c:v>1.46468414660878</c:v>
                </c:pt>
                <c:pt idx="44">
                  <c:v>0.547567329137455</c:v>
                </c:pt>
                <c:pt idx="45">
                  <c:v>0.53310577086761</c:v>
                </c:pt>
                <c:pt idx="46">
                  <c:v>0.187694540613411</c:v>
                </c:pt>
                <c:pt idx="47">
                  <c:v>0.596952847213394</c:v>
                </c:pt>
                <c:pt idx="48">
                  <c:v>0.453167194139282</c:v>
                </c:pt>
                <c:pt idx="49">
                  <c:v>1.29802689875867</c:v>
                </c:pt>
                <c:pt idx="50">
                  <c:v>5.665860278655353</c:v>
                </c:pt>
                <c:pt idx="51">
                  <c:v>0.724063143602604</c:v>
                </c:pt>
                <c:pt idx="52">
                  <c:v>0.402460859143011</c:v>
                </c:pt>
                <c:pt idx="53">
                  <c:v>0.488198108005202</c:v>
                </c:pt>
                <c:pt idx="54">
                  <c:v>0.781055021287495</c:v>
                </c:pt>
                <c:pt idx="55">
                  <c:v>0.281566733599971</c:v>
                </c:pt>
                <c:pt idx="56">
                  <c:v>1.520030686661382</c:v>
                </c:pt>
                <c:pt idx="57">
                  <c:v>1.01905472866946</c:v>
                </c:pt>
                <c:pt idx="58">
                  <c:v>0.316829700900895</c:v>
                </c:pt>
                <c:pt idx="59">
                  <c:v>0.454084148552383</c:v>
                </c:pt>
                <c:pt idx="60">
                  <c:v>0.401302307035644</c:v>
                </c:pt>
                <c:pt idx="61">
                  <c:v>0.542868102379065</c:v>
                </c:pt>
                <c:pt idx="62">
                  <c:v>0.896946406710549</c:v>
                </c:pt>
                <c:pt idx="63">
                  <c:v>0.470139557767797</c:v>
                </c:pt>
                <c:pt idx="64">
                  <c:v>0.648556729259397</c:v>
                </c:pt>
                <c:pt idx="65">
                  <c:v>0.934834220183744</c:v>
                </c:pt>
                <c:pt idx="66">
                  <c:v>0.171557613606625</c:v>
                </c:pt>
                <c:pt idx="67">
                  <c:v>1.036083478686876</c:v>
                </c:pt>
                <c:pt idx="68">
                  <c:v>0.966810370397767</c:v>
                </c:pt>
                <c:pt idx="69">
                  <c:v>0.1952317315283</c:v>
                </c:pt>
                <c:pt idx="70">
                  <c:v>0.246099380269495</c:v>
                </c:pt>
                <c:pt idx="71">
                  <c:v>1.271502982946024</c:v>
                </c:pt>
                <c:pt idx="72">
                  <c:v>0.688155969770901</c:v>
                </c:pt>
                <c:pt idx="73">
                  <c:v>0.789250603228277</c:v>
                </c:pt>
                <c:pt idx="74">
                  <c:v>0.0</c:v>
                </c:pt>
                <c:pt idx="75">
                  <c:v>5.031819209116819</c:v>
                </c:pt>
                <c:pt idx="76">
                  <c:v>7.911335069307238</c:v>
                </c:pt>
                <c:pt idx="77">
                  <c:v>1.398288435607306</c:v>
                </c:pt>
                <c:pt idx="78">
                  <c:v>1.385837608341674</c:v>
                </c:pt>
                <c:pt idx="79">
                  <c:v>0.0897644609473268</c:v>
                </c:pt>
                <c:pt idx="80">
                  <c:v>1.302305245291395</c:v>
                </c:pt>
                <c:pt idx="81">
                  <c:v>0.635333545076664</c:v>
                </c:pt>
                <c:pt idx="82">
                  <c:v>1.076417535275375</c:v>
                </c:pt>
                <c:pt idx="83">
                  <c:v>3.045380424732375</c:v>
                </c:pt>
                <c:pt idx="84">
                  <c:v>0.702505225156239</c:v>
                </c:pt>
                <c:pt idx="85">
                  <c:v>1.418089986519916</c:v>
                </c:pt>
                <c:pt idx="86">
                  <c:v>2.112907477864145</c:v>
                </c:pt>
                <c:pt idx="87">
                  <c:v>0.895918966233544</c:v>
                </c:pt>
                <c:pt idx="88">
                  <c:v>1.709597821475775</c:v>
                </c:pt>
                <c:pt idx="89">
                  <c:v>2.438675758404336</c:v>
                </c:pt>
                <c:pt idx="90">
                  <c:v>0.817320934884216</c:v>
                </c:pt>
                <c:pt idx="91">
                  <c:v>0.98650068829204</c:v>
                </c:pt>
                <c:pt idx="92">
                  <c:v>1.700500304749563</c:v>
                </c:pt>
                <c:pt idx="93">
                  <c:v>0.271765868495723</c:v>
                </c:pt>
                <c:pt idx="94">
                  <c:v>0.649837333984149</c:v>
                </c:pt>
                <c:pt idx="95">
                  <c:v>0.484470220061454</c:v>
                </c:pt>
                <c:pt idx="96">
                  <c:v>0.958569638931359</c:v>
                </c:pt>
                <c:pt idx="97">
                  <c:v>0.278153227280637</c:v>
                </c:pt>
                <c:pt idx="98">
                  <c:v>0.0</c:v>
                </c:pt>
                <c:pt idx="99">
                  <c:v>0.362128667382558</c:v>
                </c:pt>
                <c:pt idx="100">
                  <c:v>0.0</c:v>
                </c:pt>
                <c:pt idx="101">
                  <c:v>2.636845692510175</c:v>
                </c:pt>
                <c:pt idx="102">
                  <c:v>1.1351827324466</c:v>
                </c:pt>
                <c:pt idx="103">
                  <c:v>3.306450236451314</c:v>
                </c:pt>
                <c:pt idx="104">
                  <c:v>0.0</c:v>
                </c:pt>
                <c:pt idx="105">
                  <c:v>0.428127486597104</c:v>
                </c:pt>
                <c:pt idx="106">
                  <c:v>0.520082013845551</c:v>
                </c:pt>
                <c:pt idx="107">
                  <c:v>0.962842585364996</c:v>
                </c:pt>
                <c:pt idx="108">
                  <c:v>0.577794682659237</c:v>
                </c:pt>
                <c:pt idx="109">
                  <c:v>1.444367354087552</c:v>
                </c:pt>
                <c:pt idx="110">
                  <c:v>3.798281542423274</c:v>
                </c:pt>
                <c:pt idx="111">
                  <c:v>1.373819208391736</c:v>
                </c:pt>
                <c:pt idx="112">
                  <c:v>0.865307741180046</c:v>
                </c:pt>
                <c:pt idx="113">
                  <c:v>0.0</c:v>
                </c:pt>
                <c:pt idx="114">
                  <c:v>0.985835043140467</c:v>
                </c:pt>
                <c:pt idx="115">
                  <c:v>1.402912201529043</c:v>
                </c:pt>
                <c:pt idx="116">
                  <c:v>1.157074506817128</c:v>
                </c:pt>
                <c:pt idx="117">
                  <c:v>0.768713563925501</c:v>
                </c:pt>
                <c:pt idx="118">
                  <c:v>1.620602822075125</c:v>
                </c:pt>
                <c:pt idx="119">
                  <c:v>2.91259342616555</c:v>
                </c:pt>
                <c:pt idx="120">
                  <c:v>1.615145508755498</c:v>
                </c:pt>
                <c:pt idx="121">
                  <c:v>0.656917477506102</c:v>
                </c:pt>
                <c:pt idx="122">
                  <c:v>2.695180673947667</c:v>
                </c:pt>
                <c:pt idx="123">
                  <c:v>0.191809137042824</c:v>
                </c:pt>
                <c:pt idx="124">
                  <c:v>5.521033721226483</c:v>
                </c:pt>
                <c:pt idx="125">
                  <c:v>0.855054300168655</c:v>
                </c:pt>
                <c:pt idx="126">
                  <c:v>0.35582311805616</c:v>
                </c:pt>
                <c:pt idx="127">
                  <c:v>0.874505178353522</c:v>
                </c:pt>
                <c:pt idx="128">
                  <c:v>0.158407013337199</c:v>
                </c:pt>
                <c:pt idx="129">
                  <c:v>0.71187250203491</c:v>
                </c:pt>
                <c:pt idx="130">
                  <c:v>1.844298697521951</c:v>
                </c:pt>
                <c:pt idx="131">
                  <c:v>0.326199008213216</c:v>
                </c:pt>
                <c:pt idx="132">
                  <c:v>1.604792345899</c:v>
                </c:pt>
                <c:pt idx="133">
                  <c:v>2.687482976931698</c:v>
                </c:pt>
                <c:pt idx="134">
                  <c:v>2.09424945643598</c:v>
                </c:pt>
                <c:pt idx="135">
                  <c:v>6.684505936719824</c:v>
                </c:pt>
                <c:pt idx="136">
                  <c:v>5.315174340016625</c:v>
                </c:pt>
                <c:pt idx="137">
                  <c:v>0.47522475119758</c:v>
                </c:pt>
                <c:pt idx="138">
                  <c:v>0.700274334581503</c:v>
                </c:pt>
                <c:pt idx="139">
                  <c:v>0.427446423033665</c:v>
                </c:pt>
                <c:pt idx="140">
                  <c:v>0.9691747930591</c:v>
                </c:pt>
                <c:pt idx="141">
                  <c:v>0.481595999885456</c:v>
                </c:pt>
                <c:pt idx="142">
                  <c:v>1.087671976724933</c:v>
                </c:pt>
                <c:pt idx="143">
                  <c:v>0.179834068259249</c:v>
                </c:pt>
                <c:pt idx="144">
                  <c:v>0.779610508680694</c:v>
                </c:pt>
                <c:pt idx="145">
                  <c:v>0.33522474177257</c:v>
                </c:pt>
                <c:pt idx="146">
                  <c:v>0.880721165723281</c:v>
                </c:pt>
                <c:pt idx="147">
                  <c:v>0.0</c:v>
                </c:pt>
                <c:pt idx="148">
                  <c:v>1.45625413641741</c:v>
                </c:pt>
                <c:pt idx="149">
                  <c:v>0.96494108912821</c:v>
                </c:pt>
                <c:pt idx="150">
                  <c:v>0.657461803395945</c:v>
                </c:pt>
                <c:pt idx="151">
                  <c:v>0.965829424059573</c:v>
                </c:pt>
                <c:pt idx="152">
                  <c:v>1.630995041066081</c:v>
                </c:pt>
                <c:pt idx="153">
                  <c:v>0.894524020997244</c:v>
                </c:pt>
                <c:pt idx="154">
                  <c:v>2.138454084196667</c:v>
                </c:pt>
                <c:pt idx="155">
                  <c:v>0.64928816252682</c:v>
                </c:pt>
                <c:pt idx="156">
                  <c:v>0.403613830442644</c:v>
                </c:pt>
                <c:pt idx="157">
                  <c:v>1.953200804312704</c:v>
                </c:pt>
                <c:pt idx="158">
                  <c:v>0.824016704735279</c:v>
                </c:pt>
                <c:pt idx="159">
                  <c:v>2.569626469333139</c:v>
                </c:pt>
                <c:pt idx="160">
                  <c:v>1.143264685684368</c:v>
                </c:pt>
                <c:pt idx="161">
                  <c:v>1.173662933893618</c:v>
                </c:pt>
                <c:pt idx="162">
                  <c:v>0.885502547958248</c:v>
                </c:pt>
                <c:pt idx="163">
                  <c:v>0.0</c:v>
                </c:pt>
                <c:pt idx="164">
                  <c:v>0.820288636654705</c:v>
                </c:pt>
                <c:pt idx="165">
                  <c:v>0.232113399591452</c:v>
                </c:pt>
                <c:pt idx="166">
                  <c:v>0.188739165817755</c:v>
                </c:pt>
                <c:pt idx="167">
                  <c:v>1.072547249184231</c:v>
                </c:pt>
                <c:pt idx="168">
                  <c:v>0.759550592538066</c:v>
                </c:pt>
                <c:pt idx="169">
                  <c:v>2.993958089509188</c:v>
                </c:pt>
                <c:pt idx="170">
                  <c:v>3.195396296553601</c:v>
                </c:pt>
                <c:pt idx="171">
                  <c:v>0.520433791905856</c:v>
                </c:pt>
                <c:pt idx="172">
                  <c:v>0.183420012256022</c:v>
                </c:pt>
                <c:pt idx="173">
                  <c:v>0.607971921287668</c:v>
                </c:pt>
                <c:pt idx="174">
                  <c:v>0.234113608365682</c:v>
                </c:pt>
                <c:pt idx="175">
                  <c:v>0.669260033483745</c:v>
                </c:pt>
                <c:pt idx="176">
                  <c:v>1.106711714077676</c:v>
                </c:pt>
                <c:pt idx="177">
                  <c:v>1.148515361634312</c:v>
                </c:pt>
                <c:pt idx="178">
                  <c:v>0.306927676430135</c:v>
                </c:pt>
                <c:pt idx="179">
                  <c:v>1.47644256005848</c:v>
                </c:pt>
                <c:pt idx="180">
                  <c:v>0.904320785317619</c:v>
                </c:pt>
                <c:pt idx="181">
                  <c:v>0.70585336318609</c:v>
                </c:pt>
                <c:pt idx="182">
                  <c:v>0.161337114154717</c:v>
                </c:pt>
                <c:pt idx="183">
                  <c:v>4.616181269900285</c:v>
                </c:pt>
                <c:pt idx="184">
                  <c:v>1.905131802929741</c:v>
                </c:pt>
                <c:pt idx="185">
                  <c:v>1.157337290114445</c:v>
                </c:pt>
                <c:pt idx="186">
                  <c:v>0.74401826144763</c:v>
                </c:pt>
                <c:pt idx="187">
                  <c:v>1.899195935723731</c:v>
                </c:pt>
                <c:pt idx="188">
                  <c:v>2.84707565244822</c:v>
                </c:pt>
                <c:pt idx="189">
                  <c:v>0.986582871909139</c:v>
                </c:pt>
                <c:pt idx="190">
                  <c:v>0.961611287587046</c:v>
                </c:pt>
                <c:pt idx="191">
                  <c:v>0.932705869969694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91272"/>
        <c:axId val="2072952040"/>
      </c:scatterChart>
      <c:valAx>
        <c:axId val="207299127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072952040"/>
        <c:crosses val="autoZero"/>
        <c:crossBetween val="midCat"/>
      </c:valAx>
      <c:valAx>
        <c:axId val="20729520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991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596900</xdr:colOff>
      <xdr:row>3</xdr:row>
      <xdr:rowOff>50800</xdr:rowOff>
    </xdr:from>
    <xdr:to>
      <xdr:col>23</xdr:col>
      <xdr:colOff>800100</xdr:colOff>
      <xdr:row>28</xdr:row>
      <xdr:rowOff>120650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10</xdr:row>
          <xdr:rowOff>139700</xdr:rowOff>
        </xdr:from>
        <xdr:to>
          <xdr:col>1</xdr:col>
          <xdr:colOff>444500</xdr:colOff>
          <xdr:row>12</xdr:row>
          <xdr:rowOff>139700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Graph Them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101600</xdr:colOff>
      <xdr:row>17</xdr:row>
      <xdr:rowOff>114306</xdr:rowOff>
    </xdr:from>
    <xdr:to>
      <xdr:col>30</xdr:col>
      <xdr:colOff>546100</xdr:colOff>
      <xdr:row>32</xdr:row>
      <xdr:rowOff>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Microsoft%20Office%202011/Office/Startup/Excel/Personal%20Macro%20Workbook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PairCompar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noble@gain.org" TargetMode="External"/><Relationship Id="rId2" Type="http://schemas.openxmlformats.org/officeDocument/2006/relationships/hyperlink" Target="mailto:brunosan@gain.or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1" tint="4.9989318521683403E-2"/>
  </sheetPr>
  <dimension ref="A1:D21"/>
  <sheetViews>
    <sheetView tabSelected="1" workbookViewId="0">
      <selection activeCell="G23" sqref="G23"/>
    </sheetView>
  </sheetViews>
  <sheetFormatPr baseColWidth="10" defaultRowHeight="15" x14ac:dyDescent="0"/>
  <cols>
    <col min="2" max="2" width="21.5" style="85" customWidth="1"/>
    <col min="3" max="3" width="2.83203125" style="85" customWidth="1"/>
    <col min="4" max="4" width="43" style="43" customWidth="1"/>
  </cols>
  <sheetData>
    <row r="1" spans="1:4">
      <c r="B1" s="85" t="s">
        <v>556</v>
      </c>
      <c r="D1" s="43" t="s">
        <v>557</v>
      </c>
    </row>
    <row r="4" spans="1:4">
      <c r="A4" s="97" t="s">
        <v>544</v>
      </c>
    </row>
    <row r="5" spans="1:4" ht="30">
      <c r="B5" s="98" t="s">
        <v>543</v>
      </c>
      <c r="C5" s="99"/>
      <c r="D5" s="100" t="s">
        <v>545</v>
      </c>
    </row>
    <row r="7" spans="1:4">
      <c r="B7" s="99" t="s">
        <v>546</v>
      </c>
      <c r="C7" s="99"/>
      <c r="D7" s="100" t="s">
        <v>547</v>
      </c>
    </row>
    <row r="9" spans="1:4" ht="45">
      <c r="B9" s="99" t="s">
        <v>548</v>
      </c>
      <c r="C9" s="99"/>
      <c r="D9" s="100" t="s">
        <v>549</v>
      </c>
    </row>
    <row r="11" spans="1:4">
      <c r="B11" s="101" t="s">
        <v>550</v>
      </c>
      <c r="C11" s="101"/>
      <c r="D11" s="102" t="s">
        <v>553</v>
      </c>
    </row>
    <row r="12" spans="1:4">
      <c r="B12" s="101" t="s">
        <v>551</v>
      </c>
      <c r="C12" s="101"/>
      <c r="D12" s="102"/>
    </row>
    <row r="13" spans="1:4">
      <c r="B13" s="101" t="s">
        <v>552</v>
      </c>
      <c r="C13" s="101"/>
      <c r="D13" s="102"/>
    </row>
    <row r="15" spans="1:4">
      <c r="B15" s="103" t="s">
        <v>554</v>
      </c>
      <c r="C15" s="103"/>
      <c r="D15" s="104" t="s">
        <v>555</v>
      </c>
    </row>
    <row r="16" spans="1:4">
      <c r="B16" s="103" t="s">
        <v>529</v>
      </c>
      <c r="C16" s="103"/>
      <c r="D16" s="104"/>
    </row>
    <row r="19" spans="2:4">
      <c r="B19" s="97" t="s">
        <v>558</v>
      </c>
    </row>
    <row r="20" spans="2:4">
      <c r="B20" s="106" t="s">
        <v>559</v>
      </c>
      <c r="D20" s="105" t="s">
        <v>560</v>
      </c>
    </row>
    <row r="21" spans="2:4">
      <c r="B21" s="85" t="s">
        <v>561</v>
      </c>
      <c r="D21" s="105" t="s">
        <v>562</v>
      </c>
    </row>
  </sheetData>
  <mergeCells count="2">
    <mergeCell ref="D11:D13"/>
    <mergeCell ref="D15:D16"/>
  </mergeCells>
  <hyperlinks>
    <hyperlink ref="D20" r:id="rId1"/>
    <hyperlink ref="D21" r:id="rId2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rgb="FF800000"/>
  </sheetPr>
  <dimension ref="A1:AM207"/>
  <sheetViews>
    <sheetView workbookViewId="0">
      <pane xSplit="2" ySplit="15" topLeftCell="T16" activePane="bottomRight" state="frozen"/>
      <selection pane="topRight" activeCell="C1" sqref="C1"/>
      <selection pane="bottomLeft" activeCell="A16" sqref="A16"/>
      <selection pane="bottomRight" activeCell="AG179" sqref="AG179"/>
    </sheetView>
  </sheetViews>
  <sheetFormatPr baseColWidth="10" defaultRowHeight="15" x14ac:dyDescent="0"/>
  <cols>
    <col min="2" max="2" width="22.1640625" customWidth="1"/>
    <col min="5" max="5" width="12.5" customWidth="1"/>
    <col min="6" max="6" width="11.6640625" customWidth="1"/>
    <col min="9" max="9" width="4" customWidth="1"/>
    <col min="16" max="16" width="22.1640625" customWidth="1"/>
    <col min="20" max="20" width="12.5" customWidth="1"/>
  </cols>
  <sheetData>
    <row r="1" spans="1:39" ht="23">
      <c r="B1" s="86" t="s">
        <v>530</v>
      </c>
      <c r="P1" s="86" t="s">
        <v>482</v>
      </c>
    </row>
    <row r="3" spans="1:39">
      <c r="B3" t="s">
        <v>388</v>
      </c>
      <c r="D3">
        <f>COUNT(D16:D207)</f>
        <v>148</v>
      </c>
      <c r="E3">
        <f>COUNT(E16:E206)</f>
        <v>191</v>
      </c>
      <c r="F3">
        <f t="shared" ref="F3:M3" si="0">COUNT(F16:F207)</f>
        <v>148</v>
      </c>
      <c r="G3">
        <f t="shared" si="0"/>
        <v>187</v>
      </c>
      <c r="H3">
        <f t="shared" si="0"/>
        <v>192</v>
      </c>
      <c r="J3">
        <f t="shared" si="0"/>
        <v>186</v>
      </c>
      <c r="K3">
        <f t="shared" si="0"/>
        <v>183</v>
      </c>
      <c r="L3">
        <f t="shared" si="0"/>
        <v>177</v>
      </c>
      <c r="M3">
        <f t="shared" si="0"/>
        <v>159</v>
      </c>
      <c r="P3" t="s">
        <v>388</v>
      </c>
      <c r="R3">
        <f t="shared" ref="R3:AA3" si="1">COUNT(R16:R207)</f>
        <v>148</v>
      </c>
      <c r="S3">
        <f t="shared" si="1"/>
        <v>192</v>
      </c>
      <c r="T3">
        <f t="shared" si="1"/>
        <v>148</v>
      </c>
      <c r="U3">
        <f t="shared" si="1"/>
        <v>187</v>
      </c>
      <c r="V3">
        <f t="shared" si="1"/>
        <v>192</v>
      </c>
      <c r="W3" s="82">
        <f t="shared" si="1"/>
        <v>189</v>
      </c>
      <c r="X3">
        <f t="shared" si="1"/>
        <v>186</v>
      </c>
      <c r="Y3">
        <f t="shared" si="1"/>
        <v>183</v>
      </c>
      <c r="Z3">
        <f t="shared" si="1"/>
        <v>177</v>
      </c>
      <c r="AA3">
        <f t="shared" si="1"/>
        <v>159</v>
      </c>
      <c r="AB3" s="83">
        <f t="shared" ref="AB3:AE3" si="2">COUNT(AB16:AB207)</f>
        <v>183</v>
      </c>
      <c r="AD3" s="83">
        <f t="shared" si="2"/>
        <v>187</v>
      </c>
      <c r="AE3" s="83">
        <f t="shared" si="2"/>
        <v>181</v>
      </c>
      <c r="AF3" s="83">
        <f t="shared" ref="AF3" si="3">COUNT(AF16:AF207)</f>
        <v>181</v>
      </c>
    </row>
    <row r="4" spans="1:39">
      <c r="B4" t="s">
        <v>386</v>
      </c>
      <c r="D4" s="2">
        <f>mmean(D16:D207)</f>
        <v>1.2617683023665756</v>
      </c>
      <c r="E4" s="2">
        <f>mmean(E16:E206)</f>
        <v>51.210472046572129</v>
      </c>
      <c r="F4" s="2">
        <f t="shared" ref="F4:M4" si="4">mmean(F16:F207)</f>
        <v>0.28356667793221396</v>
      </c>
      <c r="G4" s="2">
        <f t="shared" si="4"/>
        <v>0.35194575772047892</v>
      </c>
      <c r="H4" s="2">
        <f t="shared" si="4"/>
        <v>0.29377544071910361</v>
      </c>
      <c r="I4" s="2"/>
      <c r="J4" s="2">
        <f t="shared" si="4"/>
        <v>61.812876946503614</v>
      </c>
      <c r="K4" s="2">
        <f t="shared" si="4"/>
        <v>37.163395786979926</v>
      </c>
      <c r="L4" s="2">
        <f t="shared" si="4"/>
        <v>13.649717514124294</v>
      </c>
      <c r="M4" s="2">
        <f t="shared" si="4"/>
        <v>24.428930817610055</v>
      </c>
      <c r="P4" t="s">
        <v>386</v>
      </c>
      <c r="R4" s="2">
        <f t="shared" ref="R4:AA4" si="5">mmean(R16:R207)</f>
        <v>0.42594796605356983</v>
      </c>
      <c r="S4" s="2">
        <f t="shared" si="5"/>
        <v>0.49055351506641531</v>
      </c>
      <c r="T4" s="2">
        <f t="shared" si="5"/>
        <v>0.41027462957141864</v>
      </c>
      <c r="U4" s="2">
        <f t="shared" si="5"/>
        <v>0.35194575772047892</v>
      </c>
      <c r="V4" s="2">
        <f t="shared" si="5"/>
        <v>0.54696981724675164</v>
      </c>
      <c r="W4" s="11">
        <f t="shared" si="5"/>
        <v>0.45362734403372124</v>
      </c>
      <c r="X4" s="2">
        <f t="shared" si="5"/>
        <v>0.29589093663898808</v>
      </c>
      <c r="Y4" s="2">
        <f t="shared" si="5"/>
        <v>0.37673868626777357</v>
      </c>
      <c r="Z4" s="2">
        <f t="shared" si="5"/>
        <v>0.32344632768361564</v>
      </c>
      <c r="AA4" s="2">
        <f t="shared" si="5"/>
        <v>0.33561545372866131</v>
      </c>
      <c r="AB4" s="84">
        <f t="shared" ref="AB4:AE4" si="6">mmean(AB16:AB207)</f>
        <v>0.33584019140341342</v>
      </c>
      <c r="AD4" s="87">
        <f t="shared" si="6"/>
        <v>0.32961702257536218</v>
      </c>
      <c r="AE4" s="87">
        <f t="shared" si="6"/>
        <v>0.34858959029608322</v>
      </c>
      <c r="AF4" s="87">
        <f t="shared" ref="AF4" si="7">mmean(AF16:AF207)</f>
        <v>2.7419413878580743E-2</v>
      </c>
    </row>
    <row r="5" spans="1:39">
      <c r="B5" t="s">
        <v>387</v>
      </c>
      <c r="D5" s="2">
        <f>mstDev(D16:D207)</f>
        <v>3.6202912548210882</v>
      </c>
      <c r="E5" s="2">
        <f>mstDev(E16:E206)</f>
        <v>35.161828617170578</v>
      </c>
      <c r="F5" s="2">
        <f t="shared" ref="F5:M5" si="8">mstDev(F16:F207)</f>
        <v>0.28660381074457397</v>
      </c>
      <c r="G5" s="2">
        <f t="shared" si="8"/>
        <v>0.21624879890344578</v>
      </c>
      <c r="H5" s="2">
        <f t="shared" si="8"/>
        <v>0.23297615486829687</v>
      </c>
      <c r="I5" s="2"/>
      <c r="J5" s="2">
        <f t="shared" si="8"/>
        <v>184.16769583669833</v>
      </c>
      <c r="K5" s="2">
        <f t="shared" si="8"/>
        <v>22.321473554618461</v>
      </c>
      <c r="L5" s="2">
        <f t="shared" si="8"/>
        <v>16.547844285221267</v>
      </c>
      <c r="M5" s="2">
        <f t="shared" si="8"/>
        <v>28.677045788901054</v>
      </c>
      <c r="P5" t="s">
        <v>387</v>
      </c>
      <c r="R5" s="2">
        <f t="shared" ref="R5:AA5" si="9">mstDev(R16:R207)</f>
        <v>0.1830055375970005</v>
      </c>
      <c r="S5" s="2">
        <f t="shared" si="9"/>
        <v>0.35262561848298069</v>
      </c>
      <c r="T5" s="2">
        <f t="shared" si="9"/>
        <v>0.3520492002459632</v>
      </c>
      <c r="U5" s="2">
        <f t="shared" si="9"/>
        <v>0.21624879890344578</v>
      </c>
      <c r="V5" s="2">
        <f t="shared" si="9"/>
        <v>0.30831859733717704</v>
      </c>
      <c r="W5" s="11">
        <f t="shared" si="9"/>
        <v>0.17492203676867452</v>
      </c>
      <c r="X5" s="2">
        <f t="shared" si="9"/>
        <v>0.30537643378978463</v>
      </c>
      <c r="Y5" s="2">
        <f t="shared" si="9"/>
        <v>0.28082038832660017</v>
      </c>
      <c r="Z5" s="2">
        <f t="shared" si="9"/>
        <v>0.34605280518717779</v>
      </c>
      <c r="AA5" s="2">
        <f t="shared" si="9"/>
        <v>0.38328948219777997</v>
      </c>
      <c r="AB5" s="84">
        <f t="shared" ref="AB5:AE5" si="10">mstDev(AB16:AB207)</f>
        <v>0.20743968693569889</v>
      </c>
      <c r="AD5" s="87">
        <f t="shared" si="10"/>
        <v>0.12144127777152629</v>
      </c>
      <c r="AE5" s="87">
        <f t="shared" si="10"/>
        <v>0.12536797562346597</v>
      </c>
      <c r="AF5" s="87">
        <f t="shared" ref="AF5" si="11">mstDev(AF16:AF207)</f>
        <v>2.2484791336913477E-2</v>
      </c>
    </row>
    <row r="6" spans="1:39">
      <c r="B6" s="61" t="s">
        <v>474</v>
      </c>
      <c r="C6" s="61"/>
      <c r="D6" s="62">
        <f>mmedian(D16:D207)</f>
        <v>7.5069322316897613E-2</v>
      </c>
      <c r="E6" s="62">
        <f>mmedian(E16:E206)</f>
        <v>53.24</v>
      </c>
      <c r="F6" s="62">
        <f t="shared" ref="F6:M6" si="12">mmedian(F16:F207)</f>
        <v>0.18348182571977772</v>
      </c>
      <c r="G6" s="62">
        <f t="shared" si="12"/>
        <v>0.31015338064435988</v>
      </c>
      <c r="H6" s="62">
        <f t="shared" si="12"/>
        <v>0.23692930745895713</v>
      </c>
      <c r="I6" s="62"/>
      <c r="J6" s="62">
        <f t="shared" si="12"/>
        <v>47.730772058100925</v>
      </c>
      <c r="K6" s="62">
        <f t="shared" si="12"/>
        <v>31.437584098415204</v>
      </c>
      <c r="L6" s="62">
        <f t="shared" si="12"/>
        <v>8</v>
      </c>
      <c r="M6" s="62">
        <f t="shared" si="12"/>
        <v>13</v>
      </c>
      <c r="P6" s="61" t="s">
        <v>474</v>
      </c>
      <c r="Q6" s="61"/>
      <c r="R6" s="62">
        <f t="shared" ref="R6:AA6" si="13">mmedian(R16:R207)</f>
        <v>0.49249306776831026</v>
      </c>
      <c r="S6" s="62">
        <f t="shared" si="13"/>
        <v>0.48175000000000001</v>
      </c>
      <c r="T6" s="62">
        <f t="shared" si="13"/>
        <v>0.30580304286629623</v>
      </c>
      <c r="U6" s="62">
        <f t="shared" si="13"/>
        <v>0.31015338064435988</v>
      </c>
      <c r="V6" s="62">
        <f t="shared" si="13"/>
        <v>0.60511782090173805</v>
      </c>
      <c r="W6" s="62">
        <f t="shared" si="13"/>
        <v>0.46991132218955123</v>
      </c>
      <c r="X6" s="62">
        <f t="shared" si="13"/>
        <v>0.23865386029050462</v>
      </c>
      <c r="Y6" s="62">
        <f t="shared" si="13"/>
        <v>0.30625120140593148</v>
      </c>
      <c r="Z6" s="62">
        <f t="shared" si="13"/>
        <v>0.2</v>
      </c>
      <c r="AA6" s="62">
        <f t="shared" si="13"/>
        <v>0.18571428571428572</v>
      </c>
      <c r="AB6" s="62">
        <f t="shared" ref="AB6:AE6" si="14">mmedian(AB16:AB207)</f>
        <v>0.3293411025063393</v>
      </c>
      <c r="AD6" s="88">
        <f t="shared" si="14"/>
        <v>0.29933438065532264</v>
      </c>
      <c r="AE6" s="88">
        <f t="shared" si="14"/>
        <v>0.3274014285458825</v>
      </c>
      <c r="AF6" s="88">
        <f t="shared" ref="AF6" si="15">mmedian(AF16:AF207)</f>
        <v>2.3229403134294169E-2</v>
      </c>
    </row>
    <row r="7" spans="1:39">
      <c r="B7" t="s">
        <v>475</v>
      </c>
      <c r="D7" s="2">
        <f>mpercentile(D$16:D$207,0.05)</f>
        <v>-1.2561370859671954</v>
      </c>
      <c r="E7" s="2">
        <f>mpercentile(E$16:E$206,0.05)</f>
        <v>0.45800006866455079</v>
      </c>
      <c r="F7" s="2">
        <f t="shared" ref="F7:M7" si="16">mpercentile(F$16:F$207,0.05)</f>
        <v>1.1202590255613737E-2</v>
      </c>
      <c r="G7" s="2">
        <f t="shared" si="16"/>
        <v>6.2147661340246345E-2</v>
      </c>
      <c r="H7" s="2">
        <f t="shared" si="16"/>
        <v>0</v>
      </c>
      <c r="I7" s="2"/>
      <c r="J7" s="2">
        <f t="shared" si="16"/>
        <v>-102.05528130868437</v>
      </c>
      <c r="K7" s="2">
        <f t="shared" si="16"/>
        <v>7.7351668626713534</v>
      </c>
      <c r="L7" s="2">
        <f t="shared" si="16"/>
        <v>-2</v>
      </c>
      <c r="M7" s="2">
        <f t="shared" si="16"/>
        <v>0</v>
      </c>
      <c r="P7" t="s">
        <v>475</v>
      </c>
      <c r="R7" s="2">
        <f>mpercentile(R$16:R$207,0.05)</f>
        <v>0</v>
      </c>
      <c r="S7" s="2">
        <f t="shared" ref="S7:AF7" si="17">mpercentile(S$16:S$207,0.05)</f>
        <v>0</v>
      </c>
      <c r="T7" s="2">
        <f t="shared" si="17"/>
        <v>1.8670983759356229E-2</v>
      </c>
      <c r="U7" s="2">
        <f t="shared" si="17"/>
        <v>6.2147661340246345E-2</v>
      </c>
      <c r="V7" s="2">
        <f t="shared" si="17"/>
        <v>0</v>
      </c>
      <c r="W7" s="11">
        <f t="shared" si="17"/>
        <v>0.14664970992631665</v>
      </c>
      <c r="X7" s="2">
        <f t="shared" si="17"/>
        <v>0</v>
      </c>
      <c r="Y7" s="2">
        <f t="shared" si="17"/>
        <v>0</v>
      </c>
      <c r="Z7" s="2">
        <f t="shared" si="17"/>
        <v>0</v>
      </c>
      <c r="AA7" s="2">
        <f t="shared" si="17"/>
        <v>0</v>
      </c>
      <c r="AB7" s="84">
        <f t="shared" si="17"/>
        <v>4.3373956312524366E-2</v>
      </c>
      <c r="AD7" s="87">
        <f t="shared" si="17"/>
        <v>0.16352015591784952</v>
      </c>
      <c r="AE7" s="87">
        <f t="shared" si="17"/>
        <v>0.14835313480071194</v>
      </c>
      <c r="AF7" s="87">
        <f t="shared" si="17"/>
        <v>1.8806913651780496E-3</v>
      </c>
    </row>
    <row r="8" spans="1:39">
      <c r="B8" t="s">
        <v>476</v>
      </c>
      <c r="D8" s="2">
        <f>mpercentile(D$16:D$207,0.1)</f>
        <v>-0.82522340355844903</v>
      </c>
      <c r="E8" s="2">
        <f>mpercentile(E$16:E$206,0.1)</f>
        <v>2.7840000915527341</v>
      </c>
      <c r="F8" s="2">
        <f t="shared" ref="F8:M8" si="18">mpercentile(F$16:F$207,0.1)</f>
        <v>2.0086400630256303E-2</v>
      </c>
      <c r="G8" s="2">
        <f t="shared" si="18"/>
        <v>0.11084635967209117</v>
      </c>
      <c r="H8" s="2">
        <f t="shared" si="18"/>
        <v>1.2960254161452337E-2</v>
      </c>
      <c r="I8" s="2"/>
      <c r="J8" s="2">
        <f t="shared" si="18"/>
        <v>-35.47091574906058</v>
      </c>
      <c r="K8" s="2">
        <f t="shared" si="18"/>
        <v>13.678135751024216</v>
      </c>
      <c r="L8" s="2">
        <f t="shared" si="18"/>
        <v>0</v>
      </c>
      <c r="M8" s="2">
        <f t="shared" si="18"/>
        <v>0</v>
      </c>
      <c r="P8" t="s">
        <v>476</v>
      </c>
      <c r="R8" s="2">
        <f>mpercentile(R$16:R$207,0.1)</f>
        <v>0</v>
      </c>
      <c r="S8" s="2">
        <f t="shared" ref="S8:AF8" si="19">mpercentile(S$16:S$207,0.1)</f>
        <v>2.8500040054321371E-3</v>
      </c>
      <c r="T8" s="2">
        <f t="shared" si="19"/>
        <v>3.3477334383760507E-2</v>
      </c>
      <c r="U8" s="2">
        <f t="shared" si="19"/>
        <v>0.11084635967209117</v>
      </c>
      <c r="V8" s="2">
        <f t="shared" si="19"/>
        <v>0</v>
      </c>
      <c r="W8" s="11">
        <f t="shared" si="19"/>
        <v>0.18477593984673377</v>
      </c>
      <c r="X8" s="2">
        <f t="shared" si="19"/>
        <v>0</v>
      </c>
      <c r="Y8" s="2">
        <f t="shared" si="19"/>
        <v>5.2544796443203083E-2</v>
      </c>
      <c r="Z8" s="2">
        <f t="shared" si="19"/>
        <v>0</v>
      </c>
      <c r="AA8" s="2">
        <f t="shared" si="19"/>
        <v>0</v>
      </c>
      <c r="AB8" s="84">
        <f t="shared" si="19"/>
        <v>5.8598189414372892E-2</v>
      </c>
      <c r="AD8" s="87">
        <f t="shared" si="19"/>
        <v>0.18637545302305264</v>
      </c>
      <c r="AE8" s="87">
        <f t="shared" si="19"/>
        <v>0.18493483146037612</v>
      </c>
      <c r="AF8" s="87">
        <f t="shared" si="19"/>
        <v>3.5134176464267641E-3</v>
      </c>
    </row>
    <row r="9" spans="1:39">
      <c r="B9" t="s">
        <v>477</v>
      </c>
      <c r="D9" s="2">
        <f>mpercentile(D$16:D$207,0.9)</f>
        <v>5.5341547905721251</v>
      </c>
      <c r="E9" s="2">
        <f>mpercentile(E$16:E$206,0.9)</f>
        <v>99.749995727539059</v>
      </c>
      <c r="F9" s="2">
        <f t="shared" ref="F9:M9" si="20">mpercentile(F$16:F$207,0.9)</f>
        <v>0.78617444909410361</v>
      </c>
      <c r="G9" s="2">
        <f t="shared" si="20"/>
        <v>0.6705880530272964</v>
      </c>
      <c r="H9" s="2">
        <f t="shared" si="20"/>
        <v>0.63861068943451837</v>
      </c>
      <c r="I9" s="2"/>
      <c r="J9" s="2">
        <f t="shared" si="20"/>
        <v>191.14241329704188</v>
      </c>
      <c r="K9" s="2">
        <f t="shared" si="20"/>
        <v>71.645522703227542</v>
      </c>
      <c r="L9" s="2">
        <f t="shared" si="20"/>
        <v>37.599990844726562</v>
      </c>
      <c r="M9" s="2">
        <f t="shared" si="20"/>
        <v>68.900000000000006</v>
      </c>
      <c r="P9" t="s">
        <v>477</v>
      </c>
      <c r="R9" s="2">
        <f>mpercentile(R$16:R$207,0.9)</f>
        <v>0.58252227551768121</v>
      </c>
      <c r="S9" s="2">
        <f t="shared" ref="S9:AF9" si="21">mpercentile(S$16:S$207,0.9)</f>
        <v>0.97645998229980469</v>
      </c>
      <c r="T9" s="2">
        <f t="shared" si="21"/>
        <v>1</v>
      </c>
      <c r="U9" s="2">
        <f t="shared" si="21"/>
        <v>0.6705880530272964</v>
      </c>
      <c r="V9" s="2">
        <f t="shared" si="21"/>
        <v>0.97839952489823012</v>
      </c>
      <c r="W9" s="11">
        <f t="shared" si="21"/>
        <v>0.66307685516823356</v>
      </c>
      <c r="X9" s="2">
        <f t="shared" si="21"/>
        <v>0.95571206648520945</v>
      </c>
      <c r="Y9" s="2">
        <f t="shared" si="21"/>
        <v>0.880650324331822</v>
      </c>
      <c r="Z9" s="2">
        <f t="shared" si="21"/>
        <v>0.93999977111816413</v>
      </c>
      <c r="AA9" s="2">
        <f t="shared" si="21"/>
        <v>0.98428571428571432</v>
      </c>
      <c r="AB9" s="84">
        <f t="shared" si="21"/>
        <v>0.59763589057624666</v>
      </c>
      <c r="AD9" s="87">
        <f t="shared" si="21"/>
        <v>0.49915612743073712</v>
      </c>
      <c r="AE9" s="87">
        <f t="shared" si="21"/>
        <v>0.51802962609837988</v>
      </c>
      <c r="AF9" s="87">
        <f t="shared" si="21"/>
        <v>5.7882973238097664E-2</v>
      </c>
    </row>
    <row r="10" spans="1:39">
      <c r="B10" t="s">
        <v>478</v>
      </c>
      <c r="D10" s="2">
        <f>mpercentile(D$16:D$207,0.95)</f>
        <v>9.355710398732473</v>
      </c>
      <c r="E10" s="2">
        <f>mpercentile(E$16:E$206,0.95)</f>
        <v>100</v>
      </c>
      <c r="F10" s="2">
        <f t="shared" ref="F10:M10" si="22">mpercentile(F$16:F$207,0.95)</f>
        <v>0.96454120120043685</v>
      </c>
      <c r="G10" s="2">
        <f t="shared" si="22"/>
        <v>0.79044113081940792</v>
      </c>
      <c r="H10" s="2">
        <f t="shared" si="22"/>
        <v>0.83268893081645423</v>
      </c>
      <c r="I10" s="2"/>
      <c r="J10" s="2">
        <f t="shared" si="22"/>
        <v>263.16638718470591</v>
      </c>
      <c r="K10" s="2">
        <f t="shared" si="22"/>
        <v>91.647639966296651</v>
      </c>
      <c r="L10" s="2">
        <f t="shared" si="22"/>
        <v>48</v>
      </c>
      <c r="M10" s="2">
        <f t="shared" si="22"/>
        <v>78.900000000000006</v>
      </c>
      <c r="P10" t="s">
        <v>478</v>
      </c>
      <c r="R10" s="2">
        <f>mpercentile(R$16:R$207,0.95)</f>
        <v>0.62561376899970134</v>
      </c>
      <c r="S10" s="2">
        <f t="shared" ref="S10:AF10" si="23">mpercentile(S$16:S$207,0.95)</f>
        <v>0.99712175933219838</v>
      </c>
      <c r="T10" s="2">
        <f t="shared" si="23"/>
        <v>1</v>
      </c>
      <c r="U10" s="2">
        <f t="shared" si="23"/>
        <v>0.79044113081940792</v>
      </c>
      <c r="V10" s="2">
        <f t="shared" si="23"/>
        <v>1</v>
      </c>
      <c r="W10" s="11">
        <f t="shared" si="23"/>
        <v>0.71584265291286076</v>
      </c>
      <c r="X10" s="2">
        <f t="shared" si="23"/>
        <v>1</v>
      </c>
      <c r="Y10" s="2">
        <f t="shared" si="23"/>
        <v>1</v>
      </c>
      <c r="Z10" s="2">
        <f t="shared" si="23"/>
        <v>1</v>
      </c>
      <c r="AA10" s="2">
        <f t="shared" si="23"/>
        <v>1</v>
      </c>
      <c r="AB10" s="84">
        <f t="shared" si="23"/>
        <v>0.6809512862573619</v>
      </c>
      <c r="AD10" s="87">
        <f t="shared" si="23"/>
        <v>0.5339283222249539</v>
      </c>
      <c r="AE10" s="87">
        <f t="shared" si="23"/>
        <v>0.55074558414388097</v>
      </c>
      <c r="AF10" s="87">
        <f t="shared" si="23"/>
        <v>7.3126508538429835E-2</v>
      </c>
    </row>
    <row r="12" spans="1:39">
      <c r="B12" t="s">
        <v>472</v>
      </c>
      <c r="D12" s="50">
        <v>-5</v>
      </c>
      <c r="E12">
        <v>0</v>
      </c>
      <c r="F12" s="49">
        <v>0</v>
      </c>
      <c r="G12">
        <v>0</v>
      </c>
      <c r="H12">
        <v>0</v>
      </c>
      <c r="J12">
        <v>0</v>
      </c>
      <c r="K12">
        <v>10</v>
      </c>
      <c r="L12">
        <v>0</v>
      </c>
      <c r="M12">
        <v>0</v>
      </c>
    </row>
    <row r="13" spans="1:39">
      <c r="B13" t="s">
        <v>473</v>
      </c>
      <c r="D13" s="50">
        <v>5</v>
      </c>
      <c r="E13">
        <v>100</v>
      </c>
      <c r="F13" s="49">
        <v>0.6</v>
      </c>
      <c r="G13">
        <v>1</v>
      </c>
      <c r="H13">
        <v>0.6</v>
      </c>
      <c r="J13">
        <v>200</v>
      </c>
      <c r="K13">
        <v>80</v>
      </c>
      <c r="L13">
        <v>40</v>
      </c>
      <c r="M13">
        <v>70</v>
      </c>
      <c r="V13" s="27" t="s">
        <v>527</v>
      </c>
      <c r="W13">
        <v>2</v>
      </c>
      <c r="AB13">
        <v>2</v>
      </c>
    </row>
    <row r="14" spans="1:39">
      <c r="B14" t="s">
        <v>528</v>
      </c>
      <c r="D14">
        <v>1</v>
      </c>
      <c r="E14">
        <v>1</v>
      </c>
      <c r="H14">
        <v>1</v>
      </c>
    </row>
    <row r="15" spans="1:39" ht="60">
      <c r="A15" s="5"/>
      <c r="B15" s="3"/>
      <c r="C15" s="7" t="s">
        <v>394</v>
      </c>
      <c r="D15" s="8" t="s">
        <v>395</v>
      </c>
      <c r="E15" s="63" t="s">
        <v>396</v>
      </c>
      <c r="F15" s="9" t="s">
        <v>397</v>
      </c>
      <c r="G15" s="9" t="s">
        <v>398</v>
      </c>
      <c r="H15" s="9" t="s">
        <v>399</v>
      </c>
      <c r="I15" s="10"/>
      <c r="J15" s="4" t="s">
        <v>390</v>
      </c>
      <c r="K15" s="5" t="s">
        <v>385</v>
      </c>
      <c r="L15" s="5" t="s">
        <v>389</v>
      </c>
      <c r="M15" s="5" t="s">
        <v>393</v>
      </c>
      <c r="O15" s="51"/>
      <c r="P15" s="3"/>
      <c r="Q15" s="7" t="s">
        <v>394</v>
      </c>
      <c r="R15" s="8" t="s">
        <v>395</v>
      </c>
      <c r="S15" s="7" t="s">
        <v>396</v>
      </c>
      <c r="T15" s="9" t="s">
        <v>397</v>
      </c>
      <c r="U15" s="9" t="s">
        <v>398</v>
      </c>
      <c r="V15" s="9" t="s">
        <v>399</v>
      </c>
      <c r="W15" s="10" t="s">
        <v>400</v>
      </c>
      <c r="X15" s="4" t="s">
        <v>390</v>
      </c>
      <c r="Y15" s="4" t="s">
        <v>385</v>
      </c>
      <c r="Z15" s="5" t="s">
        <v>389</v>
      </c>
      <c r="AA15" s="5" t="s">
        <v>393</v>
      </c>
      <c r="AB15" s="81" t="s">
        <v>526</v>
      </c>
      <c r="AD15" s="24" t="s">
        <v>532</v>
      </c>
      <c r="AE15" s="24" t="s">
        <v>531</v>
      </c>
      <c r="AF15" s="24" t="s">
        <v>535</v>
      </c>
    </row>
    <row r="16" spans="1:39">
      <c r="A16" s="1" t="s">
        <v>173</v>
      </c>
      <c r="B16" s="1" t="s">
        <v>192</v>
      </c>
      <c r="C16" t="e">
        <f>NA()</f>
        <v>#N/A</v>
      </c>
      <c r="D16" s="64">
        <v>-0.12261152420077015</v>
      </c>
      <c r="E16" s="2">
        <v>2.1800000000000002</v>
      </c>
      <c r="F16" s="78" t="e">
        <v>#N/A</v>
      </c>
      <c r="G16" s="2">
        <v>0.1991155006049663</v>
      </c>
      <c r="H16" s="46">
        <v>0.15390279800752771</v>
      </c>
      <c r="I16" s="46"/>
      <c r="J16" s="47">
        <v>53.147952836171008</v>
      </c>
      <c r="K16" s="47">
        <v>43.756239915788065</v>
      </c>
      <c r="L16">
        <v>30</v>
      </c>
      <c r="M16" t="e">
        <v>#N/A</v>
      </c>
      <c r="O16" s="1" t="s">
        <v>173</v>
      </c>
      <c r="P16" s="1" t="s">
        <v>192</v>
      </c>
      <c r="Q16" s="2" t="e">
        <f>IF(C$14&lt;&gt;1,MIN(1,MAX(0,(C16-C$12)/(C$13-C$12))),1-MIN(1,MAX(0,(C16-C$12)/(C$13-C$12))))</f>
        <v>#N/A</v>
      </c>
      <c r="R16" s="2">
        <f t="shared" ref="R16:X16" si="24">IF(D$14&lt;&gt;1,MIN(1,MAX(0,(D16-D$12)/(D$13-D$12))),1-MIN(1,MAX(0,(D16-D$12)/(D$13-D$12))))</f>
        <v>0.51226115242007697</v>
      </c>
      <c r="S16" s="2">
        <f t="shared" si="24"/>
        <v>0.97819999999999996</v>
      </c>
      <c r="T16" s="2" t="e">
        <f t="shared" si="24"/>
        <v>#N/A</v>
      </c>
      <c r="U16" s="2">
        <f t="shared" si="24"/>
        <v>0.1991155006049663</v>
      </c>
      <c r="V16" s="2">
        <f t="shared" si="24"/>
        <v>0.74349533665412049</v>
      </c>
      <c r="W16" s="11">
        <f>IF(COUNT(Q16:V16)&gt;$W$13,mmean(Q16:V16),NA())</f>
        <v>0.60826799741979087</v>
      </c>
      <c r="X16" s="2">
        <f t="shared" si="24"/>
        <v>0.26573976418085504</v>
      </c>
      <c r="Y16" s="2">
        <f t="shared" ref="Y16" si="25">IF(K$14&lt;&gt;1,MIN(1,MAX(0,(K16-K$12)/(K$13-K$12))),1-MIN(1,MAX(0,(K16-K$12)/(K$13-K$12))))</f>
        <v>0.48223199879697237</v>
      </c>
      <c r="Z16" s="2">
        <f t="shared" ref="Z16" si="26">IF(L$14&lt;&gt;1,MIN(1,MAX(0,(L16-L$12)/(L$13-L$12))),1-MIN(1,MAX(0,(L16-L$12)/(L$13-L$12))))</f>
        <v>0.75</v>
      </c>
      <c r="AA16" s="2" t="e">
        <f t="shared" ref="AA16" si="27">IF(M$14&lt;&gt;1,MIN(1,MAX(0,(M16-M$12)/(M$13-M$12))),1-MIN(1,MAX(0,(M16-M$12)/(M$13-M$12))))</f>
        <v>#N/A</v>
      </c>
      <c r="AB16" s="84">
        <f>IF(COUNT(X16:AA16)&gt;$AB$13,mmean(X16:AA16),NA())</f>
        <v>0.49932392099260908</v>
      </c>
      <c r="AD16" s="46">
        <v>0.6267346017936577</v>
      </c>
      <c r="AE16" s="46">
        <f>(24*AD16+5*W16+4*AB16)/33</f>
        <v>0.60849291254900528</v>
      </c>
      <c r="AF16" s="46">
        <f>ABS(AD16-AE16)</f>
        <v>1.8241689244652415E-2</v>
      </c>
      <c r="AL16">
        <v>0</v>
      </c>
      <c r="AM16">
        <v>0</v>
      </c>
    </row>
    <row r="17" spans="1:39">
      <c r="A17" s="1" t="s">
        <v>123</v>
      </c>
      <c r="B17" s="1" t="s">
        <v>193</v>
      </c>
      <c r="C17" t="e">
        <f>NA()</f>
        <v>#N/A</v>
      </c>
      <c r="D17" s="64">
        <v>-0.21816538036745359</v>
      </c>
      <c r="E17" s="2">
        <v>59.06</v>
      </c>
      <c r="F17" s="78">
        <v>0.15905561416909544</v>
      </c>
      <c r="G17" s="2">
        <v>0.11090453589854428</v>
      </c>
      <c r="H17" s="46">
        <v>0.20655375522062935</v>
      </c>
      <c r="I17" s="46"/>
      <c r="J17" s="47">
        <v>371.36519998504281</v>
      </c>
      <c r="K17" s="47">
        <v>28.613157212553403</v>
      </c>
      <c r="L17">
        <v>0</v>
      </c>
      <c r="M17">
        <v>0</v>
      </c>
      <c r="O17" s="1" t="s">
        <v>123</v>
      </c>
      <c r="P17" s="1" t="s">
        <v>193</v>
      </c>
      <c r="Q17" s="2" t="e">
        <f t="shared" ref="Q17:Q27" si="28">IF(C$14&lt;&gt;1,MIN(1,MAX(0,(C17-C$12)/(C$13-C$12))),1-MIN(1,MAX(0,(C17-C$12)/(C$13-C$12))))</f>
        <v>#N/A</v>
      </c>
      <c r="R17" s="2">
        <f t="shared" ref="R17:R27" si="29">IF(D$14&lt;&gt;1,MIN(1,MAX(0,(D17-D$12)/(D$13-D$12))),1-MIN(1,MAX(0,(D17-D$12)/(D$13-D$12))))</f>
        <v>0.52181653803674544</v>
      </c>
      <c r="S17" s="2">
        <f t="shared" ref="S17:S27" si="30">IF(E$14&lt;&gt;1,MIN(1,MAX(0,(E17-E$12)/(E$13-E$12))),1-MIN(1,MAX(0,(E17-E$12)/(E$13-E$12))))</f>
        <v>0.40939999999999999</v>
      </c>
      <c r="T17" s="2">
        <f t="shared" ref="T17:T27" si="31">IF(F$14&lt;&gt;1,MIN(1,MAX(0,(F17-F$12)/(F$13-F$12))),1-MIN(1,MAX(0,(F17-F$12)/(F$13-F$12))))</f>
        <v>0.26509269028182575</v>
      </c>
      <c r="U17" s="2">
        <f t="shared" ref="U17:U27" si="32">IF(G$14&lt;&gt;1,MIN(1,MAX(0,(G17-G$12)/(G$13-G$12))),1-MIN(1,MAX(0,(G17-G$12)/(G$13-G$12))))</f>
        <v>0.11090453589854428</v>
      </c>
      <c r="V17" s="2">
        <f t="shared" ref="V17:V27" si="33">IF(H$14&lt;&gt;1,MIN(1,MAX(0,(H17-H$12)/(H$13-H$12))),1-MIN(1,MAX(0,(H17-H$12)/(H$13-H$12))))</f>
        <v>0.65574374129895108</v>
      </c>
      <c r="W17" s="11">
        <f t="shared" ref="W17:W80" si="34">IF(COUNT(Q17:V17)&gt;$W$13,mmean(Q17:V17),NA())</f>
        <v>0.39259150110321334</v>
      </c>
      <c r="X17" s="2">
        <f t="shared" ref="X17:X80" si="35">IF(J$14&lt;&gt;1,MIN(1,MAX(0,(J17-J$12)/(J$13-J$12))),1-MIN(1,MAX(0,(J17-J$12)/(J$13-J$12))))</f>
        <v>1</v>
      </c>
      <c r="Y17" s="2">
        <f t="shared" ref="Y17:Y80" si="36">IF(K$14&lt;&gt;1,MIN(1,MAX(0,(K17-K$12)/(K$13-K$12))),1-MIN(1,MAX(0,(K17-K$12)/(K$13-K$12))))</f>
        <v>0.26590224589362005</v>
      </c>
      <c r="Z17" s="2">
        <f t="shared" ref="Z17:Z80" si="37">IF(L$14&lt;&gt;1,MIN(1,MAX(0,(L17-L$12)/(L$13-L$12))),1-MIN(1,MAX(0,(L17-L$12)/(L$13-L$12))))</f>
        <v>0</v>
      </c>
      <c r="AA17" s="2">
        <f t="shared" ref="AA17:AA80" si="38">IF(M$14&lt;&gt;1,MIN(1,MAX(0,(M17-M$12)/(M$13-M$12))),1-MIN(1,MAX(0,(M17-M$12)/(M$13-M$12))))</f>
        <v>0</v>
      </c>
      <c r="AB17" s="84">
        <f>IF(COUNT(X17:AA17)&gt;$AB$13,mmean(X17:AA17),NA())</f>
        <v>0.316475561473405</v>
      </c>
      <c r="AD17" s="46">
        <v>0.29043285983258982</v>
      </c>
      <c r="AE17" s="46">
        <f t="shared" ref="AE17:AE80" si="39">(24*AD17+5*W17+4*AB17)/33</f>
        <v>0.309068132951268</v>
      </c>
      <c r="AF17" s="46">
        <f t="shared" ref="AF17:AF80" si="40">ABS(AD17-AE17)</f>
        <v>1.8635273118678186E-2</v>
      </c>
      <c r="AL17">
        <v>0.1</v>
      </c>
      <c r="AM17">
        <v>0.1</v>
      </c>
    </row>
    <row r="18" spans="1:39">
      <c r="A18" s="1" t="s">
        <v>74</v>
      </c>
      <c r="B18" s="1" t="s">
        <v>194</v>
      </c>
      <c r="C18" t="e">
        <f>NA()</f>
        <v>#N/A</v>
      </c>
      <c r="D18" s="64">
        <v>-0.47069699931013598</v>
      </c>
      <c r="E18" s="2">
        <v>37.119999999999997</v>
      </c>
      <c r="F18" s="78">
        <v>0.13895755656795875</v>
      </c>
      <c r="G18" s="2">
        <v>0.24954693918009044</v>
      </c>
      <c r="H18" s="46">
        <v>0.2994599907188813</v>
      </c>
      <c r="I18" s="46"/>
      <c r="J18" s="47">
        <v>65.726646714815317</v>
      </c>
      <c r="K18" s="47">
        <v>11.869856982652674</v>
      </c>
      <c r="L18">
        <v>10</v>
      </c>
      <c r="M18" t="e">
        <v>#N/A</v>
      </c>
      <c r="O18" s="1" t="s">
        <v>74</v>
      </c>
      <c r="P18" s="1" t="s">
        <v>194</v>
      </c>
      <c r="Q18" s="2" t="e">
        <f t="shared" si="28"/>
        <v>#N/A</v>
      </c>
      <c r="R18" s="2">
        <f t="shared" si="29"/>
        <v>0.54706969993101362</v>
      </c>
      <c r="S18" s="2">
        <f t="shared" si="30"/>
        <v>0.62880000000000003</v>
      </c>
      <c r="T18" s="2">
        <f t="shared" si="31"/>
        <v>0.23159592761326458</v>
      </c>
      <c r="U18" s="2">
        <f t="shared" si="32"/>
        <v>0.24954693918009044</v>
      </c>
      <c r="V18" s="2">
        <f t="shared" si="33"/>
        <v>0.50090001546853113</v>
      </c>
      <c r="W18" s="11">
        <f t="shared" si="34"/>
        <v>0.43158251643857992</v>
      </c>
      <c r="X18" s="2">
        <f t="shared" si="35"/>
        <v>0.32863323357407659</v>
      </c>
      <c r="Y18" s="2">
        <f t="shared" si="36"/>
        <v>2.6712242609323918E-2</v>
      </c>
      <c r="Z18" s="2">
        <f t="shared" si="37"/>
        <v>0.25</v>
      </c>
      <c r="AA18" s="2" t="e">
        <f t="shared" si="38"/>
        <v>#N/A</v>
      </c>
      <c r="AB18" s="84">
        <f t="shared" ref="AB18:AB81" si="41">IF(COUNT(X18:AA18)&gt;$AB$13,mmean(X18:AA18),NA())</f>
        <v>0.20178182539446685</v>
      </c>
      <c r="AD18" s="46">
        <v>0.2695615286713004</v>
      </c>
      <c r="AE18" s="46">
        <f t="shared" si="39"/>
        <v>0.28589444157218113</v>
      </c>
      <c r="AF18" s="46">
        <f t="shared" si="40"/>
        <v>1.6332912900880736E-2</v>
      </c>
      <c r="AL18">
        <v>0.2</v>
      </c>
      <c r="AM18">
        <v>0.2</v>
      </c>
    </row>
    <row r="19" spans="1:39">
      <c r="A19" s="1" t="s">
        <v>17</v>
      </c>
      <c r="B19" s="1" t="s">
        <v>195</v>
      </c>
      <c r="C19" t="e">
        <f>NA()</f>
        <v>#N/A</v>
      </c>
      <c r="D19" s="64" t="e">
        <v>#N/A</v>
      </c>
      <c r="E19" s="2">
        <v>33.71</v>
      </c>
      <c r="F19" s="78" t="e">
        <v>#N/A</v>
      </c>
      <c r="G19" s="2">
        <v>0.22222222222222224</v>
      </c>
      <c r="H19" s="46">
        <v>2.8350515422439271E-2</v>
      </c>
      <c r="I19" s="46"/>
      <c r="J19" s="47" t="e">
        <v>#N/A</v>
      </c>
      <c r="K19" s="47" t="e">
        <v>#N/A</v>
      </c>
      <c r="L19" t="e">
        <v>#N/A</v>
      </c>
      <c r="M19">
        <v>0</v>
      </c>
      <c r="O19" s="1" t="s">
        <v>17</v>
      </c>
      <c r="P19" s="1" t="s">
        <v>195</v>
      </c>
      <c r="Q19" s="2" t="e">
        <f t="shared" si="28"/>
        <v>#N/A</v>
      </c>
      <c r="R19" s="2" t="e">
        <f t="shared" si="29"/>
        <v>#N/A</v>
      </c>
      <c r="S19" s="2">
        <f t="shared" si="30"/>
        <v>0.66290000000000004</v>
      </c>
      <c r="T19" s="2" t="e">
        <f t="shared" si="31"/>
        <v>#N/A</v>
      </c>
      <c r="U19" s="2">
        <f t="shared" si="32"/>
        <v>0.22222222222222224</v>
      </c>
      <c r="V19" s="2">
        <f t="shared" si="33"/>
        <v>0.95274914096260122</v>
      </c>
      <c r="W19" s="11">
        <f t="shared" si="34"/>
        <v>0.61262378772827442</v>
      </c>
      <c r="X19" s="2" t="e">
        <f t="shared" si="35"/>
        <v>#N/A</v>
      </c>
      <c r="Y19" s="2" t="e">
        <f t="shared" si="36"/>
        <v>#N/A</v>
      </c>
      <c r="Z19" s="2" t="e">
        <f t="shared" si="37"/>
        <v>#N/A</v>
      </c>
      <c r="AA19" s="2">
        <f t="shared" si="38"/>
        <v>0</v>
      </c>
      <c r="AB19" s="84" t="e">
        <f t="shared" si="41"/>
        <v>#N/A</v>
      </c>
      <c r="AD19" s="46" t="e">
        <v>#N/A</v>
      </c>
      <c r="AE19" s="46" t="e">
        <f t="shared" si="39"/>
        <v>#N/A</v>
      </c>
      <c r="AF19" s="46" t="e">
        <f t="shared" si="40"/>
        <v>#N/A</v>
      </c>
      <c r="AL19">
        <v>0.3</v>
      </c>
      <c r="AM19">
        <v>0.3</v>
      </c>
    </row>
    <row r="20" spans="1:39">
      <c r="A20" s="1" t="s">
        <v>98</v>
      </c>
      <c r="B20" s="1" t="s">
        <v>196</v>
      </c>
      <c r="C20" t="e">
        <f>NA()</f>
        <v>#N/A</v>
      </c>
      <c r="D20" s="64">
        <v>2.1855391934181059</v>
      </c>
      <c r="E20" s="2">
        <v>65.59</v>
      </c>
      <c r="F20" s="78">
        <v>0.27221661735245545</v>
      </c>
      <c r="G20" s="2">
        <v>0.26073710676534484</v>
      </c>
      <c r="H20" s="46">
        <v>0.11340206168975731</v>
      </c>
      <c r="I20" s="46"/>
      <c r="J20" s="47">
        <v>55.381235920201057</v>
      </c>
      <c r="K20" s="47">
        <v>42.75166921132378</v>
      </c>
      <c r="L20">
        <v>68</v>
      </c>
      <c r="M20">
        <v>65.8</v>
      </c>
      <c r="O20" s="1" t="s">
        <v>98</v>
      </c>
      <c r="P20" s="1" t="s">
        <v>196</v>
      </c>
      <c r="Q20" s="2" t="e">
        <f t="shared" si="28"/>
        <v>#N/A</v>
      </c>
      <c r="R20" s="2">
        <f t="shared" si="29"/>
        <v>0.28144608065818943</v>
      </c>
      <c r="S20" s="2">
        <f t="shared" si="30"/>
        <v>0.34409999999999996</v>
      </c>
      <c r="T20" s="2">
        <f t="shared" si="31"/>
        <v>0.45369436225409243</v>
      </c>
      <c r="U20" s="2">
        <f t="shared" si="32"/>
        <v>0.26073710676534484</v>
      </c>
      <c r="V20" s="2">
        <f t="shared" si="33"/>
        <v>0.81099656385040442</v>
      </c>
      <c r="W20" s="11">
        <f t="shared" si="34"/>
        <v>0.43019482270560622</v>
      </c>
      <c r="X20" s="2">
        <f t="shared" si="35"/>
        <v>0.27690617960100528</v>
      </c>
      <c r="Y20" s="2">
        <f t="shared" si="36"/>
        <v>0.46788098873319683</v>
      </c>
      <c r="Z20" s="2">
        <f t="shared" si="37"/>
        <v>1</v>
      </c>
      <c r="AA20" s="2">
        <f t="shared" si="38"/>
        <v>0.94</v>
      </c>
      <c r="AB20" s="84">
        <f t="shared" si="41"/>
        <v>0.67119679208355054</v>
      </c>
      <c r="AD20" s="46">
        <v>0.53590000933455861</v>
      </c>
      <c r="AE20" s="46">
        <f t="shared" si="39"/>
        <v>0.53628368199671628</v>
      </c>
      <c r="AF20" s="46">
        <f t="shared" si="40"/>
        <v>3.836726621576636E-4</v>
      </c>
      <c r="AL20">
        <v>0.4</v>
      </c>
      <c r="AM20">
        <v>0.4</v>
      </c>
    </row>
    <row r="21" spans="1:39">
      <c r="A21" s="1" t="s">
        <v>157</v>
      </c>
      <c r="B21" s="1" t="s">
        <v>197</v>
      </c>
      <c r="C21" t="e">
        <f>NA()</f>
        <v>#N/A</v>
      </c>
      <c r="D21" s="64" t="e">
        <v>#N/A</v>
      </c>
      <c r="E21" s="2">
        <v>38</v>
      </c>
      <c r="F21" s="78" t="e">
        <v>#N/A</v>
      </c>
      <c r="G21" s="2">
        <v>0.35405375916953186</v>
      </c>
      <c r="H21" s="46">
        <v>0.24705449153839976</v>
      </c>
      <c r="I21" s="46"/>
      <c r="J21" s="47">
        <v>-25.628856121252301</v>
      </c>
      <c r="K21" s="47">
        <v>99.646671945865876</v>
      </c>
      <c r="L21">
        <v>4</v>
      </c>
      <c r="M21">
        <v>0</v>
      </c>
      <c r="O21" s="1" t="s">
        <v>157</v>
      </c>
      <c r="P21" s="1" t="s">
        <v>197</v>
      </c>
      <c r="Q21" s="2" t="e">
        <f t="shared" si="28"/>
        <v>#N/A</v>
      </c>
      <c r="R21" s="2" t="e">
        <f t="shared" si="29"/>
        <v>#N/A</v>
      </c>
      <c r="S21" s="2">
        <f t="shared" si="30"/>
        <v>0.62</v>
      </c>
      <c r="T21" s="2" t="e">
        <f t="shared" si="31"/>
        <v>#N/A</v>
      </c>
      <c r="U21" s="2">
        <f t="shared" si="32"/>
        <v>0.35405375916953186</v>
      </c>
      <c r="V21" s="2">
        <f t="shared" si="33"/>
        <v>0.58824251410266704</v>
      </c>
      <c r="W21" s="11">
        <f t="shared" si="34"/>
        <v>0.52076542442406637</v>
      </c>
      <c r="X21" s="2">
        <f t="shared" si="35"/>
        <v>0</v>
      </c>
      <c r="Y21" s="2">
        <f t="shared" si="36"/>
        <v>1</v>
      </c>
      <c r="Z21" s="2">
        <f t="shared" si="37"/>
        <v>0.1</v>
      </c>
      <c r="AA21" s="2">
        <f t="shared" si="38"/>
        <v>0</v>
      </c>
      <c r="AB21" s="84">
        <f t="shared" si="41"/>
        <v>0.27500000000000002</v>
      </c>
      <c r="AD21" s="46">
        <v>0.340510374560758</v>
      </c>
      <c r="AE21" s="46">
        <f t="shared" si="39"/>
        <v>0.35988109429025827</v>
      </c>
      <c r="AF21" s="46">
        <f t="shared" si="40"/>
        <v>1.9370719729500274E-2</v>
      </c>
      <c r="AL21">
        <v>0.5</v>
      </c>
      <c r="AM21">
        <v>0.5</v>
      </c>
    </row>
    <row r="22" spans="1:39">
      <c r="A22" s="1" t="s">
        <v>13</v>
      </c>
      <c r="B22" s="1" t="s">
        <v>198</v>
      </c>
      <c r="C22" t="e">
        <f>NA()</f>
        <v>#N/A</v>
      </c>
      <c r="D22" s="64">
        <v>5.1748771652039185</v>
      </c>
      <c r="E22" s="2">
        <v>29.12</v>
      </c>
      <c r="F22" s="78">
        <v>0.17636064203480012</v>
      </c>
      <c r="G22" s="2">
        <v>0.49135802469135803</v>
      </c>
      <c r="H22" s="46">
        <v>0.5101865485875976</v>
      </c>
      <c r="I22" s="46"/>
      <c r="J22" s="47">
        <v>24.917501710259575</v>
      </c>
      <c r="K22" s="47">
        <v>35.013461334274545</v>
      </c>
      <c r="L22">
        <v>14</v>
      </c>
      <c r="M22">
        <v>20.8</v>
      </c>
      <c r="O22" s="1" t="s">
        <v>13</v>
      </c>
      <c r="P22" s="1" t="s">
        <v>198</v>
      </c>
      <c r="Q22" s="2" t="e">
        <f t="shared" si="28"/>
        <v>#N/A</v>
      </c>
      <c r="R22" s="2">
        <f t="shared" si="29"/>
        <v>0</v>
      </c>
      <c r="S22" s="2">
        <f t="shared" si="30"/>
        <v>0.70879999999999999</v>
      </c>
      <c r="T22" s="2">
        <f t="shared" si="31"/>
        <v>0.29393440339133353</v>
      </c>
      <c r="U22" s="2">
        <f t="shared" si="32"/>
        <v>0.49135802469135803</v>
      </c>
      <c r="V22" s="2">
        <f t="shared" si="33"/>
        <v>0.1496890856873373</v>
      </c>
      <c r="W22" s="11">
        <f t="shared" si="34"/>
        <v>0.3287563027540058</v>
      </c>
      <c r="X22" s="2">
        <f t="shared" si="35"/>
        <v>0.12458750855129788</v>
      </c>
      <c r="Y22" s="2">
        <f t="shared" si="36"/>
        <v>0.3573351619182078</v>
      </c>
      <c r="Z22" s="2">
        <f t="shared" si="37"/>
        <v>0.35</v>
      </c>
      <c r="AA22" s="2">
        <f t="shared" si="38"/>
        <v>0.29714285714285715</v>
      </c>
      <c r="AB22" s="84">
        <f t="shared" si="41"/>
        <v>0.28226638190309072</v>
      </c>
      <c r="AD22" s="46">
        <v>0.18650132751643278</v>
      </c>
      <c r="AE22" s="46">
        <f t="shared" si="39"/>
        <v>0.21966299702353875</v>
      </c>
      <c r="AF22" s="46">
        <f t="shared" si="40"/>
        <v>3.3161669507105973E-2</v>
      </c>
      <c r="AL22">
        <v>0.6</v>
      </c>
      <c r="AM22">
        <v>0.6</v>
      </c>
    </row>
    <row r="23" spans="1:39">
      <c r="A23" s="1" t="s">
        <v>75</v>
      </c>
      <c r="B23" s="1" t="s">
        <v>199</v>
      </c>
      <c r="C23" t="e">
        <f>NA()</f>
        <v>#N/A</v>
      </c>
      <c r="D23" s="64">
        <v>-0.39535357507679392</v>
      </c>
      <c r="E23" s="2">
        <v>47.12</v>
      </c>
      <c r="F23" s="78">
        <v>0.17258481493692854</v>
      </c>
      <c r="G23" s="2">
        <v>0.24000413449863325</v>
      </c>
      <c r="H23" s="46">
        <v>0.12960235621686544</v>
      </c>
      <c r="I23" s="46"/>
      <c r="J23" s="47">
        <v>-54.651114824371639</v>
      </c>
      <c r="K23" s="47">
        <v>56.439675919983713</v>
      </c>
      <c r="L23">
        <v>15</v>
      </c>
      <c r="M23">
        <v>0</v>
      </c>
      <c r="O23" s="1" t="s">
        <v>75</v>
      </c>
      <c r="P23" s="1" t="s">
        <v>199</v>
      </c>
      <c r="Q23" s="2" t="e">
        <f t="shared" si="28"/>
        <v>#N/A</v>
      </c>
      <c r="R23" s="2">
        <f t="shared" si="29"/>
        <v>0.53953535750767945</v>
      </c>
      <c r="S23" s="2">
        <f t="shared" si="30"/>
        <v>0.52880000000000005</v>
      </c>
      <c r="T23" s="2">
        <f t="shared" si="31"/>
        <v>0.28764135822821424</v>
      </c>
      <c r="U23" s="2">
        <f t="shared" si="32"/>
        <v>0.24000413449863325</v>
      </c>
      <c r="V23" s="2">
        <f t="shared" si="33"/>
        <v>0.78399607297189089</v>
      </c>
      <c r="W23" s="11">
        <f t="shared" si="34"/>
        <v>0.4759953846412836</v>
      </c>
      <c r="X23" s="2">
        <f t="shared" si="35"/>
        <v>0</v>
      </c>
      <c r="Y23" s="2">
        <f t="shared" si="36"/>
        <v>0.66342394171405306</v>
      </c>
      <c r="Z23" s="2">
        <f t="shared" si="37"/>
        <v>0.375</v>
      </c>
      <c r="AA23" s="2">
        <f t="shared" si="38"/>
        <v>0</v>
      </c>
      <c r="AB23" s="84">
        <f t="shared" si="41"/>
        <v>0.25960598542851326</v>
      </c>
      <c r="AD23" s="46">
        <v>0.249886510262428</v>
      </c>
      <c r="AE23" s="46">
        <f t="shared" si="39"/>
        <v>0.28532354882481042</v>
      </c>
      <c r="AF23" s="46">
        <f t="shared" si="40"/>
        <v>3.5437038562382422E-2</v>
      </c>
      <c r="AL23">
        <v>0.7</v>
      </c>
      <c r="AM23">
        <v>0.7</v>
      </c>
    </row>
    <row r="24" spans="1:39">
      <c r="A24" s="1" t="s">
        <v>16</v>
      </c>
      <c r="B24" s="1" t="s">
        <v>200</v>
      </c>
      <c r="C24" t="e">
        <f>NA()</f>
        <v>#N/A</v>
      </c>
      <c r="D24" s="64">
        <v>10.568828350407728</v>
      </c>
      <c r="E24" s="2">
        <v>61.24</v>
      </c>
      <c r="F24" s="78">
        <v>6.3125954751262606E-2</v>
      </c>
      <c r="G24" s="2">
        <v>0.53660362490149727</v>
      </c>
      <c r="H24" s="46">
        <v>0.60309278408584965</v>
      </c>
      <c r="I24" s="46"/>
      <c r="J24" s="47">
        <v>11.872695805397381</v>
      </c>
      <c r="K24" s="47">
        <v>22.261808125804404</v>
      </c>
      <c r="L24">
        <v>0</v>
      </c>
      <c r="M24">
        <v>0</v>
      </c>
      <c r="O24" s="1" t="s">
        <v>16</v>
      </c>
      <c r="P24" s="1" t="s">
        <v>200</v>
      </c>
      <c r="Q24" s="2" t="e">
        <f t="shared" si="28"/>
        <v>#N/A</v>
      </c>
      <c r="R24" s="2">
        <f t="shared" si="29"/>
        <v>0</v>
      </c>
      <c r="S24" s="2">
        <f t="shared" si="30"/>
        <v>0.38759999999999994</v>
      </c>
      <c r="T24" s="2">
        <f t="shared" si="31"/>
        <v>0.10520992458543768</v>
      </c>
      <c r="U24" s="2">
        <f t="shared" si="32"/>
        <v>0.53660362490149727</v>
      </c>
      <c r="V24" s="2">
        <f t="shared" si="33"/>
        <v>0</v>
      </c>
      <c r="W24" s="11">
        <f t="shared" si="34"/>
        <v>0.205882709897387</v>
      </c>
      <c r="X24" s="2">
        <f t="shared" si="35"/>
        <v>5.9363479026986903E-2</v>
      </c>
      <c r="Y24" s="2">
        <f t="shared" si="36"/>
        <v>0.17516868751149148</v>
      </c>
      <c r="Z24" s="2">
        <f t="shared" si="37"/>
        <v>0</v>
      </c>
      <c r="AA24" s="2">
        <f t="shared" si="38"/>
        <v>0</v>
      </c>
      <c r="AB24" s="84">
        <f t="shared" si="41"/>
        <v>5.8633041634619597E-2</v>
      </c>
      <c r="AD24" s="46">
        <v>0.19277197141073354</v>
      </c>
      <c r="AE24" s="46">
        <f t="shared" si="39"/>
        <v>0.17849918272372783</v>
      </c>
      <c r="AF24" s="46">
        <f t="shared" si="40"/>
        <v>1.4272788687005711E-2</v>
      </c>
    </row>
    <row r="25" spans="1:39">
      <c r="A25" s="1" t="s">
        <v>69</v>
      </c>
      <c r="B25" s="1" t="s">
        <v>201</v>
      </c>
      <c r="C25" t="e">
        <f>NA()</f>
        <v>#N/A</v>
      </c>
      <c r="D25" s="64">
        <v>1.1005272703357984</v>
      </c>
      <c r="E25" s="2">
        <v>87</v>
      </c>
      <c r="F25" s="78">
        <v>2.4820809792572052E-2</v>
      </c>
      <c r="G25" s="2">
        <v>0.14740994747060632</v>
      </c>
      <c r="H25" s="46">
        <v>0.63978890480446304</v>
      </c>
      <c r="I25" s="46"/>
      <c r="J25" s="47">
        <v>140.21769526143885</v>
      </c>
      <c r="K25" s="47">
        <v>30.091172090949431</v>
      </c>
      <c r="L25">
        <v>0</v>
      </c>
      <c r="M25">
        <v>0</v>
      </c>
      <c r="O25" s="1" t="s">
        <v>69</v>
      </c>
      <c r="P25" s="1" t="s">
        <v>201</v>
      </c>
      <c r="Q25" s="2" t="e">
        <f t="shared" si="28"/>
        <v>#N/A</v>
      </c>
      <c r="R25" s="2">
        <f t="shared" si="29"/>
        <v>0.38994727296642018</v>
      </c>
      <c r="S25" s="2">
        <f t="shared" si="30"/>
        <v>0.13</v>
      </c>
      <c r="T25" s="2">
        <f t="shared" si="31"/>
        <v>4.1368016320953424E-2</v>
      </c>
      <c r="U25" s="2">
        <f t="shared" si="32"/>
        <v>0.14740994747060632</v>
      </c>
      <c r="V25" s="2">
        <f t="shared" si="33"/>
        <v>0</v>
      </c>
      <c r="W25" s="11">
        <f t="shared" si="34"/>
        <v>0.14174504735159599</v>
      </c>
      <c r="X25" s="2">
        <f t="shared" si="35"/>
        <v>0.70108847630719429</v>
      </c>
      <c r="Y25" s="2">
        <f t="shared" si="36"/>
        <v>0.28701674415642042</v>
      </c>
      <c r="Z25" s="2">
        <f t="shared" si="37"/>
        <v>0</v>
      </c>
      <c r="AA25" s="2">
        <f t="shared" si="38"/>
        <v>0</v>
      </c>
      <c r="AB25" s="84">
        <f t="shared" si="41"/>
        <v>0.24702630511590368</v>
      </c>
      <c r="AD25" s="46">
        <v>0.1667202749248485</v>
      </c>
      <c r="AE25" s="46">
        <f t="shared" si="39"/>
        <v>0.17267021380054418</v>
      </c>
      <c r="AF25" s="46">
        <f t="shared" si="40"/>
        <v>5.9499388756956706E-3</v>
      </c>
    </row>
    <row r="26" spans="1:39">
      <c r="A26" s="1" t="s">
        <v>110</v>
      </c>
      <c r="B26" s="1" t="s">
        <v>202</v>
      </c>
      <c r="C26" t="e">
        <f>NA()</f>
        <v>#N/A</v>
      </c>
      <c r="D26" s="64">
        <v>-0.28923866239169871</v>
      </c>
      <c r="E26" s="2">
        <v>40.18</v>
      </c>
      <c r="F26" s="78">
        <v>0.27121309679893724</v>
      </c>
      <c r="G26" s="2">
        <v>0.36308320506221142</v>
      </c>
      <c r="H26" s="46">
        <v>0.11340206168975731</v>
      </c>
      <c r="I26" s="46"/>
      <c r="J26" s="47">
        <v>23.976008988654403</v>
      </c>
      <c r="K26" s="47">
        <v>41.755334289355432</v>
      </c>
      <c r="L26">
        <v>12</v>
      </c>
      <c r="M26">
        <v>0</v>
      </c>
      <c r="O26" s="1" t="s">
        <v>110</v>
      </c>
      <c r="P26" s="1" t="s">
        <v>202</v>
      </c>
      <c r="Q26" s="2" t="e">
        <f t="shared" si="28"/>
        <v>#N/A</v>
      </c>
      <c r="R26" s="2">
        <f t="shared" si="29"/>
        <v>0.52892386623916987</v>
      </c>
      <c r="S26" s="2">
        <f t="shared" si="30"/>
        <v>0.59820000000000007</v>
      </c>
      <c r="T26" s="2">
        <f t="shared" si="31"/>
        <v>0.45202182799822876</v>
      </c>
      <c r="U26" s="2">
        <f t="shared" si="32"/>
        <v>0.36308320506221142</v>
      </c>
      <c r="V26" s="2">
        <f t="shared" si="33"/>
        <v>0.81099656385040442</v>
      </c>
      <c r="W26" s="11">
        <f t="shared" si="34"/>
        <v>0.55064509263000294</v>
      </c>
      <c r="X26" s="2">
        <f t="shared" si="35"/>
        <v>0.11988004494327202</v>
      </c>
      <c r="Y26" s="2">
        <f t="shared" si="36"/>
        <v>0.45364763270507757</v>
      </c>
      <c r="Z26" s="2">
        <f t="shared" si="37"/>
        <v>0.3</v>
      </c>
      <c r="AA26" s="2">
        <f t="shared" si="38"/>
        <v>0</v>
      </c>
      <c r="AB26" s="84">
        <f t="shared" si="41"/>
        <v>0.2183819194120874</v>
      </c>
      <c r="AD26" s="46">
        <v>0.24357874104041274</v>
      </c>
      <c r="AE26" s="46">
        <f t="shared" si="39"/>
        <v>0.28704978562934153</v>
      </c>
      <c r="AF26" s="46">
        <f t="shared" si="40"/>
        <v>4.3471044588928781E-2</v>
      </c>
    </row>
    <row r="27" spans="1:39">
      <c r="A27" s="1" t="s">
        <v>26</v>
      </c>
      <c r="B27" s="1" t="s">
        <v>203</v>
      </c>
      <c r="C27" t="e">
        <f>NA()</f>
        <v>#N/A</v>
      </c>
      <c r="D27" s="64" t="e">
        <v>#N/A</v>
      </c>
      <c r="E27" s="2">
        <v>79.59</v>
      </c>
      <c r="F27" s="78" t="e">
        <v>#N/A</v>
      </c>
      <c r="G27" s="2">
        <v>0.35861054151173888</v>
      </c>
      <c r="H27" s="46">
        <v>0.24275895987400264</v>
      </c>
      <c r="I27" s="46"/>
      <c r="J27" s="47">
        <v>17.946061849387981</v>
      </c>
      <c r="K27" s="47">
        <v>87.240009648785431</v>
      </c>
      <c r="L27">
        <v>0</v>
      </c>
      <c r="M27">
        <v>0</v>
      </c>
      <c r="O27" s="1" t="s">
        <v>26</v>
      </c>
      <c r="P27" s="1" t="s">
        <v>203</v>
      </c>
      <c r="Q27" s="2" t="e">
        <f t="shared" si="28"/>
        <v>#N/A</v>
      </c>
      <c r="R27" s="2" t="e">
        <f t="shared" si="29"/>
        <v>#N/A</v>
      </c>
      <c r="S27" s="2">
        <f t="shared" si="30"/>
        <v>0.20409999999999995</v>
      </c>
      <c r="T27" s="2" t="e">
        <f t="shared" si="31"/>
        <v>#N/A</v>
      </c>
      <c r="U27" s="2">
        <f t="shared" si="32"/>
        <v>0.35861054151173888</v>
      </c>
      <c r="V27" s="2">
        <f t="shared" si="33"/>
        <v>0.59540173354332893</v>
      </c>
      <c r="W27" s="11">
        <f t="shared" si="34"/>
        <v>0.38603742501835586</v>
      </c>
      <c r="X27" s="2">
        <f t="shared" si="35"/>
        <v>8.9730309246939907E-2</v>
      </c>
      <c r="Y27" s="2">
        <f t="shared" si="36"/>
        <v>1</v>
      </c>
      <c r="Z27" s="2">
        <f t="shared" si="37"/>
        <v>0</v>
      </c>
      <c r="AA27" s="2">
        <f t="shared" si="38"/>
        <v>0</v>
      </c>
      <c r="AB27" s="84">
        <f t="shared" si="41"/>
        <v>0.27243257731173498</v>
      </c>
      <c r="AD27" s="46">
        <v>0.32642740115040858</v>
      </c>
      <c r="AE27" s="46">
        <f t="shared" si="39"/>
        <v>0.32891439581662202</v>
      </c>
      <c r="AF27" s="46">
        <f t="shared" si="40"/>
        <v>2.4869946662134379E-3</v>
      </c>
    </row>
    <row r="28" spans="1:39">
      <c r="A28" s="1" t="s">
        <v>15</v>
      </c>
      <c r="B28" s="1" t="s">
        <v>204</v>
      </c>
      <c r="C28" t="e">
        <f>NA()</f>
        <v>#N/A</v>
      </c>
      <c r="D28" s="64" t="e">
        <v>#N/A</v>
      </c>
      <c r="E28" s="2">
        <v>7.47</v>
      </c>
      <c r="F28" s="78">
        <v>6.1046005936646833E-3</v>
      </c>
      <c r="G28" s="2">
        <v>0.30579158340238732</v>
      </c>
      <c r="H28" s="46">
        <v>0.15378006899121766</v>
      </c>
      <c r="I28" s="46"/>
      <c r="J28" s="47">
        <v>0.59476469470384796</v>
      </c>
      <c r="K28" s="47">
        <v>15.766984465492314</v>
      </c>
      <c r="L28">
        <v>0</v>
      </c>
      <c r="M28">
        <v>0</v>
      </c>
      <c r="O28" s="1" t="s">
        <v>15</v>
      </c>
      <c r="P28" s="1" t="s">
        <v>204</v>
      </c>
      <c r="Q28" s="2" t="e">
        <f t="shared" ref="Q28:Q91" si="42">IF(C$14&lt;&gt;1,MIN(1,MAX(0,(C28-C$12)/(C$13-C$12))),1-MIN(1,MAX(0,(C28-C$12)/(C$13-C$12))))</f>
        <v>#N/A</v>
      </c>
      <c r="R28" s="2" t="e">
        <f t="shared" ref="R28:R91" si="43">IF(D$14&lt;&gt;1,MIN(1,MAX(0,(D28-D$12)/(D$13-D$12))),1-MIN(1,MAX(0,(D28-D$12)/(D$13-D$12))))</f>
        <v>#N/A</v>
      </c>
      <c r="S28" s="2">
        <f t="shared" ref="S28:S91" si="44">IF(E$14&lt;&gt;1,MIN(1,MAX(0,(E28-E$12)/(E$13-E$12))),1-MIN(1,MAX(0,(E28-E$12)/(E$13-E$12))))</f>
        <v>0.92530000000000001</v>
      </c>
      <c r="T28" s="2">
        <f t="shared" ref="T28:T91" si="45">IF(F$14&lt;&gt;1,MIN(1,MAX(0,(F28-F$12)/(F$13-F$12))),1-MIN(1,MAX(0,(F28-F$12)/(F$13-F$12))))</f>
        <v>1.0174334322774472E-2</v>
      </c>
      <c r="U28" s="2">
        <f t="shared" ref="U28:U91" si="46">IF(G$14&lt;&gt;1,MIN(1,MAX(0,(G28-G$12)/(G$13-G$12))),1-MIN(1,MAX(0,(G28-G$12)/(G$13-G$12))))</f>
        <v>0.30579158340238732</v>
      </c>
      <c r="V28" s="2">
        <f t="shared" ref="V28:V91" si="47">IF(H$14&lt;&gt;1,MIN(1,MAX(0,(H28-H$12)/(H$13-H$12))),1-MIN(1,MAX(0,(H28-H$12)/(H$13-H$12))))</f>
        <v>0.74369988501463724</v>
      </c>
      <c r="W28" s="11">
        <f t="shared" si="34"/>
        <v>0.49624145068494979</v>
      </c>
      <c r="X28" s="2">
        <f t="shared" si="35"/>
        <v>2.9738234735192399E-3</v>
      </c>
      <c r="Y28" s="2">
        <f t="shared" si="36"/>
        <v>8.2385492364175916E-2</v>
      </c>
      <c r="Z28" s="2">
        <f t="shared" si="37"/>
        <v>0</v>
      </c>
      <c r="AA28" s="2">
        <f t="shared" si="38"/>
        <v>0</v>
      </c>
      <c r="AB28" s="84">
        <f t="shared" si="41"/>
        <v>2.1339828959423789E-2</v>
      </c>
      <c r="AD28" s="46">
        <v>0.33520185312087075</v>
      </c>
      <c r="AE28" s="46">
        <f t="shared" si="39"/>
        <v>0.32155791042919224</v>
      </c>
      <c r="AF28" s="46">
        <f t="shared" si="40"/>
        <v>1.3643942691678512E-2</v>
      </c>
    </row>
    <row r="29" spans="1:39">
      <c r="A29" s="1" t="s">
        <v>166</v>
      </c>
      <c r="B29" s="1" t="s">
        <v>205</v>
      </c>
      <c r="C29" t="e">
        <f>NA()</f>
        <v>#N/A</v>
      </c>
      <c r="D29" s="64">
        <v>-8.782865057286604E-2</v>
      </c>
      <c r="E29" s="2">
        <v>10.76</v>
      </c>
      <c r="F29" s="78">
        <v>0.28234026168384846</v>
      </c>
      <c r="G29" s="2">
        <v>0.56978917933085704</v>
      </c>
      <c r="H29" s="46">
        <v>0.19845360795707523</v>
      </c>
      <c r="I29" s="46"/>
      <c r="J29" s="47">
        <v>153.28264269448141</v>
      </c>
      <c r="K29" s="47">
        <v>35.058596117289099</v>
      </c>
      <c r="L29">
        <v>4</v>
      </c>
      <c r="M29">
        <v>61.6</v>
      </c>
      <c r="O29" s="1" t="s">
        <v>166</v>
      </c>
      <c r="P29" s="1" t="s">
        <v>205</v>
      </c>
      <c r="Q29" s="2" t="e">
        <f t="shared" si="42"/>
        <v>#N/A</v>
      </c>
      <c r="R29" s="2">
        <f t="shared" si="43"/>
        <v>0.50878286505728654</v>
      </c>
      <c r="S29" s="2">
        <f t="shared" si="44"/>
        <v>0.89239999999999997</v>
      </c>
      <c r="T29" s="2">
        <f t="shared" si="45"/>
        <v>0.47056710280641412</v>
      </c>
      <c r="U29" s="2">
        <f t="shared" si="46"/>
        <v>0.56978917933085704</v>
      </c>
      <c r="V29" s="2">
        <f t="shared" si="47"/>
        <v>0.66924398673820795</v>
      </c>
      <c r="W29" s="11">
        <f t="shared" si="34"/>
        <v>0.62215662678655304</v>
      </c>
      <c r="X29" s="2">
        <f t="shared" si="35"/>
        <v>0.7664132134724071</v>
      </c>
      <c r="Y29" s="2">
        <f t="shared" si="36"/>
        <v>0.35797994453270143</v>
      </c>
      <c r="Z29" s="2">
        <f t="shared" si="37"/>
        <v>0.1</v>
      </c>
      <c r="AA29" s="2">
        <f t="shared" si="38"/>
        <v>0.88</v>
      </c>
      <c r="AB29" s="84">
        <f t="shared" si="41"/>
        <v>0.52609828950127713</v>
      </c>
      <c r="AD29" s="46">
        <v>0.43333331351883547</v>
      </c>
      <c r="AE29" s="46">
        <f t="shared" si="39"/>
        <v>0.47318714595120986</v>
      </c>
      <c r="AF29" s="46">
        <f t="shared" si="40"/>
        <v>3.9853832432374392E-2</v>
      </c>
    </row>
    <row r="30" spans="1:39">
      <c r="A30" s="1" t="s">
        <v>133</v>
      </c>
      <c r="B30" s="1" t="s">
        <v>206</v>
      </c>
      <c r="C30" t="e">
        <f>NA()</f>
        <v>#N/A</v>
      </c>
      <c r="D30" s="64" t="e">
        <v>#N/A</v>
      </c>
      <c r="E30" s="2">
        <v>0.53</v>
      </c>
      <c r="F30" s="78" t="e">
        <v>#N/A</v>
      </c>
      <c r="G30" s="2">
        <v>0.31573438786674596</v>
      </c>
      <c r="H30" s="46">
        <v>0.2833824252080831</v>
      </c>
      <c r="I30" s="46"/>
      <c r="J30" s="47">
        <v>556.15921065701366</v>
      </c>
      <c r="K30" s="47">
        <v>100</v>
      </c>
      <c r="L30">
        <v>0</v>
      </c>
      <c r="M30">
        <v>0</v>
      </c>
      <c r="O30" s="1" t="s">
        <v>133</v>
      </c>
      <c r="P30" s="1" t="s">
        <v>206</v>
      </c>
      <c r="Q30" s="2" t="e">
        <f t="shared" si="42"/>
        <v>#N/A</v>
      </c>
      <c r="R30" s="2" t="e">
        <f t="shared" si="43"/>
        <v>#N/A</v>
      </c>
      <c r="S30" s="2">
        <f t="shared" si="44"/>
        <v>0.99470000000000003</v>
      </c>
      <c r="T30" s="2" t="e">
        <f t="shared" si="45"/>
        <v>#N/A</v>
      </c>
      <c r="U30" s="2">
        <f t="shared" si="46"/>
        <v>0.31573438786674596</v>
      </c>
      <c r="V30" s="2">
        <f t="shared" si="47"/>
        <v>0.52769595798652813</v>
      </c>
      <c r="W30" s="11">
        <f t="shared" si="34"/>
        <v>0.61271011528442465</v>
      </c>
      <c r="X30" s="2">
        <f t="shared" si="35"/>
        <v>1</v>
      </c>
      <c r="Y30" s="2">
        <f t="shared" si="36"/>
        <v>1</v>
      </c>
      <c r="Z30" s="2">
        <f t="shared" si="37"/>
        <v>0</v>
      </c>
      <c r="AA30" s="2">
        <f t="shared" si="38"/>
        <v>0</v>
      </c>
      <c r="AB30" s="84">
        <f t="shared" si="41"/>
        <v>0.5</v>
      </c>
      <c r="AD30" s="46">
        <v>0.26075988246182863</v>
      </c>
      <c r="AE30" s="46">
        <f t="shared" si="39"/>
        <v>0.34308447743957604</v>
      </c>
      <c r="AF30" s="46">
        <f t="shared" si="40"/>
        <v>8.2324594977747412E-2</v>
      </c>
    </row>
    <row r="31" spans="1:39">
      <c r="A31" s="1" t="s">
        <v>51</v>
      </c>
      <c r="B31" s="1" t="s">
        <v>207</v>
      </c>
      <c r="C31" t="e">
        <f>NA()</f>
        <v>#N/A</v>
      </c>
      <c r="D31" s="64">
        <v>1.3861076587090022</v>
      </c>
      <c r="E31" s="2">
        <v>42.47</v>
      </c>
      <c r="F31" s="78">
        <v>0.18130910511878578</v>
      </c>
      <c r="G31" s="2">
        <v>9.896666379821957E-2</v>
      </c>
      <c r="H31" s="46">
        <v>0.38070692138704221</v>
      </c>
      <c r="I31" s="46"/>
      <c r="J31" s="47">
        <v>-326.34221936453713</v>
      </c>
      <c r="K31" s="47">
        <v>26.26729584298473</v>
      </c>
      <c r="L31">
        <v>-6</v>
      </c>
      <c r="M31">
        <v>0</v>
      </c>
      <c r="O31" s="1" t="s">
        <v>51</v>
      </c>
      <c r="P31" s="1" t="s">
        <v>207</v>
      </c>
      <c r="Q31" s="2" t="e">
        <f t="shared" si="42"/>
        <v>#N/A</v>
      </c>
      <c r="R31" s="2">
        <f t="shared" si="43"/>
        <v>0.36138923412909985</v>
      </c>
      <c r="S31" s="2">
        <f t="shared" si="44"/>
        <v>0.57530000000000003</v>
      </c>
      <c r="T31" s="2">
        <f t="shared" si="45"/>
        <v>0.30218184186464297</v>
      </c>
      <c r="U31" s="2">
        <f t="shared" si="46"/>
        <v>9.896666379821957E-2</v>
      </c>
      <c r="V31" s="2">
        <f t="shared" si="47"/>
        <v>0.36548846435492965</v>
      </c>
      <c r="W31" s="11">
        <f t="shared" si="34"/>
        <v>0.34066524082937844</v>
      </c>
      <c r="X31" s="2">
        <f t="shared" si="35"/>
        <v>0</v>
      </c>
      <c r="Y31" s="2">
        <f t="shared" si="36"/>
        <v>0.23238994061406756</v>
      </c>
      <c r="Z31" s="2">
        <f t="shared" si="37"/>
        <v>0</v>
      </c>
      <c r="AA31" s="2">
        <f t="shared" si="38"/>
        <v>0</v>
      </c>
      <c r="AB31" s="84">
        <f t="shared" si="41"/>
        <v>5.8097485153516891E-2</v>
      </c>
      <c r="AD31" s="46">
        <v>0.19862378403135397</v>
      </c>
      <c r="AE31" s="46">
        <f t="shared" si="39"/>
        <v>0.20311172610646835</v>
      </c>
      <c r="AF31" s="46">
        <f t="shared" si="40"/>
        <v>4.4879420751143817E-3</v>
      </c>
    </row>
    <row r="32" spans="1:39">
      <c r="A32" s="1" t="s">
        <v>4</v>
      </c>
      <c r="B32" s="1" t="s">
        <v>208</v>
      </c>
      <c r="C32" t="e">
        <f>NA()</f>
        <v>#N/A</v>
      </c>
      <c r="D32" s="64">
        <v>-2.5200139040734619</v>
      </c>
      <c r="E32" s="2">
        <v>81.12</v>
      </c>
      <c r="F32" s="78">
        <v>1.4617472795005639E-2</v>
      </c>
      <c r="G32" s="2">
        <v>6.5705220359602537E-2</v>
      </c>
      <c r="H32" s="46">
        <v>0.78939617114759364</v>
      </c>
      <c r="I32" s="46"/>
      <c r="J32" s="47">
        <v>2.6923330113836208</v>
      </c>
      <c r="K32" s="47">
        <v>17.96978987365042</v>
      </c>
      <c r="L32">
        <v>0</v>
      </c>
      <c r="M32">
        <v>0</v>
      </c>
      <c r="O32" s="1" t="s">
        <v>4</v>
      </c>
      <c r="P32" s="1" t="s">
        <v>208</v>
      </c>
      <c r="Q32" s="2" t="e">
        <f t="shared" si="42"/>
        <v>#N/A</v>
      </c>
      <c r="R32" s="2">
        <f t="shared" si="43"/>
        <v>0.75200139040734615</v>
      </c>
      <c r="S32" s="2">
        <f t="shared" si="44"/>
        <v>0.18879999999999997</v>
      </c>
      <c r="T32" s="2">
        <f t="shared" si="45"/>
        <v>2.4362454658342733E-2</v>
      </c>
      <c r="U32" s="2">
        <f t="shared" si="46"/>
        <v>6.5705220359602537E-2</v>
      </c>
      <c r="V32" s="2">
        <f t="shared" si="47"/>
        <v>0</v>
      </c>
      <c r="W32" s="11">
        <f t="shared" si="34"/>
        <v>0.20617381308505828</v>
      </c>
      <c r="X32" s="2">
        <f t="shared" si="35"/>
        <v>1.3461665056918103E-2</v>
      </c>
      <c r="Y32" s="2">
        <f t="shared" si="36"/>
        <v>0.11385414105214886</v>
      </c>
      <c r="Z32" s="2">
        <f t="shared" si="37"/>
        <v>0</v>
      </c>
      <c r="AA32" s="2">
        <f t="shared" si="38"/>
        <v>0</v>
      </c>
      <c r="AB32" s="84">
        <f t="shared" si="41"/>
        <v>3.1828951527266738E-2</v>
      </c>
      <c r="AD32" s="46">
        <v>0.25008081400898868</v>
      </c>
      <c r="AE32" s="46">
        <f t="shared" si="39"/>
        <v>0.21697346690151775</v>
      </c>
      <c r="AF32" s="46">
        <f t="shared" si="40"/>
        <v>3.310734710747093E-2</v>
      </c>
    </row>
    <row r="33" spans="1:32">
      <c r="A33" s="1" t="s">
        <v>109</v>
      </c>
      <c r="B33" s="1" t="s">
        <v>209</v>
      </c>
      <c r="C33" t="e">
        <f>NA()</f>
        <v>#N/A</v>
      </c>
      <c r="D33" s="64" t="e">
        <v>#N/A</v>
      </c>
      <c r="E33" s="2">
        <v>98.88</v>
      </c>
      <c r="F33" s="78">
        <v>0.61281852455575037</v>
      </c>
      <c r="G33" s="2">
        <v>0.21841180718684769</v>
      </c>
      <c r="H33" s="46">
        <v>0.20630829718800925</v>
      </c>
      <c r="I33" s="46"/>
      <c r="J33" s="47">
        <v>28.094669833124886</v>
      </c>
      <c r="K33" s="47" t="e">
        <v>#N/A</v>
      </c>
      <c r="L33">
        <v>7</v>
      </c>
      <c r="M33">
        <v>18.7</v>
      </c>
      <c r="O33" s="1" t="s">
        <v>109</v>
      </c>
      <c r="P33" s="1" t="s">
        <v>209</v>
      </c>
      <c r="Q33" s="2" t="e">
        <f t="shared" si="42"/>
        <v>#N/A</v>
      </c>
      <c r="R33" s="2" t="e">
        <f t="shared" si="43"/>
        <v>#N/A</v>
      </c>
      <c r="S33" s="2">
        <f t="shared" si="44"/>
        <v>1.1200000000000099E-2</v>
      </c>
      <c r="T33" s="2">
        <f t="shared" si="45"/>
        <v>1</v>
      </c>
      <c r="U33" s="2">
        <f t="shared" si="46"/>
        <v>0.21841180718684769</v>
      </c>
      <c r="V33" s="2">
        <f t="shared" si="47"/>
        <v>0.65615283801998459</v>
      </c>
      <c r="W33" s="11">
        <f t="shared" si="34"/>
        <v>0.4714411613017081</v>
      </c>
      <c r="X33" s="2">
        <f t="shared" si="35"/>
        <v>0.14047334916562443</v>
      </c>
      <c r="Y33" s="2" t="e">
        <f t="shared" si="36"/>
        <v>#N/A</v>
      </c>
      <c r="Z33" s="2">
        <f t="shared" si="37"/>
        <v>0.17499999999999999</v>
      </c>
      <c r="AA33" s="2">
        <f t="shared" si="38"/>
        <v>0.26714285714285713</v>
      </c>
      <c r="AB33" s="84">
        <f t="shared" si="41"/>
        <v>0.19420540210282719</v>
      </c>
      <c r="AD33" s="46">
        <v>0.30994525258645705</v>
      </c>
      <c r="AE33" s="46">
        <f t="shared" si="39"/>
        <v>0.3203852568786309</v>
      </c>
      <c r="AF33" s="46">
        <f t="shared" si="40"/>
        <v>1.0440004292173843E-2</v>
      </c>
    </row>
    <row r="34" spans="1:32">
      <c r="A34" s="1" t="s">
        <v>132</v>
      </c>
      <c r="B34" s="1" t="s">
        <v>210</v>
      </c>
      <c r="C34" t="e">
        <f>NA()</f>
        <v>#N/A</v>
      </c>
      <c r="D34" s="64">
        <v>-7.2557326384150134E-2</v>
      </c>
      <c r="E34" s="2">
        <v>98.88</v>
      </c>
      <c r="F34" s="78">
        <v>0.45936249995266837</v>
      </c>
      <c r="G34" s="2">
        <v>0.18592744435294842</v>
      </c>
      <c r="H34" s="46">
        <v>0.2428816888903127</v>
      </c>
      <c r="I34" s="46"/>
      <c r="J34" s="47">
        <v>33.651238899874528</v>
      </c>
      <c r="K34" s="47">
        <v>22.71916344935541</v>
      </c>
      <c r="L34">
        <v>20</v>
      </c>
      <c r="M34">
        <v>69.8</v>
      </c>
      <c r="O34" s="1" t="s">
        <v>132</v>
      </c>
      <c r="P34" s="1" t="s">
        <v>210</v>
      </c>
      <c r="Q34" s="2" t="e">
        <f t="shared" si="42"/>
        <v>#N/A</v>
      </c>
      <c r="R34" s="2">
        <f t="shared" si="43"/>
        <v>0.50725573263841495</v>
      </c>
      <c r="S34" s="2">
        <f t="shared" si="44"/>
        <v>1.1200000000000099E-2</v>
      </c>
      <c r="T34" s="2">
        <f t="shared" si="45"/>
        <v>0.76560416658778063</v>
      </c>
      <c r="U34" s="2">
        <f t="shared" si="46"/>
        <v>0.18592744435294842</v>
      </c>
      <c r="V34" s="2">
        <f t="shared" si="47"/>
        <v>0.59519718518281217</v>
      </c>
      <c r="W34" s="11">
        <f t="shared" si="34"/>
        <v>0.41303690575239127</v>
      </c>
      <c r="X34" s="2">
        <f t="shared" si="35"/>
        <v>0.16825619449937265</v>
      </c>
      <c r="Y34" s="2">
        <f t="shared" si="36"/>
        <v>0.18170233499079158</v>
      </c>
      <c r="Z34" s="2">
        <f t="shared" si="37"/>
        <v>0.5</v>
      </c>
      <c r="AA34" s="2">
        <f t="shared" si="38"/>
        <v>0.99714285714285711</v>
      </c>
      <c r="AB34" s="84">
        <f t="shared" si="41"/>
        <v>0.46177534665825537</v>
      </c>
      <c r="AD34" s="46">
        <v>0.48073418060646816</v>
      </c>
      <c r="AE34" s="46">
        <f t="shared" si="39"/>
        <v>0.4681789772712186</v>
      </c>
      <c r="AF34" s="46">
        <f t="shared" si="40"/>
        <v>1.2555203335249565E-2</v>
      </c>
    </row>
    <row r="35" spans="1:32">
      <c r="A35" s="1" t="s">
        <v>146</v>
      </c>
      <c r="B35" s="1" t="s">
        <v>211</v>
      </c>
      <c r="C35" t="e">
        <f>NA()</f>
        <v>#N/A</v>
      </c>
      <c r="D35" s="64" t="e">
        <v>#N/A</v>
      </c>
      <c r="E35" s="2">
        <v>95.06</v>
      </c>
      <c r="F35" s="78">
        <v>1</v>
      </c>
      <c r="G35" s="2">
        <v>0.5160344095391699</v>
      </c>
      <c r="H35" s="46">
        <v>6.075110447665566E-2</v>
      </c>
      <c r="I35" s="46"/>
      <c r="J35" s="47">
        <v>187.81401339875495</v>
      </c>
      <c r="K35" s="47" t="e">
        <v>#N/A</v>
      </c>
      <c r="L35">
        <v>33</v>
      </c>
      <c r="M35">
        <v>0</v>
      </c>
      <c r="O35" s="1" t="s">
        <v>146</v>
      </c>
      <c r="P35" s="1" t="s">
        <v>211</v>
      </c>
      <c r="Q35" s="2" t="e">
        <f t="shared" si="42"/>
        <v>#N/A</v>
      </c>
      <c r="R35" s="2" t="e">
        <f t="shared" si="43"/>
        <v>#N/A</v>
      </c>
      <c r="S35" s="2">
        <f t="shared" si="44"/>
        <v>4.9399999999999999E-2</v>
      </c>
      <c r="T35" s="2">
        <f t="shared" si="45"/>
        <v>1</v>
      </c>
      <c r="U35" s="2">
        <f t="shared" si="46"/>
        <v>0.5160344095391699</v>
      </c>
      <c r="V35" s="2">
        <f t="shared" si="47"/>
        <v>0.89874815920557394</v>
      </c>
      <c r="W35" s="11">
        <f t="shared" si="34"/>
        <v>0.61604564218618596</v>
      </c>
      <c r="X35" s="2">
        <f t="shared" si="35"/>
        <v>0.93907006699377471</v>
      </c>
      <c r="Y35" s="2" t="e">
        <f t="shared" si="36"/>
        <v>#N/A</v>
      </c>
      <c r="Z35" s="2">
        <f t="shared" si="37"/>
        <v>0.82499999999999996</v>
      </c>
      <c r="AA35" s="2">
        <f t="shared" si="38"/>
        <v>0</v>
      </c>
      <c r="AB35" s="84">
        <f t="shared" si="41"/>
        <v>0.58802335566459163</v>
      </c>
      <c r="AD35" s="46">
        <v>0.39021928723004184</v>
      </c>
      <c r="AE35" s="46">
        <f t="shared" si="39"/>
        <v>0.44841165233667579</v>
      </c>
      <c r="AF35" s="46">
        <f t="shared" si="40"/>
        <v>5.8192365106633948E-2</v>
      </c>
    </row>
    <row r="36" spans="1:32">
      <c r="A36" s="1" t="s">
        <v>72</v>
      </c>
      <c r="B36" s="1" t="s">
        <v>212</v>
      </c>
      <c r="C36" t="e">
        <f>NA()</f>
        <v>#N/A</v>
      </c>
      <c r="D36" s="64">
        <v>16.127255516643245</v>
      </c>
      <c r="E36" s="2">
        <v>86.24</v>
      </c>
      <c r="F36" s="78">
        <v>0.67626790325593256</v>
      </c>
      <c r="G36" s="2">
        <v>0.35341996255266012</v>
      </c>
      <c r="H36" s="46">
        <v>9.7201767162649055E-2</v>
      </c>
      <c r="I36" s="46"/>
      <c r="J36" s="47">
        <v>43.720314104680945</v>
      </c>
      <c r="K36" s="47">
        <v>25.341699367261349</v>
      </c>
      <c r="L36">
        <v>25</v>
      </c>
      <c r="M36">
        <v>47.3</v>
      </c>
      <c r="O36" s="1" t="s">
        <v>72</v>
      </c>
      <c r="P36" s="1" t="s">
        <v>212</v>
      </c>
      <c r="Q36" s="2" t="e">
        <f t="shared" si="42"/>
        <v>#N/A</v>
      </c>
      <c r="R36" s="2">
        <f t="shared" si="43"/>
        <v>0</v>
      </c>
      <c r="S36" s="2">
        <f t="shared" si="44"/>
        <v>0.13760000000000006</v>
      </c>
      <c r="T36" s="2">
        <f t="shared" si="45"/>
        <v>1</v>
      </c>
      <c r="U36" s="2">
        <f t="shared" si="46"/>
        <v>0.35341996255266012</v>
      </c>
      <c r="V36" s="2">
        <f t="shared" si="47"/>
        <v>0.83799705472891817</v>
      </c>
      <c r="W36" s="11">
        <f t="shared" si="34"/>
        <v>0.46580340345631566</v>
      </c>
      <c r="X36" s="2">
        <f t="shared" si="35"/>
        <v>0.21860157052340473</v>
      </c>
      <c r="Y36" s="2">
        <f t="shared" si="36"/>
        <v>0.21916713381801928</v>
      </c>
      <c r="Z36" s="2">
        <f t="shared" si="37"/>
        <v>0.625</v>
      </c>
      <c r="AA36" s="2">
        <f t="shared" si="38"/>
        <v>0.67571428571428571</v>
      </c>
      <c r="AB36" s="84">
        <f t="shared" si="41"/>
        <v>0.43462074751392743</v>
      </c>
      <c r="AD36" s="46">
        <v>0.334494889777885</v>
      </c>
      <c r="AE36" s="46">
        <f t="shared" si="39"/>
        <v>0.36652658672747057</v>
      </c>
      <c r="AF36" s="46">
        <f t="shared" si="40"/>
        <v>3.2031696949585575E-2</v>
      </c>
    </row>
    <row r="37" spans="1:32">
      <c r="A37" s="1" t="s">
        <v>122</v>
      </c>
      <c r="B37" s="1" t="s">
        <v>213</v>
      </c>
      <c r="C37" t="e">
        <f>NA()</f>
        <v>#N/A</v>
      </c>
      <c r="D37" s="64">
        <v>6.0495826171379052E-2</v>
      </c>
      <c r="E37" s="2">
        <v>2.88</v>
      </c>
      <c r="F37" s="78" t="e">
        <v>#N/A</v>
      </c>
      <c r="G37" s="2">
        <v>0.17769127590981545</v>
      </c>
      <c r="H37" s="46">
        <v>0.25110456517017676</v>
      </c>
      <c r="I37" s="46"/>
      <c r="J37" s="47">
        <v>-599.80534908187883</v>
      </c>
      <c r="K37" s="47">
        <v>21.659354305527657</v>
      </c>
      <c r="L37">
        <v>7</v>
      </c>
      <c r="M37">
        <v>0</v>
      </c>
      <c r="O37" s="1" t="s">
        <v>122</v>
      </c>
      <c r="P37" s="1" t="s">
        <v>213</v>
      </c>
      <c r="Q37" s="2" t="e">
        <f t="shared" si="42"/>
        <v>#N/A</v>
      </c>
      <c r="R37" s="2">
        <f t="shared" si="43"/>
        <v>0.49395041738286216</v>
      </c>
      <c r="S37" s="2">
        <f t="shared" si="44"/>
        <v>0.97119999999999995</v>
      </c>
      <c r="T37" s="2" t="e">
        <f t="shared" si="45"/>
        <v>#N/A</v>
      </c>
      <c r="U37" s="2">
        <f t="shared" si="46"/>
        <v>0.17769127590981545</v>
      </c>
      <c r="V37" s="2">
        <f t="shared" si="47"/>
        <v>0.58149239138303876</v>
      </c>
      <c r="W37" s="11">
        <f t="shared" si="34"/>
        <v>0.55608352116892901</v>
      </c>
      <c r="X37" s="2">
        <f t="shared" si="35"/>
        <v>0</v>
      </c>
      <c r="Y37" s="2">
        <f t="shared" si="36"/>
        <v>0.1665622043646808</v>
      </c>
      <c r="Z37" s="2">
        <f t="shared" si="37"/>
        <v>0.17499999999999999</v>
      </c>
      <c r="AA37" s="2">
        <f t="shared" si="38"/>
        <v>0</v>
      </c>
      <c r="AB37" s="84">
        <f t="shared" si="41"/>
        <v>8.5390551091170191E-2</v>
      </c>
      <c r="AD37" s="46">
        <v>0.19460045390293837</v>
      </c>
      <c r="AE37" s="46">
        <f t="shared" si="39"/>
        <v>0.23613305163272263</v>
      </c>
      <c r="AF37" s="46">
        <f t="shared" si="40"/>
        <v>4.1532597729784265E-2</v>
      </c>
    </row>
    <row r="38" spans="1:32">
      <c r="A38" s="1" t="s">
        <v>90</v>
      </c>
      <c r="B38" s="1" t="s">
        <v>214</v>
      </c>
      <c r="C38" t="e">
        <f>NA()</f>
        <v>#N/A</v>
      </c>
      <c r="D38" s="64">
        <v>1.8473881678008173</v>
      </c>
      <c r="E38" s="2">
        <v>100</v>
      </c>
      <c r="F38" s="78">
        <v>0.12560615641030734</v>
      </c>
      <c r="G38" s="2">
        <v>0.15981846806174177</v>
      </c>
      <c r="H38" s="46">
        <v>0.19440353432529811</v>
      </c>
      <c r="I38" s="46"/>
      <c r="J38" s="47">
        <v>98.39208902428912</v>
      </c>
      <c r="K38" s="47">
        <v>16.383439993335276</v>
      </c>
      <c r="L38">
        <v>35</v>
      </c>
      <c r="M38" t="e">
        <v>#N/A</v>
      </c>
      <c r="O38" s="1" t="s">
        <v>90</v>
      </c>
      <c r="P38" s="1" t="s">
        <v>214</v>
      </c>
      <c r="Q38" s="2" t="e">
        <f t="shared" si="42"/>
        <v>#N/A</v>
      </c>
      <c r="R38" s="2">
        <f t="shared" si="43"/>
        <v>0.31526118321991825</v>
      </c>
      <c r="S38" s="2">
        <f t="shared" si="44"/>
        <v>0</v>
      </c>
      <c r="T38" s="2">
        <f t="shared" si="45"/>
        <v>0.20934359401717892</v>
      </c>
      <c r="U38" s="2">
        <f t="shared" si="46"/>
        <v>0.15981846806174177</v>
      </c>
      <c r="V38" s="2">
        <f t="shared" si="47"/>
        <v>0.67599410945783645</v>
      </c>
      <c r="W38" s="11">
        <f t="shared" si="34"/>
        <v>0.27208347095133512</v>
      </c>
      <c r="X38" s="2">
        <f t="shared" si="35"/>
        <v>0.4919604451214456</v>
      </c>
      <c r="Y38" s="2">
        <f t="shared" si="36"/>
        <v>9.1191999904789656E-2</v>
      </c>
      <c r="Z38" s="2">
        <f t="shared" si="37"/>
        <v>0.875</v>
      </c>
      <c r="AA38" s="2" t="e">
        <f t="shared" si="38"/>
        <v>#N/A</v>
      </c>
      <c r="AB38" s="84">
        <f t="shared" si="41"/>
        <v>0.48605081500874509</v>
      </c>
      <c r="AD38" s="46">
        <v>0.42219505992385442</v>
      </c>
      <c r="AE38" s="46">
        <f t="shared" si="39"/>
        <v>0.40719097130194432</v>
      </c>
      <c r="AF38" s="46">
        <f t="shared" si="40"/>
        <v>1.5004088621910106E-2</v>
      </c>
    </row>
    <row r="39" spans="1:32">
      <c r="A39" s="1" t="s">
        <v>23</v>
      </c>
      <c r="B39" s="1" t="s">
        <v>215</v>
      </c>
      <c r="C39" t="e">
        <f>NA()</f>
        <v>#N/A</v>
      </c>
      <c r="D39" s="64">
        <v>7.173059103486688</v>
      </c>
      <c r="E39" s="2">
        <v>82.71</v>
      </c>
      <c r="F39" s="78">
        <v>0.26655395543104166</v>
      </c>
      <c r="G39" s="2">
        <v>0.56894481143616094</v>
      </c>
      <c r="H39" s="46">
        <v>0.51816396683484167</v>
      </c>
      <c r="I39" s="46"/>
      <c r="J39" s="47">
        <v>60.883684380220849</v>
      </c>
      <c r="K39" s="47">
        <v>12.016040813072394</v>
      </c>
      <c r="L39">
        <v>50</v>
      </c>
      <c r="M39">
        <v>26.9</v>
      </c>
      <c r="O39" s="1" t="s">
        <v>23</v>
      </c>
      <c r="P39" s="1" t="s">
        <v>215</v>
      </c>
      <c r="Q39" s="2" t="e">
        <f t="shared" si="42"/>
        <v>#N/A</v>
      </c>
      <c r="R39" s="2">
        <f t="shared" si="43"/>
        <v>0</v>
      </c>
      <c r="S39" s="2">
        <f t="shared" si="44"/>
        <v>0.17290000000000005</v>
      </c>
      <c r="T39" s="2">
        <f t="shared" si="45"/>
        <v>0.44425659238506943</v>
      </c>
      <c r="U39" s="2">
        <f t="shared" si="46"/>
        <v>0.56894481143616094</v>
      </c>
      <c r="V39" s="2">
        <f t="shared" si="47"/>
        <v>0.13639338860859718</v>
      </c>
      <c r="W39" s="11">
        <f t="shared" si="34"/>
        <v>0.26449895848596555</v>
      </c>
      <c r="X39" s="2">
        <f t="shared" si="35"/>
        <v>0.30441842190110424</v>
      </c>
      <c r="Y39" s="2">
        <f t="shared" si="36"/>
        <v>2.880058304389134E-2</v>
      </c>
      <c r="Z39" s="2">
        <f t="shared" si="37"/>
        <v>1</v>
      </c>
      <c r="AA39" s="2">
        <f t="shared" si="38"/>
        <v>0.38428571428571429</v>
      </c>
      <c r="AB39" s="84">
        <f t="shared" si="41"/>
        <v>0.4293761798076775</v>
      </c>
      <c r="AD39" s="46">
        <v>0.26391895308821151</v>
      </c>
      <c r="AE39" s="46">
        <f t="shared" si="39"/>
        <v>0.28406225411447311</v>
      </c>
      <c r="AF39" s="46">
        <f t="shared" si="40"/>
        <v>2.0143301026261606E-2</v>
      </c>
    </row>
    <row r="40" spans="1:32">
      <c r="A40" s="1" t="s">
        <v>43</v>
      </c>
      <c r="B40" s="1" t="s">
        <v>216</v>
      </c>
      <c r="C40" t="e">
        <f>NA()</f>
        <v>#N/A</v>
      </c>
      <c r="D40" s="64" t="e">
        <v>#N/A</v>
      </c>
      <c r="E40" s="2">
        <v>100</v>
      </c>
      <c r="F40" s="78">
        <v>7.2180334879973523E-2</v>
      </c>
      <c r="G40" s="2">
        <v>0.87411383654234898</v>
      </c>
      <c r="H40" s="46">
        <v>0.11745213532153431</v>
      </c>
      <c r="I40" s="46"/>
      <c r="J40" s="47">
        <v>32.539150249028815</v>
      </c>
      <c r="K40" s="47">
        <v>7.5375591182531867</v>
      </c>
      <c r="L40" t="e">
        <v>#N/A</v>
      </c>
      <c r="M40">
        <v>0</v>
      </c>
      <c r="O40" s="1" t="s">
        <v>43</v>
      </c>
      <c r="P40" s="1" t="s">
        <v>216</v>
      </c>
      <c r="Q40" s="2" t="e">
        <f t="shared" si="42"/>
        <v>#N/A</v>
      </c>
      <c r="R40" s="2" t="e">
        <f t="shared" si="43"/>
        <v>#N/A</v>
      </c>
      <c r="S40" s="2">
        <f t="shared" si="44"/>
        <v>0</v>
      </c>
      <c r="T40" s="2">
        <f t="shared" si="45"/>
        <v>0.12030055813328921</v>
      </c>
      <c r="U40" s="2">
        <f t="shared" si="46"/>
        <v>0.87411383654234898</v>
      </c>
      <c r="V40" s="2">
        <f t="shared" si="47"/>
        <v>0.80424644113077615</v>
      </c>
      <c r="W40" s="11">
        <f t="shared" si="34"/>
        <v>0.44966520895160356</v>
      </c>
      <c r="X40" s="2">
        <f t="shared" si="35"/>
        <v>0.16269575124514407</v>
      </c>
      <c r="Y40" s="2">
        <f t="shared" si="36"/>
        <v>0</v>
      </c>
      <c r="Z40" s="2" t="e">
        <f t="shared" si="37"/>
        <v>#N/A</v>
      </c>
      <c r="AA40" s="2">
        <f t="shared" si="38"/>
        <v>0</v>
      </c>
      <c r="AB40" s="84">
        <f t="shared" si="41"/>
        <v>5.4231917081714688E-2</v>
      </c>
      <c r="AD40" s="46">
        <v>0.21479348943857399</v>
      </c>
      <c r="AE40" s="46">
        <f t="shared" si="39"/>
        <v>0.23091810483668643</v>
      </c>
      <c r="AF40" s="46">
        <f t="shared" si="40"/>
        <v>1.6124615398112441E-2</v>
      </c>
    </row>
    <row r="41" spans="1:32">
      <c r="A41" s="1" t="s">
        <v>54</v>
      </c>
      <c r="B41" s="1" t="s">
        <v>217</v>
      </c>
      <c r="C41" t="e">
        <f>NA()</f>
        <v>#N/A</v>
      </c>
      <c r="D41" s="64">
        <v>0.76447496417966931</v>
      </c>
      <c r="E41" s="2">
        <v>53.24</v>
      </c>
      <c r="F41" s="78">
        <v>0.13031412869233244</v>
      </c>
      <c r="G41" s="2">
        <v>0.18836221180239912</v>
      </c>
      <c r="H41" s="46">
        <v>0.57903780032780738</v>
      </c>
      <c r="I41" s="46"/>
      <c r="J41" s="47">
        <v>-75.864245331716035</v>
      </c>
      <c r="K41" s="47">
        <v>22.118384740763052</v>
      </c>
      <c r="L41">
        <v>0</v>
      </c>
      <c r="M41">
        <v>0</v>
      </c>
      <c r="O41" s="1" t="s">
        <v>54</v>
      </c>
      <c r="P41" s="1" t="s">
        <v>217</v>
      </c>
      <c r="Q41" s="2" t="e">
        <f t="shared" si="42"/>
        <v>#N/A</v>
      </c>
      <c r="R41" s="2">
        <f t="shared" si="43"/>
        <v>0.42355250358203311</v>
      </c>
      <c r="S41" s="2">
        <f t="shared" si="44"/>
        <v>0.46760000000000002</v>
      </c>
      <c r="T41" s="2">
        <f t="shared" si="45"/>
        <v>0.21719021448722076</v>
      </c>
      <c r="U41" s="2">
        <f t="shared" si="46"/>
        <v>0.18836221180239912</v>
      </c>
      <c r="V41" s="2">
        <f t="shared" si="47"/>
        <v>3.493699945365436E-2</v>
      </c>
      <c r="W41" s="11">
        <f t="shared" si="34"/>
        <v>0.26632838586506147</v>
      </c>
      <c r="X41" s="2">
        <f t="shared" si="35"/>
        <v>0</v>
      </c>
      <c r="Y41" s="2">
        <f t="shared" si="36"/>
        <v>0.17311978201090072</v>
      </c>
      <c r="Z41" s="2">
        <f t="shared" si="37"/>
        <v>0</v>
      </c>
      <c r="AA41" s="2">
        <f t="shared" si="38"/>
        <v>0</v>
      </c>
      <c r="AB41" s="84">
        <f t="shared" si="41"/>
        <v>4.3279945502725181E-2</v>
      </c>
      <c r="AD41" s="46">
        <v>0.19994986470865461</v>
      </c>
      <c r="AE41" s="46">
        <f t="shared" si="39"/>
        <v>0.19101692316193694</v>
      </c>
      <c r="AF41" s="46">
        <f t="shared" si="40"/>
        <v>8.9329415467176709E-3</v>
      </c>
    </row>
    <row r="42" spans="1:32">
      <c r="A42" s="1" t="s">
        <v>179</v>
      </c>
      <c r="B42" s="1" t="s">
        <v>218</v>
      </c>
      <c r="C42" t="e">
        <f>NA()</f>
        <v>#N/A</v>
      </c>
      <c r="D42" s="64">
        <v>-9.961089726067307E-2</v>
      </c>
      <c r="E42" s="2">
        <v>83.82</v>
      </c>
      <c r="F42" s="78">
        <v>0.25772746644010985</v>
      </c>
      <c r="G42" s="2">
        <v>0.13348362954695192</v>
      </c>
      <c r="H42" s="46">
        <v>0.24300441790662264</v>
      </c>
      <c r="I42" s="46"/>
      <c r="J42" s="47">
        <v>69.70559853815918</v>
      </c>
      <c r="K42" s="47">
        <v>56.790718330478981</v>
      </c>
      <c r="L42">
        <v>27</v>
      </c>
      <c r="M42">
        <v>59.5</v>
      </c>
      <c r="O42" s="1" t="s">
        <v>179</v>
      </c>
      <c r="P42" s="1" t="s">
        <v>218</v>
      </c>
      <c r="Q42" s="2" t="e">
        <f t="shared" si="42"/>
        <v>#N/A</v>
      </c>
      <c r="R42" s="2">
        <f t="shared" si="43"/>
        <v>0.50996108972606735</v>
      </c>
      <c r="S42" s="2">
        <f t="shared" si="44"/>
        <v>0.16180000000000005</v>
      </c>
      <c r="T42" s="2">
        <f t="shared" si="45"/>
        <v>0.42954577740018313</v>
      </c>
      <c r="U42" s="2">
        <f t="shared" si="46"/>
        <v>0.13348362954695192</v>
      </c>
      <c r="V42" s="2">
        <f t="shared" si="47"/>
        <v>0.59499263682229553</v>
      </c>
      <c r="W42" s="11">
        <f t="shared" si="34"/>
        <v>0.36595662669909956</v>
      </c>
      <c r="X42" s="2">
        <f t="shared" si="35"/>
        <v>0.34852799269079587</v>
      </c>
      <c r="Y42" s="2">
        <f t="shared" si="36"/>
        <v>0.66843883329255682</v>
      </c>
      <c r="Z42" s="2">
        <f t="shared" si="37"/>
        <v>0.67500000000000004</v>
      </c>
      <c r="AA42" s="2">
        <f t="shared" si="38"/>
        <v>0.85</v>
      </c>
      <c r="AB42" s="84">
        <f t="shared" si="41"/>
        <v>0.63549170649583819</v>
      </c>
      <c r="AD42" s="46">
        <v>0.51192299842381417</v>
      </c>
      <c r="AE42" s="46">
        <f t="shared" si="39"/>
        <v>0.50478490671667853</v>
      </c>
      <c r="AF42" s="46">
        <f t="shared" si="40"/>
        <v>7.1380917071356409E-3</v>
      </c>
    </row>
    <row r="43" spans="1:32">
      <c r="A43" s="1" t="s">
        <v>191</v>
      </c>
      <c r="B43" s="1" t="s">
        <v>219</v>
      </c>
      <c r="C43" t="e">
        <f>NA()</f>
        <v>#N/A</v>
      </c>
      <c r="D43" s="64">
        <v>-0.38249288539441612</v>
      </c>
      <c r="E43" s="2">
        <v>30.35</v>
      </c>
      <c r="F43" s="78">
        <v>1</v>
      </c>
      <c r="G43" s="2">
        <v>0.19358430422587294</v>
      </c>
      <c r="H43" s="46">
        <v>0.13770250348041957</v>
      </c>
      <c r="I43" s="46"/>
      <c r="J43" s="47">
        <v>107.95255200891185</v>
      </c>
      <c r="K43" s="47">
        <v>52.02742127596143</v>
      </c>
      <c r="L43">
        <v>3</v>
      </c>
      <c r="M43">
        <v>64.3</v>
      </c>
      <c r="O43" s="1" t="s">
        <v>191</v>
      </c>
      <c r="P43" s="1" t="s">
        <v>219</v>
      </c>
      <c r="Q43" s="2" t="e">
        <f t="shared" si="42"/>
        <v>#N/A</v>
      </c>
      <c r="R43" s="2">
        <f t="shared" si="43"/>
        <v>0.53824928853944165</v>
      </c>
      <c r="S43" s="2">
        <f t="shared" si="44"/>
        <v>0.69650000000000001</v>
      </c>
      <c r="T43" s="2">
        <f t="shared" si="45"/>
        <v>1</v>
      </c>
      <c r="U43" s="2">
        <f t="shared" si="46"/>
        <v>0.19358430422587294</v>
      </c>
      <c r="V43" s="2">
        <f t="shared" si="47"/>
        <v>0.77049582753263401</v>
      </c>
      <c r="W43" s="11">
        <f t="shared" si="34"/>
        <v>0.63976588405958967</v>
      </c>
      <c r="X43" s="2">
        <f t="shared" si="35"/>
        <v>0.53976276004455925</v>
      </c>
      <c r="Y43" s="2">
        <f t="shared" si="36"/>
        <v>0.60039173251373468</v>
      </c>
      <c r="Z43" s="2">
        <f t="shared" si="37"/>
        <v>7.4999999999999997E-2</v>
      </c>
      <c r="AA43" s="2">
        <f t="shared" si="38"/>
        <v>0.91857142857142848</v>
      </c>
      <c r="AB43" s="84">
        <f t="shared" si="41"/>
        <v>0.53343148028243059</v>
      </c>
      <c r="AD43" s="46">
        <v>0.61285444543277945</v>
      </c>
      <c r="AE43" s="46">
        <f t="shared" si="39"/>
        <v>0.60730491005498111</v>
      </c>
      <c r="AF43" s="46">
        <f t="shared" si="40"/>
        <v>5.5495353777983425E-3</v>
      </c>
    </row>
    <row r="44" spans="1:32">
      <c r="A44" s="1" t="s">
        <v>177</v>
      </c>
      <c r="B44" s="1" t="s">
        <v>220</v>
      </c>
      <c r="C44" t="e">
        <f>NA()</f>
        <v>#N/A</v>
      </c>
      <c r="D44" s="64">
        <v>8.7460851107977744E-2</v>
      </c>
      <c r="E44" s="2">
        <v>100</v>
      </c>
      <c r="F44" s="78" t="e">
        <v>#N/A</v>
      </c>
      <c r="G44" s="2">
        <v>0.80286197990620778</v>
      </c>
      <c r="H44" s="46">
        <v>0.19845360795707523</v>
      </c>
      <c r="I44" s="46"/>
      <c r="J44" s="47">
        <v>241.6999890738019</v>
      </c>
      <c r="K44" s="47">
        <v>48.471762629184234</v>
      </c>
      <c r="L44">
        <v>49</v>
      </c>
      <c r="M44">
        <v>78.900000000000006</v>
      </c>
      <c r="O44" s="1" t="s">
        <v>177</v>
      </c>
      <c r="P44" s="1" t="s">
        <v>220</v>
      </c>
      <c r="Q44" s="2" t="e">
        <f t="shared" si="42"/>
        <v>#N/A</v>
      </c>
      <c r="R44" s="2">
        <f t="shared" si="43"/>
        <v>0.49125391488920223</v>
      </c>
      <c r="S44" s="2">
        <f t="shared" si="44"/>
        <v>0</v>
      </c>
      <c r="T44" s="2" t="e">
        <f t="shared" si="45"/>
        <v>#N/A</v>
      </c>
      <c r="U44" s="2">
        <f t="shared" si="46"/>
        <v>0.80286197990620778</v>
      </c>
      <c r="V44" s="2">
        <f t="shared" si="47"/>
        <v>0.66924398673820795</v>
      </c>
      <c r="W44" s="11">
        <f t="shared" si="34"/>
        <v>0.49083997038340443</v>
      </c>
      <c r="X44" s="2">
        <f t="shared" si="35"/>
        <v>1</v>
      </c>
      <c r="Y44" s="2">
        <f t="shared" si="36"/>
        <v>0.54959660898834617</v>
      </c>
      <c r="Z44" s="2">
        <f t="shared" si="37"/>
        <v>1</v>
      </c>
      <c r="AA44" s="2">
        <f t="shared" si="38"/>
        <v>1</v>
      </c>
      <c r="AB44" s="84">
        <f t="shared" si="41"/>
        <v>0.88739915224708654</v>
      </c>
      <c r="AD44" s="46">
        <v>0.45659800252833299</v>
      </c>
      <c r="AE44" s="46">
        <f t="shared" si="39"/>
        <v>0.51400450065410175</v>
      </c>
      <c r="AF44" s="46">
        <f t="shared" si="40"/>
        <v>5.7406498125768757E-2</v>
      </c>
    </row>
    <row r="45" spans="1:32">
      <c r="A45" s="1" t="s">
        <v>97</v>
      </c>
      <c r="B45" s="1" t="s">
        <v>221</v>
      </c>
      <c r="C45" t="e">
        <f>NA()</f>
        <v>#N/A</v>
      </c>
      <c r="D45" s="64">
        <v>0.88665475413421557</v>
      </c>
      <c r="E45" s="2">
        <v>53.94</v>
      </c>
      <c r="F45" s="78">
        <v>0.41458542012423799</v>
      </c>
      <c r="G45" s="2">
        <v>0.5938617443325378</v>
      </c>
      <c r="H45" s="46">
        <v>0.2632547860655079</v>
      </c>
      <c r="I45" s="46"/>
      <c r="J45" s="47">
        <v>64.675069217476832</v>
      </c>
      <c r="K45" s="47">
        <v>18.564146357256092</v>
      </c>
      <c r="L45">
        <v>21</v>
      </c>
      <c r="M45">
        <v>46.1</v>
      </c>
      <c r="O45" s="1" t="s">
        <v>97</v>
      </c>
      <c r="P45" s="1" t="s">
        <v>221</v>
      </c>
      <c r="Q45" s="2" t="e">
        <f t="shared" si="42"/>
        <v>#N/A</v>
      </c>
      <c r="R45" s="2">
        <f t="shared" si="43"/>
        <v>0.41133452458657849</v>
      </c>
      <c r="S45" s="2">
        <f t="shared" si="44"/>
        <v>0.46060000000000001</v>
      </c>
      <c r="T45" s="2">
        <f t="shared" si="45"/>
        <v>0.69097570020706334</v>
      </c>
      <c r="U45" s="2">
        <f t="shared" si="46"/>
        <v>0.5938617443325378</v>
      </c>
      <c r="V45" s="2">
        <f t="shared" si="47"/>
        <v>0.56124202322415351</v>
      </c>
      <c r="W45" s="11">
        <f t="shared" si="34"/>
        <v>0.54360279847006665</v>
      </c>
      <c r="X45" s="2">
        <f t="shared" si="35"/>
        <v>0.32337534608738416</v>
      </c>
      <c r="Y45" s="2">
        <f t="shared" si="36"/>
        <v>0.12234494796080132</v>
      </c>
      <c r="Z45" s="2">
        <f t="shared" si="37"/>
        <v>0.52500000000000002</v>
      </c>
      <c r="AA45" s="2">
        <f t="shared" si="38"/>
        <v>0.65857142857142859</v>
      </c>
      <c r="AB45" s="84">
        <f t="shared" si="41"/>
        <v>0.40732293065490355</v>
      </c>
      <c r="AD45" s="46">
        <v>0.45987663588281164</v>
      </c>
      <c r="AE45" s="46">
        <f t="shared" si="39"/>
        <v>0.46619227200477054</v>
      </c>
      <c r="AF45" s="46">
        <f t="shared" si="40"/>
        <v>6.3156361219589008E-3</v>
      </c>
    </row>
    <row r="46" spans="1:32">
      <c r="A46" s="1" t="s">
        <v>32</v>
      </c>
      <c r="B46" s="1" t="s">
        <v>222</v>
      </c>
      <c r="C46" t="e">
        <f>NA()</f>
        <v>#N/A</v>
      </c>
      <c r="D46" s="64">
        <v>12.126372203801694</v>
      </c>
      <c r="E46" s="2">
        <v>44.53</v>
      </c>
      <c r="F46" s="78">
        <v>7.5120668376412097E-2</v>
      </c>
      <c r="G46" s="2">
        <v>0.18175262616417046</v>
      </c>
      <c r="H46" s="46">
        <v>0.6233431522447348</v>
      </c>
      <c r="I46" s="46"/>
      <c r="J46" s="47">
        <v>11.417981049068697</v>
      </c>
      <c r="K46" s="47">
        <v>19.822219419024822</v>
      </c>
      <c r="L46">
        <v>1</v>
      </c>
      <c r="M46">
        <v>0</v>
      </c>
      <c r="O46" s="1" t="s">
        <v>32</v>
      </c>
      <c r="P46" s="1" t="s">
        <v>222</v>
      </c>
      <c r="Q46" s="2" t="e">
        <f t="shared" si="42"/>
        <v>#N/A</v>
      </c>
      <c r="R46" s="2">
        <f t="shared" si="43"/>
        <v>0</v>
      </c>
      <c r="S46" s="2">
        <f t="shared" si="44"/>
        <v>0.55469999999999997</v>
      </c>
      <c r="T46" s="2">
        <f t="shared" si="45"/>
        <v>0.12520111396068684</v>
      </c>
      <c r="U46" s="2">
        <f t="shared" si="46"/>
        <v>0.18175262616417046</v>
      </c>
      <c r="V46" s="2">
        <f t="shared" si="47"/>
        <v>0</v>
      </c>
      <c r="W46" s="11">
        <f t="shared" si="34"/>
        <v>0.17233074802497145</v>
      </c>
      <c r="X46" s="2">
        <f t="shared" si="35"/>
        <v>5.7089905245343485E-2</v>
      </c>
      <c r="Y46" s="2">
        <f t="shared" si="36"/>
        <v>0.14031742027178318</v>
      </c>
      <c r="Z46" s="2">
        <f t="shared" si="37"/>
        <v>2.5000000000000001E-2</v>
      </c>
      <c r="AA46" s="2">
        <f t="shared" si="38"/>
        <v>0</v>
      </c>
      <c r="AB46" s="84">
        <f t="shared" si="41"/>
        <v>5.5601831379281666E-2</v>
      </c>
      <c r="AD46" s="46">
        <v>0.24319336196056388</v>
      </c>
      <c r="AE46" s="46">
        <f t="shared" si="39"/>
        <v>0.20971823493016717</v>
      </c>
      <c r="AF46" s="46">
        <f t="shared" si="40"/>
        <v>3.3475127030396706E-2</v>
      </c>
    </row>
    <row r="47" spans="1:32">
      <c r="A47" s="1" t="s">
        <v>89</v>
      </c>
      <c r="B47" s="1" t="s">
        <v>223</v>
      </c>
      <c r="C47" t="e">
        <f>NA()</f>
        <v>#N/A</v>
      </c>
      <c r="D47" s="64" t="e">
        <v>#N/A</v>
      </c>
      <c r="E47" s="2">
        <v>14.65</v>
      </c>
      <c r="F47" s="78">
        <v>3.6963727306958856E-2</v>
      </c>
      <c r="G47" s="2">
        <v>0.21177286649132224</v>
      </c>
      <c r="H47" s="46">
        <v>0.16605301890285884</v>
      </c>
      <c r="I47" s="46"/>
      <c r="J47" s="47">
        <v>137.44061529275345</v>
      </c>
      <c r="K47" s="47">
        <v>42.173947836936883</v>
      </c>
      <c r="L47">
        <v>27</v>
      </c>
      <c r="M47">
        <v>0</v>
      </c>
      <c r="O47" s="1" t="s">
        <v>89</v>
      </c>
      <c r="P47" s="1" t="s">
        <v>223</v>
      </c>
      <c r="Q47" s="2" t="e">
        <f t="shared" si="42"/>
        <v>#N/A</v>
      </c>
      <c r="R47" s="2" t="e">
        <f t="shared" si="43"/>
        <v>#N/A</v>
      </c>
      <c r="S47" s="2">
        <f t="shared" si="44"/>
        <v>0.85350000000000004</v>
      </c>
      <c r="T47" s="2">
        <f t="shared" si="45"/>
        <v>6.1606212178264765E-2</v>
      </c>
      <c r="U47" s="2">
        <f t="shared" si="46"/>
        <v>0.21177286649132224</v>
      </c>
      <c r="V47" s="2">
        <f t="shared" si="47"/>
        <v>0.72324496849523523</v>
      </c>
      <c r="W47" s="11">
        <f t="shared" si="34"/>
        <v>0.46253101179120559</v>
      </c>
      <c r="X47" s="2">
        <f t="shared" si="35"/>
        <v>0.68720307646376722</v>
      </c>
      <c r="Y47" s="2">
        <f t="shared" si="36"/>
        <v>0.45962782624195547</v>
      </c>
      <c r="Z47" s="2">
        <f t="shared" si="37"/>
        <v>0.67500000000000004</v>
      </c>
      <c r="AA47" s="2">
        <f t="shared" si="38"/>
        <v>0</v>
      </c>
      <c r="AB47" s="84">
        <f t="shared" si="41"/>
        <v>0.45545772567643067</v>
      </c>
      <c r="AD47" s="46">
        <v>0.29569126205371921</v>
      </c>
      <c r="AE47" s="46">
        <f t="shared" si="39"/>
        <v>0.34033564396821248</v>
      </c>
      <c r="AF47" s="46">
        <f t="shared" si="40"/>
        <v>4.464438191449327E-2</v>
      </c>
    </row>
    <row r="48" spans="1:32">
      <c r="A48" s="1" t="s">
        <v>135</v>
      </c>
      <c r="B48" s="1" t="s">
        <v>224</v>
      </c>
      <c r="C48" t="e">
        <f>NA()</f>
        <v>#N/A</v>
      </c>
      <c r="D48" s="64">
        <v>7.0269180033213097</v>
      </c>
      <c r="E48" s="2">
        <v>97.06</v>
      </c>
      <c r="F48" s="78">
        <v>1</v>
      </c>
      <c r="G48" s="2">
        <v>0.12952734988406639</v>
      </c>
      <c r="H48" s="46">
        <v>0.15795287163930471</v>
      </c>
      <c r="I48" s="46"/>
      <c r="J48" s="47">
        <v>21.668186475506133</v>
      </c>
      <c r="K48" s="47">
        <v>41.940402610954933</v>
      </c>
      <c r="L48">
        <v>15</v>
      </c>
      <c r="M48">
        <v>95.9</v>
      </c>
      <c r="O48" s="1" t="s">
        <v>135</v>
      </c>
      <c r="P48" s="1" t="s">
        <v>224</v>
      </c>
      <c r="Q48" s="2" t="e">
        <f t="shared" si="42"/>
        <v>#N/A</v>
      </c>
      <c r="R48" s="2">
        <f t="shared" si="43"/>
        <v>0</v>
      </c>
      <c r="S48" s="2">
        <f t="shared" si="44"/>
        <v>2.9399999999999982E-2</v>
      </c>
      <c r="T48" s="2">
        <f t="shared" si="45"/>
        <v>1</v>
      </c>
      <c r="U48" s="2">
        <f t="shared" si="46"/>
        <v>0.12952734988406639</v>
      </c>
      <c r="V48" s="2">
        <f t="shared" si="47"/>
        <v>0.7367452139344921</v>
      </c>
      <c r="W48" s="11">
        <f t="shared" si="34"/>
        <v>0.37913451276371168</v>
      </c>
      <c r="X48" s="2">
        <f t="shared" si="35"/>
        <v>0.10834093237753066</v>
      </c>
      <c r="Y48" s="2">
        <f t="shared" si="36"/>
        <v>0.45629146587078478</v>
      </c>
      <c r="Z48" s="2">
        <f t="shared" si="37"/>
        <v>0.375</v>
      </c>
      <c r="AA48" s="2">
        <f t="shared" si="38"/>
        <v>1</v>
      </c>
      <c r="AB48" s="84">
        <f t="shared" si="41"/>
        <v>0.48490809956207886</v>
      </c>
      <c r="AD48" s="46">
        <v>0.60508311196225384</v>
      </c>
      <c r="AE48" s="46">
        <f t="shared" si="39"/>
        <v>0.5562818075503323</v>
      </c>
      <c r="AF48" s="46">
        <f t="shared" si="40"/>
        <v>4.8801304411921542E-2</v>
      </c>
    </row>
    <row r="49" spans="1:32">
      <c r="A49" s="1" t="s">
        <v>165</v>
      </c>
      <c r="B49" s="1" t="s">
        <v>225</v>
      </c>
      <c r="C49" t="e">
        <f>NA()</f>
        <v>#N/A</v>
      </c>
      <c r="D49" s="64">
        <v>1.2853640946872724</v>
      </c>
      <c r="E49" s="2">
        <v>55.41</v>
      </c>
      <c r="F49" s="78">
        <v>0.80295855718700504</v>
      </c>
      <c r="G49" s="2">
        <v>0.19746768140851167</v>
      </c>
      <c r="H49" s="46">
        <v>0</v>
      </c>
      <c r="I49" s="46"/>
      <c r="J49" s="47">
        <v>64.197223564517358</v>
      </c>
      <c r="K49" s="47">
        <v>26.743940488917247</v>
      </c>
      <c r="L49">
        <v>19</v>
      </c>
      <c r="M49">
        <v>89.3</v>
      </c>
      <c r="O49" s="1" t="s">
        <v>165</v>
      </c>
      <c r="P49" s="1" t="s">
        <v>225</v>
      </c>
      <c r="Q49" s="2" t="e">
        <f t="shared" si="42"/>
        <v>#N/A</v>
      </c>
      <c r="R49" s="2">
        <f t="shared" si="43"/>
        <v>0.37146359053127276</v>
      </c>
      <c r="S49" s="2">
        <f t="shared" si="44"/>
        <v>0.44590000000000007</v>
      </c>
      <c r="T49" s="2">
        <f t="shared" si="45"/>
        <v>1</v>
      </c>
      <c r="U49" s="2">
        <f t="shared" si="46"/>
        <v>0.19746768140851167</v>
      </c>
      <c r="V49" s="2">
        <f t="shared" si="47"/>
        <v>1</v>
      </c>
      <c r="W49" s="11">
        <f t="shared" si="34"/>
        <v>0.60296625438795692</v>
      </c>
      <c r="X49" s="2">
        <f t="shared" si="35"/>
        <v>0.32098611782258679</v>
      </c>
      <c r="Y49" s="2">
        <f t="shared" si="36"/>
        <v>0.23919914984167495</v>
      </c>
      <c r="Z49" s="2">
        <f t="shared" si="37"/>
        <v>0.47499999999999998</v>
      </c>
      <c r="AA49" s="2">
        <f t="shared" si="38"/>
        <v>1</v>
      </c>
      <c r="AB49" s="84">
        <f t="shared" si="41"/>
        <v>0.50879631691606542</v>
      </c>
      <c r="AD49" s="46">
        <v>0.56129880404581201</v>
      </c>
      <c r="AE49" s="46">
        <f t="shared" si="39"/>
        <v>0.56124811626374338</v>
      </c>
      <c r="AF49" s="46">
        <f t="shared" si="40"/>
        <v>5.0687782068625786E-5</v>
      </c>
    </row>
    <row r="50" spans="1:32">
      <c r="A50" s="1" t="s">
        <v>18</v>
      </c>
      <c r="B50" s="1" t="s">
        <v>226</v>
      </c>
      <c r="C50" t="e">
        <f>NA()</f>
        <v>#N/A</v>
      </c>
      <c r="D50" s="64">
        <v>1.2327969839751378</v>
      </c>
      <c r="E50" s="2">
        <v>59.88</v>
      </c>
      <c r="F50" s="78">
        <v>0.15222734992283007</v>
      </c>
      <c r="G50" s="2">
        <v>0.50468402632929188</v>
      </c>
      <c r="H50" s="46">
        <v>0.53865979302634692</v>
      </c>
      <c r="I50" s="46"/>
      <c r="J50" s="47">
        <v>33.982975205911728</v>
      </c>
      <c r="K50" s="47">
        <v>39.074799808449804</v>
      </c>
      <c r="L50">
        <v>15</v>
      </c>
      <c r="M50">
        <v>9</v>
      </c>
      <c r="O50" s="1" t="s">
        <v>18</v>
      </c>
      <c r="P50" s="1" t="s">
        <v>226</v>
      </c>
      <c r="Q50" s="2" t="e">
        <f t="shared" si="42"/>
        <v>#N/A</v>
      </c>
      <c r="R50" s="2">
        <f t="shared" si="43"/>
        <v>0.37672030160248615</v>
      </c>
      <c r="S50" s="2">
        <f t="shared" si="44"/>
        <v>0.4012</v>
      </c>
      <c r="T50" s="2">
        <f t="shared" si="45"/>
        <v>0.25371224987138347</v>
      </c>
      <c r="U50" s="2">
        <f t="shared" si="46"/>
        <v>0.50468402632929188</v>
      </c>
      <c r="V50" s="2">
        <f t="shared" si="47"/>
        <v>0.10223367828942176</v>
      </c>
      <c r="W50" s="11">
        <f t="shared" si="34"/>
        <v>0.32771005121851665</v>
      </c>
      <c r="X50" s="2">
        <f t="shared" si="35"/>
        <v>0.16991487602955865</v>
      </c>
      <c r="Y50" s="2">
        <f t="shared" si="36"/>
        <v>0.41535428297785432</v>
      </c>
      <c r="Z50" s="2">
        <f t="shared" si="37"/>
        <v>0.375</v>
      </c>
      <c r="AA50" s="2">
        <f t="shared" si="38"/>
        <v>0.12857142857142856</v>
      </c>
      <c r="AB50" s="84">
        <f t="shared" si="41"/>
        <v>0.27221014689471035</v>
      </c>
      <c r="AD50" s="46">
        <v>0.20774907186321165</v>
      </c>
      <c r="AE50" s="46">
        <f t="shared" si="39"/>
        <v>0.23373844146631828</v>
      </c>
      <c r="AF50" s="46">
        <f t="shared" si="40"/>
        <v>2.5989369603106632E-2</v>
      </c>
    </row>
    <row r="51" spans="1:32">
      <c r="A51" s="1" t="s">
        <v>111</v>
      </c>
      <c r="B51" s="1" t="s">
        <v>227</v>
      </c>
      <c r="C51" t="e">
        <f>NA()</f>
        <v>#N/A</v>
      </c>
      <c r="D51" s="64">
        <v>-0.1165317895685174</v>
      </c>
      <c r="E51" s="2">
        <v>64.349999999999994</v>
      </c>
      <c r="F51" s="78">
        <v>0.27803579500995534</v>
      </c>
      <c r="G51" s="2">
        <v>0.66230780581378201</v>
      </c>
      <c r="H51" s="46">
        <v>0.38880706865059633</v>
      </c>
      <c r="I51" s="46"/>
      <c r="J51" s="47">
        <v>402.21563746844885</v>
      </c>
      <c r="K51" s="47">
        <v>2.7583969174921634</v>
      </c>
      <c r="L51">
        <v>6</v>
      </c>
      <c r="M51">
        <v>29.1</v>
      </c>
      <c r="O51" s="1" t="s">
        <v>111</v>
      </c>
      <c r="P51" s="1" t="s">
        <v>227</v>
      </c>
      <c r="Q51" s="2" t="e">
        <f t="shared" si="42"/>
        <v>#N/A</v>
      </c>
      <c r="R51" s="2">
        <f t="shared" si="43"/>
        <v>0.5116531789568517</v>
      </c>
      <c r="S51" s="2">
        <f t="shared" si="44"/>
        <v>0.35650000000000004</v>
      </c>
      <c r="T51" s="2">
        <f t="shared" si="45"/>
        <v>0.46339299168325893</v>
      </c>
      <c r="U51" s="2">
        <f t="shared" si="46"/>
        <v>0.66230780581378201</v>
      </c>
      <c r="V51" s="2">
        <f t="shared" si="47"/>
        <v>0.35198821891567278</v>
      </c>
      <c r="W51" s="11">
        <f t="shared" si="34"/>
        <v>0.46916843907391304</v>
      </c>
      <c r="X51" s="2">
        <f t="shared" si="35"/>
        <v>1</v>
      </c>
      <c r="Y51" s="2">
        <f t="shared" si="36"/>
        <v>0</v>
      </c>
      <c r="Z51" s="2">
        <f t="shared" si="37"/>
        <v>0.15</v>
      </c>
      <c r="AA51" s="2">
        <f t="shared" si="38"/>
        <v>0.41571428571428576</v>
      </c>
      <c r="AB51" s="84">
        <f t="shared" si="41"/>
        <v>0.3914285714285714</v>
      </c>
      <c r="AD51" s="46">
        <v>0.2622810790767453</v>
      </c>
      <c r="AE51" s="46">
        <f t="shared" si="39"/>
        <v>0.30928189027047692</v>
      </c>
      <c r="AF51" s="46">
        <f t="shared" si="40"/>
        <v>4.7000811193731618E-2</v>
      </c>
    </row>
    <row r="52" spans="1:32">
      <c r="A52" s="1" t="s">
        <v>46</v>
      </c>
      <c r="B52" s="1" t="s">
        <v>228</v>
      </c>
      <c r="C52" t="e">
        <f>NA()</f>
        <v>#N/A</v>
      </c>
      <c r="D52" s="64">
        <v>2.5188588486370693</v>
      </c>
      <c r="E52" s="2">
        <v>89.06</v>
      </c>
      <c r="F52" s="78">
        <v>0.18701328390794969</v>
      </c>
      <c r="G52" s="2">
        <v>0.50661004044729951</v>
      </c>
      <c r="H52" s="46">
        <v>0.35235640596460294</v>
      </c>
      <c r="I52" s="46"/>
      <c r="J52" s="47">
        <v>28.71700660163452</v>
      </c>
      <c r="K52" s="47">
        <v>24.447654249672972</v>
      </c>
      <c r="L52">
        <v>26</v>
      </c>
      <c r="M52">
        <v>14.3</v>
      </c>
      <c r="O52" s="1" t="s">
        <v>46</v>
      </c>
      <c r="P52" s="1" t="s">
        <v>228</v>
      </c>
      <c r="Q52" s="2" t="e">
        <f t="shared" si="42"/>
        <v>#N/A</v>
      </c>
      <c r="R52" s="2">
        <f t="shared" si="43"/>
        <v>0.248114115136293</v>
      </c>
      <c r="S52" s="2">
        <f t="shared" si="44"/>
        <v>0.10939999999999994</v>
      </c>
      <c r="T52" s="2">
        <f t="shared" si="45"/>
        <v>0.31168880651324948</v>
      </c>
      <c r="U52" s="2">
        <f t="shared" si="46"/>
        <v>0.50661004044729951</v>
      </c>
      <c r="V52" s="2">
        <f t="shared" si="47"/>
        <v>0.41273932339232844</v>
      </c>
      <c r="W52" s="11">
        <f t="shared" si="34"/>
        <v>0.31771045709783408</v>
      </c>
      <c r="X52" s="2">
        <f t="shared" si="35"/>
        <v>0.1435850330081726</v>
      </c>
      <c r="Y52" s="2">
        <f t="shared" si="36"/>
        <v>0.20639506070961389</v>
      </c>
      <c r="Z52" s="2">
        <f t="shared" si="37"/>
        <v>0.65</v>
      </c>
      <c r="AA52" s="2">
        <f t="shared" si="38"/>
        <v>0.20428571428571429</v>
      </c>
      <c r="AB52" s="84">
        <f t="shared" si="41"/>
        <v>0.30106645200087523</v>
      </c>
      <c r="AD52" s="46">
        <v>0.27516416730986476</v>
      </c>
      <c r="AE52" s="46">
        <f t="shared" si="39"/>
        <v>0.28475024572513413</v>
      </c>
      <c r="AF52" s="46">
        <f t="shared" si="40"/>
        <v>9.5860784152693723E-3</v>
      </c>
    </row>
    <row r="53" spans="1:32">
      <c r="A53" s="1" t="s">
        <v>163</v>
      </c>
      <c r="B53" s="1" t="s">
        <v>229</v>
      </c>
      <c r="C53" t="e">
        <f>NA()</f>
        <v>#N/A</v>
      </c>
      <c r="D53" s="64" t="e">
        <v>#N/A</v>
      </c>
      <c r="E53" s="2">
        <v>0</v>
      </c>
      <c r="F53" s="78">
        <v>0.2025048668636501</v>
      </c>
      <c r="G53" s="2">
        <v>0.53558090905559497</v>
      </c>
      <c r="H53" s="46">
        <v>0.11340206168975731</v>
      </c>
      <c r="I53" s="46"/>
      <c r="J53" s="47">
        <v>8.1401056537843139</v>
      </c>
      <c r="K53" s="47">
        <v>24.143227509469728</v>
      </c>
      <c r="L53">
        <v>20</v>
      </c>
      <c r="M53">
        <v>68.900000000000006</v>
      </c>
      <c r="O53" s="1" t="s">
        <v>163</v>
      </c>
      <c r="P53" s="1" t="s">
        <v>229</v>
      </c>
      <c r="Q53" s="2" t="e">
        <f t="shared" si="42"/>
        <v>#N/A</v>
      </c>
      <c r="R53" s="2" t="e">
        <f t="shared" si="43"/>
        <v>#N/A</v>
      </c>
      <c r="S53" s="2">
        <f t="shared" si="44"/>
        <v>1</v>
      </c>
      <c r="T53" s="2">
        <f t="shared" si="45"/>
        <v>0.33750811143941684</v>
      </c>
      <c r="U53" s="2">
        <f t="shared" si="46"/>
        <v>0.53558090905559497</v>
      </c>
      <c r="V53" s="2">
        <f t="shared" si="47"/>
        <v>0.81099656385040442</v>
      </c>
      <c r="W53" s="11">
        <f t="shared" si="34"/>
        <v>0.67102139608635403</v>
      </c>
      <c r="X53" s="2">
        <f t="shared" si="35"/>
        <v>4.0700528268921572E-2</v>
      </c>
      <c r="Y53" s="2">
        <f t="shared" si="36"/>
        <v>0.20204610727813899</v>
      </c>
      <c r="Z53" s="2">
        <f t="shared" si="37"/>
        <v>0.5</v>
      </c>
      <c r="AA53" s="2">
        <f t="shared" si="38"/>
        <v>0.98428571428571432</v>
      </c>
      <c r="AB53" s="84">
        <f t="shared" si="41"/>
        <v>0.43175808745819372</v>
      </c>
      <c r="AD53" s="46">
        <v>0.41804238766287999</v>
      </c>
      <c r="AE53" s="46">
        <f t="shared" si="39"/>
        <v>0.45803504952041413</v>
      </c>
      <c r="AF53" s="46">
        <f t="shared" si="40"/>
        <v>3.999266185753414E-2</v>
      </c>
    </row>
    <row r="54" spans="1:32">
      <c r="A54" s="1" t="s">
        <v>85</v>
      </c>
      <c r="B54" s="1" t="s">
        <v>230</v>
      </c>
      <c r="C54" t="e">
        <f>NA()</f>
        <v>#N/A</v>
      </c>
      <c r="D54" s="64">
        <v>11.239282375696654</v>
      </c>
      <c r="E54" s="2">
        <v>55.41</v>
      </c>
      <c r="F54" s="78">
        <v>0.79302811207081314</v>
      </c>
      <c r="G54" s="2">
        <v>0.18918963619914231</v>
      </c>
      <c r="H54" s="46">
        <v>0.19845360795707523</v>
      </c>
      <c r="I54" s="46"/>
      <c r="J54" s="47">
        <v>24.153488921332659</v>
      </c>
      <c r="K54" s="47">
        <v>52.708108408388995</v>
      </c>
      <c r="L54">
        <v>2</v>
      </c>
      <c r="M54">
        <v>49.9</v>
      </c>
      <c r="O54" s="1" t="s">
        <v>85</v>
      </c>
      <c r="P54" s="1" t="s">
        <v>230</v>
      </c>
      <c r="Q54" s="2" t="e">
        <f t="shared" si="42"/>
        <v>#N/A</v>
      </c>
      <c r="R54" s="2">
        <f t="shared" si="43"/>
        <v>0</v>
      </c>
      <c r="S54" s="2">
        <f t="shared" si="44"/>
        <v>0.44590000000000007</v>
      </c>
      <c r="T54" s="2">
        <f t="shared" si="45"/>
        <v>1</v>
      </c>
      <c r="U54" s="2">
        <f t="shared" si="46"/>
        <v>0.18918963619914231</v>
      </c>
      <c r="V54" s="2">
        <f t="shared" si="47"/>
        <v>0.66924398673820795</v>
      </c>
      <c r="W54" s="11">
        <f t="shared" si="34"/>
        <v>0.46086672458747008</v>
      </c>
      <c r="X54" s="2">
        <f t="shared" si="35"/>
        <v>0.12076744460666329</v>
      </c>
      <c r="Y54" s="2">
        <f t="shared" si="36"/>
        <v>0.61011583440555706</v>
      </c>
      <c r="Z54" s="2">
        <f t="shared" si="37"/>
        <v>0.05</v>
      </c>
      <c r="AA54" s="2">
        <f t="shared" si="38"/>
        <v>0.71285714285714286</v>
      </c>
      <c r="AB54" s="84">
        <f t="shared" si="41"/>
        <v>0.37343510546734082</v>
      </c>
      <c r="AD54" s="46">
        <v>0.43746992073911017</v>
      </c>
      <c r="AE54" s="46">
        <f t="shared" si="39"/>
        <v>0.43325309522864724</v>
      </c>
      <c r="AF54" s="46">
        <f t="shared" si="40"/>
        <v>4.2168255104629293E-3</v>
      </c>
    </row>
    <row r="55" spans="1:32">
      <c r="A55" s="1" t="s">
        <v>148</v>
      </c>
      <c r="B55" s="1" t="s">
        <v>231</v>
      </c>
      <c r="C55" t="e">
        <f>NA()</f>
        <v>#N/A</v>
      </c>
      <c r="D55" s="64">
        <v>2.3732896210199135</v>
      </c>
      <c r="E55" s="2">
        <v>59</v>
      </c>
      <c r="F55" s="78" t="e">
        <v>#N/A</v>
      </c>
      <c r="G55" s="2">
        <v>0.56924678902190051</v>
      </c>
      <c r="H55" s="46">
        <v>0</v>
      </c>
      <c r="I55" s="46"/>
      <c r="J55" s="47" t="e">
        <v>#N/A</v>
      </c>
      <c r="K55" s="47" t="e">
        <v>#N/A</v>
      </c>
      <c r="L55" t="e">
        <v>#N/A</v>
      </c>
      <c r="M55">
        <v>61.7</v>
      </c>
      <c r="O55" s="1" t="s">
        <v>148</v>
      </c>
      <c r="P55" s="1" t="s">
        <v>231</v>
      </c>
      <c r="Q55" s="2" t="e">
        <f t="shared" si="42"/>
        <v>#N/A</v>
      </c>
      <c r="R55" s="2">
        <f t="shared" si="43"/>
        <v>0.26267103789800861</v>
      </c>
      <c r="S55" s="2">
        <f t="shared" si="44"/>
        <v>0.41000000000000003</v>
      </c>
      <c r="T55" s="2" t="e">
        <f t="shared" si="45"/>
        <v>#N/A</v>
      </c>
      <c r="U55" s="2">
        <f t="shared" si="46"/>
        <v>0.56924678902190051</v>
      </c>
      <c r="V55" s="2">
        <f t="shared" si="47"/>
        <v>1</v>
      </c>
      <c r="W55" s="11">
        <f t="shared" si="34"/>
        <v>0.56047945672997734</v>
      </c>
      <c r="X55" s="2" t="e">
        <f t="shared" si="35"/>
        <v>#N/A</v>
      </c>
      <c r="Y55" s="2" t="e">
        <f t="shared" si="36"/>
        <v>#N/A</v>
      </c>
      <c r="Z55" s="2" t="e">
        <f t="shared" si="37"/>
        <v>#N/A</v>
      </c>
      <c r="AA55" s="2">
        <f t="shared" si="38"/>
        <v>0.88142857142857145</v>
      </c>
      <c r="AB55" s="84" t="e">
        <f t="shared" si="41"/>
        <v>#N/A</v>
      </c>
      <c r="AD55" s="46" t="e">
        <v>#N/A</v>
      </c>
      <c r="AE55" s="46" t="e">
        <f t="shared" si="39"/>
        <v>#N/A</v>
      </c>
      <c r="AF55" s="46" t="e">
        <f t="shared" si="40"/>
        <v>#N/A</v>
      </c>
    </row>
    <row r="56" spans="1:32">
      <c r="A56" s="1" t="s">
        <v>78</v>
      </c>
      <c r="B56" s="1" t="s">
        <v>232</v>
      </c>
      <c r="C56" t="e">
        <f>NA()</f>
        <v>#N/A</v>
      </c>
      <c r="D56" s="64">
        <v>7.9544511549072272E-3</v>
      </c>
      <c r="E56" s="2">
        <v>94.18</v>
      </c>
      <c r="F56" s="78">
        <v>0.20008579984782879</v>
      </c>
      <c r="G56" s="2">
        <v>0.33492435505434176</v>
      </c>
      <c r="H56" s="46">
        <v>0.31566028524598944</v>
      </c>
      <c r="I56" s="46"/>
      <c r="J56" s="47">
        <v>55.146144216800352</v>
      </c>
      <c r="K56" s="47">
        <v>48.765944168242186</v>
      </c>
      <c r="L56">
        <v>-1</v>
      </c>
      <c r="M56">
        <v>10.9</v>
      </c>
      <c r="O56" s="1" t="s">
        <v>78</v>
      </c>
      <c r="P56" s="1" t="s">
        <v>232</v>
      </c>
      <c r="Q56" s="2" t="e">
        <f t="shared" si="42"/>
        <v>#N/A</v>
      </c>
      <c r="R56" s="2">
        <f t="shared" si="43"/>
        <v>0.49920455488450932</v>
      </c>
      <c r="S56" s="2">
        <f t="shared" si="44"/>
        <v>5.8199999999999918E-2</v>
      </c>
      <c r="T56" s="2">
        <f t="shared" si="45"/>
        <v>0.33347633307971464</v>
      </c>
      <c r="U56" s="2">
        <f t="shared" si="46"/>
        <v>0.33492435505434176</v>
      </c>
      <c r="V56" s="2">
        <f t="shared" si="47"/>
        <v>0.47389952459001761</v>
      </c>
      <c r="W56" s="11">
        <f t="shared" si="34"/>
        <v>0.3399409535217166</v>
      </c>
      <c r="X56" s="2">
        <f t="shared" si="35"/>
        <v>0.27573072108400176</v>
      </c>
      <c r="Y56" s="2">
        <f t="shared" si="36"/>
        <v>0.55379920240345981</v>
      </c>
      <c r="Z56" s="2">
        <f t="shared" si="37"/>
        <v>0</v>
      </c>
      <c r="AA56" s="2">
        <f t="shared" si="38"/>
        <v>0.15571428571428572</v>
      </c>
      <c r="AB56" s="84">
        <f t="shared" si="41"/>
        <v>0.24631105230043682</v>
      </c>
      <c r="AD56" s="46">
        <v>0.30680223035505777</v>
      </c>
      <c r="AE56" s="46">
        <f t="shared" si="39"/>
        <v>0.30449098501005206</v>
      </c>
      <c r="AF56" s="46">
        <f t="shared" si="40"/>
        <v>2.311245345005708E-3</v>
      </c>
    </row>
    <row r="57" spans="1:32">
      <c r="A57" s="1" t="s">
        <v>116</v>
      </c>
      <c r="B57" s="1" t="s">
        <v>233</v>
      </c>
      <c r="C57" t="e">
        <f>NA()</f>
        <v>#N/A</v>
      </c>
      <c r="D57" s="64" t="e">
        <v>#N/A</v>
      </c>
      <c r="E57" s="2">
        <v>100</v>
      </c>
      <c r="F57" s="78">
        <v>0.40597899459207298</v>
      </c>
      <c r="G57" s="2">
        <v>0.5709470196264288</v>
      </c>
      <c r="H57" s="46">
        <v>0</v>
      </c>
      <c r="I57" s="46"/>
      <c r="J57" s="47">
        <v>66.834583410713108</v>
      </c>
      <c r="K57" s="47">
        <v>41.716301915719875</v>
      </c>
      <c r="L57">
        <v>25</v>
      </c>
      <c r="M57">
        <v>57</v>
      </c>
      <c r="O57" s="1" t="s">
        <v>116</v>
      </c>
      <c r="P57" s="1" t="s">
        <v>233</v>
      </c>
      <c r="Q57" s="2" t="e">
        <f t="shared" si="42"/>
        <v>#N/A</v>
      </c>
      <c r="R57" s="2" t="e">
        <f t="shared" si="43"/>
        <v>#N/A</v>
      </c>
      <c r="S57" s="2">
        <f t="shared" si="44"/>
        <v>0</v>
      </c>
      <c r="T57" s="2">
        <f t="shared" si="45"/>
        <v>0.67663165765345501</v>
      </c>
      <c r="U57" s="2">
        <f t="shared" si="46"/>
        <v>0.5709470196264288</v>
      </c>
      <c r="V57" s="2">
        <f t="shared" si="47"/>
        <v>1</v>
      </c>
      <c r="W57" s="11">
        <f t="shared" si="34"/>
        <v>0.5618946693199709</v>
      </c>
      <c r="X57" s="2">
        <f t="shared" si="35"/>
        <v>0.33417291705356555</v>
      </c>
      <c r="Y57" s="2">
        <f t="shared" si="36"/>
        <v>0.45309002736742676</v>
      </c>
      <c r="Z57" s="2">
        <f t="shared" si="37"/>
        <v>0.625</v>
      </c>
      <c r="AA57" s="2">
        <f t="shared" si="38"/>
        <v>0.81428571428571428</v>
      </c>
      <c r="AB57" s="84">
        <f t="shared" si="41"/>
        <v>0.55663716467667657</v>
      </c>
      <c r="AD57" s="46">
        <v>0.44110593543481663</v>
      </c>
      <c r="AE57" s="46">
        <f t="shared" si="39"/>
        <v>0.47341104411339874</v>
      </c>
      <c r="AF57" s="46">
        <f t="shared" si="40"/>
        <v>3.2305108678582106E-2</v>
      </c>
    </row>
    <row r="58" spans="1:32">
      <c r="A58" s="1" t="s">
        <v>96</v>
      </c>
      <c r="B58" s="1" t="s">
        <v>234</v>
      </c>
      <c r="C58" t="e">
        <f>NA()</f>
        <v>#N/A</v>
      </c>
      <c r="D58" s="64">
        <v>0.62228690790191399</v>
      </c>
      <c r="E58" s="2">
        <v>70.760000000000005</v>
      </c>
      <c r="F58" s="78">
        <v>3.6403221633771743E-2</v>
      </c>
      <c r="G58" s="2">
        <v>0.27450214807801288</v>
      </c>
      <c r="H58" s="46">
        <v>0.5101865485875976</v>
      </c>
      <c r="I58" s="46"/>
      <c r="J58" s="47">
        <v>-405.91682586537496</v>
      </c>
      <c r="K58" s="47">
        <v>26.883668438922776</v>
      </c>
      <c r="L58">
        <v>1</v>
      </c>
      <c r="M58">
        <v>0</v>
      </c>
      <c r="O58" s="1" t="s">
        <v>96</v>
      </c>
      <c r="P58" s="1" t="s">
        <v>234</v>
      </c>
      <c r="Q58" s="2" t="e">
        <f t="shared" si="42"/>
        <v>#N/A</v>
      </c>
      <c r="R58" s="2">
        <f t="shared" si="43"/>
        <v>0.43777130920980856</v>
      </c>
      <c r="S58" s="2">
        <f t="shared" si="44"/>
        <v>0.29239999999999999</v>
      </c>
      <c r="T58" s="2">
        <f t="shared" si="45"/>
        <v>6.0672036056286238E-2</v>
      </c>
      <c r="U58" s="2">
        <f t="shared" si="46"/>
        <v>0.27450214807801288</v>
      </c>
      <c r="V58" s="2">
        <f t="shared" si="47"/>
        <v>0.1496890856873373</v>
      </c>
      <c r="W58" s="11">
        <f t="shared" si="34"/>
        <v>0.24300691580628894</v>
      </c>
      <c r="X58" s="2">
        <f t="shared" si="35"/>
        <v>0</v>
      </c>
      <c r="Y58" s="2">
        <f t="shared" si="36"/>
        <v>0.24119526341318251</v>
      </c>
      <c r="Z58" s="2">
        <f t="shared" si="37"/>
        <v>2.5000000000000001E-2</v>
      </c>
      <c r="AA58" s="2">
        <f t="shared" si="38"/>
        <v>0</v>
      </c>
      <c r="AB58" s="84">
        <f t="shared" si="41"/>
        <v>6.6548815853295626E-2</v>
      </c>
      <c r="AD58" s="46">
        <v>0.17372716123249995</v>
      </c>
      <c r="AE58" s="46">
        <f t="shared" si="39"/>
        <v>0.1712327791522614</v>
      </c>
      <c r="AF58" s="46">
        <f t="shared" si="40"/>
        <v>2.4943820802385552E-3</v>
      </c>
    </row>
    <row r="59" spans="1:32">
      <c r="A59" s="1" t="s">
        <v>41</v>
      </c>
      <c r="B59" s="1" t="s">
        <v>235</v>
      </c>
      <c r="C59" t="e">
        <f>NA()</f>
        <v>#N/A</v>
      </c>
      <c r="D59" s="64">
        <v>-0.40030017369215742</v>
      </c>
      <c r="E59" s="2">
        <v>37.18</v>
      </c>
      <c r="F59" s="78" t="e">
        <v>#N/A</v>
      </c>
      <c r="G59" s="2">
        <v>0.70370967362372161</v>
      </c>
      <c r="H59" s="46">
        <v>0</v>
      </c>
      <c r="I59" s="46"/>
      <c r="J59" s="47">
        <v>-64.000303996457049</v>
      </c>
      <c r="K59" s="47">
        <v>24.989421555249773</v>
      </c>
      <c r="L59">
        <v>13</v>
      </c>
      <c r="M59" t="e">
        <v>#N/A</v>
      </c>
      <c r="O59" s="1" t="s">
        <v>41</v>
      </c>
      <c r="P59" s="1" t="s">
        <v>235</v>
      </c>
      <c r="Q59" s="2" t="e">
        <f t="shared" si="42"/>
        <v>#N/A</v>
      </c>
      <c r="R59" s="2">
        <f t="shared" si="43"/>
        <v>0.54003001736921574</v>
      </c>
      <c r="S59" s="2">
        <f t="shared" si="44"/>
        <v>0.62819999999999998</v>
      </c>
      <c r="T59" s="2" t="e">
        <f t="shared" si="45"/>
        <v>#N/A</v>
      </c>
      <c r="U59" s="2">
        <f t="shared" si="46"/>
        <v>0.70370967362372161</v>
      </c>
      <c r="V59" s="2">
        <f t="shared" si="47"/>
        <v>1</v>
      </c>
      <c r="W59" s="11">
        <f t="shared" si="34"/>
        <v>0.71798492274823433</v>
      </c>
      <c r="X59" s="2">
        <f t="shared" si="35"/>
        <v>0</v>
      </c>
      <c r="Y59" s="2">
        <f t="shared" si="36"/>
        <v>0.21413459364642534</v>
      </c>
      <c r="Z59" s="2">
        <f t="shared" si="37"/>
        <v>0.32500000000000001</v>
      </c>
      <c r="AA59" s="2" t="e">
        <f t="shared" si="38"/>
        <v>#N/A</v>
      </c>
      <c r="AB59" s="84">
        <f t="shared" si="41"/>
        <v>0.17971153121547512</v>
      </c>
      <c r="AD59" s="46">
        <v>0.26289906703801152</v>
      </c>
      <c r="AE59" s="46">
        <f t="shared" si="39"/>
        <v>0.32176813174288932</v>
      </c>
      <c r="AF59" s="46">
        <f t="shared" si="40"/>
        <v>5.8869064704877794E-2</v>
      </c>
    </row>
    <row r="60" spans="1:32">
      <c r="A60" s="1" t="s">
        <v>56</v>
      </c>
      <c r="B60" s="1" t="s">
        <v>236</v>
      </c>
      <c r="C60" t="e">
        <f>NA()</f>
        <v>#N/A</v>
      </c>
      <c r="D60" s="64" t="e">
        <v>#N/A</v>
      </c>
      <c r="E60" s="2">
        <v>100</v>
      </c>
      <c r="F60" s="78" t="e">
        <v>#N/A</v>
      </c>
      <c r="G60" s="2">
        <v>0.37252912603691773</v>
      </c>
      <c r="H60" s="46">
        <v>0.48969072239609235</v>
      </c>
      <c r="I60" s="46"/>
      <c r="J60" s="47">
        <v>23.724697282777843</v>
      </c>
      <c r="K60" s="47">
        <v>31.377842864725121</v>
      </c>
      <c r="L60">
        <v>0</v>
      </c>
      <c r="M60">
        <v>0</v>
      </c>
      <c r="O60" s="1" t="s">
        <v>56</v>
      </c>
      <c r="P60" s="1" t="s">
        <v>236</v>
      </c>
      <c r="Q60" s="2" t="e">
        <f t="shared" si="42"/>
        <v>#N/A</v>
      </c>
      <c r="R60" s="2" t="e">
        <f t="shared" si="43"/>
        <v>#N/A</v>
      </c>
      <c r="S60" s="2">
        <f t="shared" si="44"/>
        <v>0</v>
      </c>
      <c r="T60" s="2" t="e">
        <f t="shared" si="45"/>
        <v>#N/A</v>
      </c>
      <c r="U60" s="2">
        <f t="shared" si="46"/>
        <v>0.37252912603691773</v>
      </c>
      <c r="V60" s="2">
        <f t="shared" si="47"/>
        <v>0.18384879600651272</v>
      </c>
      <c r="W60" s="11">
        <f t="shared" si="34"/>
        <v>0.18545930734781013</v>
      </c>
      <c r="X60" s="2">
        <f t="shared" si="35"/>
        <v>0.11862348641388921</v>
      </c>
      <c r="Y60" s="2">
        <f t="shared" si="36"/>
        <v>0.30539775521035889</v>
      </c>
      <c r="Z60" s="2">
        <f t="shared" si="37"/>
        <v>0</v>
      </c>
      <c r="AA60" s="2">
        <f t="shared" si="38"/>
        <v>0</v>
      </c>
      <c r="AB60" s="84">
        <f t="shared" si="41"/>
        <v>0.10600531040606202</v>
      </c>
      <c r="AD60" s="46">
        <v>0.23763807892266101</v>
      </c>
      <c r="AE60" s="46">
        <f t="shared" si="39"/>
        <v>0.21377671734870193</v>
      </c>
      <c r="AF60" s="46">
        <f t="shared" si="40"/>
        <v>2.3861361573959072E-2</v>
      </c>
    </row>
    <row r="61" spans="1:32">
      <c r="A61" s="1" t="s">
        <v>50</v>
      </c>
      <c r="B61" s="1" t="s">
        <v>237</v>
      </c>
      <c r="C61" t="e">
        <f>NA()</f>
        <v>#N/A</v>
      </c>
      <c r="D61" s="64">
        <v>0.29380914828911564</v>
      </c>
      <c r="E61" s="2">
        <v>84.12</v>
      </c>
      <c r="F61" s="78">
        <v>3.929831164986148E-2</v>
      </c>
      <c r="G61" s="2">
        <v>0.12672974969005629</v>
      </c>
      <c r="H61" s="46">
        <v>0.53865979302634692</v>
      </c>
      <c r="I61" s="46"/>
      <c r="J61" s="47">
        <v>0</v>
      </c>
      <c r="K61" s="47">
        <v>15.025876974258006</v>
      </c>
      <c r="L61">
        <v>2</v>
      </c>
      <c r="M61">
        <v>0</v>
      </c>
      <c r="O61" s="1" t="s">
        <v>50</v>
      </c>
      <c r="P61" s="1" t="s">
        <v>237</v>
      </c>
      <c r="Q61" s="2" t="e">
        <f t="shared" si="42"/>
        <v>#N/A</v>
      </c>
      <c r="R61" s="2">
        <f t="shared" si="43"/>
        <v>0.47061908517108841</v>
      </c>
      <c r="S61" s="2">
        <f t="shared" si="44"/>
        <v>0.15879999999999994</v>
      </c>
      <c r="T61" s="2">
        <f t="shared" si="45"/>
        <v>6.5497186083102468E-2</v>
      </c>
      <c r="U61" s="2">
        <f t="shared" si="46"/>
        <v>0.12672974969005629</v>
      </c>
      <c r="V61" s="2">
        <f t="shared" si="47"/>
        <v>0.10223367828942176</v>
      </c>
      <c r="W61" s="11">
        <f t="shared" si="34"/>
        <v>0.18477593984673377</v>
      </c>
      <c r="X61" s="2">
        <f t="shared" si="35"/>
        <v>0</v>
      </c>
      <c r="Y61" s="2">
        <f t="shared" si="36"/>
        <v>7.1798242489400088E-2</v>
      </c>
      <c r="Z61" s="2">
        <f t="shared" si="37"/>
        <v>0.05</v>
      </c>
      <c r="AA61" s="2">
        <f t="shared" si="38"/>
        <v>0</v>
      </c>
      <c r="AB61" s="84">
        <f t="shared" si="41"/>
        <v>3.0449560622350023E-2</v>
      </c>
      <c r="AD61" s="46">
        <v>0.13849436622867048</v>
      </c>
      <c r="AE61" s="46">
        <f t="shared" si="39"/>
        <v>0.13241038579427758</v>
      </c>
      <c r="AF61" s="46">
        <f t="shared" si="40"/>
        <v>6.0839804343928994E-3</v>
      </c>
    </row>
    <row r="62" spans="1:32">
      <c r="A62" s="1" t="s">
        <v>22</v>
      </c>
      <c r="B62" s="1" t="s">
        <v>238</v>
      </c>
      <c r="C62" t="e">
        <f>NA()</f>
        <v>#N/A</v>
      </c>
      <c r="D62" s="64">
        <v>-0.91163838839766065</v>
      </c>
      <c r="E62" s="2">
        <v>30.06</v>
      </c>
      <c r="F62" s="78">
        <v>2.4856531939424525E-2</v>
      </c>
      <c r="G62" s="2">
        <v>7.6067568984480458E-2</v>
      </c>
      <c r="H62" s="46">
        <v>0.91899852736445908</v>
      </c>
      <c r="I62" s="46"/>
      <c r="J62" s="47">
        <v>78.520924908142291</v>
      </c>
      <c r="K62" s="47">
        <v>24.524907368455953</v>
      </c>
      <c r="L62">
        <v>0</v>
      </c>
      <c r="M62">
        <v>0</v>
      </c>
      <c r="O62" s="1" t="s">
        <v>22</v>
      </c>
      <c r="P62" s="1" t="s">
        <v>238</v>
      </c>
      <c r="Q62" s="2" t="e">
        <f t="shared" si="42"/>
        <v>#N/A</v>
      </c>
      <c r="R62" s="2">
        <f t="shared" si="43"/>
        <v>0.59116383883976609</v>
      </c>
      <c r="S62" s="2">
        <f t="shared" si="44"/>
        <v>0.69940000000000002</v>
      </c>
      <c r="T62" s="2">
        <f t="shared" si="45"/>
        <v>4.1427553232374209E-2</v>
      </c>
      <c r="U62" s="2">
        <f t="shared" si="46"/>
        <v>7.6067568984480458E-2</v>
      </c>
      <c r="V62" s="2">
        <f t="shared" si="47"/>
        <v>0</v>
      </c>
      <c r="W62" s="11">
        <f t="shared" si="34"/>
        <v>0.28161179221132421</v>
      </c>
      <c r="X62" s="2">
        <f t="shared" si="35"/>
        <v>0.39260462454071143</v>
      </c>
      <c r="Y62" s="2">
        <f t="shared" si="36"/>
        <v>0.20749867669222791</v>
      </c>
      <c r="Z62" s="2">
        <f t="shared" si="37"/>
        <v>0</v>
      </c>
      <c r="AA62" s="2">
        <f t="shared" si="38"/>
        <v>0</v>
      </c>
      <c r="AB62" s="84">
        <f t="shared" si="41"/>
        <v>0.15002582530823483</v>
      </c>
      <c r="AD62" s="46">
        <v>0.11473167520868151</v>
      </c>
      <c r="AE62" s="46">
        <f t="shared" si="39"/>
        <v>0.144294620221149</v>
      </c>
      <c r="AF62" s="46">
        <f t="shared" si="40"/>
        <v>2.9562945012467493E-2</v>
      </c>
    </row>
    <row r="63" spans="1:32">
      <c r="A63" s="1" t="s">
        <v>21</v>
      </c>
      <c r="B63" s="1" t="s">
        <v>239</v>
      </c>
      <c r="C63" t="e">
        <f>NA()</f>
        <v>#N/A</v>
      </c>
      <c r="D63" s="64" t="e">
        <v>#N/A</v>
      </c>
      <c r="E63" s="2">
        <v>0</v>
      </c>
      <c r="F63" s="78" t="e">
        <v>#N/A</v>
      </c>
      <c r="G63" s="2">
        <v>0.18518116202963655</v>
      </c>
      <c r="H63" s="46">
        <v>0.1335297008323324</v>
      </c>
      <c r="I63" s="46"/>
      <c r="J63" s="47">
        <v>24.096429530035476</v>
      </c>
      <c r="K63" s="47">
        <v>74.093097601035566</v>
      </c>
      <c r="L63">
        <v>53</v>
      </c>
      <c r="M63" t="e">
        <v>#N/A</v>
      </c>
      <c r="O63" s="1" t="s">
        <v>21</v>
      </c>
      <c r="P63" s="1" t="s">
        <v>239</v>
      </c>
      <c r="Q63" s="2" t="e">
        <f t="shared" si="42"/>
        <v>#N/A</v>
      </c>
      <c r="R63" s="2" t="e">
        <f t="shared" si="43"/>
        <v>#N/A</v>
      </c>
      <c r="S63" s="2">
        <f t="shared" si="44"/>
        <v>1</v>
      </c>
      <c r="T63" s="2" t="e">
        <f t="shared" si="45"/>
        <v>#N/A</v>
      </c>
      <c r="U63" s="2">
        <f t="shared" si="46"/>
        <v>0.18518116202963655</v>
      </c>
      <c r="V63" s="2">
        <f t="shared" si="47"/>
        <v>0.77745049861277926</v>
      </c>
      <c r="W63" s="11">
        <f t="shared" si="34"/>
        <v>0.65421055354747193</v>
      </c>
      <c r="X63" s="2">
        <f t="shared" si="35"/>
        <v>0.12048214765017738</v>
      </c>
      <c r="Y63" s="2">
        <f t="shared" si="36"/>
        <v>0.91561568001479376</v>
      </c>
      <c r="Z63" s="2">
        <f t="shared" si="37"/>
        <v>1</v>
      </c>
      <c r="AA63" s="2" t="e">
        <f t="shared" si="38"/>
        <v>#N/A</v>
      </c>
      <c r="AB63" s="84">
        <f t="shared" si="41"/>
        <v>0.67869927588832368</v>
      </c>
      <c r="AD63" s="46">
        <v>0.44720093040496639</v>
      </c>
      <c r="AE63" s="46">
        <f t="shared" si="39"/>
        <v>0.50662643033363164</v>
      </c>
      <c r="AF63" s="46">
        <f t="shared" si="40"/>
        <v>5.9425499928665249E-2</v>
      </c>
    </row>
    <row r="64" spans="1:32">
      <c r="A64" s="1" t="s">
        <v>45</v>
      </c>
      <c r="B64" s="1" t="s">
        <v>240</v>
      </c>
      <c r="C64" t="e">
        <f>NA()</f>
        <v>#N/A</v>
      </c>
      <c r="D64" s="64" t="e">
        <v>#N/A</v>
      </c>
      <c r="E64" s="2">
        <v>80.06</v>
      </c>
      <c r="F64" s="78">
        <v>0.22766258288324404</v>
      </c>
      <c r="G64" s="2">
        <v>0.37769422356172694</v>
      </c>
      <c r="H64" s="46">
        <v>0.10922925904167013</v>
      </c>
      <c r="I64" s="46"/>
      <c r="J64" s="47">
        <v>-187.8149388975435</v>
      </c>
      <c r="K64" s="47">
        <v>28.283738243086816</v>
      </c>
      <c r="L64">
        <v>-4</v>
      </c>
      <c r="M64" t="e">
        <v>#N/A</v>
      </c>
      <c r="O64" s="1" t="s">
        <v>45</v>
      </c>
      <c r="P64" s="1" t="s">
        <v>240</v>
      </c>
      <c r="Q64" s="2" t="e">
        <f t="shared" si="42"/>
        <v>#N/A</v>
      </c>
      <c r="R64" s="2" t="e">
        <f t="shared" si="43"/>
        <v>#N/A</v>
      </c>
      <c r="S64" s="2">
        <f t="shared" si="44"/>
        <v>0.19940000000000002</v>
      </c>
      <c r="T64" s="2">
        <f t="shared" si="45"/>
        <v>0.3794376381387401</v>
      </c>
      <c r="U64" s="2">
        <f t="shared" si="46"/>
        <v>0.37769422356172694</v>
      </c>
      <c r="V64" s="2">
        <f t="shared" si="47"/>
        <v>0.81795123493054978</v>
      </c>
      <c r="W64" s="11">
        <f t="shared" si="34"/>
        <v>0.44362077415775419</v>
      </c>
      <c r="X64" s="2">
        <f t="shared" si="35"/>
        <v>0</v>
      </c>
      <c r="Y64" s="2">
        <f t="shared" si="36"/>
        <v>0.26119626061552592</v>
      </c>
      <c r="Z64" s="2">
        <f t="shared" si="37"/>
        <v>0</v>
      </c>
      <c r="AA64" s="2" t="e">
        <f t="shared" si="38"/>
        <v>#N/A</v>
      </c>
      <c r="AB64" s="84">
        <f t="shared" si="41"/>
        <v>8.7065420205175312E-2</v>
      </c>
      <c r="AD64" s="46">
        <v>0.39425567033255121</v>
      </c>
      <c r="AE64" s="46">
        <f t="shared" si="39"/>
        <v>0.36450004968456667</v>
      </c>
      <c r="AF64" s="46">
        <f t="shared" si="40"/>
        <v>2.9755620647984538E-2</v>
      </c>
    </row>
    <row r="65" spans="1:32">
      <c r="A65" s="1" t="s">
        <v>59</v>
      </c>
      <c r="B65" s="1" t="s">
        <v>241</v>
      </c>
      <c r="C65" t="e">
        <f>NA()</f>
        <v>#N/A</v>
      </c>
      <c r="D65" s="64">
        <v>-0.23102291136310338</v>
      </c>
      <c r="E65" s="2">
        <v>0</v>
      </c>
      <c r="F65" s="78">
        <v>0.1071963525566428</v>
      </c>
      <c r="G65" s="2">
        <v>0.39607706282503741</v>
      </c>
      <c r="H65" s="46">
        <v>0.2673048596972849</v>
      </c>
      <c r="I65" s="46"/>
      <c r="J65" s="47">
        <v>79.760957123159415</v>
      </c>
      <c r="K65" s="47">
        <v>31.150515421259016</v>
      </c>
      <c r="L65">
        <v>13</v>
      </c>
      <c r="M65">
        <v>14.8</v>
      </c>
      <c r="O65" s="1" t="s">
        <v>59</v>
      </c>
      <c r="P65" s="1" t="s">
        <v>241</v>
      </c>
      <c r="Q65" s="2" t="e">
        <f t="shared" si="42"/>
        <v>#N/A</v>
      </c>
      <c r="R65" s="2">
        <f t="shared" si="43"/>
        <v>0.52310229113631035</v>
      </c>
      <c r="S65" s="2">
        <f t="shared" si="44"/>
        <v>1</v>
      </c>
      <c r="T65" s="2">
        <f t="shared" si="45"/>
        <v>0.17866058759440467</v>
      </c>
      <c r="U65" s="2">
        <f t="shared" si="46"/>
        <v>0.39607706282503741</v>
      </c>
      <c r="V65" s="2">
        <f t="shared" si="47"/>
        <v>0.55449190050452513</v>
      </c>
      <c r="W65" s="11">
        <f t="shared" si="34"/>
        <v>0.53046636841205552</v>
      </c>
      <c r="X65" s="2">
        <f t="shared" si="35"/>
        <v>0.39880478561579707</v>
      </c>
      <c r="Y65" s="2">
        <f t="shared" si="36"/>
        <v>0.3021502203037002</v>
      </c>
      <c r="Z65" s="2">
        <f t="shared" si="37"/>
        <v>0.32500000000000001</v>
      </c>
      <c r="AA65" s="2">
        <f t="shared" si="38"/>
        <v>0.21142857142857144</v>
      </c>
      <c r="AB65" s="84">
        <f t="shared" si="41"/>
        <v>0.3093458943370172</v>
      </c>
      <c r="AD65" s="46">
        <v>0.2906523672806135</v>
      </c>
      <c r="AE65" s="46">
        <f t="shared" si="39"/>
        <v>0.32925370406494153</v>
      </c>
      <c r="AF65" s="46">
        <f t="shared" si="40"/>
        <v>3.8601336784328033E-2</v>
      </c>
    </row>
    <row r="66" spans="1:32">
      <c r="A66" s="1" t="s">
        <v>71</v>
      </c>
      <c r="B66" s="1" t="s">
        <v>242</v>
      </c>
      <c r="C66" t="e">
        <f>NA()</f>
        <v>#N/A</v>
      </c>
      <c r="D66" s="64">
        <v>0.43434320379157088</v>
      </c>
      <c r="E66" s="2">
        <v>91.88</v>
      </c>
      <c r="F66" s="78">
        <v>0.61160194715238847</v>
      </c>
      <c r="G66" s="2">
        <v>0.80677745193874228</v>
      </c>
      <c r="H66" s="46">
        <v>0.40071183151330736</v>
      </c>
      <c r="I66" s="46"/>
      <c r="J66" s="47">
        <v>70.088291331865179</v>
      </c>
      <c r="K66" s="47">
        <v>27.797260606047907</v>
      </c>
      <c r="L66">
        <v>12</v>
      </c>
      <c r="M66">
        <v>21.5</v>
      </c>
      <c r="O66" s="1" t="s">
        <v>71</v>
      </c>
      <c r="P66" s="1" t="s">
        <v>242</v>
      </c>
      <c r="Q66" s="2" t="e">
        <f t="shared" si="42"/>
        <v>#N/A</v>
      </c>
      <c r="R66" s="2">
        <f t="shared" si="43"/>
        <v>0.45656567962084293</v>
      </c>
      <c r="S66" s="2">
        <f t="shared" si="44"/>
        <v>8.120000000000005E-2</v>
      </c>
      <c r="T66" s="2">
        <f t="shared" si="45"/>
        <v>1</v>
      </c>
      <c r="U66" s="2">
        <f t="shared" si="46"/>
        <v>0.80677745193874228</v>
      </c>
      <c r="V66" s="2">
        <f t="shared" si="47"/>
        <v>0.33214694747782103</v>
      </c>
      <c r="W66" s="11">
        <f t="shared" si="34"/>
        <v>0.53533801580748119</v>
      </c>
      <c r="X66" s="2">
        <f t="shared" si="35"/>
        <v>0.35044145665932591</v>
      </c>
      <c r="Y66" s="2">
        <f t="shared" si="36"/>
        <v>0.25424658008639867</v>
      </c>
      <c r="Z66" s="2">
        <f t="shared" si="37"/>
        <v>0.3</v>
      </c>
      <c r="AA66" s="2">
        <f t="shared" si="38"/>
        <v>0.30714285714285716</v>
      </c>
      <c r="AB66" s="84">
        <f t="shared" si="41"/>
        <v>0.30295772347214545</v>
      </c>
      <c r="AD66" s="46">
        <v>0.21971730361731454</v>
      </c>
      <c r="AE66" s="46">
        <f t="shared" si="39"/>
        <v>0.27762837150731928</v>
      </c>
      <c r="AF66" s="46">
        <f t="shared" si="40"/>
        <v>5.7911067890004747E-2</v>
      </c>
    </row>
    <row r="67" spans="1:32">
      <c r="A67" s="1" t="s">
        <v>126</v>
      </c>
      <c r="B67" s="1" t="s">
        <v>243</v>
      </c>
      <c r="C67" t="e">
        <f>NA()</f>
        <v>#N/A</v>
      </c>
      <c r="D67" s="64">
        <v>-0.44967490539972621</v>
      </c>
      <c r="E67" s="2">
        <v>34.71</v>
      </c>
      <c r="F67" s="78">
        <v>0.20950567910987897</v>
      </c>
      <c r="G67" s="2">
        <v>0.25128294786754229</v>
      </c>
      <c r="H67" s="46">
        <v>0.55461462952083507</v>
      </c>
      <c r="I67" s="46"/>
      <c r="J67" s="47">
        <v>5.3521410042651336</v>
      </c>
      <c r="K67" s="47">
        <v>31.686159942880781</v>
      </c>
      <c r="L67">
        <v>5</v>
      </c>
      <c r="M67">
        <v>13.1</v>
      </c>
      <c r="O67" s="1" t="s">
        <v>126</v>
      </c>
      <c r="P67" s="1" t="s">
        <v>243</v>
      </c>
      <c r="Q67" s="2" t="e">
        <f t="shared" si="42"/>
        <v>#N/A</v>
      </c>
      <c r="R67" s="2">
        <f t="shared" si="43"/>
        <v>0.54496749053997262</v>
      </c>
      <c r="S67" s="2">
        <f t="shared" si="44"/>
        <v>0.65290000000000004</v>
      </c>
      <c r="T67" s="2">
        <f t="shared" si="45"/>
        <v>0.34917613184979829</v>
      </c>
      <c r="U67" s="2">
        <f t="shared" si="46"/>
        <v>0.25128294786754229</v>
      </c>
      <c r="V67" s="2">
        <f t="shared" si="47"/>
        <v>7.5642284131941517E-2</v>
      </c>
      <c r="W67" s="11">
        <f t="shared" si="34"/>
        <v>0.37479377087785093</v>
      </c>
      <c r="X67" s="2">
        <f t="shared" si="35"/>
        <v>2.676070502132567E-2</v>
      </c>
      <c r="Y67" s="2">
        <f t="shared" si="36"/>
        <v>0.30980228489829686</v>
      </c>
      <c r="Z67" s="2">
        <f t="shared" si="37"/>
        <v>0.125</v>
      </c>
      <c r="AA67" s="2">
        <f t="shared" si="38"/>
        <v>0.18714285714285714</v>
      </c>
      <c r="AB67" s="84">
        <f t="shared" si="41"/>
        <v>0.16217646176561992</v>
      </c>
      <c r="AD67" s="46">
        <v>0.23270622936889537</v>
      </c>
      <c r="AE67" s="46">
        <f t="shared" si="39"/>
        <v>0.24568558200924917</v>
      </c>
      <c r="AF67" s="46">
        <f t="shared" si="40"/>
        <v>1.2979352640353797E-2</v>
      </c>
    </row>
    <row r="68" spans="1:32">
      <c r="A68" s="1" t="s">
        <v>84</v>
      </c>
      <c r="B68" s="1" t="s">
        <v>244</v>
      </c>
      <c r="C68" t="e">
        <f>NA()</f>
        <v>#N/A</v>
      </c>
      <c r="D68" s="64">
        <v>-0.79474386882003989</v>
      </c>
      <c r="E68" s="2">
        <v>4.88</v>
      </c>
      <c r="F68" s="78">
        <v>0.12406131002708196</v>
      </c>
      <c r="G68" s="2">
        <v>0.20082492919918293</v>
      </c>
      <c r="H68" s="46">
        <v>0.24300441790662264</v>
      </c>
      <c r="I68" s="46"/>
      <c r="J68" s="47">
        <v>93.038772168926272</v>
      </c>
      <c r="K68" s="47">
        <v>41.229619853467881</v>
      </c>
      <c r="L68">
        <v>6</v>
      </c>
      <c r="M68">
        <v>28.9</v>
      </c>
      <c r="O68" s="1" t="s">
        <v>84</v>
      </c>
      <c r="P68" s="1" t="s">
        <v>244</v>
      </c>
      <c r="Q68" s="2" t="e">
        <f t="shared" si="42"/>
        <v>#N/A</v>
      </c>
      <c r="R68" s="2">
        <f t="shared" si="43"/>
        <v>0.57947438688200403</v>
      </c>
      <c r="S68" s="2">
        <f t="shared" si="44"/>
        <v>0.95120000000000005</v>
      </c>
      <c r="T68" s="2">
        <f t="shared" si="45"/>
        <v>0.20676885004513659</v>
      </c>
      <c r="U68" s="2">
        <f t="shared" si="46"/>
        <v>0.20082492919918293</v>
      </c>
      <c r="V68" s="2">
        <f t="shared" si="47"/>
        <v>0.59499263682229553</v>
      </c>
      <c r="W68" s="11">
        <f t="shared" si="34"/>
        <v>0.50665216058972384</v>
      </c>
      <c r="X68" s="2">
        <f t="shared" si="35"/>
        <v>0.46519386084463138</v>
      </c>
      <c r="Y68" s="2">
        <f t="shared" si="36"/>
        <v>0.44613742647811261</v>
      </c>
      <c r="Z68" s="2">
        <f t="shared" si="37"/>
        <v>0.15</v>
      </c>
      <c r="AA68" s="2">
        <f t="shared" si="38"/>
        <v>0.41285714285714281</v>
      </c>
      <c r="AB68" s="84">
        <f t="shared" si="41"/>
        <v>0.36854710754497166</v>
      </c>
      <c r="AD68" s="46">
        <v>0.29933438065532264</v>
      </c>
      <c r="AE68" s="46">
        <f t="shared" si="39"/>
        <v>0.33913558693503781</v>
      </c>
      <c r="AF68" s="46">
        <f t="shared" si="40"/>
        <v>3.9801206279715173E-2</v>
      </c>
    </row>
    <row r="69" spans="1:32">
      <c r="A69" s="1" t="s">
        <v>134</v>
      </c>
      <c r="B69" s="1" t="s">
        <v>245</v>
      </c>
      <c r="C69" t="e">
        <f>NA()</f>
        <v>#N/A</v>
      </c>
      <c r="D69" s="64" t="e">
        <v>#N/A</v>
      </c>
      <c r="E69" s="2">
        <v>100</v>
      </c>
      <c r="F69" s="78" t="e">
        <v>#N/A</v>
      </c>
      <c r="G69" s="2">
        <v>0.41829652180449961</v>
      </c>
      <c r="H69" s="46">
        <v>0.20250368158885224</v>
      </c>
      <c r="I69" s="46"/>
      <c r="J69" s="47">
        <v>14.463108630675258</v>
      </c>
      <c r="K69" s="47">
        <v>47.432935353468494</v>
      </c>
      <c r="L69">
        <v>14</v>
      </c>
      <c r="M69">
        <v>66.3</v>
      </c>
      <c r="O69" s="1" t="s">
        <v>134</v>
      </c>
      <c r="P69" s="1" t="s">
        <v>245</v>
      </c>
      <c r="Q69" s="2" t="e">
        <f t="shared" si="42"/>
        <v>#N/A</v>
      </c>
      <c r="R69" s="2" t="e">
        <f t="shared" si="43"/>
        <v>#N/A</v>
      </c>
      <c r="S69" s="2">
        <f t="shared" si="44"/>
        <v>0</v>
      </c>
      <c r="T69" s="2" t="e">
        <f t="shared" si="45"/>
        <v>#N/A</v>
      </c>
      <c r="U69" s="2">
        <f t="shared" si="46"/>
        <v>0.41829652180449961</v>
      </c>
      <c r="V69" s="2">
        <f t="shared" si="47"/>
        <v>0.66249386401857957</v>
      </c>
      <c r="W69" s="11">
        <f t="shared" si="34"/>
        <v>0.36026346194102637</v>
      </c>
      <c r="X69" s="2">
        <f t="shared" si="35"/>
        <v>7.2315543153376294E-2</v>
      </c>
      <c r="Y69" s="2">
        <f t="shared" si="36"/>
        <v>0.53475621933526418</v>
      </c>
      <c r="Z69" s="2">
        <f t="shared" si="37"/>
        <v>0.35</v>
      </c>
      <c r="AA69" s="2">
        <f t="shared" si="38"/>
        <v>0.94714285714285706</v>
      </c>
      <c r="AB69" s="84">
        <f t="shared" si="41"/>
        <v>0.47605365490787438</v>
      </c>
      <c r="AD69" s="46">
        <v>0.44653479542414742</v>
      </c>
      <c r="AE69" s="46">
        <f t="shared" si="39"/>
        <v>0.43704142483382324</v>
      </c>
      <c r="AF69" s="46">
        <f t="shared" si="40"/>
        <v>9.4933705903241794E-3</v>
      </c>
    </row>
    <row r="70" spans="1:32">
      <c r="A70" s="1" t="s">
        <v>178</v>
      </c>
      <c r="B70" s="1" t="s">
        <v>246</v>
      </c>
      <c r="C70" t="e">
        <f>NA()</f>
        <v>#N/A</v>
      </c>
      <c r="D70" s="64">
        <v>0.83901300401779078</v>
      </c>
      <c r="E70" s="2">
        <v>29.35</v>
      </c>
      <c r="F70" s="78" t="e">
        <v>#N/A</v>
      </c>
      <c r="G70" s="2">
        <v>0.34446155116696336</v>
      </c>
      <c r="H70" s="46">
        <v>6.4801178108432778E-2</v>
      </c>
      <c r="I70" s="46"/>
      <c r="J70" s="47">
        <v>68.419659312058613</v>
      </c>
      <c r="K70" s="47">
        <v>60.159369235799744</v>
      </c>
      <c r="L70">
        <v>48</v>
      </c>
      <c r="M70" t="e">
        <v>#N/A</v>
      </c>
      <c r="O70" s="1" t="s">
        <v>178</v>
      </c>
      <c r="P70" s="1" t="s">
        <v>246</v>
      </c>
      <c r="Q70" s="2" t="e">
        <f t="shared" si="42"/>
        <v>#N/A</v>
      </c>
      <c r="R70" s="2">
        <f t="shared" si="43"/>
        <v>0.41609869959822088</v>
      </c>
      <c r="S70" s="2">
        <f t="shared" si="44"/>
        <v>0.70649999999999991</v>
      </c>
      <c r="T70" s="2" t="e">
        <f t="shared" si="45"/>
        <v>#N/A</v>
      </c>
      <c r="U70" s="2">
        <f t="shared" si="46"/>
        <v>0.34446155116696336</v>
      </c>
      <c r="V70" s="2">
        <f t="shared" si="47"/>
        <v>0.89199803648594533</v>
      </c>
      <c r="W70" s="11">
        <f t="shared" si="34"/>
        <v>0.5897645718127823</v>
      </c>
      <c r="X70" s="2">
        <f t="shared" si="35"/>
        <v>0.34209829656029306</v>
      </c>
      <c r="Y70" s="2">
        <f t="shared" si="36"/>
        <v>0.71656241765428208</v>
      </c>
      <c r="Z70" s="2">
        <f t="shared" si="37"/>
        <v>1</v>
      </c>
      <c r="AA70" s="2" t="e">
        <f t="shared" si="38"/>
        <v>#N/A</v>
      </c>
      <c r="AB70" s="84">
        <f t="shared" si="41"/>
        <v>0.6862202380715251</v>
      </c>
      <c r="AD70" s="46">
        <v>0.4674508779835656</v>
      </c>
      <c r="AE70" s="46">
        <f t="shared" si="39"/>
        <v>0.51250075402895723</v>
      </c>
      <c r="AF70" s="46">
        <f t="shared" si="40"/>
        <v>4.5049876045391624E-2</v>
      </c>
    </row>
    <row r="71" spans="1:32">
      <c r="A71" s="1" t="s">
        <v>58</v>
      </c>
      <c r="B71" s="1" t="s">
        <v>247</v>
      </c>
      <c r="C71" t="e">
        <f>NA()</f>
        <v>#N/A</v>
      </c>
      <c r="D71" s="64">
        <v>5.9300146469161774</v>
      </c>
      <c r="E71" s="2">
        <v>100</v>
      </c>
      <c r="F71" s="78" t="e">
        <v>#N/A</v>
      </c>
      <c r="G71" s="2">
        <v>4.7868940549250498E-2</v>
      </c>
      <c r="H71" s="46">
        <v>0.23490427064306862</v>
      </c>
      <c r="I71" s="46"/>
      <c r="J71" s="47">
        <v>-61.704808632326312</v>
      </c>
      <c r="K71" s="47">
        <v>42.849903931668074</v>
      </c>
      <c r="L71">
        <v>2</v>
      </c>
      <c r="M71">
        <v>0</v>
      </c>
      <c r="O71" s="1" t="s">
        <v>58</v>
      </c>
      <c r="P71" s="1" t="s">
        <v>247</v>
      </c>
      <c r="Q71" s="2" t="e">
        <f t="shared" si="42"/>
        <v>#N/A</v>
      </c>
      <c r="R71" s="2">
        <f t="shared" si="43"/>
        <v>0</v>
      </c>
      <c r="S71" s="2">
        <f t="shared" si="44"/>
        <v>0</v>
      </c>
      <c r="T71" s="2" t="e">
        <f t="shared" si="45"/>
        <v>#N/A</v>
      </c>
      <c r="U71" s="2">
        <f t="shared" si="46"/>
        <v>4.7868940549250498E-2</v>
      </c>
      <c r="V71" s="2">
        <f t="shared" si="47"/>
        <v>0.60849288226155229</v>
      </c>
      <c r="W71" s="11">
        <f t="shared" si="34"/>
        <v>0.1640904557027007</v>
      </c>
      <c r="X71" s="2">
        <f t="shared" si="35"/>
        <v>0</v>
      </c>
      <c r="Y71" s="2">
        <f t="shared" si="36"/>
        <v>0.46928434188097246</v>
      </c>
      <c r="Z71" s="2">
        <f t="shared" si="37"/>
        <v>0.05</v>
      </c>
      <c r="AA71" s="2">
        <f t="shared" si="38"/>
        <v>0</v>
      </c>
      <c r="AB71" s="84">
        <f t="shared" si="41"/>
        <v>0.12982108547024312</v>
      </c>
      <c r="AD71" s="46">
        <v>0.2555974398531653</v>
      </c>
      <c r="AE71" s="46">
        <f t="shared" si="39"/>
        <v>0.22648712657183159</v>
      </c>
      <c r="AF71" s="46">
        <f t="shared" si="40"/>
        <v>2.9110313281333705E-2</v>
      </c>
    </row>
    <row r="72" spans="1:32">
      <c r="A72" s="1" t="s">
        <v>184</v>
      </c>
      <c r="B72" s="1" t="s">
        <v>248</v>
      </c>
      <c r="C72" t="e">
        <f>NA()</f>
        <v>#N/A</v>
      </c>
      <c r="D72" s="64">
        <v>-0.43988149593220005</v>
      </c>
      <c r="E72" s="2">
        <v>85.41</v>
      </c>
      <c r="F72" s="78">
        <v>0.5429114889085862</v>
      </c>
      <c r="G72" s="2">
        <v>0.32438849984746593</v>
      </c>
      <c r="H72" s="46">
        <v>0.19845360795707523</v>
      </c>
      <c r="I72" s="46"/>
      <c r="J72" s="47">
        <v>80.083485902048977</v>
      </c>
      <c r="K72" s="47">
        <v>20.067142110801157</v>
      </c>
      <c r="L72">
        <v>21</v>
      </c>
      <c r="M72">
        <v>76.400000000000006</v>
      </c>
      <c r="O72" s="1" t="s">
        <v>184</v>
      </c>
      <c r="P72" s="1" t="s">
        <v>248</v>
      </c>
      <c r="Q72" s="2" t="e">
        <f t="shared" si="42"/>
        <v>#N/A</v>
      </c>
      <c r="R72" s="2">
        <f t="shared" si="43"/>
        <v>0.54398814959321995</v>
      </c>
      <c r="S72" s="2">
        <f t="shared" si="44"/>
        <v>0.14590000000000003</v>
      </c>
      <c r="T72" s="2">
        <f t="shared" si="45"/>
        <v>0.90485248151431041</v>
      </c>
      <c r="U72" s="2">
        <f t="shared" si="46"/>
        <v>0.32438849984746593</v>
      </c>
      <c r="V72" s="2">
        <f t="shared" si="47"/>
        <v>0.66924398673820795</v>
      </c>
      <c r="W72" s="11">
        <f t="shared" si="34"/>
        <v>0.51767462353864091</v>
      </c>
      <c r="X72" s="2">
        <f t="shared" si="35"/>
        <v>0.40041742951024489</v>
      </c>
      <c r="Y72" s="2">
        <f t="shared" si="36"/>
        <v>0.14381631586858795</v>
      </c>
      <c r="Z72" s="2">
        <f t="shared" si="37"/>
        <v>0.52500000000000002</v>
      </c>
      <c r="AA72" s="2">
        <f t="shared" si="38"/>
        <v>1</v>
      </c>
      <c r="AB72" s="84">
        <f t="shared" si="41"/>
        <v>0.51730843634470824</v>
      </c>
      <c r="AD72" s="46">
        <v>0.56462408800727315</v>
      </c>
      <c r="AE72" s="46">
        <f t="shared" si="39"/>
        <v>0.55177530228019989</v>
      </c>
      <c r="AF72" s="46">
        <f t="shared" si="40"/>
        <v>1.2848785727073264E-2</v>
      </c>
    </row>
    <row r="73" spans="1:32">
      <c r="A73" s="1" t="s">
        <v>108</v>
      </c>
      <c r="B73" s="1" t="s">
        <v>249</v>
      </c>
      <c r="C73" t="e">
        <f>NA()</f>
        <v>#N/A</v>
      </c>
      <c r="D73" s="64" t="e">
        <v>#N/A</v>
      </c>
      <c r="E73" s="2">
        <v>8</v>
      </c>
      <c r="F73" s="78">
        <v>0.43530985321215893</v>
      </c>
      <c r="G73" s="2">
        <v>0.77989496985216222</v>
      </c>
      <c r="H73" s="46">
        <v>0</v>
      </c>
      <c r="I73" s="46"/>
      <c r="J73" s="47">
        <v>100.97583295714637</v>
      </c>
      <c r="K73" s="47">
        <v>38.620535821632593</v>
      </c>
      <c r="L73" t="e">
        <v>#N/A</v>
      </c>
      <c r="M73" t="e">
        <v>#N/A</v>
      </c>
      <c r="O73" s="1" t="s">
        <v>108</v>
      </c>
      <c r="P73" s="1" t="s">
        <v>249</v>
      </c>
      <c r="Q73" s="2" t="e">
        <f t="shared" si="42"/>
        <v>#N/A</v>
      </c>
      <c r="R73" s="2" t="e">
        <f t="shared" si="43"/>
        <v>#N/A</v>
      </c>
      <c r="S73" s="2">
        <f t="shared" si="44"/>
        <v>0.92</v>
      </c>
      <c r="T73" s="2">
        <f t="shared" si="45"/>
        <v>0.7255164220202649</v>
      </c>
      <c r="U73" s="2">
        <f t="shared" si="46"/>
        <v>0.77989496985216222</v>
      </c>
      <c r="V73" s="2">
        <f t="shared" si="47"/>
        <v>1</v>
      </c>
      <c r="W73" s="11">
        <f t="shared" si="34"/>
        <v>0.85635284796810685</v>
      </c>
      <c r="X73" s="2">
        <f t="shared" si="35"/>
        <v>0.5048791647857318</v>
      </c>
      <c r="Y73" s="2">
        <f t="shared" si="36"/>
        <v>0.40886479745189419</v>
      </c>
      <c r="Z73" s="2" t="e">
        <f t="shared" si="37"/>
        <v>#N/A</v>
      </c>
      <c r="AA73" s="2" t="e">
        <f t="shared" si="38"/>
        <v>#N/A</v>
      </c>
      <c r="AB73" s="84" t="e">
        <f t="shared" si="41"/>
        <v>#N/A</v>
      </c>
      <c r="AD73" s="46">
        <v>0.32392751567078631</v>
      </c>
      <c r="AE73" s="46" t="e">
        <f t="shared" si="39"/>
        <v>#N/A</v>
      </c>
      <c r="AF73" s="46" t="e">
        <f t="shared" si="40"/>
        <v>#N/A</v>
      </c>
    </row>
    <row r="74" spans="1:32">
      <c r="A74" s="1" t="s">
        <v>77</v>
      </c>
      <c r="B74" s="1" t="s">
        <v>250</v>
      </c>
      <c r="C74" t="e">
        <f>NA()</f>
        <v>#N/A</v>
      </c>
      <c r="D74" s="64">
        <v>10.131674989165516</v>
      </c>
      <c r="E74" s="2">
        <v>49.29</v>
      </c>
      <c r="F74" s="78">
        <v>5.5788823269956427E-2</v>
      </c>
      <c r="G74" s="2">
        <v>5.9775949672749053E-2</v>
      </c>
      <c r="H74" s="46">
        <v>0.84609720199247229</v>
      </c>
      <c r="I74" s="46"/>
      <c r="J74" s="47">
        <v>101.73450792881913</v>
      </c>
      <c r="K74" s="47">
        <v>32.579285198541179</v>
      </c>
      <c r="L74">
        <v>0</v>
      </c>
      <c r="M74">
        <v>0</v>
      </c>
      <c r="O74" s="1" t="s">
        <v>77</v>
      </c>
      <c r="P74" s="1" t="s">
        <v>250</v>
      </c>
      <c r="Q74" s="2" t="e">
        <f t="shared" si="42"/>
        <v>#N/A</v>
      </c>
      <c r="R74" s="2">
        <f t="shared" si="43"/>
        <v>0</v>
      </c>
      <c r="S74" s="2">
        <f t="shared" si="44"/>
        <v>0.5071</v>
      </c>
      <c r="T74" s="2">
        <f t="shared" si="45"/>
        <v>9.2981372116594047E-2</v>
      </c>
      <c r="U74" s="2">
        <f t="shared" si="46"/>
        <v>5.9775949672749053E-2</v>
      </c>
      <c r="V74" s="2">
        <f t="shared" si="47"/>
        <v>0</v>
      </c>
      <c r="W74" s="11">
        <f t="shared" si="34"/>
        <v>0.13197146435786861</v>
      </c>
      <c r="X74" s="2">
        <f t="shared" si="35"/>
        <v>0.50867253964409564</v>
      </c>
      <c r="Y74" s="2">
        <f t="shared" si="36"/>
        <v>0.32256121712201685</v>
      </c>
      <c r="Z74" s="2">
        <f t="shared" si="37"/>
        <v>0</v>
      </c>
      <c r="AA74" s="2">
        <f t="shared" si="38"/>
        <v>0</v>
      </c>
      <c r="AB74" s="84">
        <f t="shared" si="41"/>
        <v>0.20780843919152814</v>
      </c>
      <c r="AD74" s="46">
        <v>0.17587638512544443</v>
      </c>
      <c r="AE74" s="46">
        <f t="shared" si="39"/>
        <v>0.17309467641109461</v>
      </c>
      <c r="AF74" s="46">
        <f t="shared" si="40"/>
        <v>2.7817087143498231E-3</v>
      </c>
    </row>
    <row r="75" spans="1:32">
      <c r="A75" s="1" t="s">
        <v>40</v>
      </c>
      <c r="B75" s="1" t="s">
        <v>251</v>
      </c>
      <c r="C75" t="e">
        <f>NA()</f>
        <v>#N/A</v>
      </c>
      <c r="D75" s="64">
        <v>0.31984722690150624</v>
      </c>
      <c r="E75" s="2">
        <v>76.88</v>
      </c>
      <c r="F75" s="78">
        <v>2.4265702600783999E-2</v>
      </c>
      <c r="G75" s="2">
        <v>0.13777444827091875</v>
      </c>
      <c r="H75" s="46">
        <v>1</v>
      </c>
      <c r="I75" s="46"/>
      <c r="J75" s="47">
        <v>54.881177463038441</v>
      </c>
      <c r="K75" s="47">
        <v>20.773588582235071</v>
      </c>
      <c r="L75">
        <v>0</v>
      </c>
      <c r="M75">
        <v>0</v>
      </c>
      <c r="O75" s="1" t="s">
        <v>40</v>
      </c>
      <c r="P75" s="1" t="s">
        <v>251</v>
      </c>
      <c r="Q75" s="2" t="e">
        <f t="shared" si="42"/>
        <v>#N/A</v>
      </c>
      <c r="R75" s="2">
        <f t="shared" si="43"/>
        <v>0.46801527730984938</v>
      </c>
      <c r="S75" s="2">
        <f t="shared" si="44"/>
        <v>0.23120000000000007</v>
      </c>
      <c r="T75" s="2">
        <f t="shared" si="45"/>
        <v>4.0442837667973332E-2</v>
      </c>
      <c r="U75" s="2">
        <f t="shared" si="46"/>
        <v>0.13777444827091875</v>
      </c>
      <c r="V75" s="2">
        <f t="shared" si="47"/>
        <v>0</v>
      </c>
      <c r="W75" s="11">
        <f t="shared" si="34"/>
        <v>0.17548651264974829</v>
      </c>
      <c r="X75" s="2">
        <f t="shared" si="35"/>
        <v>0.27440588731519222</v>
      </c>
      <c r="Y75" s="2">
        <f t="shared" si="36"/>
        <v>0.15390840831764388</v>
      </c>
      <c r="Z75" s="2">
        <f t="shared" si="37"/>
        <v>0</v>
      </c>
      <c r="AA75" s="2">
        <f t="shared" si="38"/>
        <v>0</v>
      </c>
      <c r="AB75" s="84">
        <f t="shared" si="41"/>
        <v>0.10707857390820902</v>
      </c>
      <c r="AD75" s="46">
        <v>0.12667107082012879</v>
      </c>
      <c r="AE75" s="46">
        <f t="shared" si="39"/>
        <v>0.13169250177468692</v>
      </c>
      <c r="AF75" s="46">
        <f t="shared" si="40"/>
        <v>5.0214309545581204E-3</v>
      </c>
    </row>
    <row r="76" spans="1:32">
      <c r="A76" s="1" t="s">
        <v>25</v>
      </c>
      <c r="B76" s="1" t="s">
        <v>252</v>
      </c>
      <c r="C76" t="e">
        <f>NA()</f>
        <v>#N/A</v>
      </c>
      <c r="D76" s="64">
        <v>26.90974989337402</v>
      </c>
      <c r="E76" s="2">
        <v>89.35</v>
      </c>
      <c r="F76" s="78">
        <v>0.21237160304955474</v>
      </c>
      <c r="G76" s="2">
        <v>0.31621925541050971</v>
      </c>
      <c r="H76" s="46">
        <v>0.25920471243373089</v>
      </c>
      <c r="I76" s="46"/>
      <c r="J76" s="47">
        <v>29.867476123828357</v>
      </c>
      <c r="K76" s="47">
        <v>48.984782269590191</v>
      </c>
      <c r="L76">
        <v>3</v>
      </c>
      <c r="M76">
        <v>38.700000000000003</v>
      </c>
      <c r="O76" s="1" t="s">
        <v>25</v>
      </c>
      <c r="P76" s="1" t="s">
        <v>252</v>
      </c>
      <c r="Q76" s="2" t="e">
        <f t="shared" si="42"/>
        <v>#N/A</v>
      </c>
      <c r="R76" s="2">
        <f t="shared" si="43"/>
        <v>0</v>
      </c>
      <c r="S76" s="2">
        <f t="shared" si="44"/>
        <v>0.10650000000000004</v>
      </c>
      <c r="T76" s="2">
        <f t="shared" si="45"/>
        <v>0.35395267174925793</v>
      </c>
      <c r="U76" s="2">
        <f t="shared" si="46"/>
        <v>0.31621925541050971</v>
      </c>
      <c r="V76" s="2">
        <f t="shared" si="47"/>
        <v>0.56799214594378178</v>
      </c>
      <c r="W76" s="11">
        <f t="shared" si="34"/>
        <v>0.26893281462070989</v>
      </c>
      <c r="X76" s="2">
        <f t="shared" si="35"/>
        <v>0.14933738061914179</v>
      </c>
      <c r="Y76" s="2">
        <f t="shared" si="36"/>
        <v>0.55692546099414564</v>
      </c>
      <c r="Z76" s="2">
        <f t="shared" si="37"/>
        <v>7.4999999999999997E-2</v>
      </c>
      <c r="AA76" s="2">
        <f t="shared" si="38"/>
        <v>0.55285714285714294</v>
      </c>
      <c r="AB76" s="84">
        <f t="shared" si="41"/>
        <v>0.33352999611760759</v>
      </c>
      <c r="AD76" s="46">
        <v>0.36316424526394359</v>
      </c>
      <c r="AE76" s="46">
        <f t="shared" si="39"/>
        <v>0.34529472557298863</v>
      </c>
      <c r="AF76" s="46">
        <f t="shared" si="40"/>
        <v>1.786951969095496E-2</v>
      </c>
    </row>
    <row r="77" spans="1:32">
      <c r="A77" s="1" t="s">
        <v>95</v>
      </c>
      <c r="B77" s="1" t="s">
        <v>253</v>
      </c>
      <c r="C77" t="e">
        <f>NA()</f>
        <v>#N/A</v>
      </c>
      <c r="D77" s="64">
        <v>-5.5868144093527805E-2</v>
      </c>
      <c r="E77" s="2">
        <v>8.76</v>
      </c>
      <c r="F77" s="78">
        <v>0.35162765122310752</v>
      </c>
      <c r="G77" s="2">
        <v>0.18151538962784589</v>
      </c>
      <c r="H77" s="46">
        <v>0.24705449153839976</v>
      </c>
      <c r="I77" s="46"/>
      <c r="J77" s="47">
        <v>53.214569832620583</v>
      </c>
      <c r="K77" s="47">
        <v>45.323439950419484</v>
      </c>
      <c r="L77">
        <v>3</v>
      </c>
      <c r="M77">
        <v>34.799999999999997</v>
      </c>
      <c r="O77" s="1" t="s">
        <v>95</v>
      </c>
      <c r="P77" s="1" t="s">
        <v>253</v>
      </c>
      <c r="Q77" s="2" t="e">
        <f t="shared" si="42"/>
        <v>#N/A</v>
      </c>
      <c r="R77" s="2">
        <f t="shared" si="43"/>
        <v>0.50558681440935271</v>
      </c>
      <c r="S77" s="2">
        <f t="shared" si="44"/>
        <v>0.91239999999999999</v>
      </c>
      <c r="T77" s="2">
        <f t="shared" si="45"/>
        <v>0.58604608537184588</v>
      </c>
      <c r="U77" s="2">
        <f t="shared" si="46"/>
        <v>0.18151538962784589</v>
      </c>
      <c r="V77" s="2">
        <f t="shared" si="47"/>
        <v>0.58824251410266704</v>
      </c>
      <c r="W77" s="11">
        <f t="shared" si="34"/>
        <v>0.5547581607023423</v>
      </c>
      <c r="X77" s="2">
        <f t="shared" si="35"/>
        <v>0.26607284916310292</v>
      </c>
      <c r="Y77" s="2">
        <f t="shared" si="36"/>
        <v>0.50462057072027833</v>
      </c>
      <c r="Z77" s="2">
        <f t="shared" si="37"/>
        <v>7.4999999999999997E-2</v>
      </c>
      <c r="AA77" s="2">
        <f t="shared" si="38"/>
        <v>0.49714285714285711</v>
      </c>
      <c r="AB77" s="84">
        <f t="shared" si="41"/>
        <v>0.33570906925655958</v>
      </c>
      <c r="AD77" s="46">
        <v>0.42964870120945747</v>
      </c>
      <c r="AE77" s="46">
        <f t="shared" si="39"/>
        <v>0.43721805786560392</v>
      </c>
      <c r="AF77" s="46">
        <f t="shared" si="40"/>
        <v>7.569356656146442E-3</v>
      </c>
    </row>
    <row r="78" spans="1:32">
      <c r="A78" s="1" t="s">
        <v>105</v>
      </c>
      <c r="B78" s="1" t="s">
        <v>254</v>
      </c>
      <c r="C78" t="e">
        <f>NA()</f>
        <v>#N/A</v>
      </c>
      <c r="D78" s="64">
        <v>0.21686888101507862</v>
      </c>
      <c r="E78" s="2">
        <v>21.35</v>
      </c>
      <c r="F78" s="78">
        <v>0.20339077667644062</v>
      </c>
      <c r="G78" s="2">
        <v>0.3195590949959759</v>
      </c>
      <c r="H78" s="46">
        <v>0.20655375522062935</v>
      </c>
      <c r="I78" s="46"/>
      <c r="J78" s="47">
        <v>15.969470754153567</v>
      </c>
      <c r="K78" s="47">
        <v>47.553010548109057</v>
      </c>
      <c r="L78">
        <v>3</v>
      </c>
      <c r="M78">
        <v>0</v>
      </c>
      <c r="O78" s="1" t="s">
        <v>105</v>
      </c>
      <c r="P78" s="1" t="s">
        <v>254</v>
      </c>
      <c r="Q78" s="2" t="e">
        <f t="shared" si="42"/>
        <v>#N/A</v>
      </c>
      <c r="R78" s="2">
        <f t="shared" si="43"/>
        <v>0.47831311189849213</v>
      </c>
      <c r="S78" s="2">
        <f t="shared" si="44"/>
        <v>0.78649999999999998</v>
      </c>
      <c r="T78" s="2">
        <f t="shared" si="45"/>
        <v>0.33898462779406774</v>
      </c>
      <c r="U78" s="2">
        <f t="shared" si="46"/>
        <v>0.3195590949959759</v>
      </c>
      <c r="V78" s="2">
        <f t="shared" si="47"/>
        <v>0.65574374129895108</v>
      </c>
      <c r="W78" s="11">
        <f t="shared" si="34"/>
        <v>0.51582011519749726</v>
      </c>
      <c r="X78" s="2">
        <f t="shared" si="35"/>
        <v>7.9847353770767834E-2</v>
      </c>
      <c r="Y78" s="2">
        <f t="shared" si="36"/>
        <v>0.53647157925870081</v>
      </c>
      <c r="Z78" s="2">
        <f t="shared" si="37"/>
        <v>7.4999999999999997E-2</v>
      </c>
      <c r="AA78" s="2">
        <f t="shared" si="38"/>
        <v>0</v>
      </c>
      <c r="AB78" s="84">
        <f t="shared" si="41"/>
        <v>0.17282973325736714</v>
      </c>
      <c r="AD78" s="46">
        <v>0.25538341801379622</v>
      </c>
      <c r="AE78" s="46">
        <f t="shared" si="39"/>
        <v>0.28483701640448683</v>
      </c>
      <c r="AF78" s="46">
        <f t="shared" si="40"/>
        <v>2.9453598390690616E-2</v>
      </c>
    </row>
    <row r="79" spans="1:32">
      <c r="A79" s="1" t="s">
        <v>44</v>
      </c>
      <c r="B79" s="1" t="s">
        <v>255</v>
      </c>
      <c r="C79" t="e">
        <f>NA()</f>
        <v>#N/A</v>
      </c>
      <c r="D79" s="64">
        <v>-0.12661548347597273</v>
      </c>
      <c r="E79" s="2">
        <v>100</v>
      </c>
      <c r="F79" s="78">
        <v>1.5781474076325075E-2</v>
      </c>
      <c r="G79" s="2">
        <v>0.15642983283297049</v>
      </c>
      <c r="H79" s="46">
        <v>0.9635493373140066</v>
      </c>
      <c r="I79" s="46"/>
      <c r="J79" s="47">
        <v>-44.36620635610133</v>
      </c>
      <c r="K79" s="47">
        <v>5.7209794371154556</v>
      </c>
      <c r="L79">
        <v>0</v>
      </c>
      <c r="M79">
        <v>0</v>
      </c>
      <c r="O79" s="1" t="s">
        <v>44</v>
      </c>
      <c r="P79" s="1" t="s">
        <v>255</v>
      </c>
      <c r="Q79" s="2" t="e">
        <f t="shared" si="42"/>
        <v>#N/A</v>
      </c>
      <c r="R79" s="2">
        <f t="shared" si="43"/>
        <v>0.51266154834759736</v>
      </c>
      <c r="S79" s="2">
        <f t="shared" si="44"/>
        <v>0</v>
      </c>
      <c r="T79" s="2">
        <f t="shared" si="45"/>
        <v>2.6302456793875127E-2</v>
      </c>
      <c r="U79" s="2">
        <f t="shared" si="46"/>
        <v>0.15642983283297049</v>
      </c>
      <c r="V79" s="2">
        <f t="shared" si="47"/>
        <v>0</v>
      </c>
      <c r="W79" s="11">
        <f t="shared" si="34"/>
        <v>0.1390787675948886</v>
      </c>
      <c r="X79" s="2">
        <f t="shared" si="35"/>
        <v>0</v>
      </c>
      <c r="Y79" s="2">
        <f t="shared" si="36"/>
        <v>0</v>
      </c>
      <c r="Z79" s="2">
        <f t="shared" si="37"/>
        <v>0</v>
      </c>
      <c r="AA79" s="2">
        <f t="shared" si="38"/>
        <v>0</v>
      </c>
      <c r="AB79" s="84">
        <f t="shared" si="41"/>
        <v>0</v>
      </c>
      <c r="AD79" s="46">
        <v>0.13954152344871021</v>
      </c>
      <c r="AE79" s="46">
        <f t="shared" si="39"/>
        <v>0.12255728487101479</v>
      </c>
      <c r="AF79" s="46">
        <f t="shared" si="40"/>
        <v>1.6984238577695418E-2</v>
      </c>
    </row>
    <row r="80" spans="1:32">
      <c r="A80" s="1" t="s">
        <v>112</v>
      </c>
      <c r="B80" s="1" t="s">
        <v>256</v>
      </c>
      <c r="C80" t="e">
        <f>NA()</f>
        <v>#N/A</v>
      </c>
      <c r="D80" s="64">
        <v>-0.2478506085023453</v>
      </c>
      <c r="E80" s="2">
        <v>78.06</v>
      </c>
      <c r="F80" s="78">
        <v>0.46666926782506929</v>
      </c>
      <c r="G80" s="2">
        <v>0.48125418366157513</v>
      </c>
      <c r="H80" s="46">
        <v>0.38058419237073227</v>
      </c>
      <c r="I80" s="46"/>
      <c r="J80" s="47">
        <v>61.489542621312879</v>
      </c>
      <c r="K80" s="47">
        <v>18.642902128801069</v>
      </c>
      <c r="L80">
        <v>11</v>
      </c>
      <c r="M80">
        <v>40.1</v>
      </c>
      <c r="O80" s="1" t="s">
        <v>112</v>
      </c>
      <c r="P80" s="1" t="s">
        <v>256</v>
      </c>
      <c r="Q80" s="2" t="e">
        <f t="shared" si="42"/>
        <v>#N/A</v>
      </c>
      <c r="R80" s="2">
        <f t="shared" si="43"/>
        <v>0.52478506085023446</v>
      </c>
      <c r="S80" s="2">
        <f t="shared" si="44"/>
        <v>0.21939999999999993</v>
      </c>
      <c r="T80" s="2">
        <f t="shared" si="45"/>
        <v>0.77778211304178213</v>
      </c>
      <c r="U80" s="2">
        <f t="shared" si="46"/>
        <v>0.48125418366157513</v>
      </c>
      <c r="V80" s="2">
        <f t="shared" si="47"/>
        <v>0.36569301271544619</v>
      </c>
      <c r="W80" s="11">
        <f t="shared" si="34"/>
        <v>0.47378287405380759</v>
      </c>
      <c r="X80" s="2">
        <f t="shared" si="35"/>
        <v>0.30744771310656438</v>
      </c>
      <c r="Y80" s="2">
        <f t="shared" si="36"/>
        <v>0.12347003041144385</v>
      </c>
      <c r="Z80" s="2">
        <f t="shared" si="37"/>
        <v>0.27500000000000002</v>
      </c>
      <c r="AA80" s="2">
        <f t="shared" si="38"/>
        <v>0.57285714285714284</v>
      </c>
      <c r="AB80" s="84">
        <f t="shared" si="41"/>
        <v>0.31969372159378773</v>
      </c>
      <c r="AD80" s="46">
        <v>0.4285810394865634</v>
      </c>
      <c r="AE80" s="46">
        <f t="shared" si="39"/>
        <v>0.42223133952490033</v>
      </c>
      <c r="AF80" s="46">
        <f t="shared" si="40"/>
        <v>6.3496999616630689E-3</v>
      </c>
    </row>
    <row r="81" spans="1:32">
      <c r="A81" s="1" t="s">
        <v>83</v>
      </c>
      <c r="B81" s="1" t="s">
        <v>257</v>
      </c>
      <c r="C81" t="e">
        <f>NA()</f>
        <v>#N/A</v>
      </c>
      <c r="D81" s="64">
        <v>-0.80925100477677647</v>
      </c>
      <c r="E81" s="2">
        <v>95.76</v>
      </c>
      <c r="F81" s="78">
        <v>3.2140320137049296E-2</v>
      </c>
      <c r="G81" s="2">
        <v>0.22297573813563951</v>
      </c>
      <c r="H81" s="46">
        <v>0.7571183111096873</v>
      </c>
      <c r="I81" s="46"/>
      <c r="J81" s="47">
        <v>101.6060775569388</v>
      </c>
      <c r="K81" s="47">
        <v>46.867078981587312</v>
      </c>
      <c r="L81">
        <v>2</v>
      </c>
      <c r="M81">
        <v>0</v>
      </c>
      <c r="O81" s="1" t="s">
        <v>83</v>
      </c>
      <c r="P81" s="1" t="s">
        <v>257</v>
      </c>
      <c r="Q81" s="2" t="e">
        <f t="shared" si="42"/>
        <v>#N/A</v>
      </c>
      <c r="R81" s="2">
        <f t="shared" si="43"/>
        <v>0.58092510047767765</v>
      </c>
      <c r="S81" s="2">
        <f t="shared" si="44"/>
        <v>4.2399999999999993E-2</v>
      </c>
      <c r="T81" s="2">
        <f t="shared" si="45"/>
        <v>5.3567200228415497E-2</v>
      </c>
      <c r="U81" s="2">
        <f t="shared" si="46"/>
        <v>0.22297573813563951</v>
      </c>
      <c r="V81" s="2">
        <f t="shared" si="47"/>
        <v>0</v>
      </c>
      <c r="W81" s="11">
        <f t="shared" ref="W81:W144" si="48">IF(COUNT(Q81:V81)&gt;$W$13,mmean(Q81:V81),NA())</f>
        <v>0.17997360776834653</v>
      </c>
      <c r="X81" s="2">
        <f t="shared" ref="X81:X144" si="49">IF(J$14&lt;&gt;1,MIN(1,MAX(0,(J81-J$12)/(J$13-J$12))),1-MIN(1,MAX(0,(J81-J$12)/(J$13-J$12))))</f>
        <v>0.508030387784694</v>
      </c>
      <c r="Y81" s="2">
        <f t="shared" ref="Y81:Y144" si="50">IF(K$14&lt;&gt;1,MIN(1,MAX(0,(K81-K$12)/(K$13-K$12))),1-MIN(1,MAX(0,(K81-K$12)/(K$13-K$12))))</f>
        <v>0.52667255687981873</v>
      </c>
      <c r="Z81" s="2">
        <f t="shared" ref="Z81:Z144" si="51">IF(L$14&lt;&gt;1,MIN(1,MAX(0,(L81-L$12)/(L$13-L$12))),1-MIN(1,MAX(0,(L81-L$12)/(L$13-L$12))))</f>
        <v>0.05</v>
      </c>
      <c r="AA81" s="2">
        <f t="shared" ref="AA81:AA144" si="52">IF(M$14&lt;&gt;1,MIN(1,MAX(0,(M81-M$12)/(M$13-M$12))),1-MIN(1,MAX(0,(M81-M$12)/(M$13-M$12))))</f>
        <v>0</v>
      </c>
      <c r="AB81" s="84">
        <f t="shared" si="41"/>
        <v>0.27117573616612817</v>
      </c>
      <c r="AD81" s="46">
        <v>0.19208848852392316</v>
      </c>
      <c r="AE81" s="46">
        <f t="shared" ref="AE81:AE144" si="53">(24*AD81+5*W81+4*AB81)/33</f>
        <v>0.19983923357819397</v>
      </c>
      <c r="AF81" s="46">
        <f t="shared" ref="AF81:AF144" si="54">ABS(AD81-AE81)</f>
        <v>7.7507450542708134E-3</v>
      </c>
    </row>
    <row r="82" spans="1:32">
      <c r="A82" s="1" t="s">
        <v>155</v>
      </c>
      <c r="B82" s="1" t="s">
        <v>258</v>
      </c>
      <c r="C82" t="e">
        <f>NA()</f>
        <v>#N/A</v>
      </c>
      <c r="D82" s="64" t="e">
        <v>#N/A</v>
      </c>
      <c r="E82" s="2">
        <v>11.18</v>
      </c>
      <c r="F82" s="78">
        <v>4.4499810273529998E-2</v>
      </c>
      <c r="G82" s="2">
        <v>0.15634336747177288</v>
      </c>
      <c r="H82" s="46">
        <v>0.17820323979818997</v>
      </c>
      <c r="I82" s="46"/>
      <c r="J82" s="47">
        <v>69.099540512466035</v>
      </c>
      <c r="K82" s="47">
        <v>100</v>
      </c>
      <c r="L82">
        <v>-1</v>
      </c>
      <c r="M82">
        <v>6</v>
      </c>
      <c r="O82" s="1" t="s">
        <v>155</v>
      </c>
      <c r="P82" s="1" t="s">
        <v>258</v>
      </c>
      <c r="Q82" s="2" t="e">
        <f t="shared" si="42"/>
        <v>#N/A</v>
      </c>
      <c r="R82" s="2" t="e">
        <f t="shared" si="43"/>
        <v>#N/A</v>
      </c>
      <c r="S82" s="2">
        <f t="shared" si="44"/>
        <v>0.88819999999999999</v>
      </c>
      <c r="T82" s="2">
        <f t="shared" si="45"/>
        <v>7.4166350455883337E-2</v>
      </c>
      <c r="U82" s="2">
        <f t="shared" si="46"/>
        <v>0.15634336747177288</v>
      </c>
      <c r="V82" s="2">
        <f t="shared" si="47"/>
        <v>0.70299460033635008</v>
      </c>
      <c r="W82" s="11">
        <f t="shared" si="48"/>
        <v>0.45542607956600156</v>
      </c>
      <c r="X82" s="2">
        <f t="shared" si="49"/>
        <v>0.3454977025623302</v>
      </c>
      <c r="Y82" s="2">
        <f t="shared" si="50"/>
        <v>1</v>
      </c>
      <c r="Z82" s="2">
        <f t="shared" si="51"/>
        <v>0</v>
      </c>
      <c r="AA82" s="2">
        <f t="shared" si="52"/>
        <v>8.5714285714285715E-2</v>
      </c>
      <c r="AB82" s="84">
        <f t="shared" ref="AB82:AB145" si="55">IF(COUNT(X82:AA82)&gt;$AB$13,mmean(X82:AA82),NA())</f>
        <v>0.35780299706915397</v>
      </c>
      <c r="AD82" s="46">
        <v>0.30956420874186574</v>
      </c>
      <c r="AE82" s="46">
        <f t="shared" si="53"/>
        <v>0.33751161805792129</v>
      </c>
      <c r="AF82" s="46">
        <f t="shared" si="54"/>
        <v>2.7947409316055549E-2</v>
      </c>
    </row>
    <row r="83" spans="1:32">
      <c r="A83" s="1" t="s">
        <v>115</v>
      </c>
      <c r="B83" s="1" t="s">
        <v>259</v>
      </c>
      <c r="C83" t="e">
        <f>NA()</f>
        <v>#N/A</v>
      </c>
      <c r="D83" s="64">
        <v>-0.24083261412755275</v>
      </c>
      <c r="E83" s="2">
        <v>80.12</v>
      </c>
      <c r="F83" s="78">
        <v>0.62710269654268402</v>
      </c>
      <c r="G83" s="2">
        <v>0.32251100252536963</v>
      </c>
      <c r="H83" s="46">
        <v>0.34830633233282593</v>
      </c>
      <c r="I83" s="46"/>
      <c r="J83" s="47">
        <v>37.341033391614445</v>
      </c>
      <c r="K83" s="47">
        <v>15.501143169505422</v>
      </c>
      <c r="L83">
        <v>16</v>
      </c>
      <c r="M83">
        <v>38.700000000000003</v>
      </c>
      <c r="O83" s="1" t="s">
        <v>115</v>
      </c>
      <c r="P83" s="1" t="s">
        <v>259</v>
      </c>
      <c r="Q83" s="2" t="e">
        <f t="shared" si="42"/>
        <v>#N/A</v>
      </c>
      <c r="R83" s="2">
        <f t="shared" si="43"/>
        <v>0.5240832614127553</v>
      </c>
      <c r="S83" s="2">
        <f t="shared" si="44"/>
        <v>0.19879999999999998</v>
      </c>
      <c r="T83" s="2">
        <f t="shared" si="45"/>
        <v>1</v>
      </c>
      <c r="U83" s="2">
        <f t="shared" si="46"/>
        <v>0.32251100252536963</v>
      </c>
      <c r="V83" s="2">
        <f t="shared" si="47"/>
        <v>0.41948944611195671</v>
      </c>
      <c r="W83" s="11">
        <f t="shared" si="48"/>
        <v>0.49297674201001634</v>
      </c>
      <c r="X83" s="2">
        <f t="shared" si="49"/>
        <v>0.18670516695807224</v>
      </c>
      <c r="Y83" s="2">
        <f t="shared" si="50"/>
        <v>7.8587759564363174E-2</v>
      </c>
      <c r="Z83" s="2">
        <f t="shared" si="51"/>
        <v>0.4</v>
      </c>
      <c r="AA83" s="2">
        <f t="shared" si="52"/>
        <v>0.55285714285714294</v>
      </c>
      <c r="AB83" s="84">
        <f t="shared" si="55"/>
        <v>0.30453751734489459</v>
      </c>
      <c r="AD83" s="46">
        <v>0.32401015442681486</v>
      </c>
      <c r="AE83" s="46">
        <f t="shared" si="53"/>
        <v>0.3472508328991884</v>
      </c>
      <c r="AF83" s="46">
        <f t="shared" si="54"/>
        <v>2.3240678472373544E-2</v>
      </c>
    </row>
    <row r="84" spans="1:32">
      <c r="A84" s="1" t="s">
        <v>147</v>
      </c>
      <c r="B84" s="1" t="s">
        <v>260</v>
      </c>
      <c r="C84" t="e">
        <f>NA()</f>
        <v>#N/A</v>
      </c>
      <c r="D84" s="64">
        <v>1.3125146395748364</v>
      </c>
      <c r="E84" s="2">
        <v>39.94</v>
      </c>
      <c r="F84" s="78">
        <v>0.45533401168701371</v>
      </c>
      <c r="G84" s="2">
        <v>0.30259994640939875</v>
      </c>
      <c r="H84" s="46">
        <v>0.23895434427484563</v>
      </c>
      <c r="I84" s="46"/>
      <c r="J84" s="47">
        <v>61.150723367682794</v>
      </c>
      <c r="K84" s="47">
        <v>46.795047988431449</v>
      </c>
      <c r="L84">
        <v>23</v>
      </c>
      <c r="M84">
        <v>45.7</v>
      </c>
      <c r="O84" s="1" t="s">
        <v>147</v>
      </c>
      <c r="P84" s="1" t="s">
        <v>260</v>
      </c>
      <c r="Q84" s="2" t="e">
        <f t="shared" si="42"/>
        <v>#N/A</v>
      </c>
      <c r="R84" s="2">
        <f t="shared" si="43"/>
        <v>0.36874853604251645</v>
      </c>
      <c r="S84" s="2">
        <f t="shared" si="44"/>
        <v>0.60060000000000002</v>
      </c>
      <c r="T84" s="2">
        <f t="shared" si="45"/>
        <v>0.75889001947835621</v>
      </c>
      <c r="U84" s="2">
        <f t="shared" si="46"/>
        <v>0.30259994640939875</v>
      </c>
      <c r="V84" s="2">
        <f t="shared" si="47"/>
        <v>0.60174275954192391</v>
      </c>
      <c r="W84" s="11">
        <f t="shared" si="48"/>
        <v>0.52651625229443899</v>
      </c>
      <c r="X84" s="2">
        <f t="shared" si="49"/>
        <v>0.30575361683841396</v>
      </c>
      <c r="Y84" s="2">
        <f t="shared" si="50"/>
        <v>0.52564354269187785</v>
      </c>
      <c r="Z84" s="2">
        <f t="shared" si="51"/>
        <v>0.57499999999999996</v>
      </c>
      <c r="AA84" s="2">
        <f t="shared" si="52"/>
        <v>0.65285714285714291</v>
      </c>
      <c r="AB84" s="84">
        <f t="shared" si="55"/>
        <v>0.5148135755968587</v>
      </c>
      <c r="AD84" s="46">
        <v>0.49187351166469018</v>
      </c>
      <c r="AE84" s="46">
        <f t="shared" si="53"/>
        <v>0.49990302557006649</v>
      </c>
      <c r="AF84" s="46">
        <f t="shared" si="54"/>
        <v>8.0295139053763176E-3</v>
      </c>
    </row>
    <row r="85" spans="1:32">
      <c r="A85" s="1" t="s">
        <v>156</v>
      </c>
      <c r="B85" s="1" t="s">
        <v>261</v>
      </c>
      <c r="C85" t="e">
        <f>NA()</f>
        <v>#N/A</v>
      </c>
      <c r="D85" s="64">
        <v>2.3663967629961462</v>
      </c>
      <c r="E85" s="2">
        <v>89.88</v>
      </c>
      <c r="F85" s="78">
        <v>0.92594027345173713</v>
      </c>
      <c r="G85" s="2">
        <v>0.18714896026882097</v>
      </c>
      <c r="H85" s="46">
        <v>0</v>
      </c>
      <c r="I85" s="46"/>
      <c r="J85" s="47">
        <v>12.873982268099651</v>
      </c>
      <c r="K85" s="47">
        <v>67.974300404669108</v>
      </c>
      <c r="L85">
        <v>40</v>
      </c>
      <c r="M85">
        <v>83.1</v>
      </c>
      <c r="O85" s="1" t="s">
        <v>156</v>
      </c>
      <c r="P85" s="1" t="s">
        <v>261</v>
      </c>
      <c r="Q85" s="2" t="e">
        <f t="shared" si="42"/>
        <v>#N/A</v>
      </c>
      <c r="R85" s="2">
        <f t="shared" si="43"/>
        <v>0.26336032370038542</v>
      </c>
      <c r="S85" s="2">
        <f t="shared" si="44"/>
        <v>0.10120000000000007</v>
      </c>
      <c r="T85" s="2">
        <f t="shared" si="45"/>
        <v>1</v>
      </c>
      <c r="U85" s="2">
        <f t="shared" si="46"/>
        <v>0.18714896026882097</v>
      </c>
      <c r="V85" s="2">
        <f t="shared" si="47"/>
        <v>1</v>
      </c>
      <c r="W85" s="11">
        <f t="shared" si="48"/>
        <v>0.51034185679384136</v>
      </c>
      <c r="X85" s="2">
        <f t="shared" si="49"/>
        <v>6.4369911340498256E-2</v>
      </c>
      <c r="Y85" s="2">
        <f t="shared" si="50"/>
        <v>0.82820429149527297</v>
      </c>
      <c r="Z85" s="2">
        <f t="shared" si="51"/>
        <v>1</v>
      </c>
      <c r="AA85" s="2">
        <f t="shared" si="52"/>
        <v>1</v>
      </c>
      <c r="AB85" s="84">
        <f t="shared" si="55"/>
        <v>0.72314355070894276</v>
      </c>
      <c r="AD85" s="46">
        <v>0.47992980972441263</v>
      </c>
      <c r="AE85" s="46">
        <f t="shared" si="53"/>
        <v>0.51401814909669341</v>
      </c>
      <c r="AF85" s="46">
        <f t="shared" si="54"/>
        <v>3.4088339372280785E-2</v>
      </c>
    </row>
    <row r="86" spans="1:32">
      <c r="A86" s="1" t="s">
        <v>162</v>
      </c>
      <c r="B86" s="1" t="s">
        <v>262</v>
      </c>
      <c r="C86" t="e">
        <f>NA()</f>
        <v>#N/A</v>
      </c>
      <c r="D86" s="64" t="e">
        <v>#N/A</v>
      </c>
      <c r="E86" s="2">
        <v>29.35</v>
      </c>
      <c r="F86" s="78">
        <v>1</v>
      </c>
      <c r="G86" s="2">
        <v>0.10559097661691065</v>
      </c>
      <c r="H86" s="46">
        <v>0.25110456517017676</v>
      </c>
      <c r="I86" s="46"/>
      <c r="J86" s="47">
        <v>107.33247469817955</v>
      </c>
      <c r="K86" s="47">
        <v>61.478290786517789</v>
      </c>
      <c r="L86">
        <v>5</v>
      </c>
      <c r="M86">
        <v>33.200000000000003</v>
      </c>
      <c r="O86" s="1" t="s">
        <v>162</v>
      </c>
      <c r="P86" s="1" t="s">
        <v>262</v>
      </c>
      <c r="Q86" s="2" t="e">
        <f t="shared" si="42"/>
        <v>#N/A</v>
      </c>
      <c r="R86" s="2" t="e">
        <f t="shared" si="43"/>
        <v>#N/A</v>
      </c>
      <c r="S86" s="2">
        <f t="shared" si="44"/>
        <v>0.70649999999999991</v>
      </c>
      <c r="T86" s="2">
        <f t="shared" si="45"/>
        <v>1</v>
      </c>
      <c r="U86" s="2">
        <f t="shared" si="46"/>
        <v>0.10559097661691065</v>
      </c>
      <c r="V86" s="2">
        <f t="shared" si="47"/>
        <v>0.58149239138303876</v>
      </c>
      <c r="W86" s="11">
        <f t="shared" si="48"/>
        <v>0.5983958419999873</v>
      </c>
      <c r="X86" s="2">
        <f t="shared" si="49"/>
        <v>0.53666237349089774</v>
      </c>
      <c r="Y86" s="2">
        <f t="shared" si="50"/>
        <v>0.73540415409311122</v>
      </c>
      <c r="Z86" s="2">
        <f t="shared" si="51"/>
        <v>0.125</v>
      </c>
      <c r="AA86" s="2">
        <f t="shared" si="52"/>
        <v>0.47428571428571431</v>
      </c>
      <c r="AB86" s="84">
        <f t="shared" si="55"/>
        <v>0.46783806046743082</v>
      </c>
      <c r="AD86" s="46">
        <v>0.35254313721396296</v>
      </c>
      <c r="AE86" s="46">
        <f t="shared" si="53"/>
        <v>0.40376868924256881</v>
      </c>
      <c r="AF86" s="46">
        <f t="shared" si="54"/>
        <v>5.1225552028605847E-2</v>
      </c>
    </row>
    <row r="87" spans="1:32">
      <c r="A87" s="1" t="s">
        <v>121</v>
      </c>
      <c r="B87" s="1" t="s">
        <v>263</v>
      </c>
      <c r="C87" t="e">
        <f>NA()</f>
        <v>#N/A</v>
      </c>
      <c r="D87" s="64">
        <v>-0.19825045657763196</v>
      </c>
      <c r="E87" s="2">
        <v>1.71</v>
      </c>
      <c r="F87" s="78">
        <v>0.19950535460273003</v>
      </c>
      <c r="G87" s="2">
        <v>0.34555688626226644</v>
      </c>
      <c r="H87" s="46">
        <v>0.21060382885240636</v>
      </c>
      <c r="I87" s="46"/>
      <c r="J87" s="47">
        <v>217.16434935321166</v>
      </c>
      <c r="K87" s="47">
        <v>43.244081760671044</v>
      </c>
      <c r="L87">
        <v>14</v>
      </c>
      <c r="M87">
        <v>70.099999999999994</v>
      </c>
      <c r="O87" s="1" t="s">
        <v>121</v>
      </c>
      <c r="P87" s="1" t="s">
        <v>263</v>
      </c>
      <c r="Q87" s="2" t="e">
        <f t="shared" si="42"/>
        <v>#N/A</v>
      </c>
      <c r="R87" s="2">
        <f t="shared" si="43"/>
        <v>0.51982504565776322</v>
      </c>
      <c r="S87" s="2">
        <f t="shared" si="44"/>
        <v>0.9829</v>
      </c>
      <c r="T87" s="2">
        <f t="shared" si="45"/>
        <v>0.33250892433788337</v>
      </c>
      <c r="U87" s="2">
        <f t="shared" si="46"/>
        <v>0.34555688626226644</v>
      </c>
      <c r="V87" s="2">
        <f t="shared" si="47"/>
        <v>0.6489936185793227</v>
      </c>
      <c r="W87" s="11">
        <f t="shared" si="48"/>
        <v>0.56595689496744717</v>
      </c>
      <c r="X87" s="2">
        <f t="shared" si="49"/>
        <v>1</v>
      </c>
      <c r="Y87" s="2">
        <f t="shared" si="50"/>
        <v>0.47491545372387206</v>
      </c>
      <c r="Z87" s="2">
        <f t="shared" si="51"/>
        <v>0.35</v>
      </c>
      <c r="AA87" s="2">
        <f t="shared" si="52"/>
        <v>1</v>
      </c>
      <c r="AB87" s="84">
        <f t="shared" si="55"/>
        <v>0.70622886343096802</v>
      </c>
      <c r="AD87" s="46">
        <v>0.4663835113290109</v>
      </c>
      <c r="AE87" s="46">
        <f t="shared" si="53"/>
        <v>0.51054255152901129</v>
      </c>
      <c r="AF87" s="46">
        <f t="shared" si="54"/>
        <v>4.4159040200000388E-2</v>
      </c>
    </row>
    <row r="88" spans="1:32">
      <c r="A88" s="1" t="s">
        <v>119</v>
      </c>
      <c r="B88" s="1" t="s">
        <v>264</v>
      </c>
      <c r="C88" t="e">
        <f>NA()</f>
        <v>#N/A</v>
      </c>
      <c r="D88" s="64">
        <v>0.71833275986556222</v>
      </c>
      <c r="E88" s="2">
        <v>82.24</v>
      </c>
      <c r="F88" s="78">
        <v>0.78541300845042017</v>
      </c>
      <c r="G88" s="2">
        <v>0.35407371471749643</v>
      </c>
      <c r="H88" s="46">
        <v>0.2268041233795145</v>
      </c>
      <c r="I88" s="46"/>
      <c r="J88" s="47">
        <v>47.322755667655663</v>
      </c>
      <c r="K88" s="47">
        <v>27.715302217601206</v>
      </c>
      <c r="L88">
        <v>18</v>
      </c>
      <c r="M88">
        <v>34.9</v>
      </c>
      <c r="O88" s="1" t="s">
        <v>119</v>
      </c>
      <c r="P88" s="1" t="s">
        <v>264</v>
      </c>
      <c r="Q88" s="2" t="e">
        <f t="shared" si="42"/>
        <v>#N/A</v>
      </c>
      <c r="R88" s="2">
        <f t="shared" si="43"/>
        <v>0.42816672401344369</v>
      </c>
      <c r="S88" s="2">
        <f t="shared" si="44"/>
        <v>0.17760000000000009</v>
      </c>
      <c r="T88" s="2">
        <f t="shared" si="45"/>
        <v>1</v>
      </c>
      <c r="U88" s="2">
        <f t="shared" si="46"/>
        <v>0.35407371471749643</v>
      </c>
      <c r="V88" s="2">
        <f t="shared" si="47"/>
        <v>0.62199312770080917</v>
      </c>
      <c r="W88" s="11">
        <f t="shared" si="48"/>
        <v>0.51636671328634987</v>
      </c>
      <c r="X88" s="2">
        <f t="shared" si="49"/>
        <v>0.23661377833827832</v>
      </c>
      <c r="Y88" s="2">
        <f t="shared" si="50"/>
        <v>0.25307574596573151</v>
      </c>
      <c r="Z88" s="2">
        <f t="shared" si="51"/>
        <v>0.45</v>
      </c>
      <c r="AA88" s="2">
        <f t="shared" si="52"/>
        <v>0.49857142857142855</v>
      </c>
      <c r="AB88" s="84">
        <f t="shared" si="55"/>
        <v>0.35956523821885955</v>
      </c>
      <c r="AD88" s="46">
        <v>0.31535302114222064</v>
      </c>
      <c r="AE88" s="46">
        <f t="shared" si="53"/>
        <v>0.35116869777940857</v>
      </c>
      <c r="AF88" s="46">
        <f t="shared" si="54"/>
        <v>3.5815676637187932E-2</v>
      </c>
    </row>
    <row r="89" spans="1:32">
      <c r="A89" s="1" t="s">
        <v>64</v>
      </c>
      <c r="B89" s="1" t="s">
        <v>265</v>
      </c>
      <c r="C89" t="e">
        <f>NA()</f>
        <v>#N/A</v>
      </c>
      <c r="D89" s="64">
        <v>0.72153227141959175</v>
      </c>
      <c r="E89" s="2">
        <v>30.12</v>
      </c>
      <c r="F89" s="78">
        <v>4.9821351184181635E-2</v>
      </c>
      <c r="G89" s="2">
        <v>0.11768929498571884</v>
      </c>
      <c r="H89" s="46">
        <v>0.59941089750300269</v>
      </c>
      <c r="I89" s="46"/>
      <c r="J89" s="47">
        <v>-421.80676973161218</v>
      </c>
      <c r="K89" s="47">
        <v>24.958907837911301</v>
      </c>
      <c r="L89">
        <v>0</v>
      </c>
      <c r="M89">
        <v>0</v>
      </c>
      <c r="O89" s="1" t="s">
        <v>64</v>
      </c>
      <c r="P89" s="1" t="s">
        <v>265</v>
      </c>
      <c r="Q89" s="2" t="e">
        <f t="shared" si="42"/>
        <v>#N/A</v>
      </c>
      <c r="R89" s="2">
        <f t="shared" si="43"/>
        <v>0.42784677285804085</v>
      </c>
      <c r="S89" s="2">
        <f t="shared" si="44"/>
        <v>0.69879999999999998</v>
      </c>
      <c r="T89" s="2">
        <f t="shared" si="45"/>
        <v>8.3035585306969389E-2</v>
      </c>
      <c r="U89" s="2">
        <f t="shared" si="46"/>
        <v>0.11768929498571884</v>
      </c>
      <c r="V89" s="2">
        <f t="shared" si="47"/>
        <v>9.8183749499547446E-4</v>
      </c>
      <c r="W89" s="11">
        <f t="shared" si="48"/>
        <v>0.2656706981291449</v>
      </c>
      <c r="X89" s="2">
        <f t="shared" si="49"/>
        <v>0</v>
      </c>
      <c r="Y89" s="2">
        <f t="shared" si="50"/>
        <v>0.21369868339873288</v>
      </c>
      <c r="Z89" s="2">
        <f t="shared" si="51"/>
        <v>0</v>
      </c>
      <c r="AA89" s="2">
        <f t="shared" si="52"/>
        <v>0</v>
      </c>
      <c r="AB89" s="84">
        <f t="shared" si="55"/>
        <v>5.342467084968322E-2</v>
      </c>
      <c r="AD89" s="46">
        <v>0.19957429199089116</v>
      </c>
      <c r="AE89" s="46">
        <f t="shared" si="53"/>
        <v>0.19187379338866201</v>
      </c>
      <c r="AF89" s="46">
        <f t="shared" si="54"/>
        <v>7.7004986022291555E-3</v>
      </c>
    </row>
    <row r="90" spans="1:32">
      <c r="A90" s="1" t="s">
        <v>12</v>
      </c>
      <c r="B90" s="1" t="s">
        <v>266</v>
      </c>
      <c r="C90" t="e">
        <f>NA()</f>
        <v>#N/A</v>
      </c>
      <c r="D90" s="64" t="e">
        <v>#N/A</v>
      </c>
      <c r="E90" s="2">
        <v>85.12</v>
      </c>
      <c r="F90" s="78">
        <v>2.2818949241391075E-2</v>
      </c>
      <c r="G90" s="2">
        <v>0.16835016835016836</v>
      </c>
      <c r="H90" s="46">
        <v>0.50601374593951054</v>
      </c>
      <c r="I90" s="46"/>
      <c r="J90" s="47">
        <v>-6.2581270945356069</v>
      </c>
      <c r="K90" s="47">
        <v>67.399002679714371</v>
      </c>
      <c r="L90">
        <v>0</v>
      </c>
      <c r="M90">
        <v>0</v>
      </c>
      <c r="O90" s="1" t="s">
        <v>12</v>
      </c>
      <c r="P90" s="1" t="s">
        <v>266</v>
      </c>
      <c r="Q90" s="2" t="e">
        <f t="shared" si="42"/>
        <v>#N/A</v>
      </c>
      <c r="R90" s="2" t="e">
        <f t="shared" si="43"/>
        <v>#N/A</v>
      </c>
      <c r="S90" s="2">
        <f t="shared" si="44"/>
        <v>0.14879999999999993</v>
      </c>
      <c r="T90" s="2">
        <f t="shared" si="45"/>
        <v>3.8031582068985124E-2</v>
      </c>
      <c r="U90" s="2">
        <f t="shared" si="46"/>
        <v>0.16835016835016836</v>
      </c>
      <c r="V90" s="2">
        <f t="shared" si="47"/>
        <v>0.15664375676748243</v>
      </c>
      <c r="W90" s="11">
        <f t="shared" si="48"/>
        <v>0.12795637679665897</v>
      </c>
      <c r="X90" s="2">
        <f t="shared" si="49"/>
        <v>0</v>
      </c>
      <c r="Y90" s="2">
        <f t="shared" si="50"/>
        <v>0.81998575256734818</v>
      </c>
      <c r="Z90" s="2">
        <f t="shared" si="51"/>
        <v>0</v>
      </c>
      <c r="AA90" s="2">
        <f t="shared" si="52"/>
        <v>0</v>
      </c>
      <c r="AB90" s="84">
        <f t="shared" si="55"/>
        <v>0.20499643814183705</v>
      </c>
      <c r="AD90" s="46">
        <v>0.21815733344437974</v>
      </c>
      <c r="AE90" s="46">
        <f t="shared" si="53"/>
        <v>0.20289526179441686</v>
      </c>
      <c r="AF90" s="46">
        <f t="shared" si="54"/>
        <v>1.5262071649962877E-2</v>
      </c>
    </row>
    <row r="91" spans="1:32">
      <c r="A91" s="1" t="s">
        <v>159</v>
      </c>
      <c r="B91" s="1" t="s">
        <v>267</v>
      </c>
      <c r="C91" t="e">
        <f>NA()</f>
        <v>#N/A</v>
      </c>
      <c r="D91" s="64">
        <v>-7.3545799823735214E-2</v>
      </c>
      <c r="E91" s="2">
        <v>29.82</v>
      </c>
      <c r="F91" s="78">
        <v>0.37184856024151081</v>
      </c>
      <c r="G91" s="2">
        <v>0.76906090925048265</v>
      </c>
      <c r="H91" s="46">
        <v>0.43728522321561081</v>
      </c>
      <c r="I91" s="46"/>
      <c r="J91" s="47">
        <v>69.725373321831967</v>
      </c>
      <c r="K91" s="47">
        <v>6.2864698602169575</v>
      </c>
      <c r="L91">
        <v>33</v>
      </c>
      <c r="M91">
        <v>29.4</v>
      </c>
      <c r="O91" s="1" t="s">
        <v>159</v>
      </c>
      <c r="P91" s="1" t="s">
        <v>267</v>
      </c>
      <c r="Q91" s="2" t="e">
        <f t="shared" si="42"/>
        <v>#N/A</v>
      </c>
      <c r="R91" s="2">
        <f t="shared" si="43"/>
        <v>0.50735457998237354</v>
      </c>
      <c r="S91" s="2">
        <f t="shared" si="44"/>
        <v>0.70179999999999998</v>
      </c>
      <c r="T91" s="2">
        <f t="shared" si="45"/>
        <v>0.61974760040251808</v>
      </c>
      <c r="U91" s="2">
        <f t="shared" si="46"/>
        <v>0.76906090925048265</v>
      </c>
      <c r="V91" s="2">
        <f t="shared" si="47"/>
        <v>0.27119129464064862</v>
      </c>
      <c r="W91" s="11">
        <f t="shared" si="48"/>
        <v>0.57383087685520462</v>
      </c>
      <c r="X91" s="2">
        <f t="shared" si="49"/>
        <v>0.34862686660915981</v>
      </c>
      <c r="Y91" s="2">
        <f t="shared" si="50"/>
        <v>0</v>
      </c>
      <c r="Z91" s="2">
        <f t="shared" si="51"/>
        <v>0.82499999999999996</v>
      </c>
      <c r="AA91" s="2">
        <f t="shared" si="52"/>
        <v>0.42</v>
      </c>
      <c r="AB91" s="84">
        <f t="shared" si="55"/>
        <v>0.39840671665228994</v>
      </c>
      <c r="AD91" s="46">
        <v>0.41069010527260835</v>
      </c>
      <c r="AE91" s="46">
        <f t="shared" si="53"/>
        <v>0.43391950840690252</v>
      </c>
      <c r="AF91" s="46">
        <f t="shared" si="54"/>
        <v>2.3229403134294169E-2</v>
      </c>
    </row>
    <row r="92" spans="1:32">
      <c r="A92" s="1" t="s">
        <v>107</v>
      </c>
      <c r="B92" s="1" t="s">
        <v>268</v>
      </c>
      <c r="C92" t="e">
        <f>NA()</f>
        <v>#N/A</v>
      </c>
      <c r="D92" s="64">
        <v>0.41947173125208159</v>
      </c>
      <c r="E92" s="2">
        <v>81.12</v>
      </c>
      <c r="F92" s="78">
        <v>0.29106156793684823</v>
      </c>
      <c r="G92" s="2">
        <v>0.79747217300440687</v>
      </c>
      <c r="H92" s="46">
        <v>0.33615611143749469</v>
      </c>
      <c r="I92" s="46"/>
      <c r="J92" s="47">
        <v>204.76248155140939</v>
      </c>
      <c r="K92" s="47">
        <v>7.1501913182907693</v>
      </c>
      <c r="L92">
        <v>31</v>
      </c>
      <c r="M92">
        <v>23</v>
      </c>
      <c r="O92" s="1" t="s">
        <v>107</v>
      </c>
      <c r="P92" s="1" t="s">
        <v>268</v>
      </c>
      <c r="Q92" s="2" t="e">
        <f t="shared" ref="Q92:Q155" si="56">IF(C$14&lt;&gt;1,MIN(1,MAX(0,(C92-C$12)/(C$13-C$12))),1-MIN(1,MAX(0,(C92-C$12)/(C$13-C$12))))</f>
        <v>#N/A</v>
      </c>
      <c r="R92" s="2">
        <f t="shared" ref="R92:R155" si="57">IF(D$14&lt;&gt;1,MIN(1,MAX(0,(D92-D$12)/(D$13-D$12))),1-MIN(1,MAX(0,(D92-D$12)/(D$13-D$12))))</f>
        <v>0.45805282687479187</v>
      </c>
      <c r="S92" s="2">
        <f t="shared" ref="S92:S155" si="58">IF(E$14&lt;&gt;1,MIN(1,MAX(0,(E92-E$12)/(E$13-E$12))),1-MIN(1,MAX(0,(E92-E$12)/(E$13-E$12))))</f>
        <v>0.18879999999999997</v>
      </c>
      <c r="T92" s="2">
        <f t="shared" ref="T92:T155" si="59">IF(F$14&lt;&gt;1,MIN(1,MAX(0,(F92-F$12)/(F$13-F$12))),1-MIN(1,MAX(0,(F92-F$12)/(F$13-F$12))))</f>
        <v>0.4851026132280804</v>
      </c>
      <c r="U92" s="2">
        <f t="shared" ref="U92:U155" si="60">IF(G$14&lt;&gt;1,MIN(1,MAX(0,(G92-G$12)/(G$13-G$12))),1-MIN(1,MAX(0,(G92-G$12)/(G$13-G$12))))</f>
        <v>0.79747217300440687</v>
      </c>
      <c r="V92" s="2">
        <f t="shared" ref="V92:V155" si="61">IF(H$14&lt;&gt;1,MIN(1,MAX(0,(H92-H$12)/(H$13-H$12))),1-MIN(1,MAX(0,(H92-H$12)/(H$13-H$12))))</f>
        <v>0.43973981427084219</v>
      </c>
      <c r="W92" s="11">
        <f t="shared" si="48"/>
        <v>0.47383348547562426</v>
      </c>
      <c r="X92" s="2">
        <f t="shared" si="49"/>
        <v>1</v>
      </c>
      <c r="Y92" s="2">
        <f t="shared" si="50"/>
        <v>0</v>
      </c>
      <c r="Z92" s="2">
        <f t="shared" si="51"/>
        <v>0.77500000000000002</v>
      </c>
      <c r="AA92" s="2">
        <f t="shared" si="52"/>
        <v>0.32857142857142857</v>
      </c>
      <c r="AB92" s="84">
        <f t="shared" si="55"/>
        <v>0.52589285714285716</v>
      </c>
      <c r="AD92" s="46">
        <v>0.2638128452526905</v>
      </c>
      <c r="AE92" s="46">
        <f t="shared" si="53"/>
        <v>0.3274014285458825</v>
      </c>
      <c r="AF92" s="46">
        <f t="shared" si="54"/>
        <v>6.3588583293192003E-2</v>
      </c>
    </row>
    <row r="93" spans="1:32">
      <c r="A93" s="1" t="s">
        <v>63</v>
      </c>
      <c r="B93" s="1" t="s">
        <v>269</v>
      </c>
      <c r="C93" t="e">
        <f>NA()</f>
        <v>#N/A</v>
      </c>
      <c r="D93" s="64">
        <v>-4.570762186667765E-2</v>
      </c>
      <c r="E93" s="2">
        <v>40.29</v>
      </c>
      <c r="F93" s="78">
        <v>0.19670554375275429</v>
      </c>
      <c r="G93" s="2">
        <v>0.40182444390923455</v>
      </c>
      <c r="H93" s="46">
        <v>0.10530191442620318</v>
      </c>
      <c r="I93" s="46"/>
      <c r="J93" s="47">
        <v>66.039160200032498</v>
      </c>
      <c r="K93" s="47">
        <v>14.084357887218601</v>
      </c>
      <c r="L93">
        <v>8</v>
      </c>
      <c r="M93" t="e">
        <v>#N/A</v>
      </c>
      <c r="O93" s="1" t="s">
        <v>63</v>
      </c>
      <c r="P93" s="1" t="s">
        <v>269</v>
      </c>
      <c r="Q93" s="2" t="e">
        <f t="shared" si="56"/>
        <v>#N/A</v>
      </c>
      <c r="R93" s="2">
        <f t="shared" si="57"/>
        <v>0.50457076218666774</v>
      </c>
      <c r="S93" s="2">
        <f t="shared" si="58"/>
        <v>0.59709999999999996</v>
      </c>
      <c r="T93" s="2">
        <f t="shared" si="59"/>
        <v>0.32784257292125718</v>
      </c>
      <c r="U93" s="2">
        <f t="shared" si="60"/>
        <v>0.40182444390923455</v>
      </c>
      <c r="V93" s="2">
        <f t="shared" si="61"/>
        <v>0.8244968092896614</v>
      </c>
      <c r="W93" s="11">
        <f t="shared" si="48"/>
        <v>0.53116691766136426</v>
      </c>
      <c r="X93" s="2">
        <f t="shared" si="49"/>
        <v>0.33019580100016249</v>
      </c>
      <c r="Y93" s="2">
        <f t="shared" si="50"/>
        <v>5.8347969817408592E-2</v>
      </c>
      <c r="Z93" s="2">
        <f t="shared" si="51"/>
        <v>0.2</v>
      </c>
      <c r="AA93" s="2" t="e">
        <f t="shared" si="52"/>
        <v>#N/A</v>
      </c>
      <c r="AB93" s="84">
        <f t="shared" si="55"/>
        <v>0.19618125693919039</v>
      </c>
      <c r="AD93" s="46">
        <v>0.21511925412455832</v>
      </c>
      <c r="AE93" s="46">
        <f t="shared" si="53"/>
        <v>0.26070974894099946</v>
      </c>
      <c r="AF93" s="46">
        <f t="shared" si="54"/>
        <v>4.5590494816441146E-2</v>
      </c>
    </row>
    <row r="94" spans="1:32">
      <c r="A94" s="1" t="s">
        <v>68</v>
      </c>
      <c r="B94" s="1" t="s">
        <v>270</v>
      </c>
      <c r="C94" t="e">
        <f>NA()</f>
        <v>#N/A</v>
      </c>
      <c r="D94" s="64">
        <v>-0.21824616305938305</v>
      </c>
      <c r="E94" s="2">
        <v>0.59</v>
      </c>
      <c r="F94" s="78" t="e">
        <v>#N/A</v>
      </c>
      <c r="G94" s="2">
        <v>0.44339123537720715</v>
      </c>
      <c r="H94" s="46">
        <v>0</v>
      </c>
      <c r="I94" s="46"/>
      <c r="J94" s="47">
        <v>-6.4591512425100843</v>
      </c>
      <c r="K94" s="47">
        <v>27.696763905910444</v>
      </c>
      <c r="L94">
        <v>10</v>
      </c>
      <c r="M94">
        <v>52.8</v>
      </c>
      <c r="O94" s="1" t="s">
        <v>68</v>
      </c>
      <c r="P94" s="1" t="s">
        <v>270</v>
      </c>
      <c r="Q94" s="2" t="e">
        <f t="shared" si="56"/>
        <v>#N/A</v>
      </c>
      <c r="R94" s="2">
        <f t="shared" si="57"/>
        <v>0.52182461630593835</v>
      </c>
      <c r="S94" s="2">
        <f t="shared" si="58"/>
        <v>0.99409999999999998</v>
      </c>
      <c r="T94" s="2" t="e">
        <f t="shared" si="59"/>
        <v>#N/A</v>
      </c>
      <c r="U94" s="2">
        <f t="shared" si="60"/>
        <v>0.44339123537720715</v>
      </c>
      <c r="V94" s="2">
        <f t="shared" si="61"/>
        <v>1</v>
      </c>
      <c r="W94" s="11">
        <f t="shared" si="48"/>
        <v>0.73982896292078637</v>
      </c>
      <c r="X94" s="2">
        <f t="shared" si="49"/>
        <v>0</v>
      </c>
      <c r="Y94" s="2">
        <f t="shared" si="50"/>
        <v>0.25281091294157776</v>
      </c>
      <c r="Z94" s="2">
        <f t="shared" si="51"/>
        <v>0.25</v>
      </c>
      <c r="AA94" s="2">
        <f t="shared" si="52"/>
        <v>0.75428571428571423</v>
      </c>
      <c r="AB94" s="84">
        <f t="shared" si="55"/>
        <v>0.31427415680682302</v>
      </c>
      <c r="AD94" s="46">
        <v>0.37721308913011925</v>
      </c>
      <c r="AE94" s="46">
        <f t="shared" si="53"/>
        <v>0.42452592669557837</v>
      </c>
      <c r="AF94" s="46">
        <f t="shared" si="54"/>
        <v>4.731283756545912E-2</v>
      </c>
    </row>
    <row r="95" spans="1:32">
      <c r="A95" s="1" t="s">
        <v>82</v>
      </c>
      <c r="B95" s="1" t="s">
        <v>271</v>
      </c>
      <c r="C95" t="e">
        <f>NA()</f>
        <v>#N/A</v>
      </c>
      <c r="D95" s="64">
        <v>0.94410214193546116</v>
      </c>
      <c r="E95" s="2">
        <v>10.35</v>
      </c>
      <c r="F95" s="78">
        <v>3.0320920260293763E-2</v>
      </c>
      <c r="G95" s="2">
        <v>0.11061365310183402</v>
      </c>
      <c r="H95" s="46">
        <v>0.6597938149307282</v>
      </c>
      <c r="I95" s="46"/>
      <c r="J95" s="47">
        <v>90.120861250121052</v>
      </c>
      <c r="K95" s="47">
        <v>39.604684658897014</v>
      </c>
      <c r="L95">
        <v>2</v>
      </c>
      <c r="M95">
        <v>0</v>
      </c>
      <c r="O95" s="1" t="s">
        <v>82</v>
      </c>
      <c r="P95" s="1" t="s">
        <v>271</v>
      </c>
      <c r="Q95" s="2" t="e">
        <f t="shared" si="56"/>
        <v>#N/A</v>
      </c>
      <c r="R95" s="2">
        <f t="shared" si="57"/>
        <v>0.40558978580645388</v>
      </c>
      <c r="S95" s="2">
        <f t="shared" si="58"/>
        <v>0.89649999999999996</v>
      </c>
      <c r="T95" s="2">
        <f t="shared" si="59"/>
        <v>5.0534867100489607E-2</v>
      </c>
      <c r="U95" s="2">
        <f t="shared" si="60"/>
        <v>0.11061365310183402</v>
      </c>
      <c r="V95" s="2">
        <f t="shared" si="61"/>
        <v>0</v>
      </c>
      <c r="W95" s="11">
        <f t="shared" si="48"/>
        <v>0.2926476612017555</v>
      </c>
      <c r="X95" s="2">
        <f t="shared" si="49"/>
        <v>0.45060430625060527</v>
      </c>
      <c r="Y95" s="2">
        <f t="shared" si="50"/>
        <v>0.42292406655567161</v>
      </c>
      <c r="Z95" s="2">
        <f t="shared" si="51"/>
        <v>0.05</v>
      </c>
      <c r="AA95" s="2">
        <f t="shared" si="52"/>
        <v>0</v>
      </c>
      <c r="AB95" s="84">
        <f t="shared" si="55"/>
        <v>0.23088209320156922</v>
      </c>
      <c r="AD95" s="46">
        <v>0.15073200718952398</v>
      </c>
      <c r="AE95" s="46">
        <f t="shared" si="53"/>
        <v>0.18194954095041302</v>
      </c>
      <c r="AF95" s="46">
        <f t="shared" si="54"/>
        <v>3.1217533760889038E-2</v>
      </c>
    </row>
    <row r="96" spans="1:32">
      <c r="A96" s="1" t="s">
        <v>11</v>
      </c>
      <c r="B96" s="1" t="s">
        <v>272</v>
      </c>
      <c r="C96" t="e">
        <f>NA()</f>
        <v>#N/A</v>
      </c>
      <c r="D96" s="64">
        <v>-1.3375705738870514</v>
      </c>
      <c r="E96" s="2">
        <v>70.709999999999994</v>
      </c>
      <c r="F96" s="78">
        <v>2.3356245288843419E-2</v>
      </c>
      <c r="G96" s="2">
        <v>0.28962811904203906</v>
      </c>
      <c r="H96" s="46">
        <v>0.38868433963428628</v>
      </c>
      <c r="I96" s="46"/>
      <c r="J96" s="47">
        <v>1.1855535916742443</v>
      </c>
      <c r="K96" s="47">
        <v>46.793251517193482</v>
      </c>
      <c r="L96">
        <v>0</v>
      </c>
      <c r="M96">
        <v>0</v>
      </c>
      <c r="O96" s="1" t="s">
        <v>11</v>
      </c>
      <c r="P96" s="1" t="s">
        <v>272</v>
      </c>
      <c r="Q96" s="2" t="e">
        <f t="shared" si="56"/>
        <v>#N/A</v>
      </c>
      <c r="R96" s="2">
        <f t="shared" si="57"/>
        <v>0.63375705738870514</v>
      </c>
      <c r="S96" s="2">
        <f t="shared" si="58"/>
        <v>0.29290000000000005</v>
      </c>
      <c r="T96" s="2">
        <f t="shared" si="59"/>
        <v>3.8927075481405699E-2</v>
      </c>
      <c r="U96" s="2">
        <f t="shared" si="60"/>
        <v>0.28962811904203906</v>
      </c>
      <c r="V96" s="2">
        <f t="shared" si="61"/>
        <v>0.35219276727618953</v>
      </c>
      <c r="W96" s="11">
        <f t="shared" si="48"/>
        <v>0.32148100383766792</v>
      </c>
      <c r="X96" s="2">
        <f t="shared" si="49"/>
        <v>5.9277679583712214E-3</v>
      </c>
      <c r="Y96" s="2">
        <f t="shared" si="50"/>
        <v>0.5256178788170498</v>
      </c>
      <c r="Z96" s="2">
        <f t="shared" si="51"/>
        <v>0</v>
      </c>
      <c r="AA96" s="2">
        <f t="shared" si="52"/>
        <v>0</v>
      </c>
      <c r="AB96" s="84">
        <f t="shared" si="55"/>
        <v>0.13288641169385526</v>
      </c>
      <c r="AD96" s="46">
        <v>0.22227758370008968</v>
      </c>
      <c r="AE96" s="46">
        <f t="shared" si="53"/>
        <v>0.22647311135654283</v>
      </c>
      <c r="AF96" s="46">
        <f t="shared" si="54"/>
        <v>4.1955276564531463E-3</v>
      </c>
    </row>
    <row r="97" spans="1:32">
      <c r="A97" s="1" t="s">
        <v>62</v>
      </c>
      <c r="B97" s="1" t="s">
        <v>273</v>
      </c>
      <c r="C97" t="e">
        <f>NA()</f>
        <v>#N/A</v>
      </c>
      <c r="D97" s="64">
        <v>-0.98866518108812174</v>
      </c>
      <c r="E97" s="2">
        <v>88.76</v>
      </c>
      <c r="F97" s="78">
        <v>2.3336674188095742E-2</v>
      </c>
      <c r="G97" s="2">
        <v>0.16815898084689471</v>
      </c>
      <c r="H97" s="46">
        <v>0.95569464808307258</v>
      </c>
      <c r="I97" s="46"/>
      <c r="J97" s="47">
        <v>48.588605107090935</v>
      </c>
      <c r="K97" s="47">
        <v>8.1271278823453468</v>
      </c>
      <c r="L97" t="e">
        <v>#N/A</v>
      </c>
      <c r="M97">
        <v>0</v>
      </c>
      <c r="O97" s="1" t="s">
        <v>62</v>
      </c>
      <c r="P97" s="1" t="s">
        <v>273</v>
      </c>
      <c r="Q97" s="2" t="e">
        <f t="shared" si="56"/>
        <v>#N/A</v>
      </c>
      <c r="R97" s="2">
        <f t="shared" si="57"/>
        <v>0.5988665181088122</v>
      </c>
      <c r="S97" s="2">
        <f t="shared" si="58"/>
        <v>0.11239999999999994</v>
      </c>
      <c r="T97" s="2">
        <f t="shared" si="59"/>
        <v>3.8894456980159572E-2</v>
      </c>
      <c r="U97" s="2">
        <f t="shared" si="60"/>
        <v>0.16815898084689471</v>
      </c>
      <c r="V97" s="2">
        <f t="shared" si="61"/>
        <v>0</v>
      </c>
      <c r="W97" s="11">
        <f t="shared" si="48"/>
        <v>0.1836639911871733</v>
      </c>
      <c r="X97" s="2">
        <f t="shared" si="49"/>
        <v>0.24294302553545466</v>
      </c>
      <c r="Y97" s="2">
        <f t="shared" si="50"/>
        <v>0</v>
      </c>
      <c r="Z97" s="2" t="e">
        <f t="shared" si="51"/>
        <v>#N/A</v>
      </c>
      <c r="AA97" s="2">
        <f t="shared" si="52"/>
        <v>0</v>
      </c>
      <c r="AB97" s="84">
        <f t="shared" si="55"/>
        <v>8.098100851181822E-2</v>
      </c>
      <c r="AD97" s="46">
        <v>0.18337245706852615</v>
      </c>
      <c r="AE97" s="46">
        <f t="shared" si="53"/>
        <v>0.17100554423114445</v>
      </c>
      <c r="AF97" s="46">
        <f t="shared" si="54"/>
        <v>1.2366912837381699E-2</v>
      </c>
    </row>
    <row r="98" spans="1:32">
      <c r="A98" s="1" t="s">
        <v>104</v>
      </c>
      <c r="B98" s="1" t="s">
        <v>274</v>
      </c>
      <c r="C98" t="e">
        <f>NA()</f>
        <v>#N/A</v>
      </c>
      <c r="D98" s="64">
        <v>-0.76358814923836471</v>
      </c>
      <c r="E98" s="2">
        <v>100</v>
      </c>
      <c r="F98" s="78">
        <v>9.1795221335649699E-2</v>
      </c>
      <c r="G98" s="2">
        <v>0.61166544042742266</v>
      </c>
      <c r="H98" s="46">
        <v>0.29540991708710429</v>
      </c>
      <c r="I98" s="46"/>
      <c r="J98" s="47">
        <v>150.30918608881296</v>
      </c>
      <c r="K98" s="47">
        <v>40.193017905260632</v>
      </c>
      <c r="L98">
        <v>-2</v>
      </c>
      <c r="M98">
        <v>60.5</v>
      </c>
      <c r="O98" s="1" t="s">
        <v>104</v>
      </c>
      <c r="P98" s="1" t="s">
        <v>274</v>
      </c>
      <c r="Q98" s="2" t="e">
        <f t="shared" si="56"/>
        <v>#N/A</v>
      </c>
      <c r="R98" s="2">
        <f t="shared" si="57"/>
        <v>0.57635881492383645</v>
      </c>
      <c r="S98" s="2">
        <f t="shared" si="58"/>
        <v>0</v>
      </c>
      <c r="T98" s="2">
        <f t="shared" si="59"/>
        <v>0.15299203555941618</v>
      </c>
      <c r="U98" s="2">
        <f t="shared" si="60"/>
        <v>0.61166544042742266</v>
      </c>
      <c r="V98" s="2">
        <f t="shared" si="61"/>
        <v>0.50765013818815952</v>
      </c>
      <c r="W98" s="11">
        <f t="shared" si="48"/>
        <v>0.36973328581976694</v>
      </c>
      <c r="X98" s="2">
        <f t="shared" si="49"/>
        <v>0.75154593044406481</v>
      </c>
      <c r="Y98" s="2">
        <f t="shared" si="50"/>
        <v>0.43132882721800903</v>
      </c>
      <c r="Z98" s="2">
        <f t="shared" si="51"/>
        <v>0</v>
      </c>
      <c r="AA98" s="2">
        <f t="shared" si="52"/>
        <v>0.86428571428571432</v>
      </c>
      <c r="AB98" s="84">
        <f t="shared" si="55"/>
        <v>0.51179011798694707</v>
      </c>
      <c r="AD98" s="46">
        <v>0.32537721883751325</v>
      </c>
      <c r="AE98" s="46">
        <f t="shared" si="53"/>
        <v>0.35469333797414976</v>
      </c>
      <c r="AF98" s="46">
        <f t="shared" si="54"/>
        <v>2.9316119136636509E-2</v>
      </c>
    </row>
    <row r="99" spans="1:32">
      <c r="A99" s="1" t="s">
        <v>70</v>
      </c>
      <c r="B99" s="1" t="s">
        <v>275</v>
      </c>
      <c r="C99" t="e">
        <f>NA()</f>
        <v>#N/A</v>
      </c>
      <c r="D99" s="64">
        <v>-0.74634410350747948</v>
      </c>
      <c r="E99" s="2">
        <v>87.82</v>
      </c>
      <c r="F99" s="78">
        <v>6.21872064797677E-3</v>
      </c>
      <c r="G99" s="2">
        <v>0.54363844994677402</v>
      </c>
      <c r="H99" s="46">
        <v>0.51791850880222168</v>
      </c>
      <c r="I99" s="46"/>
      <c r="J99" s="47">
        <v>-284.43577747753352</v>
      </c>
      <c r="K99" s="47">
        <v>43.070052059927193</v>
      </c>
      <c r="L99">
        <v>0</v>
      </c>
      <c r="M99">
        <v>0</v>
      </c>
      <c r="O99" s="1" t="s">
        <v>70</v>
      </c>
      <c r="P99" s="1" t="s">
        <v>275</v>
      </c>
      <c r="Q99" s="2" t="e">
        <f t="shared" si="56"/>
        <v>#N/A</v>
      </c>
      <c r="R99" s="2">
        <f t="shared" si="57"/>
        <v>0.57463441035074792</v>
      </c>
      <c r="S99" s="2">
        <f t="shared" si="58"/>
        <v>0.12180000000000002</v>
      </c>
      <c r="T99" s="2">
        <f t="shared" si="59"/>
        <v>1.0364534413294617E-2</v>
      </c>
      <c r="U99" s="2">
        <f t="shared" si="60"/>
        <v>0.54363844994677402</v>
      </c>
      <c r="V99" s="2">
        <f t="shared" si="61"/>
        <v>0.13680248532963046</v>
      </c>
      <c r="W99" s="11">
        <f t="shared" si="48"/>
        <v>0.27744797600808946</v>
      </c>
      <c r="X99" s="2">
        <f t="shared" si="49"/>
        <v>0</v>
      </c>
      <c r="Y99" s="2">
        <f t="shared" si="50"/>
        <v>0.47242931514181702</v>
      </c>
      <c r="Z99" s="2">
        <f t="shared" si="51"/>
        <v>0</v>
      </c>
      <c r="AA99" s="2">
        <f t="shared" si="52"/>
        <v>0</v>
      </c>
      <c r="AB99" s="84">
        <f t="shared" si="55"/>
        <v>0.11810732878545425</v>
      </c>
      <c r="AD99" s="46">
        <v>0.2374925044253442</v>
      </c>
      <c r="AE99" s="46">
        <f t="shared" si="53"/>
        <v>0.22907543337547043</v>
      </c>
      <c r="AF99" s="46">
        <f t="shared" si="54"/>
        <v>8.41707104987377E-3</v>
      </c>
    </row>
    <row r="100" spans="1:32">
      <c r="A100" s="1" t="s">
        <v>35</v>
      </c>
      <c r="B100" s="1" t="s">
        <v>276</v>
      </c>
      <c r="C100" t="e">
        <f>NA()</f>
        <v>#N/A</v>
      </c>
      <c r="D100" s="64">
        <v>-1.1566073824517811</v>
      </c>
      <c r="E100" s="2">
        <v>9.1199999999999992</v>
      </c>
      <c r="F100" s="78">
        <v>8.4754422409577007E-2</v>
      </c>
      <c r="G100" s="2">
        <v>0.23337274305798114</v>
      </c>
      <c r="H100" s="46">
        <v>0.29565537511972428</v>
      </c>
      <c r="I100" s="46"/>
      <c r="J100" s="47">
        <v>2.3093153835072844</v>
      </c>
      <c r="K100" s="47">
        <v>23.286843294406133</v>
      </c>
      <c r="L100">
        <v>1</v>
      </c>
      <c r="M100">
        <v>19.600000000000001</v>
      </c>
      <c r="O100" s="1" t="s">
        <v>35</v>
      </c>
      <c r="P100" s="1" t="s">
        <v>276</v>
      </c>
      <c r="Q100" s="2" t="e">
        <f t="shared" si="56"/>
        <v>#N/A</v>
      </c>
      <c r="R100" s="2">
        <f t="shared" si="57"/>
        <v>0.61566073824517809</v>
      </c>
      <c r="S100" s="2">
        <f t="shared" si="58"/>
        <v>0.90880000000000005</v>
      </c>
      <c r="T100" s="2">
        <f t="shared" si="59"/>
        <v>0.14125737068262836</v>
      </c>
      <c r="U100" s="2">
        <f t="shared" si="60"/>
        <v>0.23337274305798114</v>
      </c>
      <c r="V100" s="2">
        <f t="shared" si="61"/>
        <v>0.50724104146712623</v>
      </c>
      <c r="W100" s="11">
        <f t="shared" si="48"/>
        <v>0.48126637869058281</v>
      </c>
      <c r="X100" s="2">
        <f t="shared" si="49"/>
        <v>1.1546576917536421E-2</v>
      </c>
      <c r="Y100" s="2">
        <f t="shared" si="50"/>
        <v>0.18981204706294474</v>
      </c>
      <c r="Z100" s="2">
        <f t="shared" si="51"/>
        <v>2.5000000000000001E-2</v>
      </c>
      <c r="AA100" s="2">
        <f t="shared" si="52"/>
        <v>0.28000000000000003</v>
      </c>
      <c r="AB100" s="84">
        <f t="shared" si="55"/>
        <v>0.12658965599512029</v>
      </c>
      <c r="AD100" s="46">
        <v>0.27299332759444578</v>
      </c>
      <c r="AE100" s="46">
        <f t="shared" si="53"/>
        <v>0.28680395090000282</v>
      </c>
      <c r="AF100" s="46">
        <f t="shared" si="54"/>
        <v>1.3810623305557046E-2</v>
      </c>
    </row>
    <row r="101" spans="1:32">
      <c r="A101" s="1" t="s">
        <v>92</v>
      </c>
      <c r="B101" s="1" t="s">
        <v>277</v>
      </c>
      <c r="C101" t="e">
        <f>NA()</f>
        <v>#N/A</v>
      </c>
      <c r="D101" s="64">
        <v>2.2829114086325815</v>
      </c>
      <c r="E101" s="2">
        <v>14.18</v>
      </c>
      <c r="F101" s="78" t="e">
        <v>#N/A</v>
      </c>
      <c r="G101" s="2">
        <v>0.42025637706366414</v>
      </c>
      <c r="H101" s="46">
        <v>0.16200294527108183</v>
      </c>
      <c r="I101" s="46"/>
      <c r="J101" s="47">
        <v>19.777398963548379</v>
      </c>
      <c r="K101" s="47">
        <v>14.491084849412999</v>
      </c>
      <c r="L101">
        <v>-1</v>
      </c>
      <c r="M101">
        <v>0</v>
      </c>
      <c r="O101" s="1" t="s">
        <v>92</v>
      </c>
      <c r="P101" s="1" t="s">
        <v>277</v>
      </c>
      <c r="Q101" s="2" t="e">
        <f t="shared" si="56"/>
        <v>#N/A</v>
      </c>
      <c r="R101" s="2">
        <f t="shared" si="57"/>
        <v>0.27170885913674181</v>
      </c>
      <c r="S101" s="2">
        <f t="shared" si="58"/>
        <v>0.85819999999999996</v>
      </c>
      <c r="T101" s="2" t="e">
        <f t="shared" si="59"/>
        <v>#N/A</v>
      </c>
      <c r="U101" s="2">
        <f t="shared" si="60"/>
        <v>0.42025637706366414</v>
      </c>
      <c r="V101" s="2">
        <f t="shared" si="61"/>
        <v>0.72999509121486361</v>
      </c>
      <c r="W101" s="11">
        <f t="shared" si="48"/>
        <v>0.57004008185381738</v>
      </c>
      <c r="X101" s="2">
        <f t="shared" si="49"/>
        <v>9.8886994817741894E-2</v>
      </c>
      <c r="Y101" s="2">
        <f t="shared" si="50"/>
        <v>6.4158354991614278E-2</v>
      </c>
      <c r="Z101" s="2">
        <f t="shared" si="51"/>
        <v>0</v>
      </c>
      <c r="AA101" s="2">
        <f t="shared" si="52"/>
        <v>0</v>
      </c>
      <c r="AB101" s="84">
        <f t="shared" si="55"/>
        <v>4.0761337452339043E-2</v>
      </c>
      <c r="AD101" s="46">
        <v>0.24173291452893006</v>
      </c>
      <c r="AE101" s="46">
        <f t="shared" si="53"/>
        <v>0.26711623356887165</v>
      </c>
      <c r="AF101" s="46">
        <f t="shared" si="54"/>
        <v>2.5383319039941593E-2</v>
      </c>
    </row>
    <row r="102" spans="1:32">
      <c r="A102" s="1" t="s">
        <v>176</v>
      </c>
      <c r="B102" s="1" t="s">
        <v>278</v>
      </c>
      <c r="C102" t="e">
        <f>NA()</f>
        <v>#N/A</v>
      </c>
      <c r="D102" s="64">
        <v>-0.30978073167546755</v>
      </c>
      <c r="E102" s="2">
        <v>67.180000000000007</v>
      </c>
      <c r="F102" s="78">
        <v>0.42709282327887726</v>
      </c>
      <c r="G102" s="2">
        <v>0.53069979347275653</v>
      </c>
      <c r="H102" s="46">
        <v>0.27528227794452897</v>
      </c>
      <c r="I102" s="46"/>
      <c r="J102" s="47">
        <v>51.787429157161625</v>
      </c>
      <c r="K102" s="47">
        <v>39.175242560937939</v>
      </c>
      <c r="L102">
        <v>-5</v>
      </c>
      <c r="M102">
        <v>54.7</v>
      </c>
      <c r="O102" s="1" t="s">
        <v>176</v>
      </c>
      <c r="P102" s="1" t="s">
        <v>278</v>
      </c>
      <c r="Q102" s="2" t="e">
        <f t="shared" si="56"/>
        <v>#N/A</v>
      </c>
      <c r="R102" s="2">
        <f t="shared" si="57"/>
        <v>0.53097807316754675</v>
      </c>
      <c r="S102" s="2">
        <f t="shared" si="58"/>
        <v>0.32819999999999994</v>
      </c>
      <c r="T102" s="2">
        <f t="shared" si="59"/>
        <v>0.71182137213146213</v>
      </c>
      <c r="U102" s="2">
        <f t="shared" si="60"/>
        <v>0.53069979347275653</v>
      </c>
      <c r="V102" s="2">
        <f t="shared" si="61"/>
        <v>0.54119620342578501</v>
      </c>
      <c r="W102" s="11">
        <f t="shared" si="48"/>
        <v>0.52857908843951007</v>
      </c>
      <c r="X102" s="2">
        <f t="shared" si="49"/>
        <v>0.25893714578580812</v>
      </c>
      <c r="Y102" s="2">
        <f t="shared" si="50"/>
        <v>0.41678917944197053</v>
      </c>
      <c r="Z102" s="2">
        <f t="shared" si="51"/>
        <v>0</v>
      </c>
      <c r="AA102" s="2">
        <f t="shared" si="52"/>
        <v>0.78142857142857147</v>
      </c>
      <c r="AB102" s="84">
        <f t="shared" si="55"/>
        <v>0.36428872416408753</v>
      </c>
      <c r="AD102" s="46">
        <v>0.48753151317289084</v>
      </c>
      <c r="AE102" s="46">
        <f t="shared" si="53"/>
        <v>0.47881232287888731</v>
      </c>
      <c r="AF102" s="46">
        <f t="shared" si="54"/>
        <v>8.7191902940035315E-3</v>
      </c>
    </row>
    <row r="103" spans="1:32">
      <c r="A103" s="1" t="s">
        <v>124</v>
      </c>
      <c r="B103" s="1" t="s">
        <v>279</v>
      </c>
      <c r="C103" t="e">
        <f>NA()</f>
        <v>#N/A</v>
      </c>
      <c r="D103" s="64" t="e">
        <v>#N/A</v>
      </c>
      <c r="E103" s="2">
        <v>100</v>
      </c>
      <c r="F103" s="78" t="e">
        <v>#N/A</v>
      </c>
      <c r="G103" s="2">
        <v>0.43287988513706049</v>
      </c>
      <c r="H103" s="46">
        <v>4.8600883581324528E-2</v>
      </c>
      <c r="I103" s="46"/>
      <c r="J103" s="47">
        <v>11.83487541928576</v>
      </c>
      <c r="K103" s="47">
        <v>99.701630473430228</v>
      </c>
      <c r="L103">
        <v>27</v>
      </c>
      <c r="M103" t="e">
        <v>#N/A</v>
      </c>
      <c r="O103" s="1" t="s">
        <v>124</v>
      </c>
      <c r="P103" s="1" t="s">
        <v>279</v>
      </c>
      <c r="Q103" s="2" t="e">
        <f t="shared" si="56"/>
        <v>#N/A</v>
      </c>
      <c r="R103" s="2" t="e">
        <f t="shared" si="57"/>
        <v>#N/A</v>
      </c>
      <c r="S103" s="2">
        <f t="shared" si="58"/>
        <v>0</v>
      </c>
      <c r="T103" s="2" t="e">
        <f t="shared" si="59"/>
        <v>#N/A</v>
      </c>
      <c r="U103" s="2">
        <f t="shared" si="60"/>
        <v>0.43287988513706049</v>
      </c>
      <c r="V103" s="2">
        <f t="shared" si="61"/>
        <v>0.91899852736445908</v>
      </c>
      <c r="W103" s="11">
        <f t="shared" si="48"/>
        <v>0.45062613750050651</v>
      </c>
      <c r="X103" s="2">
        <f t="shared" si="49"/>
        <v>5.9174377096428803E-2</v>
      </c>
      <c r="Y103" s="2">
        <f t="shared" si="50"/>
        <v>1</v>
      </c>
      <c r="Z103" s="2">
        <f t="shared" si="51"/>
        <v>0.67500000000000004</v>
      </c>
      <c r="AA103" s="2" t="e">
        <f t="shared" si="52"/>
        <v>#N/A</v>
      </c>
      <c r="AB103" s="84">
        <f t="shared" si="55"/>
        <v>0.57805812569880966</v>
      </c>
      <c r="AD103" s="46">
        <v>0.44983001241499637</v>
      </c>
      <c r="AE103" s="46">
        <f t="shared" si="53"/>
        <v>0.46549343903811169</v>
      </c>
      <c r="AF103" s="46">
        <f t="shared" si="54"/>
        <v>1.5663426623115317E-2</v>
      </c>
    </row>
    <row r="104" spans="1:32">
      <c r="A104" s="1" t="s">
        <v>76</v>
      </c>
      <c r="B104" s="1" t="s">
        <v>280</v>
      </c>
      <c r="C104" t="e">
        <f>NA()</f>
        <v>#N/A</v>
      </c>
      <c r="D104" s="64">
        <v>6.9008777587071912E-2</v>
      </c>
      <c r="E104" s="2">
        <v>14</v>
      </c>
      <c r="F104" s="78" t="e">
        <v>#N/A</v>
      </c>
      <c r="G104" s="2">
        <v>0.29669559415063246</v>
      </c>
      <c r="H104" s="46">
        <v>0</v>
      </c>
      <c r="I104" s="46"/>
      <c r="J104" s="47">
        <v>128.02377092648362</v>
      </c>
      <c r="K104" s="47">
        <v>18.354865821787605</v>
      </c>
      <c r="L104">
        <v>-2</v>
      </c>
      <c r="M104" t="e">
        <v>#N/A</v>
      </c>
      <c r="O104" s="1" t="s">
        <v>76</v>
      </c>
      <c r="P104" s="1" t="s">
        <v>280</v>
      </c>
      <c r="Q104" s="2" t="e">
        <f t="shared" si="56"/>
        <v>#N/A</v>
      </c>
      <c r="R104" s="2">
        <f t="shared" si="57"/>
        <v>0.49309912224129282</v>
      </c>
      <c r="S104" s="2">
        <f t="shared" si="58"/>
        <v>0.86</v>
      </c>
      <c r="T104" s="2" t="e">
        <f t="shared" si="59"/>
        <v>#N/A</v>
      </c>
      <c r="U104" s="2">
        <f t="shared" si="60"/>
        <v>0.29669559415063246</v>
      </c>
      <c r="V104" s="2">
        <f t="shared" si="61"/>
        <v>1</v>
      </c>
      <c r="W104" s="11">
        <f t="shared" si="48"/>
        <v>0.66244867909798133</v>
      </c>
      <c r="X104" s="2">
        <f t="shared" si="49"/>
        <v>0.64011885463241813</v>
      </c>
      <c r="Y104" s="2">
        <f t="shared" si="50"/>
        <v>0.11935522602553722</v>
      </c>
      <c r="Z104" s="2">
        <f t="shared" si="51"/>
        <v>0</v>
      </c>
      <c r="AA104" s="2" t="e">
        <f t="shared" si="52"/>
        <v>#N/A</v>
      </c>
      <c r="AB104" s="84">
        <f t="shared" si="55"/>
        <v>0.25315802688598515</v>
      </c>
      <c r="AD104" s="46">
        <v>0.42316842721101028</v>
      </c>
      <c r="AE104" s="46">
        <f t="shared" si="53"/>
        <v>0.43881568957873007</v>
      </c>
      <c r="AF104" s="46">
        <f t="shared" si="54"/>
        <v>1.5647262367719794E-2</v>
      </c>
    </row>
    <row r="105" spans="1:32">
      <c r="A105" s="1" t="s">
        <v>31</v>
      </c>
      <c r="B105" s="1" t="s">
        <v>281</v>
      </c>
      <c r="C105" t="e">
        <f>NA()</f>
        <v>#N/A</v>
      </c>
      <c r="D105" s="64">
        <v>-0.97027341908822196</v>
      </c>
      <c r="E105" s="2">
        <v>34.24</v>
      </c>
      <c r="F105" s="78">
        <v>1.7564630447178785E-2</v>
      </c>
      <c r="G105" s="2">
        <v>0.38332352371783512</v>
      </c>
      <c r="H105" s="46">
        <v>0</v>
      </c>
      <c r="I105" s="46"/>
      <c r="J105" s="47">
        <v>102.57233005892543</v>
      </c>
      <c r="K105" s="47">
        <v>24.414321001533274</v>
      </c>
      <c r="L105">
        <v>0</v>
      </c>
      <c r="M105">
        <v>0</v>
      </c>
      <c r="O105" s="1" t="s">
        <v>31</v>
      </c>
      <c r="P105" s="1" t="s">
        <v>281</v>
      </c>
      <c r="Q105" s="2" t="e">
        <f t="shared" si="56"/>
        <v>#N/A</v>
      </c>
      <c r="R105" s="2">
        <f t="shared" si="57"/>
        <v>0.59702734190882212</v>
      </c>
      <c r="S105" s="2">
        <f t="shared" si="58"/>
        <v>0.65759999999999996</v>
      </c>
      <c r="T105" s="2">
        <f t="shared" si="59"/>
        <v>2.927438407863131E-2</v>
      </c>
      <c r="U105" s="2">
        <f t="shared" si="60"/>
        <v>0.38332352371783512</v>
      </c>
      <c r="V105" s="2">
        <f t="shared" si="61"/>
        <v>1</v>
      </c>
      <c r="W105" s="11">
        <f t="shared" si="48"/>
        <v>0.53344504994105768</v>
      </c>
      <c r="X105" s="2">
        <f t="shared" si="49"/>
        <v>0.51286165029462716</v>
      </c>
      <c r="Y105" s="2">
        <f t="shared" si="50"/>
        <v>0.20591887145047535</v>
      </c>
      <c r="Z105" s="2">
        <f t="shared" si="51"/>
        <v>0</v>
      </c>
      <c r="AA105" s="2">
        <f t="shared" si="52"/>
        <v>0</v>
      </c>
      <c r="AB105" s="84">
        <f t="shared" si="55"/>
        <v>0.17969513043627564</v>
      </c>
      <c r="AD105" s="46">
        <v>0.28549453232003358</v>
      </c>
      <c r="AE105" s="46">
        <f t="shared" si="53"/>
        <v>0.31023862264033936</v>
      </c>
      <c r="AF105" s="46">
        <f t="shared" si="54"/>
        <v>2.4744090320305778E-2</v>
      </c>
    </row>
    <row r="106" spans="1:32">
      <c r="A106" s="1" t="s">
        <v>3</v>
      </c>
      <c r="B106" s="1" t="s">
        <v>282</v>
      </c>
      <c r="C106" t="e">
        <f>NA()</f>
        <v>#N/A</v>
      </c>
      <c r="D106" s="64">
        <v>-1.5967121154059694</v>
      </c>
      <c r="E106" s="2">
        <v>9.35</v>
      </c>
      <c r="F106" s="78">
        <v>5.6123466507316255E-3</v>
      </c>
      <c r="G106" s="2">
        <v>0.38066850967312543</v>
      </c>
      <c r="H106" s="46">
        <v>0.21465390248418337</v>
      </c>
      <c r="I106" s="46"/>
      <c r="J106" s="47">
        <v>0.60484575154967735</v>
      </c>
      <c r="K106" s="47">
        <v>85.609049183567805</v>
      </c>
      <c r="L106">
        <v>0</v>
      </c>
      <c r="M106">
        <v>0</v>
      </c>
      <c r="O106" s="1" t="s">
        <v>3</v>
      </c>
      <c r="P106" s="1" t="s">
        <v>282</v>
      </c>
      <c r="Q106" s="2" t="e">
        <f t="shared" si="56"/>
        <v>#N/A</v>
      </c>
      <c r="R106" s="2">
        <f t="shared" si="57"/>
        <v>0.65967121154059694</v>
      </c>
      <c r="S106" s="2">
        <f t="shared" si="58"/>
        <v>0.90649999999999997</v>
      </c>
      <c r="T106" s="2">
        <f t="shared" si="59"/>
        <v>9.3539110845527098E-3</v>
      </c>
      <c r="U106" s="2">
        <f t="shared" si="60"/>
        <v>0.38066850967312543</v>
      </c>
      <c r="V106" s="2">
        <f t="shared" si="61"/>
        <v>0.64224349585969431</v>
      </c>
      <c r="W106" s="11">
        <f t="shared" si="48"/>
        <v>0.51968742563159387</v>
      </c>
      <c r="X106" s="2">
        <f t="shared" si="49"/>
        <v>3.0242287577483869E-3</v>
      </c>
      <c r="Y106" s="2">
        <f t="shared" si="50"/>
        <v>1</v>
      </c>
      <c r="Z106" s="2">
        <f t="shared" si="51"/>
        <v>0</v>
      </c>
      <c r="AA106" s="2">
        <f t="shared" si="52"/>
        <v>0</v>
      </c>
      <c r="AB106" s="84">
        <f t="shared" si="55"/>
        <v>0.25075605718943711</v>
      </c>
      <c r="AD106" s="46">
        <v>0.26046936365828072</v>
      </c>
      <c r="AE106" s="46">
        <f t="shared" si="53"/>
        <v>0.29856745711255922</v>
      </c>
      <c r="AF106" s="46">
        <f t="shared" si="54"/>
        <v>3.8098093454278503E-2</v>
      </c>
    </row>
    <row r="107" spans="1:32">
      <c r="A107" s="1" t="s">
        <v>144</v>
      </c>
      <c r="B107" s="1" t="s">
        <v>283</v>
      </c>
      <c r="C107" t="e">
        <f>NA()</f>
        <v>#N/A</v>
      </c>
      <c r="D107" s="64">
        <v>0.45152745036656017</v>
      </c>
      <c r="E107" s="2">
        <v>23.29</v>
      </c>
      <c r="F107" s="78">
        <v>0.46124601676839205</v>
      </c>
      <c r="G107" s="2">
        <v>0.55788704965697</v>
      </c>
      <c r="H107" s="46">
        <v>7.2901325371986792E-2</v>
      </c>
      <c r="I107" s="46"/>
      <c r="J107" s="47">
        <v>53.431144945541519</v>
      </c>
      <c r="K107" s="47">
        <v>43.981841305437626</v>
      </c>
      <c r="L107">
        <v>1</v>
      </c>
      <c r="M107">
        <v>0</v>
      </c>
      <c r="O107" s="1" t="s">
        <v>144</v>
      </c>
      <c r="P107" s="1" t="s">
        <v>283</v>
      </c>
      <c r="Q107" s="2" t="e">
        <f t="shared" si="56"/>
        <v>#N/A</v>
      </c>
      <c r="R107" s="2">
        <f t="shared" si="57"/>
        <v>0.45484725496334399</v>
      </c>
      <c r="S107" s="2">
        <f t="shared" si="58"/>
        <v>0.7671</v>
      </c>
      <c r="T107" s="2">
        <f t="shared" si="59"/>
        <v>0.76874336128065346</v>
      </c>
      <c r="U107" s="2">
        <f t="shared" si="60"/>
        <v>0.55788704965697</v>
      </c>
      <c r="V107" s="2">
        <f t="shared" si="61"/>
        <v>0.87849779104668868</v>
      </c>
      <c r="W107" s="11">
        <f t="shared" si="48"/>
        <v>0.68541509138953116</v>
      </c>
      <c r="X107" s="2">
        <f t="shared" si="49"/>
        <v>0.2671557247277076</v>
      </c>
      <c r="Y107" s="2">
        <f t="shared" si="50"/>
        <v>0.48545487579196611</v>
      </c>
      <c r="Z107" s="2">
        <f t="shared" si="51"/>
        <v>2.5000000000000001E-2</v>
      </c>
      <c r="AA107" s="2">
        <f t="shared" si="52"/>
        <v>0</v>
      </c>
      <c r="AB107" s="84">
        <f t="shared" si="55"/>
        <v>0.19440265012991845</v>
      </c>
      <c r="AD107" s="46">
        <v>0.2630550444538382</v>
      </c>
      <c r="AE107" s="46">
        <f t="shared" si="53"/>
        <v>0.31872748861695299</v>
      </c>
      <c r="AF107" s="46">
        <f t="shared" si="54"/>
        <v>5.5672444163114787E-2</v>
      </c>
    </row>
    <row r="108" spans="1:32">
      <c r="A108" s="1" t="s">
        <v>154</v>
      </c>
      <c r="B108" s="1" t="s">
        <v>284</v>
      </c>
      <c r="C108" t="e">
        <f>NA()</f>
        <v>#N/A</v>
      </c>
      <c r="D108" s="64">
        <v>0.42546683369032268</v>
      </c>
      <c r="E108" s="2">
        <v>94</v>
      </c>
      <c r="F108" s="78">
        <v>0.91811234580605994</v>
      </c>
      <c r="G108" s="2">
        <v>0.64000586474508214</v>
      </c>
      <c r="H108" s="46">
        <v>0</v>
      </c>
      <c r="I108" s="46"/>
      <c r="J108" s="47">
        <v>246.70287923259849</v>
      </c>
      <c r="K108" s="47">
        <v>40.38826877124103</v>
      </c>
      <c r="L108">
        <v>48</v>
      </c>
      <c r="M108">
        <v>79.3</v>
      </c>
      <c r="O108" s="1" t="s">
        <v>154</v>
      </c>
      <c r="P108" s="1" t="s">
        <v>284</v>
      </c>
      <c r="Q108" s="2" t="e">
        <f t="shared" si="56"/>
        <v>#N/A</v>
      </c>
      <c r="R108" s="2">
        <f t="shared" si="57"/>
        <v>0.45745331663096778</v>
      </c>
      <c r="S108" s="2">
        <f t="shared" si="58"/>
        <v>6.0000000000000053E-2</v>
      </c>
      <c r="T108" s="2">
        <f t="shared" si="59"/>
        <v>1</v>
      </c>
      <c r="U108" s="2">
        <f t="shared" si="60"/>
        <v>0.64000586474508214</v>
      </c>
      <c r="V108" s="2">
        <f t="shared" si="61"/>
        <v>1</v>
      </c>
      <c r="W108" s="11">
        <f t="shared" si="48"/>
        <v>0.63149183627520999</v>
      </c>
      <c r="X108" s="2">
        <f t="shared" si="49"/>
        <v>1</v>
      </c>
      <c r="Y108" s="2">
        <f t="shared" si="50"/>
        <v>0.43411812530344329</v>
      </c>
      <c r="Z108" s="2">
        <f t="shared" si="51"/>
        <v>1</v>
      </c>
      <c r="AA108" s="2">
        <f t="shared" si="52"/>
        <v>1</v>
      </c>
      <c r="AB108" s="84">
        <f t="shared" si="55"/>
        <v>0.85852953132586085</v>
      </c>
      <c r="AD108" s="46">
        <v>0.43804845516943286</v>
      </c>
      <c r="AE108" s="46">
        <f t="shared" si="53"/>
        <v>0.51832546153775405</v>
      </c>
      <c r="AF108" s="46">
        <f t="shared" si="54"/>
        <v>8.0277006368321191E-2</v>
      </c>
    </row>
    <row r="109" spans="1:32">
      <c r="A109" s="1" t="s">
        <v>61</v>
      </c>
      <c r="B109" s="1" t="s">
        <v>285</v>
      </c>
      <c r="C109" t="e">
        <f>NA()</f>
        <v>#N/A</v>
      </c>
      <c r="D109" s="64">
        <v>4.1599405367012832</v>
      </c>
      <c r="E109" s="2">
        <v>100</v>
      </c>
      <c r="F109" s="78">
        <v>0.10096040992175749</v>
      </c>
      <c r="G109" s="2">
        <v>4.6536076891681655E-2</v>
      </c>
      <c r="H109" s="46">
        <v>0.27945508059261615</v>
      </c>
      <c r="I109" s="46"/>
      <c r="J109" s="47">
        <v>-11.070415617353904</v>
      </c>
      <c r="K109" s="47">
        <v>46.238491720204955</v>
      </c>
      <c r="L109">
        <v>11</v>
      </c>
      <c r="M109">
        <v>0</v>
      </c>
      <c r="O109" s="1" t="s">
        <v>61</v>
      </c>
      <c r="P109" s="1" t="s">
        <v>285</v>
      </c>
      <c r="Q109" s="2" t="e">
        <f t="shared" si="56"/>
        <v>#N/A</v>
      </c>
      <c r="R109" s="2">
        <f t="shared" si="57"/>
        <v>8.4005946329871684E-2</v>
      </c>
      <c r="S109" s="2">
        <f t="shared" si="58"/>
        <v>0</v>
      </c>
      <c r="T109" s="2">
        <f t="shared" si="59"/>
        <v>0.16826734986959582</v>
      </c>
      <c r="U109" s="2">
        <f t="shared" si="60"/>
        <v>4.6536076891681655E-2</v>
      </c>
      <c r="V109" s="2">
        <f t="shared" si="61"/>
        <v>0.53424153234563976</v>
      </c>
      <c r="W109" s="11">
        <f t="shared" si="48"/>
        <v>0.16661018108735778</v>
      </c>
      <c r="X109" s="2">
        <f t="shared" si="49"/>
        <v>0</v>
      </c>
      <c r="Y109" s="2">
        <f t="shared" si="50"/>
        <v>0.51769273886007083</v>
      </c>
      <c r="Z109" s="2">
        <f t="shared" si="51"/>
        <v>0.27500000000000002</v>
      </c>
      <c r="AA109" s="2">
        <f t="shared" si="52"/>
        <v>0</v>
      </c>
      <c r="AB109" s="84">
        <f t="shared" si="55"/>
        <v>0.19817318471501771</v>
      </c>
      <c r="AD109" s="46">
        <v>0.2265488151917576</v>
      </c>
      <c r="AE109" s="46">
        <f t="shared" si="53"/>
        <v>0.21402773360300126</v>
      </c>
      <c r="AF109" s="46">
        <f t="shared" si="54"/>
        <v>1.2521081588756339E-2</v>
      </c>
    </row>
    <row r="110" spans="1:32">
      <c r="A110" s="1" t="s">
        <v>20</v>
      </c>
      <c r="B110" s="1" t="s">
        <v>286</v>
      </c>
      <c r="C110" t="e">
        <f>NA()</f>
        <v>#N/A</v>
      </c>
      <c r="D110" s="64">
        <v>-1.124931048787321</v>
      </c>
      <c r="E110" s="2">
        <v>2.76</v>
      </c>
      <c r="F110" s="78" t="e">
        <v>#N/A</v>
      </c>
      <c r="G110" s="2">
        <v>0.23093430695061976</v>
      </c>
      <c r="H110" s="46">
        <v>0.32793323515763062</v>
      </c>
      <c r="I110" s="46"/>
      <c r="J110" s="47">
        <v>18.952203399077661</v>
      </c>
      <c r="K110" s="47">
        <v>52.543296045944054</v>
      </c>
      <c r="L110">
        <v>13</v>
      </c>
      <c r="M110">
        <v>53.1</v>
      </c>
      <c r="O110" s="1" t="s">
        <v>20</v>
      </c>
      <c r="P110" s="1" t="s">
        <v>286</v>
      </c>
      <c r="Q110" s="2" t="e">
        <f t="shared" si="56"/>
        <v>#N/A</v>
      </c>
      <c r="R110" s="2">
        <f t="shared" si="57"/>
        <v>0.6124931048787321</v>
      </c>
      <c r="S110" s="2">
        <f t="shared" si="58"/>
        <v>0.97240000000000004</v>
      </c>
      <c r="T110" s="2" t="e">
        <f t="shared" si="59"/>
        <v>#N/A</v>
      </c>
      <c r="U110" s="2">
        <f t="shared" si="60"/>
        <v>0.23093430695061976</v>
      </c>
      <c r="V110" s="2">
        <f t="shared" si="61"/>
        <v>0.4534446080706156</v>
      </c>
      <c r="W110" s="11">
        <f t="shared" si="48"/>
        <v>0.56731800497499185</v>
      </c>
      <c r="X110" s="2">
        <f t="shared" si="49"/>
        <v>9.4761016995388303E-2</v>
      </c>
      <c r="Y110" s="2">
        <f t="shared" si="50"/>
        <v>0.6077613720849151</v>
      </c>
      <c r="Z110" s="2">
        <f t="shared" si="51"/>
        <v>0.32500000000000001</v>
      </c>
      <c r="AA110" s="2">
        <f t="shared" si="52"/>
        <v>0.75857142857142856</v>
      </c>
      <c r="AB110" s="84">
        <f t="shared" si="55"/>
        <v>0.44652345441293295</v>
      </c>
      <c r="AD110" s="46">
        <v>0.25224420823472465</v>
      </c>
      <c r="AE110" s="46">
        <f t="shared" si="53"/>
        <v>0.32353166182303283</v>
      </c>
      <c r="AF110" s="46">
        <f t="shared" si="54"/>
        <v>7.1287453588308181E-2</v>
      </c>
    </row>
    <row r="111" spans="1:32">
      <c r="A111" s="1" t="s">
        <v>172</v>
      </c>
      <c r="B111" s="1" t="s">
        <v>287</v>
      </c>
      <c r="C111" t="e">
        <f>NA()</f>
        <v>#N/A</v>
      </c>
      <c r="D111" s="64">
        <v>-0.24678629986955047</v>
      </c>
      <c r="E111" s="2">
        <v>1.41</v>
      </c>
      <c r="F111" s="78">
        <v>2.651309883587067E-2</v>
      </c>
      <c r="G111" s="2">
        <v>9.8545005284295287E-2</v>
      </c>
      <c r="H111" s="46">
        <v>0.18225331342996709</v>
      </c>
      <c r="I111" s="46"/>
      <c r="J111" s="47">
        <v>264.99283291128825</v>
      </c>
      <c r="K111" s="47">
        <v>39.102064952054569</v>
      </c>
      <c r="L111">
        <v>15</v>
      </c>
      <c r="M111">
        <v>53.7</v>
      </c>
      <c r="O111" s="1" t="s">
        <v>172</v>
      </c>
      <c r="P111" s="1" t="s">
        <v>287</v>
      </c>
      <c r="Q111" s="2" t="e">
        <f t="shared" si="56"/>
        <v>#N/A</v>
      </c>
      <c r="R111" s="2">
        <f t="shared" si="57"/>
        <v>0.52467862998695503</v>
      </c>
      <c r="S111" s="2">
        <f t="shared" si="58"/>
        <v>0.9859</v>
      </c>
      <c r="T111" s="2">
        <f t="shared" si="59"/>
        <v>4.4188498059784455E-2</v>
      </c>
      <c r="U111" s="2">
        <f t="shared" si="60"/>
        <v>9.8545005284295287E-2</v>
      </c>
      <c r="V111" s="2">
        <f t="shared" si="61"/>
        <v>0.69624447761672148</v>
      </c>
      <c r="W111" s="11">
        <f t="shared" si="48"/>
        <v>0.46991132218955123</v>
      </c>
      <c r="X111" s="2">
        <f t="shared" si="49"/>
        <v>1</v>
      </c>
      <c r="Y111" s="2">
        <f t="shared" si="50"/>
        <v>0.415743785029351</v>
      </c>
      <c r="Z111" s="2">
        <f t="shared" si="51"/>
        <v>0.375</v>
      </c>
      <c r="AA111" s="2">
        <f t="shared" si="52"/>
        <v>0.76714285714285724</v>
      </c>
      <c r="AB111" s="84">
        <f t="shared" si="55"/>
        <v>0.63947166054305205</v>
      </c>
      <c r="AD111" s="46">
        <v>0.4938672090447746</v>
      </c>
      <c r="AE111" s="46">
        <f t="shared" si="53"/>
        <v>0.50788655364225921</v>
      </c>
      <c r="AF111" s="46">
        <f t="shared" si="54"/>
        <v>1.4019344597484606E-2</v>
      </c>
    </row>
    <row r="112" spans="1:32">
      <c r="A112" s="1" t="s">
        <v>88</v>
      </c>
      <c r="B112" s="1" t="s">
        <v>288</v>
      </c>
      <c r="C112" t="e">
        <f>NA()</f>
        <v>#N/A</v>
      </c>
      <c r="D112" s="64">
        <v>1.7933601335217662</v>
      </c>
      <c r="E112" s="2">
        <v>10.41</v>
      </c>
      <c r="F112" s="78">
        <v>1</v>
      </c>
      <c r="G112" s="2">
        <v>0.46026387830042648</v>
      </c>
      <c r="H112" s="46">
        <v>0.28325969619177305</v>
      </c>
      <c r="I112" s="46"/>
      <c r="J112" s="47">
        <v>27.512758951669252</v>
      </c>
      <c r="K112" s="47">
        <v>33.686290621955145</v>
      </c>
      <c r="L112">
        <v>21</v>
      </c>
      <c r="M112">
        <v>68.3</v>
      </c>
      <c r="O112" s="1" t="s">
        <v>88</v>
      </c>
      <c r="P112" s="1" t="s">
        <v>288</v>
      </c>
      <c r="Q112" s="2" t="e">
        <f t="shared" si="56"/>
        <v>#N/A</v>
      </c>
      <c r="R112" s="2">
        <f t="shared" si="57"/>
        <v>0.32066398664782336</v>
      </c>
      <c r="S112" s="2">
        <f t="shared" si="58"/>
        <v>0.89590000000000003</v>
      </c>
      <c r="T112" s="2">
        <f t="shared" si="59"/>
        <v>1</v>
      </c>
      <c r="U112" s="2">
        <f t="shared" si="60"/>
        <v>0.46026387830042648</v>
      </c>
      <c r="V112" s="2">
        <f t="shared" si="61"/>
        <v>0.52790050634704488</v>
      </c>
      <c r="W112" s="11">
        <f t="shared" si="48"/>
        <v>0.64094567425905891</v>
      </c>
      <c r="X112" s="2">
        <f t="shared" si="49"/>
        <v>0.13756379475834626</v>
      </c>
      <c r="Y112" s="2">
        <f t="shared" si="50"/>
        <v>0.33837558031364495</v>
      </c>
      <c r="Z112" s="2">
        <f t="shared" si="51"/>
        <v>0.52500000000000002</v>
      </c>
      <c r="AA112" s="2">
        <f t="shared" si="52"/>
        <v>0.97571428571428565</v>
      </c>
      <c r="AB112" s="84">
        <f t="shared" si="55"/>
        <v>0.49416341519656926</v>
      </c>
      <c r="AD112" s="46">
        <v>0.52864236237859985</v>
      </c>
      <c r="AE112" s="46">
        <f t="shared" si="53"/>
        <v>0.54147874936872631</v>
      </c>
      <c r="AF112" s="46">
        <f t="shared" si="54"/>
        <v>1.2836386990126458E-2</v>
      </c>
    </row>
    <row r="113" spans="1:32">
      <c r="A113" s="1" t="s">
        <v>34</v>
      </c>
      <c r="B113" s="1" t="s">
        <v>289</v>
      </c>
      <c r="C113" t="e">
        <f>NA()</f>
        <v>#N/A</v>
      </c>
      <c r="D113" s="64">
        <v>-0.69892169269055904</v>
      </c>
      <c r="E113" s="2">
        <v>0.65</v>
      </c>
      <c r="F113" s="78" t="e">
        <v>#N/A</v>
      </c>
      <c r="G113" s="2">
        <v>0.19033545862930876</v>
      </c>
      <c r="H113" s="46">
        <v>0.21060382885240636</v>
      </c>
      <c r="I113" s="46"/>
      <c r="J113" s="47">
        <v>15.786978101428534</v>
      </c>
      <c r="K113" s="47">
        <v>22.372011179934447</v>
      </c>
      <c r="L113">
        <v>1</v>
      </c>
      <c r="M113" t="e">
        <v>#N/A</v>
      </c>
      <c r="O113" s="1" t="s">
        <v>34</v>
      </c>
      <c r="P113" s="1" t="s">
        <v>289</v>
      </c>
      <c r="Q113" s="2" t="e">
        <f t="shared" si="56"/>
        <v>#N/A</v>
      </c>
      <c r="R113" s="2">
        <f t="shared" si="57"/>
        <v>0.56989216926905595</v>
      </c>
      <c r="S113" s="2">
        <f t="shared" si="58"/>
        <v>0.99350000000000005</v>
      </c>
      <c r="T113" s="2" t="e">
        <f t="shared" si="59"/>
        <v>#N/A</v>
      </c>
      <c r="U113" s="2">
        <f t="shared" si="60"/>
        <v>0.19033545862930876</v>
      </c>
      <c r="V113" s="2">
        <f t="shared" si="61"/>
        <v>0.6489936185793227</v>
      </c>
      <c r="W113" s="11">
        <f t="shared" si="48"/>
        <v>0.60068031161942181</v>
      </c>
      <c r="X113" s="2">
        <f t="shared" si="49"/>
        <v>7.8934890507142669E-2</v>
      </c>
      <c r="Y113" s="2">
        <f t="shared" si="50"/>
        <v>0.17674301685620639</v>
      </c>
      <c r="Z113" s="2">
        <f t="shared" si="51"/>
        <v>2.5000000000000001E-2</v>
      </c>
      <c r="AA113" s="2" t="e">
        <f t="shared" si="52"/>
        <v>#N/A</v>
      </c>
      <c r="AB113" s="84">
        <f t="shared" si="55"/>
        <v>9.3559302454449697E-2</v>
      </c>
      <c r="AD113" s="46">
        <v>0.29002142849067641</v>
      </c>
      <c r="AE113" s="46">
        <f t="shared" si="53"/>
        <v>0.31327736520276195</v>
      </c>
      <c r="AF113" s="46">
        <f t="shared" si="54"/>
        <v>2.3255936712085534E-2</v>
      </c>
    </row>
    <row r="114" spans="1:32">
      <c r="A114" s="1" t="s">
        <v>187</v>
      </c>
      <c r="B114" s="1" t="s">
        <v>290</v>
      </c>
      <c r="C114" t="e">
        <f>NA()</f>
        <v>#N/A</v>
      </c>
      <c r="D114" s="64" t="e">
        <v>#N/A</v>
      </c>
      <c r="E114" s="2">
        <v>77.709999999999994</v>
      </c>
      <c r="F114" s="78" t="e">
        <v>#N/A</v>
      </c>
      <c r="G114" s="2">
        <v>0</v>
      </c>
      <c r="H114" s="46">
        <v>0.25515463880195388</v>
      </c>
      <c r="I114" s="46"/>
      <c r="J114" s="47">
        <v>-58.22243842491951</v>
      </c>
      <c r="K114" s="47">
        <v>100</v>
      </c>
      <c r="L114" t="e">
        <v>#N/A</v>
      </c>
      <c r="M114">
        <v>0</v>
      </c>
      <c r="O114" s="1" t="s">
        <v>187</v>
      </c>
      <c r="P114" s="1" t="s">
        <v>290</v>
      </c>
      <c r="Q114" s="2" t="e">
        <f t="shared" si="56"/>
        <v>#N/A</v>
      </c>
      <c r="R114" s="2" t="e">
        <f t="shared" si="57"/>
        <v>#N/A</v>
      </c>
      <c r="S114" s="2">
        <f t="shared" si="58"/>
        <v>0.2229000000000001</v>
      </c>
      <c r="T114" s="2" t="e">
        <f t="shared" si="59"/>
        <v>#N/A</v>
      </c>
      <c r="U114" s="2">
        <f t="shared" si="60"/>
        <v>0</v>
      </c>
      <c r="V114" s="2">
        <f t="shared" si="61"/>
        <v>0.57474226866341016</v>
      </c>
      <c r="W114" s="11">
        <f t="shared" si="48"/>
        <v>0.26588075622113677</v>
      </c>
      <c r="X114" s="2">
        <f t="shared" si="49"/>
        <v>0</v>
      </c>
      <c r="Y114" s="2">
        <f t="shared" si="50"/>
        <v>1</v>
      </c>
      <c r="Z114" s="2" t="e">
        <f t="shared" si="51"/>
        <v>#N/A</v>
      </c>
      <c r="AA114" s="2">
        <f t="shared" si="52"/>
        <v>0</v>
      </c>
      <c r="AB114" s="84">
        <f t="shared" si="55"/>
        <v>0.33333333333333331</v>
      </c>
      <c r="AD114" s="46" t="e">
        <v>#N/A</v>
      </c>
      <c r="AE114" s="46" t="e">
        <f t="shared" si="53"/>
        <v>#N/A</v>
      </c>
      <c r="AF114" s="46" t="e">
        <f t="shared" si="54"/>
        <v>#N/A</v>
      </c>
    </row>
    <row r="115" spans="1:32">
      <c r="A115" s="1" t="s">
        <v>67</v>
      </c>
      <c r="B115" s="1" t="s">
        <v>291</v>
      </c>
      <c r="C115" t="e">
        <f>NA()</f>
        <v>#N/A</v>
      </c>
      <c r="D115" s="64">
        <v>1.5260781467967113</v>
      </c>
      <c r="E115" s="2">
        <v>85.76</v>
      </c>
      <c r="F115" s="78">
        <v>7.1061459592220488E-2</v>
      </c>
      <c r="G115" s="2">
        <v>8.7184875405573792E-2</v>
      </c>
      <c r="H115" s="46">
        <v>0.2268041233795145</v>
      </c>
      <c r="I115" s="46"/>
      <c r="J115" s="47">
        <v>-31.658662196167104</v>
      </c>
      <c r="K115" s="47">
        <v>24.37249556972608</v>
      </c>
      <c r="L115" t="e">
        <v>#N/A</v>
      </c>
      <c r="M115">
        <v>0</v>
      </c>
      <c r="O115" s="1" t="s">
        <v>67</v>
      </c>
      <c r="P115" s="1" t="s">
        <v>291</v>
      </c>
      <c r="Q115" s="2" t="e">
        <f t="shared" si="56"/>
        <v>#N/A</v>
      </c>
      <c r="R115" s="2">
        <f t="shared" si="57"/>
        <v>0.34739218532032878</v>
      </c>
      <c r="S115" s="2">
        <f t="shared" si="58"/>
        <v>0.14239999999999997</v>
      </c>
      <c r="T115" s="2">
        <f t="shared" si="59"/>
        <v>0.11843576598703415</v>
      </c>
      <c r="U115" s="2">
        <f t="shared" si="60"/>
        <v>8.7184875405573792E-2</v>
      </c>
      <c r="V115" s="2">
        <f t="shared" si="61"/>
        <v>0.62199312770080917</v>
      </c>
      <c r="W115" s="11">
        <f t="shared" si="48"/>
        <v>0.26348119088274913</v>
      </c>
      <c r="X115" s="2">
        <f t="shared" si="49"/>
        <v>0</v>
      </c>
      <c r="Y115" s="2">
        <f t="shared" si="50"/>
        <v>0.20532136528180114</v>
      </c>
      <c r="Z115" s="2" t="e">
        <f t="shared" si="51"/>
        <v>#N/A</v>
      </c>
      <c r="AA115" s="2">
        <f t="shared" si="52"/>
        <v>0</v>
      </c>
      <c r="AB115" s="84">
        <f t="shared" si="55"/>
        <v>6.8440455093933719E-2</v>
      </c>
      <c r="AD115" s="46">
        <v>0.23491910281175618</v>
      </c>
      <c r="AE115" s="46">
        <f t="shared" si="53"/>
        <v>0.21906746188701903</v>
      </c>
      <c r="AF115" s="46">
        <f t="shared" si="54"/>
        <v>1.5851640924737148E-2</v>
      </c>
    </row>
    <row r="116" spans="1:32">
      <c r="A116" s="1" t="s">
        <v>29</v>
      </c>
      <c r="B116" s="1" t="s">
        <v>292</v>
      </c>
      <c r="C116" t="e">
        <f>NA()</f>
        <v>#N/A</v>
      </c>
      <c r="D116" s="64" t="e">
        <v>#N/A</v>
      </c>
      <c r="E116" s="2">
        <v>100</v>
      </c>
      <c r="F116" s="78">
        <v>1.1065829156183078E-2</v>
      </c>
      <c r="G116" s="2">
        <v>0</v>
      </c>
      <c r="H116" s="46">
        <v>0.63586156018899609</v>
      </c>
      <c r="I116" s="46"/>
      <c r="J116" s="47">
        <v>-9.0956147256789581</v>
      </c>
      <c r="K116" s="47">
        <v>21.917883604356529</v>
      </c>
      <c r="L116">
        <v>0</v>
      </c>
      <c r="M116">
        <v>0</v>
      </c>
      <c r="O116" s="1" t="s">
        <v>29</v>
      </c>
      <c r="P116" s="1" t="s">
        <v>292</v>
      </c>
      <c r="Q116" s="2" t="e">
        <f t="shared" si="56"/>
        <v>#N/A</v>
      </c>
      <c r="R116" s="2" t="e">
        <f t="shared" si="57"/>
        <v>#N/A</v>
      </c>
      <c r="S116" s="2">
        <f t="shared" si="58"/>
        <v>0</v>
      </c>
      <c r="T116" s="2">
        <f t="shared" si="59"/>
        <v>1.8443048593638465E-2</v>
      </c>
      <c r="U116" s="2">
        <f t="shared" si="60"/>
        <v>0</v>
      </c>
      <c r="V116" s="2">
        <f t="shared" si="61"/>
        <v>0</v>
      </c>
      <c r="W116" s="11">
        <f t="shared" si="48"/>
        <v>4.6107621484096162E-3</v>
      </c>
      <c r="X116" s="2">
        <f t="shared" si="49"/>
        <v>0</v>
      </c>
      <c r="Y116" s="2">
        <f t="shared" si="50"/>
        <v>0.17025548006223612</v>
      </c>
      <c r="Z116" s="2">
        <f t="shared" si="51"/>
        <v>0</v>
      </c>
      <c r="AA116" s="2">
        <f t="shared" si="52"/>
        <v>0</v>
      </c>
      <c r="AB116" s="84">
        <f t="shared" si="55"/>
        <v>4.256387001555903E-2</v>
      </c>
      <c r="AD116" s="46">
        <v>0.16329216659172788</v>
      </c>
      <c r="AE116" s="46">
        <f t="shared" si="53"/>
        <v>0.12461579663653798</v>
      </c>
      <c r="AF116" s="46">
        <f t="shared" si="54"/>
        <v>3.8676369955189902E-2</v>
      </c>
    </row>
    <row r="117" spans="1:32">
      <c r="A117" s="1" t="s">
        <v>158</v>
      </c>
      <c r="B117" s="1" t="s">
        <v>293</v>
      </c>
      <c r="C117" t="e">
        <f>NA()</f>
        <v>#N/A</v>
      </c>
      <c r="D117" s="64">
        <v>1.8237464979301037</v>
      </c>
      <c r="E117" s="2">
        <v>18</v>
      </c>
      <c r="F117" s="78">
        <v>0.91621375918735837</v>
      </c>
      <c r="G117" s="2">
        <v>0.95964952139001936</v>
      </c>
      <c r="H117" s="46">
        <v>0.2632547860655079</v>
      </c>
      <c r="I117" s="46"/>
      <c r="J117" s="47">
        <v>39.203413377430927</v>
      </c>
      <c r="K117" s="47">
        <v>30.037422606586343</v>
      </c>
      <c r="L117">
        <v>5</v>
      </c>
      <c r="M117">
        <v>76.2</v>
      </c>
      <c r="O117" s="1" t="s">
        <v>158</v>
      </c>
      <c r="P117" s="1" t="s">
        <v>293</v>
      </c>
      <c r="Q117" s="2" t="e">
        <f t="shared" si="56"/>
        <v>#N/A</v>
      </c>
      <c r="R117" s="2">
        <f t="shared" si="57"/>
        <v>0.31762535020698957</v>
      </c>
      <c r="S117" s="2">
        <f t="shared" si="58"/>
        <v>0.82000000000000006</v>
      </c>
      <c r="T117" s="2">
        <f t="shared" si="59"/>
        <v>1</v>
      </c>
      <c r="U117" s="2">
        <f t="shared" si="60"/>
        <v>0.95964952139001936</v>
      </c>
      <c r="V117" s="2">
        <f t="shared" si="61"/>
        <v>0.56124202322415351</v>
      </c>
      <c r="W117" s="11">
        <f t="shared" si="48"/>
        <v>0.73170337896423254</v>
      </c>
      <c r="X117" s="2">
        <f t="shared" si="49"/>
        <v>0.19601706688715465</v>
      </c>
      <c r="Y117" s="2">
        <f t="shared" si="50"/>
        <v>0.28624889437980489</v>
      </c>
      <c r="Z117" s="2">
        <f t="shared" si="51"/>
        <v>0.125</v>
      </c>
      <c r="AA117" s="2">
        <f t="shared" si="52"/>
        <v>1</v>
      </c>
      <c r="AB117" s="84">
        <f t="shared" si="55"/>
        <v>0.40181649031673988</v>
      </c>
      <c r="AD117" s="46">
        <v>0.49125599093019628</v>
      </c>
      <c r="AE117" s="46">
        <f t="shared" si="53"/>
        <v>0.51684626177008586</v>
      </c>
      <c r="AF117" s="46">
        <f t="shared" si="54"/>
        <v>2.5590270839889573E-2</v>
      </c>
    </row>
    <row r="118" spans="1:32">
      <c r="A118" s="1" t="s">
        <v>180</v>
      </c>
      <c r="B118" s="1" t="s">
        <v>294</v>
      </c>
      <c r="C118" t="e">
        <f>NA()</f>
        <v>#N/A</v>
      </c>
      <c r="D118" s="64">
        <v>-5.8021218301500421E-2</v>
      </c>
      <c r="E118" s="2">
        <v>94.88</v>
      </c>
      <c r="F118" s="78">
        <v>0.56176679328550772</v>
      </c>
      <c r="G118" s="2">
        <v>0.20154741042213964</v>
      </c>
      <c r="H118" s="46">
        <v>0.22275404974773749</v>
      </c>
      <c r="I118" s="46"/>
      <c r="J118" s="47">
        <v>81.827705292559997</v>
      </c>
      <c r="K118" s="47">
        <v>29.305104797152527</v>
      </c>
      <c r="L118">
        <v>-6</v>
      </c>
      <c r="M118">
        <v>68.900000000000006</v>
      </c>
      <c r="O118" s="1" t="s">
        <v>180</v>
      </c>
      <c r="P118" s="1" t="s">
        <v>294</v>
      </c>
      <c r="Q118" s="2" t="e">
        <f t="shared" si="56"/>
        <v>#N/A</v>
      </c>
      <c r="R118" s="2">
        <f t="shared" si="57"/>
        <v>0.50580212183015005</v>
      </c>
      <c r="S118" s="2">
        <f t="shared" si="58"/>
        <v>5.1200000000000023E-2</v>
      </c>
      <c r="T118" s="2">
        <f t="shared" si="59"/>
        <v>0.93627798880917956</v>
      </c>
      <c r="U118" s="2">
        <f t="shared" si="60"/>
        <v>0.20154741042213964</v>
      </c>
      <c r="V118" s="2">
        <f t="shared" si="61"/>
        <v>0.62874325042043755</v>
      </c>
      <c r="W118" s="11">
        <f t="shared" si="48"/>
        <v>0.46471415429638141</v>
      </c>
      <c r="X118" s="2">
        <f t="shared" si="49"/>
        <v>0.40913852646279997</v>
      </c>
      <c r="Y118" s="2">
        <f t="shared" si="50"/>
        <v>0.27578721138789325</v>
      </c>
      <c r="Z118" s="2">
        <f t="shared" si="51"/>
        <v>0</v>
      </c>
      <c r="AA118" s="2">
        <f t="shared" si="52"/>
        <v>0.98428571428571432</v>
      </c>
      <c r="AB118" s="84">
        <f t="shared" si="55"/>
        <v>0.41730286303410191</v>
      </c>
      <c r="AD118" s="46">
        <v>0.49131395329259275</v>
      </c>
      <c r="AE118" s="46">
        <f t="shared" si="53"/>
        <v>0.4783126394739558</v>
      </c>
      <c r="AF118" s="46">
        <f t="shared" si="54"/>
        <v>1.300131381863695E-2</v>
      </c>
    </row>
    <row r="119" spans="1:32">
      <c r="A119" s="1" t="s">
        <v>55</v>
      </c>
      <c r="B119" s="1" t="s">
        <v>295</v>
      </c>
      <c r="C119" t="e">
        <f>NA()</f>
        <v>#N/A</v>
      </c>
      <c r="D119" s="64">
        <v>0.61763223422603697</v>
      </c>
      <c r="E119" s="2">
        <v>100</v>
      </c>
      <c r="F119" s="78">
        <v>6.8136553553370463E-2</v>
      </c>
      <c r="G119" s="2">
        <v>0.89746125947906374</v>
      </c>
      <c r="H119" s="46">
        <v>0.27135493332906202</v>
      </c>
      <c r="I119" s="46"/>
      <c r="J119" s="47">
        <v>80.004629522495364</v>
      </c>
      <c r="K119" s="47">
        <v>7.4085658032633033</v>
      </c>
      <c r="L119">
        <v>1</v>
      </c>
      <c r="M119">
        <v>0</v>
      </c>
      <c r="O119" s="1" t="s">
        <v>55</v>
      </c>
      <c r="P119" s="1" t="s">
        <v>295</v>
      </c>
      <c r="Q119" s="2" t="e">
        <f t="shared" si="56"/>
        <v>#N/A</v>
      </c>
      <c r="R119" s="2">
        <f t="shared" si="57"/>
        <v>0.43823677657739624</v>
      </c>
      <c r="S119" s="2">
        <f t="shared" si="58"/>
        <v>0</v>
      </c>
      <c r="T119" s="2">
        <f t="shared" si="59"/>
        <v>0.11356092258895077</v>
      </c>
      <c r="U119" s="2">
        <f t="shared" si="60"/>
        <v>0.89746125947906374</v>
      </c>
      <c r="V119" s="2">
        <f t="shared" si="61"/>
        <v>0.54774177778489663</v>
      </c>
      <c r="W119" s="11">
        <f t="shared" si="48"/>
        <v>0.39940014728606144</v>
      </c>
      <c r="X119" s="2">
        <f t="shared" si="49"/>
        <v>0.40002314761247681</v>
      </c>
      <c r="Y119" s="2">
        <f t="shared" si="50"/>
        <v>0</v>
      </c>
      <c r="Z119" s="2">
        <f t="shared" si="51"/>
        <v>2.5000000000000001E-2</v>
      </c>
      <c r="AA119" s="2">
        <f t="shared" si="52"/>
        <v>0</v>
      </c>
      <c r="AB119" s="84">
        <f t="shared" si="55"/>
        <v>0.10625578690311921</v>
      </c>
      <c r="AD119" s="46">
        <v>0.22453042071810311</v>
      </c>
      <c r="AE119" s="46">
        <f t="shared" si="53"/>
        <v>0.23668951458415935</v>
      </c>
      <c r="AF119" s="46">
        <f t="shared" si="54"/>
        <v>1.2159093866056236E-2</v>
      </c>
    </row>
    <row r="120" spans="1:32">
      <c r="A120" s="1" t="s">
        <v>137</v>
      </c>
      <c r="B120" s="1" t="s">
        <v>296</v>
      </c>
      <c r="C120" t="e">
        <f>NA()</f>
        <v>#N/A</v>
      </c>
      <c r="D120" s="64" t="e">
        <v>#N/A</v>
      </c>
      <c r="E120" s="2">
        <v>0</v>
      </c>
      <c r="F120" s="78">
        <v>6.2068892217988413E-2</v>
      </c>
      <c r="G120" s="2">
        <v>0.22222222222222224</v>
      </c>
      <c r="H120" s="46">
        <v>0.16200294527108183</v>
      </c>
      <c r="I120" s="46"/>
      <c r="J120" s="47">
        <v>250.80042454129807</v>
      </c>
      <c r="K120" s="47">
        <v>98.424471430049536</v>
      </c>
      <c r="L120">
        <v>4</v>
      </c>
      <c r="M120">
        <v>0</v>
      </c>
      <c r="O120" s="1" t="s">
        <v>137</v>
      </c>
      <c r="P120" s="1" t="s">
        <v>296</v>
      </c>
      <c r="Q120" s="2" t="e">
        <f t="shared" si="56"/>
        <v>#N/A</v>
      </c>
      <c r="R120" s="2" t="e">
        <f t="shared" si="57"/>
        <v>#N/A</v>
      </c>
      <c r="S120" s="2">
        <f t="shared" si="58"/>
        <v>1</v>
      </c>
      <c r="T120" s="2">
        <f t="shared" si="59"/>
        <v>0.10344815369664735</v>
      </c>
      <c r="U120" s="2">
        <f t="shared" si="60"/>
        <v>0.22222222222222224</v>
      </c>
      <c r="V120" s="2">
        <f t="shared" si="61"/>
        <v>0.72999509121486361</v>
      </c>
      <c r="W120" s="11">
        <f t="shared" si="48"/>
        <v>0.51391636678343333</v>
      </c>
      <c r="X120" s="2">
        <f t="shared" si="49"/>
        <v>1</v>
      </c>
      <c r="Y120" s="2">
        <f t="shared" si="50"/>
        <v>1</v>
      </c>
      <c r="Z120" s="2">
        <f t="shared" si="51"/>
        <v>0.1</v>
      </c>
      <c r="AA120" s="2">
        <f t="shared" si="52"/>
        <v>0</v>
      </c>
      <c r="AB120" s="84">
        <f t="shared" si="55"/>
        <v>0.52500000000000002</v>
      </c>
      <c r="AD120" s="46">
        <v>0.35765689792076594</v>
      </c>
      <c r="AE120" s="46">
        <f t="shared" si="53"/>
        <v>0.40161658739441058</v>
      </c>
      <c r="AF120" s="46">
        <f t="shared" si="54"/>
        <v>4.3959689473644648E-2</v>
      </c>
    </row>
    <row r="121" spans="1:32">
      <c r="A121" s="1" t="s">
        <v>152</v>
      </c>
      <c r="B121" s="1" t="s">
        <v>297</v>
      </c>
      <c r="C121" t="e">
        <f>NA()</f>
        <v>#N/A</v>
      </c>
      <c r="D121" s="64">
        <v>0.51668876729246693</v>
      </c>
      <c r="E121" s="2">
        <v>14.29</v>
      </c>
      <c r="F121" s="78">
        <v>0.45945574553477248</v>
      </c>
      <c r="G121" s="2">
        <v>0.17707250358307292</v>
      </c>
      <c r="H121" s="46">
        <v>0</v>
      </c>
      <c r="I121" s="46"/>
      <c r="J121" s="47">
        <v>55.815440085322862</v>
      </c>
      <c r="K121" s="47">
        <v>33.18623322294156</v>
      </c>
      <c r="L121">
        <v>13</v>
      </c>
      <c r="M121">
        <v>65.900000000000006</v>
      </c>
      <c r="O121" s="1" t="s">
        <v>152</v>
      </c>
      <c r="P121" s="1" t="s">
        <v>297</v>
      </c>
      <c r="Q121" s="2" t="e">
        <f t="shared" si="56"/>
        <v>#N/A</v>
      </c>
      <c r="R121" s="2">
        <f t="shared" si="57"/>
        <v>0.44833112327075331</v>
      </c>
      <c r="S121" s="2">
        <f t="shared" si="58"/>
        <v>0.85709999999999997</v>
      </c>
      <c r="T121" s="2">
        <f t="shared" si="59"/>
        <v>0.76575957589128751</v>
      </c>
      <c r="U121" s="2">
        <f t="shared" si="60"/>
        <v>0.17707250358307292</v>
      </c>
      <c r="V121" s="2">
        <f t="shared" si="61"/>
        <v>1</v>
      </c>
      <c r="W121" s="11">
        <f t="shared" si="48"/>
        <v>0.64965264054902272</v>
      </c>
      <c r="X121" s="2">
        <f t="shared" si="49"/>
        <v>0.27907720042661432</v>
      </c>
      <c r="Y121" s="2">
        <f t="shared" si="50"/>
        <v>0.33123190318487944</v>
      </c>
      <c r="Z121" s="2">
        <f t="shared" si="51"/>
        <v>0.32500000000000001</v>
      </c>
      <c r="AA121" s="2">
        <f t="shared" si="52"/>
        <v>0.9414285714285715</v>
      </c>
      <c r="AB121" s="84">
        <f t="shared" si="55"/>
        <v>0.46918441876001632</v>
      </c>
      <c r="AD121" s="46">
        <v>0.52008043469837306</v>
      </c>
      <c r="AE121" s="46">
        <f t="shared" si="53"/>
        <v>0.53354337304685251</v>
      </c>
      <c r="AF121" s="46">
        <f t="shared" si="54"/>
        <v>1.3462938348479447E-2</v>
      </c>
    </row>
    <row r="122" spans="1:32">
      <c r="A122" s="1" t="s">
        <v>8</v>
      </c>
      <c r="B122" s="1" t="s">
        <v>298</v>
      </c>
      <c r="C122" t="e">
        <f>NA()</f>
        <v>#N/A</v>
      </c>
      <c r="D122" s="64" t="e">
        <v>#N/A</v>
      </c>
      <c r="E122" s="2">
        <v>99.18</v>
      </c>
      <c r="F122" s="78">
        <v>2.7674629179866891E-2</v>
      </c>
      <c r="G122" s="2">
        <v>0.19286314315059502</v>
      </c>
      <c r="H122" s="46">
        <v>0.40893470779317154</v>
      </c>
      <c r="I122" s="46"/>
      <c r="J122" s="47">
        <v>-292.0543859509819</v>
      </c>
      <c r="K122" s="47">
        <v>51.035863904417546</v>
      </c>
      <c r="L122">
        <v>0</v>
      </c>
      <c r="M122">
        <v>0</v>
      </c>
      <c r="O122" s="1" t="s">
        <v>8</v>
      </c>
      <c r="P122" s="1" t="s">
        <v>298</v>
      </c>
      <c r="Q122" s="2" t="e">
        <f t="shared" si="56"/>
        <v>#N/A</v>
      </c>
      <c r="R122" s="2" t="e">
        <f t="shared" si="57"/>
        <v>#N/A</v>
      </c>
      <c r="S122" s="2">
        <f t="shared" si="58"/>
        <v>8.1999999999999851E-3</v>
      </c>
      <c r="T122" s="2">
        <f t="shared" si="59"/>
        <v>4.6124381966444819E-2</v>
      </c>
      <c r="U122" s="2">
        <f t="shared" si="60"/>
        <v>0.19286314315059502</v>
      </c>
      <c r="V122" s="2">
        <f t="shared" si="61"/>
        <v>0.3184421536780474</v>
      </c>
      <c r="W122" s="11">
        <f t="shared" si="48"/>
        <v>0.1414074196987718</v>
      </c>
      <c r="X122" s="2">
        <f t="shared" si="49"/>
        <v>0</v>
      </c>
      <c r="Y122" s="2">
        <f t="shared" si="50"/>
        <v>0.58622662720596497</v>
      </c>
      <c r="Z122" s="2">
        <f t="shared" si="51"/>
        <v>0</v>
      </c>
      <c r="AA122" s="2">
        <f t="shared" si="52"/>
        <v>0</v>
      </c>
      <c r="AB122" s="84">
        <f t="shared" si="55"/>
        <v>0.14655665680149124</v>
      </c>
      <c r="AD122" s="46">
        <v>0.24176157980365387</v>
      </c>
      <c r="AE122" s="46">
        <f t="shared" si="53"/>
        <v>0.21501641336325811</v>
      </c>
      <c r="AF122" s="46">
        <f t="shared" si="54"/>
        <v>2.6745166440395762E-2</v>
      </c>
    </row>
    <row r="123" spans="1:32">
      <c r="A123" s="1" t="s">
        <v>53</v>
      </c>
      <c r="B123" s="1" t="s">
        <v>299</v>
      </c>
      <c r="C123" t="e">
        <f>NA()</f>
        <v>#N/A</v>
      </c>
      <c r="D123" s="64" t="e">
        <v>#N/A</v>
      </c>
      <c r="E123" s="2">
        <v>21.82</v>
      </c>
      <c r="F123" s="78" t="e">
        <v>#N/A</v>
      </c>
      <c r="G123" s="2">
        <v>0.44031584281833291</v>
      </c>
      <c r="H123" s="46">
        <v>0.14972999535944065</v>
      </c>
      <c r="I123" s="46"/>
      <c r="J123" s="47">
        <v>42.057228587732908</v>
      </c>
      <c r="K123" s="47">
        <v>77.599015725391652</v>
      </c>
      <c r="L123">
        <v>30</v>
      </c>
      <c r="M123" t="e">
        <v>#N/A</v>
      </c>
      <c r="O123" s="1" t="s">
        <v>53</v>
      </c>
      <c r="P123" s="1" t="s">
        <v>299</v>
      </c>
      <c r="Q123" s="2" t="e">
        <f t="shared" si="56"/>
        <v>#N/A</v>
      </c>
      <c r="R123" s="2" t="e">
        <f t="shared" si="57"/>
        <v>#N/A</v>
      </c>
      <c r="S123" s="2">
        <f t="shared" si="58"/>
        <v>0.78180000000000005</v>
      </c>
      <c r="T123" s="2" t="e">
        <f t="shared" si="59"/>
        <v>#N/A</v>
      </c>
      <c r="U123" s="2">
        <f t="shared" si="60"/>
        <v>0.44031584281833291</v>
      </c>
      <c r="V123" s="2">
        <f t="shared" si="61"/>
        <v>0.75045000773426551</v>
      </c>
      <c r="W123" s="11">
        <f t="shared" si="48"/>
        <v>0.65752195018419946</v>
      </c>
      <c r="X123" s="2">
        <f t="shared" si="49"/>
        <v>0.21028614293866454</v>
      </c>
      <c r="Y123" s="2">
        <f t="shared" si="50"/>
        <v>0.96570022464845218</v>
      </c>
      <c r="Z123" s="2">
        <f t="shared" si="51"/>
        <v>0.75</v>
      </c>
      <c r="AA123" s="2" t="e">
        <f t="shared" si="52"/>
        <v>#N/A</v>
      </c>
      <c r="AB123" s="84">
        <f t="shared" si="55"/>
        <v>0.64199545586237228</v>
      </c>
      <c r="AD123" s="46">
        <v>0.4838241260904948</v>
      </c>
      <c r="AE123" s="46">
        <f t="shared" si="53"/>
        <v>0.52931426062249587</v>
      </c>
      <c r="AF123" s="46">
        <f t="shared" si="54"/>
        <v>4.549013453200107E-2</v>
      </c>
    </row>
    <row r="124" spans="1:32">
      <c r="A124" s="1" t="s">
        <v>131</v>
      </c>
      <c r="B124" s="1" t="s">
        <v>300</v>
      </c>
      <c r="C124" t="e">
        <f>NA()</f>
        <v>#N/A</v>
      </c>
      <c r="D124" s="64">
        <v>2.6485041230382209</v>
      </c>
      <c r="E124" s="2">
        <v>3.18</v>
      </c>
      <c r="F124" s="78">
        <v>0.40649893170441959</v>
      </c>
      <c r="G124" s="2">
        <v>0.22968404275409959</v>
      </c>
      <c r="H124" s="46">
        <v>0.2268041233795145</v>
      </c>
      <c r="I124" s="46"/>
      <c r="J124" s="47">
        <v>20.153501868937383</v>
      </c>
      <c r="K124" s="47">
        <v>50.933987751335607</v>
      </c>
      <c r="L124">
        <v>41</v>
      </c>
      <c r="M124" t="e">
        <v>#N/A</v>
      </c>
      <c r="O124" s="1" t="s">
        <v>131</v>
      </c>
      <c r="P124" s="1" t="s">
        <v>300</v>
      </c>
      <c r="Q124" s="2" t="e">
        <f t="shared" si="56"/>
        <v>#N/A</v>
      </c>
      <c r="R124" s="2">
        <f t="shared" si="57"/>
        <v>0.235149587696178</v>
      </c>
      <c r="S124" s="2">
        <f t="shared" si="58"/>
        <v>0.96819999999999995</v>
      </c>
      <c r="T124" s="2">
        <f t="shared" si="59"/>
        <v>0.677498219507366</v>
      </c>
      <c r="U124" s="2">
        <f t="shared" si="60"/>
        <v>0.22968404275409959</v>
      </c>
      <c r="V124" s="2">
        <f t="shared" si="61"/>
        <v>0.62199312770080917</v>
      </c>
      <c r="W124" s="11">
        <f t="shared" si="48"/>
        <v>0.54650499553169063</v>
      </c>
      <c r="X124" s="2">
        <f t="shared" si="49"/>
        <v>0.10076750934468691</v>
      </c>
      <c r="Y124" s="2">
        <f t="shared" si="50"/>
        <v>0.58477125359050863</v>
      </c>
      <c r="Z124" s="2">
        <f t="shared" si="51"/>
        <v>1</v>
      </c>
      <c r="AA124" s="2" t="e">
        <f t="shared" si="52"/>
        <v>#N/A</v>
      </c>
      <c r="AB124" s="84">
        <f t="shared" si="55"/>
        <v>0.56184625431173185</v>
      </c>
      <c r="AD124" s="46">
        <v>0.49900152521141444</v>
      </c>
      <c r="AE124" s="46">
        <f t="shared" si="53"/>
        <v>0.51381656363573724</v>
      </c>
      <c r="AF124" s="46">
        <f t="shared" si="54"/>
        <v>1.4815038424322802E-2</v>
      </c>
    </row>
    <row r="125" spans="1:32">
      <c r="A125" s="1" t="s">
        <v>130</v>
      </c>
      <c r="B125" s="1" t="s">
        <v>301</v>
      </c>
      <c r="C125" t="e">
        <f>NA()</f>
        <v>#N/A</v>
      </c>
      <c r="D125" s="64">
        <v>-2.5832554267536194</v>
      </c>
      <c r="E125" s="2">
        <v>28.29</v>
      </c>
      <c r="F125" s="78">
        <v>0.18565454632076969</v>
      </c>
      <c r="G125" s="2">
        <v>0.82715192823195027</v>
      </c>
      <c r="H125" s="46">
        <v>0.33186057977309757</v>
      </c>
      <c r="I125" s="46"/>
      <c r="J125" s="47">
        <v>30.582991749193727</v>
      </c>
      <c r="K125" s="47">
        <v>27.517020282348735</v>
      </c>
      <c r="L125">
        <v>3</v>
      </c>
      <c r="M125">
        <v>0</v>
      </c>
      <c r="O125" s="1" t="s">
        <v>130</v>
      </c>
      <c r="P125" s="1" t="s">
        <v>301</v>
      </c>
      <c r="Q125" s="2" t="e">
        <f t="shared" si="56"/>
        <v>#N/A</v>
      </c>
      <c r="R125" s="2">
        <f t="shared" si="57"/>
        <v>0.7583255426753619</v>
      </c>
      <c r="S125" s="2">
        <f t="shared" si="58"/>
        <v>0.71710000000000007</v>
      </c>
      <c r="T125" s="2">
        <f t="shared" si="59"/>
        <v>0.30942424386794948</v>
      </c>
      <c r="U125" s="2">
        <f t="shared" si="60"/>
        <v>0.82715192823195027</v>
      </c>
      <c r="V125" s="2">
        <f t="shared" si="61"/>
        <v>0.44689903371150397</v>
      </c>
      <c r="W125" s="11">
        <f t="shared" si="48"/>
        <v>0.61178014969735317</v>
      </c>
      <c r="X125" s="2">
        <f t="shared" si="49"/>
        <v>0.15291495874596864</v>
      </c>
      <c r="Y125" s="2">
        <f t="shared" si="50"/>
        <v>0.25024314689069621</v>
      </c>
      <c r="Z125" s="2">
        <f t="shared" si="51"/>
        <v>7.4999999999999997E-2</v>
      </c>
      <c r="AA125" s="2">
        <f t="shared" si="52"/>
        <v>0</v>
      </c>
      <c r="AB125" s="84">
        <f t="shared" si="55"/>
        <v>0.11953952640916622</v>
      </c>
      <c r="AD125" s="46">
        <v>0.24619163080071474</v>
      </c>
      <c r="AE125" s="46">
        <f t="shared" si="53"/>
        <v>0.28623206040426014</v>
      </c>
      <c r="AF125" s="46">
        <f t="shared" si="54"/>
        <v>4.0040429603545397E-2</v>
      </c>
    </row>
    <row r="126" spans="1:32">
      <c r="A126" s="1" t="s">
        <v>39</v>
      </c>
      <c r="B126" s="1" t="s">
        <v>302</v>
      </c>
      <c r="C126" t="e">
        <f>NA()</f>
        <v>#N/A</v>
      </c>
      <c r="D126" s="64">
        <v>-0.18031127881557829</v>
      </c>
      <c r="E126" s="2">
        <v>63</v>
      </c>
      <c r="F126" s="78">
        <v>3.953342169256379E-2</v>
      </c>
      <c r="G126" s="2">
        <v>0.64984640522875814</v>
      </c>
      <c r="H126" s="46">
        <v>0.46956308325351714</v>
      </c>
      <c r="I126" s="46"/>
      <c r="J126" s="47">
        <v>31.33958604526887</v>
      </c>
      <c r="K126" s="47">
        <v>22.052948343038501</v>
      </c>
      <c r="L126">
        <v>22</v>
      </c>
      <c r="M126">
        <v>14.4</v>
      </c>
      <c r="O126" s="1" t="s">
        <v>39</v>
      </c>
      <c r="P126" s="1" t="s">
        <v>302</v>
      </c>
      <c r="Q126" s="2" t="e">
        <f t="shared" si="56"/>
        <v>#N/A</v>
      </c>
      <c r="R126" s="2">
        <f t="shared" si="57"/>
        <v>0.51803112788155781</v>
      </c>
      <c r="S126" s="2">
        <f t="shared" si="58"/>
        <v>0.37</v>
      </c>
      <c r="T126" s="2">
        <f t="shared" si="59"/>
        <v>6.5889036154272981E-2</v>
      </c>
      <c r="U126" s="2">
        <f t="shared" si="60"/>
        <v>0.64984640522875814</v>
      </c>
      <c r="V126" s="2">
        <f t="shared" si="61"/>
        <v>0.21739486124413809</v>
      </c>
      <c r="W126" s="11">
        <f t="shared" si="48"/>
        <v>0.36423228610174541</v>
      </c>
      <c r="X126" s="2">
        <f t="shared" si="49"/>
        <v>0.15669793022634435</v>
      </c>
      <c r="Y126" s="2">
        <f t="shared" si="50"/>
        <v>0.17218497632912144</v>
      </c>
      <c r="Z126" s="2">
        <f t="shared" si="51"/>
        <v>0.55000000000000004</v>
      </c>
      <c r="AA126" s="2">
        <f t="shared" si="52"/>
        <v>0.20571428571428571</v>
      </c>
      <c r="AB126" s="84">
        <f t="shared" si="55"/>
        <v>0.27114929806743787</v>
      </c>
      <c r="AD126" s="46">
        <v>0.26106085115908445</v>
      </c>
      <c r="AE126" s="46">
        <f t="shared" si="53"/>
        <v>0.27791572880595472</v>
      </c>
      <c r="AF126" s="46">
        <f t="shared" si="54"/>
        <v>1.685487764687027E-2</v>
      </c>
    </row>
    <row r="127" spans="1:32">
      <c r="A127" s="1" t="s">
        <v>175</v>
      </c>
      <c r="B127" s="1" t="s">
        <v>303</v>
      </c>
      <c r="C127" t="e">
        <f>NA()</f>
        <v>#N/A</v>
      </c>
      <c r="D127" s="64" t="e">
        <v>#N/A</v>
      </c>
      <c r="E127" s="2">
        <v>18.47</v>
      </c>
      <c r="F127" s="78" t="e">
        <v>#N/A</v>
      </c>
      <c r="G127" s="2">
        <v>0.72896986806528941</v>
      </c>
      <c r="H127" s="46">
        <v>2.4300441790662264E-2</v>
      </c>
      <c r="I127" s="46"/>
      <c r="J127" s="47">
        <v>100.88170444687414</v>
      </c>
      <c r="K127" s="47">
        <v>27.725283083888069</v>
      </c>
      <c r="L127">
        <v>46</v>
      </c>
      <c r="M127" t="e">
        <v>#N/A</v>
      </c>
      <c r="O127" s="1" t="s">
        <v>175</v>
      </c>
      <c r="P127" s="1" t="s">
        <v>303</v>
      </c>
      <c r="Q127" s="2" t="e">
        <f t="shared" si="56"/>
        <v>#N/A</v>
      </c>
      <c r="R127" s="2" t="e">
        <f t="shared" si="57"/>
        <v>#N/A</v>
      </c>
      <c r="S127" s="2">
        <f t="shared" si="58"/>
        <v>0.81530000000000002</v>
      </c>
      <c r="T127" s="2" t="e">
        <f t="shared" si="59"/>
        <v>#N/A</v>
      </c>
      <c r="U127" s="2">
        <f t="shared" si="60"/>
        <v>0.72896986806528941</v>
      </c>
      <c r="V127" s="2">
        <f t="shared" si="61"/>
        <v>0.9594992636822296</v>
      </c>
      <c r="W127" s="11">
        <f t="shared" si="48"/>
        <v>0.83458971058250631</v>
      </c>
      <c r="X127" s="2">
        <f t="shared" si="49"/>
        <v>0.50440852223437072</v>
      </c>
      <c r="Y127" s="2">
        <f t="shared" si="50"/>
        <v>0.25321832976982955</v>
      </c>
      <c r="Z127" s="2">
        <f t="shared" si="51"/>
        <v>1</v>
      </c>
      <c r="AA127" s="2" t="e">
        <f t="shared" si="52"/>
        <v>#N/A</v>
      </c>
      <c r="AB127" s="84">
        <f t="shared" si="55"/>
        <v>0.58587561733473337</v>
      </c>
      <c r="AD127" s="46">
        <v>0.49977454810342098</v>
      </c>
      <c r="AE127" s="46">
        <f t="shared" si="53"/>
        <v>0.5609406114161688</v>
      </c>
      <c r="AF127" s="46">
        <f t="shared" si="54"/>
        <v>6.116606331274782E-2</v>
      </c>
    </row>
    <row r="128" spans="1:32">
      <c r="A128" s="1" t="s">
        <v>129</v>
      </c>
      <c r="B128" s="1" t="s">
        <v>304</v>
      </c>
      <c r="C128" t="e">
        <f>NA()</f>
        <v>#N/A</v>
      </c>
      <c r="D128" s="64">
        <v>7.8647651367695914E-3</v>
      </c>
      <c r="E128" s="2">
        <v>8.18</v>
      </c>
      <c r="F128" s="78">
        <v>0.39655211908556465</v>
      </c>
      <c r="G128" s="2">
        <v>0.27755129019667435</v>
      </c>
      <c r="H128" s="46">
        <v>2.4300441790662264E-2</v>
      </c>
      <c r="I128" s="46"/>
      <c r="J128" s="47">
        <v>681.67998204537628</v>
      </c>
      <c r="K128" s="47">
        <v>43.951160999691396</v>
      </c>
      <c r="L128">
        <v>11</v>
      </c>
      <c r="M128" t="e">
        <v>#N/A</v>
      </c>
      <c r="O128" s="1" t="s">
        <v>129</v>
      </c>
      <c r="P128" s="1" t="s">
        <v>304</v>
      </c>
      <c r="Q128" s="2" t="e">
        <f t="shared" si="56"/>
        <v>#N/A</v>
      </c>
      <c r="R128" s="2">
        <f t="shared" si="57"/>
        <v>0.49921352348632309</v>
      </c>
      <c r="S128" s="2">
        <f t="shared" si="58"/>
        <v>0.91820000000000002</v>
      </c>
      <c r="T128" s="2">
        <f t="shared" si="59"/>
        <v>0.66092019847594108</v>
      </c>
      <c r="U128" s="2">
        <f t="shared" si="60"/>
        <v>0.27755129019667435</v>
      </c>
      <c r="V128" s="2">
        <f t="shared" si="61"/>
        <v>0.9594992636822296</v>
      </c>
      <c r="W128" s="11">
        <f t="shared" si="48"/>
        <v>0.66307685516823356</v>
      </c>
      <c r="X128" s="2">
        <f t="shared" si="49"/>
        <v>1</v>
      </c>
      <c r="Y128" s="2">
        <f t="shared" si="50"/>
        <v>0.4850165857098771</v>
      </c>
      <c r="Z128" s="2">
        <f t="shared" si="51"/>
        <v>0.27500000000000002</v>
      </c>
      <c r="AA128" s="2" t="e">
        <f t="shared" si="52"/>
        <v>#N/A</v>
      </c>
      <c r="AB128" s="84">
        <f t="shared" si="55"/>
        <v>0.58667219523662573</v>
      </c>
      <c r="AD128" s="46">
        <v>0.25217108154261175</v>
      </c>
      <c r="AE128" s="46">
        <f t="shared" si="53"/>
        <v>0.35497512163061679</v>
      </c>
      <c r="AF128" s="46">
        <f t="shared" si="54"/>
        <v>0.10280404008800503</v>
      </c>
    </row>
    <row r="129" spans="1:32">
      <c r="A129" s="1" t="s">
        <v>2</v>
      </c>
      <c r="B129" s="1" t="s">
        <v>305</v>
      </c>
      <c r="C129" t="e">
        <f>NA()</f>
        <v>#N/A</v>
      </c>
      <c r="D129" s="64" t="e">
        <v>#N/A</v>
      </c>
      <c r="E129" s="2">
        <v>100</v>
      </c>
      <c r="F129" s="78" t="e">
        <v>#N/A</v>
      </c>
      <c r="G129" s="2">
        <v>0.5</v>
      </c>
      <c r="H129" s="46">
        <v>0.35616102156375984</v>
      </c>
      <c r="I129" s="46"/>
      <c r="J129" s="47">
        <v>2.6196080458309435E-11</v>
      </c>
      <c r="K129" s="47">
        <v>92.749526528535483</v>
      </c>
      <c r="L129">
        <v>0</v>
      </c>
      <c r="M129">
        <v>0</v>
      </c>
      <c r="O129" s="1" t="s">
        <v>2</v>
      </c>
      <c r="P129" s="1" t="s">
        <v>305</v>
      </c>
      <c r="Q129" s="2" t="e">
        <f t="shared" si="56"/>
        <v>#N/A</v>
      </c>
      <c r="R129" s="2" t="e">
        <f t="shared" si="57"/>
        <v>#N/A</v>
      </c>
      <c r="S129" s="2">
        <f t="shared" si="58"/>
        <v>0</v>
      </c>
      <c r="T129" s="2" t="e">
        <f t="shared" si="59"/>
        <v>#N/A</v>
      </c>
      <c r="U129" s="2">
        <f t="shared" si="60"/>
        <v>0.5</v>
      </c>
      <c r="V129" s="2">
        <f t="shared" si="61"/>
        <v>0.40639829739373357</v>
      </c>
      <c r="W129" s="11">
        <f t="shared" si="48"/>
        <v>0.30213276579791121</v>
      </c>
      <c r="X129" s="2">
        <f t="shared" si="49"/>
        <v>1.3098040229154717E-13</v>
      </c>
      <c r="Y129" s="2">
        <f t="shared" si="50"/>
        <v>1</v>
      </c>
      <c r="Z129" s="2">
        <f t="shared" si="51"/>
        <v>0</v>
      </c>
      <c r="AA129" s="2">
        <f t="shared" si="52"/>
        <v>0</v>
      </c>
      <c r="AB129" s="84">
        <f t="shared" si="55"/>
        <v>0.25000000000003275</v>
      </c>
      <c r="AD129" s="46">
        <v>0.24338732509046909</v>
      </c>
      <c r="AE129" s="46">
        <f t="shared" si="53"/>
        <v>0.25308968579275593</v>
      </c>
      <c r="AF129" s="46">
        <f t="shared" si="54"/>
        <v>9.702360702286833E-3</v>
      </c>
    </row>
    <row r="130" spans="1:32">
      <c r="A130" s="1" t="s">
        <v>66</v>
      </c>
      <c r="B130" s="1" t="s">
        <v>306</v>
      </c>
      <c r="C130" t="e">
        <f>NA()</f>
        <v>#N/A</v>
      </c>
      <c r="D130" s="64">
        <v>6.1496004913514923E-2</v>
      </c>
      <c r="E130" s="2">
        <v>28.18</v>
      </c>
      <c r="F130" s="78">
        <v>0.10502847640588335</v>
      </c>
      <c r="G130" s="2">
        <v>0.25793879932490926</v>
      </c>
      <c r="H130" s="46">
        <v>8.100147263554125E-3</v>
      </c>
      <c r="I130" s="46"/>
      <c r="J130" s="47">
        <v>401.04455373700614</v>
      </c>
      <c r="K130" s="47">
        <v>34.653109871112662</v>
      </c>
      <c r="L130">
        <v>10</v>
      </c>
      <c r="M130">
        <v>0</v>
      </c>
      <c r="O130" s="1" t="s">
        <v>66</v>
      </c>
      <c r="P130" s="1" t="s">
        <v>306</v>
      </c>
      <c r="Q130" s="2" t="e">
        <f t="shared" si="56"/>
        <v>#N/A</v>
      </c>
      <c r="R130" s="2">
        <f t="shared" si="57"/>
        <v>0.49385039950864851</v>
      </c>
      <c r="S130" s="2">
        <f t="shared" si="58"/>
        <v>0.71819999999999995</v>
      </c>
      <c r="T130" s="2">
        <f t="shared" si="59"/>
        <v>0.17504746067647226</v>
      </c>
      <c r="U130" s="2">
        <f t="shared" si="60"/>
        <v>0.25793879932490926</v>
      </c>
      <c r="V130" s="2">
        <f t="shared" si="61"/>
        <v>0.98649975456074313</v>
      </c>
      <c r="W130" s="11">
        <f t="shared" si="48"/>
        <v>0.52630728281415462</v>
      </c>
      <c r="X130" s="2">
        <f t="shared" si="49"/>
        <v>1</v>
      </c>
      <c r="Y130" s="2">
        <f t="shared" si="50"/>
        <v>0.35218728387303805</v>
      </c>
      <c r="Z130" s="2">
        <f t="shared" si="51"/>
        <v>0.25</v>
      </c>
      <c r="AA130" s="2">
        <f t="shared" si="52"/>
        <v>0</v>
      </c>
      <c r="AB130" s="84">
        <f t="shared" si="55"/>
        <v>0.4005468209682595</v>
      </c>
      <c r="AD130" s="46">
        <v>0.19640837186171958</v>
      </c>
      <c r="AE130" s="46">
        <f t="shared" si="53"/>
        <v>0.27113710977651762</v>
      </c>
      <c r="AF130" s="46">
        <f t="shared" si="54"/>
        <v>7.4728737914798032E-2</v>
      </c>
    </row>
    <row r="131" spans="1:32">
      <c r="A131" s="1" t="s">
        <v>94</v>
      </c>
      <c r="B131" s="1" t="s">
        <v>307</v>
      </c>
      <c r="C131" t="e">
        <f>NA()</f>
        <v>#N/A</v>
      </c>
      <c r="D131" s="64">
        <v>10.935823369371391</v>
      </c>
      <c r="E131" s="2">
        <v>69.47</v>
      </c>
      <c r="F131" s="78">
        <v>0.53442668399021132</v>
      </c>
      <c r="G131" s="2">
        <v>0.24318072080481432</v>
      </c>
      <c r="H131" s="46">
        <v>0.24705449153839976</v>
      </c>
      <c r="I131" s="46"/>
      <c r="J131" s="47">
        <v>17.179233450896575</v>
      </c>
      <c r="K131" s="47">
        <v>60.955426863525943</v>
      </c>
      <c r="L131">
        <v>32</v>
      </c>
      <c r="M131">
        <v>57.9</v>
      </c>
      <c r="O131" s="1" t="s">
        <v>94</v>
      </c>
      <c r="P131" s="1" t="s">
        <v>307</v>
      </c>
      <c r="Q131" s="2" t="e">
        <f t="shared" si="56"/>
        <v>#N/A</v>
      </c>
      <c r="R131" s="2">
        <f t="shared" si="57"/>
        <v>0</v>
      </c>
      <c r="S131" s="2">
        <f t="shared" si="58"/>
        <v>0.30530000000000002</v>
      </c>
      <c r="T131" s="2">
        <f t="shared" si="59"/>
        <v>0.89071113998368556</v>
      </c>
      <c r="U131" s="2">
        <f t="shared" si="60"/>
        <v>0.24318072080481432</v>
      </c>
      <c r="V131" s="2">
        <f t="shared" si="61"/>
        <v>0.58824251410266704</v>
      </c>
      <c r="W131" s="11">
        <f t="shared" si="48"/>
        <v>0.40548687497823332</v>
      </c>
      <c r="X131" s="2">
        <f t="shared" si="49"/>
        <v>8.5896167254482875E-2</v>
      </c>
      <c r="Y131" s="2">
        <f t="shared" si="50"/>
        <v>0.72793466947894203</v>
      </c>
      <c r="Z131" s="2">
        <f t="shared" si="51"/>
        <v>0.8</v>
      </c>
      <c r="AA131" s="2">
        <f t="shared" si="52"/>
        <v>0.82714285714285707</v>
      </c>
      <c r="AB131" s="84">
        <f t="shared" si="55"/>
        <v>0.61024342346907046</v>
      </c>
      <c r="AD131" s="46">
        <v>0.36911170244269492</v>
      </c>
      <c r="AE131" s="46">
        <f t="shared" si="53"/>
        <v>0.40385117961794326</v>
      </c>
      <c r="AF131" s="46">
        <f t="shared" si="54"/>
        <v>3.4739477175248334E-2</v>
      </c>
    </row>
    <row r="132" spans="1:32">
      <c r="A132" s="1" t="s">
        <v>87</v>
      </c>
      <c r="B132" s="1" t="s">
        <v>308</v>
      </c>
      <c r="C132" t="e">
        <f>NA()</f>
        <v>#N/A</v>
      </c>
      <c r="D132" s="64" t="e">
        <v>#N/A</v>
      </c>
      <c r="E132" s="2">
        <v>77.94</v>
      </c>
      <c r="F132" s="78" t="e">
        <v>#N/A</v>
      </c>
      <c r="G132" s="2" t="e">
        <v>#DIV/0!</v>
      </c>
      <c r="H132" s="46">
        <v>0</v>
      </c>
      <c r="I132" s="46"/>
      <c r="J132" s="47">
        <v>-340.78074027771993</v>
      </c>
      <c r="K132" s="47">
        <v>38.131775067966181</v>
      </c>
      <c r="L132">
        <v>10</v>
      </c>
      <c r="M132">
        <v>0</v>
      </c>
      <c r="O132" s="1" t="s">
        <v>87</v>
      </c>
      <c r="P132" s="1" t="s">
        <v>308</v>
      </c>
      <c r="Q132" s="2" t="e">
        <f t="shared" si="56"/>
        <v>#N/A</v>
      </c>
      <c r="R132" s="2" t="e">
        <f t="shared" si="57"/>
        <v>#N/A</v>
      </c>
      <c r="S132" s="2">
        <f t="shared" si="58"/>
        <v>0.22060000000000002</v>
      </c>
      <c r="T132" s="2" t="e">
        <f t="shared" si="59"/>
        <v>#N/A</v>
      </c>
      <c r="U132" s="2" t="e">
        <f t="shared" si="60"/>
        <v>#DIV/0!</v>
      </c>
      <c r="V132" s="2">
        <f t="shared" si="61"/>
        <v>1</v>
      </c>
      <c r="W132" s="11" t="e">
        <f t="shared" si="48"/>
        <v>#N/A</v>
      </c>
      <c r="X132" s="2">
        <f t="shared" si="49"/>
        <v>0</v>
      </c>
      <c r="Y132" s="2">
        <f t="shared" si="50"/>
        <v>0.40188250097094547</v>
      </c>
      <c r="Z132" s="2">
        <f t="shared" si="51"/>
        <v>0.25</v>
      </c>
      <c r="AA132" s="2">
        <f t="shared" si="52"/>
        <v>0</v>
      </c>
      <c r="AB132" s="84">
        <f t="shared" si="55"/>
        <v>0.16297062524273637</v>
      </c>
      <c r="AD132" s="46" t="e">
        <v>#N/A</v>
      </c>
      <c r="AE132" s="46" t="e">
        <f t="shared" si="53"/>
        <v>#N/A</v>
      </c>
      <c r="AF132" s="46" t="e">
        <f t="shared" si="54"/>
        <v>#N/A</v>
      </c>
    </row>
    <row r="133" spans="1:32">
      <c r="A133" s="1" t="s">
        <v>100</v>
      </c>
      <c r="B133" s="1" t="s">
        <v>309</v>
      </c>
      <c r="C133" t="e">
        <f>NA()</f>
        <v>#N/A</v>
      </c>
      <c r="D133" s="64">
        <v>-0.25958286560910759</v>
      </c>
      <c r="E133" s="2">
        <v>9.06</v>
      </c>
      <c r="F133" s="78">
        <v>0.12504705176616498</v>
      </c>
      <c r="G133" s="2">
        <v>0.24662421741003993</v>
      </c>
      <c r="H133" s="46">
        <v>0.47778595953338132</v>
      </c>
      <c r="I133" s="46"/>
      <c r="J133" s="47">
        <v>60.342447978475512</v>
      </c>
      <c r="K133" s="47">
        <v>18.124990770957091</v>
      </c>
      <c r="L133">
        <v>31</v>
      </c>
      <c r="M133">
        <v>13.1</v>
      </c>
      <c r="O133" s="1" t="s">
        <v>100</v>
      </c>
      <c r="P133" s="1" t="s">
        <v>309</v>
      </c>
      <c r="Q133" s="2" t="e">
        <f t="shared" si="56"/>
        <v>#N/A</v>
      </c>
      <c r="R133" s="2">
        <f t="shared" si="57"/>
        <v>0.52595828656091081</v>
      </c>
      <c r="S133" s="2">
        <f t="shared" si="58"/>
        <v>0.90939999999999999</v>
      </c>
      <c r="T133" s="2">
        <f t="shared" si="59"/>
        <v>0.20841175294360831</v>
      </c>
      <c r="U133" s="2">
        <f t="shared" si="60"/>
        <v>0.24662421741003993</v>
      </c>
      <c r="V133" s="2">
        <f t="shared" si="61"/>
        <v>0.20369006744436446</v>
      </c>
      <c r="W133" s="11">
        <f t="shared" si="48"/>
        <v>0.41881686487178466</v>
      </c>
      <c r="X133" s="2">
        <f t="shared" si="49"/>
        <v>0.30171223989237755</v>
      </c>
      <c r="Y133" s="2">
        <f t="shared" si="50"/>
        <v>0.11607129672795843</v>
      </c>
      <c r="Z133" s="2">
        <f t="shared" si="51"/>
        <v>0.77500000000000002</v>
      </c>
      <c r="AA133" s="2">
        <f t="shared" si="52"/>
        <v>0.18714285714285714</v>
      </c>
      <c r="AB133" s="84">
        <f t="shared" si="55"/>
        <v>0.34498159844079829</v>
      </c>
      <c r="AD133" s="46">
        <v>0.37661608330287599</v>
      </c>
      <c r="AE133" s="46">
        <f t="shared" si="53"/>
        <v>0.37917565810276188</v>
      </c>
      <c r="AF133" s="46">
        <f t="shared" si="54"/>
        <v>2.5595747998858887E-3</v>
      </c>
    </row>
    <row r="134" spans="1:32">
      <c r="A134" s="1" t="s">
        <v>142</v>
      </c>
      <c r="B134" s="1" t="s">
        <v>310</v>
      </c>
      <c r="C134" t="e">
        <f>NA()</f>
        <v>#N/A</v>
      </c>
      <c r="D134" s="64">
        <v>1.5052248251829043</v>
      </c>
      <c r="E134" s="2">
        <v>90.76</v>
      </c>
      <c r="F134" s="78">
        <v>0.34389202934716012</v>
      </c>
      <c r="G134" s="2">
        <v>0.33468331905743459</v>
      </c>
      <c r="H134" s="46">
        <v>0.14175257711219658</v>
      </c>
      <c r="I134" s="46"/>
      <c r="J134" s="47">
        <v>89.171907336970634</v>
      </c>
      <c r="K134" s="47">
        <v>18.422290093262593</v>
      </c>
      <c r="L134">
        <v>34</v>
      </c>
      <c r="M134">
        <v>80.5</v>
      </c>
      <c r="O134" s="1" t="s">
        <v>142</v>
      </c>
      <c r="P134" s="1" t="s">
        <v>310</v>
      </c>
      <c r="Q134" s="2" t="e">
        <f t="shared" si="56"/>
        <v>#N/A</v>
      </c>
      <c r="R134" s="2">
        <f t="shared" si="57"/>
        <v>0.34947751748170952</v>
      </c>
      <c r="S134" s="2">
        <f t="shared" si="58"/>
        <v>9.2399999999999927E-2</v>
      </c>
      <c r="T134" s="2">
        <f t="shared" si="59"/>
        <v>0.57315338224526691</v>
      </c>
      <c r="U134" s="2">
        <f t="shared" si="60"/>
        <v>0.33468331905743459</v>
      </c>
      <c r="V134" s="2">
        <f t="shared" si="61"/>
        <v>0.76374570481300563</v>
      </c>
      <c r="W134" s="11">
        <f t="shared" si="48"/>
        <v>0.42269198471948333</v>
      </c>
      <c r="X134" s="2">
        <f t="shared" si="49"/>
        <v>0.44585953668485317</v>
      </c>
      <c r="Y134" s="2">
        <f t="shared" si="50"/>
        <v>0.12031842990375133</v>
      </c>
      <c r="Z134" s="2">
        <f t="shared" si="51"/>
        <v>0.85</v>
      </c>
      <c r="AA134" s="2">
        <f t="shared" si="52"/>
        <v>1</v>
      </c>
      <c r="AB134" s="84">
        <f t="shared" si="55"/>
        <v>0.60404449164715113</v>
      </c>
      <c r="AD134" s="46">
        <v>0.54330046813420896</v>
      </c>
      <c r="AE134" s="46">
        <f t="shared" si="53"/>
        <v>0.53238936743657683</v>
      </c>
      <c r="AF134" s="46">
        <f t="shared" si="54"/>
        <v>1.0911100697632126E-2</v>
      </c>
    </row>
    <row r="135" spans="1:32">
      <c r="A135" s="1" t="s">
        <v>150</v>
      </c>
      <c r="B135" s="1" t="s">
        <v>311</v>
      </c>
      <c r="C135" t="e">
        <f>NA()</f>
        <v>#N/A</v>
      </c>
      <c r="D135" s="64">
        <v>0.35760616666627199</v>
      </c>
      <c r="E135" s="2">
        <v>34.119999999999997</v>
      </c>
      <c r="F135" s="78" t="e">
        <v>#N/A</v>
      </c>
      <c r="G135" s="2">
        <v>0.55755006322474365</v>
      </c>
      <c r="H135" s="46">
        <v>0.17010309253463585</v>
      </c>
      <c r="I135" s="46"/>
      <c r="J135" s="47">
        <v>259.77450754999688</v>
      </c>
      <c r="K135" s="47">
        <v>26.751218763089202</v>
      </c>
      <c r="L135">
        <v>7</v>
      </c>
      <c r="M135">
        <v>45.6</v>
      </c>
      <c r="O135" s="1" t="s">
        <v>150</v>
      </c>
      <c r="P135" s="1" t="s">
        <v>311</v>
      </c>
      <c r="Q135" s="2" t="e">
        <f t="shared" si="56"/>
        <v>#N/A</v>
      </c>
      <c r="R135" s="2">
        <f t="shared" si="57"/>
        <v>0.46423938333337278</v>
      </c>
      <c r="S135" s="2">
        <f t="shared" si="58"/>
        <v>0.65880000000000005</v>
      </c>
      <c r="T135" s="2" t="e">
        <f t="shared" si="59"/>
        <v>#N/A</v>
      </c>
      <c r="U135" s="2">
        <f t="shared" si="60"/>
        <v>0.55755006322474365</v>
      </c>
      <c r="V135" s="2">
        <f t="shared" si="61"/>
        <v>0.71649484577560685</v>
      </c>
      <c r="W135" s="11">
        <f t="shared" si="48"/>
        <v>0.59927107308343086</v>
      </c>
      <c r="X135" s="2">
        <f t="shared" si="49"/>
        <v>1</v>
      </c>
      <c r="Y135" s="2">
        <f t="shared" si="50"/>
        <v>0.2393031251869886</v>
      </c>
      <c r="Z135" s="2">
        <f t="shared" si="51"/>
        <v>0.17499999999999999</v>
      </c>
      <c r="AA135" s="2">
        <f t="shared" si="52"/>
        <v>0.65142857142857147</v>
      </c>
      <c r="AB135" s="84">
        <f t="shared" si="55"/>
        <v>0.51643292415389008</v>
      </c>
      <c r="AD135" s="46">
        <v>0.41540726652091875</v>
      </c>
      <c r="AE135" s="46">
        <f t="shared" si="53"/>
        <v>0.45551095328893221</v>
      </c>
      <c r="AF135" s="46">
        <f t="shared" si="54"/>
        <v>4.0103686768013458E-2</v>
      </c>
    </row>
    <row r="136" spans="1:32">
      <c r="A136" s="1" t="s">
        <v>141</v>
      </c>
      <c r="B136" s="1" t="s">
        <v>312</v>
      </c>
      <c r="C136" t="e">
        <f>NA()</f>
        <v>#N/A</v>
      </c>
      <c r="D136" s="64">
        <v>5.5238758195649487</v>
      </c>
      <c r="E136" s="2">
        <v>82.76</v>
      </c>
      <c r="F136" s="78">
        <v>0.13880423249957555</v>
      </c>
      <c r="G136" s="2">
        <v>0.31015338064435988</v>
      </c>
      <c r="H136" s="46">
        <v>0.17820323979818997</v>
      </c>
      <c r="I136" s="46"/>
      <c r="J136" s="47">
        <v>84.445920437792992</v>
      </c>
      <c r="K136" s="47">
        <v>40.730377857565948</v>
      </c>
      <c r="L136">
        <v>43</v>
      </c>
      <c r="M136">
        <v>33.5</v>
      </c>
      <c r="O136" s="1" t="s">
        <v>141</v>
      </c>
      <c r="P136" s="1" t="s">
        <v>312</v>
      </c>
      <c r="Q136" s="2" t="e">
        <f t="shared" si="56"/>
        <v>#N/A</v>
      </c>
      <c r="R136" s="2">
        <f t="shared" si="57"/>
        <v>0</v>
      </c>
      <c r="S136" s="2">
        <f t="shared" si="58"/>
        <v>0.1724</v>
      </c>
      <c r="T136" s="2">
        <f t="shared" si="59"/>
        <v>0.23134038749929259</v>
      </c>
      <c r="U136" s="2">
        <f t="shared" si="60"/>
        <v>0.31015338064435988</v>
      </c>
      <c r="V136" s="2">
        <f t="shared" si="61"/>
        <v>0.70299460033635008</v>
      </c>
      <c r="W136" s="11">
        <f t="shared" si="48"/>
        <v>0.28337767369600053</v>
      </c>
      <c r="X136" s="2">
        <f t="shared" si="49"/>
        <v>0.42222960218896494</v>
      </c>
      <c r="Y136" s="2">
        <f t="shared" si="50"/>
        <v>0.43900539796522781</v>
      </c>
      <c r="Z136" s="2">
        <f t="shared" si="51"/>
        <v>1</v>
      </c>
      <c r="AA136" s="2">
        <f t="shared" si="52"/>
        <v>0.47857142857142859</v>
      </c>
      <c r="AB136" s="84">
        <f t="shared" si="55"/>
        <v>0.58495160718140538</v>
      </c>
      <c r="AD136" s="46">
        <v>0.44252464240563311</v>
      </c>
      <c r="AE136" s="46">
        <f t="shared" si="53"/>
        <v>0.43567533984669149</v>
      </c>
      <c r="AF136" s="46">
        <f t="shared" si="54"/>
        <v>6.8493025589416168E-3</v>
      </c>
    </row>
    <row r="137" spans="1:32">
      <c r="A137" s="1" t="s">
        <v>1</v>
      </c>
      <c r="B137" s="1" t="s">
        <v>313</v>
      </c>
      <c r="C137" t="e">
        <f>NA()</f>
        <v>#N/A</v>
      </c>
      <c r="D137" s="64" t="e">
        <v>#N/A</v>
      </c>
      <c r="E137" s="2">
        <v>0</v>
      </c>
      <c r="F137" s="78" t="e">
        <v>#N/A</v>
      </c>
      <c r="G137" s="2" t="e">
        <v>#DIV/0!</v>
      </c>
      <c r="H137" s="46">
        <v>6.8851251740209785E-2</v>
      </c>
      <c r="I137" s="46"/>
      <c r="J137" s="47" t="e">
        <v>#N/A</v>
      </c>
      <c r="K137" s="47" t="e">
        <v>#N/A</v>
      </c>
      <c r="L137" t="e">
        <v>#N/A</v>
      </c>
      <c r="M137" t="e">
        <v>#N/A</v>
      </c>
      <c r="O137" s="1" t="s">
        <v>1</v>
      </c>
      <c r="P137" s="1" t="s">
        <v>313</v>
      </c>
      <c r="Q137" s="2" t="e">
        <f t="shared" si="56"/>
        <v>#N/A</v>
      </c>
      <c r="R137" s="2" t="e">
        <f t="shared" si="57"/>
        <v>#N/A</v>
      </c>
      <c r="S137" s="2">
        <f t="shared" si="58"/>
        <v>1</v>
      </c>
      <c r="T137" s="2" t="e">
        <f t="shared" si="59"/>
        <v>#N/A</v>
      </c>
      <c r="U137" s="2" t="e">
        <f t="shared" si="60"/>
        <v>#DIV/0!</v>
      </c>
      <c r="V137" s="2">
        <f t="shared" si="61"/>
        <v>0.88524791376631706</v>
      </c>
      <c r="W137" s="11" t="e">
        <f t="shared" si="48"/>
        <v>#N/A</v>
      </c>
      <c r="X137" s="2" t="e">
        <f t="shared" si="49"/>
        <v>#N/A</v>
      </c>
      <c r="Y137" s="2" t="e">
        <f t="shared" si="50"/>
        <v>#N/A</v>
      </c>
      <c r="Z137" s="2" t="e">
        <f t="shared" si="51"/>
        <v>#N/A</v>
      </c>
      <c r="AA137" s="2" t="e">
        <f t="shared" si="52"/>
        <v>#N/A</v>
      </c>
      <c r="AB137" s="84" t="e">
        <f t="shared" si="55"/>
        <v>#N/A</v>
      </c>
      <c r="AD137" s="46" t="e">
        <v>#N/A</v>
      </c>
      <c r="AE137" s="46" t="e">
        <f t="shared" si="53"/>
        <v>#N/A</v>
      </c>
      <c r="AF137" s="46" t="e">
        <f t="shared" si="54"/>
        <v>#N/A</v>
      </c>
    </row>
    <row r="138" spans="1:32">
      <c r="A138" s="1" t="s">
        <v>183</v>
      </c>
      <c r="B138" s="1" t="s">
        <v>314</v>
      </c>
      <c r="C138" t="e">
        <f>NA()</f>
        <v>#N/A</v>
      </c>
      <c r="D138" s="64">
        <v>-0.16132937328735825</v>
      </c>
      <c r="E138" s="2">
        <v>62.18</v>
      </c>
      <c r="F138" s="78">
        <v>0.73507597734729369</v>
      </c>
      <c r="G138" s="2">
        <v>0.48968825205325617</v>
      </c>
      <c r="H138" s="46">
        <v>0.2268041233795145</v>
      </c>
      <c r="I138" s="46"/>
      <c r="J138" s="47">
        <v>150.71273092790781</v>
      </c>
      <c r="K138" s="47">
        <v>19.019773906760161</v>
      </c>
      <c r="L138">
        <v>24</v>
      </c>
      <c r="M138">
        <v>58.1</v>
      </c>
      <c r="O138" s="1" t="s">
        <v>183</v>
      </c>
      <c r="P138" s="1" t="s">
        <v>314</v>
      </c>
      <c r="Q138" s="2" t="e">
        <f t="shared" si="56"/>
        <v>#N/A</v>
      </c>
      <c r="R138" s="2">
        <f t="shared" si="57"/>
        <v>0.51613293732873589</v>
      </c>
      <c r="S138" s="2">
        <f t="shared" si="58"/>
        <v>0.37819999999999998</v>
      </c>
      <c r="T138" s="2">
        <f t="shared" si="59"/>
        <v>1</v>
      </c>
      <c r="U138" s="2">
        <f t="shared" si="60"/>
        <v>0.48968825205325617</v>
      </c>
      <c r="V138" s="2">
        <f t="shared" si="61"/>
        <v>0.62199312770080917</v>
      </c>
      <c r="W138" s="11">
        <f t="shared" si="48"/>
        <v>0.60120286341656026</v>
      </c>
      <c r="X138" s="2">
        <f t="shared" si="49"/>
        <v>0.75356365463953912</v>
      </c>
      <c r="Y138" s="2">
        <f t="shared" si="50"/>
        <v>0.12885391295371659</v>
      </c>
      <c r="Z138" s="2">
        <f t="shared" si="51"/>
        <v>0.6</v>
      </c>
      <c r="AA138" s="2">
        <f t="shared" si="52"/>
        <v>0.83000000000000007</v>
      </c>
      <c r="AB138" s="84">
        <f t="shared" si="55"/>
        <v>0.57810439189831397</v>
      </c>
      <c r="AD138" s="46">
        <v>0.42609774035535936</v>
      </c>
      <c r="AE138" s="46">
        <f t="shared" si="53"/>
        <v>0.47105386827892975</v>
      </c>
      <c r="AF138" s="46">
        <f t="shared" si="54"/>
        <v>4.4956127923570399E-2</v>
      </c>
    </row>
    <row r="139" spans="1:32">
      <c r="A139" s="1" t="s">
        <v>28</v>
      </c>
      <c r="B139" s="1" t="s">
        <v>315</v>
      </c>
      <c r="C139" t="e">
        <f>NA()</f>
        <v>#N/A</v>
      </c>
      <c r="D139" s="64">
        <v>-2.1589911213059914</v>
      </c>
      <c r="E139" s="2">
        <v>71.88</v>
      </c>
      <c r="F139" s="78">
        <v>1.7219975290963075E-2</v>
      </c>
      <c r="G139" s="2">
        <v>6.8095752069085705E-2</v>
      </c>
      <c r="H139" s="46">
        <v>0.87407953036598152</v>
      </c>
      <c r="I139" s="46"/>
      <c r="J139" s="47">
        <v>132.35100673674296</v>
      </c>
      <c r="K139" s="47">
        <v>7.6165423380342716</v>
      </c>
      <c r="L139">
        <v>0</v>
      </c>
      <c r="M139">
        <v>0</v>
      </c>
      <c r="O139" s="1" t="s">
        <v>28</v>
      </c>
      <c r="P139" s="1" t="s">
        <v>315</v>
      </c>
      <c r="Q139" s="2" t="e">
        <f t="shared" si="56"/>
        <v>#N/A</v>
      </c>
      <c r="R139" s="2">
        <f t="shared" si="57"/>
        <v>0.71589911213059909</v>
      </c>
      <c r="S139" s="2">
        <f t="shared" si="58"/>
        <v>0.28120000000000001</v>
      </c>
      <c r="T139" s="2">
        <f t="shared" si="59"/>
        <v>2.8699958818271792E-2</v>
      </c>
      <c r="U139" s="2">
        <f t="shared" si="60"/>
        <v>6.8095752069085705E-2</v>
      </c>
      <c r="V139" s="2">
        <f t="shared" si="61"/>
        <v>0</v>
      </c>
      <c r="W139" s="11">
        <f t="shared" si="48"/>
        <v>0.21877896460359131</v>
      </c>
      <c r="X139" s="2">
        <f t="shared" si="49"/>
        <v>0.6617550336837148</v>
      </c>
      <c r="Y139" s="2">
        <f t="shared" si="50"/>
        <v>0</v>
      </c>
      <c r="Z139" s="2">
        <f t="shared" si="51"/>
        <v>0</v>
      </c>
      <c r="AA139" s="2">
        <f t="shared" si="52"/>
        <v>0</v>
      </c>
      <c r="AB139" s="84">
        <f t="shared" si="55"/>
        <v>0.1654387584209287</v>
      </c>
      <c r="AD139" s="46">
        <v>0.20179266301501289</v>
      </c>
      <c r="AE139" s="46">
        <f t="shared" si="53"/>
        <v>0.19995981118369641</v>
      </c>
      <c r="AF139" s="46">
        <f t="shared" si="54"/>
        <v>1.8328518313164843E-3</v>
      </c>
    </row>
    <row r="140" spans="1:32">
      <c r="A140" s="1" t="s">
        <v>19</v>
      </c>
      <c r="B140" s="1" t="s">
        <v>316</v>
      </c>
      <c r="C140" t="e">
        <f>NA()</f>
        <v>#N/A</v>
      </c>
      <c r="D140" s="64">
        <v>7.4428297848557037</v>
      </c>
      <c r="E140" s="2">
        <v>83.94</v>
      </c>
      <c r="F140" s="78">
        <v>0.19843317020507076</v>
      </c>
      <c r="G140" s="2">
        <v>0.57834432606122099</v>
      </c>
      <c r="H140" s="46">
        <v>0.53019145871386275</v>
      </c>
      <c r="I140" s="46"/>
      <c r="J140" s="47">
        <v>11.5510955642463</v>
      </c>
      <c r="K140" s="47">
        <v>37.044005323415199</v>
      </c>
      <c r="L140" t="e">
        <v>#N/A</v>
      </c>
      <c r="M140">
        <v>0</v>
      </c>
      <c r="O140" s="1" t="s">
        <v>19</v>
      </c>
      <c r="P140" s="1" t="s">
        <v>316</v>
      </c>
      <c r="Q140" s="2" t="e">
        <f t="shared" si="56"/>
        <v>#N/A</v>
      </c>
      <c r="R140" s="2">
        <f t="shared" si="57"/>
        <v>0</v>
      </c>
      <c r="S140" s="2">
        <f t="shared" si="58"/>
        <v>0.16060000000000008</v>
      </c>
      <c r="T140" s="2">
        <f t="shared" si="59"/>
        <v>0.33072195034178459</v>
      </c>
      <c r="U140" s="2">
        <f t="shared" si="60"/>
        <v>0.57834432606122099</v>
      </c>
      <c r="V140" s="2">
        <f t="shared" si="61"/>
        <v>0.11634756881022867</v>
      </c>
      <c r="W140" s="11">
        <f t="shared" si="48"/>
        <v>0.23720276904264687</v>
      </c>
      <c r="X140" s="2">
        <f t="shared" si="49"/>
        <v>5.7755477821231499E-2</v>
      </c>
      <c r="Y140" s="2">
        <f t="shared" si="50"/>
        <v>0.3863429331916457</v>
      </c>
      <c r="Z140" s="2" t="e">
        <f t="shared" si="51"/>
        <v>#N/A</v>
      </c>
      <c r="AA140" s="2">
        <f t="shared" si="52"/>
        <v>0</v>
      </c>
      <c r="AB140" s="84">
        <f t="shared" si="55"/>
        <v>0.14803280367095906</v>
      </c>
      <c r="AD140" s="46">
        <v>0.20706850003516575</v>
      </c>
      <c r="AE140" s="46">
        <f t="shared" si="53"/>
        <v>0.20447845638609238</v>
      </c>
      <c r="AF140" s="46">
        <f t="shared" si="54"/>
        <v>2.5900436490733647E-3</v>
      </c>
    </row>
    <row r="141" spans="1:32">
      <c r="A141" s="1" t="s">
        <v>93</v>
      </c>
      <c r="B141" s="1" t="s">
        <v>317</v>
      </c>
      <c r="C141" t="e">
        <f>NA()</f>
        <v>#N/A</v>
      </c>
      <c r="D141" s="64">
        <v>1.1017674533970849</v>
      </c>
      <c r="E141" s="2">
        <v>91.12</v>
      </c>
      <c r="F141" s="78">
        <v>0.40054132593119768</v>
      </c>
      <c r="G141" s="2">
        <v>0.18760447235935152</v>
      </c>
      <c r="H141" s="46">
        <v>0.23490427064306862</v>
      </c>
      <c r="I141" s="46"/>
      <c r="J141" s="47">
        <v>36.136475092173391</v>
      </c>
      <c r="K141" s="47">
        <v>28.451457810132535</v>
      </c>
      <c r="L141">
        <v>26</v>
      </c>
      <c r="M141">
        <v>45.5</v>
      </c>
      <c r="O141" s="1" t="s">
        <v>93</v>
      </c>
      <c r="P141" s="1" t="s">
        <v>317</v>
      </c>
      <c r="Q141" s="2" t="e">
        <f t="shared" si="56"/>
        <v>#N/A</v>
      </c>
      <c r="R141" s="2">
        <f t="shared" si="57"/>
        <v>0.38982325466029155</v>
      </c>
      <c r="S141" s="2">
        <f t="shared" si="58"/>
        <v>8.879999999999999E-2</v>
      </c>
      <c r="T141" s="2">
        <f t="shared" si="59"/>
        <v>0.66756887655199615</v>
      </c>
      <c r="U141" s="2">
        <f t="shared" si="60"/>
        <v>0.18760447235935152</v>
      </c>
      <c r="V141" s="2">
        <f t="shared" si="61"/>
        <v>0.60849288226155229</v>
      </c>
      <c r="W141" s="11">
        <f t="shared" si="48"/>
        <v>0.38845789716663831</v>
      </c>
      <c r="X141" s="2">
        <f t="shared" si="49"/>
        <v>0.18068237546086696</v>
      </c>
      <c r="Y141" s="2">
        <f t="shared" si="50"/>
        <v>0.2635922544304648</v>
      </c>
      <c r="Z141" s="2">
        <f t="shared" si="51"/>
        <v>0.65</v>
      </c>
      <c r="AA141" s="2">
        <f t="shared" si="52"/>
        <v>0.65</v>
      </c>
      <c r="AB141" s="84">
        <f t="shared" si="55"/>
        <v>0.43606865747283297</v>
      </c>
      <c r="AD141" s="46">
        <v>0.29926217388984111</v>
      </c>
      <c r="AE141" s="46">
        <f t="shared" si="53"/>
        <v>0.32935928148729426</v>
      </c>
      <c r="AF141" s="46">
        <f t="shared" si="54"/>
        <v>3.0097107597453154E-2</v>
      </c>
    </row>
    <row r="142" spans="1:32">
      <c r="A142" s="1" t="s">
        <v>185</v>
      </c>
      <c r="B142" s="1" t="s">
        <v>318</v>
      </c>
      <c r="C142" t="e">
        <f>NA()</f>
        <v>#N/A</v>
      </c>
      <c r="D142" s="64" t="e">
        <v>#N/A</v>
      </c>
      <c r="E142" s="2">
        <v>41.59</v>
      </c>
      <c r="F142" s="78">
        <v>0.52608520875706255</v>
      </c>
      <c r="G142" s="2">
        <v>0.15789691467619571</v>
      </c>
      <c r="H142" s="46">
        <v>0.33615611143749469</v>
      </c>
      <c r="I142" s="46"/>
      <c r="J142" s="47">
        <v>13.560203078642019</v>
      </c>
      <c r="K142" s="47">
        <v>40.443449398508676</v>
      </c>
      <c r="L142">
        <v>30</v>
      </c>
      <c r="M142">
        <v>81.7</v>
      </c>
      <c r="O142" s="1" t="s">
        <v>185</v>
      </c>
      <c r="P142" s="1" t="s">
        <v>318</v>
      </c>
      <c r="Q142" s="2" t="e">
        <f t="shared" si="56"/>
        <v>#N/A</v>
      </c>
      <c r="R142" s="2" t="e">
        <f t="shared" si="57"/>
        <v>#N/A</v>
      </c>
      <c r="S142" s="2">
        <f t="shared" si="58"/>
        <v>0.58409999999999995</v>
      </c>
      <c r="T142" s="2">
        <f t="shared" si="59"/>
        <v>0.87680868126177092</v>
      </c>
      <c r="U142" s="2">
        <f t="shared" si="60"/>
        <v>0.15789691467619571</v>
      </c>
      <c r="V142" s="2">
        <f t="shared" si="61"/>
        <v>0.43973981427084219</v>
      </c>
      <c r="W142" s="11">
        <f t="shared" si="48"/>
        <v>0.51463635255220219</v>
      </c>
      <c r="X142" s="2">
        <f t="shared" si="49"/>
        <v>6.7801015393210096E-2</v>
      </c>
      <c r="Y142" s="2">
        <f t="shared" si="50"/>
        <v>0.43490641997869539</v>
      </c>
      <c r="Z142" s="2">
        <f t="shared" si="51"/>
        <v>0.75</v>
      </c>
      <c r="AA142" s="2">
        <f t="shared" si="52"/>
        <v>1</v>
      </c>
      <c r="AB142" s="84">
        <f t="shared" si="55"/>
        <v>0.56317685884297641</v>
      </c>
      <c r="AD142" s="46">
        <v>0.53411907811809445</v>
      </c>
      <c r="AE142" s="46">
        <f t="shared" si="53"/>
        <v>0.53468930524142988</v>
      </c>
      <c r="AF142" s="46">
        <f t="shared" si="54"/>
        <v>5.7022712333543168E-4</v>
      </c>
    </row>
    <row r="143" spans="1:32">
      <c r="A143" s="1" t="s">
        <v>118</v>
      </c>
      <c r="B143" s="1" t="s">
        <v>319</v>
      </c>
      <c r="C143" t="e">
        <f>NA()</f>
        <v>#N/A</v>
      </c>
      <c r="D143" s="64">
        <v>-0.16658527828743064</v>
      </c>
      <c r="E143" s="2">
        <v>75.94</v>
      </c>
      <c r="F143" s="78">
        <v>0.31892229824070034</v>
      </c>
      <c r="G143" s="2">
        <v>0.5339488512346825</v>
      </c>
      <c r="H143" s="46">
        <v>0.30780559601505542</v>
      </c>
      <c r="I143" s="46"/>
      <c r="J143" s="47">
        <v>57.899274825367911</v>
      </c>
      <c r="K143" s="47">
        <v>13.407321424009483</v>
      </c>
      <c r="L143">
        <v>8</v>
      </c>
      <c r="M143">
        <v>62.7</v>
      </c>
      <c r="O143" s="1" t="s">
        <v>118</v>
      </c>
      <c r="P143" s="1" t="s">
        <v>319</v>
      </c>
      <c r="Q143" s="2" t="e">
        <f t="shared" si="56"/>
        <v>#N/A</v>
      </c>
      <c r="R143" s="2">
        <f t="shared" si="57"/>
        <v>0.51665852782874311</v>
      </c>
      <c r="S143" s="2">
        <f t="shared" si="58"/>
        <v>0.24060000000000004</v>
      </c>
      <c r="T143" s="2">
        <f t="shared" si="59"/>
        <v>0.53153716373450055</v>
      </c>
      <c r="U143" s="2">
        <f t="shared" si="60"/>
        <v>0.5339488512346825</v>
      </c>
      <c r="V143" s="2">
        <f t="shared" si="61"/>
        <v>0.48699067330824097</v>
      </c>
      <c r="W143" s="11">
        <f t="shared" si="48"/>
        <v>0.46194704322123348</v>
      </c>
      <c r="X143" s="2">
        <f t="shared" si="49"/>
        <v>0.28949637412683954</v>
      </c>
      <c r="Y143" s="2">
        <f t="shared" si="50"/>
        <v>4.8676020342992614E-2</v>
      </c>
      <c r="Z143" s="2">
        <f t="shared" si="51"/>
        <v>0.2</v>
      </c>
      <c r="AA143" s="2">
        <f t="shared" si="52"/>
        <v>0.8957142857142858</v>
      </c>
      <c r="AB143" s="84">
        <f t="shared" si="55"/>
        <v>0.35847167004602953</v>
      </c>
      <c r="AD143" s="46">
        <v>0.47043153061902648</v>
      </c>
      <c r="AE143" s="46">
        <f t="shared" si="53"/>
        <v>0.45557511003475515</v>
      </c>
      <c r="AF143" s="46">
        <f t="shared" si="54"/>
        <v>1.4856420584271335E-2</v>
      </c>
    </row>
    <row r="144" spans="1:32">
      <c r="A144" s="1" t="s">
        <v>38</v>
      </c>
      <c r="B144" s="1" t="s">
        <v>320</v>
      </c>
      <c r="C144" t="e">
        <f>NA()</f>
        <v>#N/A</v>
      </c>
      <c r="D144" s="64">
        <v>2.2051122142731772</v>
      </c>
      <c r="E144" s="2">
        <v>74.47</v>
      </c>
      <c r="F144" s="78">
        <v>2.0221343580614764E-2</v>
      </c>
      <c r="G144" s="2">
        <v>0.12477695872502481</v>
      </c>
      <c r="H144" s="46">
        <v>0.82155130216918992</v>
      </c>
      <c r="I144" s="46"/>
      <c r="J144" s="47">
        <v>6.6475730241821118</v>
      </c>
      <c r="K144" s="47">
        <v>23.435705593123892</v>
      </c>
      <c r="L144">
        <v>0</v>
      </c>
      <c r="M144">
        <v>0</v>
      </c>
      <c r="O144" s="1" t="s">
        <v>38</v>
      </c>
      <c r="P144" s="1" t="s">
        <v>320</v>
      </c>
      <c r="Q144" s="2" t="e">
        <f t="shared" si="56"/>
        <v>#N/A</v>
      </c>
      <c r="R144" s="2">
        <f t="shared" si="57"/>
        <v>0.27948877857268228</v>
      </c>
      <c r="S144" s="2">
        <f t="shared" si="58"/>
        <v>0.25529999999999997</v>
      </c>
      <c r="T144" s="2">
        <f t="shared" si="59"/>
        <v>3.370223930102461E-2</v>
      </c>
      <c r="U144" s="2">
        <f t="shared" si="60"/>
        <v>0.12477695872502481</v>
      </c>
      <c r="V144" s="2">
        <f t="shared" si="61"/>
        <v>0</v>
      </c>
      <c r="W144" s="11">
        <f t="shared" si="48"/>
        <v>0.13865359531974633</v>
      </c>
      <c r="X144" s="2">
        <f t="shared" si="49"/>
        <v>3.3237865120910558E-2</v>
      </c>
      <c r="Y144" s="2">
        <f t="shared" si="50"/>
        <v>0.1919386513303413</v>
      </c>
      <c r="Z144" s="2">
        <f t="shared" si="51"/>
        <v>0</v>
      </c>
      <c r="AA144" s="2">
        <f t="shared" si="52"/>
        <v>0</v>
      </c>
      <c r="AB144" s="84">
        <f t="shared" si="55"/>
        <v>5.6294129112812966E-2</v>
      </c>
      <c r="AD144" s="46">
        <v>0.15035367206743214</v>
      </c>
      <c r="AE144" s="46">
        <f t="shared" si="53"/>
        <v>0.13717977644449558</v>
      </c>
      <c r="AF144" s="46">
        <f t="shared" si="54"/>
        <v>1.3173895622936554E-2</v>
      </c>
    </row>
    <row r="145" spans="1:32">
      <c r="A145" s="1" t="s">
        <v>52</v>
      </c>
      <c r="B145" s="1" t="s">
        <v>321</v>
      </c>
      <c r="C145" t="e">
        <f>NA()</f>
        <v>#N/A</v>
      </c>
      <c r="D145" s="64">
        <v>-0.22073856445517714</v>
      </c>
      <c r="E145" s="2">
        <v>62.18</v>
      </c>
      <c r="F145" s="78">
        <v>6.2160587148803251E-2</v>
      </c>
      <c r="G145" s="2">
        <v>0.2706336590498995</v>
      </c>
      <c r="H145" s="46">
        <v>0</v>
      </c>
      <c r="I145" s="46"/>
      <c r="J145" s="47">
        <v>2.1808422023822356</v>
      </c>
      <c r="K145" s="47">
        <v>32.625026832972409</v>
      </c>
      <c r="L145">
        <v>36</v>
      </c>
      <c r="M145">
        <v>0</v>
      </c>
      <c r="O145" s="1" t="s">
        <v>52</v>
      </c>
      <c r="P145" s="1" t="s">
        <v>321</v>
      </c>
      <c r="Q145" s="2" t="e">
        <f t="shared" si="56"/>
        <v>#N/A</v>
      </c>
      <c r="R145" s="2">
        <f t="shared" si="57"/>
        <v>0.52207385644551763</v>
      </c>
      <c r="S145" s="2">
        <f t="shared" si="58"/>
        <v>0.37819999999999998</v>
      </c>
      <c r="T145" s="2">
        <f t="shared" si="59"/>
        <v>0.10360097858133875</v>
      </c>
      <c r="U145" s="2">
        <f t="shared" si="60"/>
        <v>0.2706336590498995</v>
      </c>
      <c r="V145" s="2">
        <f t="shared" si="61"/>
        <v>1</v>
      </c>
      <c r="W145" s="11">
        <f t="shared" ref="W145:W207" si="62">IF(COUNT(Q145:V145)&gt;$W$13,mmean(Q145:V145),NA())</f>
        <v>0.45490169881535109</v>
      </c>
      <c r="X145" s="2">
        <f t="shared" ref="X145:X207" si="63">IF(J$14&lt;&gt;1,MIN(1,MAX(0,(J145-J$12)/(J$13-J$12))),1-MIN(1,MAX(0,(J145-J$12)/(J$13-J$12))))</f>
        <v>1.0904211011911177E-2</v>
      </c>
      <c r="Y145" s="2">
        <f t="shared" ref="Y145:Y207" si="64">IF(K$14&lt;&gt;1,MIN(1,MAX(0,(K145-K$12)/(K$13-K$12))),1-MIN(1,MAX(0,(K145-K$12)/(K$13-K$12))))</f>
        <v>0.32321466904246299</v>
      </c>
      <c r="Z145" s="2">
        <f t="shared" ref="Z145:Z207" si="65">IF(L$14&lt;&gt;1,MIN(1,MAX(0,(L145-L$12)/(L$13-L$12))),1-MIN(1,MAX(0,(L145-L$12)/(L$13-L$12))))</f>
        <v>0.9</v>
      </c>
      <c r="AA145" s="2">
        <f t="shared" ref="AA145:AA207" si="66">IF(M$14&lt;&gt;1,MIN(1,MAX(0,(M145-M$12)/(M$13-M$12))),1-MIN(1,MAX(0,(M145-M$12)/(M$13-M$12))))</f>
        <v>0</v>
      </c>
      <c r="AB145" s="84">
        <f t="shared" si="55"/>
        <v>0.30852972001359358</v>
      </c>
      <c r="AD145" s="46">
        <v>0.26003987695621089</v>
      </c>
      <c r="AE145" s="46">
        <f t="shared" ref="AE145:AE207" si="67">(24*AD145+5*W145+4*AB145)/33</f>
        <v>0.2954419521539452</v>
      </c>
      <c r="AF145" s="46">
        <f t="shared" ref="AF145:AF207" si="68">ABS(AD145-AE145)</f>
        <v>3.5402075197734306E-2</v>
      </c>
    </row>
    <row r="146" spans="1:32">
      <c r="A146" s="1" t="s">
        <v>143</v>
      </c>
      <c r="B146" s="1" t="s">
        <v>322</v>
      </c>
      <c r="C146" t="e">
        <f>NA()</f>
        <v>#N/A</v>
      </c>
      <c r="D146" s="64">
        <v>-0.11369037036881668</v>
      </c>
      <c r="E146" s="2">
        <v>58.88</v>
      </c>
      <c r="F146" s="78">
        <v>0.39458916258119919</v>
      </c>
      <c r="G146" s="2">
        <v>0.34048467319893616</v>
      </c>
      <c r="H146" s="46">
        <v>0.37260677412348819</v>
      </c>
      <c r="I146" s="46"/>
      <c r="J146" s="47">
        <v>63.376444844043093</v>
      </c>
      <c r="K146" s="47">
        <v>20.434196799721054</v>
      </c>
      <c r="L146">
        <v>43</v>
      </c>
      <c r="M146">
        <v>46.6</v>
      </c>
      <c r="O146" s="1" t="s">
        <v>143</v>
      </c>
      <c r="P146" s="1" t="s">
        <v>322</v>
      </c>
      <c r="Q146" s="2" t="e">
        <f t="shared" si="56"/>
        <v>#N/A</v>
      </c>
      <c r="R146" s="2">
        <f t="shared" si="57"/>
        <v>0.51136903703688164</v>
      </c>
      <c r="S146" s="2">
        <f t="shared" si="58"/>
        <v>0.41120000000000001</v>
      </c>
      <c r="T146" s="2">
        <f t="shared" si="59"/>
        <v>0.65764860430199867</v>
      </c>
      <c r="U146" s="2">
        <f t="shared" si="60"/>
        <v>0.34048467319893616</v>
      </c>
      <c r="V146" s="2">
        <f t="shared" si="61"/>
        <v>0.37898870979418631</v>
      </c>
      <c r="W146" s="11">
        <f t="shared" si="62"/>
        <v>0.45993820486640058</v>
      </c>
      <c r="X146" s="2">
        <f t="shared" si="63"/>
        <v>0.31688222422021545</v>
      </c>
      <c r="Y146" s="2">
        <f t="shared" si="64"/>
        <v>0.14905995428172933</v>
      </c>
      <c r="Z146" s="2">
        <f t="shared" si="65"/>
        <v>1</v>
      </c>
      <c r="AA146" s="2">
        <f t="shared" si="66"/>
        <v>0.6657142857142857</v>
      </c>
      <c r="AB146" s="84">
        <f t="shared" ref="AB146:AB207" si="69">IF(COUNT(X146:AA146)&gt;$AB$13,mmean(X146:AA146),NA())</f>
        <v>0.53291411605405759</v>
      </c>
      <c r="AD146" s="46">
        <v>0.37390452422062742</v>
      </c>
      <c r="AE146" s="46">
        <f t="shared" si="67"/>
        <v>0.40621382029828151</v>
      </c>
      <c r="AF146" s="46">
        <f t="shared" si="68"/>
        <v>3.2309296077654093E-2</v>
      </c>
    </row>
    <row r="147" spans="1:32">
      <c r="A147" s="1" t="s">
        <v>30</v>
      </c>
      <c r="B147" s="1" t="s">
        <v>323</v>
      </c>
      <c r="C147" t="e">
        <f>NA()</f>
        <v>#N/A</v>
      </c>
      <c r="D147" s="64" t="e">
        <v>#N/A</v>
      </c>
      <c r="E147" s="2">
        <v>13.41</v>
      </c>
      <c r="F147" s="78" t="e">
        <v>#N/A</v>
      </c>
      <c r="G147" s="65">
        <v>0.55436650136886934</v>
      </c>
      <c r="H147" s="46">
        <v>3.2400589054216389E-2</v>
      </c>
      <c r="I147" s="46"/>
      <c r="J147" s="47">
        <v>220.86141695359007</v>
      </c>
      <c r="K147" s="47">
        <v>75.031930442279688</v>
      </c>
      <c r="L147">
        <v>44</v>
      </c>
      <c r="M147" t="e">
        <v>#N/A</v>
      </c>
      <c r="O147" s="1" t="s">
        <v>30</v>
      </c>
      <c r="P147" s="1" t="s">
        <v>323</v>
      </c>
      <c r="Q147" s="2" t="e">
        <f t="shared" si="56"/>
        <v>#N/A</v>
      </c>
      <c r="R147" s="2" t="e">
        <f t="shared" si="57"/>
        <v>#N/A</v>
      </c>
      <c r="S147" s="2">
        <f t="shared" si="58"/>
        <v>0.8659</v>
      </c>
      <c r="T147" s="2" t="e">
        <f t="shared" si="59"/>
        <v>#N/A</v>
      </c>
      <c r="U147" s="2">
        <f t="shared" si="60"/>
        <v>0.55436650136886934</v>
      </c>
      <c r="V147" s="2">
        <f t="shared" si="61"/>
        <v>0.94599901824297272</v>
      </c>
      <c r="W147" s="11">
        <f t="shared" si="62"/>
        <v>0.78875517320394728</v>
      </c>
      <c r="X147" s="2">
        <f t="shared" si="63"/>
        <v>1</v>
      </c>
      <c r="Y147" s="2">
        <f t="shared" si="64"/>
        <v>0.92902757774685263</v>
      </c>
      <c r="Z147" s="2">
        <f t="shared" si="65"/>
        <v>1</v>
      </c>
      <c r="AA147" s="2" t="e">
        <f t="shared" si="66"/>
        <v>#N/A</v>
      </c>
      <c r="AB147" s="84">
        <f t="shared" si="69"/>
        <v>0.97634252591561754</v>
      </c>
      <c r="AD147" s="46">
        <v>0.38110707475577404</v>
      </c>
      <c r="AE147" s="46">
        <f t="shared" si="67"/>
        <v>0.51502168981275098</v>
      </c>
      <c r="AF147" s="46">
        <f t="shared" si="68"/>
        <v>0.13391461505697694</v>
      </c>
    </row>
    <row r="148" spans="1:32">
      <c r="A148" s="1" t="s">
        <v>49</v>
      </c>
      <c r="B148" s="1" t="s">
        <v>324</v>
      </c>
      <c r="C148" t="e">
        <f>NA()</f>
        <v>#N/A</v>
      </c>
      <c r="D148" s="64">
        <v>0.66139691777652199</v>
      </c>
      <c r="E148" s="2">
        <v>90.76</v>
      </c>
      <c r="F148" s="78">
        <v>0.17585530036926184</v>
      </c>
      <c r="G148" s="2">
        <v>0.48236230716945494</v>
      </c>
      <c r="H148" s="46">
        <v>0.41678939702410556</v>
      </c>
      <c r="I148" s="46"/>
      <c r="J148" s="47">
        <v>68.318054487472281</v>
      </c>
      <c r="K148" s="47">
        <v>52.401724613451997</v>
      </c>
      <c r="L148">
        <v>24</v>
      </c>
      <c r="M148">
        <v>23</v>
      </c>
      <c r="O148" s="1" t="s">
        <v>49</v>
      </c>
      <c r="P148" s="1" t="s">
        <v>324</v>
      </c>
      <c r="Q148" s="2" t="e">
        <f t="shared" si="56"/>
        <v>#N/A</v>
      </c>
      <c r="R148" s="2">
        <f t="shared" si="57"/>
        <v>0.43386030822234778</v>
      </c>
      <c r="S148" s="2">
        <f t="shared" si="58"/>
        <v>9.2399999999999927E-2</v>
      </c>
      <c r="T148" s="2">
        <f t="shared" si="59"/>
        <v>0.29309216728210308</v>
      </c>
      <c r="U148" s="2">
        <f t="shared" si="60"/>
        <v>0.48236230716945494</v>
      </c>
      <c r="V148" s="2">
        <f t="shared" si="61"/>
        <v>0.30535100495982404</v>
      </c>
      <c r="W148" s="11">
        <f t="shared" si="62"/>
        <v>0.32141315752674593</v>
      </c>
      <c r="X148" s="2">
        <f t="shared" si="63"/>
        <v>0.3415902724373614</v>
      </c>
      <c r="Y148" s="2">
        <f t="shared" si="64"/>
        <v>0.6057389230493142</v>
      </c>
      <c r="Z148" s="2">
        <f t="shared" si="65"/>
        <v>0.6</v>
      </c>
      <c r="AA148" s="2">
        <f t="shared" si="66"/>
        <v>0.32857142857142857</v>
      </c>
      <c r="AB148" s="84">
        <f t="shared" si="69"/>
        <v>0.46897515601452605</v>
      </c>
      <c r="AD148" s="46">
        <v>0.30251536458590561</v>
      </c>
      <c r="AE148" s="46">
        <f t="shared" si="67"/>
        <v>0.32555561096222935</v>
      </c>
      <c r="AF148" s="46">
        <f t="shared" si="68"/>
        <v>2.3040246376323736E-2</v>
      </c>
    </row>
    <row r="149" spans="1:32">
      <c r="A149" s="1" t="s">
        <v>190</v>
      </c>
      <c r="B149" s="1" t="s">
        <v>325</v>
      </c>
      <c r="C149" t="e">
        <f>NA()</f>
        <v>#N/A</v>
      </c>
      <c r="D149" s="64">
        <v>1.8243346066521116</v>
      </c>
      <c r="E149" s="2">
        <v>14.18</v>
      </c>
      <c r="F149" s="78">
        <v>1</v>
      </c>
      <c r="G149" s="2">
        <v>0.63160067265053055</v>
      </c>
      <c r="H149" s="46">
        <v>0.25098183615386671</v>
      </c>
      <c r="I149" s="46"/>
      <c r="J149" s="47">
        <v>-6.9979406306456005</v>
      </c>
      <c r="K149" s="47">
        <v>37.365381660412432</v>
      </c>
      <c r="L149">
        <v>30</v>
      </c>
      <c r="M149" t="e">
        <v>#N/A</v>
      </c>
      <c r="O149" s="1" t="s">
        <v>190</v>
      </c>
      <c r="P149" s="1" t="s">
        <v>325</v>
      </c>
      <c r="Q149" s="2" t="e">
        <f t="shared" si="56"/>
        <v>#N/A</v>
      </c>
      <c r="R149" s="2">
        <f t="shared" si="57"/>
        <v>0.31756653933478884</v>
      </c>
      <c r="S149" s="2">
        <f t="shared" si="58"/>
        <v>0.85819999999999996</v>
      </c>
      <c r="T149" s="2">
        <f t="shared" si="59"/>
        <v>1</v>
      </c>
      <c r="U149" s="2">
        <f t="shared" si="60"/>
        <v>0.63160067265053055</v>
      </c>
      <c r="V149" s="2">
        <f t="shared" si="61"/>
        <v>0.58169693974355541</v>
      </c>
      <c r="W149" s="11">
        <f t="shared" si="62"/>
        <v>0.67781283034577489</v>
      </c>
      <c r="X149" s="2">
        <f t="shared" si="63"/>
        <v>0</v>
      </c>
      <c r="Y149" s="2">
        <f t="shared" si="64"/>
        <v>0.3909340237201776</v>
      </c>
      <c r="Z149" s="2">
        <f t="shared" si="65"/>
        <v>0.75</v>
      </c>
      <c r="AA149" s="2" t="e">
        <f t="shared" si="66"/>
        <v>#N/A</v>
      </c>
      <c r="AB149" s="84">
        <f t="shared" si="69"/>
        <v>0.38031134124005916</v>
      </c>
      <c r="AD149" s="46">
        <v>0.47233071884485517</v>
      </c>
      <c r="AE149" s="46">
        <f t="shared" si="67"/>
        <v>0.49231050815047372</v>
      </c>
      <c r="AF149" s="46">
        <f t="shared" si="68"/>
        <v>1.9979789305618556E-2</v>
      </c>
    </row>
    <row r="150" spans="1:32">
      <c r="A150" s="1" t="s">
        <v>86</v>
      </c>
      <c r="B150" s="1" t="s">
        <v>326</v>
      </c>
      <c r="C150" t="e">
        <f>NA()</f>
        <v>#N/A</v>
      </c>
      <c r="D150" s="64">
        <v>8.4072975384646256</v>
      </c>
      <c r="E150" s="2">
        <v>31.94</v>
      </c>
      <c r="F150" s="78" t="e">
        <v>#N/A</v>
      </c>
      <c r="G150" s="2">
        <v>0.29380549515955334</v>
      </c>
      <c r="H150" s="46">
        <v>0.24300441790662264</v>
      </c>
      <c r="I150" s="46"/>
      <c r="J150" s="47">
        <v>55.679705369185697</v>
      </c>
      <c r="K150" s="47">
        <v>51.130922238074405</v>
      </c>
      <c r="L150">
        <v>50</v>
      </c>
      <c r="M150">
        <v>17.600000000000001</v>
      </c>
      <c r="O150" s="1" t="s">
        <v>86</v>
      </c>
      <c r="P150" s="1" t="s">
        <v>326</v>
      </c>
      <c r="Q150" s="2" t="e">
        <f t="shared" si="56"/>
        <v>#N/A</v>
      </c>
      <c r="R150" s="2">
        <f t="shared" si="57"/>
        <v>0</v>
      </c>
      <c r="S150" s="2">
        <f t="shared" si="58"/>
        <v>0.68059999999999998</v>
      </c>
      <c r="T150" s="2" t="e">
        <f t="shared" si="59"/>
        <v>#N/A</v>
      </c>
      <c r="U150" s="2">
        <f t="shared" si="60"/>
        <v>0.29380549515955334</v>
      </c>
      <c r="V150" s="2">
        <f t="shared" si="61"/>
        <v>0.59499263682229553</v>
      </c>
      <c r="W150" s="11">
        <f t="shared" si="62"/>
        <v>0.39234953299546221</v>
      </c>
      <c r="X150" s="2">
        <f t="shared" si="63"/>
        <v>0.27839852684592847</v>
      </c>
      <c r="Y150" s="2">
        <f t="shared" si="64"/>
        <v>0.58758460340106289</v>
      </c>
      <c r="Z150" s="2">
        <f t="shared" si="65"/>
        <v>1</v>
      </c>
      <c r="AA150" s="2">
        <f t="shared" si="66"/>
        <v>0.25142857142857145</v>
      </c>
      <c r="AB150" s="84">
        <f t="shared" si="69"/>
        <v>0.52935292541889067</v>
      </c>
      <c r="AD150" s="46">
        <v>0.28610784214925428</v>
      </c>
      <c r="AE150" s="46">
        <f t="shared" si="67"/>
        <v>0.33168932055257505</v>
      </c>
      <c r="AF150" s="46">
        <f t="shared" si="68"/>
        <v>4.5581478403320774E-2</v>
      </c>
    </row>
    <row r="151" spans="1:32">
      <c r="A151" s="1" t="s">
        <v>37</v>
      </c>
      <c r="B151" s="1" t="s">
        <v>327</v>
      </c>
      <c r="C151" t="e">
        <f>NA()</f>
        <v>#N/A</v>
      </c>
      <c r="D151" s="64">
        <v>2.0863054508013374</v>
      </c>
      <c r="E151" s="2">
        <v>78.88</v>
      </c>
      <c r="F151" s="78">
        <v>0.17702684642856781</v>
      </c>
      <c r="G151" s="2">
        <v>0.64598549217271417</v>
      </c>
      <c r="H151" s="46">
        <v>0</v>
      </c>
      <c r="I151" s="46"/>
      <c r="J151" s="47">
        <v>12.982197916175606</v>
      </c>
      <c r="K151" s="47">
        <v>42.944658077343938</v>
      </c>
      <c r="L151">
        <v>45</v>
      </c>
      <c r="M151">
        <v>36.1</v>
      </c>
      <c r="O151" s="1" t="s">
        <v>37</v>
      </c>
      <c r="P151" s="1" t="s">
        <v>327</v>
      </c>
      <c r="Q151" s="2" t="e">
        <f t="shared" si="56"/>
        <v>#N/A</v>
      </c>
      <c r="R151" s="2">
        <f t="shared" si="57"/>
        <v>0.29136945491986632</v>
      </c>
      <c r="S151" s="2">
        <f t="shared" si="58"/>
        <v>0.21120000000000005</v>
      </c>
      <c r="T151" s="2">
        <f t="shared" si="59"/>
        <v>0.29504474404761305</v>
      </c>
      <c r="U151" s="2">
        <f t="shared" si="60"/>
        <v>0.64598549217271417</v>
      </c>
      <c r="V151" s="2">
        <f t="shared" si="61"/>
        <v>1</v>
      </c>
      <c r="W151" s="11">
        <f t="shared" si="62"/>
        <v>0.48871993822803877</v>
      </c>
      <c r="X151" s="2">
        <f t="shared" si="63"/>
        <v>6.4910989580878029E-2</v>
      </c>
      <c r="Y151" s="2">
        <f t="shared" si="64"/>
        <v>0.47063797253348483</v>
      </c>
      <c r="Z151" s="2">
        <f t="shared" si="65"/>
        <v>1</v>
      </c>
      <c r="AA151" s="2">
        <f t="shared" si="66"/>
        <v>0.51571428571428568</v>
      </c>
      <c r="AB151" s="84">
        <f t="shared" si="69"/>
        <v>0.51281581195716208</v>
      </c>
      <c r="AD151" s="46">
        <v>0.31570069855053312</v>
      </c>
      <c r="AE151" s="46">
        <f t="shared" si="67"/>
        <v>0.36580847588429211</v>
      </c>
      <c r="AF151" s="46">
        <f t="shared" si="68"/>
        <v>5.0107777333758985E-2</v>
      </c>
    </row>
    <row r="152" spans="1:32">
      <c r="A152" s="1" t="s">
        <v>73</v>
      </c>
      <c r="B152" s="1" t="s">
        <v>328</v>
      </c>
      <c r="C152" t="e">
        <f>NA()</f>
        <v>#N/A</v>
      </c>
      <c r="D152" s="64">
        <v>-0.36044017486722502</v>
      </c>
      <c r="E152" s="2">
        <v>64</v>
      </c>
      <c r="F152" s="78">
        <v>0.28167803414990866</v>
      </c>
      <c r="G152" s="2">
        <v>0.82991741741741742</v>
      </c>
      <c r="H152" s="46">
        <v>0.29958271973519124</v>
      </c>
      <c r="I152" s="46"/>
      <c r="J152" s="47">
        <v>66.535833264120782</v>
      </c>
      <c r="K152" s="47">
        <v>18.777967059332735</v>
      </c>
      <c r="L152">
        <v>11</v>
      </c>
      <c r="M152">
        <v>40.9</v>
      </c>
      <c r="O152" s="1" t="s">
        <v>73</v>
      </c>
      <c r="P152" s="1" t="s">
        <v>328</v>
      </c>
      <c r="Q152" s="2" t="e">
        <f t="shared" si="56"/>
        <v>#N/A</v>
      </c>
      <c r="R152" s="2">
        <f t="shared" si="57"/>
        <v>0.53604401748672248</v>
      </c>
      <c r="S152" s="2">
        <f t="shared" si="58"/>
        <v>0.36</v>
      </c>
      <c r="T152" s="2">
        <f t="shared" si="59"/>
        <v>0.46946339024984779</v>
      </c>
      <c r="U152" s="2">
        <f t="shared" si="60"/>
        <v>0.82991741741741742</v>
      </c>
      <c r="V152" s="2">
        <f t="shared" si="61"/>
        <v>0.5006954671080146</v>
      </c>
      <c r="W152" s="11">
        <f t="shared" si="62"/>
        <v>0.53922405845240051</v>
      </c>
      <c r="X152" s="2">
        <f t="shared" si="63"/>
        <v>0.3326791663206039</v>
      </c>
      <c r="Y152" s="2">
        <f t="shared" si="64"/>
        <v>0.12539952941903906</v>
      </c>
      <c r="Z152" s="2">
        <f t="shared" si="65"/>
        <v>0.27500000000000002</v>
      </c>
      <c r="AA152" s="2">
        <f t="shared" si="66"/>
        <v>0.5842857142857143</v>
      </c>
      <c r="AB152" s="84">
        <f t="shared" si="69"/>
        <v>0.3293411025063393</v>
      </c>
      <c r="AD152" s="46">
        <v>0.2808829375783552</v>
      </c>
      <c r="AE152" s="46">
        <f t="shared" si="67"/>
        <v>0.325899248611148</v>
      </c>
      <c r="AF152" s="46">
        <f t="shared" si="68"/>
        <v>4.50163110327928E-2</v>
      </c>
    </row>
    <row r="153" spans="1:32">
      <c r="A153" s="1" t="s">
        <v>81</v>
      </c>
      <c r="B153" s="1" t="s">
        <v>329</v>
      </c>
      <c r="C153" t="e">
        <f>NA()</f>
        <v>#N/A</v>
      </c>
      <c r="D153" s="64">
        <v>8.1129867046723314E-2</v>
      </c>
      <c r="E153" s="2">
        <v>100</v>
      </c>
      <c r="F153" s="78">
        <v>9.5245613627064254E-2</v>
      </c>
      <c r="G153" s="2">
        <v>0.12263147213569947</v>
      </c>
      <c r="H153" s="46">
        <v>0.65598919933157129</v>
      </c>
      <c r="I153" s="46"/>
      <c r="J153" s="47">
        <v>-104.22959057271495</v>
      </c>
      <c r="K153" s="47">
        <v>7.3265279807460821</v>
      </c>
      <c r="L153">
        <v>16</v>
      </c>
      <c r="M153">
        <v>0</v>
      </c>
      <c r="O153" s="1" t="s">
        <v>81</v>
      </c>
      <c r="P153" s="1" t="s">
        <v>329</v>
      </c>
      <c r="Q153" s="2" t="e">
        <f t="shared" si="56"/>
        <v>#N/A</v>
      </c>
      <c r="R153" s="2">
        <f t="shared" si="57"/>
        <v>0.49188701329532769</v>
      </c>
      <c r="S153" s="2">
        <f t="shared" si="58"/>
        <v>0</v>
      </c>
      <c r="T153" s="2">
        <f t="shared" si="59"/>
        <v>0.15874268937844044</v>
      </c>
      <c r="U153" s="2">
        <f t="shared" si="60"/>
        <v>0.12263147213569947</v>
      </c>
      <c r="V153" s="2">
        <f t="shared" si="61"/>
        <v>0</v>
      </c>
      <c r="W153" s="11">
        <f t="shared" si="62"/>
        <v>0.15465223496189354</v>
      </c>
      <c r="X153" s="2">
        <f t="shared" si="63"/>
        <v>0</v>
      </c>
      <c r="Y153" s="2">
        <f t="shared" si="64"/>
        <v>0</v>
      </c>
      <c r="Z153" s="2">
        <f t="shared" si="65"/>
        <v>0.4</v>
      </c>
      <c r="AA153" s="2">
        <f t="shared" si="66"/>
        <v>0</v>
      </c>
      <c r="AB153" s="84">
        <f t="shared" si="69"/>
        <v>0.1</v>
      </c>
      <c r="AD153" s="46">
        <v>0.14627522058468675</v>
      </c>
      <c r="AE153" s="46">
        <f t="shared" si="67"/>
        <v>0.14193534754066517</v>
      </c>
      <c r="AF153" s="46">
        <f t="shared" si="68"/>
        <v>4.339873044021586E-3</v>
      </c>
    </row>
    <row r="154" spans="1:32">
      <c r="A154" s="1" t="s">
        <v>91</v>
      </c>
      <c r="B154" s="1" t="s">
        <v>330</v>
      </c>
      <c r="C154" t="e">
        <f>NA()</f>
        <v>#N/A</v>
      </c>
      <c r="D154" s="64">
        <v>-0.81766925319492678</v>
      </c>
      <c r="E154" s="2">
        <v>49</v>
      </c>
      <c r="F154" s="78">
        <v>2.2710760900102329E-2</v>
      </c>
      <c r="G154" s="2">
        <v>0.2653214869111723</v>
      </c>
      <c r="H154" s="46">
        <v>0.69231713300125464</v>
      </c>
      <c r="I154" s="46"/>
      <c r="J154" s="47">
        <v>1054.2868114615699</v>
      </c>
      <c r="K154" s="47">
        <v>43.713244769306009</v>
      </c>
      <c r="L154">
        <v>0</v>
      </c>
      <c r="M154">
        <v>0</v>
      </c>
      <c r="O154" s="1" t="s">
        <v>91</v>
      </c>
      <c r="P154" s="1" t="s">
        <v>330</v>
      </c>
      <c r="Q154" s="2" t="e">
        <f t="shared" si="56"/>
        <v>#N/A</v>
      </c>
      <c r="R154" s="2">
        <f t="shared" si="57"/>
        <v>0.5817669253194927</v>
      </c>
      <c r="S154" s="2">
        <f t="shared" si="58"/>
        <v>0.51</v>
      </c>
      <c r="T154" s="2">
        <f t="shared" si="59"/>
        <v>3.7851268166837218E-2</v>
      </c>
      <c r="U154" s="2">
        <f t="shared" si="60"/>
        <v>0.2653214869111723</v>
      </c>
      <c r="V154" s="2">
        <f t="shared" si="61"/>
        <v>0</v>
      </c>
      <c r="W154" s="11">
        <f t="shared" si="62"/>
        <v>0.27898793607950045</v>
      </c>
      <c r="X154" s="2">
        <f t="shared" si="63"/>
        <v>1</v>
      </c>
      <c r="Y154" s="2">
        <f t="shared" si="64"/>
        <v>0.48161778241865727</v>
      </c>
      <c r="Z154" s="2">
        <f t="shared" si="65"/>
        <v>0</v>
      </c>
      <c r="AA154" s="2">
        <f t="shared" si="66"/>
        <v>0</v>
      </c>
      <c r="AB154" s="84">
        <f t="shared" si="69"/>
        <v>0.37040444560466435</v>
      </c>
      <c r="AD154" s="46">
        <v>0.21397964649425563</v>
      </c>
      <c r="AE154" s="46">
        <f t="shared" si="67"/>
        <v>0.24278996905085742</v>
      </c>
      <c r="AF154" s="46">
        <f t="shared" si="68"/>
        <v>2.8810322556601792E-2</v>
      </c>
    </row>
    <row r="155" spans="1:32">
      <c r="A155" s="1" t="s">
        <v>5</v>
      </c>
      <c r="B155" s="1" t="s">
        <v>331</v>
      </c>
      <c r="C155" t="e">
        <f>NA()</f>
        <v>#N/A</v>
      </c>
      <c r="D155" s="64">
        <v>-0.71437577824908338</v>
      </c>
      <c r="E155" s="2">
        <v>13.88</v>
      </c>
      <c r="F155" s="78" t="e">
        <v>#N/A</v>
      </c>
      <c r="G155" s="2">
        <v>0.32527182478151839</v>
      </c>
      <c r="H155" s="46">
        <v>0.14580265074397358</v>
      </c>
      <c r="I155" s="46"/>
      <c r="J155" s="47">
        <v>0.8700317960616748</v>
      </c>
      <c r="K155" s="47">
        <v>27.894755812976939</v>
      </c>
      <c r="L155">
        <v>0</v>
      </c>
      <c r="M155">
        <v>0</v>
      </c>
      <c r="O155" s="1" t="s">
        <v>5</v>
      </c>
      <c r="P155" s="1" t="s">
        <v>331</v>
      </c>
      <c r="Q155" s="2" t="e">
        <f t="shared" si="56"/>
        <v>#N/A</v>
      </c>
      <c r="R155" s="2">
        <f t="shared" si="57"/>
        <v>0.57143757782490834</v>
      </c>
      <c r="S155" s="2">
        <f t="shared" si="58"/>
        <v>0.86119999999999997</v>
      </c>
      <c r="T155" s="2" t="e">
        <f t="shared" si="59"/>
        <v>#N/A</v>
      </c>
      <c r="U155" s="2">
        <f t="shared" si="60"/>
        <v>0.32527182478151839</v>
      </c>
      <c r="V155" s="2">
        <f t="shared" si="61"/>
        <v>0.75699558209337736</v>
      </c>
      <c r="W155" s="11">
        <f t="shared" si="62"/>
        <v>0.62872624617495099</v>
      </c>
      <c r="X155" s="2">
        <f t="shared" si="63"/>
        <v>4.3501589803083742E-3</v>
      </c>
      <c r="Y155" s="2">
        <f t="shared" si="64"/>
        <v>0.25563936875681342</v>
      </c>
      <c r="Z155" s="2">
        <f t="shared" si="65"/>
        <v>0</v>
      </c>
      <c r="AA155" s="2">
        <f t="shared" si="66"/>
        <v>0</v>
      </c>
      <c r="AB155" s="84">
        <f t="shared" si="69"/>
        <v>6.4997381934280452E-2</v>
      </c>
      <c r="AD155" s="46">
        <v>0.2628310971464865</v>
      </c>
      <c r="AE155" s="46">
        <f t="shared" si="67"/>
        <v>0.29428991182204711</v>
      </c>
      <c r="AF155" s="46">
        <f t="shared" si="68"/>
        <v>3.1458814675560609E-2</v>
      </c>
    </row>
    <row r="156" spans="1:32">
      <c r="A156" s="1" t="s">
        <v>103</v>
      </c>
      <c r="B156" s="1" t="s">
        <v>332</v>
      </c>
      <c r="C156" t="e">
        <f>NA()</f>
        <v>#N/A</v>
      </c>
      <c r="D156" s="64">
        <v>0.71695252661021458</v>
      </c>
      <c r="E156" s="2">
        <v>40.24</v>
      </c>
      <c r="F156" s="78" t="e">
        <v>#N/A</v>
      </c>
      <c r="G156" s="2">
        <v>0.18819335144243543</v>
      </c>
      <c r="H156" s="46">
        <v>0.48600883581324539</v>
      </c>
      <c r="I156" s="46"/>
      <c r="J156" s="47" t="e">
        <v>#N/A</v>
      </c>
      <c r="K156" s="47" t="e">
        <v>#N/A</v>
      </c>
      <c r="L156" t="e">
        <v>#N/A</v>
      </c>
      <c r="M156">
        <v>0</v>
      </c>
      <c r="O156" s="1" t="s">
        <v>103</v>
      </c>
      <c r="P156" s="1" t="s">
        <v>332</v>
      </c>
      <c r="Q156" s="2" t="e">
        <f t="shared" ref="Q156:Q207" si="70">IF(C$14&lt;&gt;1,MIN(1,MAX(0,(C156-C$12)/(C$13-C$12))),1-MIN(1,MAX(0,(C156-C$12)/(C$13-C$12))))</f>
        <v>#N/A</v>
      </c>
      <c r="R156" s="2">
        <f t="shared" ref="R156:R207" si="71">IF(D$14&lt;&gt;1,MIN(1,MAX(0,(D156-D$12)/(D$13-D$12))),1-MIN(1,MAX(0,(D156-D$12)/(D$13-D$12))))</f>
        <v>0.42830474733897861</v>
      </c>
      <c r="S156" s="2">
        <f t="shared" ref="S156:S207" si="72">IF(E$14&lt;&gt;1,MIN(1,MAX(0,(E156-E$12)/(E$13-E$12))),1-MIN(1,MAX(0,(E156-E$12)/(E$13-E$12))))</f>
        <v>0.59759999999999991</v>
      </c>
      <c r="T156" s="2" t="e">
        <f t="shared" ref="T156:T207" si="73">IF(F$14&lt;&gt;1,MIN(1,MAX(0,(F156-F$12)/(F$13-F$12))),1-MIN(1,MAX(0,(F156-F$12)/(F$13-F$12))))</f>
        <v>#N/A</v>
      </c>
      <c r="U156" s="2">
        <f t="shared" ref="U156:U207" si="74">IF(G$14&lt;&gt;1,MIN(1,MAX(0,(G156-G$12)/(G$13-G$12))),1-MIN(1,MAX(0,(G156-G$12)/(G$13-G$12))))</f>
        <v>0.18819335144243543</v>
      </c>
      <c r="V156" s="2">
        <f t="shared" ref="V156:V207" si="75">IF(H$14&lt;&gt;1,MIN(1,MAX(0,(H156-H$12)/(H$13-H$12))),1-MIN(1,MAX(0,(H156-H$12)/(H$13-H$12))))</f>
        <v>0.18998527364459095</v>
      </c>
      <c r="W156" s="11">
        <f t="shared" si="62"/>
        <v>0.35102084310650117</v>
      </c>
      <c r="X156" s="2" t="e">
        <f t="shared" si="63"/>
        <v>#N/A</v>
      </c>
      <c r="Y156" s="2" t="e">
        <f t="shared" si="64"/>
        <v>#N/A</v>
      </c>
      <c r="Z156" s="2" t="e">
        <f t="shared" si="65"/>
        <v>#N/A</v>
      </c>
      <c r="AA156" s="2">
        <f t="shared" si="66"/>
        <v>0</v>
      </c>
      <c r="AB156" s="84" t="e">
        <f t="shared" si="69"/>
        <v>#N/A</v>
      </c>
      <c r="AD156" s="46">
        <v>0.23381724586661129</v>
      </c>
      <c r="AE156" s="46" t="e">
        <f t="shared" si="67"/>
        <v>#N/A</v>
      </c>
      <c r="AF156" s="46" t="e">
        <f t="shared" si="68"/>
        <v>#N/A</v>
      </c>
    </row>
    <row r="157" spans="1:32">
      <c r="A157" s="1" t="s">
        <v>48</v>
      </c>
      <c r="B157" s="1" t="s">
        <v>333</v>
      </c>
      <c r="C157" t="e">
        <f>NA()</f>
        <v>#N/A</v>
      </c>
      <c r="D157" s="64">
        <v>4.7712580609714443</v>
      </c>
      <c r="E157" s="2">
        <v>53.35</v>
      </c>
      <c r="F157" s="78">
        <v>0.16125973489957693</v>
      </c>
      <c r="G157" s="2">
        <v>0.26607681079172013</v>
      </c>
      <c r="H157" s="46">
        <v>0.68028964112223356</v>
      </c>
      <c r="I157" s="46"/>
      <c r="J157" s="47">
        <v>38.950692216648747</v>
      </c>
      <c r="K157" s="47">
        <v>10.22335794716747</v>
      </c>
      <c r="L157">
        <v>23</v>
      </c>
      <c r="M157">
        <v>0</v>
      </c>
      <c r="O157" s="1" t="s">
        <v>48</v>
      </c>
      <c r="P157" s="1" t="s">
        <v>333</v>
      </c>
      <c r="Q157" s="2" t="e">
        <f t="shared" si="70"/>
        <v>#N/A</v>
      </c>
      <c r="R157" s="2">
        <f t="shared" si="71"/>
        <v>2.2874193902855611E-2</v>
      </c>
      <c r="S157" s="2">
        <f t="shared" si="72"/>
        <v>0.46650000000000003</v>
      </c>
      <c r="T157" s="2">
        <f t="shared" si="73"/>
        <v>0.26876622483262824</v>
      </c>
      <c r="U157" s="2">
        <f t="shared" si="74"/>
        <v>0.26607681079172013</v>
      </c>
      <c r="V157" s="2">
        <f t="shared" si="75"/>
        <v>0</v>
      </c>
      <c r="W157" s="11">
        <f t="shared" si="62"/>
        <v>0.20484344590544082</v>
      </c>
      <c r="X157" s="2">
        <f t="shared" si="63"/>
        <v>0.19475346108324373</v>
      </c>
      <c r="Y157" s="2">
        <f t="shared" si="64"/>
        <v>3.1908278166781403E-3</v>
      </c>
      <c r="Z157" s="2">
        <f t="shared" si="65"/>
        <v>0.57499999999999996</v>
      </c>
      <c r="AA157" s="2">
        <f t="shared" si="66"/>
        <v>0</v>
      </c>
      <c r="AB157" s="84">
        <f t="shared" si="69"/>
        <v>0.19323607222498046</v>
      </c>
      <c r="AD157" s="46">
        <v>0.27504325260751777</v>
      </c>
      <c r="AE157" s="46">
        <f t="shared" si="67"/>
        <v>0.25449089639416828</v>
      </c>
      <c r="AF157" s="46">
        <f t="shared" si="68"/>
        <v>2.0552356213349499E-2</v>
      </c>
    </row>
    <row r="158" spans="1:32">
      <c r="A158" s="1" t="s">
        <v>182</v>
      </c>
      <c r="B158" s="1" t="s">
        <v>334</v>
      </c>
      <c r="C158" t="e">
        <f>NA()</f>
        <v>#N/A</v>
      </c>
      <c r="D158" s="64">
        <v>-0.13892829211058072</v>
      </c>
      <c r="E158" s="2">
        <v>56.94</v>
      </c>
      <c r="F158" s="78">
        <v>0.92211315552618156</v>
      </c>
      <c r="G158" s="2">
        <v>0.23790232832568814</v>
      </c>
      <c r="H158" s="46">
        <v>0.16200294527108183</v>
      </c>
      <c r="I158" s="46"/>
      <c r="J158" s="47">
        <v>49.955140720099486</v>
      </c>
      <c r="K158" s="47">
        <v>57.07430220125763</v>
      </c>
      <c r="L158">
        <v>-5</v>
      </c>
      <c r="M158">
        <v>65.099999999999994</v>
      </c>
      <c r="O158" s="1" t="s">
        <v>182</v>
      </c>
      <c r="P158" s="1" t="s">
        <v>334</v>
      </c>
      <c r="Q158" s="2" t="e">
        <f t="shared" si="70"/>
        <v>#N/A</v>
      </c>
      <c r="R158" s="2">
        <f t="shared" si="71"/>
        <v>0.51389282921105806</v>
      </c>
      <c r="S158" s="2">
        <f t="shared" si="72"/>
        <v>0.43059999999999998</v>
      </c>
      <c r="T158" s="2">
        <f t="shared" si="73"/>
        <v>1</v>
      </c>
      <c r="U158" s="2">
        <f t="shared" si="74"/>
        <v>0.23790232832568814</v>
      </c>
      <c r="V158" s="2">
        <f t="shared" si="75"/>
        <v>0.72999509121486361</v>
      </c>
      <c r="W158" s="11">
        <f t="shared" si="62"/>
        <v>0.58247804975032191</v>
      </c>
      <c r="X158" s="2">
        <f t="shared" si="63"/>
        <v>0.24977570360049742</v>
      </c>
      <c r="Y158" s="2">
        <f t="shared" si="64"/>
        <v>0.67249003144653763</v>
      </c>
      <c r="Z158" s="2">
        <f t="shared" si="65"/>
        <v>0</v>
      </c>
      <c r="AA158" s="2">
        <f t="shared" si="66"/>
        <v>0.92999999999999994</v>
      </c>
      <c r="AB158" s="84">
        <f t="shared" si="69"/>
        <v>0.46306643376175871</v>
      </c>
      <c r="AD158" s="46">
        <v>0.50452512136330008</v>
      </c>
      <c r="AE158" s="46">
        <f t="shared" si="67"/>
        <v>0.51131087565205591</v>
      </c>
      <c r="AF158" s="46">
        <f t="shared" si="68"/>
        <v>6.7857542887558298E-3</v>
      </c>
    </row>
    <row r="159" spans="1:32">
      <c r="A159" s="1" t="s">
        <v>151</v>
      </c>
      <c r="B159" s="1" t="s">
        <v>335</v>
      </c>
      <c r="C159" t="e">
        <f>NA()</f>
        <v>#N/A</v>
      </c>
      <c r="D159" s="64" t="e">
        <v>#N/A</v>
      </c>
      <c r="E159" s="2">
        <v>6.06</v>
      </c>
      <c r="F159" s="78">
        <v>5.5405371279012433E-2</v>
      </c>
      <c r="G159" s="2">
        <v>0.50616282090035103</v>
      </c>
      <c r="H159" s="46">
        <v>0.16605301890285884</v>
      </c>
      <c r="I159" s="46"/>
      <c r="J159" s="47">
        <v>9.8971502890328136</v>
      </c>
      <c r="K159" s="47">
        <v>76.712488829008791</v>
      </c>
      <c r="L159">
        <v>0</v>
      </c>
      <c r="M159">
        <v>0</v>
      </c>
      <c r="O159" s="1" t="s">
        <v>151</v>
      </c>
      <c r="P159" s="1" t="s">
        <v>335</v>
      </c>
      <c r="Q159" s="2" t="e">
        <f t="shared" si="70"/>
        <v>#N/A</v>
      </c>
      <c r="R159" s="2" t="e">
        <f t="shared" si="71"/>
        <v>#N/A</v>
      </c>
      <c r="S159" s="2">
        <f t="shared" si="72"/>
        <v>0.93940000000000001</v>
      </c>
      <c r="T159" s="2">
        <f t="shared" si="73"/>
        <v>9.2342285465020726E-2</v>
      </c>
      <c r="U159" s="2">
        <f t="shared" si="74"/>
        <v>0.50616282090035103</v>
      </c>
      <c r="V159" s="2">
        <f t="shared" si="75"/>
        <v>0.72324496849523523</v>
      </c>
      <c r="W159" s="11">
        <f t="shared" si="62"/>
        <v>0.5652875187151517</v>
      </c>
      <c r="X159" s="2">
        <f t="shared" si="63"/>
        <v>4.9485751445164067E-2</v>
      </c>
      <c r="Y159" s="2">
        <f t="shared" si="64"/>
        <v>0.95303555470012558</v>
      </c>
      <c r="Z159" s="2">
        <f t="shared" si="65"/>
        <v>0</v>
      </c>
      <c r="AA159" s="2">
        <f t="shared" si="66"/>
        <v>0</v>
      </c>
      <c r="AB159" s="84">
        <f t="shared" si="69"/>
        <v>0.25063032653632239</v>
      </c>
      <c r="AD159" s="46">
        <v>0.33002619881993828</v>
      </c>
      <c r="AE159" s="46">
        <f t="shared" si="67"/>
        <v>0.35604811125453234</v>
      </c>
      <c r="AF159" s="46">
        <f t="shared" si="68"/>
        <v>2.6021912434594063E-2</v>
      </c>
    </row>
    <row r="160" spans="1:32">
      <c r="A160" s="1" t="s">
        <v>161</v>
      </c>
      <c r="B160" s="1" t="s">
        <v>336</v>
      </c>
      <c r="C160" t="e">
        <f>NA()</f>
        <v>#N/A</v>
      </c>
      <c r="D160" s="64" t="e">
        <v>#N/A</v>
      </c>
      <c r="E160" s="2">
        <v>61.76</v>
      </c>
      <c r="F160" s="78">
        <v>4.4673545591346998E-4</v>
      </c>
      <c r="G160" s="2">
        <v>0.33090422819365478</v>
      </c>
      <c r="H160" s="46">
        <v>0.16200294527108183</v>
      </c>
      <c r="I160" s="46"/>
      <c r="J160" s="47">
        <v>25.947171054492664</v>
      </c>
      <c r="K160" s="47">
        <v>32.040852257719493</v>
      </c>
      <c r="L160">
        <v>0</v>
      </c>
      <c r="M160">
        <v>11.9</v>
      </c>
      <c r="O160" s="1" t="s">
        <v>161</v>
      </c>
      <c r="P160" s="1" t="s">
        <v>336</v>
      </c>
      <c r="Q160" s="2" t="e">
        <f t="shared" si="70"/>
        <v>#N/A</v>
      </c>
      <c r="R160" s="2" t="e">
        <f t="shared" si="71"/>
        <v>#N/A</v>
      </c>
      <c r="S160" s="2">
        <f t="shared" si="72"/>
        <v>0.38240000000000007</v>
      </c>
      <c r="T160" s="2">
        <f t="shared" si="73"/>
        <v>7.4455909318911669E-4</v>
      </c>
      <c r="U160" s="2">
        <f t="shared" si="74"/>
        <v>0.33090422819365478</v>
      </c>
      <c r="V160" s="2">
        <f t="shared" si="75"/>
        <v>0.72999509121486361</v>
      </c>
      <c r="W160" s="11">
        <f t="shared" si="62"/>
        <v>0.36101096962542689</v>
      </c>
      <c r="X160" s="2">
        <f t="shared" si="63"/>
        <v>0.12973585527246331</v>
      </c>
      <c r="Y160" s="2">
        <f t="shared" si="64"/>
        <v>0.31486931796742135</v>
      </c>
      <c r="Z160" s="2">
        <f t="shared" si="65"/>
        <v>0</v>
      </c>
      <c r="AA160" s="2">
        <f t="shared" si="66"/>
        <v>0.17</v>
      </c>
      <c r="AB160" s="84">
        <f t="shared" si="69"/>
        <v>0.15365129330997118</v>
      </c>
      <c r="AD160" s="46">
        <v>0.34523046346204328</v>
      </c>
      <c r="AE160" s="46">
        <f t="shared" si="67"/>
        <v>0.3243997316501836</v>
      </c>
      <c r="AF160" s="46">
        <f t="shared" si="68"/>
        <v>2.0830731811859682E-2</v>
      </c>
    </row>
    <row r="161" spans="1:32">
      <c r="A161" s="1" t="s">
        <v>120</v>
      </c>
      <c r="B161" s="1" t="s">
        <v>337</v>
      </c>
      <c r="C161" t="e">
        <f>NA()</f>
        <v>#N/A</v>
      </c>
      <c r="D161" s="64" t="e">
        <v>#N/A</v>
      </c>
      <c r="E161" s="2">
        <v>41.71</v>
      </c>
      <c r="F161" s="78">
        <v>8.5785139482095762E-2</v>
      </c>
      <c r="G161" s="2">
        <v>0.15113608241917445</v>
      </c>
      <c r="H161" s="46">
        <v>0.17010309253463585</v>
      </c>
      <c r="I161" s="46"/>
      <c r="J161" s="47">
        <v>1363.1130313252947</v>
      </c>
      <c r="K161" s="47">
        <v>54.422086633855614</v>
      </c>
      <c r="L161" t="e">
        <v>#N/A</v>
      </c>
      <c r="M161">
        <v>0</v>
      </c>
      <c r="O161" s="1" t="s">
        <v>120</v>
      </c>
      <c r="P161" s="1" t="s">
        <v>337</v>
      </c>
      <c r="Q161" s="2" t="e">
        <f t="shared" si="70"/>
        <v>#N/A</v>
      </c>
      <c r="R161" s="2" t="e">
        <f t="shared" si="71"/>
        <v>#N/A</v>
      </c>
      <c r="S161" s="2">
        <f t="shared" si="72"/>
        <v>0.58289999999999997</v>
      </c>
      <c r="T161" s="2">
        <f t="shared" si="73"/>
        <v>0.14297523247015961</v>
      </c>
      <c r="U161" s="2">
        <f t="shared" si="74"/>
        <v>0.15113608241917445</v>
      </c>
      <c r="V161" s="2">
        <f t="shared" si="75"/>
        <v>0.71649484577560685</v>
      </c>
      <c r="W161" s="11">
        <f t="shared" si="62"/>
        <v>0.39837654016623525</v>
      </c>
      <c r="X161" s="2">
        <f t="shared" si="63"/>
        <v>1</v>
      </c>
      <c r="Y161" s="2">
        <f t="shared" si="64"/>
        <v>0.63460123762650877</v>
      </c>
      <c r="Z161" s="2" t="e">
        <f t="shared" si="65"/>
        <v>#N/A</v>
      </c>
      <c r="AA161" s="2">
        <f t="shared" si="66"/>
        <v>0</v>
      </c>
      <c r="AB161" s="84">
        <f t="shared" si="69"/>
        <v>0.54486707920883626</v>
      </c>
      <c r="AD161" s="46">
        <v>0.30770686296922195</v>
      </c>
      <c r="AE161" s="46">
        <f t="shared" si="67"/>
        <v>0.35019138572508635</v>
      </c>
      <c r="AF161" s="46">
        <f t="shared" si="68"/>
        <v>4.2484522755864396E-2</v>
      </c>
    </row>
    <row r="162" spans="1:32">
      <c r="A162" s="1" t="s">
        <v>174</v>
      </c>
      <c r="B162" s="1" t="s">
        <v>338</v>
      </c>
      <c r="C162" t="e">
        <f>NA()</f>
        <v>#N/A</v>
      </c>
      <c r="D162" s="64" t="e">
        <v>#N/A</v>
      </c>
      <c r="E162" s="2">
        <v>3.5</v>
      </c>
      <c r="F162" s="78" t="e">
        <v>#N/A</v>
      </c>
      <c r="G162" s="65">
        <v>0.64678686095388027</v>
      </c>
      <c r="H162" s="46">
        <v>0.13770250348041957</v>
      </c>
      <c r="I162" s="46"/>
      <c r="J162" s="47">
        <v>230.67648469296941</v>
      </c>
      <c r="K162" s="47">
        <v>86.09535753830751</v>
      </c>
      <c r="L162">
        <v>0</v>
      </c>
      <c r="M162">
        <v>0</v>
      </c>
      <c r="O162" s="1" t="s">
        <v>174</v>
      </c>
      <c r="P162" s="1" t="s">
        <v>338</v>
      </c>
      <c r="Q162" s="2" t="e">
        <f t="shared" si="70"/>
        <v>#N/A</v>
      </c>
      <c r="R162" s="2" t="e">
        <f t="shared" si="71"/>
        <v>#N/A</v>
      </c>
      <c r="S162" s="2">
        <f t="shared" si="72"/>
        <v>0.96499999999999997</v>
      </c>
      <c r="T162" s="2" t="e">
        <f t="shared" si="73"/>
        <v>#N/A</v>
      </c>
      <c r="U162" s="2">
        <f t="shared" si="74"/>
        <v>0.64678686095388027</v>
      </c>
      <c r="V162" s="2">
        <f t="shared" si="75"/>
        <v>0.77049582753263401</v>
      </c>
      <c r="W162" s="11">
        <f t="shared" si="62"/>
        <v>0.79409422949550468</v>
      </c>
      <c r="X162" s="2">
        <f t="shared" si="63"/>
        <v>1</v>
      </c>
      <c r="Y162" s="2">
        <f t="shared" si="64"/>
        <v>1</v>
      </c>
      <c r="Z162" s="2">
        <f t="shared" si="65"/>
        <v>0</v>
      </c>
      <c r="AA162" s="2">
        <f t="shared" si="66"/>
        <v>0</v>
      </c>
      <c r="AB162" s="84">
        <f t="shared" si="69"/>
        <v>0.5</v>
      </c>
      <c r="AD162" s="46">
        <v>0.38235213643241872</v>
      </c>
      <c r="AE162" s="46">
        <f t="shared" si="67"/>
        <v>0.45899764914713859</v>
      </c>
      <c r="AF162" s="46">
        <f t="shared" si="68"/>
        <v>7.6645512714719866E-2</v>
      </c>
    </row>
    <row r="163" spans="1:32">
      <c r="A163" s="1" t="s">
        <v>7</v>
      </c>
      <c r="B163" s="1" t="s">
        <v>339</v>
      </c>
      <c r="C163" t="e">
        <f>NA()</f>
        <v>#N/A</v>
      </c>
      <c r="D163" s="64" t="e">
        <v>#N/A</v>
      </c>
      <c r="E163" s="2">
        <v>0</v>
      </c>
      <c r="F163" s="78" t="e">
        <v>#N/A</v>
      </c>
      <c r="G163" s="65">
        <v>0</v>
      </c>
      <c r="H163" s="46">
        <v>0.14175257711219658</v>
      </c>
      <c r="I163" s="46"/>
      <c r="J163" s="47">
        <v>7.6238364301316306</v>
      </c>
      <c r="K163" s="47">
        <v>14.848272877925536</v>
      </c>
      <c r="L163" t="e">
        <v>#N/A</v>
      </c>
      <c r="M163" t="e">
        <v>#N/A</v>
      </c>
      <c r="O163" s="1" t="s">
        <v>7</v>
      </c>
      <c r="P163" s="1" t="s">
        <v>339</v>
      </c>
      <c r="Q163" s="2" t="e">
        <f t="shared" si="70"/>
        <v>#N/A</v>
      </c>
      <c r="R163" s="2" t="e">
        <f t="shared" si="71"/>
        <v>#N/A</v>
      </c>
      <c r="S163" s="2">
        <f t="shared" si="72"/>
        <v>1</v>
      </c>
      <c r="T163" s="2" t="e">
        <f t="shared" si="73"/>
        <v>#N/A</v>
      </c>
      <c r="U163" s="2">
        <f t="shared" si="74"/>
        <v>0</v>
      </c>
      <c r="V163" s="2">
        <f t="shared" si="75"/>
        <v>0.76374570481300563</v>
      </c>
      <c r="W163" s="11">
        <f t="shared" si="62"/>
        <v>0.58791523493766851</v>
      </c>
      <c r="X163" s="2">
        <f t="shared" si="63"/>
        <v>3.8119182150658154E-2</v>
      </c>
      <c r="Y163" s="2">
        <f t="shared" si="64"/>
        <v>6.9261041113221955E-2</v>
      </c>
      <c r="Z163" s="2" t="e">
        <f t="shared" si="65"/>
        <v>#N/A</v>
      </c>
      <c r="AA163" s="2" t="e">
        <f t="shared" si="66"/>
        <v>#N/A</v>
      </c>
      <c r="AB163" s="84" t="e">
        <f t="shared" si="69"/>
        <v>#N/A</v>
      </c>
      <c r="AD163" s="46">
        <v>0.18587195144821328</v>
      </c>
      <c r="AE163" s="46" t="e">
        <f t="shared" si="67"/>
        <v>#N/A</v>
      </c>
      <c r="AF163" s="46" t="e">
        <f t="shared" si="68"/>
        <v>#N/A</v>
      </c>
    </row>
    <row r="164" spans="1:32">
      <c r="A164" s="1" t="s">
        <v>80</v>
      </c>
      <c r="B164" s="1" t="s">
        <v>340</v>
      </c>
      <c r="C164" t="e">
        <f>NA()</f>
        <v>#N/A</v>
      </c>
      <c r="D164" s="64" t="e">
        <v>#N/A</v>
      </c>
      <c r="E164" s="2">
        <v>0</v>
      </c>
      <c r="F164" s="78" t="e">
        <v>#N/A</v>
      </c>
      <c r="G164" s="2">
        <v>0.82847268182415645</v>
      </c>
      <c r="H164" s="46">
        <v>0.15795287163930471</v>
      </c>
      <c r="I164" s="46"/>
      <c r="J164" s="47">
        <v>75.496042430940562</v>
      </c>
      <c r="K164" s="47">
        <v>59.999975739763521</v>
      </c>
      <c r="L164">
        <v>11</v>
      </c>
      <c r="M164" t="e">
        <v>#N/A</v>
      </c>
      <c r="O164" s="1" t="s">
        <v>80</v>
      </c>
      <c r="P164" s="1" t="s">
        <v>340</v>
      </c>
      <c r="Q164" s="2" t="e">
        <f t="shared" si="70"/>
        <v>#N/A</v>
      </c>
      <c r="R164" s="2" t="e">
        <f t="shared" si="71"/>
        <v>#N/A</v>
      </c>
      <c r="S164" s="2">
        <f t="shared" si="72"/>
        <v>1</v>
      </c>
      <c r="T164" s="2" t="e">
        <f t="shared" si="73"/>
        <v>#N/A</v>
      </c>
      <c r="U164" s="2">
        <f t="shared" si="74"/>
        <v>0.82847268182415645</v>
      </c>
      <c r="V164" s="2">
        <f t="shared" si="75"/>
        <v>0.7367452139344921</v>
      </c>
      <c r="W164" s="11">
        <f t="shared" si="62"/>
        <v>0.85507263191954941</v>
      </c>
      <c r="X164" s="2">
        <f t="shared" si="63"/>
        <v>0.37748021215470279</v>
      </c>
      <c r="Y164" s="2">
        <f t="shared" si="64"/>
        <v>0.71428536771090745</v>
      </c>
      <c r="Z164" s="2">
        <f t="shared" si="65"/>
        <v>0.27500000000000002</v>
      </c>
      <c r="AA164" s="2" t="e">
        <f t="shared" si="66"/>
        <v>#N/A</v>
      </c>
      <c r="AB164" s="84">
        <f t="shared" si="69"/>
        <v>0.45558852662187005</v>
      </c>
      <c r="AD164" s="46">
        <v>0.42571015541007878</v>
      </c>
      <c r="AE164" s="46">
        <f t="shared" si="67"/>
        <v>0.49438669684627623</v>
      </c>
      <c r="AF164" s="46">
        <f t="shared" si="68"/>
        <v>6.8676541436197447E-2</v>
      </c>
    </row>
    <row r="165" spans="1:32">
      <c r="A165" s="1" t="s">
        <v>27</v>
      </c>
      <c r="B165" s="1" t="s">
        <v>341</v>
      </c>
      <c r="C165" t="e">
        <f>NA()</f>
        <v>#N/A</v>
      </c>
      <c r="D165" s="64">
        <v>-0.89743673267641944</v>
      </c>
      <c r="E165" s="2">
        <v>100</v>
      </c>
      <c r="F165" s="78">
        <v>0.11854538628958632</v>
      </c>
      <c r="G165" s="2">
        <v>0.23287762194059314</v>
      </c>
      <c r="H165" s="46">
        <v>0.19845360795707523</v>
      </c>
      <c r="I165" s="46"/>
      <c r="J165" s="47">
        <v>68.599645013354106</v>
      </c>
      <c r="K165" s="47">
        <v>21.126615803525059</v>
      </c>
      <c r="L165" t="e">
        <v>#N/A</v>
      </c>
      <c r="M165">
        <v>18</v>
      </c>
      <c r="O165" s="1" t="s">
        <v>27</v>
      </c>
      <c r="P165" s="1" t="s">
        <v>341</v>
      </c>
      <c r="Q165" s="2" t="e">
        <f t="shared" si="70"/>
        <v>#N/A</v>
      </c>
      <c r="R165" s="2">
        <f t="shared" si="71"/>
        <v>0.58974367326764199</v>
      </c>
      <c r="S165" s="2">
        <f t="shared" si="72"/>
        <v>0</v>
      </c>
      <c r="T165" s="2">
        <f t="shared" si="73"/>
        <v>0.1975756438159772</v>
      </c>
      <c r="U165" s="2">
        <f t="shared" si="74"/>
        <v>0.23287762194059314</v>
      </c>
      <c r="V165" s="2">
        <f t="shared" si="75"/>
        <v>0.66924398673820795</v>
      </c>
      <c r="W165" s="11">
        <f t="shared" si="62"/>
        <v>0.33788818515248409</v>
      </c>
      <c r="X165" s="2">
        <f t="shared" si="63"/>
        <v>0.34299822506677052</v>
      </c>
      <c r="Y165" s="2">
        <f t="shared" si="64"/>
        <v>0.15895165433607228</v>
      </c>
      <c r="Z165" s="2" t="e">
        <f t="shared" si="65"/>
        <v>#N/A</v>
      </c>
      <c r="AA165" s="2">
        <f t="shared" si="66"/>
        <v>0.25714285714285712</v>
      </c>
      <c r="AB165" s="84">
        <f t="shared" si="69"/>
        <v>0.25303091218189994</v>
      </c>
      <c r="AD165" s="46">
        <v>0.29970448782638004</v>
      </c>
      <c r="AE165" s="46">
        <f t="shared" si="67"/>
        <v>0.29983249340373153</v>
      </c>
      <c r="AF165" s="46">
        <f t="shared" si="68"/>
        <v>1.2800557735148654E-4</v>
      </c>
    </row>
    <row r="166" spans="1:32">
      <c r="A166" s="1" t="s">
        <v>128</v>
      </c>
      <c r="B166" s="1" t="s">
        <v>342</v>
      </c>
      <c r="C166" t="e">
        <f>NA()</f>
        <v>#N/A</v>
      </c>
      <c r="D166" s="64">
        <v>8.1279673807956199E-2</v>
      </c>
      <c r="E166" s="2">
        <v>99.47</v>
      </c>
      <c r="F166" s="78">
        <v>0.19708725473945488</v>
      </c>
      <c r="G166" s="2">
        <v>0.19803092824394497</v>
      </c>
      <c r="H166" s="46">
        <v>0.43311242056752375</v>
      </c>
      <c r="I166" s="46"/>
      <c r="J166" s="47">
        <v>22.819128090573972</v>
      </c>
      <c r="K166" s="47">
        <v>53.671574787365643</v>
      </c>
      <c r="L166">
        <v>31</v>
      </c>
      <c r="M166">
        <v>38.799999999999997</v>
      </c>
      <c r="O166" s="1" t="s">
        <v>128</v>
      </c>
      <c r="P166" s="1" t="s">
        <v>342</v>
      </c>
      <c r="Q166" s="2" t="e">
        <f t="shared" si="70"/>
        <v>#N/A</v>
      </c>
      <c r="R166" s="2">
        <f t="shared" si="71"/>
        <v>0.49187203261920431</v>
      </c>
      <c r="S166" s="2">
        <f t="shared" si="72"/>
        <v>5.2999999999999714E-3</v>
      </c>
      <c r="T166" s="2">
        <f t="shared" si="73"/>
        <v>0.32847875789909148</v>
      </c>
      <c r="U166" s="2">
        <f t="shared" si="74"/>
        <v>0.19803092824394497</v>
      </c>
      <c r="V166" s="2">
        <f t="shared" si="75"/>
        <v>0.27814596572079375</v>
      </c>
      <c r="W166" s="11">
        <f t="shared" si="62"/>
        <v>0.26036553689660691</v>
      </c>
      <c r="X166" s="2">
        <f t="shared" si="63"/>
        <v>0.11409564045286986</v>
      </c>
      <c r="Y166" s="2">
        <f t="shared" si="64"/>
        <v>0.62387963981950922</v>
      </c>
      <c r="Z166" s="2">
        <f t="shared" si="65"/>
        <v>0.77500000000000002</v>
      </c>
      <c r="AA166" s="2">
        <f t="shared" si="66"/>
        <v>0.55428571428571427</v>
      </c>
      <c r="AB166" s="84">
        <f t="shared" si="69"/>
        <v>0.51681524863952333</v>
      </c>
      <c r="AD166" s="46">
        <v>0.47536360406836337</v>
      </c>
      <c r="AE166" s="46">
        <f t="shared" si="67"/>
        <v>0.44781258111157118</v>
      </c>
      <c r="AF166" s="46">
        <f t="shared" si="68"/>
        <v>2.7551022956792182E-2</v>
      </c>
    </row>
    <row r="167" spans="1:32">
      <c r="A167" s="1" t="s">
        <v>106</v>
      </c>
      <c r="B167" s="1" t="s">
        <v>343</v>
      </c>
      <c r="C167" t="e">
        <f>NA()</f>
        <v>#N/A</v>
      </c>
      <c r="D167" s="64">
        <v>8.8988507675386241E-2</v>
      </c>
      <c r="E167" s="2">
        <v>35</v>
      </c>
      <c r="F167" s="78" t="e">
        <v>#N/A</v>
      </c>
      <c r="G167" s="2" t="e">
        <v>#N/A</v>
      </c>
      <c r="H167" s="46">
        <v>0</v>
      </c>
      <c r="I167" s="46"/>
      <c r="J167" s="47">
        <v>-89.05357462777117</v>
      </c>
      <c r="K167" s="47">
        <v>29.236056688657396</v>
      </c>
      <c r="L167">
        <v>8</v>
      </c>
      <c r="M167">
        <v>0</v>
      </c>
      <c r="O167" s="1" t="s">
        <v>106</v>
      </c>
      <c r="P167" s="1" t="s">
        <v>343</v>
      </c>
      <c r="Q167" s="2" t="e">
        <f t="shared" si="70"/>
        <v>#N/A</v>
      </c>
      <c r="R167" s="2">
        <f t="shared" si="71"/>
        <v>0.49110114923246129</v>
      </c>
      <c r="S167" s="2">
        <f t="shared" si="72"/>
        <v>0.65</v>
      </c>
      <c r="T167" s="2" t="e">
        <f t="shared" si="73"/>
        <v>#N/A</v>
      </c>
      <c r="U167" s="2" t="e">
        <f t="shared" si="74"/>
        <v>#N/A</v>
      </c>
      <c r="V167" s="2">
        <f t="shared" si="75"/>
        <v>1</v>
      </c>
      <c r="W167" s="11">
        <f t="shared" si="62"/>
        <v>0.71370038307748718</v>
      </c>
      <c r="X167" s="2">
        <f t="shared" si="63"/>
        <v>0</v>
      </c>
      <c r="Y167" s="2">
        <f t="shared" si="64"/>
        <v>0.27480080983796279</v>
      </c>
      <c r="Z167" s="2">
        <f t="shared" si="65"/>
        <v>0.2</v>
      </c>
      <c r="AA167" s="2">
        <f t="shared" si="66"/>
        <v>0</v>
      </c>
      <c r="AB167" s="84">
        <f t="shared" si="69"/>
        <v>0.1187002024594907</v>
      </c>
      <c r="AD167" s="46">
        <v>0.22195639221102992</v>
      </c>
      <c r="AE167" s="46">
        <f t="shared" si="67"/>
        <v>0.28394715570576112</v>
      </c>
      <c r="AF167" s="46">
        <f t="shared" si="68"/>
        <v>6.1990763494731205E-2</v>
      </c>
    </row>
    <row r="168" spans="1:32">
      <c r="A168" s="1" t="s">
        <v>102</v>
      </c>
      <c r="B168" s="1" t="s">
        <v>344</v>
      </c>
      <c r="C168" t="e">
        <f>NA()</f>
        <v>#N/A</v>
      </c>
      <c r="D168" s="64" t="e">
        <v>#N/A</v>
      </c>
      <c r="E168" s="2">
        <v>75</v>
      </c>
      <c r="F168" s="78">
        <v>1.8871906355488428E-2</v>
      </c>
      <c r="G168" s="2">
        <v>0.73677722678512014</v>
      </c>
      <c r="H168" s="46">
        <v>0.25503190978564372</v>
      </c>
      <c r="I168" s="46"/>
      <c r="J168" s="47">
        <v>-98.017285160645997</v>
      </c>
      <c r="K168" s="47">
        <v>54.330878321241094</v>
      </c>
      <c r="L168" t="e">
        <v>#N/A</v>
      </c>
      <c r="M168" t="e">
        <v>#N/A</v>
      </c>
      <c r="O168" s="1" t="s">
        <v>102</v>
      </c>
      <c r="P168" s="1" t="s">
        <v>344</v>
      </c>
      <c r="Q168" s="2" t="e">
        <f t="shared" si="70"/>
        <v>#N/A</v>
      </c>
      <c r="R168" s="2" t="e">
        <f t="shared" si="71"/>
        <v>#N/A</v>
      </c>
      <c r="S168" s="2">
        <f t="shared" si="72"/>
        <v>0.25</v>
      </c>
      <c r="T168" s="2">
        <f t="shared" si="73"/>
        <v>3.1453177259147383E-2</v>
      </c>
      <c r="U168" s="2">
        <f t="shared" si="74"/>
        <v>0.73677722678512014</v>
      </c>
      <c r="V168" s="2">
        <f t="shared" si="75"/>
        <v>0.57494681702392714</v>
      </c>
      <c r="W168" s="11">
        <f t="shared" si="62"/>
        <v>0.39829430526704868</v>
      </c>
      <c r="X168" s="2">
        <f t="shared" si="63"/>
        <v>0</v>
      </c>
      <c r="Y168" s="2">
        <f t="shared" si="64"/>
        <v>0.63329826173201564</v>
      </c>
      <c r="Z168" s="2" t="e">
        <f t="shared" si="65"/>
        <v>#N/A</v>
      </c>
      <c r="AA168" s="2" t="e">
        <f t="shared" si="66"/>
        <v>#N/A</v>
      </c>
      <c r="AB168" s="84" t="e">
        <f t="shared" si="69"/>
        <v>#N/A</v>
      </c>
      <c r="AD168" s="46">
        <v>0.32692239317750854</v>
      </c>
      <c r="AE168" s="46" t="e">
        <f t="shared" si="67"/>
        <v>#N/A</v>
      </c>
      <c r="AF168" s="46" t="e">
        <f t="shared" si="68"/>
        <v>#N/A</v>
      </c>
    </row>
    <row r="169" spans="1:32">
      <c r="A169" s="1" t="s">
        <v>136</v>
      </c>
      <c r="B169" s="1" t="s">
        <v>345</v>
      </c>
      <c r="C169" t="e">
        <f>NA()</f>
        <v>#N/A</v>
      </c>
      <c r="D169" s="64">
        <v>0.64265880217319094</v>
      </c>
      <c r="E169" s="2">
        <v>29.06</v>
      </c>
      <c r="F169" s="78">
        <v>0.56424390018178683</v>
      </c>
      <c r="G169" s="2">
        <v>0.43950117665168803</v>
      </c>
      <c r="H169" s="46">
        <v>0.23895434427484563</v>
      </c>
      <c r="I169" s="46"/>
      <c r="J169" s="47">
        <v>37.867521178375021</v>
      </c>
      <c r="K169" s="47">
        <v>39.981957148054427</v>
      </c>
      <c r="L169">
        <v>18</v>
      </c>
      <c r="M169">
        <v>97</v>
      </c>
      <c r="O169" s="1" t="s">
        <v>136</v>
      </c>
      <c r="P169" s="1" t="s">
        <v>345</v>
      </c>
      <c r="Q169" s="2" t="e">
        <f t="shared" si="70"/>
        <v>#N/A</v>
      </c>
      <c r="R169" s="2">
        <f t="shared" si="71"/>
        <v>0.43573411978268095</v>
      </c>
      <c r="S169" s="2">
        <f t="shared" si="72"/>
        <v>0.70940000000000003</v>
      </c>
      <c r="T169" s="2">
        <f t="shared" si="73"/>
        <v>0.94040650030297812</v>
      </c>
      <c r="U169" s="2">
        <f t="shared" si="74"/>
        <v>0.43950117665168803</v>
      </c>
      <c r="V169" s="2">
        <f t="shared" si="75"/>
        <v>0.60174275954192391</v>
      </c>
      <c r="W169" s="11">
        <f t="shared" si="62"/>
        <v>0.62535691125585413</v>
      </c>
      <c r="X169" s="2">
        <f t="shared" si="63"/>
        <v>0.18933760589187509</v>
      </c>
      <c r="Y169" s="2">
        <f t="shared" si="64"/>
        <v>0.42831367354363464</v>
      </c>
      <c r="Z169" s="2">
        <f t="shared" si="65"/>
        <v>0.45</v>
      </c>
      <c r="AA169" s="2">
        <f t="shared" si="66"/>
        <v>1</v>
      </c>
      <c r="AB169" s="84">
        <f t="shared" si="69"/>
        <v>0.51691281985887749</v>
      </c>
      <c r="AD169" s="46">
        <v>0.55594509345682586</v>
      </c>
      <c r="AE169" s="46">
        <f t="shared" si="67"/>
        <v>0.56173085086904861</v>
      </c>
      <c r="AF169" s="46">
        <f t="shared" si="68"/>
        <v>5.7857574122227584E-3</v>
      </c>
    </row>
    <row r="170" spans="1:32">
      <c r="A170" s="1" t="s">
        <v>0</v>
      </c>
      <c r="B170" s="1" t="s">
        <v>346</v>
      </c>
      <c r="C170" t="e">
        <f>NA()</f>
        <v>#N/A</v>
      </c>
      <c r="D170" s="64">
        <v>-1.8813985978521768</v>
      </c>
      <c r="E170" s="2">
        <v>28.47</v>
      </c>
      <c r="F170" s="78">
        <v>1.0992894047661168E-5</v>
      </c>
      <c r="G170" s="2">
        <v>0.72025441118166922</v>
      </c>
      <c r="H170" s="46">
        <v>0.19833087894076518</v>
      </c>
      <c r="I170" s="46"/>
      <c r="J170" s="47">
        <v>0</v>
      </c>
      <c r="K170" s="47">
        <v>95.27234226958457</v>
      </c>
      <c r="L170">
        <v>0</v>
      </c>
      <c r="M170">
        <v>0</v>
      </c>
      <c r="O170" s="1" t="s">
        <v>0</v>
      </c>
      <c r="P170" s="1" t="s">
        <v>346</v>
      </c>
      <c r="Q170" s="2" t="e">
        <f t="shared" si="70"/>
        <v>#N/A</v>
      </c>
      <c r="R170" s="2">
        <f t="shared" si="71"/>
        <v>0.68813985978521763</v>
      </c>
      <c r="S170" s="2">
        <f t="shared" si="72"/>
        <v>0.71530000000000005</v>
      </c>
      <c r="T170" s="2">
        <f t="shared" si="73"/>
        <v>1.8321490079435282E-5</v>
      </c>
      <c r="U170" s="2">
        <f t="shared" si="74"/>
        <v>0.72025441118166922</v>
      </c>
      <c r="V170" s="2">
        <f t="shared" si="75"/>
        <v>0.66944853509872471</v>
      </c>
      <c r="W170" s="11">
        <f t="shared" si="62"/>
        <v>0.55863222551113823</v>
      </c>
      <c r="X170" s="2">
        <f t="shared" si="63"/>
        <v>0</v>
      </c>
      <c r="Y170" s="2">
        <f t="shared" si="64"/>
        <v>1</v>
      </c>
      <c r="Z170" s="2">
        <f t="shared" si="65"/>
        <v>0</v>
      </c>
      <c r="AA170" s="2">
        <f t="shared" si="66"/>
        <v>0</v>
      </c>
      <c r="AB170" s="84">
        <f t="shared" si="69"/>
        <v>0.25</v>
      </c>
      <c r="AD170" s="46">
        <v>0.28141294690244967</v>
      </c>
      <c r="AE170" s="46">
        <f t="shared" si="67"/>
        <v>0.31960823797619647</v>
      </c>
      <c r="AF170" s="46">
        <f t="shared" si="68"/>
        <v>3.8195291073746807E-2</v>
      </c>
    </row>
    <row r="171" spans="1:32">
      <c r="A171" s="1" t="s">
        <v>99</v>
      </c>
      <c r="B171" s="1" t="s">
        <v>347</v>
      </c>
      <c r="C171" t="e">
        <f>NA()</f>
        <v>#N/A</v>
      </c>
      <c r="D171" s="64">
        <v>0.47443704169185574</v>
      </c>
      <c r="E171" s="2">
        <v>84.47</v>
      </c>
      <c r="F171" s="78">
        <v>5.7092581683978925E-2</v>
      </c>
      <c r="G171" s="2">
        <v>0.16568595812228609</v>
      </c>
      <c r="H171" s="46">
        <v>0.47790868854969126</v>
      </c>
      <c r="I171" s="46"/>
      <c r="J171" s="47">
        <v>77.193246557355792</v>
      </c>
      <c r="K171" s="47" t="e">
        <v>#N/A</v>
      </c>
      <c r="L171">
        <v>1</v>
      </c>
      <c r="M171">
        <v>0</v>
      </c>
      <c r="O171" s="1" t="s">
        <v>99</v>
      </c>
      <c r="P171" s="1" t="s">
        <v>347</v>
      </c>
      <c r="Q171" s="2" t="e">
        <f t="shared" si="70"/>
        <v>#N/A</v>
      </c>
      <c r="R171" s="2">
        <f t="shared" si="71"/>
        <v>0.45255629583081447</v>
      </c>
      <c r="S171" s="2">
        <f t="shared" si="72"/>
        <v>0.15529999999999999</v>
      </c>
      <c r="T171" s="2">
        <f t="shared" si="73"/>
        <v>9.5154302806631549E-2</v>
      </c>
      <c r="U171" s="2">
        <f t="shared" si="74"/>
        <v>0.16568595812228609</v>
      </c>
      <c r="V171" s="2">
        <f t="shared" si="75"/>
        <v>0.20348551908384782</v>
      </c>
      <c r="W171" s="11">
        <f t="shared" si="62"/>
        <v>0.21443641516871598</v>
      </c>
      <c r="X171" s="2">
        <f t="shared" si="63"/>
        <v>0.38596623278677894</v>
      </c>
      <c r="Y171" s="2" t="e">
        <f t="shared" si="64"/>
        <v>#N/A</v>
      </c>
      <c r="Z171" s="2">
        <f t="shared" si="65"/>
        <v>2.5000000000000001E-2</v>
      </c>
      <c r="AA171" s="2">
        <f t="shared" si="66"/>
        <v>0</v>
      </c>
      <c r="AB171" s="84">
        <f t="shared" si="69"/>
        <v>0.13698874426225965</v>
      </c>
      <c r="AD171" s="46">
        <v>0.18668607800269502</v>
      </c>
      <c r="AE171" s="46">
        <f t="shared" si="67"/>
        <v>0.18486675530173635</v>
      </c>
      <c r="AF171" s="46">
        <f t="shared" si="68"/>
        <v>1.8193227009586643E-3</v>
      </c>
    </row>
    <row r="172" spans="1:32">
      <c r="A172" s="1" t="s">
        <v>117</v>
      </c>
      <c r="B172" s="1" t="s">
        <v>348</v>
      </c>
      <c r="C172" t="e">
        <f>NA()</f>
        <v>#N/A</v>
      </c>
      <c r="D172" s="64">
        <v>0.59867465000574405</v>
      </c>
      <c r="E172" s="2">
        <v>76.88</v>
      </c>
      <c r="F172" s="78" t="e">
        <v>#N/A</v>
      </c>
      <c r="G172" s="2">
        <v>0.14389732423086216</v>
      </c>
      <c r="H172" s="46">
        <v>0.48993618042871234</v>
      </c>
      <c r="I172" s="46"/>
      <c r="J172" s="47">
        <v>-96.937252005872509</v>
      </c>
      <c r="K172" s="47">
        <v>26.400987298585626</v>
      </c>
      <c r="L172">
        <v>0</v>
      </c>
      <c r="M172">
        <v>0</v>
      </c>
      <c r="O172" s="1" t="s">
        <v>117</v>
      </c>
      <c r="P172" s="1" t="s">
        <v>348</v>
      </c>
      <c r="Q172" s="2" t="e">
        <f t="shared" si="70"/>
        <v>#N/A</v>
      </c>
      <c r="R172" s="2">
        <f t="shared" si="71"/>
        <v>0.44013253499942562</v>
      </c>
      <c r="S172" s="2">
        <f t="shared" si="72"/>
        <v>0.23120000000000007</v>
      </c>
      <c r="T172" s="2" t="e">
        <f t="shared" si="73"/>
        <v>#N/A</v>
      </c>
      <c r="U172" s="2">
        <f t="shared" si="74"/>
        <v>0.14389732423086216</v>
      </c>
      <c r="V172" s="2">
        <f t="shared" si="75"/>
        <v>0.18343969928547943</v>
      </c>
      <c r="W172" s="11">
        <f t="shared" si="62"/>
        <v>0.2496673896289418</v>
      </c>
      <c r="X172" s="2">
        <f t="shared" si="63"/>
        <v>0</v>
      </c>
      <c r="Y172" s="2">
        <f t="shared" si="64"/>
        <v>0.23429981855122323</v>
      </c>
      <c r="Z172" s="2">
        <f t="shared" si="65"/>
        <v>0</v>
      </c>
      <c r="AA172" s="2">
        <f t="shared" si="66"/>
        <v>0</v>
      </c>
      <c r="AB172" s="84">
        <f t="shared" si="69"/>
        <v>5.8574954637805807E-2</v>
      </c>
      <c r="AD172" s="46">
        <v>0.17733067440079164</v>
      </c>
      <c r="AE172" s="46">
        <f t="shared" si="67"/>
        <v>0.17389615007014947</v>
      </c>
      <c r="AF172" s="46">
        <f t="shared" si="68"/>
        <v>3.4345243306421747E-3</v>
      </c>
    </row>
    <row r="173" spans="1:32">
      <c r="A173" s="1" t="s">
        <v>181</v>
      </c>
      <c r="B173" s="1" t="s">
        <v>349</v>
      </c>
      <c r="C173" t="e">
        <f>NA()</f>
        <v>#N/A</v>
      </c>
      <c r="D173" s="64" t="e">
        <v>#N/A</v>
      </c>
      <c r="E173" s="2">
        <v>0.53</v>
      </c>
      <c r="F173" s="78" t="e">
        <v>#N/A</v>
      </c>
      <c r="G173" s="2">
        <v>0.58961312782620068</v>
      </c>
      <c r="H173" s="46">
        <v>0.20250368158885224</v>
      </c>
      <c r="I173" s="46"/>
      <c r="J173" s="47">
        <v>65.72641503512655</v>
      </c>
      <c r="K173" s="47">
        <v>75.066237832043711</v>
      </c>
      <c r="L173">
        <v>80</v>
      </c>
      <c r="M173" t="e">
        <v>#N/A</v>
      </c>
      <c r="O173" s="1" t="s">
        <v>181</v>
      </c>
      <c r="P173" s="1" t="s">
        <v>349</v>
      </c>
      <c r="Q173" s="2" t="e">
        <f t="shared" si="70"/>
        <v>#N/A</v>
      </c>
      <c r="R173" s="2" t="e">
        <f t="shared" si="71"/>
        <v>#N/A</v>
      </c>
      <c r="S173" s="2">
        <f t="shared" si="72"/>
        <v>0.99470000000000003</v>
      </c>
      <c r="T173" s="2" t="e">
        <f t="shared" si="73"/>
        <v>#N/A</v>
      </c>
      <c r="U173" s="2">
        <f t="shared" si="74"/>
        <v>0.58961312782620068</v>
      </c>
      <c r="V173" s="2">
        <f t="shared" si="75"/>
        <v>0.66249386401857957</v>
      </c>
      <c r="W173" s="11">
        <f t="shared" si="62"/>
        <v>0.74893566394825994</v>
      </c>
      <c r="X173" s="2">
        <f t="shared" si="63"/>
        <v>0.32863207517563275</v>
      </c>
      <c r="Y173" s="2">
        <f t="shared" si="64"/>
        <v>0.92951768331491014</v>
      </c>
      <c r="Z173" s="2">
        <f t="shared" si="65"/>
        <v>1</v>
      </c>
      <c r="AA173" s="2" t="e">
        <f t="shared" si="66"/>
        <v>#N/A</v>
      </c>
      <c r="AB173" s="84">
        <f t="shared" si="69"/>
        <v>0.75271658616351422</v>
      </c>
      <c r="AD173" s="46">
        <v>0.48173624709307505</v>
      </c>
      <c r="AE173" s="46">
        <f t="shared" si="67"/>
        <v>0.55506710892815636</v>
      </c>
      <c r="AF173" s="46">
        <f t="shared" si="68"/>
        <v>7.3330861835081307E-2</v>
      </c>
    </row>
    <row r="174" spans="1:32">
      <c r="A174" s="1" t="s">
        <v>140</v>
      </c>
      <c r="B174" s="1" t="s">
        <v>350</v>
      </c>
      <c r="C174" t="e">
        <f>NA()</f>
        <v>#N/A</v>
      </c>
      <c r="D174" s="64">
        <v>-3.8401259186831904E-2</v>
      </c>
      <c r="E174" s="2">
        <v>3.41</v>
      </c>
      <c r="F174" s="78" t="e">
        <v>#N/A</v>
      </c>
      <c r="G174" s="2">
        <v>0.2399904600703017</v>
      </c>
      <c r="H174" s="46">
        <v>6.8851251740209785E-2</v>
      </c>
      <c r="I174" s="46"/>
      <c r="J174" s="47">
        <v>51.734575966683174</v>
      </c>
      <c r="K174" s="47">
        <v>42.983069397648741</v>
      </c>
      <c r="L174">
        <v>46</v>
      </c>
      <c r="M174">
        <v>73.599999999999994</v>
      </c>
      <c r="O174" s="1" t="s">
        <v>140</v>
      </c>
      <c r="P174" s="1" t="s">
        <v>350</v>
      </c>
      <c r="Q174" s="2" t="e">
        <f t="shared" si="70"/>
        <v>#N/A</v>
      </c>
      <c r="R174" s="2">
        <f t="shared" si="71"/>
        <v>0.50384012591868321</v>
      </c>
      <c r="S174" s="2">
        <f t="shared" si="72"/>
        <v>0.96589999999999998</v>
      </c>
      <c r="T174" s="2" t="e">
        <f t="shared" si="73"/>
        <v>#N/A</v>
      </c>
      <c r="U174" s="2">
        <f t="shared" si="74"/>
        <v>0.2399904600703017</v>
      </c>
      <c r="V174" s="2">
        <f t="shared" si="75"/>
        <v>0.88524791376631706</v>
      </c>
      <c r="W174" s="11">
        <f t="shared" si="62"/>
        <v>0.64874462493882556</v>
      </c>
      <c r="X174" s="2">
        <f t="shared" si="63"/>
        <v>0.25867287983341586</v>
      </c>
      <c r="Y174" s="2">
        <f t="shared" si="64"/>
        <v>0.47118670568069632</v>
      </c>
      <c r="Z174" s="2">
        <f t="shared" si="65"/>
        <v>1</v>
      </c>
      <c r="AA174" s="2">
        <f t="shared" si="66"/>
        <v>1</v>
      </c>
      <c r="AB174" s="84">
        <f t="shared" si="69"/>
        <v>0.68246489637852803</v>
      </c>
      <c r="AD174" s="46">
        <v>0.53364219930013301</v>
      </c>
      <c r="AE174" s="46">
        <f t="shared" si="67"/>
        <v>0.56912107555792213</v>
      </c>
      <c r="AF174" s="46">
        <f t="shared" si="68"/>
        <v>3.5478876257789116E-2</v>
      </c>
    </row>
    <row r="175" spans="1:32">
      <c r="A175" s="1" t="s">
        <v>79</v>
      </c>
      <c r="B175" s="1" t="s">
        <v>351</v>
      </c>
      <c r="C175" t="e">
        <f>NA()</f>
        <v>#N/A</v>
      </c>
      <c r="D175" s="64">
        <v>0.18282094801614068</v>
      </c>
      <c r="E175" s="2">
        <v>6.5</v>
      </c>
      <c r="F175" s="78">
        <v>6.0493031190556878E-2</v>
      </c>
      <c r="G175" s="2">
        <v>0.40112395552976904</v>
      </c>
      <c r="H175" s="46">
        <v>0.47790868854969126</v>
      </c>
      <c r="I175" s="46"/>
      <c r="J175" s="47">
        <v>57.782191592352902</v>
      </c>
      <c r="K175" s="47">
        <v>11.897451031682104</v>
      </c>
      <c r="L175">
        <v>19</v>
      </c>
      <c r="M175">
        <v>23</v>
      </c>
      <c r="O175" s="1" t="s">
        <v>79</v>
      </c>
      <c r="P175" s="1" t="s">
        <v>351</v>
      </c>
      <c r="Q175" s="2" t="e">
        <f t="shared" si="70"/>
        <v>#N/A</v>
      </c>
      <c r="R175" s="2">
        <f t="shared" si="71"/>
        <v>0.48171790519838598</v>
      </c>
      <c r="S175" s="2">
        <f t="shared" si="72"/>
        <v>0.93500000000000005</v>
      </c>
      <c r="T175" s="2">
        <f t="shared" si="73"/>
        <v>0.10082171865092814</v>
      </c>
      <c r="U175" s="2">
        <f t="shared" si="74"/>
        <v>0.40112395552976904</v>
      </c>
      <c r="V175" s="2">
        <f t="shared" si="75"/>
        <v>0.20348551908384782</v>
      </c>
      <c r="W175" s="11">
        <f t="shared" si="62"/>
        <v>0.4244298196925862</v>
      </c>
      <c r="X175" s="2">
        <f t="shared" si="63"/>
        <v>0.28891095796176453</v>
      </c>
      <c r="Y175" s="2">
        <f t="shared" si="64"/>
        <v>2.7106443309744346E-2</v>
      </c>
      <c r="Z175" s="2">
        <f t="shared" si="65"/>
        <v>0.47499999999999998</v>
      </c>
      <c r="AA175" s="2">
        <f t="shared" si="66"/>
        <v>0.32857142857142857</v>
      </c>
      <c r="AB175" s="84">
        <f t="shared" si="69"/>
        <v>0.27989720746073432</v>
      </c>
      <c r="AD175" s="46">
        <v>0.36038851889372431</v>
      </c>
      <c r="AE175" s="46">
        <f t="shared" si="67"/>
        <v>0.36033522368955306</v>
      </c>
      <c r="AF175" s="46">
        <f t="shared" si="68"/>
        <v>5.3295204171244226E-5</v>
      </c>
    </row>
    <row r="176" spans="1:32">
      <c r="A176" s="1" t="s">
        <v>36</v>
      </c>
      <c r="B176" s="1" t="s">
        <v>352</v>
      </c>
      <c r="C176" t="e">
        <f>NA()</f>
        <v>#N/A</v>
      </c>
      <c r="D176" s="64">
        <v>-0.89321118908457398</v>
      </c>
      <c r="E176" s="2">
        <v>50.41</v>
      </c>
      <c r="F176" s="78">
        <v>3.0253172022842823E-2</v>
      </c>
      <c r="G176" s="2">
        <v>0.37245902435612138</v>
      </c>
      <c r="H176" s="46">
        <v>0.82989690746536415</v>
      </c>
      <c r="I176" s="46"/>
      <c r="J176" s="47">
        <v>48.13878844854618</v>
      </c>
      <c r="K176" s="47">
        <v>16.405263452092715</v>
      </c>
      <c r="L176">
        <v>0</v>
      </c>
      <c r="M176">
        <v>0</v>
      </c>
      <c r="O176" s="1" t="s">
        <v>36</v>
      </c>
      <c r="P176" s="1" t="s">
        <v>352</v>
      </c>
      <c r="Q176" s="2" t="e">
        <f t="shared" si="70"/>
        <v>#N/A</v>
      </c>
      <c r="R176" s="2">
        <f t="shared" si="71"/>
        <v>0.5893211189084574</v>
      </c>
      <c r="S176" s="2">
        <f t="shared" si="72"/>
        <v>0.49590000000000001</v>
      </c>
      <c r="T176" s="2">
        <f t="shared" si="73"/>
        <v>5.0421953371404704E-2</v>
      </c>
      <c r="U176" s="2">
        <f t="shared" si="74"/>
        <v>0.37245902435612138</v>
      </c>
      <c r="V176" s="2">
        <f t="shared" si="75"/>
        <v>0</v>
      </c>
      <c r="W176" s="11">
        <f t="shared" si="62"/>
        <v>0.30162041932719674</v>
      </c>
      <c r="X176" s="2">
        <f t="shared" si="63"/>
        <v>0.24069394224273089</v>
      </c>
      <c r="Y176" s="2">
        <f t="shared" si="64"/>
        <v>9.1503763601324506E-2</v>
      </c>
      <c r="Z176" s="2">
        <f t="shared" si="65"/>
        <v>0</v>
      </c>
      <c r="AA176" s="2">
        <f t="shared" si="66"/>
        <v>0</v>
      </c>
      <c r="AB176" s="84">
        <f t="shared" si="69"/>
        <v>8.3049426461013848E-2</v>
      </c>
      <c r="AD176" s="46">
        <v>0.19043812801351434</v>
      </c>
      <c r="AE176" s="46">
        <f t="shared" si="67"/>
        <v>0.19426711741831462</v>
      </c>
      <c r="AF176" s="46">
        <f t="shared" si="68"/>
        <v>3.8289894048002815E-3</v>
      </c>
    </row>
    <row r="177" spans="1:32">
      <c r="A177" s="1" t="s">
        <v>186</v>
      </c>
      <c r="B177" s="1" t="s">
        <v>353</v>
      </c>
      <c r="C177" t="e">
        <f>NA()</f>
        <v>#N/A</v>
      </c>
      <c r="D177" s="64">
        <v>-0.45437048940184555</v>
      </c>
      <c r="E177" s="2">
        <v>85.24</v>
      </c>
      <c r="F177" s="78">
        <v>0.15977116597675803</v>
      </c>
      <c r="G177" s="2">
        <v>0.73474303601528002</v>
      </c>
      <c r="H177" s="46">
        <v>0.32805596417394067</v>
      </c>
      <c r="I177" s="46"/>
      <c r="J177" s="47">
        <v>0</v>
      </c>
      <c r="K177" s="47">
        <v>21.835154419315916</v>
      </c>
      <c r="L177">
        <v>-4</v>
      </c>
      <c r="M177" t="e">
        <v>#N/A</v>
      </c>
      <c r="O177" s="1" t="s">
        <v>186</v>
      </c>
      <c r="P177" s="1" t="s">
        <v>353</v>
      </c>
      <c r="Q177" s="2" t="e">
        <f t="shared" si="70"/>
        <v>#N/A</v>
      </c>
      <c r="R177" s="2">
        <f t="shared" si="71"/>
        <v>0.54543704894018452</v>
      </c>
      <c r="S177" s="2">
        <f t="shared" si="72"/>
        <v>0.14760000000000006</v>
      </c>
      <c r="T177" s="2">
        <f t="shared" si="73"/>
        <v>0.26628527662793006</v>
      </c>
      <c r="U177" s="2">
        <f t="shared" si="74"/>
        <v>0.73474303601528002</v>
      </c>
      <c r="V177" s="2">
        <f t="shared" si="75"/>
        <v>0.45324005971009884</v>
      </c>
      <c r="W177" s="11">
        <f t="shared" si="62"/>
        <v>0.42946108425869872</v>
      </c>
      <c r="X177" s="2">
        <f t="shared" si="63"/>
        <v>0</v>
      </c>
      <c r="Y177" s="2">
        <f t="shared" si="64"/>
        <v>0.16907363456165594</v>
      </c>
      <c r="Z177" s="2">
        <f t="shared" si="65"/>
        <v>0</v>
      </c>
      <c r="AA177" s="2" t="e">
        <f t="shared" si="66"/>
        <v>#N/A</v>
      </c>
      <c r="AB177" s="84">
        <f t="shared" si="69"/>
        <v>5.635787818721865E-2</v>
      </c>
      <c r="AD177" s="46">
        <v>0.27492073086097685</v>
      </c>
      <c r="AE177" s="46">
        <f t="shared" si="67"/>
        <v>0.27184346893047917</v>
      </c>
      <c r="AF177" s="46">
        <f t="shared" si="68"/>
        <v>3.0772619304976767E-3</v>
      </c>
    </row>
    <row r="178" spans="1:32">
      <c r="A178" s="1" t="s">
        <v>125</v>
      </c>
      <c r="B178" s="1" t="s">
        <v>354</v>
      </c>
      <c r="C178" t="e">
        <f>NA()</f>
        <v>#N/A</v>
      </c>
      <c r="D178" s="64">
        <v>0.79531281862992453</v>
      </c>
      <c r="E178" s="2">
        <v>28.88</v>
      </c>
      <c r="F178" s="78">
        <v>0.73494924935307171</v>
      </c>
      <c r="G178" s="2">
        <v>0.21020698559694048</v>
      </c>
      <c r="H178" s="46">
        <v>0.1863033870617441</v>
      </c>
      <c r="I178" s="46"/>
      <c r="J178" s="47">
        <v>78.767992713459464</v>
      </c>
      <c r="K178" s="47">
        <v>26.274613070174951</v>
      </c>
      <c r="L178">
        <v>37</v>
      </c>
      <c r="M178" t="e">
        <v>#N/A</v>
      </c>
      <c r="O178" s="1" t="s">
        <v>125</v>
      </c>
      <c r="P178" s="1" t="s">
        <v>354</v>
      </c>
      <c r="Q178" s="2" t="e">
        <f t="shared" si="70"/>
        <v>#N/A</v>
      </c>
      <c r="R178" s="2">
        <f t="shared" si="71"/>
        <v>0.42046871813700748</v>
      </c>
      <c r="S178" s="2">
        <f t="shared" si="72"/>
        <v>0.71120000000000005</v>
      </c>
      <c r="T178" s="2">
        <f t="shared" si="73"/>
        <v>1</v>
      </c>
      <c r="U178" s="2">
        <f t="shared" si="74"/>
        <v>0.21020698559694048</v>
      </c>
      <c r="V178" s="2">
        <f t="shared" si="75"/>
        <v>0.6894943548970931</v>
      </c>
      <c r="W178" s="11">
        <f t="shared" si="62"/>
        <v>0.60627401172620821</v>
      </c>
      <c r="X178" s="2">
        <f t="shared" si="63"/>
        <v>0.39383996356729734</v>
      </c>
      <c r="Y178" s="2">
        <f t="shared" si="64"/>
        <v>0.23249447243107071</v>
      </c>
      <c r="Z178" s="2">
        <f t="shared" si="65"/>
        <v>0.92500000000000004</v>
      </c>
      <c r="AA178" s="2" t="e">
        <f t="shared" si="66"/>
        <v>#N/A</v>
      </c>
      <c r="AB178" s="84">
        <f t="shared" si="69"/>
        <v>0.51711147866612273</v>
      </c>
      <c r="AD178" s="46">
        <v>0.49345968390510775</v>
      </c>
      <c r="AE178" s="46">
        <f t="shared" si="67"/>
        <v>0.51341964809145813</v>
      </c>
      <c r="AF178" s="46">
        <f t="shared" si="68"/>
        <v>1.9959964186350376E-2</v>
      </c>
    </row>
    <row r="179" spans="1:32">
      <c r="A179" s="1" t="s">
        <v>42</v>
      </c>
      <c r="B179" s="1" t="s">
        <v>355</v>
      </c>
      <c r="C179" t="e">
        <f>NA()</f>
        <v>#N/A</v>
      </c>
      <c r="D179" s="64" t="e">
        <v>#N/A</v>
      </c>
      <c r="E179" s="2">
        <v>58.82</v>
      </c>
      <c r="F179" s="78" t="e">
        <v>#N/A</v>
      </c>
      <c r="G179" s="2">
        <v>9.9779897285399863E-2</v>
      </c>
      <c r="H179" s="46">
        <v>0.18213058441365693</v>
      </c>
      <c r="I179" s="46"/>
      <c r="J179" s="47">
        <v>49.298799590872278</v>
      </c>
      <c r="K179" s="47">
        <v>66.286193226236406</v>
      </c>
      <c r="L179">
        <v>24</v>
      </c>
      <c r="M179">
        <v>3.9</v>
      </c>
      <c r="O179" s="1" t="s">
        <v>42</v>
      </c>
      <c r="P179" s="1" t="s">
        <v>355</v>
      </c>
      <c r="Q179" s="2" t="e">
        <f t="shared" si="70"/>
        <v>#N/A</v>
      </c>
      <c r="R179" s="2" t="e">
        <f t="shared" si="71"/>
        <v>#N/A</v>
      </c>
      <c r="S179" s="2">
        <f t="shared" si="72"/>
        <v>0.41179999999999994</v>
      </c>
      <c r="T179" s="2" t="e">
        <f t="shared" si="73"/>
        <v>#N/A</v>
      </c>
      <c r="U179" s="2">
        <f t="shared" si="74"/>
        <v>9.9779897285399863E-2</v>
      </c>
      <c r="V179" s="2">
        <f t="shared" si="75"/>
        <v>0.69644902597723846</v>
      </c>
      <c r="W179" s="11">
        <f t="shared" si="62"/>
        <v>0.40267630775421276</v>
      </c>
      <c r="X179" s="2">
        <f t="shared" si="63"/>
        <v>0.24649399795436139</v>
      </c>
      <c r="Y179" s="2">
        <f t="shared" si="64"/>
        <v>0.80408847466052014</v>
      </c>
      <c r="Z179" s="2">
        <f t="shared" si="65"/>
        <v>0.6</v>
      </c>
      <c r="AA179" s="2">
        <f t="shared" si="66"/>
        <v>5.5714285714285716E-2</v>
      </c>
      <c r="AB179" s="84">
        <f t="shared" si="69"/>
        <v>0.42657418958229176</v>
      </c>
      <c r="AD179" s="46">
        <v>0.29158552971087726</v>
      </c>
      <c r="AE179" s="46">
        <f t="shared" si="67"/>
        <v>0.32477972758064499</v>
      </c>
      <c r="AF179" s="46">
        <f t="shared" si="68"/>
        <v>3.3194197869767739E-2</v>
      </c>
    </row>
    <row r="180" spans="1:32">
      <c r="A180" s="1" t="s">
        <v>171</v>
      </c>
      <c r="B180" s="1" t="s">
        <v>356</v>
      </c>
      <c r="C180" t="e">
        <f>NA()</f>
        <v>#N/A</v>
      </c>
      <c r="D180" s="64">
        <v>-0.1558059983215121</v>
      </c>
      <c r="E180" s="2">
        <v>17.71</v>
      </c>
      <c r="F180" s="78">
        <v>0.43654768430970153</v>
      </c>
      <c r="G180" s="2">
        <v>0.17335202440005751</v>
      </c>
      <c r="H180" s="46">
        <v>0.1498527243757507</v>
      </c>
      <c r="I180" s="46"/>
      <c r="J180" s="47">
        <v>73.385854704326135</v>
      </c>
      <c r="K180" s="47">
        <v>25.051194422725469</v>
      </c>
      <c r="L180">
        <v>8</v>
      </c>
      <c r="M180" t="e">
        <v>#N/A</v>
      </c>
      <c r="O180" s="1" t="s">
        <v>171</v>
      </c>
      <c r="P180" s="1" t="s">
        <v>356</v>
      </c>
      <c r="Q180" s="2" t="e">
        <f t="shared" si="70"/>
        <v>#N/A</v>
      </c>
      <c r="R180" s="2">
        <f t="shared" si="71"/>
        <v>0.51558059983215121</v>
      </c>
      <c r="S180" s="2">
        <f t="shared" si="72"/>
        <v>0.82289999999999996</v>
      </c>
      <c r="T180" s="2">
        <f t="shared" si="73"/>
        <v>0.72757947384950261</v>
      </c>
      <c r="U180" s="2">
        <f t="shared" si="74"/>
        <v>0.17335202440005751</v>
      </c>
      <c r="V180" s="2">
        <f t="shared" si="75"/>
        <v>0.75024545937374887</v>
      </c>
      <c r="W180" s="11">
        <f t="shared" si="62"/>
        <v>0.59793151149109203</v>
      </c>
      <c r="X180" s="2">
        <f t="shared" si="63"/>
        <v>0.36692927352163068</v>
      </c>
      <c r="Y180" s="2">
        <f t="shared" si="64"/>
        <v>0.21501706318179242</v>
      </c>
      <c r="Z180" s="2">
        <f t="shared" si="65"/>
        <v>0.2</v>
      </c>
      <c r="AA180" s="2" t="e">
        <f t="shared" si="66"/>
        <v>#N/A</v>
      </c>
      <c r="AB180" s="84">
        <f t="shared" si="69"/>
        <v>0.26064877890114108</v>
      </c>
      <c r="AD180" s="46">
        <v>0.43637555590543825</v>
      </c>
      <c r="AE180" s="46">
        <f t="shared" si="67"/>
        <v>0.4395535155997134</v>
      </c>
      <c r="AF180" s="46">
        <f t="shared" si="68"/>
        <v>3.1779596942751454E-3</v>
      </c>
    </row>
    <row r="181" spans="1:32">
      <c r="A181" s="1" t="s">
        <v>24</v>
      </c>
      <c r="B181" s="1" t="s">
        <v>357</v>
      </c>
      <c r="C181" t="e">
        <f>NA()</f>
        <v>#N/A</v>
      </c>
      <c r="D181" s="64">
        <v>6.8001648080852588</v>
      </c>
      <c r="E181" s="2">
        <v>46.24</v>
      </c>
      <c r="F181" s="78">
        <v>4.0627232646361096E-2</v>
      </c>
      <c r="G181" s="2">
        <v>5.906429335924035E-2</v>
      </c>
      <c r="H181" s="46">
        <v>0.90255277480473084</v>
      </c>
      <c r="I181" s="46"/>
      <c r="J181" s="47">
        <v>10.948646268005618</v>
      </c>
      <c r="K181" s="47">
        <v>16.180375113407337</v>
      </c>
      <c r="L181">
        <v>0</v>
      </c>
      <c r="M181">
        <v>0</v>
      </c>
      <c r="O181" s="1" t="s">
        <v>24</v>
      </c>
      <c r="P181" s="1" t="s">
        <v>357</v>
      </c>
      <c r="Q181" s="2" t="e">
        <f t="shared" si="70"/>
        <v>#N/A</v>
      </c>
      <c r="R181" s="2">
        <f t="shared" si="71"/>
        <v>0</v>
      </c>
      <c r="S181" s="2">
        <f t="shared" si="72"/>
        <v>0.53759999999999997</v>
      </c>
      <c r="T181" s="2">
        <f t="shared" si="73"/>
        <v>6.7712054410601824E-2</v>
      </c>
      <c r="U181" s="2">
        <f t="shared" si="74"/>
        <v>5.906429335924035E-2</v>
      </c>
      <c r="V181" s="2">
        <f t="shared" si="75"/>
        <v>0</v>
      </c>
      <c r="W181" s="11">
        <f t="shared" si="62"/>
        <v>0.13287526955396842</v>
      </c>
      <c r="X181" s="2">
        <f t="shared" si="63"/>
        <v>5.4743231340028092E-2</v>
      </c>
      <c r="Y181" s="2">
        <f t="shared" si="64"/>
        <v>8.8291073048676241E-2</v>
      </c>
      <c r="Z181" s="2">
        <f t="shared" si="65"/>
        <v>0</v>
      </c>
      <c r="AA181" s="2">
        <f t="shared" si="66"/>
        <v>0</v>
      </c>
      <c r="AB181" s="84">
        <f t="shared" si="69"/>
        <v>3.5758576097176087E-2</v>
      </c>
      <c r="AD181" s="46">
        <v>0.19362180775449547</v>
      </c>
      <c r="AE181" s="46">
        <f t="shared" si="67"/>
        <v>0.16528284964443751</v>
      </c>
      <c r="AF181" s="46">
        <f t="shared" si="68"/>
        <v>2.833895811005796E-2</v>
      </c>
    </row>
    <row r="182" spans="1:32">
      <c r="A182" s="1" t="s">
        <v>47</v>
      </c>
      <c r="B182" s="1" t="s">
        <v>358</v>
      </c>
      <c r="C182" t="e">
        <f>NA()</f>
        <v>#N/A</v>
      </c>
      <c r="D182" s="64">
        <v>-0.55982397910105086</v>
      </c>
      <c r="E182" s="2">
        <v>98.06</v>
      </c>
      <c r="F182" s="78">
        <v>2.1287916698193989E-2</v>
      </c>
      <c r="G182" s="2">
        <v>5.6254105604523652E-2</v>
      </c>
      <c r="H182" s="46">
        <v>0.83787432571260823</v>
      </c>
      <c r="I182" s="46"/>
      <c r="J182" s="47">
        <v>7.7981381230170914</v>
      </c>
      <c r="K182" s="47">
        <v>19.970261209668564</v>
      </c>
      <c r="L182">
        <v>0</v>
      </c>
      <c r="M182">
        <v>0</v>
      </c>
      <c r="O182" s="1" t="s">
        <v>47</v>
      </c>
      <c r="P182" s="1" t="s">
        <v>358</v>
      </c>
      <c r="Q182" s="2" t="e">
        <f t="shared" si="70"/>
        <v>#N/A</v>
      </c>
      <c r="R182" s="2">
        <f t="shared" si="71"/>
        <v>0.55598239791010506</v>
      </c>
      <c r="S182" s="2">
        <f t="shared" si="72"/>
        <v>1.9399999999999973E-2</v>
      </c>
      <c r="T182" s="2">
        <f t="shared" si="73"/>
        <v>3.5479861163656652E-2</v>
      </c>
      <c r="U182" s="2">
        <f t="shared" si="74"/>
        <v>5.6254105604523652E-2</v>
      </c>
      <c r="V182" s="2">
        <f t="shared" si="75"/>
        <v>0</v>
      </c>
      <c r="W182" s="11">
        <f t="shared" si="62"/>
        <v>0.13342327293565709</v>
      </c>
      <c r="X182" s="2">
        <f t="shared" si="63"/>
        <v>3.8990690615085456E-2</v>
      </c>
      <c r="Y182" s="2">
        <f t="shared" si="64"/>
        <v>0.14243230299526521</v>
      </c>
      <c r="Z182" s="2">
        <f t="shared" si="65"/>
        <v>0</v>
      </c>
      <c r="AA182" s="2">
        <f t="shared" si="66"/>
        <v>0</v>
      </c>
      <c r="AB182" s="84">
        <f t="shared" si="69"/>
        <v>4.5355748402587666E-2</v>
      </c>
      <c r="AD182" s="46">
        <v>0.13858244171683301</v>
      </c>
      <c r="AE182" s="46">
        <f t="shared" si="67"/>
        <v>0.12650054422704934</v>
      </c>
      <c r="AF182" s="46">
        <f t="shared" si="68"/>
        <v>1.2081897489783666E-2</v>
      </c>
    </row>
    <row r="183" spans="1:32">
      <c r="A183" s="1" t="s">
        <v>101</v>
      </c>
      <c r="B183" s="1" t="s">
        <v>359</v>
      </c>
      <c r="C183" t="e">
        <f>NA()</f>
        <v>#N/A</v>
      </c>
      <c r="D183" s="64">
        <v>-0.16808524824933369</v>
      </c>
      <c r="E183" s="2">
        <v>3.76</v>
      </c>
      <c r="F183" s="78">
        <v>0.26606830359792993</v>
      </c>
      <c r="G183" s="65">
        <v>0.50396112689655892</v>
      </c>
      <c r="H183" s="46">
        <v>0.21453117346787332</v>
      </c>
      <c r="I183" s="46"/>
      <c r="J183" s="47">
        <v>29.467880221305226</v>
      </c>
      <c r="K183" s="47">
        <v>27.498238523602929</v>
      </c>
      <c r="L183">
        <v>1</v>
      </c>
      <c r="M183">
        <v>22.5</v>
      </c>
      <c r="O183" s="1" t="s">
        <v>101</v>
      </c>
      <c r="P183" s="1" t="s">
        <v>359</v>
      </c>
      <c r="Q183" s="2" t="e">
        <f t="shared" si="70"/>
        <v>#N/A</v>
      </c>
      <c r="R183" s="2">
        <f t="shared" si="71"/>
        <v>0.51680852482493334</v>
      </c>
      <c r="S183" s="2">
        <f t="shared" si="72"/>
        <v>0.96240000000000003</v>
      </c>
      <c r="T183" s="2">
        <f t="shared" si="73"/>
        <v>0.44344717266321659</v>
      </c>
      <c r="U183" s="2">
        <f t="shared" si="74"/>
        <v>0.50396112689655892</v>
      </c>
      <c r="V183" s="2">
        <f t="shared" si="75"/>
        <v>0.64244804422021118</v>
      </c>
      <c r="W183" s="11">
        <f t="shared" si="62"/>
        <v>0.61381297372098409</v>
      </c>
      <c r="X183" s="2">
        <f t="shared" si="63"/>
        <v>0.14733940110652613</v>
      </c>
      <c r="Y183" s="2">
        <f t="shared" si="64"/>
        <v>0.24997483605147042</v>
      </c>
      <c r="Z183" s="2">
        <f t="shared" si="65"/>
        <v>2.5000000000000001E-2</v>
      </c>
      <c r="AA183" s="2">
        <f t="shared" si="66"/>
        <v>0.32142857142857145</v>
      </c>
      <c r="AB183" s="84">
        <f t="shared" si="69"/>
        <v>0.18593570214664201</v>
      </c>
      <c r="AD183" s="46">
        <v>0.24844554384309456</v>
      </c>
      <c r="AE183" s="46">
        <f t="shared" si="67"/>
        <v>0.29622729483108357</v>
      </c>
      <c r="AF183" s="46">
        <f t="shared" si="68"/>
        <v>4.7781750987989008E-2</v>
      </c>
    </row>
    <row r="184" spans="1:32">
      <c r="A184" s="1" t="s">
        <v>167</v>
      </c>
      <c r="B184" s="1" t="s">
        <v>360</v>
      </c>
      <c r="C184" t="e">
        <f>NA()</f>
        <v>#N/A</v>
      </c>
      <c r="D184" s="64">
        <v>-0.13798857762263306</v>
      </c>
      <c r="E184" s="2">
        <v>24.35</v>
      </c>
      <c r="F184" s="78">
        <v>0.43230777891155975</v>
      </c>
      <c r="G184" s="2">
        <v>0.30203036191423915</v>
      </c>
      <c r="H184" s="46">
        <v>0.10530191442620318</v>
      </c>
      <c r="I184" s="46"/>
      <c r="J184" s="47">
        <v>5.4147057363499229</v>
      </c>
      <c r="K184" s="47">
        <v>39.189548431765822</v>
      </c>
      <c r="L184">
        <v>1</v>
      </c>
      <c r="M184" t="e">
        <v>#N/A</v>
      </c>
      <c r="O184" s="1" t="s">
        <v>167</v>
      </c>
      <c r="P184" s="1" t="s">
        <v>360</v>
      </c>
      <c r="Q184" s="2" t="e">
        <f t="shared" si="70"/>
        <v>#N/A</v>
      </c>
      <c r="R184" s="2">
        <f t="shared" si="71"/>
        <v>0.51379885776226331</v>
      </c>
      <c r="S184" s="2">
        <f t="shared" si="72"/>
        <v>0.75649999999999995</v>
      </c>
      <c r="T184" s="2">
        <f t="shared" si="73"/>
        <v>0.72051296485259964</v>
      </c>
      <c r="U184" s="2">
        <f t="shared" si="74"/>
        <v>0.30203036191423915</v>
      </c>
      <c r="V184" s="2">
        <f t="shared" si="75"/>
        <v>0.8244968092896614</v>
      </c>
      <c r="W184" s="11">
        <f t="shared" si="62"/>
        <v>0.62346779876375269</v>
      </c>
      <c r="X184" s="2">
        <f t="shared" si="63"/>
        <v>2.7073528681749615E-2</v>
      </c>
      <c r="Y184" s="2">
        <f t="shared" si="64"/>
        <v>0.41699354902522601</v>
      </c>
      <c r="Z184" s="2">
        <f t="shared" si="65"/>
        <v>2.5000000000000001E-2</v>
      </c>
      <c r="AA184" s="2" t="e">
        <f t="shared" si="66"/>
        <v>#N/A</v>
      </c>
      <c r="AB184" s="84">
        <f t="shared" si="69"/>
        <v>0.15635569256899187</v>
      </c>
      <c r="AD184" s="46">
        <v>0.34858529567330515</v>
      </c>
      <c r="AE184" s="46">
        <f t="shared" si="67"/>
        <v>0.36693360182588042</v>
      </c>
      <c r="AF184" s="46">
        <f t="shared" si="68"/>
        <v>1.8348306152575267E-2</v>
      </c>
    </row>
    <row r="185" spans="1:32">
      <c r="A185" s="1" t="s">
        <v>170</v>
      </c>
      <c r="B185" s="1" t="s">
        <v>361</v>
      </c>
      <c r="C185" t="e">
        <f>NA()</f>
        <v>#N/A</v>
      </c>
      <c r="D185" s="64">
        <v>-8.9887188151741571E-2</v>
      </c>
      <c r="E185" s="2">
        <v>99.82</v>
      </c>
      <c r="F185" s="78" t="e">
        <v>#N/A</v>
      </c>
      <c r="G185" s="2">
        <v>0.75784719513065057</v>
      </c>
      <c r="H185" s="46">
        <v>0</v>
      </c>
      <c r="I185" s="46"/>
      <c r="J185" s="47">
        <v>56.40261533119871</v>
      </c>
      <c r="K185" s="47">
        <v>28.291183734279784</v>
      </c>
      <c r="L185">
        <v>11</v>
      </c>
      <c r="M185">
        <v>63.5</v>
      </c>
      <c r="O185" s="1" t="s">
        <v>170</v>
      </c>
      <c r="P185" s="1" t="s">
        <v>361</v>
      </c>
      <c r="Q185" s="2" t="e">
        <f t="shared" si="70"/>
        <v>#N/A</v>
      </c>
      <c r="R185" s="2">
        <f t="shared" si="71"/>
        <v>0.50898871881517416</v>
      </c>
      <c r="S185" s="2">
        <f t="shared" si="72"/>
        <v>1.8000000000000238E-3</v>
      </c>
      <c r="T185" s="2" t="e">
        <f t="shared" si="73"/>
        <v>#N/A</v>
      </c>
      <c r="U185" s="2">
        <f t="shared" si="74"/>
        <v>0.75784719513065057</v>
      </c>
      <c r="V185" s="2">
        <f t="shared" si="75"/>
        <v>1</v>
      </c>
      <c r="W185" s="11">
        <f t="shared" si="62"/>
        <v>0.56715897848645613</v>
      </c>
      <c r="X185" s="2">
        <f t="shared" si="63"/>
        <v>0.28201307665599357</v>
      </c>
      <c r="Y185" s="2">
        <f t="shared" si="64"/>
        <v>0.26130262477542548</v>
      </c>
      <c r="Z185" s="2">
        <f t="shared" si="65"/>
        <v>0.27500000000000002</v>
      </c>
      <c r="AA185" s="2">
        <f t="shared" si="66"/>
        <v>0.90714285714285714</v>
      </c>
      <c r="AB185" s="84">
        <f t="shared" si="69"/>
        <v>0.43136463964356908</v>
      </c>
      <c r="AD185" s="46">
        <v>0.50076979094621688</v>
      </c>
      <c r="AE185" s="46">
        <f t="shared" si="67"/>
        <v>0.50241601314290185</v>
      </c>
      <c r="AF185" s="46">
        <f t="shared" si="68"/>
        <v>1.6462221966849766E-3</v>
      </c>
    </row>
    <row r="186" spans="1:32">
      <c r="A186" s="1" t="s">
        <v>149</v>
      </c>
      <c r="B186" s="1" t="s">
        <v>362</v>
      </c>
      <c r="C186" t="e">
        <f>NA()</f>
        <v>#N/A</v>
      </c>
      <c r="D186" s="64">
        <v>-0.34567529608097036</v>
      </c>
      <c r="E186" s="2">
        <v>77.650000000000006</v>
      </c>
      <c r="F186" s="78">
        <v>0.31652211077345976</v>
      </c>
      <c r="G186" s="2">
        <v>0.63131313131313138</v>
      </c>
      <c r="H186" s="46">
        <v>0.29565537511972428</v>
      </c>
      <c r="I186" s="46"/>
      <c r="J186" s="47">
        <v>166.44762218958905</v>
      </c>
      <c r="K186" s="47">
        <v>29.685140606047511</v>
      </c>
      <c r="L186">
        <v>-1</v>
      </c>
      <c r="M186">
        <v>27</v>
      </c>
      <c r="O186" s="1" t="s">
        <v>149</v>
      </c>
      <c r="P186" s="1" t="s">
        <v>362</v>
      </c>
      <c r="Q186" s="2" t="e">
        <f t="shared" si="70"/>
        <v>#N/A</v>
      </c>
      <c r="R186" s="2">
        <f t="shared" si="71"/>
        <v>0.53456752960809706</v>
      </c>
      <c r="S186" s="2">
        <f t="shared" si="72"/>
        <v>0.22349999999999992</v>
      </c>
      <c r="T186" s="2">
        <f t="shared" si="73"/>
        <v>0.52753685128909966</v>
      </c>
      <c r="U186" s="2">
        <f t="shared" si="74"/>
        <v>0.63131313131313138</v>
      </c>
      <c r="V186" s="2">
        <f t="shared" si="75"/>
        <v>0.50724104146712623</v>
      </c>
      <c r="W186" s="11">
        <f t="shared" si="62"/>
        <v>0.48483171073549086</v>
      </c>
      <c r="X186" s="2">
        <f t="shared" si="63"/>
        <v>0.83223811094794531</v>
      </c>
      <c r="Y186" s="2">
        <f t="shared" si="64"/>
        <v>0.28121629437210732</v>
      </c>
      <c r="Z186" s="2">
        <f t="shared" si="65"/>
        <v>0</v>
      </c>
      <c r="AA186" s="2">
        <f t="shared" si="66"/>
        <v>0.38571428571428573</v>
      </c>
      <c r="AB186" s="84">
        <f t="shared" si="69"/>
        <v>0.37479217275858456</v>
      </c>
      <c r="AD186" s="46">
        <v>0.22512041268026409</v>
      </c>
      <c r="AE186" s="46">
        <f t="shared" si="67"/>
        <v>0.28261264087994337</v>
      </c>
      <c r="AF186" s="46">
        <f t="shared" si="68"/>
        <v>5.7492228199679279E-2</v>
      </c>
    </row>
    <row r="187" spans="1:32">
      <c r="A187" s="1" t="s">
        <v>164</v>
      </c>
      <c r="B187" s="1" t="s">
        <v>363</v>
      </c>
      <c r="C187" t="e">
        <f>NA()</f>
        <v>#N/A</v>
      </c>
      <c r="D187" s="64">
        <v>0.43437972302370492</v>
      </c>
      <c r="E187" s="2">
        <v>34.82</v>
      </c>
      <c r="F187" s="78" t="e">
        <v>#N/A</v>
      </c>
      <c r="G187" s="65" t="e">
        <v>#N/A</v>
      </c>
      <c r="H187" s="46">
        <v>0</v>
      </c>
      <c r="I187" s="46"/>
      <c r="J187" s="47" t="e">
        <v>#N/A</v>
      </c>
      <c r="K187" s="47" t="e">
        <v>#N/A</v>
      </c>
      <c r="L187" t="e">
        <v>#N/A</v>
      </c>
      <c r="M187" t="e">
        <v>#N/A</v>
      </c>
      <c r="O187" s="1" t="s">
        <v>164</v>
      </c>
      <c r="P187" s="1" t="s">
        <v>363</v>
      </c>
      <c r="Q187" s="2" t="e">
        <f t="shared" si="70"/>
        <v>#N/A</v>
      </c>
      <c r="R187" s="2">
        <f t="shared" si="71"/>
        <v>0.45656202769762955</v>
      </c>
      <c r="S187" s="2">
        <f t="shared" si="72"/>
        <v>0.65179999999999993</v>
      </c>
      <c r="T187" s="2" t="e">
        <f t="shared" si="73"/>
        <v>#N/A</v>
      </c>
      <c r="U187" s="2" t="e">
        <f t="shared" si="74"/>
        <v>#N/A</v>
      </c>
      <c r="V187" s="2">
        <f t="shared" si="75"/>
        <v>1</v>
      </c>
      <c r="W187" s="11">
        <f t="shared" si="62"/>
        <v>0.70278734256587649</v>
      </c>
      <c r="X187" s="2" t="e">
        <f t="shared" si="63"/>
        <v>#N/A</v>
      </c>
      <c r="Y187" s="2" t="e">
        <f t="shared" si="64"/>
        <v>#N/A</v>
      </c>
      <c r="Z187" s="2" t="e">
        <f t="shared" si="65"/>
        <v>#N/A</v>
      </c>
      <c r="AA187" s="2" t="e">
        <f t="shared" si="66"/>
        <v>#N/A</v>
      </c>
      <c r="AB187" s="84" t="e">
        <f t="shared" si="69"/>
        <v>#N/A</v>
      </c>
      <c r="AD187" s="46">
        <v>0.48109525694356803</v>
      </c>
      <c r="AE187" s="46" t="e">
        <f t="shared" si="67"/>
        <v>#N/A</v>
      </c>
      <c r="AF187" s="46" t="e">
        <f t="shared" si="68"/>
        <v>#N/A</v>
      </c>
    </row>
    <row r="188" spans="1:32">
      <c r="A188" s="1" t="s">
        <v>127</v>
      </c>
      <c r="B188" s="1" t="s">
        <v>364</v>
      </c>
      <c r="C188" t="e">
        <f>NA()</f>
        <v>#N/A</v>
      </c>
      <c r="D188" s="64">
        <v>-0.23018121928093749</v>
      </c>
      <c r="E188" s="2">
        <v>66.349999999999994</v>
      </c>
      <c r="F188" s="78">
        <v>0.27853638863139224</v>
      </c>
      <c r="G188" s="2">
        <v>0.12860278591306715</v>
      </c>
      <c r="H188" s="46">
        <v>0</v>
      </c>
      <c r="I188" s="46"/>
      <c r="J188" s="47">
        <v>77.011581097706866</v>
      </c>
      <c r="K188" s="47">
        <v>63.722286168916739</v>
      </c>
      <c r="L188">
        <v>21</v>
      </c>
      <c r="M188">
        <v>62.1</v>
      </c>
      <c r="O188" s="1" t="s">
        <v>127</v>
      </c>
      <c r="P188" s="1" t="s">
        <v>364</v>
      </c>
      <c r="Q188" s="2" t="e">
        <f t="shared" si="70"/>
        <v>#N/A</v>
      </c>
      <c r="R188" s="2">
        <f t="shared" si="71"/>
        <v>0.52301812192809372</v>
      </c>
      <c r="S188" s="2">
        <f t="shared" si="72"/>
        <v>0.33650000000000002</v>
      </c>
      <c r="T188" s="2">
        <f t="shared" si="73"/>
        <v>0.46422731438565373</v>
      </c>
      <c r="U188" s="2">
        <f t="shared" si="74"/>
        <v>0.12860278591306715</v>
      </c>
      <c r="V188" s="2">
        <f t="shared" si="75"/>
        <v>1</v>
      </c>
      <c r="W188" s="11">
        <f t="shared" si="62"/>
        <v>0.4904696444453629</v>
      </c>
      <c r="X188" s="2">
        <f t="shared" si="63"/>
        <v>0.38505790548853436</v>
      </c>
      <c r="Y188" s="2">
        <f t="shared" si="64"/>
        <v>0.76746123098452479</v>
      </c>
      <c r="Z188" s="2">
        <f t="shared" si="65"/>
        <v>0.52500000000000002</v>
      </c>
      <c r="AA188" s="2">
        <f t="shared" si="66"/>
        <v>0.88714285714285712</v>
      </c>
      <c r="AB188" s="84">
        <f t="shared" si="69"/>
        <v>0.64116549840397907</v>
      </c>
      <c r="AD188" s="46">
        <v>0.5090392101147706</v>
      </c>
      <c r="AE188" s="46">
        <f t="shared" si="67"/>
        <v>0.52224094723021897</v>
      </c>
      <c r="AF188" s="46">
        <f t="shared" si="68"/>
        <v>1.3201737115448364E-2</v>
      </c>
    </row>
    <row r="189" spans="1:32">
      <c r="A189" s="1" t="s">
        <v>169</v>
      </c>
      <c r="B189" s="1" t="s">
        <v>365</v>
      </c>
      <c r="C189" t="e">
        <f>NA()</f>
        <v>#N/A</v>
      </c>
      <c r="D189" s="64" t="e">
        <v>#N/A</v>
      </c>
      <c r="E189" s="2">
        <v>91.94</v>
      </c>
      <c r="F189" s="78">
        <v>0.98181294723959633</v>
      </c>
      <c r="G189" s="2">
        <v>0.52434255915541994</v>
      </c>
      <c r="H189" s="46">
        <v>0.19440353432529811</v>
      </c>
      <c r="I189" s="46"/>
      <c r="J189" s="47">
        <v>198.90856686674402</v>
      </c>
      <c r="K189" s="47">
        <v>93.591499169774735</v>
      </c>
      <c r="L189">
        <v>2</v>
      </c>
      <c r="M189" t="e">
        <v>#N/A</v>
      </c>
      <c r="O189" s="1" t="s">
        <v>169</v>
      </c>
      <c r="P189" s="1" t="s">
        <v>365</v>
      </c>
      <c r="Q189" s="2" t="e">
        <f t="shared" si="70"/>
        <v>#N/A</v>
      </c>
      <c r="R189" s="2" t="e">
        <f t="shared" si="71"/>
        <v>#N/A</v>
      </c>
      <c r="S189" s="2">
        <f t="shared" si="72"/>
        <v>8.0600000000000005E-2</v>
      </c>
      <c r="T189" s="2">
        <f t="shared" si="73"/>
        <v>1</v>
      </c>
      <c r="U189" s="2">
        <f t="shared" si="74"/>
        <v>0.52434255915541994</v>
      </c>
      <c r="V189" s="2">
        <f t="shared" si="75"/>
        <v>0.67599410945783645</v>
      </c>
      <c r="W189" s="11">
        <f t="shared" si="62"/>
        <v>0.5702341671533141</v>
      </c>
      <c r="X189" s="2">
        <f t="shared" si="63"/>
        <v>0.99454283433372015</v>
      </c>
      <c r="Y189" s="2">
        <f t="shared" si="64"/>
        <v>1</v>
      </c>
      <c r="Z189" s="2">
        <f t="shared" si="65"/>
        <v>0.05</v>
      </c>
      <c r="AA189" s="2" t="e">
        <f t="shared" si="66"/>
        <v>#N/A</v>
      </c>
      <c r="AB189" s="84">
        <f t="shared" si="69"/>
        <v>0.6815142781112401</v>
      </c>
      <c r="AD189" s="46">
        <v>0.34644203478426333</v>
      </c>
      <c r="AE189" s="46">
        <f t="shared" si="67"/>
        <v>0.42096475100102576</v>
      </c>
      <c r="AF189" s="46">
        <f t="shared" si="68"/>
        <v>7.452271621676243E-2</v>
      </c>
    </row>
    <row r="190" spans="1:32">
      <c r="A190" s="1" t="s">
        <v>189</v>
      </c>
      <c r="B190" s="1" t="s">
        <v>366</v>
      </c>
      <c r="C190" t="e">
        <f>NA()</f>
        <v>#N/A</v>
      </c>
      <c r="D190" s="64" t="e">
        <v>#N/A</v>
      </c>
      <c r="E190" s="2">
        <v>98.71</v>
      </c>
      <c r="F190" s="78">
        <v>1.1369742517250519E-2</v>
      </c>
      <c r="G190" s="2">
        <v>5.0775720916684391E-2</v>
      </c>
      <c r="H190" s="46">
        <v>0.2632547860655079</v>
      </c>
      <c r="I190" s="46"/>
      <c r="J190" s="47">
        <v>648.11179071403149</v>
      </c>
      <c r="K190" s="47">
        <v>31.649103480910014</v>
      </c>
      <c r="L190">
        <v>0</v>
      </c>
      <c r="M190">
        <v>24.7</v>
      </c>
      <c r="O190" s="1" t="s">
        <v>189</v>
      </c>
      <c r="P190" s="1" t="s">
        <v>366</v>
      </c>
      <c r="Q190" s="2" t="e">
        <f t="shared" si="70"/>
        <v>#N/A</v>
      </c>
      <c r="R190" s="2" t="e">
        <f t="shared" si="71"/>
        <v>#N/A</v>
      </c>
      <c r="S190" s="2">
        <f t="shared" si="72"/>
        <v>1.2900000000000023E-2</v>
      </c>
      <c r="T190" s="2">
        <f t="shared" si="73"/>
        <v>1.8949570862084198E-2</v>
      </c>
      <c r="U190" s="2">
        <f t="shared" si="74"/>
        <v>5.0775720916684391E-2</v>
      </c>
      <c r="V190" s="2">
        <f t="shared" si="75"/>
        <v>0.56124202322415351</v>
      </c>
      <c r="W190" s="11">
        <f t="shared" si="62"/>
        <v>0.16096682875073054</v>
      </c>
      <c r="X190" s="2">
        <f t="shared" si="63"/>
        <v>1</v>
      </c>
      <c r="Y190" s="2">
        <f t="shared" si="64"/>
        <v>0.30927290687014308</v>
      </c>
      <c r="Z190" s="2">
        <f t="shared" si="65"/>
        <v>0</v>
      </c>
      <c r="AA190" s="2">
        <f t="shared" si="66"/>
        <v>0.35285714285714287</v>
      </c>
      <c r="AB190" s="84">
        <f t="shared" si="69"/>
        <v>0.41553251243182143</v>
      </c>
      <c r="AD190" s="46">
        <v>0.3003347732480402</v>
      </c>
      <c r="AE190" s="46">
        <f t="shared" si="67"/>
        <v>0.29318178034648196</v>
      </c>
      <c r="AF190" s="46">
        <f t="shared" si="68"/>
        <v>7.1529929015582416E-3</v>
      </c>
    </row>
    <row r="191" spans="1:32">
      <c r="A191" s="1" t="s">
        <v>65</v>
      </c>
      <c r="B191" s="1" t="s">
        <v>367</v>
      </c>
      <c r="C191" t="e">
        <f>NA()</f>
        <v>#N/A</v>
      </c>
      <c r="D191" s="64">
        <v>-0.14947305121460386</v>
      </c>
      <c r="E191" s="2">
        <v>7.41</v>
      </c>
      <c r="F191" s="78">
        <v>0.11822007299083395</v>
      </c>
      <c r="G191" s="2">
        <v>0.27379242537283777</v>
      </c>
      <c r="H191" s="46">
        <v>0.51006381957128755</v>
      </c>
      <c r="I191" s="46"/>
      <c r="J191" s="47">
        <v>57.131580970115394</v>
      </c>
      <c r="K191" s="47">
        <v>10.799988951403543</v>
      </c>
      <c r="L191">
        <v>32</v>
      </c>
      <c r="M191" t="e">
        <v>#N/A</v>
      </c>
      <c r="O191" s="1" t="s">
        <v>65</v>
      </c>
      <c r="P191" s="1" t="s">
        <v>367</v>
      </c>
      <c r="Q191" s="2" t="e">
        <f t="shared" si="70"/>
        <v>#N/A</v>
      </c>
      <c r="R191" s="2">
        <f t="shared" si="71"/>
        <v>0.51494730512146036</v>
      </c>
      <c r="S191" s="2">
        <f t="shared" si="72"/>
        <v>0.92589999999999995</v>
      </c>
      <c r="T191" s="2">
        <f t="shared" si="73"/>
        <v>0.19703345498472327</v>
      </c>
      <c r="U191" s="2">
        <f t="shared" si="74"/>
        <v>0.27379242537283777</v>
      </c>
      <c r="V191" s="2">
        <f t="shared" si="75"/>
        <v>0.14989363404785405</v>
      </c>
      <c r="W191" s="11">
        <f t="shared" si="62"/>
        <v>0.41231336390537515</v>
      </c>
      <c r="X191" s="2">
        <f t="shared" si="63"/>
        <v>0.28565790485057696</v>
      </c>
      <c r="Y191" s="2">
        <f t="shared" si="64"/>
        <v>1.1428413591479192E-2</v>
      </c>
      <c r="Z191" s="2">
        <f t="shared" si="65"/>
        <v>0.8</v>
      </c>
      <c r="AA191" s="2" t="e">
        <f t="shared" si="66"/>
        <v>#N/A</v>
      </c>
      <c r="AB191" s="84">
        <f t="shared" si="69"/>
        <v>0.36569543948068545</v>
      </c>
      <c r="AD191" s="46">
        <v>0.28431020857436645</v>
      </c>
      <c r="AE191" s="46">
        <f t="shared" si="67"/>
        <v>0.31356950252225491</v>
      </c>
      <c r="AF191" s="46">
        <f t="shared" si="68"/>
        <v>2.9259293947888454E-2</v>
      </c>
    </row>
    <row r="192" spans="1:32">
      <c r="A192" s="1" t="s">
        <v>57</v>
      </c>
      <c r="B192" s="1" t="s">
        <v>368</v>
      </c>
      <c r="C192" t="e">
        <f>NA()</f>
        <v>#N/A</v>
      </c>
      <c r="D192" s="64">
        <v>-7.5348593620160553E-2</v>
      </c>
      <c r="E192" s="2">
        <v>11.12</v>
      </c>
      <c r="F192" s="78">
        <v>7.4712136523580941E-2</v>
      </c>
      <c r="G192" s="2">
        <v>0.2571706968948495</v>
      </c>
      <c r="H192" s="46">
        <v>0.40095728954592746</v>
      </c>
      <c r="I192" s="46"/>
      <c r="J192" s="47">
        <v>52.90949128315853</v>
      </c>
      <c r="K192" s="47">
        <v>20.785023219090469</v>
      </c>
      <c r="L192">
        <v>22</v>
      </c>
      <c r="M192">
        <v>13</v>
      </c>
      <c r="O192" s="1" t="s">
        <v>57</v>
      </c>
      <c r="P192" s="1" t="s">
        <v>368</v>
      </c>
      <c r="Q192" s="2" t="e">
        <f t="shared" si="70"/>
        <v>#N/A</v>
      </c>
      <c r="R192" s="2">
        <f t="shared" si="71"/>
        <v>0.50753485936201614</v>
      </c>
      <c r="S192" s="2">
        <f t="shared" si="72"/>
        <v>0.88880000000000003</v>
      </c>
      <c r="T192" s="2">
        <f t="shared" si="73"/>
        <v>0.12452022753930157</v>
      </c>
      <c r="U192" s="2">
        <f t="shared" si="74"/>
        <v>0.2571706968948495</v>
      </c>
      <c r="V192" s="2">
        <f t="shared" si="75"/>
        <v>0.33173785075678752</v>
      </c>
      <c r="W192" s="11">
        <f t="shared" si="62"/>
        <v>0.42195272691059094</v>
      </c>
      <c r="X192" s="2">
        <f t="shared" si="63"/>
        <v>0.26454745641579264</v>
      </c>
      <c r="Y192" s="2">
        <f t="shared" si="64"/>
        <v>0.15407176027272099</v>
      </c>
      <c r="Z192" s="2">
        <f t="shared" si="65"/>
        <v>0.55000000000000004</v>
      </c>
      <c r="AA192" s="2">
        <f t="shared" si="66"/>
        <v>0.18571428571428572</v>
      </c>
      <c r="AB192" s="84">
        <f t="shared" si="69"/>
        <v>0.28858337560069985</v>
      </c>
      <c r="AD192" s="46">
        <v>0.25843107282487315</v>
      </c>
      <c r="AE192" s="46">
        <f t="shared" si="67"/>
        <v>0.286861905598567</v>
      </c>
      <c r="AF192" s="46">
        <f t="shared" si="68"/>
        <v>2.8430832773693848E-2</v>
      </c>
    </row>
    <row r="193" spans="1:32">
      <c r="A193" s="1" t="s">
        <v>114</v>
      </c>
      <c r="B193" s="1" t="s">
        <v>369</v>
      </c>
      <c r="C193" t="e">
        <f>NA()</f>
        <v>#N/A</v>
      </c>
      <c r="D193" s="64">
        <v>1.582712150796606</v>
      </c>
      <c r="E193" s="2">
        <v>17.88</v>
      </c>
      <c r="F193" s="78" t="e">
        <v>#N/A</v>
      </c>
      <c r="G193" s="2">
        <v>0.33705029490021698</v>
      </c>
      <c r="H193" s="46">
        <v>0.11745213532153431</v>
      </c>
      <c r="I193" s="46"/>
      <c r="J193" s="47">
        <v>71.786186934331383</v>
      </c>
      <c r="K193" s="47">
        <v>26.083951519903476</v>
      </c>
      <c r="L193">
        <v>2</v>
      </c>
      <c r="M193">
        <v>0</v>
      </c>
      <c r="O193" s="1" t="s">
        <v>114</v>
      </c>
      <c r="P193" s="1" t="s">
        <v>369</v>
      </c>
      <c r="Q193" s="2" t="e">
        <f t="shared" si="70"/>
        <v>#N/A</v>
      </c>
      <c r="R193" s="2">
        <f t="shared" si="71"/>
        <v>0.34172878492033942</v>
      </c>
      <c r="S193" s="2">
        <f t="shared" si="72"/>
        <v>0.82120000000000004</v>
      </c>
      <c r="T193" s="2" t="e">
        <f t="shared" si="73"/>
        <v>#N/A</v>
      </c>
      <c r="U193" s="2">
        <f t="shared" si="74"/>
        <v>0.33705029490021698</v>
      </c>
      <c r="V193" s="2">
        <f t="shared" si="75"/>
        <v>0.80424644113077615</v>
      </c>
      <c r="W193" s="11">
        <f t="shared" si="62"/>
        <v>0.57605638023783312</v>
      </c>
      <c r="X193" s="2">
        <f t="shared" si="63"/>
        <v>0.35893093467165693</v>
      </c>
      <c r="Y193" s="2">
        <f t="shared" si="64"/>
        <v>0.22977073599862108</v>
      </c>
      <c r="Z193" s="2">
        <f t="shared" si="65"/>
        <v>0.05</v>
      </c>
      <c r="AA193" s="2">
        <f t="shared" si="66"/>
        <v>0</v>
      </c>
      <c r="AB193" s="84">
        <f t="shared" si="69"/>
        <v>0.15967541766756951</v>
      </c>
      <c r="AD193" s="46">
        <v>0.25679736244970092</v>
      </c>
      <c r="AE193" s="46">
        <f t="shared" si="67"/>
        <v>0.2933975839591596</v>
      </c>
      <c r="AF193" s="46">
        <f t="shared" si="68"/>
        <v>3.6600221509458686E-2</v>
      </c>
    </row>
    <row r="194" spans="1:32">
      <c r="A194" s="1" t="s">
        <v>113</v>
      </c>
      <c r="B194" s="1" t="s">
        <v>370</v>
      </c>
      <c r="C194" t="e">
        <f>NA()</f>
        <v>#N/A</v>
      </c>
      <c r="D194" s="64" t="e">
        <v>#N/A</v>
      </c>
      <c r="E194" s="2">
        <v>0.35</v>
      </c>
      <c r="F194" s="78" t="e">
        <v>#N/A</v>
      </c>
      <c r="G194" s="65" t="e">
        <v>#N/A</v>
      </c>
      <c r="H194" s="46">
        <v>9.3151693530872048E-2</v>
      </c>
      <c r="I194" s="46"/>
      <c r="J194" s="47" t="e">
        <v>#N/A</v>
      </c>
      <c r="K194" s="47" t="e">
        <v>#N/A</v>
      </c>
      <c r="L194">
        <v>7</v>
      </c>
      <c r="M194" t="e">
        <v>#N/A</v>
      </c>
      <c r="O194" s="1" t="s">
        <v>113</v>
      </c>
      <c r="P194" s="1" t="s">
        <v>370</v>
      </c>
      <c r="Q194" s="2" t="e">
        <f t="shared" si="70"/>
        <v>#N/A</v>
      </c>
      <c r="R194" s="2" t="e">
        <f t="shared" si="71"/>
        <v>#N/A</v>
      </c>
      <c r="S194" s="2">
        <f t="shared" si="72"/>
        <v>0.99650000000000005</v>
      </c>
      <c r="T194" s="2" t="e">
        <f t="shared" si="73"/>
        <v>#N/A</v>
      </c>
      <c r="U194" s="2" t="e">
        <f t="shared" si="74"/>
        <v>#N/A</v>
      </c>
      <c r="V194" s="2">
        <f t="shared" si="75"/>
        <v>0.84474717744854655</v>
      </c>
      <c r="W194" s="11" t="e">
        <f t="shared" si="62"/>
        <v>#N/A</v>
      </c>
      <c r="X194" s="2" t="e">
        <f t="shared" si="63"/>
        <v>#N/A</v>
      </c>
      <c r="Y194" s="2" t="e">
        <f t="shared" si="64"/>
        <v>#N/A</v>
      </c>
      <c r="Z194" s="2">
        <f t="shared" si="65"/>
        <v>0.17499999999999999</v>
      </c>
      <c r="AA194" s="2" t="e">
        <f t="shared" si="66"/>
        <v>#N/A</v>
      </c>
      <c r="AB194" s="84" t="e">
        <f t="shared" si="69"/>
        <v>#N/A</v>
      </c>
      <c r="AD194" s="46">
        <v>0.45030088655824108</v>
      </c>
      <c r="AE194" s="46" t="e">
        <f t="shared" si="67"/>
        <v>#N/A</v>
      </c>
      <c r="AF194" s="46" t="e">
        <f t="shared" si="68"/>
        <v>#N/A</v>
      </c>
    </row>
    <row r="195" spans="1:32">
      <c r="A195" s="1" t="s">
        <v>188</v>
      </c>
      <c r="B195" s="1" t="s">
        <v>371</v>
      </c>
      <c r="C195" t="e">
        <f>NA()</f>
        <v>#N/A</v>
      </c>
      <c r="D195" s="64">
        <v>-0.69791276080991793</v>
      </c>
      <c r="E195" s="2">
        <v>65.760000000000005</v>
      </c>
      <c r="F195" s="78">
        <v>0.94343102908075627</v>
      </c>
      <c r="G195" s="2">
        <v>0.31330843259909041</v>
      </c>
      <c r="H195" s="46">
        <v>0.25110456517017676</v>
      </c>
      <c r="I195" s="46"/>
      <c r="J195" s="47">
        <v>37.672232454057628</v>
      </c>
      <c r="K195" s="47">
        <v>35.944711921538925</v>
      </c>
      <c r="L195">
        <v>-11</v>
      </c>
      <c r="M195">
        <v>60.1</v>
      </c>
      <c r="O195" s="1" t="s">
        <v>188</v>
      </c>
      <c r="P195" s="1" t="s">
        <v>371</v>
      </c>
      <c r="Q195" s="2" t="e">
        <f t="shared" si="70"/>
        <v>#N/A</v>
      </c>
      <c r="R195" s="2">
        <f t="shared" si="71"/>
        <v>0.56979127608099178</v>
      </c>
      <c r="S195" s="2">
        <f t="shared" si="72"/>
        <v>0.34239999999999993</v>
      </c>
      <c r="T195" s="2">
        <f t="shared" si="73"/>
        <v>1</v>
      </c>
      <c r="U195" s="2">
        <f t="shared" si="74"/>
        <v>0.31330843259909041</v>
      </c>
      <c r="V195" s="2">
        <f t="shared" si="75"/>
        <v>0.58149239138303876</v>
      </c>
      <c r="W195" s="11">
        <f t="shared" si="62"/>
        <v>0.56139842001262419</v>
      </c>
      <c r="X195" s="2">
        <f t="shared" si="63"/>
        <v>0.18836116227028815</v>
      </c>
      <c r="Y195" s="2">
        <f t="shared" si="64"/>
        <v>0.37063874173627037</v>
      </c>
      <c r="Z195" s="2">
        <f t="shared" si="65"/>
        <v>0</v>
      </c>
      <c r="AA195" s="2">
        <f t="shared" si="66"/>
        <v>0.85857142857142854</v>
      </c>
      <c r="AB195" s="84">
        <f t="shared" si="69"/>
        <v>0.35439283314449677</v>
      </c>
      <c r="AD195" s="46">
        <v>0.49775610584587726</v>
      </c>
      <c r="AE195" s="46">
        <f t="shared" si="67"/>
        <v>0.4900215143315807</v>
      </c>
      <c r="AF195" s="46">
        <f t="shared" si="68"/>
        <v>7.7345915142965627E-3</v>
      </c>
    </row>
    <row r="196" spans="1:32">
      <c r="A196" s="1" t="s">
        <v>60</v>
      </c>
      <c r="B196" s="1" t="s">
        <v>372</v>
      </c>
      <c r="C196" t="e">
        <f>NA()</f>
        <v>#N/A</v>
      </c>
      <c r="D196" s="64">
        <v>0.71554727077809166</v>
      </c>
      <c r="E196" s="2">
        <v>20.350000000000001</v>
      </c>
      <c r="F196" s="78">
        <v>0.28014760734432242</v>
      </c>
      <c r="G196" s="2">
        <v>0.30349790866404769</v>
      </c>
      <c r="H196" s="46">
        <v>0.49005890944502251</v>
      </c>
      <c r="I196" s="46"/>
      <c r="J196" s="47">
        <v>-22.186719966416362</v>
      </c>
      <c r="K196" s="47">
        <v>8.9787623589229071</v>
      </c>
      <c r="L196">
        <v>7</v>
      </c>
      <c r="M196">
        <v>0</v>
      </c>
      <c r="O196" s="1" t="s">
        <v>60</v>
      </c>
      <c r="P196" s="1" t="s">
        <v>372</v>
      </c>
      <c r="Q196" s="2" t="e">
        <f t="shared" si="70"/>
        <v>#N/A</v>
      </c>
      <c r="R196" s="2">
        <f t="shared" si="71"/>
        <v>0.42844527292219081</v>
      </c>
      <c r="S196" s="2">
        <f t="shared" si="72"/>
        <v>0.79649999999999999</v>
      </c>
      <c r="T196" s="2">
        <f t="shared" si="73"/>
        <v>0.46691267890720406</v>
      </c>
      <c r="U196" s="2">
        <f t="shared" si="74"/>
        <v>0.30349790866404769</v>
      </c>
      <c r="V196" s="2">
        <f t="shared" si="75"/>
        <v>0.18323515092496245</v>
      </c>
      <c r="W196" s="11">
        <f t="shared" si="62"/>
        <v>0.43571820228368097</v>
      </c>
      <c r="X196" s="2">
        <f t="shared" si="63"/>
        <v>0</v>
      </c>
      <c r="Y196" s="2">
        <f t="shared" si="64"/>
        <v>0</v>
      </c>
      <c r="Z196" s="2">
        <f t="shared" si="65"/>
        <v>0.17499999999999999</v>
      </c>
      <c r="AA196" s="2">
        <f t="shared" si="66"/>
        <v>0</v>
      </c>
      <c r="AB196" s="84">
        <f t="shared" si="69"/>
        <v>4.3749999999999997E-2</v>
      </c>
      <c r="AD196" s="46">
        <v>0.2418877512903522</v>
      </c>
      <c r="AE196" s="46">
        <f t="shared" si="67"/>
        <v>0.24723930431475327</v>
      </c>
      <c r="AF196" s="46">
        <f t="shared" si="68"/>
        <v>5.3515530244010734E-3</v>
      </c>
    </row>
    <row r="197" spans="1:32">
      <c r="A197" s="1" t="s">
        <v>33</v>
      </c>
      <c r="B197" s="1" t="s">
        <v>373</v>
      </c>
      <c r="C197" t="e">
        <f>NA()</f>
        <v>#N/A</v>
      </c>
      <c r="D197" s="64">
        <v>-1.8318052955698434</v>
      </c>
      <c r="E197" s="2">
        <v>86.94</v>
      </c>
      <c r="F197" s="78">
        <v>1.3718158471487362E-2</v>
      </c>
      <c r="G197" s="2">
        <v>0.50653111608657053</v>
      </c>
      <c r="H197" s="46">
        <v>0.11708394827260427</v>
      </c>
      <c r="I197" s="46"/>
      <c r="J197" s="47">
        <v>0.970039061232018</v>
      </c>
      <c r="K197" s="47">
        <v>26.742556584709281</v>
      </c>
      <c r="L197">
        <v>3</v>
      </c>
      <c r="M197">
        <v>0</v>
      </c>
      <c r="O197" s="1" t="s">
        <v>33</v>
      </c>
      <c r="P197" s="1" t="s">
        <v>373</v>
      </c>
      <c r="Q197" s="2" t="e">
        <f t="shared" si="70"/>
        <v>#N/A</v>
      </c>
      <c r="R197" s="2">
        <f t="shared" si="71"/>
        <v>0.68318052955698438</v>
      </c>
      <c r="S197" s="2">
        <f t="shared" si="72"/>
        <v>0.13060000000000005</v>
      </c>
      <c r="T197" s="2">
        <f t="shared" si="73"/>
        <v>2.2863597452478939E-2</v>
      </c>
      <c r="U197" s="2">
        <f t="shared" si="74"/>
        <v>0.50653111608657053</v>
      </c>
      <c r="V197" s="2">
        <f t="shared" si="75"/>
        <v>0.80486008621232619</v>
      </c>
      <c r="W197" s="11">
        <f t="shared" si="62"/>
        <v>0.42960706586167208</v>
      </c>
      <c r="X197" s="2">
        <f t="shared" si="63"/>
        <v>4.8501953061600902E-3</v>
      </c>
      <c r="Y197" s="2">
        <f t="shared" si="64"/>
        <v>0.23917937978156115</v>
      </c>
      <c r="Z197" s="2">
        <f t="shared" si="65"/>
        <v>7.4999999999999997E-2</v>
      </c>
      <c r="AA197" s="2">
        <f t="shared" si="66"/>
        <v>0</v>
      </c>
      <c r="AB197" s="84">
        <f t="shared" si="69"/>
        <v>7.9757393771930307E-2</v>
      </c>
      <c r="AD197" s="46">
        <v>0.26933054316460192</v>
      </c>
      <c r="AE197" s="46">
        <f t="shared" si="67"/>
        <v>0.27063630122262211</v>
      </c>
      <c r="AF197" s="46">
        <f t="shared" si="68"/>
        <v>1.30575805802019E-3</v>
      </c>
    </row>
    <row r="198" spans="1:32">
      <c r="A198" s="1" t="s">
        <v>14</v>
      </c>
      <c r="B198" s="1" t="s">
        <v>374</v>
      </c>
      <c r="C198" t="e">
        <f>NA()</f>
        <v>#N/A</v>
      </c>
      <c r="D198" s="64">
        <v>-0.72227614559833087</v>
      </c>
      <c r="E198" s="2">
        <v>100</v>
      </c>
      <c r="F198" s="78">
        <v>7.9932278465311944E-3</v>
      </c>
      <c r="G198" s="2">
        <v>0.17222220153446818</v>
      </c>
      <c r="H198" s="46">
        <v>0.97533137116040769</v>
      </c>
      <c r="I198" s="46"/>
      <c r="J198" s="47">
        <v>13.203357857400791</v>
      </c>
      <c r="K198" s="47">
        <v>15.396830195850535</v>
      </c>
      <c r="L198">
        <v>0</v>
      </c>
      <c r="M198">
        <v>0</v>
      </c>
      <c r="O198" s="1" t="s">
        <v>14</v>
      </c>
      <c r="P198" s="1" t="s">
        <v>374</v>
      </c>
      <c r="Q198" s="2" t="e">
        <f t="shared" si="70"/>
        <v>#N/A</v>
      </c>
      <c r="R198" s="2">
        <f t="shared" si="71"/>
        <v>0.57222761455983306</v>
      </c>
      <c r="S198" s="2">
        <f t="shared" si="72"/>
        <v>0</v>
      </c>
      <c r="T198" s="2">
        <f t="shared" si="73"/>
        <v>1.3322046410885325E-2</v>
      </c>
      <c r="U198" s="2">
        <f t="shared" si="74"/>
        <v>0.17222220153446818</v>
      </c>
      <c r="V198" s="2">
        <f t="shared" si="75"/>
        <v>0</v>
      </c>
      <c r="W198" s="11">
        <f t="shared" si="62"/>
        <v>0.15155437250103732</v>
      </c>
      <c r="X198" s="2">
        <f t="shared" si="63"/>
        <v>6.6016789287003955E-2</v>
      </c>
      <c r="Y198" s="2">
        <f t="shared" si="64"/>
        <v>7.7097574226436219E-2</v>
      </c>
      <c r="Z198" s="2">
        <f t="shared" si="65"/>
        <v>0</v>
      </c>
      <c r="AA198" s="2">
        <f t="shared" si="66"/>
        <v>0</v>
      </c>
      <c r="AB198" s="84">
        <f t="shared" si="69"/>
        <v>3.5778590878360043E-2</v>
      </c>
      <c r="AD198" s="46">
        <v>0.16386213909167979</v>
      </c>
      <c r="AE198" s="46">
        <f t="shared" si="67"/>
        <v>0.14647204740057398</v>
      </c>
      <c r="AF198" s="46">
        <f t="shared" si="68"/>
        <v>1.7390091691105808E-2</v>
      </c>
    </row>
    <row r="199" spans="1:32">
      <c r="A199" s="1" t="s">
        <v>6</v>
      </c>
      <c r="B199" s="1" t="s">
        <v>375</v>
      </c>
      <c r="C199" t="e">
        <f>NA()</f>
        <v>#N/A</v>
      </c>
      <c r="D199" s="64">
        <v>1.545180805358235</v>
      </c>
      <c r="E199" s="2">
        <v>49.35</v>
      </c>
      <c r="F199" s="78">
        <v>2.3480166224653966E-2</v>
      </c>
      <c r="G199" s="2">
        <v>0.58748301730757879</v>
      </c>
      <c r="H199" s="46">
        <v>0.75319096649422035</v>
      </c>
      <c r="I199" s="46"/>
      <c r="J199" s="47">
        <v>55.037951069961153</v>
      </c>
      <c r="K199" s="47">
        <v>7.6371767245663138</v>
      </c>
      <c r="L199">
        <v>1</v>
      </c>
      <c r="M199">
        <v>0</v>
      </c>
      <c r="O199" s="1" t="s">
        <v>6</v>
      </c>
      <c r="P199" s="1" t="s">
        <v>375</v>
      </c>
      <c r="Q199" s="2" t="e">
        <f t="shared" si="70"/>
        <v>#N/A</v>
      </c>
      <c r="R199" s="2">
        <f t="shared" si="71"/>
        <v>0.3454819194641765</v>
      </c>
      <c r="S199" s="2">
        <f t="shared" si="72"/>
        <v>0.50649999999999995</v>
      </c>
      <c r="T199" s="2">
        <f t="shared" si="73"/>
        <v>3.9133610374423276E-2</v>
      </c>
      <c r="U199" s="2">
        <f t="shared" si="74"/>
        <v>0.58748301730757879</v>
      </c>
      <c r="V199" s="2">
        <f t="shared" si="75"/>
        <v>0</v>
      </c>
      <c r="W199" s="11">
        <f t="shared" si="62"/>
        <v>0.2957197094292357</v>
      </c>
      <c r="X199" s="2">
        <f t="shared" si="63"/>
        <v>0.27518975534980578</v>
      </c>
      <c r="Y199" s="2">
        <f t="shared" si="64"/>
        <v>0</v>
      </c>
      <c r="Z199" s="2">
        <f t="shared" si="65"/>
        <v>2.5000000000000001E-2</v>
      </c>
      <c r="AA199" s="2">
        <f t="shared" si="66"/>
        <v>0</v>
      </c>
      <c r="AB199" s="84">
        <f t="shared" si="69"/>
        <v>7.504743883745145E-2</v>
      </c>
      <c r="AD199" s="46">
        <v>0.18054363107450833</v>
      </c>
      <c r="AE199" s="46">
        <f t="shared" si="67"/>
        <v>0.18520713479649042</v>
      </c>
      <c r="AF199" s="46">
        <f t="shared" si="68"/>
        <v>4.6635037219820985E-3</v>
      </c>
    </row>
    <row r="200" spans="1:32">
      <c r="A200" s="1" t="s">
        <v>10</v>
      </c>
      <c r="B200" s="1" t="s">
        <v>376</v>
      </c>
      <c r="C200" t="e">
        <f>NA()</f>
        <v>#N/A</v>
      </c>
      <c r="D200" s="64">
        <v>5.6266749411773862</v>
      </c>
      <c r="E200" s="2">
        <v>1.47</v>
      </c>
      <c r="F200" s="78">
        <v>0.15935180158013701</v>
      </c>
      <c r="G200" s="2">
        <v>0.31093077509288125</v>
      </c>
      <c r="H200" s="46">
        <v>0.42083947065588256</v>
      </c>
      <c r="I200" s="46"/>
      <c r="J200" s="47">
        <v>31.12141650474884</v>
      </c>
      <c r="K200" s="47">
        <v>52.653563297718186</v>
      </c>
      <c r="L200">
        <v>1</v>
      </c>
      <c r="M200">
        <v>0</v>
      </c>
      <c r="O200" s="1" t="s">
        <v>10</v>
      </c>
      <c r="P200" s="1" t="s">
        <v>376</v>
      </c>
      <c r="Q200" s="2" t="e">
        <f t="shared" si="70"/>
        <v>#N/A</v>
      </c>
      <c r="R200" s="2">
        <f t="shared" si="71"/>
        <v>0</v>
      </c>
      <c r="S200" s="2">
        <f t="shared" si="72"/>
        <v>0.98529999999999995</v>
      </c>
      <c r="T200" s="2">
        <f t="shared" si="73"/>
        <v>0.26558633596689502</v>
      </c>
      <c r="U200" s="2">
        <f t="shared" si="74"/>
        <v>0.31093077509288125</v>
      </c>
      <c r="V200" s="2">
        <f t="shared" si="75"/>
        <v>0.29860088224019565</v>
      </c>
      <c r="W200" s="11">
        <f t="shared" si="62"/>
        <v>0.3720835986599943</v>
      </c>
      <c r="X200" s="2">
        <f t="shared" si="63"/>
        <v>0.15560708252374419</v>
      </c>
      <c r="Y200" s="2">
        <f t="shared" si="64"/>
        <v>0.60933661853883125</v>
      </c>
      <c r="Z200" s="2">
        <f t="shared" si="65"/>
        <v>2.5000000000000001E-2</v>
      </c>
      <c r="AA200" s="2">
        <f t="shared" si="66"/>
        <v>0</v>
      </c>
      <c r="AB200" s="84">
        <f t="shared" si="69"/>
        <v>0.19748592526564387</v>
      </c>
      <c r="AD200" s="46">
        <v>0.18580276801468162</v>
      </c>
      <c r="AE200" s="46">
        <f t="shared" si="67"/>
        <v>0.21544327656711834</v>
      </c>
      <c r="AF200" s="46">
        <f t="shared" si="68"/>
        <v>2.9640508552436717E-2</v>
      </c>
    </row>
    <row r="201" spans="1:32">
      <c r="A201" s="1" t="s">
        <v>139</v>
      </c>
      <c r="B201" s="1" t="s">
        <v>377</v>
      </c>
      <c r="C201" t="e">
        <f>NA()</f>
        <v>#N/A</v>
      </c>
      <c r="D201" s="64">
        <v>0.17901402818787249</v>
      </c>
      <c r="E201" s="2">
        <v>12.88</v>
      </c>
      <c r="F201" s="78">
        <v>0.71706335687095479</v>
      </c>
      <c r="G201" s="2">
        <v>0.39435474981760893</v>
      </c>
      <c r="H201" s="46">
        <v>0.12555228258508833</v>
      </c>
      <c r="I201" s="46"/>
      <c r="J201" s="47">
        <v>7.7121555968837283</v>
      </c>
      <c r="K201" s="47">
        <v>21.264653434898761</v>
      </c>
      <c r="L201">
        <v>0</v>
      </c>
      <c r="M201" t="e">
        <v>#N/A</v>
      </c>
      <c r="O201" s="1" t="s">
        <v>139</v>
      </c>
      <c r="P201" s="1" t="s">
        <v>377</v>
      </c>
      <c r="Q201" s="2" t="e">
        <f t="shared" si="70"/>
        <v>#N/A</v>
      </c>
      <c r="R201" s="2">
        <f t="shared" si="71"/>
        <v>0.48209859718121284</v>
      </c>
      <c r="S201" s="2">
        <f t="shared" si="72"/>
        <v>0.87119999999999997</v>
      </c>
      <c r="T201" s="2">
        <f t="shared" si="73"/>
        <v>1</v>
      </c>
      <c r="U201" s="2">
        <f t="shared" si="74"/>
        <v>0.39435474981760893</v>
      </c>
      <c r="V201" s="2">
        <f t="shared" si="75"/>
        <v>0.79074619569151938</v>
      </c>
      <c r="W201" s="11">
        <f t="shared" si="62"/>
        <v>0.70767990853806817</v>
      </c>
      <c r="X201" s="2">
        <f t="shared" si="63"/>
        <v>3.8560777984418641E-2</v>
      </c>
      <c r="Y201" s="2">
        <f t="shared" si="64"/>
        <v>0.16092362049855374</v>
      </c>
      <c r="Z201" s="2">
        <f t="shared" si="65"/>
        <v>0</v>
      </c>
      <c r="AA201" s="2" t="e">
        <f t="shared" si="66"/>
        <v>#N/A</v>
      </c>
      <c r="AB201" s="84">
        <f t="shared" si="69"/>
        <v>6.6494799494324131E-2</v>
      </c>
      <c r="AD201" s="46">
        <v>0.23664226603738905</v>
      </c>
      <c r="AE201" s="46">
        <f t="shared" si="67"/>
        <v>0.28738767047166586</v>
      </c>
      <c r="AF201" s="46">
        <f t="shared" si="68"/>
        <v>5.0745404434276803E-2</v>
      </c>
    </row>
    <row r="202" spans="1:32">
      <c r="A202" s="1" t="s">
        <v>168</v>
      </c>
      <c r="B202" s="1" t="s">
        <v>378</v>
      </c>
      <c r="C202" t="e">
        <f>NA()</f>
        <v>#N/A</v>
      </c>
      <c r="D202" s="64" t="e">
        <v>#N/A</v>
      </c>
      <c r="E202" s="2">
        <v>24.59</v>
      </c>
      <c r="F202" s="78">
        <v>0.40084354472379674</v>
      </c>
      <c r="G202" s="2">
        <v>0.54371594986710581</v>
      </c>
      <c r="H202" s="46">
        <v>0.18618065804543404</v>
      </c>
      <c r="I202" s="46"/>
      <c r="J202" s="47">
        <v>66.809535742330112</v>
      </c>
      <c r="K202" s="47">
        <v>74.112864980252027</v>
      </c>
      <c r="L202">
        <v>18</v>
      </c>
      <c r="M202" t="e">
        <v>#N/A</v>
      </c>
      <c r="O202" s="1" t="s">
        <v>168</v>
      </c>
      <c r="P202" s="1" t="s">
        <v>378</v>
      </c>
      <c r="Q202" s="2" t="e">
        <f t="shared" si="70"/>
        <v>#N/A</v>
      </c>
      <c r="R202" s="2" t="e">
        <f t="shared" si="71"/>
        <v>#N/A</v>
      </c>
      <c r="S202" s="2">
        <f t="shared" si="72"/>
        <v>0.75409999999999999</v>
      </c>
      <c r="T202" s="2">
        <f t="shared" si="73"/>
        <v>0.66807257453966129</v>
      </c>
      <c r="U202" s="2">
        <f t="shared" si="74"/>
        <v>0.54371594986710581</v>
      </c>
      <c r="V202" s="2">
        <f t="shared" si="75"/>
        <v>0.68969890325760996</v>
      </c>
      <c r="W202" s="11">
        <f t="shared" si="62"/>
        <v>0.66389685691609435</v>
      </c>
      <c r="X202" s="2">
        <f t="shared" si="63"/>
        <v>0.33404767871165059</v>
      </c>
      <c r="Y202" s="2">
        <f t="shared" si="64"/>
        <v>0.91589807114645749</v>
      </c>
      <c r="Z202" s="2">
        <f t="shared" si="65"/>
        <v>0.45</v>
      </c>
      <c r="AA202" s="2" t="e">
        <f t="shared" si="66"/>
        <v>#N/A</v>
      </c>
      <c r="AB202" s="84">
        <f t="shared" si="69"/>
        <v>0.56664858328603607</v>
      </c>
      <c r="AD202" s="46">
        <v>0.40884989618379097</v>
      </c>
      <c r="AE202" s="46">
        <f t="shared" si="67"/>
        <v>0.46662048867077577</v>
      </c>
      <c r="AF202" s="46">
        <f t="shared" si="68"/>
        <v>5.7770592486984795E-2</v>
      </c>
    </row>
    <row r="203" spans="1:32">
      <c r="A203" s="1" t="s">
        <v>9</v>
      </c>
      <c r="B203" s="1" t="s">
        <v>379</v>
      </c>
      <c r="C203" t="e">
        <f>NA()</f>
        <v>#N/A</v>
      </c>
      <c r="D203" s="64">
        <v>1.3022037601036223</v>
      </c>
      <c r="E203" s="2">
        <v>100</v>
      </c>
      <c r="F203" s="78">
        <v>0.15466440232687725</v>
      </c>
      <c r="G203" s="2">
        <v>0.35007905738447503</v>
      </c>
      <c r="H203" s="46">
        <v>0.44538537047916493</v>
      </c>
      <c r="I203" s="46"/>
      <c r="J203" s="47">
        <v>23.036626738610451</v>
      </c>
      <c r="K203" s="47">
        <v>11.40041528986908</v>
      </c>
      <c r="L203">
        <v>37</v>
      </c>
      <c r="M203">
        <v>32</v>
      </c>
      <c r="O203" s="1" t="s">
        <v>9</v>
      </c>
      <c r="P203" s="1" t="s">
        <v>379</v>
      </c>
      <c r="Q203" s="2" t="e">
        <f t="shared" si="70"/>
        <v>#N/A</v>
      </c>
      <c r="R203" s="2">
        <f t="shared" si="71"/>
        <v>0.36977962398963782</v>
      </c>
      <c r="S203" s="2">
        <f t="shared" si="72"/>
        <v>0</v>
      </c>
      <c r="T203" s="2">
        <f t="shared" si="73"/>
        <v>0.25777400387812877</v>
      </c>
      <c r="U203" s="2">
        <f t="shared" si="74"/>
        <v>0.35007905738447503</v>
      </c>
      <c r="V203" s="2">
        <f t="shared" si="75"/>
        <v>0.25769104920139174</v>
      </c>
      <c r="W203" s="11">
        <f t="shared" si="62"/>
        <v>0.24706474689072669</v>
      </c>
      <c r="X203" s="2">
        <f t="shared" si="63"/>
        <v>0.11518313369305226</v>
      </c>
      <c r="Y203" s="2">
        <f t="shared" si="64"/>
        <v>2.0005932712415436E-2</v>
      </c>
      <c r="Z203" s="2">
        <f t="shared" si="65"/>
        <v>0.92500000000000004</v>
      </c>
      <c r="AA203" s="2">
        <f t="shared" si="66"/>
        <v>0.45714285714285713</v>
      </c>
      <c r="AB203" s="84">
        <f t="shared" si="69"/>
        <v>0.37933298088708117</v>
      </c>
      <c r="AD203" s="46">
        <v>0.22441711028689174</v>
      </c>
      <c r="AE203" s="46">
        <f t="shared" si="67"/>
        <v>0.24662625166325336</v>
      </c>
      <c r="AF203" s="46">
        <f t="shared" si="68"/>
        <v>2.2209141376361624E-2</v>
      </c>
    </row>
    <row r="204" spans="1:32">
      <c r="A204" s="1" t="s">
        <v>160</v>
      </c>
      <c r="B204" s="1" t="s">
        <v>380</v>
      </c>
      <c r="C204" t="e">
        <f>NA()</f>
        <v>#N/A</v>
      </c>
      <c r="D204" s="64">
        <v>0.13732936882348246</v>
      </c>
      <c r="E204" s="2">
        <v>36.65</v>
      </c>
      <c r="F204" s="78">
        <v>0.48837325877718313</v>
      </c>
      <c r="G204" s="2">
        <v>0.76472883593510688</v>
      </c>
      <c r="H204" s="46">
        <v>0.21060382885240636</v>
      </c>
      <c r="I204" s="46"/>
      <c r="J204" s="47">
        <v>159.39596293438177</v>
      </c>
      <c r="K204" s="47">
        <v>24.631214402042275</v>
      </c>
      <c r="L204">
        <v>27</v>
      </c>
      <c r="M204">
        <v>35.200000000000003</v>
      </c>
      <c r="O204" s="1" t="s">
        <v>160</v>
      </c>
      <c r="P204" s="1" t="s">
        <v>380</v>
      </c>
      <c r="Q204" s="2" t="e">
        <f t="shared" si="70"/>
        <v>#N/A</v>
      </c>
      <c r="R204" s="2">
        <f t="shared" si="71"/>
        <v>0.48626706311765178</v>
      </c>
      <c r="S204" s="2">
        <f t="shared" si="72"/>
        <v>0.63349999999999995</v>
      </c>
      <c r="T204" s="2">
        <f t="shared" si="73"/>
        <v>0.81395543129530523</v>
      </c>
      <c r="U204" s="2">
        <f t="shared" si="74"/>
        <v>0.76472883593510688</v>
      </c>
      <c r="V204" s="2">
        <f t="shared" si="75"/>
        <v>0.6489936185793227</v>
      </c>
      <c r="W204" s="11">
        <f t="shared" si="62"/>
        <v>0.66948898978547733</v>
      </c>
      <c r="X204" s="2">
        <f t="shared" si="63"/>
        <v>0.79697981467190881</v>
      </c>
      <c r="Y204" s="2">
        <f t="shared" si="64"/>
        <v>0.20901734860060392</v>
      </c>
      <c r="Z204" s="2">
        <f t="shared" si="65"/>
        <v>0.67500000000000004</v>
      </c>
      <c r="AA204" s="2">
        <f t="shared" si="66"/>
        <v>0.50285714285714289</v>
      </c>
      <c r="AB204" s="84">
        <f t="shared" si="69"/>
        <v>0.5459635765324139</v>
      </c>
      <c r="AD204" s="46">
        <v>0.27016880610970867</v>
      </c>
      <c r="AE204" s="46">
        <f t="shared" si="67"/>
        <v>0.36410153338454698</v>
      </c>
      <c r="AF204" s="46">
        <f t="shared" si="68"/>
        <v>9.3932727274838312E-2</v>
      </c>
    </row>
    <row r="205" spans="1:32">
      <c r="A205" s="1" t="s">
        <v>153</v>
      </c>
      <c r="B205" s="1" t="s">
        <v>381</v>
      </c>
      <c r="C205" t="e">
        <f>NA()</f>
        <v>#N/A</v>
      </c>
      <c r="D205" s="64">
        <v>4.9358262819787058E-2</v>
      </c>
      <c r="E205" s="2">
        <v>0.56000000000000005</v>
      </c>
      <c r="F205" s="78" t="e">
        <v>#N/A</v>
      </c>
      <c r="G205" s="2">
        <v>0.36713318135422596</v>
      </c>
      <c r="H205" s="46">
        <v>0.20655375522062935</v>
      </c>
      <c r="I205" s="46"/>
      <c r="J205" s="47">
        <v>60.202048367267849</v>
      </c>
      <c r="K205" s="47">
        <v>30.6201467935519</v>
      </c>
      <c r="L205">
        <v>61</v>
      </c>
      <c r="M205">
        <v>76.8</v>
      </c>
      <c r="O205" s="1" t="s">
        <v>153</v>
      </c>
      <c r="P205" s="1" t="s">
        <v>381</v>
      </c>
      <c r="Q205" s="2" t="e">
        <f t="shared" si="70"/>
        <v>#N/A</v>
      </c>
      <c r="R205" s="2">
        <f t="shared" si="71"/>
        <v>0.49506417371802125</v>
      </c>
      <c r="S205" s="2">
        <f t="shared" si="72"/>
        <v>0.99439999999999995</v>
      </c>
      <c r="T205" s="2" t="e">
        <f t="shared" si="73"/>
        <v>#N/A</v>
      </c>
      <c r="U205" s="2">
        <f t="shared" si="74"/>
        <v>0.36713318135422596</v>
      </c>
      <c r="V205" s="2">
        <f t="shared" si="75"/>
        <v>0.65574374129895108</v>
      </c>
      <c r="W205" s="11">
        <f t="shared" si="62"/>
        <v>0.62808527409279957</v>
      </c>
      <c r="X205" s="2">
        <f t="shared" si="63"/>
        <v>0.30101024183633923</v>
      </c>
      <c r="Y205" s="2">
        <f t="shared" si="64"/>
        <v>0.29457352562216998</v>
      </c>
      <c r="Z205" s="2">
        <f t="shared" si="65"/>
        <v>1</v>
      </c>
      <c r="AA205" s="2">
        <f t="shared" si="66"/>
        <v>1</v>
      </c>
      <c r="AB205" s="84">
        <f t="shared" si="69"/>
        <v>0.64889594186462729</v>
      </c>
      <c r="AD205" s="46">
        <v>0.47087801862313006</v>
      </c>
      <c r="AE205" s="46">
        <f t="shared" si="67"/>
        <v>0.5162752298447767</v>
      </c>
      <c r="AF205" s="46">
        <f t="shared" si="68"/>
        <v>4.5397211221646638E-2</v>
      </c>
    </row>
    <row r="206" spans="1:32">
      <c r="A206" s="1" t="s">
        <v>145</v>
      </c>
      <c r="B206" s="1" t="s">
        <v>382</v>
      </c>
      <c r="C206" t="e">
        <f>NA()</f>
        <v>#N/A</v>
      </c>
      <c r="D206" s="64">
        <v>1.5658923754106022</v>
      </c>
      <c r="E206" s="2">
        <v>0.14016089527598477</v>
      </c>
      <c r="F206" s="78">
        <v>0.30441755196708253</v>
      </c>
      <c r="G206" s="2">
        <v>0.16102775791793172</v>
      </c>
      <c r="H206" s="46">
        <v>0.1903534606935211</v>
      </c>
      <c r="I206" s="46"/>
      <c r="J206" s="47">
        <v>24.865045923561553</v>
      </c>
      <c r="K206" s="47">
        <v>31.437584098415204</v>
      </c>
      <c r="L206">
        <v>16</v>
      </c>
      <c r="M206">
        <v>57.3</v>
      </c>
      <c r="O206" s="1" t="s">
        <v>145</v>
      </c>
      <c r="P206" s="1" t="s">
        <v>382</v>
      </c>
      <c r="Q206" s="2" t="e">
        <f t="shared" si="70"/>
        <v>#N/A</v>
      </c>
      <c r="R206" s="2">
        <f t="shared" si="71"/>
        <v>0.34341076245893976</v>
      </c>
      <c r="S206" s="2">
        <f t="shared" si="72"/>
        <v>0.99859839104724013</v>
      </c>
      <c r="T206" s="2">
        <f t="shared" si="73"/>
        <v>0.50736258661180422</v>
      </c>
      <c r="U206" s="2">
        <f t="shared" si="74"/>
        <v>0.16102775791793172</v>
      </c>
      <c r="V206" s="2">
        <f t="shared" si="75"/>
        <v>0.68274423217746483</v>
      </c>
      <c r="W206" s="11">
        <f t="shared" si="62"/>
        <v>0.53862874604267608</v>
      </c>
      <c r="X206" s="2">
        <f t="shared" si="63"/>
        <v>0.12432522961780776</v>
      </c>
      <c r="Y206" s="2">
        <f t="shared" si="64"/>
        <v>0.30625120140593148</v>
      </c>
      <c r="Z206" s="2">
        <f t="shared" si="65"/>
        <v>0.4</v>
      </c>
      <c r="AA206" s="2">
        <f t="shared" si="66"/>
        <v>0.81857142857142851</v>
      </c>
      <c r="AB206" s="84">
        <f t="shared" si="69"/>
        <v>0.41228696489879191</v>
      </c>
      <c r="AD206" s="46">
        <v>0.53218719446422769</v>
      </c>
      <c r="AE206" s="46">
        <f t="shared" si="67"/>
        <v>0.51862982596818208</v>
      </c>
      <c r="AF206" s="46">
        <f t="shared" si="68"/>
        <v>1.3557368496045608E-2</v>
      </c>
    </row>
    <row r="207" spans="1:32">
      <c r="A207" s="1" t="s">
        <v>138</v>
      </c>
      <c r="B207" s="1" t="s">
        <v>383</v>
      </c>
      <c r="C207" t="e">
        <f>NA()</f>
        <v>#N/A</v>
      </c>
      <c r="D207" s="64">
        <v>-0.19781253045985292</v>
      </c>
      <c r="E207" s="2">
        <v>0.17234982955506969</v>
      </c>
      <c r="F207" s="78">
        <v>0.63157838494768481</v>
      </c>
      <c r="G207" s="2">
        <v>0.18864757056577322</v>
      </c>
      <c r="H207" s="46">
        <v>0.16200294527108183</v>
      </c>
      <c r="I207" s="46"/>
      <c r="J207" s="47">
        <v>162.04643186866053</v>
      </c>
      <c r="K207" s="47">
        <v>33.886585859716817</v>
      </c>
      <c r="L207">
        <v>19</v>
      </c>
      <c r="M207">
        <v>24.1</v>
      </c>
      <c r="O207" s="1" t="s">
        <v>138</v>
      </c>
      <c r="P207" s="1" t="s">
        <v>383</v>
      </c>
      <c r="Q207" s="2" t="e">
        <f t="shared" si="70"/>
        <v>#N/A</v>
      </c>
      <c r="R207" s="2">
        <f t="shared" si="71"/>
        <v>0.51978125304598533</v>
      </c>
      <c r="S207" s="2">
        <f t="shared" si="72"/>
        <v>0.99827650170444926</v>
      </c>
      <c r="T207" s="2">
        <f t="shared" si="73"/>
        <v>1</v>
      </c>
      <c r="U207" s="2">
        <f t="shared" si="74"/>
        <v>0.18864757056577322</v>
      </c>
      <c r="V207" s="2">
        <f t="shared" si="75"/>
        <v>0.72999509121486361</v>
      </c>
      <c r="W207" s="11">
        <f t="shared" si="62"/>
        <v>0.68734008330621421</v>
      </c>
      <c r="X207" s="2">
        <f t="shared" si="63"/>
        <v>0.81023215934330262</v>
      </c>
      <c r="Y207" s="2">
        <f t="shared" si="64"/>
        <v>0.34123694085309736</v>
      </c>
      <c r="Z207" s="2">
        <f t="shared" si="65"/>
        <v>0.47499999999999998</v>
      </c>
      <c r="AA207" s="2">
        <f t="shared" si="66"/>
        <v>0.34428571428571431</v>
      </c>
      <c r="AB207" s="84">
        <f t="shared" si="69"/>
        <v>0.49268870362052852</v>
      </c>
      <c r="AD207" s="46">
        <v>0.44705814048574682</v>
      </c>
      <c r="AE207" s="46">
        <f t="shared" si="67"/>
        <v>0.48899547280821548</v>
      </c>
      <c r="AF207" s="46">
        <f t="shared" si="68"/>
        <v>4.1937332322468657E-2</v>
      </c>
    </row>
  </sheetData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800000"/>
  </sheetPr>
  <dimension ref="A1:AJ207"/>
  <sheetViews>
    <sheetView workbookViewId="0">
      <selection activeCell="AB15" sqref="AB15:AB207"/>
    </sheetView>
  </sheetViews>
  <sheetFormatPr baseColWidth="10" defaultRowHeight="15" x14ac:dyDescent="0"/>
  <cols>
    <col min="2" max="2" width="24.83203125" customWidth="1"/>
    <col min="11" max="11" width="16.6640625" customWidth="1"/>
    <col min="12" max="12" width="17.1640625" customWidth="1"/>
    <col min="28" max="28" width="21.83203125" customWidth="1"/>
  </cols>
  <sheetData>
    <row r="1" spans="1:36">
      <c r="C1" s="46">
        <f>AVERAGE(C4:C184)</f>
        <v>0.32948313796645196</v>
      </c>
      <c r="D1" s="46">
        <f>AVERAGE(D4:D184)</f>
        <v>0.34858959029608311</v>
      </c>
      <c r="G1">
        <f t="array" ref="G1">AVERAGE(ABS(G4:G184))</f>
        <v>10.270718232044199</v>
      </c>
    </row>
    <row r="3" spans="1:36" ht="30">
      <c r="C3" s="24" t="s">
        <v>532</v>
      </c>
      <c r="D3" s="24" t="s">
        <v>531</v>
      </c>
      <c r="E3" s="24" t="s">
        <v>533</v>
      </c>
      <c r="F3" s="24" t="s">
        <v>534</v>
      </c>
      <c r="G3" s="24" t="s">
        <v>536</v>
      </c>
      <c r="H3" s="24" t="s">
        <v>537</v>
      </c>
      <c r="I3" s="24"/>
      <c r="AA3" s="5"/>
      <c r="AB3" s="3"/>
      <c r="AC3" s="10" t="s">
        <v>400</v>
      </c>
      <c r="AD3" s="81" t="s">
        <v>526</v>
      </c>
    </row>
    <row r="4" spans="1:36">
      <c r="A4" s="14" t="s">
        <v>16</v>
      </c>
      <c r="B4" s="13" t="s">
        <v>255</v>
      </c>
      <c r="C4" s="46">
        <v>0.13954152344871021</v>
      </c>
      <c r="D4" s="46">
        <v>0.12255728487101479</v>
      </c>
      <c r="E4" s="28">
        <v>5</v>
      </c>
      <c r="F4" s="92">
        <v>1</v>
      </c>
      <c r="G4" s="93">
        <f t="shared" ref="G4:G35" si="0">E4-F4</f>
        <v>4</v>
      </c>
      <c r="H4" s="94">
        <f t="shared" ref="H4:H35" si="1">D4-C4</f>
        <v>-1.6984238577695418E-2</v>
      </c>
      <c r="I4" s="93"/>
      <c r="K4" s="13" t="s">
        <v>238</v>
      </c>
      <c r="L4" s="89" t="s">
        <v>255</v>
      </c>
      <c r="AA4" s="1" t="s">
        <v>44</v>
      </c>
      <c r="AB4" s="1" t="s">
        <v>255</v>
      </c>
      <c r="AC4" s="11">
        <v>0.1390787675948886</v>
      </c>
      <c r="AD4" s="84">
        <v>0</v>
      </c>
      <c r="AG4" s="1" t="s">
        <v>255</v>
      </c>
      <c r="AH4" s="84">
        <v>0</v>
      </c>
      <c r="AI4" s="1" t="s">
        <v>304</v>
      </c>
      <c r="AJ4" s="84">
        <v>0.58667219523662573</v>
      </c>
    </row>
    <row r="5" spans="1:36">
      <c r="A5" s="15" t="s">
        <v>29</v>
      </c>
      <c r="B5" s="13" t="s">
        <v>292</v>
      </c>
      <c r="C5" s="46">
        <v>0.16329216659172788</v>
      </c>
      <c r="D5" s="46">
        <v>0.12461579663653798</v>
      </c>
      <c r="E5" s="28">
        <v>9</v>
      </c>
      <c r="F5" s="92">
        <v>2</v>
      </c>
      <c r="G5" s="93">
        <f t="shared" si="0"/>
        <v>7</v>
      </c>
      <c r="H5" s="94">
        <f t="shared" si="1"/>
        <v>-3.8676369955189902E-2</v>
      </c>
      <c r="I5" s="93"/>
      <c r="K5" s="13" t="s">
        <v>251</v>
      </c>
      <c r="L5" s="89" t="s">
        <v>292</v>
      </c>
      <c r="AA5" s="1" t="s">
        <v>15</v>
      </c>
      <c r="AB5" s="1" t="s">
        <v>204</v>
      </c>
      <c r="AC5" s="11">
        <v>0.49624145068494979</v>
      </c>
      <c r="AD5" s="84">
        <v>2.1339828959423789E-2</v>
      </c>
      <c r="AG5" s="1" t="s">
        <v>204</v>
      </c>
      <c r="AH5" s="84">
        <v>2.1339828959423789E-2</v>
      </c>
      <c r="AI5" s="1" t="s">
        <v>211</v>
      </c>
      <c r="AJ5" s="84">
        <v>0.58802335566459163</v>
      </c>
    </row>
    <row r="6" spans="1:36">
      <c r="A6" s="14" t="s">
        <v>61</v>
      </c>
      <c r="B6" s="13" t="s">
        <v>358</v>
      </c>
      <c r="C6" s="46">
        <v>0.13858244171683301</v>
      </c>
      <c r="D6" s="46">
        <v>0.12650054422704934</v>
      </c>
      <c r="E6" s="28">
        <v>4</v>
      </c>
      <c r="F6" s="92">
        <v>3</v>
      </c>
      <c r="G6" s="93">
        <f t="shared" si="0"/>
        <v>1</v>
      </c>
      <c r="H6" s="94">
        <f t="shared" si="1"/>
        <v>-1.2081897489783666E-2</v>
      </c>
      <c r="I6" s="93"/>
      <c r="K6" s="13" t="s">
        <v>237</v>
      </c>
      <c r="L6" s="89" t="s">
        <v>358</v>
      </c>
      <c r="AA6" s="1" t="s">
        <v>50</v>
      </c>
      <c r="AB6" s="1" t="s">
        <v>237</v>
      </c>
      <c r="AC6" s="11">
        <v>0.18477593984673377</v>
      </c>
      <c r="AD6" s="84">
        <v>3.0449560622350023E-2</v>
      </c>
      <c r="AG6" s="1" t="s">
        <v>237</v>
      </c>
      <c r="AH6" s="84">
        <v>3.0449560622350023E-2</v>
      </c>
      <c r="AI6" s="1" t="s">
        <v>310</v>
      </c>
      <c r="AJ6" s="84">
        <v>0.60404449164715113</v>
      </c>
    </row>
    <row r="7" spans="1:36">
      <c r="A7" s="15" t="s">
        <v>189</v>
      </c>
      <c r="B7" s="13" t="s">
        <v>251</v>
      </c>
      <c r="C7" s="46">
        <v>0.12667107082012879</v>
      </c>
      <c r="D7" s="46">
        <v>0.13169250177468692</v>
      </c>
      <c r="E7" s="28">
        <v>2</v>
      </c>
      <c r="F7" s="92">
        <v>4</v>
      </c>
      <c r="G7" s="93">
        <f t="shared" si="0"/>
        <v>-2</v>
      </c>
      <c r="H7" s="94">
        <f t="shared" si="1"/>
        <v>5.0214309545581204E-3</v>
      </c>
      <c r="I7" s="93"/>
      <c r="K7" s="13" t="s">
        <v>358</v>
      </c>
      <c r="L7" s="90" t="s">
        <v>251</v>
      </c>
      <c r="AA7" s="1" t="s">
        <v>4</v>
      </c>
      <c r="AB7" s="1" t="s">
        <v>208</v>
      </c>
      <c r="AC7" s="11">
        <v>0.20617381308505828</v>
      </c>
      <c r="AD7" s="84">
        <v>3.1828951527266738E-2</v>
      </c>
      <c r="AG7" s="1" t="s">
        <v>208</v>
      </c>
      <c r="AH7" s="84">
        <v>3.1828951527266738E-2</v>
      </c>
      <c r="AI7" s="1" t="s">
        <v>307</v>
      </c>
      <c r="AJ7" s="84">
        <v>0.61024342346907046</v>
      </c>
    </row>
    <row r="8" spans="1:36">
      <c r="A8" s="15" t="s">
        <v>55</v>
      </c>
      <c r="B8" s="13" t="s">
        <v>237</v>
      </c>
      <c r="C8" s="46">
        <v>0.13849436622867048</v>
      </c>
      <c r="D8" s="46">
        <v>0.13241038579427758</v>
      </c>
      <c r="E8" s="28">
        <v>3</v>
      </c>
      <c r="F8" s="92">
        <v>5</v>
      </c>
      <c r="G8" s="93">
        <f t="shared" si="0"/>
        <v>-2</v>
      </c>
      <c r="H8" s="94">
        <f t="shared" si="1"/>
        <v>-6.0839804343928994E-3</v>
      </c>
      <c r="I8" s="93"/>
      <c r="K8" s="13" t="s">
        <v>255</v>
      </c>
      <c r="L8" s="90" t="s">
        <v>237</v>
      </c>
      <c r="AA8" s="1" t="s">
        <v>24</v>
      </c>
      <c r="AB8" s="1" t="s">
        <v>357</v>
      </c>
      <c r="AC8" s="11">
        <v>0.13287526955396842</v>
      </c>
      <c r="AD8" s="84">
        <v>3.5758576097176087E-2</v>
      </c>
      <c r="AG8" s="1" t="s">
        <v>357</v>
      </c>
      <c r="AH8" s="84">
        <v>3.5758576097176087E-2</v>
      </c>
      <c r="AI8" s="1" t="s">
        <v>218</v>
      </c>
      <c r="AJ8" s="84">
        <v>0.63549170649583819</v>
      </c>
    </row>
    <row r="9" spans="1:36">
      <c r="A9" s="15" t="s">
        <v>28</v>
      </c>
      <c r="B9" s="13" t="s">
        <v>320</v>
      </c>
      <c r="C9" s="46">
        <v>0.15035367206743214</v>
      </c>
      <c r="D9" s="46">
        <v>0.13717977644449558</v>
      </c>
      <c r="E9" s="28">
        <v>7</v>
      </c>
      <c r="F9" s="92">
        <v>6</v>
      </c>
      <c r="G9" s="93">
        <f t="shared" si="0"/>
        <v>1</v>
      </c>
      <c r="H9" s="94">
        <f t="shared" si="1"/>
        <v>-1.3173895622936554E-2</v>
      </c>
      <c r="I9" s="93"/>
      <c r="K9" s="13" t="s">
        <v>329</v>
      </c>
      <c r="L9" s="89" t="s">
        <v>320</v>
      </c>
      <c r="AA9" s="1" t="s">
        <v>14</v>
      </c>
      <c r="AB9" s="1" t="s">
        <v>374</v>
      </c>
      <c r="AC9" s="11">
        <v>0.15155437250103732</v>
      </c>
      <c r="AD9" s="84">
        <v>3.5778590878360043E-2</v>
      </c>
      <c r="AG9" s="1" t="s">
        <v>374</v>
      </c>
      <c r="AH9" s="84">
        <v>3.5778590878360043E-2</v>
      </c>
      <c r="AI9" s="1" t="s">
        <v>287</v>
      </c>
      <c r="AJ9" s="84">
        <v>0.63947166054305205</v>
      </c>
    </row>
    <row r="10" spans="1:36">
      <c r="A10" s="14" t="s">
        <v>126</v>
      </c>
      <c r="B10" s="13" t="s">
        <v>329</v>
      </c>
      <c r="C10" s="46">
        <v>0.14627522058468675</v>
      </c>
      <c r="D10" s="46">
        <v>0.14193534754066517</v>
      </c>
      <c r="E10" s="28">
        <v>6</v>
      </c>
      <c r="F10" s="92">
        <v>7</v>
      </c>
      <c r="G10" s="93">
        <f t="shared" si="0"/>
        <v>-1</v>
      </c>
      <c r="H10" s="94">
        <f t="shared" si="1"/>
        <v>-4.339873044021586E-3</v>
      </c>
      <c r="I10" s="93"/>
      <c r="K10" s="13" t="s">
        <v>320</v>
      </c>
      <c r="L10" s="90" t="s">
        <v>329</v>
      </c>
      <c r="AA10" s="1" t="s">
        <v>92</v>
      </c>
      <c r="AB10" s="1" t="s">
        <v>277</v>
      </c>
      <c r="AC10" s="11">
        <v>0.57004008185381738</v>
      </c>
      <c r="AD10" s="84">
        <v>4.0761337452339043E-2</v>
      </c>
      <c r="AG10" s="1" t="s">
        <v>277</v>
      </c>
      <c r="AH10" s="84">
        <v>4.0761337452339043E-2</v>
      </c>
      <c r="AI10" s="1" t="s">
        <v>364</v>
      </c>
      <c r="AJ10" s="84">
        <v>0.64116549840397907</v>
      </c>
    </row>
    <row r="11" spans="1:36">
      <c r="A11" s="15" t="s">
        <v>137</v>
      </c>
      <c r="B11" s="13" t="s">
        <v>238</v>
      </c>
      <c r="C11" s="46">
        <v>0.11473167520868151</v>
      </c>
      <c r="D11" s="46">
        <v>0.144294620221149</v>
      </c>
      <c r="E11" s="28">
        <v>1</v>
      </c>
      <c r="F11" s="92">
        <v>8</v>
      </c>
      <c r="G11" s="93">
        <f t="shared" si="0"/>
        <v>-7</v>
      </c>
      <c r="H11" s="94">
        <f t="shared" si="1"/>
        <v>2.9562945012467493E-2</v>
      </c>
      <c r="I11" s="93"/>
      <c r="K11" s="13" t="s">
        <v>271</v>
      </c>
      <c r="L11" s="90" t="s">
        <v>238</v>
      </c>
      <c r="AA11" s="1" t="s">
        <v>29</v>
      </c>
      <c r="AB11" s="1" t="s">
        <v>292</v>
      </c>
      <c r="AC11" s="11">
        <v>4.6107621484096162E-3</v>
      </c>
      <c r="AD11" s="84">
        <v>4.256387001555903E-2</v>
      </c>
      <c r="AG11" s="1" t="s">
        <v>292</v>
      </c>
      <c r="AH11" s="84">
        <v>4.256387001555903E-2</v>
      </c>
      <c r="AI11" s="1" t="s">
        <v>299</v>
      </c>
      <c r="AJ11" s="84">
        <v>0.64199545586237228</v>
      </c>
    </row>
    <row r="12" spans="1:36">
      <c r="A12" s="15" t="s">
        <v>117</v>
      </c>
      <c r="B12" s="13" t="s">
        <v>374</v>
      </c>
      <c r="C12" s="46">
        <v>0.16386213909167979</v>
      </c>
      <c r="D12" s="46">
        <v>0.14647204740057398</v>
      </c>
      <c r="E12" s="28">
        <v>10</v>
      </c>
      <c r="F12" s="92">
        <v>9</v>
      </c>
      <c r="G12" s="93">
        <f t="shared" si="0"/>
        <v>1</v>
      </c>
      <c r="H12" s="94">
        <f t="shared" si="1"/>
        <v>-1.7390091691105808E-2</v>
      </c>
      <c r="I12" s="93"/>
      <c r="K12" s="13" t="s">
        <v>292</v>
      </c>
      <c r="L12" s="89" t="s">
        <v>374</v>
      </c>
      <c r="AA12" s="1" t="s">
        <v>54</v>
      </c>
      <c r="AB12" s="1" t="s">
        <v>217</v>
      </c>
      <c r="AC12" s="11">
        <v>0.26632838586506147</v>
      </c>
      <c r="AD12" s="84">
        <v>4.3279945502725181E-2</v>
      </c>
      <c r="AG12" s="1" t="s">
        <v>217</v>
      </c>
      <c r="AH12" s="84">
        <v>4.3279945502725181E-2</v>
      </c>
      <c r="AI12" s="1" t="s">
        <v>381</v>
      </c>
      <c r="AJ12" s="84">
        <v>0.64889594186462729</v>
      </c>
    </row>
    <row r="13" spans="1:36">
      <c r="A13" s="15" t="s">
        <v>81</v>
      </c>
      <c r="B13" s="13" t="s">
        <v>357</v>
      </c>
      <c r="C13" s="46">
        <v>0.19362180775449547</v>
      </c>
      <c r="D13" s="46">
        <v>0.16528284964443751</v>
      </c>
      <c r="E13" s="28">
        <v>24</v>
      </c>
      <c r="F13" s="92">
        <v>10</v>
      </c>
      <c r="G13" s="93">
        <f t="shared" si="0"/>
        <v>14</v>
      </c>
      <c r="H13" s="94">
        <f t="shared" si="1"/>
        <v>-2.833895811005796E-2</v>
      </c>
      <c r="I13" s="93"/>
      <c r="K13" s="13" t="s">
        <v>374</v>
      </c>
      <c r="L13" s="13" t="s">
        <v>357</v>
      </c>
      <c r="AA13" s="1" t="s">
        <v>60</v>
      </c>
      <c r="AB13" s="1" t="s">
        <v>372</v>
      </c>
      <c r="AC13" s="11">
        <v>0.43571820228368097</v>
      </c>
      <c r="AD13" s="84">
        <v>4.3749999999999997E-2</v>
      </c>
      <c r="AG13" s="1" t="s">
        <v>372</v>
      </c>
      <c r="AH13" s="84">
        <v>4.3749999999999997E-2</v>
      </c>
      <c r="AI13" s="1" t="s">
        <v>196</v>
      </c>
      <c r="AJ13" s="84">
        <v>0.67119679208355054</v>
      </c>
    </row>
    <row r="14" spans="1:36">
      <c r="A14" s="14" t="s">
        <v>56</v>
      </c>
      <c r="B14" s="13" t="s">
        <v>273</v>
      </c>
      <c r="C14" s="46">
        <v>0.18337245706852615</v>
      </c>
      <c r="D14" s="46">
        <v>0.17100554423114445</v>
      </c>
      <c r="E14" s="28">
        <v>16</v>
      </c>
      <c r="F14" s="92">
        <v>11</v>
      </c>
      <c r="G14" s="93">
        <f t="shared" si="0"/>
        <v>5</v>
      </c>
      <c r="H14" s="94">
        <f t="shared" si="1"/>
        <v>-1.2366912837381699E-2</v>
      </c>
      <c r="I14" s="93"/>
      <c r="K14" s="13" t="s">
        <v>201</v>
      </c>
      <c r="L14" s="89" t="s">
        <v>273</v>
      </c>
      <c r="AA14" s="1" t="s">
        <v>47</v>
      </c>
      <c r="AB14" s="1" t="s">
        <v>358</v>
      </c>
      <c r="AC14" s="11">
        <v>0.13342327293565709</v>
      </c>
      <c r="AD14" s="84">
        <v>4.5355748402587666E-2</v>
      </c>
      <c r="AG14" s="1" t="s">
        <v>358</v>
      </c>
      <c r="AH14" s="84">
        <v>4.5355748402587666E-2</v>
      </c>
      <c r="AI14" s="1" t="s">
        <v>239</v>
      </c>
      <c r="AJ14" s="84">
        <v>0.67869927588832368</v>
      </c>
    </row>
    <row r="15" spans="1:36">
      <c r="A15" s="14" t="s">
        <v>92</v>
      </c>
      <c r="B15" s="13" t="s">
        <v>234</v>
      </c>
      <c r="C15" s="46">
        <v>0.17372716123249995</v>
      </c>
      <c r="D15" s="46">
        <v>0.1712327791522614</v>
      </c>
      <c r="E15" s="28">
        <v>12</v>
      </c>
      <c r="F15" s="92">
        <v>12</v>
      </c>
      <c r="G15" s="93">
        <f t="shared" si="0"/>
        <v>0</v>
      </c>
      <c r="H15" s="94">
        <f t="shared" si="1"/>
        <v>-2.4943820802385552E-3</v>
      </c>
      <c r="I15" s="93"/>
      <c r="K15" s="13" t="s">
        <v>234</v>
      </c>
      <c r="L15" s="89" t="s">
        <v>234</v>
      </c>
      <c r="AA15" s="1" t="s">
        <v>64</v>
      </c>
      <c r="AB15" s="1" t="s">
        <v>265</v>
      </c>
      <c r="AC15" s="11">
        <v>0.2656706981291449</v>
      </c>
      <c r="AD15" s="84">
        <v>5.342467084968322E-2</v>
      </c>
      <c r="AG15" s="1" t="s">
        <v>265</v>
      </c>
      <c r="AH15" s="84">
        <v>5.342467084968322E-2</v>
      </c>
      <c r="AI15" s="1" t="s">
        <v>365</v>
      </c>
      <c r="AJ15" s="84">
        <v>0.6815142781112401</v>
      </c>
    </row>
    <row r="16" spans="1:36">
      <c r="A16" s="15" t="s">
        <v>52</v>
      </c>
      <c r="B16" s="13" t="s">
        <v>201</v>
      </c>
      <c r="C16" s="46">
        <v>0.1667202749248485</v>
      </c>
      <c r="D16" s="46">
        <v>0.17267021380054418</v>
      </c>
      <c r="E16" s="28">
        <v>11</v>
      </c>
      <c r="F16" s="92">
        <v>13</v>
      </c>
      <c r="G16" s="93">
        <f t="shared" si="0"/>
        <v>-2</v>
      </c>
      <c r="H16" s="94">
        <f t="shared" si="1"/>
        <v>5.9499388756956706E-3</v>
      </c>
      <c r="I16" s="93"/>
      <c r="K16" s="13" t="s">
        <v>250</v>
      </c>
      <c r="L16" s="90" t="s">
        <v>201</v>
      </c>
      <c r="AA16" s="1" t="s">
        <v>43</v>
      </c>
      <c r="AB16" s="1" t="s">
        <v>216</v>
      </c>
      <c r="AC16" s="11">
        <v>0.44966520895160356</v>
      </c>
      <c r="AD16" s="84">
        <v>5.4231917081714688E-2</v>
      </c>
      <c r="AG16" s="1" t="s">
        <v>216</v>
      </c>
      <c r="AH16" s="84">
        <v>5.4231917081714688E-2</v>
      </c>
      <c r="AI16" s="1" t="s">
        <v>350</v>
      </c>
      <c r="AJ16" s="84">
        <v>0.68246489637852803</v>
      </c>
    </row>
    <row r="17" spans="1:36">
      <c r="A17" s="15" t="s">
        <v>48</v>
      </c>
      <c r="B17" s="13" t="s">
        <v>250</v>
      </c>
      <c r="C17" s="46">
        <v>0.17587638512544443</v>
      </c>
      <c r="D17" s="46">
        <v>0.17309467641109461</v>
      </c>
      <c r="E17" s="28">
        <v>13</v>
      </c>
      <c r="F17" s="92">
        <v>14</v>
      </c>
      <c r="G17" s="93">
        <f t="shared" si="0"/>
        <v>-1</v>
      </c>
      <c r="H17" s="94">
        <f t="shared" si="1"/>
        <v>-2.7817087143498231E-3</v>
      </c>
      <c r="I17" s="93"/>
      <c r="K17" s="13" t="s">
        <v>348</v>
      </c>
      <c r="L17" s="90" t="s">
        <v>250</v>
      </c>
      <c r="AA17" s="1" t="s">
        <v>32</v>
      </c>
      <c r="AB17" s="1" t="s">
        <v>222</v>
      </c>
      <c r="AC17" s="11">
        <v>0.17233074802497145</v>
      </c>
      <c r="AD17" s="84">
        <v>5.5601831379281666E-2</v>
      </c>
      <c r="AG17" s="1" t="s">
        <v>222</v>
      </c>
      <c r="AH17" s="84">
        <v>5.5601831379281666E-2</v>
      </c>
      <c r="AI17" s="1" t="s">
        <v>246</v>
      </c>
      <c r="AJ17" s="84">
        <v>0.6862202380715251</v>
      </c>
    </row>
    <row r="18" spans="1:36">
      <c r="A18" s="15" t="s">
        <v>60</v>
      </c>
      <c r="B18" s="13" t="s">
        <v>348</v>
      </c>
      <c r="C18" s="46">
        <v>0.17733067440079164</v>
      </c>
      <c r="D18" s="46">
        <v>0.17389615007014947</v>
      </c>
      <c r="E18" s="28">
        <v>14</v>
      </c>
      <c r="F18" s="92">
        <v>15</v>
      </c>
      <c r="G18" s="93">
        <f t="shared" si="0"/>
        <v>-1</v>
      </c>
      <c r="H18" s="94">
        <f t="shared" si="1"/>
        <v>-3.4345243306421747E-3</v>
      </c>
      <c r="I18" s="93"/>
      <c r="K18" s="91" t="s">
        <v>315</v>
      </c>
      <c r="L18" s="90" t="s">
        <v>348</v>
      </c>
      <c r="AA18" s="1" t="s">
        <v>38</v>
      </c>
      <c r="AB18" s="1" t="s">
        <v>320</v>
      </c>
      <c r="AC18" s="11">
        <v>0.13865359531974633</v>
      </c>
      <c r="AD18" s="84">
        <v>5.6294129112812966E-2</v>
      </c>
      <c r="AG18" s="1" t="s">
        <v>320</v>
      </c>
      <c r="AH18" s="84">
        <v>5.6294129112812966E-2</v>
      </c>
      <c r="AI18" s="1" t="s">
        <v>263</v>
      </c>
      <c r="AJ18" s="84">
        <v>0.70622886343096802</v>
      </c>
    </row>
    <row r="19" spans="1:36">
      <c r="A19" s="14" t="s">
        <v>64</v>
      </c>
      <c r="B19" s="13" t="s">
        <v>200</v>
      </c>
      <c r="C19" s="46">
        <v>0.19277197141073354</v>
      </c>
      <c r="D19" s="46">
        <v>0.17849918272372783</v>
      </c>
      <c r="E19" s="28">
        <v>23</v>
      </c>
      <c r="F19" s="92">
        <v>16</v>
      </c>
      <c r="G19" s="93">
        <f t="shared" si="0"/>
        <v>7</v>
      </c>
      <c r="H19" s="94">
        <f t="shared" si="1"/>
        <v>-1.4272788687005711E-2</v>
      </c>
      <c r="I19" s="93"/>
      <c r="K19" s="13" t="s">
        <v>375</v>
      </c>
      <c r="L19" s="13" t="s">
        <v>200</v>
      </c>
      <c r="AA19" s="1" t="s">
        <v>186</v>
      </c>
      <c r="AB19" s="1" t="s">
        <v>353</v>
      </c>
      <c r="AC19" s="11">
        <v>0.42946108425869872</v>
      </c>
      <c r="AD19" s="84">
        <v>5.635787818721865E-2</v>
      </c>
      <c r="AG19" s="1" t="s">
        <v>353</v>
      </c>
      <c r="AH19" s="84">
        <v>5.635787818721865E-2</v>
      </c>
      <c r="AI19" s="1" t="s">
        <v>261</v>
      </c>
      <c r="AJ19" s="84">
        <v>0.72314355070894276</v>
      </c>
    </row>
    <row r="20" spans="1:36">
      <c r="A20" s="15" t="s">
        <v>143</v>
      </c>
      <c r="B20" s="13" t="s">
        <v>271</v>
      </c>
      <c r="C20" s="46">
        <v>0.15073200718952398</v>
      </c>
      <c r="D20" s="46">
        <v>0.18194954095041302</v>
      </c>
      <c r="E20" s="28">
        <v>8</v>
      </c>
      <c r="F20" s="92">
        <v>17</v>
      </c>
      <c r="G20" s="93">
        <f t="shared" si="0"/>
        <v>-9</v>
      </c>
      <c r="H20" s="94">
        <f t="shared" si="1"/>
        <v>3.1217533760889038E-2</v>
      </c>
      <c r="I20" s="93"/>
      <c r="K20" s="13" t="s">
        <v>273</v>
      </c>
      <c r="L20" s="90" t="s">
        <v>271</v>
      </c>
      <c r="AA20" s="1" t="s">
        <v>51</v>
      </c>
      <c r="AB20" s="1" t="s">
        <v>207</v>
      </c>
      <c r="AC20" s="11">
        <v>0.34066524082937844</v>
      </c>
      <c r="AD20" s="84">
        <v>5.8097485153516891E-2</v>
      </c>
      <c r="AG20" s="1" t="s">
        <v>207</v>
      </c>
      <c r="AH20" s="84">
        <v>5.8097485153516891E-2</v>
      </c>
      <c r="AI20" s="1" t="s">
        <v>349</v>
      </c>
      <c r="AJ20" s="84">
        <v>0.75271658616351422</v>
      </c>
    </row>
    <row r="21" spans="1:36">
      <c r="A21" s="15" t="s">
        <v>186</v>
      </c>
      <c r="B21" s="13" t="s">
        <v>347</v>
      </c>
      <c r="C21" s="46">
        <v>0.18668607800269502</v>
      </c>
      <c r="D21" s="46">
        <v>0.18486675530173635</v>
      </c>
      <c r="E21" s="28">
        <v>20</v>
      </c>
      <c r="F21" s="92">
        <v>18</v>
      </c>
      <c r="G21" s="93">
        <f t="shared" si="0"/>
        <v>2</v>
      </c>
      <c r="H21" s="94">
        <f t="shared" si="1"/>
        <v>-1.8193227009586643E-3</v>
      </c>
      <c r="I21" s="93"/>
      <c r="K21" s="91" t="s">
        <v>376</v>
      </c>
      <c r="L21" s="89" t="s">
        <v>347</v>
      </c>
      <c r="AA21" s="1" t="s">
        <v>117</v>
      </c>
      <c r="AB21" s="1" t="s">
        <v>348</v>
      </c>
      <c r="AC21" s="11">
        <v>0.2496673896289418</v>
      </c>
      <c r="AD21" s="84">
        <v>5.8574954637805807E-2</v>
      </c>
      <c r="AG21" s="1" t="s">
        <v>348</v>
      </c>
      <c r="AH21" s="84">
        <v>5.8574954637805807E-2</v>
      </c>
      <c r="AI21" s="1" t="s">
        <v>284</v>
      </c>
      <c r="AJ21" s="84">
        <v>0.85852953132586085</v>
      </c>
    </row>
    <row r="22" spans="1:36">
      <c r="A22" s="15" t="s">
        <v>139</v>
      </c>
      <c r="B22" s="13" t="s">
        <v>375</v>
      </c>
      <c r="C22" s="46">
        <v>0.18054363107450833</v>
      </c>
      <c r="D22" s="46">
        <v>0.18520713479649042</v>
      </c>
      <c r="E22" s="28">
        <v>15</v>
      </c>
      <c r="F22" s="92">
        <v>19</v>
      </c>
      <c r="G22" s="93">
        <f t="shared" si="0"/>
        <v>-4</v>
      </c>
      <c r="H22" s="94">
        <f t="shared" si="1"/>
        <v>4.6635037219820985E-3</v>
      </c>
      <c r="I22" s="93"/>
      <c r="K22" s="91" t="s">
        <v>198</v>
      </c>
      <c r="L22" s="90" t="s">
        <v>375</v>
      </c>
      <c r="AA22" s="1" t="s">
        <v>16</v>
      </c>
      <c r="AB22" s="1" t="s">
        <v>200</v>
      </c>
      <c r="AC22" s="11">
        <v>0.205882709897387</v>
      </c>
      <c r="AD22" s="84">
        <v>5.8633041634619597E-2</v>
      </c>
      <c r="AG22" s="1" t="s">
        <v>200</v>
      </c>
      <c r="AH22" s="84">
        <v>5.8633041634619597E-2</v>
      </c>
      <c r="AI22" s="1" t="s">
        <v>220</v>
      </c>
      <c r="AJ22" s="84">
        <v>0.88739915224708654</v>
      </c>
    </row>
    <row r="23" spans="1:36">
      <c r="A23" s="14" t="s">
        <v>4</v>
      </c>
      <c r="B23" s="13" t="s">
        <v>217</v>
      </c>
      <c r="C23" s="46">
        <v>0.19994986470865461</v>
      </c>
      <c r="D23" s="46">
        <v>0.19101692316193694</v>
      </c>
      <c r="E23" s="28">
        <v>29</v>
      </c>
      <c r="F23" s="92">
        <v>20</v>
      </c>
      <c r="G23" s="93">
        <f t="shared" si="0"/>
        <v>9</v>
      </c>
      <c r="H23" s="94">
        <f t="shared" si="1"/>
        <v>-8.9329415467176709E-3</v>
      </c>
      <c r="I23" s="93"/>
      <c r="K23" s="13" t="s">
        <v>347</v>
      </c>
      <c r="L23" s="13" t="s">
        <v>217</v>
      </c>
      <c r="AA23" s="1" t="s">
        <v>5</v>
      </c>
      <c r="AB23" s="1" t="s">
        <v>331</v>
      </c>
      <c r="AC23" s="11">
        <v>0.62872624617495099</v>
      </c>
      <c r="AD23" s="84">
        <v>6.4997381934280452E-2</v>
      </c>
      <c r="AG23" s="1" t="s">
        <v>331</v>
      </c>
      <c r="AH23" s="84">
        <v>6.4997381934280452E-2</v>
      </c>
      <c r="AI23" s="1" t="s">
        <v>323</v>
      </c>
      <c r="AJ23" s="84">
        <v>0.97634252591561754</v>
      </c>
    </row>
    <row r="24" spans="1:36">
      <c r="A24" s="14" t="s">
        <v>58</v>
      </c>
      <c r="B24" s="13" t="s">
        <v>265</v>
      </c>
      <c r="C24" s="46">
        <v>0.19957429199089116</v>
      </c>
      <c r="D24" s="46">
        <v>0.19187379338866201</v>
      </c>
      <c r="E24" s="28">
        <v>28</v>
      </c>
      <c r="F24" s="92">
        <v>21</v>
      </c>
      <c r="G24" s="93">
        <f t="shared" si="0"/>
        <v>7</v>
      </c>
      <c r="H24" s="94">
        <f t="shared" si="1"/>
        <v>-7.7004986022291555E-3</v>
      </c>
      <c r="I24" s="93"/>
      <c r="AA24" s="1" t="s">
        <v>139</v>
      </c>
      <c r="AB24" s="1" t="s">
        <v>377</v>
      </c>
      <c r="AC24" s="11">
        <v>0.70767990853806817</v>
      </c>
      <c r="AD24" s="84">
        <v>6.6494799494324131E-2</v>
      </c>
    </row>
    <row r="25" spans="1:36">
      <c r="A25" s="14" t="s">
        <v>35</v>
      </c>
      <c r="B25" s="13" t="s">
        <v>352</v>
      </c>
      <c r="C25" s="46">
        <v>0.19043812801351434</v>
      </c>
      <c r="D25" s="46">
        <v>0.19426711741831462</v>
      </c>
      <c r="E25" s="28">
        <v>21</v>
      </c>
      <c r="F25" s="92">
        <v>22</v>
      </c>
      <c r="G25" s="93">
        <f t="shared" si="0"/>
        <v>-1</v>
      </c>
      <c r="H25" s="94">
        <f t="shared" si="1"/>
        <v>3.8289894048002815E-3</v>
      </c>
      <c r="I25" s="93"/>
      <c r="K25" s="89" t="s">
        <v>371</v>
      </c>
      <c r="L25" s="13" t="s">
        <v>381</v>
      </c>
      <c r="AA25" s="1" t="s">
        <v>96</v>
      </c>
      <c r="AB25" s="1" t="s">
        <v>234</v>
      </c>
      <c r="AC25" s="11">
        <v>0.24300691580628894</v>
      </c>
      <c r="AD25" s="84">
        <v>6.6548815853295626E-2</v>
      </c>
    </row>
    <row r="26" spans="1:36">
      <c r="A26" s="14" t="s">
        <v>78</v>
      </c>
      <c r="B26" s="13" t="s">
        <v>257</v>
      </c>
      <c r="C26" s="46">
        <v>0.19208848852392316</v>
      </c>
      <c r="D26" s="46">
        <v>0.19983923357819397</v>
      </c>
      <c r="E26" s="28">
        <v>22</v>
      </c>
      <c r="F26" s="92">
        <v>23</v>
      </c>
      <c r="G26" s="93">
        <f t="shared" si="0"/>
        <v>-1</v>
      </c>
      <c r="H26" s="94">
        <f t="shared" si="1"/>
        <v>7.7507450542708134E-3</v>
      </c>
      <c r="I26" s="93"/>
      <c r="K26" s="89" t="s">
        <v>300</v>
      </c>
      <c r="L26" s="13" t="s">
        <v>293</v>
      </c>
      <c r="AA26" s="1" t="s">
        <v>67</v>
      </c>
      <c r="AB26" s="1" t="s">
        <v>291</v>
      </c>
      <c r="AC26" s="11">
        <v>0.26348119088274913</v>
      </c>
      <c r="AD26" s="84">
        <v>6.8440455093933719E-2</v>
      </c>
    </row>
    <row r="27" spans="1:36">
      <c r="A27" s="15" t="s">
        <v>66</v>
      </c>
      <c r="B27" s="13" t="s">
        <v>315</v>
      </c>
      <c r="C27" s="46">
        <v>0.20179266301501289</v>
      </c>
      <c r="D27" s="46">
        <v>0.19995981118369641</v>
      </c>
      <c r="E27" s="28">
        <v>30</v>
      </c>
      <c r="F27" s="92">
        <v>24</v>
      </c>
      <c r="G27" s="93">
        <f t="shared" si="0"/>
        <v>6</v>
      </c>
      <c r="H27" s="94">
        <f t="shared" si="1"/>
        <v>-1.8328518313164843E-3</v>
      </c>
      <c r="I27" s="93"/>
      <c r="K27" s="13" t="s">
        <v>448</v>
      </c>
      <c r="L27" s="13" t="s">
        <v>446</v>
      </c>
      <c r="AA27" s="1" t="s">
        <v>6</v>
      </c>
      <c r="AB27" s="1" t="s">
        <v>375</v>
      </c>
      <c r="AC27" s="11">
        <v>0.2957197094292357</v>
      </c>
      <c r="AD27" s="84">
        <v>7.504743883745145E-2</v>
      </c>
    </row>
    <row r="28" spans="1:36">
      <c r="A28" s="15" t="s">
        <v>99</v>
      </c>
      <c r="B28" s="13" t="s">
        <v>266</v>
      </c>
      <c r="C28" s="46">
        <v>0.21815733344437974</v>
      </c>
      <c r="D28" s="46">
        <v>0.20289526179441686</v>
      </c>
      <c r="E28" s="28">
        <v>36</v>
      </c>
      <c r="F28" s="92">
        <v>25</v>
      </c>
      <c r="G28" s="93">
        <f t="shared" si="0"/>
        <v>11</v>
      </c>
      <c r="H28" s="94">
        <f t="shared" si="1"/>
        <v>-1.5262071649962877E-2</v>
      </c>
      <c r="I28" s="93"/>
      <c r="K28" s="89" t="s">
        <v>454</v>
      </c>
      <c r="L28" s="89" t="s">
        <v>382</v>
      </c>
      <c r="AA28" s="1" t="s">
        <v>33</v>
      </c>
      <c r="AB28" s="1" t="s">
        <v>373</v>
      </c>
      <c r="AC28" s="11">
        <v>0.42960706586167208</v>
      </c>
      <c r="AD28" s="84">
        <v>7.9757393771930307E-2</v>
      </c>
    </row>
    <row r="29" spans="1:36">
      <c r="A29" s="14" t="s">
        <v>110</v>
      </c>
      <c r="B29" s="13" t="s">
        <v>207</v>
      </c>
      <c r="C29" s="46">
        <v>0.19862378403135397</v>
      </c>
      <c r="D29" s="46">
        <v>0.20311172610646835</v>
      </c>
      <c r="E29" s="28">
        <v>27</v>
      </c>
      <c r="F29" s="92">
        <v>26</v>
      </c>
      <c r="G29" s="93">
        <f t="shared" si="0"/>
        <v>1</v>
      </c>
      <c r="H29" s="94">
        <f t="shared" si="1"/>
        <v>4.4879420751143817E-3</v>
      </c>
      <c r="I29" s="93"/>
      <c r="K29" s="89" t="s">
        <v>334</v>
      </c>
      <c r="L29" s="89" t="s">
        <v>364</v>
      </c>
      <c r="AA29" s="1" t="s">
        <v>62</v>
      </c>
      <c r="AB29" s="1" t="s">
        <v>273</v>
      </c>
      <c r="AC29" s="11">
        <v>0.1836639911871733</v>
      </c>
      <c r="AD29" s="84">
        <v>8.098100851181822E-2</v>
      </c>
    </row>
    <row r="30" spans="1:36">
      <c r="A30" s="14" t="s">
        <v>63</v>
      </c>
      <c r="B30" s="13" t="s">
        <v>316</v>
      </c>
      <c r="C30" s="46">
        <v>0.20706850003516575</v>
      </c>
      <c r="D30" s="46">
        <v>0.20447845638609238</v>
      </c>
      <c r="E30" s="28">
        <v>31</v>
      </c>
      <c r="F30" s="92">
        <v>27</v>
      </c>
      <c r="G30" s="93">
        <f t="shared" si="0"/>
        <v>4</v>
      </c>
      <c r="H30" s="94">
        <f t="shared" si="1"/>
        <v>-2.5900436490733647E-3</v>
      </c>
      <c r="I30" s="93"/>
      <c r="K30" s="13" t="s">
        <v>364</v>
      </c>
      <c r="L30" s="13" t="s">
        <v>299</v>
      </c>
      <c r="AA30" s="1" t="s">
        <v>36</v>
      </c>
      <c r="AB30" s="1" t="s">
        <v>352</v>
      </c>
      <c r="AC30" s="11">
        <v>0.30162041932719674</v>
      </c>
      <c r="AD30" s="84">
        <v>8.3049426461013848E-2</v>
      </c>
    </row>
    <row r="31" spans="1:36">
      <c r="A31" s="15" t="s">
        <v>47</v>
      </c>
      <c r="B31" s="13" t="s">
        <v>222</v>
      </c>
      <c r="C31" s="46">
        <v>0.24319336196056388</v>
      </c>
      <c r="D31" s="46">
        <v>0.20971823493016717</v>
      </c>
      <c r="E31" s="28">
        <v>53</v>
      </c>
      <c r="F31" s="92">
        <v>28</v>
      </c>
      <c r="G31" s="93">
        <f t="shared" si="0"/>
        <v>25</v>
      </c>
      <c r="H31" s="94">
        <f t="shared" si="1"/>
        <v>-3.3475127030396706E-2</v>
      </c>
      <c r="I31" s="93"/>
      <c r="K31" s="89" t="s">
        <v>218</v>
      </c>
      <c r="L31" s="89" t="s">
        <v>310</v>
      </c>
      <c r="AA31" s="1" t="s">
        <v>122</v>
      </c>
      <c r="AB31" s="1" t="s">
        <v>213</v>
      </c>
      <c r="AC31" s="11">
        <v>0.55608352116892901</v>
      </c>
      <c r="AD31" s="84">
        <v>8.5390551091170191E-2</v>
      </c>
    </row>
    <row r="32" spans="1:36">
      <c r="A32" s="15" t="s">
        <v>24</v>
      </c>
      <c r="B32" s="13" t="s">
        <v>236</v>
      </c>
      <c r="C32" s="46">
        <v>0.23763807892266101</v>
      </c>
      <c r="D32" s="46">
        <v>0.21377671734870193</v>
      </c>
      <c r="E32" s="28">
        <v>49</v>
      </c>
      <c r="F32" s="92">
        <v>29</v>
      </c>
      <c r="G32" s="93">
        <f t="shared" si="0"/>
        <v>20</v>
      </c>
      <c r="H32" s="94">
        <f t="shared" si="1"/>
        <v>-2.3861361573959072E-2</v>
      </c>
      <c r="I32" s="93"/>
      <c r="K32" s="13" t="s">
        <v>297</v>
      </c>
      <c r="L32" s="89" t="s">
        <v>297</v>
      </c>
      <c r="AA32" s="1" t="s">
        <v>45</v>
      </c>
      <c r="AB32" s="1" t="s">
        <v>240</v>
      </c>
      <c r="AC32" s="11">
        <v>0.44362077415775419</v>
      </c>
      <c r="AD32" s="84">
        <v>8.7065420205175312E-2</v>
      </c>
    </row>
    <row r="33" spans="1:30">
      <c r="A33" s="14" t="s">
        <v>32</v>
      </c>
      <c r="B33" s="13" t="s">
        <v>285</v>
      </c>
      <c r="C33" s="46">
        <v>0.2265488151917576</v>
      </c>
      <c r="D33" s="46">
        <v>0.21402773360300126</v>
      </c>
      <c r="E33" s="28">
        <v>43</v>
      </c>
      <c r="F33" s="92">
        <v>30</v>
      </c>
      <c r="G33" s="93">
        <f t="shared" si="0"/>
        <v>13</v>
      </c>
      <c r="H33" s="94">
        <f t="shared" si="1"/>
        <v>-1.2521081588756339E-2</v>
      </c>
      <c r="I33" s="93"/>
      <c r="K33" s="13" t="s">
        <v>288</v>
      </c>
      <c r="L33" s="89" t="s">
        <v>318</v>
      </c>
      <c r="AA33" s="1" t="s">
        <v>34</v>
      </c>
      <c r="AB33" s="1" t="s">
        <v>289</v>
      </c>
      <c r="AC33" s="11">
        <v>0.60068031161942181</v>
      </c>
      <c r="AD33" s="84">
        <v>9.3559302454449697E-2</v>
      </c>
    </row>
    <row r="34" spans="1:30">
      <c r="A34" s="15" t="s">
        <v>14</v>
      </c>
      <c r="B34" s="13" t="s">
        <v>298</v>
      </c>
      <c r="C34" s="46">
        <v>0.24176157980365387</v>
      </c>
      <c r="D34" s="46">
        <v>0.21501641336325811</v>
      </c>
      <c r="E34" s="28">
        <v>51</v>
      </c>
      <c r="F34" s="92">
        <v>31</v>
      </c>
      <c r="G34" s="93">
        <f t="shared" si="0"/>
        <v>20</v>
      </c>
      <c r="H34" s="94">
        <f t="shared" si="1"/>
        <v>-2.6745166440395762E-2</v>
      </c>
      <c r="I34" s="93"/>
      <c r="K34" s="13" t="s">
        <v>382</v>
      </c>
      <c r="L34" s="13" t="s">
        <v>196</v>
      </c>
      <c r="AA34" s="1" t="s">
        <v>81</v>
      </c>
      <c r="AB34" s="1" t="s">
        <v>329</v>
      </c>
      <c r="AC34" s="11">
        <v>0.15465223496189354</v>
      </c>
      <c r="AD34" s="84">
        <v>0.1</v>
      </c>
    </row>
    <row r="35" spans="1:30">
      <c r="A35" s="14" t="s">
        <v>162</v>
      </c>
      <c r="B35" s="13" t="s">
        <v>376</v>
      </c>
      <c r="C35" s="46">
        <v>0.18580276801468162</v>
      </c>
      <c r="D35" s="46">
        <v>0.21544327656711834</v>
      </c>
      <c r="E35" s="28">
        <v>17</v>
      </c>
      <c r="F35" s="92">
        <v>32</v>
      </c>
      <c r="G35" s="93">
        <f t="shared" si="0"/>
        <v>-15</v>
      </c>
      <c r="H35" s="94">
        <f t="shared" si="1"/>
        <v>2.9640508552436717E-2</v>
      </c>
      <c r="I35" s="93"/>
      <c r="K35" s="13" t="s">
        <v>350</v>
      </c>
      <c r="L35" s="90" t="s">
        <v>288</v>
      </c>
      <c r="AA35" s="1" t="s">
        <v>56</v>
      </c>
      <c r="AB35" s="1" t="s">
        <v>236</v>
      </c>
      <c r="AC35" s="11">
        <v>0.18545930734781013</v>
      </c>
      <c r="AD35" s="84">
        <v>0.10600531040606202</v>
      </c>
    </row>
    <row r="36" spans="1:30">
      <c r="A36" s="14" t="s">
        <v>40</v>
      </c>
      <c r="B36" s="13" t="s">
        <v>208</v>
      </c>
      <c r="C36" s="46">
        <v>0.25008081400898868</v>
      </c>
      <c r="D36" s="46">
        <v>0.21697346690151775</v>
      </c>
      <c r="E36" s="28">
        <v>59</v>
      </c>
      <c r="F36" s="92">
        <v>33</v>
      </c>
      <c r="G36" s="93">
        <f t="shared" ref="G36:G67" si="2">E36-F36</f>
        <v>26</v>
      </c>
      <c r="H36" s="94">
        <f t="shared" ref="H36:H67" si="3">D36-C36</f>
        <v>-3.310734710747093E-2</v>
      </c>
      <c r="I36" s="93"/>
      <c r="K36" s="13" t="s">
        <v>318</v>
      </c>
      <c r="L36" s="89" t="s">
        <v>248</v>
      </c>
      <c r="AA36" s="1" t="s">
        <v>55</v>
      </c>
      <c r="AB36" s="1" t="s">
        <v>295</v>
      </c>
      <c r="AC36" s="11">
        <v>0.39940014728606144</v>
      </c>
      <c r="AD36" s="84">
        <v>0.10625578690311921</v>
      </c>
    </row>
    <row r="37" spans="1:30">
      <c r="A37" s="14" t="s">
        <v>82</v>
      </c>
      <c r="B37" s="13" t="s">
        <v>291</v>
      </c>
      <c r="C37" s="46">
        <v>0.23491910281175618</v>
      </c>
      <c r="D37" s="46">
        <v>0.21906746188701903</v>
      </c>
      <c r="E37" s="28">
        <v>46</v>
      </c>
      <c r="F37" s="92">
        <v>34</v>
      </c>
      <c r="G37" s="93">
        <f t="shared" si="2"/>
        <v>12</v>
      </c>
      <c r="H37" s="94">
        <f t="shared" si="3"/>
        <v>-1.5851640924737148E-2</v>
      </c>
      <c r="I37" s="93"/>
      <c r="K37" s="89" t="s">
        <v>196</v>
      </c>
      <c r="L37" s="13" t="s">
        <v>349</v>
      </c>
      <c r="AA37" s="1" t="s">
        <v>40</v>
      </c>
      <c r="AB37" s="1" t="s">
        <v>251</v>
      </c>
      <c r="AC37" s="11">
        <v>0.17548651264974829</v>
      </c>
      <c r="AD37" s="84">
        <v>0.10707857390820902</v>
      </c>
    </row>
    <row r="38" spans="1:30" ht="15" customHeight="1">
      <c r="A38" s="14" t="s">
        <v>85</v>
      </c>
      <c r="B38" s="13" t="s">
        <v>198</v>
      </c>
      <c r="C38" s="46">
        <v>0.18650132751643278</v>
      </c>
      <c r="D38" s="46">
        <v>0.21966299702353875</v>
      </c>
      <c r="E38" s="28">
        <v>19</v>
      </c>
      <c r="F38" s="92">
        <v>35</v>
      </c>
      <c r="G38" s="93">
        <f t="shared" si="2"/>
        <v>-16</v>
      </c>
      <c r="H38" s="94">
        <f t="shared" si="3"/>
        <v>3.3161669507105973E-2</v>
      </c>
      <c r="I38" s="93"/>
      <c r="K38" s="13" t="s">
        <v>310</v>
      </c>
      <c r="L38" s="89" t="s">
        <v>440</v>
      </c>
      <c r="AA38" s="1" t="s">
        <v>70</v>
      </c>
      <c r="AB38" s="1" t="s">
        <v>275</v>
      </c>
      <c r="AC38" s="11">
        <v>0.27744797600808946</v>
      </c>
      <c r="AD38" s="84">
        <v>0.11810732878545425</v>
      </c>
    </row>
    <row r="39" spans="1:30" ht="15" customHeight="1">
      <c r="A39" s="15" t="s">
        <v>57</v>
      </c>
      <c r="B39" s="13" t="s">
        <v>272</v>
      </c>
      <c r="C39" s="46">
        <v>0.22227758370008968</v>
      </c>
      <c r="D39" s="46">
        <v>0.22647311135654283</v>
      </c>
      <c r="E39" s="28">
        <v>39</v>
      </c>
      <c r="F39" s="92">
        <v>36</v>
      </c>
      <c r="G39" s="93">
        <f t="shared" si="2"/>
        <v>3</v>
      </c>
      <c r="H39" s="94">
        <f t="shared" si="3"/>
        <v>4.1955276564531463E-3</v>
      </c>
      <c r="I39" s="93"/>
      <c r="K39" s="13" t="s">
        <v>345</v>
      </c>
      <c r="L39" s="90" t="s">
        <v>448</v>
      </c>
      <c r="AA39" s="1" t="s">
        <v>106</v>
      </c>
      <c r="AB39" s="1" t="s">
        <v>343</v>
      </c>
      <c r="AC39" s="11">
        <v>0.71370038307748718</v>
      </c>
      <c r="AD39" s="84">
        <v>0.1187002024594907</v>
      </c>
    </row>
    <row r="40" spans="1:30" ht="15" customHeight="1">
      <c r="A40" s="15" t="s">
        <v>38</v>
      </c>
      <c r="B40" s="13" t="s">
        <v>247</v>
      </c>
      <c r="C40" s="46">
        <v>0.2555974398531653</v>
      </c>
      <c r="D40" s="46">
        <v>0.22648712657183159</v>
      </c>
      <c r="E40" s="28">
        <v>63</v>
      </c>
      <c r="F40" s="92">
        <v>37</v>
      </c>
      <c r="G40" s="93">
        <f t="shared" si="2"/>
        <v>26</v>
      </c>
      <c r="H40" s="94">
        <f t="shared" si="3"/>
        <v>-2.9110313281333705E-2</v>
      </c>
      <c r="I40" s="93"/>
      <c r="K40" s="13" t="s">
        <v>225</v>
      </c>
      <c r="L40" s="89" t="s">
        <v>225</v>
      </c>
      <c r="AA40" s="1" t="s">
        <v>130</v>
      </c>
      <c r="AB40" s="1" t="s">
        <v>301</v>
      </c>
      <c r="AC40" s="11">
        <v>0.61178014969735317</v>
      </c>
      <c r="AD40" s="84">
        <v>0.11953952640916622</v>
      </c>
    </row>
    <row r="41" spans="1:30" ht="15" customHeight="1">
      <c r="A41" s="14" t="s">
        <v>13</v>
      </c>
      <c r="B41" s="13" t="s">
        <v>275</v>
      </c>
      <c r="C41" s="46">
        <v>0.2374925044253442</v>
      </c>
      <c r="D41" s="46">
        <v>0.22907543337547043</v>
      </c>
      <c r="E41" s="28">
        <v>48</v>
      </c>
      <c r="F41" s="92">
        <v>38</v>
      </c>
      <c r="G41" s="93">
        <f t="shared" si="2"/>
        <v>10</v>
      </c>
      <c r="H41" s="94">
        <f t="shared" si="3"/>
        <v>-8.41707104987377E-3</v>
      </c>
      <c r="I41" s="93"/>
      <c r="K41" s="13" t="s">
        <v>248</v>
      </c>
      <c r="L41" s="90" t="s">
        <v>345</v>
      </c>
      <c r="AA41" s="1" t="s">
        <v>35</v>
      </c>
      <c r="AB41" s="1" t="s">
        <v>276</v>
      </c>
      <c r="AC41" s="11">
        <v>0.48126637869058281</v>
      </c>
      <c r="AD41" s="84">
        <v>0.12658965599512029</v>
      </c>
    </row>
    <row r="42" spans="1:30" ht="15" customHeight="1">
      <c r="A42" s="15" t="s">
        <v>73</v>
      </c>
      <c r="B42" s="13" t="s">
        <v>216</v>
      </c>
      <c r="C42" s="46">
        <v>0.21479348943857399</v>
      </c>
      <c r="D42" s="46">
        <v>0.23091810483668643</v>
      </c>
      <c r="E42" s="28">
        <v>34</v>
      </c>
      <c r="F42" s="92">
        <v>39</v>
      </c>
      <c r="G42" s="93">
        <f t="shared" si="2"/>
        <v>-5</v>
      </c>
      <c r="H42" s="94">
        <f t="shared" si="3"/>
        <v>1.6124615398112441E-2</v>
      </c>
      <c r="I42" s="93"/>
      <c r="K42" s="13" t="s">
        <v>440</v>
      </c>
      <c r="L42" s="90" t="s">
        <v>350</v>
      </c>
      <c r="AA42" s="1" t="s">
        <v>58</v>
      </c>
      <c r="AB42" s="1" t="s">
        <v>247</v>
      </c>
      <c r="AC42" s="11">
        <v>0.1640904557027007</v>
      </c>
      <c r="AD42" s="84">
        <v>0.12982108547024312</v>
      </c>
    </row>
    <row r="43" spans="1:30" ht="15" customHeight="1">
      <c r="A43" s="14" t="s">
        <v>157</v>
      </c>
      <c r="B43" s="13" t="s">
        <v>226</v>
      </c>
      <c r="C43" s="46">
        <v>0.20774907186321165</v>
      </c>
      <c r="D43" s="46">
        <v>0.23373844146631828</v>
      </c>
      <c r="E43" s="28">
        <v>32</v>
      </c>
      <c r="F43" s="92">
        <v>40</v>
      </c>
      <c r="G43" s="93">
        <f t="shared" si="2"/>
        <v>-8</v>
      </c>
      <c r="H43" s="94">
        <f t="shared" si="3"/>
        <v>2.5989369603106632E-2</v>
      </c>
      <c r="I43" s="93"/>
      <c r="K43" s="13" t="s">
        <v>219</v>
      </c>
      <c r="L43" s="89" t="s">
        <v>219</v>
      </c>
      <c r="AA43" s="1" t="s">
        <v>11</v>
      </c>
      <c r="AB43" s="1" t="s">
        <v>272</v>
      </c>
      <c r="AC43" s="11">
        <v>0.32148100383766792</v>
      </c>
      <c r="AD43" s="84">
        <v>0.13288641169385526</v>
      </c>
    </row>
    <row r="44" spans="1:30" ht="15" customHeight="1">
      <c r="A44" s="15" t="s">
        <v>183</v>
      </c>
      <c r="B44" s="13" t="s">
        <v>439</v>
      </c>
      <c r="C44" s="46">
        <v>0.19460045390293837</v>
      </c>
      <c r="D44" s="46">
        <v>0.23613305163272263</v>
      </c>
      <c r="E44" s="28">
        <v>25</v>
      </c>
      <c r="F44" s="92">
        <v>41</v>
      </c>
      <c r="G44" s="93">
        <f t="shared" si="2"/>
        <v>-16</v>
      </c>
      <c r="H44" s="94">
        <f t="shared" si="3"/>
        <v>4.1532597729784265E-2</v>
      </c>
      <c r="I44" s="93"/>
      <c r="K44" s="13" t="s">
        <v>192</v>
      </c>
      <c r="L44" s="89" t="s">
        <v>192</v>
      </c>
      <c r="AA44" s="1" t="s">
        <v>99</v>
      </c>
      <c r="AB44" s="1" t="s">
        <v>347</v>
      </c>
      <c r="AC44" s="11">
        <v>0.21443641516871598</v>
      </c>
      <c r="AD44" s="84">
        <v>0.13698874426225965</v>
      </c>
    </row>
    <row r="45" spans="1:30" ht="15" customHeight="1">
      <c r="A45" s="15" t="s">
        <v>65</v>
      </c>
      <c r="B45" s="13" t="s">
        <v>295</v>
      </c>
      <c r="C45" s="46">
        <v>0.22453042071810311</v>
      </c>
      <c r="D45" s="46">
        <v>0.23668951458415935</v>
      </c>
      <c r="E45" s="28">
        <v>41</v>
      </c>
      <c r="F45" s="92">
        <v>42</v>
      </c>
      <c r="G45" s="93">
        <f t="shared" si="2"/>
        <v>-1</v>
      </c>
      <c r="H45" s="94">
        <f t="shared" si="3"/>
        <v>1.2159093866056236E-2</v>
      </c>
      <c r="I45" s="93"/>
      <c r="AA45" s="1" t="s">
        <v>8</v>
      </c>
      <c r="AB45" s="1" t="s">
        <v>298</v>
      </c>
      <c r="AC45" s="11">
        <v>0.1414074196987718</v>
      </c>
      <c r="AD45" s="84">
        <v>0.14655665680149124</v>
      </c>
    </row>
    <row r="46" spans="1:30">
      <c r="A46" s="15" t="s">
        <v>37</v>
      </c>
      <c r="B46" s="13" t="s">
        <v>330</v>
      </c>
      <c r="C46" s="46">
        <v>0.21397964649425563</v>
      </c>
      <c r="D46" s="46">
        <v>0.24278996905085742</v>
      </c>
      <c r="E46" s="28">
        <v>33</v>
      </c>
      <c r="F46" s="92">
        <v>43</v>
      </c>
      <c r="G46" s="93">
        <f t="shared" si="2"/>
        <v>-10</v>
      </c>
      <c r="H46" s="94">
        <f t="shared" si="3"/>
        <v>2.8810322556601792E-2</v>
      </c>
      <c r="I46" s="93"/>
      <c r="AA46" s="1" t="s">
        <v>19</v>
      </c>
      <c r="AB46" s="1" t="s">
        <v>316</v>
      </c>
      <c r="AC46" s="11">
        <v>0.23720276904264687</v>
      </c>
      <c r="AD46" s="84">
        <v>0.14803280367095906</v>
      </c>
    </row>
    <row r="47" spans="1:30">
      <c r="A47" s="15" t="s">
        <v>0</v>
      </c>
      <c r="B47" s="13" t="s">
        <v>243</v>
      </c>
      <c r="C47" s="46">
        <v>0.23270622936889537</v>
      </c>
      <c r="D47" s="46">
        <v>0.24568558200924917</v>
      </c>
      <c r="E47" s="28">
        <v>44</v>
      </c>
      <c r="F47" s="92">
        <v>44</v>
      </c>
      <c r="G47" s="93">
        <f t="shared" si="2"/>
        <v>0</v>
      </c>
      <c r="H47" s="94">
        <f t="shared" si="3"/>
        <v>1.2979352640353797E-2</v>
      </c>
      <c r="I47" s="93"/>
      <c r="AA47" s="1" t="s">
        <v>22</v>
      </c>
      <c r="AB47" s="1" t="s">
        <v>238</v>
      </c>
      <c r="AC47" s="11">
        <v>0.28161179221132421</v>
      </c>
      <c r="AD47" s="84">
        <v>0.15002582530823483</v>
      </c>
    </row>
    <row r="48" spans="1:30">
      <c r="A48" s="14" t="s">
        <v>133</v>
      </c>
      <c r="B48" s="13" t="s">
        <v>392</v>
      </c>
      <c r="C48" s="46">
        <v>0.22441711028689174</v>
      </c>
      <c r="D48" s="46">
        <v>0.24662625166325336</v>
      </c>
      <c r="E48" s="28">
        <v>40</v>
      </c>
      <c r="F48" s="92">
        <v>45</v>
      </c>
      <c r="G48" s="93">
        <f t="shared" si="2"/>
        <v>-5</v>
      </c>
      <c r="H48" s="94">
        <f t="shared" si="3"/>
        <v>2.2209141376361624E-2</v>
      </c>
      <c r="I48" s="93"/>
      <c r="AA48" s="1" t="s">
        <v>161</v>
      </c>
      <c r="AB48" s="1" t="s">
        <v>336</v>
      </c>
      <c r="AC48" s="11">
        <v>0.36101096962542689</v>
      </c>
      <c r="AD48" s="84">
        <v>0.15365129330997118</v>
      </c>
    </row>
    <row r="49" spans="1:30">
      <c r="A49" s="15" t="s">
        <v>114</v>
      </c>
      <c r="B49" s="13" t="s">
        <v>372</v>
      </c>
      <c r="C49" s="46">
        <v>0.2418877512903522</v>
      </c>
      <c r="D49" s="46">
        <v>0.24723930431475327</v>
      </c>
      <c r="E49" s="28">
        <v>52</v>
      </c>
      <c r="F49" s="92">
        <v>46</v>
      </c>
      <c r="G49" s="93">
        <f t="shared" si="2"/>
        <v>6</v>
      </c>
      <c r="H49" s="94">
        <f t="shared" si="3"/>
        <v>5.3515530244010734E-3</v>
      </c>
      <c r="I49" s="93"/>
      <c r="AA49" s="1" t="s">
        <v>167</v>
      </c>
      <c r="AB49" s="1" t="s">
        <v>360</v>
      </c>
      <c r="AC49" s="11">
        <v>0.62346779876375269</v>
      </c>
      <c r="AD49" s="84">
        <v>0.15635569256899187</v>
      </c>
    </row>
    <row r="50" spans="1:30">
      <c r="A50" s="14" t="s">
        <v>31</v>
      </c>
      <c r="B50" s="13" t="s">
        <v>305</v>
      </c>
      <c r="C50" s="46">
        <v>0.24338732509046909</v>
      </c>
      <c r="D50" s="46">
        <v>0.25308968579275593</v>
      </c>
      <c r="E50" s="28">
        <v>54</v>
      </c>
      <c r="F50" s="92">
        <v>47</v>
      </c>
      <c r="G50" s="93">
        <f t="shared" si="2"/>
        <v>7</v>
      </c>
      <c r="H50" s="94">
        <f t="shared" si="3"/>
        <v>9.702360702286833E-3</v>
      </c>
      <c r="I50" s="93"/>
      <c r="AA50" s="1" t="s">
        <v>114</v>
      </c>
      <c r="AB50" s="1" t="s">
        <v>369</v>
      </c>
      <c r="AC50" s="11">
        <v>0.57605638023783312</v>
      </c>
      <c r="AD50" s="84">
        <v>0.15967541766756951</v>
      </c>
    </row>
    <row r="51" spans="1:30">
      <c r="A51" s="14" t="s">
        <v>96</v>
      </c>
      <c r="B51" s="13" t="s">
        <v>450</v>
      </c>
      <c r="C51" s="46">
        <v>0.27504325260751777</v>
      </c>
      <c r="D51" s="46">
        <v>0.25449089639416828</v>
      </c>
      <c r="E51" s="28">
        <v>81</v>
      </c>
      <c r="F51" s="92">
        <v>48</v>
      </c>
      <c r="G51" s="93">
        <f t="shared" si="2"/>
        <v>33</v>
      </c>
      <c r="H51" s="94">
        <f t="shared" si="3"/>
        <v>-2.0552356213349499E-2</v>
      </c>
      <c r="I51" s="93"/>
      <c r="AA51" s="1" t="s">
        <v>126</v>
      </c>
      <c r="AB51" s="1" t="s">
        <v>243</v>
      </c>
      <c r="AC51" s="11">
        <v>0.37479377087785093</v>
      </c>
      <c r="AD51" s="84">
        <v>0.16217646176561992</v>
      </c>
    </row>
    <row r="52" spans="1:30">
      <c r="A52" s="14" t="s">
        <v>172</v>
      </c>
      <c r="B52" s="13" t="s">
        <v>443</v>
      </c>
      <c r="C52" s="46">
        <v>0.21511925412455832</v>
      </c>
      <c r="D52" s="46">
        <v>0.26070974894099946</v>
      </c>
      <c r="E52" s="28">
        <v>35</v>
      </c>
      <c r="F52" s="92">
        <v>49</v>
      </c>
      <c r="G52" s="93">
        <f t="shared" si="2"/>
        <v>-14</v>
      </c>
      <c r="H52" s="94">
        <f t="shared" si="3"/>
        <v>4.5590494816441146E-2</v>
      </c>
      <c r="I52" s="93"/>
      <c r="AA52" s="1" t="s">
        <v>87</v>
      </c>
      <c r="AB52" s="1" t="s">
        <v>308</v>
      </c>
      <c r="AC52" s="11" t="e">
        <v>#N/A</v>
      </c>
      <c r="AD52" s="84">
        <v>0.16297062524273637</v>
      </c>
    </row>
    <row r="53" spans="1:30">
      <c r="A53" s="15" t="s">
        <v>129</v>
      </c>
      <c r="B53" s="13" t="s">
        <v>277</v>
      </c>
      <c r="C53" s="46">
        <v>0.24173291452893006</v>
      </c>
      <c r="D53" s="46">
        <v>0.26711623356887165</v>
      </c>
      <c r="E53" s="28">
        <v>50</v>
      </c>
      <c r="F53" s="92">
        <v>50</v>
      </c>
      <c r="G53" s="93">
        <f t="shared" si="2"/>
        <v>0</v>
      </c>
      <c r="H53" s="94">
        <f t="shared" si="3"/>
        <v>2.5383319039941593E-2</v>
      </c>
      <c r="I53" s="93"/>
      <c r="AA53" s="1" t="s">
        <v>28</v>
      </c>
      <c r="AB53" s="1" t="s">
        <v>315</v>
      </c>
      <c r="AC53" s="11">
        <v>0.21877896460359131</v>
      </c>
      <c r="AD53" s="84">
        <v>0.1654387584209287</v>
      </c>
    </row>
    <row r="54" spans="1:30">
      <c r="A54" s="14" t="s">
        <v>46</v>
      </c>
      <c r="B54" s="13" t="s">
        <v>373</v>
      </c>
      <c r="C54" s="46">
        <v>0.26933054316460192</v>
      </c>
      <c r="D54" s="46">
        <v>0.27063630122262211</v>
      </c>
      <c r="E54" s="28">
        <v>76</v>
      </c>
      <c r="F54" s="92">
        <v>51</v>
      </c>
      <c r="G54" s="93">
        <f t="shared" si="2"/>
        <v>25</v>
      </c>
      <c r="H54" s="94">
        <f t="shared" si="3"/>
        <v>1.30575805802019E-3</v>
      </c>
      <c r="I54" s="93"/>
      <c r="AA54" s="1" t="s">
        <v>105</v>
      </c>
      <c r="AB54" s="1" t="s">
        <v>254</v>
      </c>
      <c r="AC54" s="11">
        <v>0.51582011519749726</v>
      </c>
      <c r="AD54" s="84">
        <v>0.17282973325736714</v>
      </c>
    </row>
    <row r="55" spans="1:30">
      <c r="A55" s="14" t="s">
        <v>135</v>
      </c>
      <c r="B55" s="13" t="s">
        <v>306</v>
      </c>
      <c r="C55" s="46">
        <v>0.19640837186171958</v>
      </c>
      <c r="D55" s="46">
        <v>0.27113710977651762</v>
      </c>
      <c r="E55" s="28">
        <v>26</v>
      </c>
      <c r="F55" s="92">
        <v>52</v>
      </c>
      <c r="G55" s="93">
        <f t="shared" si="2"/>
        <v>-26</v>
      </c>
      <c r="H55" s="94">
        <f t="shared" si="3"/>
        <v>7.4728737914798032E-2</v>
      </c>
      <c r="I55" s="93"/>
      <c r="AA55" s="1" t="s">
        <v>31</v>
      </c>
      <c r="AB55" s="1" t="s">
        <v>281</v>
      </c>
      <c r="AC55" s="11">
        <v>0.53344504994105768</v>
      </c>
      <c r="AD55" s="84">
        <v>0.17969513043627564</v>
      </c>
    </row>
    <row r="56" spans="1:30">
      <c r="A56" s="15" t="s">
        <v>2</v>
      </c>
      <c r="B56" s="13" t="s">
        <v>353</v>
      </c>
      <c r="C56" s="46">
        <v>0.27492073086097685</v>
      </c>
      <c r="D56" s="46">
        <v>0.27184346893047917</v>
      </c>
      <c r="E56" s="28">
        <v>80</v>
      </c>
      <c r="F56" s="92">
        <v>53</v>
      </c>
      <c r="G56" s="93">
        <f t="shared" si="2"/>
        <v>27</v>
      </c>
      <c r="H56" s="94">
        <f t="shared" si="3"/>
        <v>-3.0772619304976767E-3</v>
      </c>
      <c r="I56" s="93"/>
      <c r="AA56" s="1" t="s">
        <v>41</v>
      </c>
      <c r="AB56" s="1" t="s">
        <v>235</v>
      </c>
      <c r="AC56" s="11">
        <v>0.71798492274823433</v>
      </c>
      <c r="AD56" s="84">
        <v>0.17971153121547512</v>
      </c>
    </row>
    <row r="57" spans="1:30">
      <c r="A57" s="14" t="s">
        <v>154</v>
      </c>
      <c r="B57" s="13" t="s">
        <v>242</v>
      </c>
      <c r="C57" s="46">
        <v>0.21971730361731454</v>
      </c>
      <c r="D57" s="46">
        <v>0.27762837150731928</v>
      </c>
      <c r="E57" s="28">
        <v>37</v>
      </c>
      <c r="F57" s="92">
        <v>54</v>
      </c>
      <c r="G57" s="93">
        <f t="shared" si="2"/>
        <v>-17</v>
      </c>
      <c r="H57" s="94">
        <f t="shared" si="3"/>
        <v>5.7911067890004747E-2</v>
      </c>
      <c r="I57" s="93"/>
      <c r="AA57" s="1" t="s">
        <v>101</v>
      </c>
      <c r="AB57" s="1" t="s">
        <v>359</v>
      </c>
      <c r="AC57" s="11">
        <v>0.61381297372098409</v>
      </c>
      <c r="AD57" s="84">
        <v>0.18593570214664201</v>
      </c>
    </row>
    <row r="58" spans="1:30">
      <c r="A58" s="14" t="s">
        <v>26</v>
      </c>
      <c r="B58" s="13" t="s">
        <v>302</v>
      </c>
      <c r="C58" s="46">
        <v>0.26106085115908445</v>
      </c>
      <c r="D58" s="46">
        <v>0.27791572880595472</v>
      </c>
      <c r="E58" s="28">
        <v>69</v>
      </c>
      <c r="F58" s="92">
        <v>55</v>
      </c>
      <c r="G58" s="93">
        <f t="shared" si="2"/>
        <v>14</v>
      </c>
      <c r="H58" s="94">
        <f t="shared" si="3"/>
        <v>1.685487764687027E-2</v>
      </c>
      <c r="I58" s="93"/>
      <c r="AA58" s="1" t="s">
        <v>48</v>
      </c>
      <c r="AB58" s="1" t="s">
        <v>333</v>
      </c>
      <c r="AC58" s="11">
        <v>0.20484344590544082</v>
      </c>
      <c r="AD58" s="84">
        <v>0.19323607222498046</v>
      </c>
    </row>
    <row r="59" spans="1:30">
      <c r="A59" s="15" t="s">
        <v>153</v>
      </c>
      <c r="B59" s="13" t="s">
        <v>362</v>
      </c>
      <c r="C59" s="46">
        <v>0.22512041268026409</v>
      </c>
      <c r="D59" s="46">
        <v>0.28261264087994337</v>
      </c>
      <c r="E59" s="28">
        <v>42</v>
      </c>
      <c r="F59" s="92">
        <v>56</v>
      </c>
      <c r="G59" s="93">
        <f t="shared" si="2"/>
        <v>-14</v>
      </c>
      <c r="H59" s="94">
        <f t="shared" si="3"/>
        <v>5.7492228199679279E-2</v>
      </c>
      <c r="I59" s="93"/>
      <c r="AA59" s="1" t="s">
        <v>109</v>
      </c>
      <c r="AB59" s="1" t="s">
        <v>209</v>
      </c>
      <c r="AC59" s="11">
        <v>0.4714411613017081</v>
      </c>
      <c r="AD59" s="84">
        <v>0.19420540210282719</v>
      </c>
    </row>
    <row r="60" spans="1:30">
      <c r="A60" s="15" t="s">
        <v>152</v>
      </c>
      <c r="B60" s="13" t="s">
        <v>343</v>
      </c>
      <c r="C60" s="46">
        <v>0.22195639221102992</v>
      </c>
      <c r="D60" s="46">
        <v>0.28394715570576112</v>
      </c>
      <c r="E60" s="28">
        <v>38</v>
      </c>
      <c r="F60" s="92">
        <v>57</v>
      </c>
      <c r="G60" s="93">
        <f t="shared" si="2"/>
        <v>-19</v>
      </c>
      <c r="H60" s="94">
        <f t="shared" si="3"/>
        <v>6.1990763494731205E-2</v>
      </c>
      <c r="I60" s="93"/>
      <c r="AA60" s="1" t="s">
        <v>144</v>
      </c>
      <c r="AB60" s="1" t="s">
        <v>283</v>
      </c>
      <c r="AC60" s="11">
        <v>0.68541509138953116</v>
      </c>
      <c r="AD60" s="84">
        <v>0.19440265012991845</v>
      </c>
    </row>
    <row r="61" spans="1:30">
      <c r="A61" s="14" t="s">
        <v>89</v>
      </c>
      <c r="B61" s="13" t="s">
        <v>215</v>
      </c>
      <c r="C61" s="46">
        <v>0.26391895308821151</v>
      </c>
      <c r="D61" s="46">
        <v>0.28406225411447311</v>
      </c>
      <c r="E61" s="28">
        <v>75</v>
      </c>
      <c r="F61" s="92">
        <v>58</v>
      </c>
      <c r="G61" s="93">
        <f t="shared" si="2"/>
        <v>17</v>
      </c>
      <c r="H61" s="94">
        <f t="shared" si="3"/>
        <v>2.0143301026261606E-2</v>
      </c>
      <c r="I61" s="93"/>
      <c r="AA61" s="1" t="s">
        <v>63</v>
      </c>
      <c r="AB61" s="1" t="s">
        <v>269</v>
      </c>
      <c r="AC61" s="11">
        <v>0.53116691766136426</v>
      </c>
      <c r="AD61" s="84">
        <v>0.19618125693919039</v>
      </c>
    </row>
    <row r="62" spans="1:30">
      <c r="A62" s="14" t="s">
        <v>111</v>
      </c>
      <c r="B62" s="13" t="s">
        <v>228</v>
      </c>
      <c r="C62" s="46">
        <v>0.27516416730986476</v>
      </c>
      <c r="D62" s="46">
        <v>0.28475024572513413</v>
      </c>
      <c r="E62" s="28">
        <v>82</v>
      </c>
      <c r="F62" s="92">
        <v>59</v>
      </c>
      <c r="G62" s="93">
        <f t="shared" si="2"/>
        <v>23</v>
      </c>
      <c r="H62" s="94">
        <f t="shared" si="3"/>
        <v>9.5860784152693723E-3</v>
      </c>
      <c r="I62" s="93"/>
      <c r="AA62" s="1" t="s">
        <v>10</v>
      </c>
      <c r="AB62" s="1" t="s">
        <v>376</v>
      </c>
      <c r="AC62" s="11">
        <v>0.3720835986599943</v>
      </c>
      <c r="AD62" s="84">
        <v>0.19748592526564387</v>
      </c>
    </row>
    <row r="63" spans="1:30">
      <c r="A63" s="15" t="s">
        <v>100</v>
      </c>
      <c r="B63" s="13" t="s">
        <v>254</v>
      </c>
      <c r="C63" s="46">
        <v>0.25538341801379622</v>
      </c>
      <c r="D63" s="46">
        <v>0.28483701640448683</v>
      </c>
      <c r="E63" s="28">
        <v>62</v>
      </c>
      <c r="F63" s="92">
        <v>60</v>
      </c>
      <c r="G63" s="93">
        <f t="shared" si="2"/>
        <v>2</v>
      </c>
      <c r="H63" s="94">
        <f t="shared" si="3"/>
        <v>2.9453598390690616E-2</v>
      </c>
      <c r="I63" s="93"/>
      <c r="AA63" s="1" t="s">
        <v>61</v>
      </c>
      <c r="AB63" s="1" t="s">
        <v>285</v>
      </c>
      <c r="AC63" s="11">
        <v>0.16661018108735778</v>
      </c>
      <c r="AD63" s="84">
        <v>0.19817318471501771</v>
      </c>
    </row>
    <row r="64" spans="1:30">
      <c r="A64" s="14" t="s">
        <v>76</v>
      </c>
      <c r="B64" s="13" t="s">
        <v>199</v>
      </c>
      <c r="C64" s="46">
        <v>0.249886510262428</v>
      </c>
      <c r="D64" s="46">
        <v>0.28532354882481042</v>
      </c>
      <c r="E64" s="28">
        <v>58</v>
      </c>
      <c r="F64" s="92">
        <v>61</v>
      </c>
      <c r="G64" s="93">
        <f t="shared" si="2"/>
        <v>-3</v>
      </c>
      <c r="H64" s="94">
        <f t="shared" si="3"/>
        <v>3.5437038562382422E-2</v>
      </c>
      <c r="I64" s="93"/>
      <c r="AA64" s="1" t="s">
        <v>74</v>
      </c>
      <c r="AB64" s="1" t="s">
        <v>194</v>
      </c>
      <c r="AC64" s="11">
        <v>0.43158251643857992</v>
      </c>
      <c r="AD64" s="84">
        <v>0.20178182539446685</v>
      </c>
    </row>
    <row r="65" spans="1:30">
      <c r="A65" s="14" t="s">
        <v>107</v>
      </c>
      <c r="B65" s="13" t="s">
        <v>194</v>
      </c>
      <c r="C65" s="46">
        <v>0.2695615286713004</v>
      </c>
      <c r="D65" s="46">
        <v>0.28589444157218113</v>
      </c>
      <c r="E65" s="28">
        <v>77</v>
      </c>
      <c r="F65" s="92">
        <v>62</v>
      </c>
      <c r="G65" s="93">
        <f t="shared" si="2"/>
        <v>15</v>
      </c>
      <c r="H65" s="94">
        <f t="shared" si="3"/>
        <v>1.6332912900880736E-2</v>
      </c>
      <c r="I65" s="93"/>
      <c r="AA65" s="1" t="s">
        <v>12</v>
      </c>
      <c r="AB65" s="1" t="s">
        <v>266</v>
      </c>
      <c r="AC65" s="11">
        <v>0.12795637679665897</v>
      </c>
      <c r="AD65" s="84">
        <v>0.20499643814183705</v>
      </c>
    </row>
    <row r="66" spans="1:30">
      <c r="A66" s="15" t="s">
        <v>168</v>
      </c>
      <c r="B66" s="13" t="s">
        <v>301</v>
      </c>
      <c r="C66" s="46">
        <v>0.24619163080071474</v>
      </c>
      <c r="D66" s="46">
        <v>0.28623206040426014</v>
      </c>
      <c r="E66" s="28">
        <v>56</v>
      </c>
      <c r="F66" s="92">
        <v>63</v>
      </c>
      <c r="G66" s="93">
        <f t="shared" si="2"/>
        <v>-7</v>
      </c>
      <c r="H66" s="94">
        <f t="shared" si="3"/>
        <v>4.0040429603545397E-2</v>
      </c>
      <c r="I66" s="93"/>
      <c r="AA66" s="1" t="s">
        <v>77</v>
      </c>
      <c r="AB66" s="1" t="s">
        <v>250</v>
      </c>
      <c r="AC66" s="11">
        <v>0.13197146435786861</v>
      </c>
      <c r="AD66" s="84">
        <v>0.20780843919152814</v>
      </c>
    </row>
    <row r="67" spans="1:30">
      <c r="A67" s="14" t="s">
        <v>41</v>
      </c>
      <c r="B67" s="13" t="s">
        <v>276</v>
      </c>
      <c r="C67" s="46">
        <v>0.27299332759444578</v>
      </c>
      <c r="D67" s="46">
        <v>0.28680395090000282</v>
      </c>
      <c r="E67" s="28">
        <v>79</v>
      </c>
      <c r="F67" s="92">
        <v>64</v>
      </c>
      <c r="G67" s="93">
        <f t="shared" si="2"/>
        <v>15</v>
      </c>
      <c r="H67" s="94">
        <f t="shared" si="3"/>
        <v>1.3810623305557046E-2</v>
      </c>
      <c r="I67" s="93"/>
      <c r="AA67" s="1" t="s">
        <v>110</v>
      </c>
      <c r="AB67" s="1" t="s">
        <v>202</v>
      </c>
      <c r="AC67" s="11">
        <v>0.55064509263000294</v>
      </c>
      <c r="AD67" s="84">
        <v>0.2183819194120874</v>
      </c>
    </row>
    <row r="68" spans="1:30">
      <c r="A68" s="14" t="s">
        <v>45</v>
      </c>
      <c r="B68" s="13" t="s">
        <v>368</v>
      </c>
      <c r="C68" s="46">
        <v>0.25843107282487315</v>
      </c>
      <c r="D68" s="46">
        <v>0.286861905598567</v>
      </c>
      <c r="E68" s="28">
        <v>65</v>
      </c>
      <c r="F68" s="92">
        <v>65</v>
      </c>
      <c r="G68" s="93">
        <f t="shared" ref="G68:G99" si="4">E68-F68</f>
        <v>0</v>
      </c>
      <c r="H68" s="94">
        <f t="shared" ref="H68:H99" si="5">D68-C68</f>
        <v>2.8430832773693848E-2</v>
      </c>
      <c r="I68" s="93"/>
      <c r="AA68" s="1" t="s">
        <v>82</v>
      </c>
      <c r="AB68" s="1" t="s">
        <v>271</v>
      </c>
      <c r="AC68" s="11">
        <v>0.2926476612017555</v>
      </c>
      <c r="AD68" s="84">
        <v>0.23088209320156922</v>
      </c>
    </row>
    <row r="69" spans="1:30">
      <c r="A69" s="15" t="s">
        <v>180</v>
      </c>
      <c r="B69" s="13" t="s">
        <v>202</v>
      </c>
      <c r="C69" s="46">
        <v>0.24357874104041274</v>
      </c>
      <c r="D69" s="46">
        <v>0.28704978562934153</v>
      </c>
      <c r="E69" s="28">
        <v>55</v>
      </c>
      <c r="F69" s="92">
        <v>66</v>
      </c>
      <c r="G69" s="93">
        <f t="shared" si="4"/>
        <v>-11</v>
      </c>
      <c r="H69" s="94">
        <f t="shared" si="5"/>
        <v>4.3471044588928781E-2</v>
      </c>
      <c r="I69" s="93"/>
      <c r="AA69" s="1" t="s">
        <v>78</v>
      </c>
      <c r="AB69" s="1" t="s">
        <v>232</v>
      </c>
      <c r="AC69" s="11">
        <v>0.3399409535217166</v>
      </c>
      <c r="AD69" s="84">
        <v>0.24631105230043682</v>
      </c>
    </row>
    <row r="70" spans="1:30">
      <c r="A70" s="15" t="s">
        <v>131</v>
      </c>
      <c r="B70" s="13" t="s">
        <v>377</v>
      </c>
      <c r="C70" s="46">
        <v>0.23664226603738905</v>
      </c>
      <c r="D70" s="46">
        <v>0.28738767047166586</v>
      </c>
      <c r="E70" s="28">
        <v>47</v>
      </c>
      <c r="F70" s="92">
        <v>67</v>
      </c>
      <c r="G70" s="93">
        <f t="shared" si="4"/>
        <v>-20</v>
      </c>
      <c r="H70" s="94">
        <f t="shared" si="5"/>
        <v>5.0745404434276803E-2</v>
      </c>
      <c r="I70" s="93"/>
      <c r="AA70" s="1" t="s">
        <v>69</v>
      </c>
      <c r="AB70" s="1" t="s">
        <v>201</v>
      </c>
      <c r="AC70" s="11">
        <v>0.14174504735159599</v>
      </c>
      <c r="AD70" s="84">
        <v>0.24702630511590368</v>
      </c>
    </row>
    <row r="71" spans="1:30">
      <c r="A71" s="14" t="s">
        <v>70</v>
      </c>
      <c r="B71" s="13" t="s">
        <v>455</v>
      </c>
      <c r="C71" s="46">
        <v>0.3003347732480402</v>
      </c>
      <c r="D71" s="46">
        <v>0.29318178034648196</v>
      </c>
      <c r="E71" s="28">
        <v>96</v>
      </c>
      <c r="F71" s="92">
        <v>68</v>
      </c>
      <c r="G71" s="93">
        <f t="shared" si="4"/>
        <v>28</v>
      </c>
      <c r="H71" s="94">
        <f t="shared" si="5"/>
        <v>-7.1529929015582416E-3</v>
      </c>
      <c r="I71" s="93"/>
      <c r="AA71" s="1" t="s">
        <v>0</v>
      </c>
      <c r="AB71" s="1" t="s">
        <v>346</v>
      </c>
      <c r="AC71" s="11">
        <v>0.55863222551113823</v>
      </c>
      <c r="AD71" s="84">
        <v>0.25</v>
      </c>
    </row>
    <row r="72" spans="1:30">
      <c r="A72" s="14" t="s">
        <v>146</v>
      </c>
      <c r="B72" s="13" t="s">
        <v>369</v>
      </c>
      <c r="C72" s="46">
        <v>0.25679736244970092</v>
      </c>
      <c r="D72" s="46">
        <v>0.2933975839591596</v>
      </c>
      <c r="E72" s="28">
        <v>64</v>
      </c>
      <c r="F72" s="92">
        <v>69</v>
      </c>
      <c r="G72" s="93">
        <f t="shared" si="4"/>
        <v>-5</v>
      </c>
      <c r="H72" s="94">
        <f t="shared" si="5"/>
        <v>3.6600221509458686E-2</v>
      </c>
      <c r="I72" s="93"/>
      <c r="AA72" s="1" t="s">
        <v>2</v>
      </c>
      <c r="AB72" s="1" t="s">
        <v>305</v>
      </c>
      <c r="AC72" s="11">
        <v>0.30213276579791121</v>
      </c>
      <c r="AD72" s="84">
        <v>0.25000000000003275</v>
      </c>
    </row>
    <row r="73" spans="1:30">
      <c r="A73" s="14" t="s">
        <v>90</v>
      </c>
      <c r="B73" s="13" t="s">
        <v>331</v>
      </c>
      <c r="C73" s="46">
        <v>0.2628310971464865</v>
      </c>
      <c r="D73" s="46">
        <v>0.29428991182204711</v>
      </c>
      <c r="E73" s="28">
        <v>71</v>
      </c>
      <c r="F73" s="92">
        <v>70</v>
      </c>
      <c r="G73" s="93">
        <f t="shared" si="4"/>
        <v>1</v>
      </c>
      <c r="H73" s="94">
        <f t="shared" si="5"/>
        <v>3.1458814675560609E-2</v>
      </c>
      <c r="I73" s="93"/>
      <c r="AA73" s="1" t="s">
        <v>151</v>
      </c>
      <c r="AB73" s="1" t="s">
        <v>335</v>
      </c>
      <c r="AC73" s="11">
        <v>0.5652875187151517</v>
      </c>
      <c r="AD73" s="84">
        <v>0.25063032653632239</v>
      </c>
    </row>
    <row r="74" spans="1:30">
      <c r="A74" s="14" t="s">
        <v>95</v>
      </c>
      <c r="B74" s="13" t="s">
        <v>321</v>
      </c>
      <c r="C74" s="46">
        <v>0.26003987695621089</v>
      </c>
      <c r="D74" s="46">
        <v>0.2954419521539452</v>
      </c>
      <c r="E74" s="28">
        <v>66</v>
      </c>
      <c r="F74" s="92">
        <v>71</v>
      </c>
      <c r="G74" s="93">
        <f t="shared" si="4"/>
        <v>-5</v>
      </c>
      <c r="H74" s="94">
        <f t="shared" si="5"/>
        <v>3.5402075197734306E-2</v>
      </c>
      <c r="I74" s="93"/>
      <c r="AA74" s="1" t="s">
        <v>3</v>
      </c>
      <c r="AB74" s="1" t="s">
        <v>282</v>
      </c>
      <c r="AC74" s="11">
        <v>0.51968742563159387</v>
      </c>
      <c r="AD74" s="84">
        <v>0.25075605718943711</v>
      </c>
    </row>
    <row r="75" spans="1:30">
      <c r="A75" s="14" t="s">
        <v>178</v>
      </c>
      <c r="B75" s="13" t="s">
        <v>453</v>
      </c>
      <c r="C75" s="46">
        <v>0.24844554384309456</v>
      </c>
      <c r="D75" s="46">
        <v>0.29622729483108357</v>
      </c>
      <c r="E75" s="28">
        <v>57</v>
      </c>
      <c r="F75" s="92">
        <v>72</v>
      </c>
      <c r="G75" s="93">
        <f t="shared" si="4"/>
        <v>-15</v>
      </c>
      <c r="H75" s="94">
        <f t="shared" si="5"/>
        <v>4.7781750987989008E-2</v>
      </c>
      <c r="I75" s="93"/>
      <c r="AA75" s="1" t="s">
        <v>27</v>
      </c>
      <c r="AB75" s="1" t="s">
        <v>341</v>
      </c>
      <c r="AC75" s="11">
        <v>0.33788818515248409</v>
      </c>
      <c r="AD75" s="84">
        <v>0.25303091218189994</v>
      </c>
    </row>
    <row r="76" spans="1:30">
      <c r="A76" s="15" t="s">
        <v>150</v>
      </c>
      <c r="B76" s="13" t="s">
        <v>282</v>
      </c>
      <c r="C76" s="46">
        <v>0.26046936365828072</v>
      </c>
      <c r="D76" s="46">
        <v>0.29856745711255922</v>
      </c>
      <c r="E76" s="28">
        <v>67</v>
      </c>
      <c r="F76" s="92">
        <v>73</v>
      </c>
      <c r="G76" s="93">
        <f t="shared" si="4"/>
        <v>-6</v>
      </c>
      <c r="H76" s="94">
        <f t="shared" si="5"/>
        <v>3.8098093454278503E-2</v>
      </c>
      <c r="I76" s="93"/>
      <c r="AA76" s="1" t="s">
        <v>76</v>
      </c>
      <c r="AB76" s="1" t="s">
        <v>280</v>
      </c>
      <c r="AC76" s="11">
        <v>0.66244867909798133</v>
      </c>
      <c r="AD76" s="84">
        <v>0.25315802688598515</v>
      </c>
    </row>
    <row r="77" spans="1:30">
      <c r="A77" s="15" t="s">
        <v>149</v>
      </c>
      <c r="B77" s="13" t="s">
        <v>341</v>
      </c>
      <c r="C77" s="46">
        <v>0.29970448782638004</v>
      </c>
      <c r="D77" s="46">
        <v>0.29983249340373153</v>
      </c>
      <c r="E77" s="28">
        <v>95</v>
      </c>
      <c r="F77" s="92">
        <v>74</v>
      </c>
      <c r="G77" s="93">
        <f t="shared" si="4"/>
        <v>21</v>
      </c>
      <c r="H77" s="94">
        <f t="shared" si="5"/>
        <v>1.2800557735148654E-4</v>
      </c>
      <c r="I77" s="93"/>
      <c r="AA77" s="1" t="s">
        <v>75</v>
      </c>
      <c r="AB77" s="1" t="s">
        <v>199</v>
      </c>
      <c r="AC77" s="11">
        <v>0.4759953846412836</v>
      </c>
      <c r="AD77" s="84">
        <v>0.25960598542851326</v>
      </c>
    </row>
    <row r="78" spans="1:30">
      <c r="A78" s="15" t="s">
        <v>33</v>
      </c>
      <c r="B78" s="13" t="s">
        <v>232</v>
      </c>
      <c r="C78" s="46">
        <v>0.30680223035505777</v>
      </c>
      <c r="D78" s="46">
        <v>0.30449098501005206</v>
      </c>
      <c r="E78" s="28">
        <v>98</v>
      </c>
      <c r="F78" s="92">
        <v>75</v>
      </c>
      <c r="G78" s="93">
        <f t="shared" si="4"/>
        <v>23</v>
      </c>
      <c r="H78" s="94">
        <f t="shared" si="5"/>
        <v>-2.311245345005708E-3</v>
      </c>
      <c r="I78" s="93"/>
      <c r="AA78" s="1" t="s">
        <v>171</v>
      </c>
      <c r="AB78" s="1" t="s">
        <v>356</v>
      </c>
      <c r="AC78" s="11">
        <v>0.59793151149109203</v>
      </c>
      <c r="AD78" s="84">
        <v>0.26064877890114108</v>
      </c>
    </row>
    <row r="79" spans="1:30">
      <c r="A79" s="15" t="s">
        <v>93</v>
      </c>
      <c r="B79" s="13" t="s">
        <v>193</v>
      </c>
      <c r="C79" s="46">
        <v>0.29043285983258982</v>
      </c>
      <c r="D79" s="46">
        <v>0.309068132951268</v>
      </c>
      <c r="E79" s="28">
        <v>89</v>
      </c>
      <c r="F79" s="92">
        <v>76</v>
      </c>
      <c r="G79" s="93">
        <f t="shared" si="4"/>
        <v>13</v>
      </c>
      <c r="H79" s="94">
        <f t="shared" si="5"/>
        <v>1.8635273118678186E-2</v>
      </c>
      <c r="I79" s="93"/>
      <c r="AA79" s="1" t="s">
        <v>39</v>
      </c>
      <c r="AB79" s="1" t="s">
        <v>302</v>
      </c>
      <c r="AC79" s="11">
        <v>0.36423228610174541</v>
      </c>
      <c r="AD79" s="84">
        <v>0.27114929806743787</v>
      </c>
    </row>
    <row r="80" spans="1:30">
      <c r="A80" s="14" t="s">
        <v>121</v>
      </c>
      <c r="B80" s="13" t="s">
        <v>227</v>
      </c>
      <c r="C80" s="46">
        <v>0.2622810790767453</v>
      </c>
      <c r="D80" s="46">
        <v>0.30928189027047692</v>
      </c>
      <c r="E80" s="28">
        <v>70</v>
      </c>
      <c r="F80" s="92">
        <v>77</v>
      </c>
      <c r="G80" s="93">
        <f t="shared" si="4"/>
        <v>-7</v>
      </c>
      <c r="H80" s="94">
        <f t="shared" si="5"/>
        <v>4.7000811193731618E-2</v>
      </c>
      <c r="I80" s="93"/>
      <c r="AA80" s="1" t="s">
        <v>83</v>
      </c>
      <c r="AB80" s="1" t="s">
        <v>257</v>
      </c>
      <c r="AC80" s="11">
        <v>0.17997360776834653</v>
      </c>
      <c r="AD80" s="84">
        <v>0.27117573616612817</v>
      </c>
    </row>
    <row r="81" spans="1:30">
      <c r="A81" s="14" t="s">
        <v>104</v>
      </c>
      <c r="B81" s="13" t="s">
        <v>445</v>
      </c>
      <c r="C81" s="46">
        <v>0.28549453232003358</v>
      </c>
      <c r="D81" s="46">
        <v>0.31023862264033936</v>
      </c>
      <c r="E81" s="28">
        <v>86</v>
      </c>
      <c r="F81" s="92">
        <v>78</v>
      </c>
      <c r="G81" s="93">
        <f t="shared" si="4"/>
        <v>8</v>
      </c>
      <c r="H81" s="94">
        <f t="shared" si="5"/>
        <v>2.4744090320305778E-2</v>
      </c>
      <c r="I81" s="93"/>
      <c r="AA81" s="1" t="s">
        <v>18</v>
      </c>
      <c r="AB81" s="1" t="s">
        <v>226</v>
      </c>
      <c r="AC81" s="11">
        <v>0.32771005121851665</v>
      </c>
      <c r="AD81" s="84">
        <v>0.27221014689471035</v>
      </c>
    </row>
    <row r="82" spans="1:30">
      <c r="A82" s="14" t="s">
        <v>119</v>
      </c>
      <c r="B82" s="13" t="s">
        <v>447</v>
      </c>
      <c r="C82" s="46">
        <v>0.29002142849067641</v>
      </c>
      <c r="D82" s="46">
        <v>0.31327736520276195</v>
      </c>
      <c r="E82" s="28">
        <v>88</v>
      </c>
      <c r="F82" s="92">
        <v>79</v>
      </c>
      <c r="G82" s="93">
        <f t="shared" si="4"/>
        <v>9</v>
      </c>
      <c r="H82" s="94">
        <f t="shared" si="5"/>
        <v>2.3255936712085534E-2</v>
      </c>
      <c r="I82" s="93"/>
      <c r="AA82" s="1" t="s">
        <v>26</v>
      </c>
      <c r="AB82" s="1" t="s">
        <v>203</v>
      </c>
      <c r="AC82" s="11">
        <v>0.38603742501835586</v>
      </c>
      <c r="AD82" s="84">
        <v>0.27243257731173498</v>
      </c>
    </row>
    <row r="83" spans="1:30">
      <c r="A83" s="14" t="s">
        <v>72</v>
      </c>
      <c r="B83" s="13" t="s">
        <v>367</v>
      </c>
      <c r="C83" s="46">
        <v>0.28431020857436645</v>
      </c>
      <c r="D83" s="46">
        <v>0.31356950252225491</v>
      </c>
      <c r="E83" s="28">
        <v>85</v>
      </c>
      <c r="F83" s="92">
        <v>80</v>
      </c>
      <c r="G83" s="93">
        <f t="shared" si="4"/>
        <v>5</v>
      </c>
      <c r="H83" s="94">
        <f t="shared" si="5"/>
        <v>2.9259293947888454E-2</v>
      </c>
      <c r="I83" s="93"/>
      <c r="AA83" s="1" t="s">
        <v>157</v>
      </c>
      <c r="AB83" s="1" t="s">
        <v>197</v>
      </c>
      <c r="AC83" s="11">
        <v>0.52076542442406637</v>
      </c>
      <c r="AD83" s="84">
        <v>0.27500000000000002</v>
      </c>
    </row>
    <row r="84" spans="1:30">
      <c r="A84" s="14" t="s">
        <v>156</v>
      </c>
      <c r="B84" s="13" t="s">
        <v>283</v>
      </c>
      <c r="C84" s="46">
        <v>0.2630550444538382</v>
      </c>
      <c r="D84" s="46">
        <v>0.31872748861695299</v>
      </c>
      <c r="E84" s="28">
        <v>73</v>
      </c>
      <c r="F84" s="92">
        <v>81</v>
      </c>
      <c r="G84" s="93">
        <f t="shared" si="4"/>
        <v>-8</v>
      </c>
      <c r="H84" s="94">
        <f t="shared" si="5"/>
        <v>5.5672444163114787E-2</v>
      </c>
      <c r="I84" s="93"/>
      <c r="AA84" s="1" t="s">
        <v>79</v>
      </c>
      <c r="AB84" s="1" t="s">
        <v>351</v>
      </c>
      <c r="AC84" s="11">
        <v>0.4244298196925862</v>
      </c>
      <c r="AD84" s="84">
        <v>0.27989720746073432</v>
      </c>
    </row>
    <row r="85" spans="1:30">
      <c r="A85" s="15" t="s">
        <v>118</v>
      </c>
      <c r="B85" s="13" t="s">
        <v>346</v>
      </c>
      <c r="C85" s="46">
        <v>0.28141294690244967</v>
      </c>
      <c r="D85" s="46">
        <v>0.31960823797619647</v>
      </c>
      <c r="E85" s="28">
        <v>84</v>
      </c>
      <c r="F85" s="92">
        <v>82</v>
      </c>
      <c r="G85" s="93">
        <f t="shared" si="4"/>
        <v>2</v>
      </c>
      <c r="H85" s="94">
        <f t="shared" si="5"/>
        <v>3.8195291073746807E-2</v>
      </c>
      <c r="I85" s="93"/>
      <c r="AA85" s="1" t="s">
        <v>13</v>
      </c>
      <c r="AB85" s="1" t="s">
        <v>198</v>
      </c>
      <c r="AC85" s="11">
        <v>0.3287563027540058</v>
      </c>
      <c r="AD85" s="84">
        <v>0.28226638190309072</v>
      </c>
    </row>
    <row r="86" spans="1:30">
      <c r="A86" s="15" t="s">
        <v>34</v>
      </c>
      <c r="B86" s="13" t="s">
        <v>209</v>
      </c>
      <c r="C86" s="46">
        <v>0.30994525258645705</v>
      </c>
      <c r="D86" s="46">
        <v>0.3203852568786309</v>
      </c>
      <c r="E86" s="28">
        <v>101</v>
      </c>
      <c r="F86" s="92">
        <v>83</v>
      </c>
      <c r="G86" s="93">
        <f t="shared" si="4"/>
        <v>18</v>
      </c>
      <c r="H86" s="94">
        <f t="shared" si="5"/>
        <v>1.0440004292173843E-2</v>
      </c>
      <c r="I86" s="93"/>
      <c r="AA86" s="1" t="s">
        <v>57</v>
      </c>
      <c r="AB86" s="1" t="s">
        <v>368</v>
      </c>
      <c r="AC86" s="11">
        <v>0.42195272691059094</v>
      </c>
      <c r="AD86" s="84">
        <v>0.28858337560069985</v>
      </c>
    </row>
    <row r="87" spans="1:30">
      <c r="A87" s="15" t="s">
        <v>36</v>
      </c>
      <c r="B87" s="13" t="s">
        <v>204</v>
      </c>
      <c r="C87" s="46">
        <v>0.33520185312087075</v>
      </c>
      <c r="D87" s="46">
        <v>0.32155791042919224</v>
      </c>
      <c r="E87" s="28">
        <v>111</v>
      </c>
      <c r="F87" s="92">
        <v>84</v>
      </c>
      <c r="G87" s="93">
        <f t="shared" si="4"/>
        <v>27</v>
      </c>
      <c r="H87" s="94">
        <f t="shared" si="5"/>
        <v>-1.3643942691678512E-2</v>
      </c>
      <c r="I87" s="93"/>
      <c r="AA87" s="1" t="s">
        <v>46</v>
      </c>
      <c r="AB87" s="1" t="s">
        <v>228</v>
      </c>
      <c r="AC87" s="11">
        <v>0.31771045709783408</v>
      </c>
      <c r="AD87" s="84">
        <v>0.30106645200087523</v>
      </c>
    </row>
    <row r="88" spans="1:30">
      <c r="A88" s="15" t="s">
        <v>127</v>
      </c>
      <c r="B88" s="13" t="s">
        <v>235</v>
      </c>
      <c r="C88" s="46">
        <v>0.26289906703801152</v>
      </c>
      <c r="D88" s="46">
        <v>0.32176813174288932</v>
      </c>
      <c r="E88" s="28">
        <v>72</v>
      </c>
      <c r="F88" s="92">
        <v>85</v>
      </c>
      <c r="G88" s="93">
        <f t="shared" si="4"/>
        <v>-13</v>
      </c>
      <c r="H88" s="94">
        <f t="shared" si="5"/>
        <v>5.8869064704877794E-2</v>
      </c>
      <c r="I88" s="93"/>
      <c r="AA88" s="1" t="s">
        <v>71</v>
      </c>
      <c r="AB88" s="1" t="s">
        <v>242</v>
      </c>
      <c r="AC88" s="11">
        <v>0.53533801580748119</v>
      </c>
      <c r="AD88" s="84">
        <v>0.30295772347214545</v>
      </c>
    </row>
    <row r="89" spans="1:30">
      <c r="A89" s="15" t="s">
        <v>88</v>
      </c>
      <c r="B89" s="13" t="s">
        <v>286</v>
      </c>
      <c r="C89" s="46">
        <v>0.25224420823472465</v>
      </c>
      <c r="D89" s="46">
        <v>0.32353166182303283</v>
      </c>
      <c r="E89" s="28">
        <v>61</v>
      </c>
      <c r="F89" s="92">
        <v>86</v>
      </c>
      <c r="G89" s="93">
        <f t="shared" si="4"/>
        <v>-25</v>
      </c>
      <c r="H89" s="94">
        <f t="shared" si="5"/>
        <v>7.1287453588308181E-2</v>
      </c>
      <c r="I89" s="93"/>
      <c r="AA89" s="1" t="s">
        <v>115</v>
      </c>
      <c r="AB89" s="1" t="s">
        <v>259</v>
      </c>
      <c r="AC89" s="11">
        <v>0.49297674201001634</v>
      </c>
      <c r="AD89" s="84">
        <v>0.30453751734489459</v>
      </c>
    </row>
    <row r="90" spans="1:30">
      <c r="A90" s="14" t="s">
        <v>62</v>
      </c>
      <c r="B90" s="13" t="s">
        <v>336</v>
      </c>
      <c r="C90" s="46">
        <v>0.34523046346204328</v>
      </c>
      <c r="D90" s="46">
        <v>0.3243997316501836</v>
      </c>
      <c r="E90" s="28">
        <v>113</v>
      </c>
      <c r="F90" s="92">
        <v>87</v>
      </c>
      <c r="G90" s="93">
        <f t="shared" si="4"/>
        <v>26</v>
      </c>
      <c r="H90" s="94">
        <f t="shared" si="5"/>
        <v>-2.0830731811859682E-2</v>
      </c>
      <c r="I90" s="93"/>
      <c r="AA90" s="1" t="s">
        <v>52</v>
      </c>
      <c r="AB90" s="1" t="s">
        <v>321</v>
      </c>
      <c r="AC90" s="11">
        <v>0.45490169881535109</v>
      </c>
      <c r="AD90" s="84">
        <v>0.30852972001359358</v>
      </c>
    </row>
    <row r="91" spans="1:30">
      <c r="A91" s="14" t="s">
        <v>159</v>
      </c>
      <c r="B91" s="13" t="s">
        <v>355</v>
      </c>
      <c r="C91" s="46">
        <v>0.29158552971087726</v>
      </c>
      <c r="D91" s="46">
        <v>0.32477972758064499</v>
      </c>
      <c r="E91" s="28">
        <v>91</v>
      </c>
      <c r="F91" s="92">
        <v>88</v>
      </c>
      <c r="G91" s="93">
        <f t="shared" si="4"/>
        <v>3</v>
      </c>
      <c r="H91" s="94">
        <f t="shared" si="5"/>
        <v>3.3194197869767739E-2</v>
      </c>
      <c r="I91" s="93"/>
      <c r="AA91" s="1" t="s">
        <v>59</v>
      </c>
      <c r="AB91" s="1" t="s">
        <v>241</v>
      </c>
      <c r="AC91" s="11">
        <v>0.53046636841205552</v>
      </c>
      <c r="AD91" s="84">
        <v>0.3093458943370172</v>
      </c>
    </row>
    <row r="92" spans="1:30">
      <c r="A92" s="14" t="s">
        <v>25</v>
      </c>
      <c r="B92" s="13" t="s">
        <v>324</v>
      </c>
      <c r="C92" s="46">
        <v>0.30251536458590561</v>
      </c>
      <c r="D92" s="46">
        <v>0.32555561096222935</v>
      </c>
      <c r="E92" s="28">
        <v>97</v>
      </c>
      <c r="F92" s="92">
        <v>89</v>
      </c>
      <c r="G92" s="93">
        <f t="shared" si="4"/>
        <v>8</v>
      </c>
      <c r="H92" s="94">
        <f t="shared" si="5"/>
        <v>2.3040246376323736E-2</v>
      </c>
      <c r="I92" s="93"/>
      <c r="AA92" s="1" t="s">
        <v>68</v>
      </c>
      <c r="AB92" s="1" t="s">
        <v>270</v>
      </c>
      <c r="AC92" s="11">
        <v>0.73982896292078637</v>
      </c>
      <c r="AD92" s="84">
        <v>0.31427415680682302</v>
      </c>
    </row>
    <row r="93" spans="1:30">
      <c r="A93" s="15" t="s">
        <v>80</v>
      </c>
      <c r="B93" s="13" t="s">
        <v>328</v>
      </c>
      <c r="C93" s="46">
        <v>0.2808829375783552</v>
      </c>
      <c r="D93" s="46">
        <v>0.325899248611148</v>
      </c>
      <c r="E93" s="28">
        <v>83</v>
      </c>
      <c r="F93" s="92">
        <v>90</v>
      </c>
      <c r="G93" s="93">
        <f t="shared" si="4"/>
        <v>-7</v>
      </c>
      <c r="H93" s="94">
        <f t="shared" si="5"/>
        <v>4.50163110327928E-2</v>
      </c>
      <c r="I93" s="93"/>
      <c r="AA93" s="1" t="s">
        <v>123</v>
      </c>
      <c r="AB93" s="1" t="s">
        <v>193</v>
      </c>
      <c r="AC93" s="11">
        <v>0.39259150110321334</v>
      </c>
      <c r="AD93" s="84">
        <v>0.316475561473405</v>
      </c>
    </row>
    <row r="94" spans="1:30">
      <c r="A94" s="15" t="s">
        <v>185</v>
      </c>
      <c r="B94" s="13" t="s">
        <v>268</v>
      </c>
      <c r="C94" s="46">
        <v>0.2638128452526905</v>
      </c>
      <c r="D94" s="46">
        <v>0.3274014285458825</v>
      </c>
      <c r="E94" s="28">
        <v>74</v>
      </c>
      <c r="F94" s="92">
        <v>91</v>
      </c>
      <c r="G94" s="93">
        <f t="shared" si="4"/>
        <v>-17</v>
      </c>
      <c r="H94" s="94">
        <f t="shared" si="5"/>
        <v>6.3588583293192003E-2</v>
      </c>
      <c r="I94" s="93"/>
      <c r="AA94" s="1" t="s">
        <v>112</v>
      </c>
      <c r="AB94" s="1" t="s">
        <v>256</v>
      </c>
      <c r="AC94" s="11">
        <v>0.47378287405380759</v>
      </c>
      <c r="AD94" s="84">
        <v>0.31969372159378773</v>
      </c>
    </row>
    <row r="95" spans="1:30">
      <c r="A95" s="14" t="s">
        <v>75</v>
      </c>
      <c r="B95" s="13" t="s">
        <v>203</v>
      </c>
      <c r="C95" s="46">
        <v>0.32642740115040858</v>
      </c>
      <c r="D95" s="46">
        <v>0.32891439581662202</v>
      </c>
      <c r="E95" s="28">
        <v>107</v>
      </c>
      <c r="F95" s="92">
        <v>92</v>
      </c>
      <c r="G95" s="93">
        <f t="shared" si="4"/>
        <v>15</v>
      </c>
      <c r="H95" s="94">
        <f t="shared" si="5"/>
        <v>2.4869946662134379E-3</v>
      </c>
      <c r="I95" s="93"/>
      <c r="AA95" s="1" t="s">
        <v>73</v>
      </c>
      <c r="AB95" s="1" t="s">
        <v>328</v>
      </c>
      <c r="AC95" s="11">
        <v>0.53922405845240051</v>
      </c>
      <c r="AD95" s="84">
        <v>0.3293411025063393</v>
      </c>
    </row>
    <row r="96" spans="1:30">
      <c r="A96" s="14" t="s">
        <v>163</v>
      </c>
      <c r="B96" s="13" t="s">
        <v>442</v>
      </c>
      <c r="C96" s="46">
        <v>0.2906523672806135</v>
      </c>
      <c r="D96" s="46">
        <v>0.32925370406494153</v>
      </c>
      <c r="E96" s="28">
        <v>90</v>
      </c>
      <c r="F96" s="92">
        <v>93</v>
      </c>
      <c r="G96" s="93">
        <f t="shared" si="4"/>
        <v>-3</v>
      </c>
      <c r="H96" s="94">
        <f t="shared" si="5"/>
        <v>3.8601336784328033E-2</v>
      </c>
      <c r="I96" s="93"/>
      <c r="AA96" s="1" t="s">
        <v>187</v>
      </c>
      <c r="AB96" s="1" t="s">
        <v>290</v>
      </c>
      <c r="AC96" s="11">
        <v>0.26588075622113677</v>
      </c>
      <c r="AD96" s="84">
        <v>0.33333333333333331</v>
      </c>
    </row>
    <row r="97" spans="1:30">
      <c r="A97" s="15" t="s">
        <v>94</v>
      </c>
      <c r="B97" s="13" t="s">
        <v>317</v>
      </c>
      <c r="C97" s="46">
        <v>0.29926217388984111</v>
      </c>
      <c r="D97" s="46">
        <v>0.32935928148729426</v>
      </c>
      <c r="E97" s="28">
        <v>93</v>
      </c>
      <c r="F97" s="92">
        <v>94</v>
      </c>
      <c r="G97" s="93">
        <f t="shared" si="4"/>
        <v>-1</v>
      </c>
      <c r="H97" s="94">
        <f t="shared" si="5"/>
        <v>3.0097107597453154E-2</v>
      </c>
      <c r="I97" s="93"/>
      <c r="AA97" s="1" t="s">
        <v>25</v>
      </c>
      <c r="AB97" s="1" t="s">
        <v>252</v>
      </c>
      <c r="AC97" s="11">
        <v>0.26893281462070989</v>
      </c>
      <c r="AD97" s="84">
        <v>0.33352999611760759</v>
      </c>
    </row>
    <row r="98" spans="1:30">
      <c r="A98" s="14" t="s">
        <v>21</v>
      </c>
      <c r="B98" s="13" t="s">
        <v>326</v>
      </c>
      <c r="C98" s="46">
        <v>0.28610784214925428</v>
      </c>
      <c r="D98" s="46">
        <v>0.33168932055257505</v>
      </c>
      <c r="E98" s="28">
        <v>87</v>
      </c>
      <c r="F98" s="92">
        <v>95</v>
      </c>
      <c r="G98" s="93">
        <f t="shared" si="4"/>
        <v>-8</v>
      </c>
      <c r="H98" s="94">
        <f t="shared" si="5"/>
        <v>4.5581478403320774E-2</v>
      </c>
      <c r="I98" s="93"/>
      <c r="AA98" s="1" t="s">
        <v>95</v>
      </c>
      <c r="AB98" s="1" t="s">
        <v>253</v>
      </c>
      <c r="AC98" s="11">
        <v>0.5547581607023423</v>
      </c>
      <c r="AD98" s="84">
        <v>0.33570906925655958</v>
      </c>
    </row>
    <row r="99" spans="1:30">
      <c r="A99" s="15" t="s">
        <v>160</v>
      </c>
      <c r="B99" s="13" t="s">
        <v>258</v>
      </c>
      <c r="C99" s="46">
        <v>0.30956420874186574</v>
      </c>
      <c r="D99" s="46">
        <v>0.33751161805792129</v>
      </c>
      <c r="E99" s="28">
        <v>100</v>
      </c>
      <c r="F99" s="92">
        <v>96</v>
      </c>
      <c r="G99" s="93">
        <f t="shared" si="4"/>
        <v>4</v>
      </c>
      <c r="H99" s="94">
        <f t="shared" si="5"/>
        <v>2.7947409316055549E-2</v>
      </c>
      <c r="I99" s="93"/>
      <c r="AA99" s="1" t="s">
        <v>100</v>
      </c>
      <c r="AB99" s="1" t="s">
        <v>309</v>
      </c>
      <c r="AC99" s="11">
        <v>0.41881686487178466</v>
      </c>
      <c r="AD99" s="84">
        <v>0.34498159844079829</v>
      </c>
    </row>
    <row r="100" spans="1:30">
      <c r="A100" s="15" t="s">
        <v>174</v>
      </c>
      <c r="B100" s="13" t="s">
        <v>244</v>
      </c>
      <c r="C100" s="46">
        <v>0.29933438065532264</v>
      </c>
      <c r="D100" s="46">
        <v>0.33913558693503781</v>
      </c>
      <c r="E100" s="28">
        <v>94</v>
      </c>
      <c r="F100" s="92">
        <v>97</v>
      </c>
      <c r="G100" s="93">
        <f t="shared" ref="G100:G131" si="6">E100-F100</f>
        <v>-3</v>
      </c>
      <c r="H100" s="94">
        <f t="shared" ref="H100:H131" si="7">D100-C100</f>
        <v>3.9801206279715173E-2</v>
      </c>
      <c r="I100" s="93"/>
      <c r="AA100" s="1" t="s">
        <v>188</v>
      </c>
      <c r="AB100" s="1" t="s">
        <v>371</v>
      </c>
      <c r="AC100" s="11">
        <v>0.56139842001262419</v>
      </c>
      <c r="AD100" s="84">
        <v>0.35439283314449677</v>
      </c>
    </row>
    <row r="101" spans="1:30">
      <c r="A101" s="15" t="s">
        <v>188</v>
      </c>
      <c r="B101" s="13" t="s">
        <v>223</v>
      </c>
      <c r="C101" s="46">
        <v>0.29569126205371921</v>
      </c>
      <c r="D101" s="46">
        <v>0.34033564396821248</v>
      </c>
      <c r="E101" s="28">
        <v>92</v>
      </c>
      <c r="F101" s="92">
        <v>98</v>
      </c>
      <c r="G101" s="93">
        <f t="shared" si="6"/>
        <v>-6</v>
      </c>
      <c r="H101" s="94">
        <f t="shared" si="7"/>
        <v>4.464438191449327E-2</v>
      </c>
      <c r="I101" s="93"/>
      <c r="AA101" s="1" t="s">
        <v>155</v>
      </c>
      <c r="AB101" s="1" t="s">
        <v>258</v>
      </c>
      <c r="AC101" s="11">
        <v>0.45542607956600156</v>
      </c>
      <c r="AD101" s="84">
        <v>0.35780299706915397</v>
      </c>
    </row>
    <row r="102" spans="1:30">
      <c r="A102" s="15" t="s">
        <v>136</v>
      </c>
      <c r="B102" s="13" t="s">
        <v>206</v>
      </c>
      <c r="C102" s="46">
        <v>0.26075988246182863</v>
      </c>
      <c r="D102" s="46">
        <v>0.34308447743957604</v>
      </c>
      <c r="E102" s="28">
        <v>68</v>
      </c>
      <c r="F102" s="92">
        <v>99</v>
      </c>
      <c r="G102" s="93">
        <f t="shared" si="6"/>
        <v>-31</v>
      </c>
      <c r="H102" s="94">
        <f t="shared" si="7"/>
        <v>8.2324594977747412E-2</v>
      </c>
      <c r="I102" s="93"/>
      <c r="AA102" s="1" t="s">
        <v>118</v>
      </c>
      <c r="AB102" s="1" t="s">
        <v>319</v>
      </c>
      <c r="AC102" s="11">
        <v>0.46194704322123348</v>
      </c>
      <c r="AD102" s="84">
        <v>0.35847167004602953</v>
      </c>
    </row>
    <row r="103" spans="1:30">
      <c r="A103" s="14" t="s">
        <v>77</v>
      </c>
      <c r="B103" s="13" t="s">
        <v>252</v>
      </c>
      <c r="C103" s="46">
        <v>0.36316424526394359</v>
      </c>
      <c r="D103" s="46">
        <v>0.34529472557298863</v>
      </c>
      <c r="E103" s="28">
        <v>119</v>
      </c>
      <c r="F103" s="92">
        <v>100</v>
      </c>
      <c r="G103" s="93">
        <f t="shared" si="6"/>
        <v>19</v>
      </c>
      <c r="H103" s="94">
        <f t="shared" si="7"/>
        <v>-1.786951969095496E-2</v>
      </c>
      <c r="I103" s="93"/>
      <c r="AA103" s="1" t="s">
        <v>119</v>
      </c>
      <c r="AB103" s="1" t="s">
        <v>264</v>
      </c>
      <c r="AC103" s="11">
        <v>0.51636671328634987</v>
      </c>
      <c r="AD103" s="84">
        <v>0.35956523821885955</v>
      </c>
    </row>
    <row r="104" spans="1:30">
      <c r="A104" s="15" t="s">
        <v>120</v>
      </c>
      <c r="B104" s="13" t="s">
        <v>259</v>
      </c>
      <c r="C104" s="46">
        <v>0.32401015442681486</v>
      </c>
      <c r="D104" s="46">
        <v>0.3472508328991884</v>
      </c>
      <c r="E104" s="28">
        <v>105</v>
      </c>
      <c r="F104" s="92">
        <v>101</v>
      </c>
      <c r="G104" s="93">
        <f t="shared" si="6"/>
        <v>4</v>
      </c>
      <c r="H104" s="94">
        <f t="shared" si="7"/>
        <v>2.3240678472373544E-2</v>
      </c>
      <c r="I104" s="93"/>
      <c r="AA104" s="1" t="s">
        <v>176</v>
      </c>
      <c r="AB104" s="1" t="s">
        <v>278</v>
      </c>
      <c r="AC104" s="11">
        <v>0.52857908843951007</v>
      </c>
      <c r="AD104" s="84">
        <v>0.36428872416408753</v>
      </c>
    </row>
    <row r="105" spans="1:30">
      <c r="A105" s="14" t="s">
        <v>116</v>
      </c>
      <c r="B105" s="13" t="s">
        <v>451</v>
      </c>
      <c r="C105" s="46">
        <v>0.30770686296922195</v>
      </c>
      <c r="D105" s="46">
        <v>0.35019138572508635</v>
      </c>
      <c r="E105" s="28">
        <v>99</v>
      </c>
      <c r="F105" s="92">
        <v>102</v>
      </c>
      <c r="G105" s="93">
        <f t="shared" si="6"/>
        <v>-3</v>
      </c>
      <c r="H105" s="94">
        <f t="shared" si="7"/>
        <v>4.2484522755864396E-2</v>
      </c>
      <c r="I105" s="93"/>
      <c r="AA105" s="1" t="s">
        <v>65</v>
      </c>
      <c r="AB105" s="1" t="s">
        <v>367</v>
      </c>
      <c r="AC105" s="11">
        <v>0.41231336390537515</v>
      </c>
      <c r="AD105" s="84">
        <v>0.36569543948068545</v>
      </c>
    </row>
    <row r="106" spans="1:30">
      <c r="A106" s="15" t="s">
        <v>128</v>
      </c>
      <c r="B106" s="13" t="s">
        <v>264</v>
      </c>
      <c r="C106" s="46">
        <v>0.31535302114222064</v>
      </c>
      <c r="D106" s="46">
        <v>0.35116869777940857</v>
      </c>
      <c r="E106" s="28">
        <v>102</v>
      </c>
      <c r="F106" s="92">
        <v>103</v>
      </c>
      <c r="G106" s="93">
        <f t="shared" si="6"/>
        <v>-1</v>
      </c>
      <c r="H106" s="94">
        <f t="shared" si="7"/>
        <v>3.5815676637187932E-2</v>
      </c>
      <c r="I106" s="93"/>
      <c r="AA106" s="1" t="s">
        <v>84</v>
      </c>
      <c r="AB106" s="1" t="s">
        <v>244</v>
      </c>
      <c r="AC106" s="11">
        <v>0.50665216058972384</v>
      </c>
      <c r="AD106" s="84">
        <v>0.36854710754497166</v>
      </c>
    </row>
    <row r="107" spans="1:30">
      <c r="A107" s="15" t="s">
        <v>167</v>
      </c>
      <c r="B107" s="13" t="s">
        <v>274</v>
      </c>
      <c r="C107" s="46">
        <v>0.32537721883751325</v>
      </c>
      <c r="D107" s="46">
        <v>0.35469333797414976</v>
      </c>
      <c r="E107" s="28">
        <v>106</v>
      </c>
      <c r="F107" s="92">
        <v>104</v>
      </c>
      <c r="G107" s="93">
        <f t="shared" si="6"/>
        <v>2</v>
      </c>
      <c r="H107" s="94">
        <f t="shared" si="7"/>
        <v>2.9316119136636509E-2</v>
      </c>
      <c r="I107" s="93"/>
      <c r="AA107" s="1" t="s">
        <v>91</v>
      </c>
      <c r="AB107" s="1" t="s">
        <v>330</v>
      </c>
      <c r="AC107" s="11">
        <v>0.27898793607950045</v>
      </c>
      <c r="AD107" s="84">
        <v>0.37040444560466435</v>
      </c>
    </row>
    <row r="108" spans="1:30">
      <c r="A108" s="14" t="s">
        <v>191</v>
      </c>
      <c r="B108" s="13" t="s">
        <v>449</v>
      </c>
      <c r="C108" s="46">
        <v>0.25217108154261175</v>
      </c>
      <c r="D108" s="46">
        <v>0.35497512163061679</v>
      </c>
      <c r="E108" s="28">
        <v>60</v>
      </c>
      <c r="F108" s="92">
        <v>105</v>
      </c>
      <c r="G108" s="93">
        <f t="shared" si="6"/>
        <v>-45</v>
      </c>
      <c r="H108" s="94">
        <f t="shared" si="7"/>
        <v>0.10280404008800503</v>
      </c>
      <c r="I108" s="93"/>
      <c r="AA108" s="1" t="s">
        <v>85</v>
      </c>
      <c r="AB108" s="1" t="s">
        <v>230</v>
      </c>
      <c r="AC108" s="11">
        <v>0.46086672458747008</v>
      </c>
      <c r="AD108" s="84">
        <v>0.37343510546734082</v>
      </c>
    </row>
    <row r="109" spans="1:30">
      <c r="A109" s="15" t="s">
        <v>79</v>
      </c>
      <c r="B109" s="13" t="s">
        <v>335</v>
      </c>
      <c r="C109" s="46">
        <v>0.33002619881993828</v>
      </c>
      <c r="D109" s="46">
        <v>0.35604811125453234</v>
      </c>
      <c r="E109" s="28">
        <v>109</v>
      </c>
      <c r="F109" s="92">
        <v>106</v>
      </c>
      <c r="G109" s="93">
        <f t="shared" si="6"/>
        <v>3</v>
      </c>
      <c r="H109" s="94">
        <f t="shared" si="7"/>
        <v>2.6021912434594063E-2</v>
      </c>
      <c r="I109" s="93"/>
      <c r="AA109" s="1" t="s">
        <v>149</v>
      </c>
      <c r="AB109" s="1" t="s">
        <v>362</v>
      </c>
      <c r="AC109" s="11">
        <v>0.48483171073549086</v>
      </c>
      <c r="AD109" s="84">
        <v>0.37479217275858456</v>
      </c>
    </row>
    <row r="110" spans="1:30">
      <c r="A110" s="15" t="s">
        <v>86</v>
      </c>
      <c r="B110" s="13" t="s">
        <v>197</v>
      </c>
      <c r="C110" s="46">
        <v>0.340510374560758</v>
      </c>
      <c r="D110" s="46">
        <v>0.35988109429025827</v>
      </c>
      <c r="E110" s="28">
        <v>112</v>
      </c>
      <c r="F110" s="92">
        <v>107</v>
      </c>
      <c r="G110" s="93">
        <f t="shared" si="6"/>
        <v>5</v>
      </c>
      <c r="H110" s="94">
        <f t="shared" si="7"/>
        <v>1.9370719729500274E-2</v>
      </c>
      <c r="I110" s="93"/>
      <c r="AA110" s="1" t="s">
        <v>9</v>
      </c>
      <c r="AB110" s="1" t="s">
        <v>379</v>
      </c>
      <c r="AC110" s="11">
        <v>0.24706474689072669</v>
      </c>
      <c r="AD110" s="84">
        <v>0.37933298088708117</v>
      </c>
    </row>
    <row r="111" spans="1:30">
      <c r="A111" s="14" t="s">
        <v>71</v>
      </c>
      <c r="B111" s="13" t="s">
        <v>351</v>
      </c>
      <c r="C111" s="46">
        <v>0.36038851889372431</v>
      </c>
      <c r="D111" s="46">
        <v>0.36033522368955306</v>
      </c>
      <c r="E111" s="28">
        <v>118</v>
      </c>
      <c r="F111" s="92">
        <v>108</v>
      </c>
      <c r="G111" s="93">
        <f t="shared" si="6"/>
        <v>10</v>
      </c>
      <c r="H111" s="94">
        <f t="shared" si="7"/>
        <v>-5.3295204171244226E-5</v>
      </c>
      <c r="I111" s="93"/>
      <c r="AA111" s="1" t="s">
        <v>190</v>
      </c>
      <c r="AB111" s="1" t="s">
        <v>325</v>
      </c>
      <c r="AC111" s="11">
        <v>0.67781283034577489</v>
      </c>
      <c r="AD111" s="84">
        <v>0.38031134124005916</v>
      </c>
    </row>
    <row r="112" spans="1:30">
      <c r="A112" s="15" t="s">
        <v>140</v>
      </c>
      <c r="B112" s="13" t="s">
        <v>380</v>
      </c>
      <c r="C112" s="46">
        <v>0.27016880610970867</v>
      </c>
      <c r="D112" s="46">
        <v>0.36410153338454698</v>
      </c>
      <c r="E112" s="28">
        <v>78</v>
      </c>
      <c r="F112" s="92">
        <v>109</v>
      </c>
      <c r="G112" s="93">
        <f t="shared" si="6"/>
        <v>-31</v>
      </c>
      <c r="H112" s="94">
        <f t="shared" si="7"/>
        <v>9.3932727274838312E-2</v>
      </c>
      <c r="I112" s="93"/>
      <c r="AA112" s="1" t="s">
        <v>111</v>
      </c>
      <c r="AB112" s="1" t="s">
        <v>227</v>
      </c>
      <c r="AC112" s="11">
        <v>0.46916843907391304</v>
      </c>
      <c r="AD112" s="84">
        <v>0.3914285714285714</v>
      </c>
    </row>
    <row r="113" spans="1:30">
      <c r="A113" s="14" t="s">
        <v>50</v>
      </c>
      <c r="B113" s="13" t="s">
        <v>240</v>
      </c>
      <c r="C113" s="46">
        <v>0.39425567033255121</v>
      </c>
      <c r="D113" s="46">
        <v>0.36450004968456667</v>
      </c>
      <c r="E113" s="28">
        <v>127</v>
      </c>
      <c r="F113" s="92">
        <v>110</v>
      </c>
      <c r="G113" s="93">
        <f t="shared" si="6"/>
        <v>17</v>
      </c>
      <c r="H113" s="94">
        <f t="shared" si="7"/>
        <v>-2.9755620647984538E-2</v>
      </c>
      <c r="I113" s="93"/>
      <c r="AA113" s="1" t="s">
        <v>159</v>
      </c>
      <c r="AB113" s="1" t="s">
        <v>267</v>
      </c>
      <c r="AC113" s="11">
        <v>0.57383087685520462</v>
      </c>
      <c r="AD113" s="84">
        <v>0.39840671665228994</v>
      </c>
    </row>
    <row r="114" spans="1:30">
      <c r="A114" s="15" t="s">
        <v>125</v>
      </c>
      <c r="B114" s="13" t="s">
        <v>327</v>
      </c>
      <c r="C114" s="46">
        <v>0.31570069855053312</v>
      </c>
      <c r="D114" s="46">
        <v>0.36580847588429211</v>
      </c>
      <c r="E114" s="28">
        <v>103</v>
      </c>
      <c r="F114" s="92">
        <v>111</v>
      </c>
      <c r="G114" s="93">
        <f t="shared" si="6"/>
        <v>-8</v>
      </c>
      <c r="H114" s="94">
        <f t="shared" si="7"/>
        <v>5.0107777333758985E-2</v>
      </c>
      <c r="I114" s="93"/>
      <c r="AA114" s="1" t="s">
        <v>66</v>
      </c>
      <c r="AB114" s="1" t="s">
        <v>306</v>
      </c>
      <c r="AC114" s="11">
        <v>0.52630728281415462</v>
      </c>
      <c r="AD114" s="84">
        <v>0.4005468209682595</v>
      </c>
    </row>
    <row r="115" spans="1:30">
      <c r="A115" s="15" t="s">
        <v>169</v>
      </c>
      <c r="B115" s="13" t="s">
        <v>391</v>
      </c>
      <c r="C115" s="46">
        <v>0.334494889777885</v>
      </c>
      <c r="D115" s="46">
        <v>0.36652658672747057</v>
      </c>
      <c r="E115" s="28">
        <v>110</v>
      </c>
      <c r="F115" s="92">
        <v>112</v>
      </c>
      <c r="G115" s="93">
        <f t="shared" si="6"/>
        <v>-2</v>
      </c>
      <c r="H115" s="94">
        <f t="shared" si="7"/>
        <v>3.2031696949585575E-2</v>
      </c>
      <c r="I115" s="93"/>
      <c r="AA115" s="1" t="s">
        <v>158</v>
      </c>
      <c r="AB115" s="1" t="s">
        <v>293</v>
      </c>
      <c r="AC115" s="11">
        <v>0.73170337896423254</v>
      </c>
      <c r="AD115" s="84">
        <v>0.40181649031673988</v>
      </c>
    </row>
    <row r="116" spans="1:30">
      <c r="A116" s="14" t="s">
        <v>59</v>
      </c>
      <c r="B116" s="13" t="s">
        <v>360</v>
      </c>
      <c r="C116" s="46">
        <v>0.34858529567330515</v>
      </c>
      <c r="D116" s="46">
        <v>0.36693360182588042</v>
      </c>
      <c r="E116" s="28">
        <v>115</v>
      </c>
      <c r="F116" s="92">
        <v>113</v>
      </c>
      <c r="G116" s="93">
        <f t="shared" si="6"/>
        <v>2</v>
      </c>
      <c r="H116" s="94">
        <f t="shared" si="7"/>
        <v>1.8348306152575267E-2</v>
      </c>
      <c r="I116" s="93"/>
      <c r="AA116" s="1" t="s">
        <v>97</v>
      </c>
      <c r="AB116" s="1" t="s">
        <v>221</v>
      </c>
      <c r="AC116" s="11">
        <v>0.54360279847006665</v>
      </c>
      <c r="AD116" s="84">
        <v>0.40732293065490355</v>
      </c>
    </row>
    <row r="117" spans="1:30">
      <c r="A117" s="14" t="s">
        <v>74</v>
      </c>
      <c r="B117" s="13" t="s">
        <v>309</v>
      </c>
      <c r="C117" s="46">
        <v>0.37661608330287599</v>
      </c>
      <c r="D117" s="46">
        <v>0.37917565810276188</v>
      </c>
      <c r="E117" s="28">
        <v>122</v>
      </c>
      <c r="F117" s="92">
        <v>114</v>
      </c>
      <c r="G117" s="93">
        <f t="shared" si="6"/>
        <v>8</v>
      </c>
      <c r="H117" s="94">
        <f t="shared" si="7"/>
        <v>2.5595747998858887E-3</v>
      </c>
      <c r="I117" s="93"/>
      <c r="AA117" s="1" t="s">
        <v>145</v>
      </c>
      <c r="AB117" s="1" t="s">
        <v>382</v>
      </c>
      <c r="AC117" s="11">
        <v>0.53862874604267608</v>
      </c>
      <c r="AD117" s="84">
        <v>0.41228696489879191</v>
      </c>
    </row>
    <row r="118" spans="1:30">
      <c r="A118" s="14" t="s">
        <v>176</v>
      </c>
      <c r="B118" s="13" t="s">
        <v>296</v>
      </c>
      <c r="C118" s="46">
        <v>0.35765689792076594</v>
      </c>
      <c r="D118" s="46">
        <v>0.40161658739441058</v>
      </c>
      <c r="E118" s="28">
        <v>117</v>
      </c>
      <c r="F118" s="92">
        <v>115</v>
      </c>
      <c r="G118" s="93">
        <f t="shared" si="6"/>
        <v>2</v>
      </c>
      <c r="H118" s="94">
        <f t="shared" si="7"/>
        <v>4.3959689473644648E-2</v>
      </c>
      <c r="I118" s="93"/>
      <c r="AA118" s="1" t="s">
        <v>189</v>
      </c>
      <c r="AB118" s="1" t="s">
        <v>366</v>
      </c>
      <c r="AC118" s="11">
        <v>0.16096682875073054</v>
      </c>
      <c r="AD118" s="84">
        <v>0.41553251243182143</v>
      </c>
    </row>
    <row r="119" spans="1:30">
      <c r="A119" s="14" t="s">
        <v>177</v>
      </c>
      <c r="B119" s="13" t="s">
        <v>262</v>
      </c>
      <c r="C119" s="46">
        <v>0.35254313721396296</v>
      </c>
      <c r="D119" s="46">
        <v>0.40376868924256881</v>
      </c>
      <c r="E119" s="28">
        <v>116</v>
      </c>
      <c r="F119" s="92">
        <v>116</v>
      </c>
      <c r="G119" s="93">
        <f t="shared" si="6"/>
        <v>0</v>
      </c>
      <c r="H119" s="94">
        <f t="shared" si="7"/>
        <v>5.1225552028605847E-2</v>
      </c>
      <c r="I119" s="93"/>
      <c r="AA119" s="1" t="s">
        <v>180</v>
      </c>
      <c r="AB119" s="1" t="s">
        <v>294</v>
      </c>
      <c r="AC119" s="11">
        <v>0.46471415429638141</v>
      </c>
      <c r="AD119" s="84">
        <v>0.41730286303410191</v>
      </c>
    </row>
    <row r="120" spans="1:30">
      <c r="A120" s="14" t="s">
        <v>134</v>
      </c>
      <c r="B120" s="13" t="s">
        <v>307</v>
      </c>
      <c r="C120" s="46">
        <v>0.36911170244269492</v>
      </c>
      <c r="D120" s="46">
        <v>0.40385117961794326</v>
      </c>
      <c r="E120" s="28">
        <v>120</v>
      </c>
      <c r="F120" s="92">
        <v>117</v>
      </c>
      <c r="G120" s="93">
        <f t="shared" si="6"/>
        <v>3</v>
      </c>
      <c r="H120" s="94">
        <f t="shared" si="7"/>
        <v>3.4739477175248334E-2</v>
      </c>
      <c r="I120" s="93"/>
      <c r="AA120" s="1" t="s">
        <v>42</v>
      </c>
      <c r="AB120" s="1" t="s">
        <v>355</v>
      </c>
      <c r="AC120" s="11">
        <v>0.40267630775421276</v>
      </c>
      <c r="AD120" s="84">
        <v>0.42657418958229176</v>
      </c>
    </row>
    <row r="121" spans="1:30">
      <c r="A121" s="14" t="s">
        <v>68</v>
      </c>
      <c r="B121" s="13" t="s">
        <v>322</v>
      </c>
      <c r="C121" s="46">
        <v>0.37390452422062742</v>
      </c>
      <c r="D121" s="46">
        <v>0.40621382029828151</v>
      </c>
      <c r="E121" s="28">
        <v>121</v>
      </c>
      <c r="F121" s="92">
        <v>118</v>
      </c>
      <c r="G121" s="93">
        <f t="shared" si="6"/>
        <v>3</v>
      </c>
      <c r="H121" s="94">
        <f t="shared" si="7"/>
        <v>3.2309296077654093E-2</v>
      </c>
      <c r="I121" s="93"/>
      <c r="AA121" s="1" t="s">
        <v>23</v>
      </c>
      <c r="AB121" s="1" t="s">
        <v>215</v>
      </c>
      <c r="AC121" s="11">
        <v>0.26449895848596555</v>
      </c>
      <c r="AD121" s="84">
        <v>0.4293761798076775</v>
      </c>
    </row>
    <row r="122" spans="1:30">
      <c r="A122" s="15" t="s">
        <v>6</v>
      </c>
      <c r="B122" s="13" t="s">
        <v>214</v>
      </c>
      <c r="C122" s="46">
        <v>0.42219505992385442</v>
      </c>
      <c r="D122" s="46">
        <v>0.40719097130194432</v>
      </c>
      <c r="E122" s="28">
        <v>132</v>
      </c>
      <c r="F122" s="92">
        <v>119</v>
      </c>
      <c r="G122" s="93">
        <f t="shared" si="6"/>
        <v>13</v>
      </c>
      <c r="H122" s="94">
        <f t="shared" si="7"/>
        <v>-1.5004088621910106E-2</v>
      </c>
      <c r="I122" s="93"/>
      <c r="AA122" s="1" t="s">
        <v>170</v>
      </c>
      <c r="AB122" s="1" t="s">
        <v>361</v>
      </c>
      <c r="AC122" s="11">
        <v>0.56715897848645613</v>
      </c>
      <c r="AD122" s="84">
        <v>0.43136463964356908</v>
      </c>
    </row>
    <row r="123" spans="1:30">
      <c r="A123" s="15" t="s">
        <v>181</v>
      </c>
      <c r="B123" s="13" t="s">
        <v>365</v>
      </c>
      <c r="C123" s="46">
        <v>0.34644203478426333</v>
      </c>
      <c r="D123" s="46">
        <v>0.42096475100102576</v>
      </c>
      <c r="E123" s="28">
        <v>114</v>
      </c>
      <c r="F123" s="92">
        <v>120</v>
      </c>
      <c r="G123" s="93">
        <f t="shared" si="6"/>
        <v>-6</v>
      </c>
      <c r="H123" s="94">
        <f t="shared" si="7"/>
        <v>7.452271621676243E-2</v>
      </c>
      <c r="I123" s="93"/>
      <c r="AA123" s="1" t="s">
        <v>163</v>
      </c>
      <c r="AB123" s="1" t="s">
        <v>229</v>
      </c>
      <c r="AC123" s="11">
        <v>0.67102139608635403</v>
      </c>
      <c r="AD123" s="84">
        <v>0.43175808745819372</v>
      </c>
    </row>
    <row r="124" spans="1:30">
      <c r="A124" s="14" t="s">
        <v>122</v>
      </c>
      <c r="B124" s="13" t="s">
        <v>256</v>
      </c>
      <c r="C124" s="46">
        <v>0.4285810394865634</v>
      </c>
      <c r="D124" s="46">
        <v>0.42223133952490033</v>
      </c>
      <c r="E124" s="28">
        <v>136</v>
      </c>
      <c r="F124" s="92">
        <v>121</v>
      </c>
      <c r="G124" s="93">
        <f t="shared" si="6"/>
        <v>15</v>
      </c>
      <c r="H124" s="94">
        <f t="shared" si="7"/>
        <v>-6.3496999616630689E-3</v>
      </c>
      <c r="I124" s="93"/>
      <c r="AA124" s="1" t="s">
        <v>72</v>
      </c>
      <c r="AB124" s="1" t="s">
        <v>212</v>
      </c>
      <c r="AC124" s="11">
        <v>0.46580340345631566</v>
      </c>
      <c r="AD124" s="84">
        <v>0.43462074751392743</v>
      </c>
    </row>
    <row r="125" spans="1:30">
      <c r="A125" s="15" t="s">
        <v>182</v>
      </c>
      <c r="B125" s="13" t="s">
        <v>270</v>
      </c>
      <c r="C125" s="46">
        <v>0.37721308913011925</v>
      </c>
      <c r="D125" s="46">
        <v>0.42452592669557837</v>
      </c>
      <c r="E125" s="28">
        <v>123</v>
      </c>
      <c r="F125" s="92">
        <v>122</v>
      </c>
      <c r="G125" s="93">
        <f t="shared" si="6"/>
        <v>1</v>
      </c>
      <c r="H125" s="94">
        <f t="shared" si="7"/>
        <v>4.731283756545912E-2</v>
      </c>
      <c r="I125" s="93"/>
      <c r="AA125" s="1" t="s">
        <v>93</v>
      </c>
      <c r="AB125" s="1" t="s">
        <v>317</v>
      </c>
      <c r="AC125" s="11">
        <v>0.38845789716663831</v>
      </c>
      <c r="AD125" s="84">
        <v>0.43606865747283297</v>
      </c>
    </row>
    <row r="126" spans="1:30">
      <c r="A126" s="15" t="s">
        <v>9</v>
      </c>
      <c r="B126" s="13" t="s">
        <v>230</v>
      </c>
      <c r="C126" s="46">
        <v>0.43746992073911017</v>
      </c>
      <c r="D126" s="46">
        <v>0.43325309522864724</v>
      </c>
      <c r="E126" s="28">
        <v>140</v>
      </c>
      <c r="F126" s="92">
        <v>123</v>
      </c>
      <c r="G126" s="93">
        <f t="shared" si="6"/>
        <v>17</v>
      </c>
      <c r="H126" s="94">
        <f t="shared" si="7"/>
        <v>-4.2168255104629293E-3</v>
      </c>
      <c r="I126" s="93"/>
      <c r="AA126" s="1" t="s">
        <v>20</v>
      </c>
      <c r="AB126" s="1" t="s">
        <v>286</v>
      </c>
      <c r="AC126" s="11">
        <v>0.56731800497499185</v>
      </c>
      <c r="AD126" s="84">
        <v>0.44652345441293295</v>
      </c>
    </row>
    <row r="127" spans="1:30">
      <c r="A127" s="14" t="s">
        <v>115</v>
      </c>
      <c r="B127" s="13" t="s">
        <v>267</v>
      </c>
      <c r="C127" s="46">
        <v>0.41069010527260835</v>
      </c>
      <c r="D127" s="46">
        <v>0.43391950840690252</v>
      </c>
      <c r="E127" s="28">
        <v>129</v>
      </c>
      <c r="F127" s="92">
        <v>124</v>
      </c>
      <c r="G127" s="93">
        <f t="shared" si="6"/>
        <v>5</v>
      </c>
      <c r="H127" s="94">
        <f t="shared" si="7"/>
        <v>2.3229403134294169E-2</v>
      </c>
      <c r="I127" s="93"/>
      <c r="AA127" s="1" t="s">
        <v>89</v>
      </c>
      <c r="AB127" s="1" t="s">
        <v>223</v>
      </c>
      <c r="AC127" s="11">
        <v>0.46253101179120559</v>
      </c>
      <c r="AD127" s="84">
        <v>0.45545772567643067</v>
      </c>
    </row>
    <row r="128" spans="1:30">
      <c r="A128" s="14" t="s">
        <v>18</v>
      </c>
      <c r="B128" s="13" t="s">
        <v>312</v>
      </c>
      <c r="C128" s="46">
        <v>0.44252464240563311</v>
      </c>
      <c r="D128" s="46">
        <v>0.43567533984669149</v>
      </c>
      <c r="E128" s="28">
        <v>143</v>
      </c>
      <c r="F128" s="92">
        <v>125</v>
      </c>
      <c r="G128" s="93">
        <f t="shared" si="6"/>
        <v>18</v>
      </c>
      <c r="H128" s="94">
        <f t="shared" si="7"/>
        <v>-6.8493025589416168E-3</v>
      </c>
      <c r="I128" s="93"/>
      <c r="AA128" s="1" t="s">
        <v>80</v>
      </c>
      <c r="AB128" s="1" t="s">
        <v>340</v>
      </c>
      <c r="AC128" s="11">
        <v>0.85507263191954941</v>
      </c>
      <c r="AD128" s="84">
        <v>0.45558852662187005</v>
      </c>
    </row>
    <row r="129" spans="1:30">
      <c r="A129" s="15" t="s">
        <v>10</v>
      </c>
      <c r="B129" s="13" t="s">
        <v>245</v>
      </c>
      <c r="C129" s="46">
        <v>0.44653479542414742</v>
      </c>
      <c r="D129" s="46">
        <v>0.43704142483382324</v>
      </c>
      <c r="E129" s="28">
        <v>144</v>
      </c>
      <c r="F129" s="92">
        <v>126</v>
      </c>
      <c r="G129" s="93">
        <f t="shared" si="6"/>
        <v>18</v>
      </c>
      <c r="H129" s="94">
        <f t="shared" si="7"/>
        <v>-9.4933705903241794E-3</v>
      </c>
      <c r="I129" s="93"/>
      <c r="AA129" s="1" t="s">
        <v>132</v>
      </c>
      <c r="AB129" s="1" t="s">
        <v>210</v>
      </c>
      <c r="AC129" s="11">
        <v>0.41303690575239127</v>
      </c>
      <c r="AD129" s="84">
        <v>0.46177534665825537</v>
      </c>
    </row>
    <row r="130" spans="1:30">
      <c r="A130" s="15" t="s">
        <v>27</v>
      </c>
      <c r="B130" s="13" t="s">
        <v>253</v>
      </c>
      <c r="C130" s="46">
        <v>0.42964870120945747</v>
      </c>
      <c r="D130" s="46">
        <v>0.43721805786560392</v>
      </c>
      <c r="E130" s="28">
        <v>137</v>
      </c>
      <c r="F130" s="92">
        <v>127</v>
      </c>
      <c r="G130" s="93">
        <f t="shared" si="6"/>
        <v>10</v>
      </c>
      <c r="H130" s="94">
        <f t="shared" si="7"/>
        <v>7.569356656146442E-3</v>
      </c>
      <c r="I130" s="93"/>
      <c r="AA130" s="1" t="s">
        <v>182</v>
      </c>
      <c r="AB130" s="1" t="s">
        <v>334</v>
      </c>
      <c r="AC130" s="11">
        <v>0.58247804975032191</v>
      </c>
      <c r="AD130" s="84">
        <v>0.46306643376175871</v>
      </c>
    </row>
    <row r="131" spans="1:30">
      <c r="A131" s="15" t="s">
        <v>42</v>
      </c>
      <c r="B131" s="13" t="s">
        <v>444</v>
      </c>
      <c r="C131" s="46">
        <v>0.42316842721101028</v>
      </c>
      <c r="D131" s="46">
        <v>0.43881568957873007</v>
      </c>
      <c r="E131" s="28">
        <v>133</v>
      </c>
      <c r="F131" s="92">
        <v>128</v>
      </c>
      <c r="G131" s="93">
        <f t="shared" si="6"/>
        <v>5</v>
      </c>
      <c r="H131" s="94">
        <f t="shared" si="7"/>
        <v>1.5647262367719794E-2</v>
      </c>
      <c r="I131" s="93"/>
      <c r="AA131" s="1" t="s">
        <v>162</v>
      </c>
      <c r="AB131" s="1" t="s">
        <v>262</v>
      </c>
      <c r="AC131" s="11">
        <v>0.5983958419999873</v>
      </c>
      <c r="AD131" s="84">
        <v>0.46783806046743082</v>
      </c>
    </row>
    <row r="132" spans="1:30">
      <c r="A132" s="15" t="s">
        <v>130</v>
      </c>
      <c r="B132" s="13" t="s">
        <v>356</v>
      </c>
      <c r="C132" s="46">
        <v>0.43637555590543825</v>
      </c>
      <c r="D132" s="46">
        <v>0.4395535155997134</v>
      </c>
      <c r="E132" s="28">
        <v>139</v>
      </c>
      <c r="F132" s="92">
        <v>129</v>
      </c>
      <c r="G132" s="93">
        <f t="shared" ref="G132:G163" si="8">E132-F132</f>
        <v>10</v>
      </c>
      <c r="H132" s="94">
        <f t="shared" ref="H132:H163" si="9">D132-C132</f>
        <v>3.1779596942751454E-3</v>
      </c>
      <c r="I132" s="93"/>
      <c r="AA132" s="1" t="s">
        <v>49</v>
      </c>
      <c r="AB132" s="1" t="s">
        <v>324</v>
      </c>
      <c r="AC132" s="11">
        <v>0.32141315752674593</v>
      </c>
      <c r="AD132" s="84">
        <v>0.46897515601452605</v>
      </c>
    </row>
    <row r="133" spans="1:30">
      <c r="A133" s="14" t="s">
        <v>22</v>
      </c>
      <c r="B133" s="13" t="s">
        <v>342</v>
      </c>
      <c r="C133" s="46">
        <v>0.47536360406836337</v>
      </c>
      <c r="D133" s="46">
        <v>0.44781258111157118</v>
      </c>
      <c r="E133" s="28">
        <v>156</v>
      </c>
      <c r="F133" s="92">
        <v>130</v>
      </c>
      <c r="G133" s="93">
        <f t="shared" si="8"/>
        <v>26</v>
      </c>
      <c r="H133" s="94">
        <f t="shared" si="9"/>
        <v>-2.7551022956792182E-2</v>
      </c>
      <c r="I133" s="93"/>
      <c r="AA133" s="1" t="s">
        <v>152</v>
      </c>
      <c r="AB133" s="1" t="s">
        <v>297</v>
      </c>
      <c r="AC133" s="11">
        <v>0.64965264054902272</v>
      </c>
      <c r="AD133" s="84">
        <v>0.46918441876001632</v>
      </c>
    </row>
    <row r="134" spans="1:30">
      <c r="A134" s="15" t="s">
        <v>145</v>
      </c>
      <c r="B134" s="13" t="s">
        <v>211</v>
      </c>
      <c r="C134" s="46">
        <v>0.39021928723004184</v>
      </c>
      <c r="D134" s="46">
        <v>0.44841165233667579</v>
      </c>
      <c r="E134" s="28">
        <v>126</v>
      </c>
      <c r="F134" s="92">
        <v>131</v>
      </c>
      <c r="G134" s="93">
        <f t="shared" si="8"/>
        <v>-5</v>
      </c>
      <c r="H134" s="94">
        <f t="shared" si="9"/>
        <v>5.8192365106633948E-2</v>
      </c>
      <c r="I134" s="93"/>
      <c r="AA134" s="1" t="s">
        <v>134</v>
      </c>
      <c r="AB134" s="1" t="s">
        <v>245</v>
      </c>
      <c r="AC134" s="11">
        <v>0.36026346194102637</v>
      </c>
      <c r="AD134" s="84">
        <v>0.47605365490787438</v>
      </c>
    </row>
    <row r="135" spans="1:30">
      <c r="A135" s="14" t="s">
        <v>132</v>
      </c>
      <c r="B135" s="13" t="s">
        <v>311</v>
      </c>
      <c r="C135" s="46">
        <v>0.41540726652091875</v>
      </c>
      <c r="D135" s="46">
        <v>0.45551095328893221</v>
      </c>
      <c r="E135" s="28">
        <v>130</v>
      </c>
      <c r="F135" s="92">
        <v>132</v>
      </c>
      <c r="G135" s="93">
        <f t="shared" si="8"/>
        <v>-2</v>
      </c>
      <c r="H135" s="94">
        <f t="shared" si="9"/>
        <v>4.0103686768013458E-2</v>
      </c>
      <c r="I135" s="93"/>
      <c r="AA135" s="1" t="s">
        <v>135</v>
      </c>
      <c r="AB135" s="1" t="s">
        <v>224</v>
      </c>
      <c r="AC135" s="11">
        <v>0.37913451276371168</v>
      </c>
      <c r="AD135" s="84">
        <v>0.48490809956207886</v>
      </c>
    </row>
    <row r="136" spans="1:30">
      <c r="A136" s="14" t="s">
        <v>54</v>
      </c>
      <c r="B136" s="13" t="s">
        <v>319</v>
      </c>
      <c r="C136" s="46">
        <v>0.47043153061902648</v>
      </c>
      <c r="D136" s="46">
        <v>0.45557511003475515</v>
      </c>
      <c r="E136" s="28">
        <v>153</v>
      </c>
      <c r="F136" s="92">
        <v>133</v>
      </c>
      <c r="G136" s="93">
        <f t="shared" si="8"/>
        <v>20</v>
      </c>
      <c r="H136" s="94">
        <f t="shared" si="9"/>
        <v>-1.4856420584271335E-2</v>
      </c>
      <c r="I136" s="93"/>
      <c r="AA136" s="1" t="s">
        <v>90</v>
      </c>
      <c r="AB136" s="1" t="s">
        <v>214</v>
      </c>
      <c r="AC136" s="11">
        <v>0.27208347095133512</v>
      </c>
      <c r="AD136" s="84">
        <v>0.48605081500874509</v>
      </c>
    </row>
    <row r="137" spans="1:30">
      <c r="A137" s="14" t="s">
        <v>97</v>
      </c>
      <c r="B137" s="13" t="s">
        <v>229</v>
      </c>
      <c r="C137" s="46">
        <v>0.41804238766287999</v>
      </c>
      <c r="D137" s="46">
        <v>0.45803504952041413</v>
      </c>
      <c r="E137" s="28">
        <v>131</v>
      </c>
      <c r="F137" s="92">
        <v>134</v>
      </c>
      <c r="G137" s="93">
        <f t="shared" si="8"/>
        <v>-3</v>
      </c>
      <c r="H137" s="94">
        <f t="shared" si="9"/>
        <v>3.999266185753414E-2</v>
      </c>
      <c r="I137" s="93"/>
      <c r="AA137" s="1" t="s">
        <v>138</v>
      </c>
      <c r="AB137" s="1" t="s">
        <v>383</v>
      </c>
      <c r="AC137" s="11">
        <v>0.68734008330621421</v>
      </c>
      <c r="AD137" s="84">
        <v>0.49268870362052852</v>
      </c>
    </row>
    <row r="138" spans="1:30">
      <c r="A138" s="15" t="s">
        <v>175</v>
      </c>
      <c r="B138" s="13" t="s">
        <v>338</v>
      </c>
      <c r="C138" s="46">
        <v>0.38235213643241872</v>
      </c>
      <c r="D138" s="46">
        <v>0.45899764914713859</v>
      </c>
      <c r="E138" s="28">
        <v>125</v>
      </c>
      <c r="F138" s="92">
        <v>135</v>
      </c>
      <c r="G138" s="93">
        <f t="shared" si="8"/>
        <v>-10</v>
      </c>
      <c r="H138" s="94">
        <f t="shared" si="9"/>
        <v>7.6645512714719866E-2</v>
      </c>
      <c r="I138" s="93"/>
      <c r="AA138" s="1" t="s">
        <v>88</v>
      </c>
      <c r="AB138" s="1" t="s">
        <v>288</v>
      </c>
      <c r="AC138" s="11">
        <v>0.64094567425905891</v>
      </c>
      <c r="AD138" s="84">
        <v>0.49416341519656926</v>
      </c>
    </row>
    <row r="139" spans="1:30">
      <c r="A139" s="15" t="s">
        <v>49</v>
      </c>
      <c r="B139" s="13" t="s">
        <v>279</v>
      </c>
      <c r="C139" s="46">
        <v>0.44983001241499637</v>
      </c>
      <c r="D139" s="46">
        <v>0.46549343903811169</v>
      </c>
      <c r="E139" s="28">
        <v>147</v>
      </c>
      <c r="F139" s="92">
        <v>136</v>
      </c>
      <c r="G139" s="93">
        <f t="shared" si="8"/>
        <v>11</v>
      </c>
      <c r="H139" s="94">
        <f t="shared" si="9"/>
        <v>1.5663426623115317E-2</v>
      </c>
      <c r="I139" s="93"/>
      <c r="AA139" s="1" t="s">
        <v>173</v>
      </c>
      <c r="AB139" s="1" t="s">
        <v>192</v>
      </c>
      <c r="AC139" s="11">
        <v>0.60826799741979087</v>
      </c>
      <c r="AD139" s="84">
        <v>0.49932392099260908</v>
      </c>
    </row>
    <row r="140" spans="1:30">
      <c r="A140" s="15" t="s">
        <v>101</v>
      </c>
      <c r="B140" s="13" t="s">
        <v>221</v>
      </c>
      <c r="C140" s="46">
        <v>0.45987663588281164</v>
      </c>
      <c r="D140" s="46">
        <v>0.46619227200477054</v>
      </c>
      <c r="E140" s="28">
        <v>150</v>
      </c>
      <c r="F140" s="92">
        <v>137</v>
      </c>
      <c r="G140" s="93">
        <f t="shared" si="8"/>
        <v>13</v>
      </c>
      <c r="H140" s="94">
        <f t="shared" si="9"/>
        <v>6.3156361219589008E-3</v>
      </c>
      <c r="I140" s="93"/>
      <c r="AA140" s="1" t="s">
        <v>133</v>
      </c>
      <c r="AB140" s="1" t="s">
        <v>206</v>
      </c>
      <c r="AC140" s="11">
        <v>0.61271011528442465</v>
      </c>
      <c r="AD140" s="84">
        <v>0.5</v>
      </c>
    </row>
    <row r="141" spans="1:30">
      <c r="A141" s="15" t="s">
        <v>158</v>
      </c>
      <c r="B141" s="13" t="s">
        <v>378</v>
      </c>
      <c r="C141" s="46">
        <v>0.40884989618379097</v>
      </c>
      <c r="D141" s="46">
        <v>0.46662048867077577</v>
      </c>
      <c r="E141" s="28">
        <v>128</v>
      </c>
      <c r="F141" s="92">
        <v>138</v>
      </c>
      <c r="G141" s="93">
        <f t="shared" si="8"/>
        <v>-10</v>
      </c>
      <c r="H141" s="94">
        <f t="shared" si="9"/>
        <v>5.7770592486984795E-2</v>
      </c>
      <c r="I141" s="93"/>
      <c r="AA141" s="1" t="s">
        <v>174</v>
      </c>
      <c r="AB141" s="1" t="s">
        <v>338</v>
      </c>
      <c r="AC141" s="11">
        <v>0.79409422949550468</v>
      </c>
      <c r="AD141" s="84">
        <v>0.5</v>
      </c>
    </row>
    <row r="142" spans="1:30">
      <c r="A142" s="15" t="s">
        <v>19</v>
      </c>
      <c r="B142" s="13" t="s">
        <v>210</v>
      </c>
      <c r="C142" s="46">
        <v>0.48073418060646816</v>
      </c>
      <c r="D142" s="46">
        <v>0.4681789772712186</v>
      </c>
      <c r="E142" s="28">
        <v>158</v>
      </c>
      <c r="F142" s="92">
        <v>139</v>
      </c>
      <c r="G142" s="93">
        <f t="shared" si="8"/>
        <v>19</v>
      </c>
      <c r="H142" s="94">
        <f t="shared" si="9"/>
        <v>-1.2555203335249565E-2</v>
      </c>
      <c r="I142" s="93"/>
      <c r="AA142" s="1" t="s">
        <v>165</v>
      </c>
      <c r="AB142" s="1" t="s">
        <v>225</v>
      </c>
      <c r="AC142" s="11">
        <v>0.60296625438795692</v>
      </c>
      <c r="AD142" s="84">
        <v>0.50879631691606542</v>
      </c>
    </row>
    <row r="143" spans="1:30">
      <c r="A143" s="15" t="s">
        <v>190</v>
      </c>
      <c r="B143" s="13" t="s">
        <v>314</v>
      </c>
      <c r="C143" s="46">
        <v>0.42609774035535936</v>
      </c>
      <c r="D143" s="46">
        <v>0.47105386827892975</v>
      </c>
      <c r="E143" s="28">
        <v>135</v>
      </c>
      <c r="F143" s="92">
        <v>140</v>
      </c>
      <c r="G143" s="93">
        <f t="shared" si="8"/>
        <v>-5</v>
      </c>
      <c r="H143" s="94">
        <f t="shared" si="9"/>
        <v>4.4956127923570399E-2</v>
      </c>
      <c r="I143" s="93"/>
      <c r="AA143" s="1" t="s">
        <v>104</v>
      </c>
      <c r="AB143" s="1" t="s">
        <v>274</v>
      </c>
      <c r="AC143" s="11">
        <v>0.36973328581976694</v>
      </c>
      <c r="AD143" s="84">
        <v>0.51179011798694707</v>
      </c>
    </row>
    <row r="144" spans="1:30">
      <c r="A144" s="14" t="s">
        <v>124</v>
      </c>
      <c r="B144" s="13" t="s">
        <v>384</v>
      </c>
      <c r="C144" s="46">
        <v>0.43333331351883547</v>
      </c>
      <c r="D144" s="46">
        <v>0.47318714595120986</v>
      </c>
      <c r="E144" s="28">
        <v>138</v>
      </c>
      <c r="F144" s="92">
        <v>141</v>
      </c>
      <c r="G144" s="93">
        <f t="shared" si="8"/>
        <v>-3</v>
      </c>
      <c r="H144" s="94">
        <f t="shared" si="9"/>
        <v>3.9853832432374392E-2</v>
      </c>
      <c r="I144" s="93"/>
      <c r="AA144" s="1" t="s">
        <v>37</v>
      </c>
      <c r="AB144" s="1" t="s">
        <v>327</v>
      </c>
      <c r="AC144" s="11">
        <v>0.48871993822803877</v>
      </c>
      <c r="AD144" s="84">
        <v>0.51281581195716208</v>
      </c>
    </row>
    <row r="145" spans="1:30">
      <c r="A145" s="14" t="s">
        <v>112</v>
      </c>
      <c r="B145" s="13" t="s">
        <v>233</v>
      </c>
      <c r="C145" s="46">
        <v>0.44110593543481663</v>
      </c>
      <c r="D145" s="46">
        <v>0.47341104411339874</v>
      </c>
      <c r="E145" s="28">
        <v>142</v>
      </c>
      <c r="F145" s="92">
        <v>142</v>
      </c>
      <c r="G145" s="93">
        <f t="shared" si="8"/>
        <v>0</v>
      </c>
      <c r="H145" s="94">
        <f t="shared" si="9"/>
        <v>3.2305108678582106E-2</v>
      </c>
      <c r="I145" s="93"/>
      <c r="AA145" s="1" t="s">
        <v>147</v>
      </c>
      <c r="AB145" s="1" t="s">
        <v>260</v>
      </c>
      <c r="AC145" s="11">
        <v>0.52651625229443899</v>
      </c>
      <c r="AD145" s="84">
        <v>0.5148135755968587</v>
      </c>
    </row>
    <row r="146" spans="1:30">
      <c r="A146" s="14" t="s">
        <v>12</v>
      </c>
      <c r="B146" s="13" t="s">
        <v>294</v>
      </c>
      <c r="C146" s="46">
        <v>0.49131395329259275</v>
      </c>
      <c r="D146" s="46">
        <v>0.4783126394739558</v>
      </c>
      <c r="E146" s="28">
        <v>164</v>
      </c>
      <c r="F146" s="92">
        <v>143</v>
      </c>
      <c r="G146" s="93">
        <f t="shared" si="8"/>
        <v>21</v>
      </c>
      <c r="H146" s="94">
        <f t="shared" si="9"/>
        <v>-1.300131381863695E-2</v>
      </c>
      <c r="I146" s="93"/>
      <c r="AA146" s="1" t="s">
        <v>150</v>
      </c>
      <c r="AB146" s="1" t="s">
        <v>311</v>
      </c>
      <c r="AC146" s="11">
        <v>0.59927107308343086</v>
      </c>
      <c r="AD146" s="84">
        <v>0.51643292415389008</v>
      </c>
    </row>
    <row r="147" spans="1:30">
      <c r="A147" s="15" t="s">
        <v>67</v>
      </c>
      <c r="B147" s="13" t="s">
        <v>278</v>
      </c>
      <c r="C147" s="46">
        <v>0.48753151317289084</v>
      </c>
      <c r="D147" s="46">
        <v>0.47881232287888731</v>
      </c>
      <c r="E147" s="28">
        <v>162</v>
      </c>
      <c r="F147" s="92">
        <v>144</v>
      </c>
      <c r="G147" s="93">
        <f t="shared" si="8"/>
        <v>18</v>
      </c>
      <c r="H147" s="94">
        <f t="shared" si="9"/>
        <v>-8.7191902940035315E-3</v>
      </c>
      <c r="I147" s="93"/>
      <c r="AA147" s="1" t="s">
        <v>128</v>
      </c>
      <c r="AB147" s="1" t="s">
        <v>342</v>
      </c>
      <c r="AC147" s="11">
        <v>0.26036553689660691</v>
      </c>
      <c r="AD147" s="84">
        <v>0.51681524863952333</v>
      </c>
    </row>
    <row r="148" spans="1:30">
      <c r="A148" s="14" t="s">
        <v>166</v>
      </c>
      <c r="B148" s="13" t="s">
        <v>383</v>
      </c>
      <c r="C148" s="46">
        <v>0.44705814048574682</v>
      </c>
      <c r="D148" s="46">
        <v>0.48899547280821548</v>
      </c>
      <c r="E148" s="28">
        <v>145</v>
      </c>
      <c r="F148" s="92">
        <v>145</v>
      </c>
      <c r="G148" s="93">
        <f t="shared" si="8"/>
        <v>0</v>
      </c>
      <c r="H148" s="94">
        <f t="shared" si="9"/>
        <v>4.1937332322468657E-2</v>
      </c>
      <c r="I148" s="93"/>
      <c r="AA148" s="1" t="s">
        <v>136</v>
      </c>
      <c r="AB148" s="1" t="s">
        <v>345</v>
      </c>
      <c r="AC148" s="11">
        <v>0.62535691125585413</v>
      </c>
      <c r="AD148" s="84">
        <v>0.51691281985887749</v>
      </c>
    </row>
    <row r="149" spans="1:30">
      <c r="A149" s="14" t="s">
        <v>11</v>
      </c>
      <c r="B149" s="13" t="s">
        <v>371</v>
      </c>
      <c r="C149" s="46">
        <v>0.49775610584587726</v>
      </c>
      <c r="D149" s="46">
        <v>0.4900215143315807</v>
      </c>
      <c r="E149" s="28">
        <v>168</v>
      </c>
      <c r="F149" s="92">
        <v>146</v>
      </c>
      <c r="G149" s="93">
        <f t="shared" si="8"/>
        <v>22</v>
      </c>
      <c r="H149" s="94">
        <f t="shared" si="9"/>
        <v>-7.7345915142965627E-3</v>
      </c>
      <c r="I149" s="93"/>
      <c r="AA149" s="1" t="s">
        <v>125</v>
      </c>
      <c r="AB149" s="1" t="s">
        <v>354</v>
      </c>
      <c r="AC149" s="11">
        <v>0.60627401172620821</v>
      </c>
      <c r="AD149" s="84">
        <v>0.51711147866612273</v>
      </c>
    </row>
    <row r="150" spans="1:30">
      <c r="A150" s="14" t="s">
        <v>84</v>
      </c>
      <c r="B150" s="13" t="s">
        <v>325</v>
      </c>
      <c r="C150" s="46">
        <v>0.47233071884485517</v>
      </c>
      <c r="D150" s="46">
        <v>0.49231050815047372</v>
      </c>
      <c r="E150" s="28">
        <v>155</v>
      </c>
      <c r="F150" s="92">
        <v>147</v>
      </c>
      <c r="G150" s="93">
        <f t="shared" si="8"/>
        <v>8</v>
      </c>
      <c r="H150" s="94">
        <f t="shared" si="9"/>
        <v>1.9979789305618556E-2</v>
      </c>
      <c r="I150" s="93"/>
      <c r="AA150" s="1" t="s">
        <v>184</v>
      </c>
      <c r="AB150" s="1" t="s">
        <v>248</v>
      </c>
      <c r="AC150" s="11">
        <v>0.51767462353864091</v>
      </c>
      <c r="AD150" s="84">
        <v>0.51730843634470824</v>
      </c>
    </row>
    <row r="151" spans="1:30">
      <c r="A151" s="14" t="s">
        <v>98</v>
      </c>
      <c r="B151" s="13" t="s">
        <v>452</v>
      </c>
      <c r="C151" s="46">
        <v>0.42571015541007878</v>
      </c>
      <c r="D151" s="46">
        <v>0.49438669684627623</v>
      </c>
      <c r="E151" s="28">
        <v>134</v>
      </c>
      <c r="F151" s="92">
        <v>148</v>
      </c>
      <c r="G151" s="93">
        <f t="shared" si="8"/>
        <v>-14</v>
      </c>
      <c r="H151" s="94">
        <f t="shared" si="9"/>
        <v>6.8676541436197447E-2</v>
      </c>
      <c r="I151" s="93"/>
      <c r="AA151" s="1" t="s">
        <v>137</v>
      </c>
      <c r="AB151" s="1" t="s">
        <v>296</v>
      </c>
      <c r="AC151" s="11">
        <v>0.51391636678343333</v>
      </c>
      <c r="AD151" s="84">
        <v>0.52500000000000002</v>
      </c>
    </row>
    <row r="152" spans="1:30">
      <c r="A152" s="14" t="s">
        <v>123</v>
      </c>
      <c r="B152" s="13" t="s">
        <v>260</v>
      </c>
      <c r="C152" s="46">
        <v>0.49187351166469018</v>
      </c>
      <c r="D152" s="46">
        <v>0.49990302557006649</v>
      </c>
      <c r="E152" s="28">
        <v>165</v>
      </c>
      <c r="F152" s="92">
        <v>149</v>
      </c>
      <c r="G152" s="93">
        <f t="shared" si="8"/>
        <v>16</v>
      </c>
      <c r="H152" s="94">
        <f t="shared" si="9"/>
        <v>8.0295139053763176E-3</v>
      </c>
      <c r="I152" s="93"/>
      <c r="AA152" s="1" t="s">
        <v>107</v>
      </c>
      <c r="AB152" s="1" t="s">
        <v>268</v>
      </c>
      <c r="AC152" s="11">
        <v>0.47383348547562426</v>
      </c>
      <c r="AD152" s="84">
        <v>0.52589285714285716</v>
      </c>
    </row>
    <row r="153" spans="1:30">
      <c r="A153" s="14" t="s">
        <v>105</v>
      </c>
      <c r="B153" s="13" t="s">
        <v>454</v>
      </c>
      <c r="C153" s="46">
        <v>0.50076979094621688</v>
      </c>
      <c r="D153" s="46">
        <v>0.50241601314290185</v>
      </c>
      <c r="E153" s="28">
        <v>171</v>
      </c>
      <c r="F153" s="92">
        <v>150</v>
      </c>
      <c r="G153" s="93">
        <f t="shared" si="8"/>
        <v>21</v>
      </c>
      <c r="H153" s="94">
        <f t="shared" si="9"/>
        <v>1.6462221966849766E-3</v>
      </c>
      <c r="I153" s="93"/>
      <c r="AA153" s="1" t="s">
        <v>166</v>
      </c>
      <c r="AB153" s="1" t="s">
        <v>205</v>
      </c>
      <c r="AC153" s="11">
        <v>0.62215662678655304</v>
      </c>
      <c r="AD153" s="84">
        <v>0.52609828950127713</v>
      </c>
    </row>
    <row r="154" spans="1:30">
      <c r="A154" s="14" t="s">
        <v>43</v>
      </c>
      <c r="B154" s="13" t="s">
        <v>218</v>
      </c>
      <c r="C154" s="46">
        <v>0.51192299842381417</v>
      </c>
      <c r="D154" s="46">
        <v>0.50478490671667853</v>
      </c>
      <c r="E154" s="28">
        <v>174</v>
      </c>
      <c r="F154" s="92">
        <v>151</v>
      </c>
      <c r="G154" s="93">
        <f t="shared" si="8"/>
        <v>23</v>
      </c>
      <c r="H154" s="94">
        <f t="shared" si="9"/>
        <v>-7.1380917071356409E-3</v>
      </c>
      <c r="I154" s="93"/>
      <c r="AA154" s="1" t="s">
        <v>86</v>
      </c>
      <c r="AB154" s="1" t="s">
        <v>326</v>
      </c>
      <c r="AC154" s="11">
        <v>0.39234953299546221</v>
      </c>
      <c r="AD154" s="84">
        <v>0.52935292541889067</v>
      </c>
    </row>
    <row r="155" spans="1:30">
      <c r="A155" s="15" t="s">
        <v>53</v>
      </c>
      <c r="B155" s="13" t="s">
        <v>239</v>
      </c>
      <c r="C155" s="46">
        <v>0.44720093040496639</v>
      </c>
      <c r="D155" s="46">
        <v>0.50662643033363164</v>
      </c>
      <c r="E155" s="28">
        <v>146</v>
      </c>
      <c r="F155" s="92">
        <v>152</v>
      </c>
      <c r="G155" s="93">
        <f t="shared" si="8"/>
        <v>-6</v>
      </c>
      <c r="H155" s="94">
        <f t="shared" si="9"/>
        <v>5.9425499928665249E-2</v>
      </c>
      <c r="I155" s="93"/>
      <c r="AA155" s="1" t="s">
        <v>143</v>
      </c>
      <c r="AB155" s="1" t="s">
        <v>322</v>
      </c>
      <c r="AC155" s="11">
        <v>0.45993820486640058</v>
      </c>
      <c r="AD155" s="84">
        <v>0.53291411605405759</v>
      </c>
    </row>
    <row r="156" spans="1:30">
      <c r="A156" s="14" t="s">
        <v>20</v>
      </c>
      <c r="B156" s="13" t="s">
        <v>287</v>
      </c>
      <c r="C156" s="46">
        <v>0.4938672090447746</v>
      </c>
      <c r="D156" s="46">
        <v>0.50788655364225921</v>
      </c>
      <c r="E156" s="28">
        <v>167</v>
      </c>
      <c r="F156" s="92">
        <v>153</v>
      </c>
      <c r="G156" s="93">
        <f t="shared" si="8"/>
        <v>14</v>
      </c>
      <c r="H156" s="94">
        <f t="shared" si="9"/>
        <v>1.4019344597484606E-2</v>
      </c>
      <c r="I156" s="93"/>
      <c r="AA156" s="1" t="s">
        <v>191</v>
      </c>
      <c r="AB156" s="1" t="s">
        <v>219</v>
      </c>
      <c r="AC156" s="11">
        <v>0.63976588405958967</v>
      </c>
      <c r="AD156" s="84">
        <v>0.53343148028243059</v>
      </c>
    </row>
    <row r="157" spans="1:30">
      <c r="A157" s="15" t="s">
        <v>138</v>
      </c>
      <c r="B157" s="13" t="s">
        <v>263</v>
      </c>
      <c r="C157" s="46">
        <v>0.4663835113290109</v>
      </c>
      <c r="D157" s="46">
        <v>0.51054255152901129</v>
      </c>
      <c r="E157" s="28">
        <v>151</v>
      </c>
      <c r="F157" s="92">
        <v>154</v>
      </c>
      <c r="G157" s="93">
        <f t="shared" si="8"/>
        <v>-3</v>
      </c>
      <c r="H157" s="94">
        <f t="shared" si="9"/>
        <v>4.4159040200000388E-2</v>
      </c>
      <c r="I157" s="93"/>
      <c r="AA157" s="1" t="s">
        <v>120</v>
      </c>
      <c r="AB157" s="1" t="s">
        <v>337</v>
      </c>
      <c r="AC157" s="11">
        <v>0.39837654016623525</v>
      </c>
      <c r="AD157" s="84">
        <v>0.54486707920883626</v>
      </c>
    </row>
    <row r="158" spans="1:30">
      <c r="A158" s="14" t="s">
        <v>3</v>
      </c>
      <c r="B158" s="13" t="s">
        <v>334</v>
      </c>
      <c r="C158" s="46">
        <v>0.50452512136330008</v>
      </c>
      <c r="D158" s="46">
        <v>0.51131087565205591</v>
      </c>
      <c r="E158" s="28">
        <v>172</v>
      </c>
      <c r="F158" s="92">
        <v>155</v>
      </c>
      <c r="G158" s="93">
        <f t="shared" si="8"/>
        <v>17</v>
      </c>
      <c r="H158" s="94">
        <f t="shared" si="9"/>
        <v>6.7857542887558298E-3</v>
      </c>
      <c r="I158" s="93"/>
      <c r="AA158" s="1" t="s">
        <v>160</v>
      </c>
      <c r="AB158" s="1" t="s">
        <v>380</v>
      </c>
      <c r="AC158" s="11">
        <v>0.66948898978547733</v>
      </c>
      <c r="AD158" s="84">
        <v>0.5459635765324139</v>
      </c>
    </row>
    <row r="159" spans="1:30">
      <c r="A159" s="14" t="s">
        <v>147</v>
      </c>
      <c r="B159" s="13" t="s">
        <v>246</v>
      </c>
      <c r="C159" s="46">
        <v>0.4674508779835656</v>
      </c>
      <c r="D159" s="46">
        <v>0.51250075402895723</v>
      </c>
      <c r="E159" s="28">
        <v>152</v>
      </c>
      <c r="F159" s="92">
        <v>156</v>
      </c>
      <c r="G159" s="93">
        <f t="shared" si="8"/>
        <v>-4</v>
      </c>
      <c r="H159" s="94">
        <f t="shared" si="9"/>
        <v>4.5049876045391624E-2</v>
      </c>
      <c r="I159" s="93"/>
      <c r="AA159" s="1" t="s">
        <v>116</v>
      </c>
      <c r="AB159" s="1" t="s">
        <v>233</v>
      </c>
      <c r="AC159" s="11">
        <v>0.5618946693199709</v>
      </c>
      <c r="AD159" s="84">
        <v>0.55663716467667657</v>
      </c>
    </row>
    <row r="160" spans="1:30">
      <c r="A160" s="14" t="s">
        <v>155</v>
      </c>
      <c r="B160" s="13" t="s">
        <v>354</v>
      </c>
      <c r="C160" s="46">
        <v>0.49345968390510775</v>
      </c>
      <c r="D160" s="46">
        <v>0.51341964809145813</v>
      </c>
      <c r="E160" s="28">
        <v>166</v>
      </c>
      <c r="F160" s="92">
        <v>157</v>
      </c>
      <c r="G160" s="93">
        <f t="shared" si="8"/>
        <v>9</v>
      </c>
      <c r="H160" s="94">
        <f t="shared" si="9"/>
        <v>1.9959964186350376E-2</v>
      </c>
      <c r="I160" s="93"/>
      <c r="AA160" s="1" t="s">
        <v>131</v>
      </c>
      <c r="AB160" s="1" t="s">
        <v>300</v>
      </c>
      <c r="AC160" s="11">
        <v>0.54650499553169063</v>
      </c>
      <c r="AD160" s="84">
        <v>0.56184625431173185</v>
      </c>
    </row>
    <row r="161" spans="1:30">
      <c r="A161" s="15" t="s">
        <v>161</v>
      </c>
      <c r="B161" s="13" t="s">
        <v>300</v>
      </c>
      <c r="C161" s="46">
        <v>0.49900152521141444</v>
      </c>
      <c r="D161" s="46">
        <v>0.51381656363573724</v>
      </c>
      <c r="E161" s="28">
        <v>169</v>
      </c>
      <c r="F161" s="92">
        <v>158</v>
      </c>
      <c r="G161" s="93">
        <f t="shared" si="8"/>
        <v>11</v>
      </c>
      <c r="H161" s="94">
        <f t="shared" si="9"/>
        <v>1.4815038424322802E-2</v>
      </c>
      <c r="I161" s="93"/>
      <c r="AA161" s="1" t="s">
        <v>185</v>
      </c>
      <c r="AB161" s="1" t="s">
        <v>318</v>
      </c>
      <c r="AC161" s="11">
        <v>0.51463635255220219</v>
      </c>
      <c r="AD161" s="84">
        <v>0.56317685884297641</v>
      </c>
    </row>
    <row r="162" spans="1:30">
      <c r="A162" s="15" t="s">
        <v>30</v>
      </c>
      <c r="B162" s="13" t="s">
        <v>220</v>
      </c>
      <c r="C162" s="46">
        <v>0.45659800252833299</v>
      </c>
      <c r="D162" s="46">
        <v>0.51400450065410175</v>
      </c>
      <c r="E162" s="28">
        <v>149</v>
      </c>
      <c r="F162" s="92">
        <v>159</v>
      </c>
      <c r="G162" s="93">
        <f t="shared" si="8"/>
        <v>-10</v>
      </c>
      <c r="H162" s="94">
        <f t="shared" si="9"/>
        <v>5.7406498125768757E-2</v>
      </c>
      <c r="I162" s="93"/>
      <c r="AA162" s="1" t="s">
        <v>168</v>
      </c>
      <c r="AB162" s="1" t="s">
        <v>378</v>
      </c>
      <c r="AC162" s="11">
        <v>0.66389685691609435</v>
      </c>
      <c r="AD162" s="84">
        <v>0.56664858328603607</v>
      </c>
    </row>
    <row r="163" spans="1:30">
      <c r="A163" s="15" t="s">
        <v>141</v>
      </c>
      <c r="B163" s="13" t="s">
        <v>261</v>
      </c>
      <c r="C163" s="46">
        <v>0.47992980972441263</v>
      </c>
      <c r="D163" s="46">
        <v>0.51401814909669341</v>
      </c>
      <c r="E163" s="28">
        <v>157</v>
      </c>
      <c r="F163" s="92">
        <v>160</v>
      </c>
      <c r="G163" s="93">
        <f t="shared" si="8"/>
        <v>-3</v>
      </c>
      <c r="H163" s="94">
        <f t="shared" si="9"/>
        <v>3.4088339372280785E-2</v>
      </c>
      <c r="I163" s="93"/>
      <c r="AA163" s="1" t="s">
        <v>124</v>
      </c>
      <c r="AB163" s="1" t="s">
        <v>279</v>
      </c>
      <c r="AC163" s="11">
        <v>0.45062613750050651</v>
      </c>
      <c r="AD163" s="84">
        <v>0.57805812569880966</v>
      </c>
    </row>
    <row r="164" spans="1:30">
      <c r="A164" s="14" t="s">
        <v>173</v>
      </c>
      <c r="B164" s="13" t="s">
        <v>323</v>
      </c>
      <c r="C164" s="46">
        <v>0.38110707475577404</v>
      </c>
      <c r="D164" s="46">
        <v>0.51502168981275098</v>
      </c>
      <c r="E164" s="28">
        <v>124</v>
      </c>
      <c r="F164" s="92">
        <v>161</v>
      </c>
      <c r="G164" s="93">
        <f t="shared" ref="G164:G195" si="10">E164-F164</f>
        <v>-37</v>
      </c>
      <c r="H164" s="94">
        <f t="shared" ref="H164:H184" si="11">D164-C164</f>
        <v>0.13391461505697694</v>
      </c>
      <c r="I164" s="93"/>
      <c r="AA164" s="1" t="s">
        <v>183</v>
      </c>
      <c r="AB164" s="1" t="s">
        <v>314</v>
      </c>
      <c r="AC164" s="11">
        <v>0.60120286341656026</v>
      </c>
      <c r="AD164" s="84">
        <v>0.57810439189831397</v>
      </c>
    </row>
    <row r="165" spans="1:30">
      <c r="A165" s="15" t="s">
        <v>170</v>
      </c>
      <c r="B165" s="13" t="s">
        <v>381</v>
      </c>
      <c r="C165" s="46">
        <v>0.47087801862313006</v>
      </c>
      <c r="D165" s="46">
        <v>0.5162752298447767</v>
      </c>
      <c r="E165" s="28">
        <v>154</v>
      </c>
      <c r="F165" s="92">
        <v>162</v>
      </c>
      <c r="G165" s="93">
        <f t="shared" si="10"/>
        <v>-8</v>
      </c>
      <c r="H165" s="94">
        <f t="shared" si="11"/>
        <v>4.5397211221646638E-2</v>
      </c>
      <c r="I165" s="93"/>
      <c r="AA165" s="1" t="s">
        <v>141</v>
      </c>
      <c r="AB165" s="1" t="s">
        <v>312</v>
      </c>
      <c r="AC165" s="11">
        <v>0.28337767369600053</v>
      </c>
      <c r="AD165" s="84">
        <v>0.58495160718140538</v>
      </c>
    </row>
    <row r="166" spans="1:30">
      <c r="A166" s="15" t="s">
        <v>151</v>
      </c>
      <c r="B166" s="13" t="s">
        <v>293</v>
      </c>
      <c r="C166" s="46">
        <v>0.49125599093019628</v>
      </c>
      <c r="D166" s="46">
        <v>0.51684626177008586</v>
      </c>
      <c r="E166" s="28">
        <v>163</v>
      </c>
      <c r="F166" s="92">
        <v>163</v>
      </c>
      <c r="G166" s="93">
        <f t="shared" si="10"/>
        <v>0</v>
      </c>
      <c r="H166" s="94">
        <f t="shared" si="11"/>
        <v>2.5590270839889573E-2</v>
      </c>
      <c r="I166" s="93"/>
      <c r="AA166" s="1" t="s">
        <v>175</v>
      </c>
      <c r="AB166" s="1" t="s">
        <v>303</v>
      </c>
      <c r="AC166" s="11">
        <v>0.83458971058250631</v>
      </c>
      <c r="AD166" s="84">
        <v>0.58587561733473337</v>
      </c>
    </row>
    <row r="167" spans="1:30">
      <c r="A167" s="14" t="s">
        <v>165</v>
      </c>
      <c r="B167" s="13" t="s">
        <v>446</v>
      </c>
      <c r="C167" s="46">
        <v>0.43804845516943286</v>
      </c>
      <c r="D167" s="46">
        <v>0.51832546153775405</v>
      </c>
      <c r="E167" s="28">
        <v>141</v>
      </c>
      <c r="F167" s="92">
        <v>164</v>
      </c>
      <c r="G167" s="93">
        <f t="shared" si="10"/>
        <v>-23</v>
      </c>
      <c r="H167" s="94">
        <f t="shared" si="11"/>
        <v>8.0277006368321191E-2</v>
      </c>
      <c r="I167" s="93"/>
      <c r="AA167" s="1" t="s">
        <v>129</v>
      </c>
      <c r="AB167" s="1" t="s">
        <v>304</v>
      </c>
      <c r="AC167" s="11">
        <v>0.66307685516823356</v>
      </c>
      <c r="AD167" s="84">
        <v>0.58667219523662573</v>
      </c>
    </row>
    <row r="168" spans="1:30">
      <c r="A168" s="14" t="s">
        <v>83</v>
      </c>
      <c r="B168" s="13" t="s">
        <v>382</v>
      </c>
      <c r="C168" s="46">
        <v>0.53218719446422769</v>
      </c>
      <c r="D168" s="46">
        <v>0.51862982596818208</v>
      </c>
      <c r="E168" s="28">
        <v>177</v>
      </c>
      <c r="F168" s="92">
        <v>165</v>
      </c>
      <c r="G168" s="93">
        <f t="shared" si="10"/>
        <v>12</v>
      </c>
      <c r="H168" s="94">
        <f t="shared" si="11"/>
        <v>-1.3557368496045608E-2</v>
      </c>
      <c r="I168" s="93"/>
      <c r="AA168" s="1" t="s">
        <v>146</v>
      </c>
      <c r="AB168" s="1" t="s">
        <v>211</v>
      </c>
      <c r="AC168" s="11">
        <v>0.61604564218618596</v>
      </c>
      <c r="AD168" s="84">
        <v>0.58802335566459163</v>
      </c>
    </row>
    <row r="169" spans="1:30">
      <c r="A169" s="14" t="s">
        <v>109</v>
      </c>
      <c r="B169" s="13" t="s">
        <v>364</v>
      </c>
      <c r="C169" s="46">
        <v>0.5090392101147706</v>
      </c>
      <c r="D169" s="46">
        <v>0.52224094723021897</v>
      </c>
      <c r="E169" s="28">
        <v>173</v>
      </c>
      <c r="F169" s="92">
        <v>166</v>
      </c>
      <c r="G169" s="93">
        <f t="shared" si="10"/>
        <v>7</v>
      </c>
      <c r="H169" s="94">
        <f t="shared" si="11"/>
        <v>1.3201737115448364E-2</v>
      </c>
      <c r="I169" s="93"/>
      <c r="AA169" s="1" t="s">
        <v>142</v>
      </c>
      <c r="AB169" s="1" t="s">
        <v>310</v>
      </c>
      <c r="AC169" s="11">
        <v>0.42269198471948333</v>
      </c>
      <c r="AD169" s="84">
        <v>0.60404449164715113</v>
      </c>
    </row>
    <row r="170" spans="1:30">
      <c r="A170" s="14" t="s">
        <v>179</v>
      </c>
      <c r="B170" s="13" t="s">
        <v>299</v>
      </c>
      <c r="C170" s="46">
        <v>0.4838241260904948</v>
      </c>
      <c r="D170" s="46">
        <v>0.52931426062249587</v>
      </c>
      <c r="E170" s="28">
        <v>161</v>
      </c>
      <c r="F170" s="92">
        <v>167</v>
      </c>
      <c r="G170" s="93">
        <f t="shared" si="10"/>
        <v>-6</v>
      </c>
      <c r="H170" s="94">
        <f t="shared" si="11"/>
        <v>4.549013453200107E-2</v>
      </c>
      <c r="I170" s="93"/>
      <c r="AA170" s="1" t="s">
        <v>94</v>
      </c>
      <c r="AB170" s="1" t="s">
        <v>307</v>
      </c>
      <c r="AC170" s="11">
        <v>0.40548687497823332</v>
      </c>
      <c r="AD170" s="84">
        <v>0.61024342346907046</v>
      </c>
    </row>
    <row r="171" spans="1:30">
      <c r="A171" s="15" t="s">
        <v>8</v>
      </c>
      <c r="B171" s="13" t="s">
        <v>310</v>
      </c>
      <c r="C171" s="46">
        <v>0.54330046813420896</v>
      </c>
      <c r="D171" s="46">
        <v>0.53238936743657683</v>
      </c>
      <c r="E171" s="28">
        <v>181</v>
      </c>
      <c r="F171" s="92">
        <v>168</v>
      </c>
      <c r="G171" s="93">
        <f t="shared" si="10"/>
        <v>13</v>
      </c>
      <c r="H171" s="94">
        <f t="shared" si="11"/>
        <v>-1.0911100697632126E-2</v>
      </c>
      <c r="I171" s="93"/>
      <c r="AA171" s="1" t="s">
        <v>179</v>
      </c>
      <c r="AB171" s="1" t="s">
        <v>218</v>
      </c>
      <c r="AC171" s="11">
        <v>0.36595662669909956</v>
      </c>
      <c r="AD171" s="84">
        <v>0.63549170649583819</v>
      </c>
    </row>
    <row r="172" spans="1:30">
      <c r="A172" s="14" t="s">
        <v>15</v>
      </c>
      <c r="B172" s="13" t="s">
        <v>297</v>
      </c>
      <c r="C172" s="46">
        <v>0.52008043469837306</v>
      </c>
      <c r="D172" s="46">
        <v>0.53354337304685251</v>
      </c>
      <c r="E172" s="28">
        <v>175</v>
      </c>
      <c r="F172" s="92">
        <v>169</v>
      </c>
      <c r="G172" s="93">
        <f t="shared" si="10"/>
        <v>6</v>
      </c>
      <c r="H172" s="94">
        <f t="shared" si="11"/>
        <v>1.3462938348479447E-2</v>
      </c>
      <c r="I172" s="93"/>
      <c r="AA172" s="1" t="s">
        <v>172</v>
      </c>
      <c r="AB172" s="1" t="s">
        <v>287</v>
      </c>
      <c r="AC172" s="11">
        <v>0.46991132218955123</v>
      </c>
      <c r="AD172" s="84">
        <v>0.63947166054305205</v>
      </c>
    </row>
    <row r="173" spans="1:30">
      <c r="A173" s="14" t="s">
        <v>23</v>
      </c>
      <c r="B173" s="13" t="s">
        <v>318</v>
      </c>
      <c r="C173" s="46">
        <v>0.53411907811809445</v>
      </c>
      <c r="D173" s="46">
        <v>0.53468930524142988</v>
      </c>
      <c r="E173" s="28">
        <v>179</v>
      </c>
      <c r="F173" s="92">
        <v>170</v>
      </c>
      <c r="G173" s="93">
        <f t="shared" si="10"/>
        <v>9</v>
      </c>
      <c r="H173" s="94">
        <f t="shared" si="11"/>
        <v>5.7022712333543168E-4</v>
      </c>
      <c r="I173" s="93"/>
      <c r="AA173" s="1" t="s">
        <v>127</v>
      </c>
      <c r="AB173" s="1" t="s">
        <v>364</v>
      </c>
      <c r="AC173" s="11">
        <v>0.4904696444453629</v>
      </c>
      <c r="AD173" s="84">
        <v>0.64116549840397907</v>
      </c>
    </row>
    <row r="174" spans="1:30">
      <c r="A174" s="15" t="s">
        <v>106</v>
      </c>
      <c r="B174" s="13" t="s">
        <v>196</v>
      </c>
      <c r="C174" s="46">
        <v>0.53590000933455861</v>
      </c>
      <c r="D174" s="46">
        <v>0.53628368199671628</v>
      </c>
      <c r="E174" s="28">
        <v>180</v>
      </c>
      <c r="F174" s="92">
        <v>171</v>
      </c>
      <c r="G174" s="93">
        <f t="shared" si="10"/>
        <v>9</v>
      </c>
      <c r="H174" s="94">
        <f t="shared" si="11"/>
        <v>3.836726621576636E-4</v>
      </c>
      <c r="I174" s="93"/>
      <c r="AA174" s="1" t="s">
        <v>53</v>
      </c>
      <c r="AB174" s="1" t="s">
        <v>299</v>
      </c>
      <c r="AC174" s="11">
        <v>0.65752195018419946</v>
      </c>
      <c r="AD174" s="84">
        <v>0.64199545586237228</v>
      </c>
    </row>
    <row r="175" spans="1:30">
      <c r="A175" s="14" t="s">
        <v>144</v>
      </c>
      <c r="B175" s="13" t="s">
        <v>288</v>
      </c>
      <c r="C175" s="46">
        <v>0.52864236237859985</v>
      </c>
      <c r="D175" s="46">
        <v>0.54147874936872631</v>
      </c>
      <c r="E175" s="28">
        <v>176</v>
      </c>
      <c r="F175" s="92">
        <v>172</v>
      </c>
      <c r="G175" s="93">
        <f t="shared" si="10"/>
        <v>4</v>
      </c>
      <c r="H175" s="94">
        <f t="shared" si="11"/>
        <v>1.2836386990126458E-2</v>
      </c>
      <c r="I175" s="93"/>
      <c r="AA175" s="1" t="s">
        <v>153</v>
      </c>
      <c r="AB175" s="1" t="s">
        <v>381</v>
      </c>
      <c r="AC175" s="11">
        <v>0.62808527409279957</v>
      </c>
      <c r="AD175" s="84">
        <v>0.64889594186462729</v>
      </c>
    </row>
    <row r="176" spans="1:30">
      <c r="A176" s="14" t="s">
        <v>51</v>
      </c>
      <c r="B176" s="13" t="s">
        <v>248</v>
      </c>
      <c r="C176" s="46">
        <v>0.56462408800727315</v>
      </c>
      <c r="D176" s="46">
        <v>0.55177530228019989</v>
      </c>
      <c r="E176" s="28">
        <v>184</v>
      </c>
      <c r="F176" s="92">
        <v>173</v>
      </c>
      <c r="G176" s="93">
        <f t="shared" si="10"/>
        <v>11</v>
      </c>
      <c r="H176" s="94">
        <f t="shared" si="11"/>
        <v>-1.2848785727073264E-2</v>
      </c>
      <c r="I176" s="93"/>
      <c r="AA176" s="1" t="s">
        <v>98</v>
      </c>
      <c r="AB176" s="1" t="s">
        <v>196</v>
      </c>
      <c r="AC176" s="11">
        <v>0.43019482270560622</v>
      </c>
      <c r="AD176" s="84">
        <v>0.67119679208355054</v>
      </c>
    </row>
    <row r="177" spans="1:30">
      <c r="A177" s="14" t="s">
        <v>184</v>
      </c>
      <c r="B177" s="13" t="s">
        <v>349</v>
      </c>
      <c r="C177" s="46">
        <v>0.48173624709307505</v>
      </c>
      <c r="D177" s="46">
        <v>0.55506710892815636</v>
      </c>
      <c r="E177" s="28">
        <v>160</v>
      </c>
      <c r="F177" s="92">
        <v>174</v>
      </c>
      <c r="G177" s="93">
        <f t="shared" si="10"/>
        <v>-14</v>
      </c>
      <c r="H177" s="94">
        <f t="shared" si="11"/>
        <v>7.3330861835081307E-2</v>
      </c>
      <c r="I177" s="93"/>
      <c r="AA177" s="1" t="s">
        <v>21</v>
      </c>
      <c r="AB177" s="1" t="s">
        <v>239</v>
      </c>
      <c r="AC177" s="11">
        <v>0.65421055354747193</v>
      </c>
      <c r="AD177" s="84">
        <v>0.67869927588832368</v>
      </c>
    </row>
    <row r="178" spans="1:30">
      <c r="A178" s="14" t="s">
        <v>44</v>
      </c>
      <c r="B178" s="13" t="s">
        <v>440</v>
      </c>
      <c r="C178" s="46">
        <v>0.60508311196225384</v>
      </c>
      <c r="D178" s="46">
        <v>0.5562818075503323</v>
      </c>
      <c r="E178" s="28">
        <v>185</v>
      </c>
      <c r="F178" s="92">
        <v>175</v>
      </c>
      <c r="G178" s="93">
        <f t="shared" si="10"/>
        <v>10</v>
      </c>
      <c r="H178" s="94">
        <f t="shared" si="11"/>
        <v>-4.8801304411921542E-2</v>
      </c>
      <c r="I178" s="93"/>
      <c r="AA178" s="1" t="s">
        <v>169</v>
      </c>
      <c r="AB178" s="1" t="s">
        <v>365</v>
      </c>
      <c r="AC178" s="11">
        <v>0.5702341671533141</v>
      </c>
      <c r="AD178" s="84">
        <v>0.6815142781112401</v>
      </c>
    </row>
    <row r="179" spans="1:30">
      <c r="A179" s="15" t="s">
        <v>142</v>
      </c>
      <c r="B179" s="13" t="s">
        <v>448</v>
      </c>
      <c r="C179" s="46">
        <v>0.49977454810342098</v>
      </c>
      <c r="D179" s="46">
        <v>0.5609406114161688</v>
      </c>
      <c r="E179" s="28">
        <v>170</v>
      </c>
      <c r="F179" s="92">
        <v>176</v>
      </c>
      <c r="G179" s="93">
        <f t="shared" si="10"/>
        <v>-6</v>
      </c>
      <c r="H179" s="94">
        <f t="shared" si="11"/>
        <v>6.116606331274782E-2</v>
      </c>
      <c r="I179" s="93"/>
      <c r="AA179" s="1" t="s">
        <v>140</v>
      </c>
      <c r="AB179" s="1" t="s">
        <v>350</v>
      </c>
      <c r="AC179" s="11">
        <v>0.64874462493882556</v>
      </c>
      <c r="AD179" s="84">
        <v>0.68246489637852803</v>
      </c>
    </row>
    <row r="180" spans="1:30">
      <c r="A180" s="15" t="s">
        <v>39</v>
      </c>
      <c r="B180" s="13" t="s">
        <v>225</v>
      </c>
      <c r="C180" s="46">
        <v>0.56129880404581201</v>
      </c>
      <c r="D180" s="46">
        <v>0.56124811626374338</v>
      </c>
      <c r="E180" s="28">
        <v>183</v>
      </c>
      <c r="F180" s="92">
        <v>177</v>
      </c>
      <c r="G180" s="93">
        <f t="shared" si="10"/>
        <v>6</v>
      </c>
      <c r="H180" s="94">
        <f t="shared" si="11"/>
        <v>-5.0687782068625786E-5</v>
      </c>
      <c r="I180" s="93"/>
      <c r="AA180" s="1" t="s">
        <v>178</v>
      </c>
      <c r="AB180" s="1" t="s">
        <v>246</v>
      </c>
      <c r="AC180" s="11">
        <v>0.5897645718127823</v>
      </c>
      <c r="AD180" s="84">
        <v>0.6862202380715251</v>
      </c>
    </row>
    <row r="181" spans="1:30">
      <c r="A181" s="15" t="s">
        <v>5</v>
      </c>
      <c r="B181" s="13" t="s">
        <v>345</v>
      </c>
      <c r="C181" s="46">
        <v>0.55594509345682586</v>
      </c>
      <c r="D181" s="46">
        <v>0.56173085086904861</v>
      </c>
      <c r="E181" s="28">
        <v>182</v>
      </c>
      <c r="F181" s="92">
        <v>178</v>
      </c>
      <c r="G181" s="93">
        <f t="shared" si="10"/>
        <v>4</v>
      </c>
      <c r="H181" s="94">
        <f t="shared" si="11"/>
        <v>5.7857574122227584E-3</v>
      </c>
      <c r="I181" s="93"/>
      <c r="AA181" s="1" t="s">
        <v>121</v>
      </c>
      <c r="AB181" s="1" t="s">
        <v>263</v>
      </c>
      <c r="AC181" s="11">
        <v>0.56595689496744717</v>
      </c>
      <c r="AD181" s="84">
        <v>0.70622886343096802</v>
      </c>
    </row>
    <row r="182" spans="1:30">
      <c r="A182" s="15" t="s">
        <v>171</v>
      </c>
      <c r="B182" s="13" t="s">
        <v>350</v>
      </c>
      <c r="C182" s="46">
        <v>0.53364219930013301</v>
      </c>
      <c r="D182" s="46">
        <v>0.56912107555792213</v>
      </c>
      <c r="E182" s="28">
        <v>178</v>
      </c>
      <c r="F182" s="92">
        <v>179</v>
      </c>
      <c r="G182" s="93">
        <f t="shared" si="10"/>
        <v>-1</v>
      </c>
      <c r="H182" s="94">
        <f t="shared" si="11"/>
        <v>3.5478876257789116E-2</v>
      </c>
      <c r="I182" s="93"/>
      <c r="AA182" s="1" t="s">
        <v>156</v>
      </c>
      <c r="AB182" s="1" t="s">
        <v>261</v>
      </c>
      <c r="AC182" s="11">
        <v>0.51034185679384136</v>
      </c>
      <c r="AD182" s="84">
        <v>0.72314355070894276</v>
      </c>
    </row>
    <row r="183" spans="1:30">
      <c r="A183" s="15" t="s">
        <v>91</v>
      </c>
      <c r="B183" s="13" t="s">
        <v>219</v>
      </c>
      <c r="C183" s="46">
        <v>0.61285444543277945</v>
      </c>
      <c r="D183" s="46">
        <v>0.60730491005498111</v>
      </c>
      <c r="E183" s="28">
        <v>186</v>
      </c>
      <c r="F183" s="92">
        <v>180</v>
      </c>
      <c r="G183" s="93">
        <f t="shared" si="10"/>
        <v>6</v>
      </c>
      <c r="H183" s="94">
        <f t="shared" si="11"/>
        <v>-5.5495353777983425E-3</v>
      </c>
      <c r="I183" s="93"/>
      <c r="AA183" s="1" t="s">
        <v>181</v>
      </c>
      <c r="AB183" s="1" t="s">
        <v>349</v>
      </c>
      <c r="AC183" s="11">
        <v>0.74893566394825994</v>
      </c>
      <c r="AD183" s="84">
        <v>0.75271658616351422</v>
      </c>
    </row>
    <row r="184" spans="1:30">
      <c r="A184" s="14" t="s">
        <v>69</v>
      </c>
      <c r="B184" s="13" t="s">
        <v>192</v>
      </c>
      <c r="C184" s="46">
        <v>0.6267346017936577</v>
      </c>
      <c r="D184" s="46">
        <v>0.60849291254900528</v>
      </c>
      <c r="E184" s="28">
        <v>187</v>
      </c>
      <c r="F184" s="92">
        <v>181</v>
      </c>
      <c r="G184" s="93">
        <f t="shared" si="10"/>
        <v>6</v>
      </c>
      <c r="H184" s="94">
        <f t="shared" si="11"/>
        <v>-1.8241689244652415E-2</v>
      </c>
      <c r="I184" s="93"/>
      <c r="AA184" s="1" t="s">
        <v>154</v>
      </c>
      <c r="AB184" s="1" t="s">
        <v>284</v>
      </c>
      <c r="AC184" s="11">
        <v>0.63149183627520999</v>
      </c>
      <c r="AD184" s="84">
        <v>0.85852953132586085</v>
      </c>
    </row>
    <row r="185" spans="1:30">
      <c r="AA185" s="1" t="s">
        <v>177</v>
      </c>
      <c r="AB185" s="1" t="s">
        <v>220</v>
      </c>
      <c r="AC185" s="11">
        <v>0.49083997038340443</v>
      </c>
      <c r="AD185" s="84">
        <v>0.88739915224708654</v>
      </c>
    </row>
    <row r="186" spans="1:30">
      <c r="AA186" s="1" t="s">
        <v>30</v>
      </c>
      <c r="AB186" s="1" t="s">
        <v>323</v>
      </c>
      <c r="AC186" s="11">
        <v>0.78875517320394728</v>
      </c>
      <c r="AD186" s="84">
        <v>0.97634252591561754</v>
      </c>
    </row>
    <row r="187" spans="1:30">
      <c r="AA187" s="1" t="s">
        <v>103</v>
      </c>
      <c r="AB187" s="1" t="s">
        <v>332</v>
      </c>
      <c r="AC187" s="11">
        <v>0.35102084310650117</v>
      </c>
      <c r="AD187" s="84" t="e">
        <v>#N/A</v>
      </c>
    </row>
    <row r="188" spans="1:30">
      <c r="AA188" s="1" t="s">
        <v>102</v>
      </c>
      <c r="AB188" s="1" t="s">
        <v>344</v>
      </c>
      <c r="AC188" s="11">
        <v>0.39829430526704868</v>
      </c>
      <c r="AD188" s="84" t="e">
        <v>#N/A</v>
      </c>
    </row>
    <row r="189" spans="1:30">
      <c r="AA189" s="1" t="s">
        <v>148</v>
      </c>
      <c r="AB189" s="1" t="s">
        <v>231</v>
      </c>
      <c r="AC189" s="11">
        <v>0.56047945672997734</v>
      </c>
      <c r="AD189" s="84" t="e">
        <v>#N/A</v>
      </c>
    </row>
    <row r="190" spans="1:30">
      <c r="AA190" s="1" t="s">
        <v>7</v>
      </c>
      <c r="AB190" s="1" t="s">
        <v>339</v>
      </c>
      <c r="AC190" s="11">
        <v>0.58791523493766851</v>
      </c>
      <c r="AD190" s="84" t="e">
        <v>#N/A</v>
      </c>
    </row>
    <row r="191" spans="1:30">
      <c r="AA191" s="1" t="s">
        <v>17</v>
      </c>
      <c r="AB191" s="1" t="s">
        <v>195</v>
      </c>
      <c r="AC191" s="11">
        <v>0.61262378772827442</v>
      </c>
      <c r="AD191" s="84" t="e">
        <v>#N/A</v>
      </c>
    </row>
    <row r="192" spans="1:30">
      <c r="AA192" s="1" t="s">
        <v>164</v>
      </c>
      <c r="AB192" s="1" t="s">
        <v>363</v>
      </c>
      <c r="AC192" s="11">
        <v>0.70278734256587649</v>
      </c>
      <c r="AD192" s="84" t="e">
        <v>#N/A</v>
      </c>
    </row>
    <row r="193" spans="1:30">
      <c r="AA193" s="1" t="s">
        <v>108</v>
      </c>
      <c r="AB193" s="1" t="s">
        <v>249</v>
      </c>
      <c r="AC193" s="11">
        <v>0.85635284796810685</v>
      </c>
      <c r="AD193" s="84" t="e">
        <v>#N/A</v>
      </c>
    </row>
    <row r="194" spans="1:30">
      <c r="AA194" s="1" t="s">
        <v>1</v>
      </c>
      <c r="AB194" s="1" t="s">
        <v>313</v>
      </c>
      <c r="AC194" s="11" t="e">
        <v>#N/A</v>
      </c>
      <c r="AD194" s="84" t="e">
        <v>#N/A</v>
      </c>
    </row>
    <row r="195" spans="1:30">
      <c r="AA195" s="1" t="s">
        <v>113</v>
      </c>
      <c r="AB195" s="1" t="s">
        <v>370</v>
      </c>
      <c r="AC195" s="11" t="e">
        <v>#N/A</v>
      </c>
      <c r="AD195" s="84" t="e">
        <v>#N/A</v>
      </c>
    </row>
    <row r="197" spans="1:30">
      <c r="A197" s="15" t="s">
        <v>7</v>
      </c>
      <c r="B197" s="13" t="s">
        <v>339</v>
      </c>
      <c r="C197" s="46">
        <v>0.18587195144821328</v>
      </c>
      <c r="D197" s="46" t="e">
        <v>#N/A</v>
      </c>
      <c r="E197" s="28">
        <v>18</v>
      </c>
      <c r="F197" s="46" t="e">
        <v>#N/A</v>
      </c>
      <c r="G197" s="93" t="e">
        <f t="shared" ref="G197:G202" si="12">E197-F197</f>
        <v>#N/A</v>
      </c>
      <c r="H197" s="93"/>
      <c r="I197" s="93"/>
    </row>
    <row r="198" spans="1:30">
      <c r="A198" s="15" t="s">
        <v>103</v>
      </c>
      <c r="B198" s="13" t="s">
        <v>332</v>
      </c>
      <c r="C198" s="46">
        <v>0.23381724586661129</v>
      </c>
      <c r="D198" s="46" t="e">
        <v>#N/A</v>
      </c>
      <c r="E198" s="28">
        <v>45</v>
      </c>
      <c r="F198" s="46" t="e">
        <v>#N/A</v>
      </c>
      <c r="G198" s="93" t="e">
        <f t="shared" si="12"/>
        <v>#N/A</v>
      </c>
      <c r="H198" s="93"/>
      <c r="I198" s="93"/>
    </row>
    <row r="199" spans="1:30">
      <c r="A199" s="14" t="s">
        <v>108</v>
      </c>
      <c r="B199" s="13" t="s">
        <v>249</v>
      </c>
      <c r="C199" s="46">
        <v>0.32392751567078631</v>
      </c>
      <c r="D199" s="46" t="e">
        <v>#N/A</v>
      </c>
      <c r="E199" s="28">
        <v>104</v>
      </c>
      <c r="F199" s="46" t="e">
        <v>#N/A</v>
      </c>
      <c r="G199" s="93" t="e">
        <f t="shared" si="12"/>
        <v>#N/A</v>
      </c>
      <c r="H199" s="93"/>
      <c r="I199" s="93"/>
    </row>
    <row r="200" spans="1:30">
      <c r="A200" s="15" t="s">
        <v>102</v>
      </c>
      <c r="B200" s="13" t="s">
        <v>344</v>
      </c>
      <c r="C200" s="46">
        <v>0.32692239317750854</v>
      </c>
      <c r="D200" s="46" t="e">
        <v>#N/A</v>
      </c>
      <c r="E200" s="28">
        <v>108</v>
      </c>
      <c r="F200" s="46" t="e">
        <v>#N/A</v>
      </c>
      <c r="G200" s="93" t="e">
        <f t="shared" si="12"/>
        <v>#N/A</v>
      </c>
      <c r="H200" s="93"/>
      <c r="I200" s="93"/>
    </row>
    <row r="201" spans="1:30">
      <c r="A201" s="15" t="s">
        <v>113</v>
      </c>
      <c r="B201" s="13" t="s">
        <v>370</v>
      </c>
      <c r="C201" s="46">
        <v>0.45030088655824108</v>
      </c>
      <c r="D201" s="46" t="e">
        <v>#N/A</v>
      </c>
      <c r="E201" s="28">
        <v>148</v>
      </c>
      <c r="F201" s="46" t="e">
        <v>#N/A</v>
      </c>
      <c r="G201" s="93" t="e">
        <f t="shared" si="12"/>
        <v>#N/A</v>
      </c>
      <c r="H201" s="93"/>
      <c r="I201" s="93"/>
    </row>
    <row r="202" spans="1:30">
      <c r="A202" s="15" t="s">
        <v>164</v>
      </c>
      <c r="B202" s="13" t="s">
        <v>363</v>
      </c>
      <c r="C202" s="46">
        <v>0.48109525694356803</v>
      </c>
      <c r="D202" s="46" t="e">
        <v>#N/A</v>
      </c>
      <c r="E202" s="28">
        <v>159</v>
      </c>
      <c r="F202" s="46" t="e">
        <v>#N/A</v>
      </c>
      <c r="G202" s="93" t="e">
        <f t="shared" si="12"/>
        <v>#N/A</v>
      </c>
      <c r="H202" s="93"/>
      <c r="I202" s="93"/>
    </row>
    <row r="203" spans="1:30" ht="14" customHeight="1">
      <c r="A203" s="14" t="s">
        <v>17</v>
      </c>
      <c r="B203" s="13" t="s">
        <v>195</v>
      </c>
      <c r="C203" s="46" t="e">
        <v>#N/A</v>
      </c>
      <c r="D203" s="46" t="e">
        <v>#N/A</v>
      </c>
      <c r="E203" s="46" t="e">
        <v>#N/A</v>
      </c>
      <c r="F203" s="46" t="e">
        <v>#N/A</v>
      </c>
      <c r="G203" s="46"/>
      <c r="H203" s="46"/>
      <c r="I203" s="46"/>
    </row>
    <row r="204" spans="1:30">
      <c r="A204" s="14" t="s">
        <v>148</v>
      </c>
      <c r="B204" s="13" t="s">
        <v>441</v>
      </c>
      <c r="C204" s="46" t="e">
        <v>#N/A</v>
      </c>
      <c r="D204" s="46" t="e">
        <v>#N/A</v>
      </c>
      <c r="E204" s="46" t="e">
        <v>#N/A</v>
      </c>
      <c r="F204" s="46" t="e">
        <v>#N/A</v>
      </c>
      <c r="G204" s="46"/>
      <c r="H204" s="46"/>
      <c r="I204" s="46"/>
    </row>
    <row r="205" spans="1:30">
      <c r="A205" s="15" t="s">
        <v>187</v>
      </c>
      <c r="B205" s="13" t="s">
        <v>290</v>
      </c>
      <c r="C205" s="46" t="e">
        <v>#N/A</v>
      </c>
      <c r="D205" s="46" t="e">
        <v>#N/A</v>
      </c>
      <c r="E205" s="46" t="e">
        <v>#N/A</v>
      </c>
      <c r="F205" s="46" t="e">
        <v>#N/A</v>
      </c>
      <c r="G205" s="46"/>
      <c r="H205" s="46"/>
      <c r="I205" s="46"/>
    </row>
    <row r="206" spans="1:30">
      <c r="A206" s="15" t="s">
        <v>87</v>
      </c>
      <c r="B206" s="13" t="s">
        <v>308</v>
      </c>
      <c r="C206" s="46" t="e">
        <v>#N/A</v>
      </c>
      <c r="D206" s="46" t="e">
        <v>#N/A</v>
      </c>
      <c r="E206" s="46" t="e">
        <v>#N/A</v>
      </c>
      <c r="F206" s="46" t="e">
        <v>#N/A</v>
      </c>
      <c r="G206" s="46"/>
      <c r="H206" s="46"/>
      <c r="I206" s="46"/>
    </row>
    <row r="207" spans="1:30">
      <c r="A207" s="15" t="s">
        <v>1</v>
      </c>
      <c r="B207" s="13" t="s">
        <v>313</v>
      </c>
      <c r="C207" s="46" t="e">
        <v>#N/A</v>
      </c>
      <c r="D207" s="46" t="e">
        <v>#N/A</v>
      </c>
      <c r="E207" s="46" t="e">
        <v>#N/A</v>
      </c>
      <c r="F207" s="46" t="e">
        <v>#N/A</v>
      </c>
      <c r="G207" s="46"/>
      <c r="H207" s="46"/>
      <c r="I207" s="46"/>
    </row>
  </sheetData>
  <sortState ref="AA4:AD195">
    <sortCondition ref="AD4:AD195"/>
  </sortState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rgb="FF800000"/>
  </sheetPr>
  <dimension ref="A1:BF69"/>
  <sheetViews>
    <sheetView workbookViewId="0">
      <selection activeCell="H28" sqref="H28"/>
    </sheetView>
  </sheetViews>
  <sheetFormatPr baseColWidth="10" defaultRowHeight="15" x14ac:dyDescent="0"/>
  <sheetData>
    <row r="1" spans="1:58">
      <c r="A1" s="26" t="s">
        <v>462</v>
      </c>
      <c r="B1" s="26"/>
      <c r="C1" s="26"/>
      <c r="D1" s="26"/>
      <c r="E1" s="26"/>
      <c r="F1" s="26"/>
    </row>
    <row r="2" spans="1:58">
      <c r="A2" s="26"/>
      <c r="B2" s="26" t="s">
        <v>538</v>
      </c>
      <c r="C2" s="26"/>
      <c r="D2" s="26"/>
      <c r="E2" s="26"/>
      <c r="F2" s="26"/>
    </row>
    <row r="3" spans="1:58">
      <c r="A3">
        <v>4</v>
      </c>
      <c r="D3" s="27" t="s">
        <v>463</v>
      </c>
      <c r="E3" s="28" t="s">
        <v>529</v>
      </c>
    </row>
    <row r="4" spans="1:58">
      <c r="A4">
        <v>2</v>
      </c>
      <c r="D4" s="27" t="s">
        <v>464</v>
      </c>
      <c r="E4" s="28">
        <v>55</v>
      </c>
    </row>
    <row r="5" spans="1:58">
      <c r="D5" s="27" t="s">
        <v>465</v>
      </c>
      <c r="E5" s="28">
        <v>192</v>
      </c>
    </row>
    <row r="6" spans="1:58">
      <c r="C6" s="29" t="s">
        <v>466</v>
      </c>
      <c r="D6" s="30" t="s">
        <v>467</v>
      </c>
      <c r="E6" s="31" t="s">
        <v>468</v>
      </c>
      <c r="F6" s="32" t="s">
        <v>469</v>
      </c>
    </row>
    <row r="8" spans="1:58"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 t="s">
        <v>471</v>
      </c>
    </row>
    <row r="9" spans="1:58" ht="61" thickBot="1">
      <c r="D9" s="44" t="s">
        <v>395</v>
      </c>
      <c r="E9" s="44" t="s">
        <v>396</v>
      </c>
      <c r="F9" s="44" t="s">
        <v>397</v>
      </c>
      <c r="G9" s="44" t="s">
        <v>398</v>
      </c>
      <c r="H9" s="44" t="s">
        <v>399</v>
      </c>
      <c r="I9" s="44" t="s">
        <v>400</v>
      </c>
      <c r="J9" s="44" t="s">
        <v>390</v>
      </c>
      <c r="K9" s="44" t="s">
        <v>385</v>
      </c>
      <c r="L9" s="44" t="s">
        <v>389</v>
      </c>
      <c r="M9" s="44" t="s">
        <v>393</v>
      </c>
      <c r="N9" s="44" t="s">
        <v>526</v>
      </c>
      <c r="O9" s="44" t="s">
        <v>532</v>
      </c>
      <c r="P9" s="44" t="s">
        <v>531</v>
      </c>
      <c r="Q9" s="44" t="s">
        <v>457</v>
      </c>
      <c r="R9" s="44" t="s">
        <v>458</v>
      </c>
      <c r="S9" s="44" t="s">
        <v>459</v>
      </c>
      <c r="T9" s="44" t="s">
        <v>401</v>
      </c>
      <c r="U9" s="44" t="s">
        <v>402</v>
      </c>
      <c r="V9" s="44" t="s">
        <v>403</v>
      </c>
      <c r="W9" s="44" t="s">
        <v>404</v>
      </c>
      <c r="X9" s="44" t="s">
        <v>405</v>
      </c>
      <c r="Y9" s="44" t="s">
        <v>406</v>
      </c>
      <c r="Z9" s="44" t="s">
        <v>407</v>
      </c>
      <c r="AA9" s="44" t="s">
        <v>408</v>
      </c>
      <c r="AB9" s="44" t="s">
        <v>409</v>
      </c>
      <c r="AC9" s="44" t="s">
        <v>410</v>
      </c>
      <c r="AD9" s="44" t="s">
        <v>411</v>
      </c>
      <c r="AE9" s="44" t="s">
        <v>412</v>
      </c>
      <c r="AF9" s="44" t="s">
        <v>413</v>
      </c>
      <c r="AG9" s="44" t="s">
        <v>414</v>
      </c>
      <c r="AH9" s="44" t="s">
        <v>415</v>
      </c>
      <c r="AI9" s="44" t="s">
        <v>416</v>
      </c>
      <c r="AJ9" s="44" t="s">
        <v>417</v>
      </c>
      <c r="AK9" s="44" t="s">
        <v>418</v>
      </c>
      <c r="AL9" s="44" t="s">
        <v>419</v>
      </c>
      <c r="AM9" s="44" t="s">
        <v>420</v>
      </c>
      <c r="AN9" s="44" t="s">
        <v>421</v>
      </c>
      <c r="AO9" s="44" t="s">
        <v>422</v>
      </c>
      <c r="AP9" s="44" t="s">
        <v>423</v>
      </c>
      <c r="AQ9" s="44" t="s">
        <v>424</v>
      </c>
      <c r="AR9" s="44" t="s">
        <v>456</v>
      </c>
      <c r="AS9" s="44" t="s">
        <v>425</v>
      </c>
      <c r="AT9" s="44" t="s">
        <v>426</v>
      </c>
      <c r="AU9" s="44" t="s">
        <v>427</v>
      </c>
      <c r="AV9" s="44" t="s">
        <v>428</v>
      </c>
      <c r="AW9" s="44" t="s">
        <v>429</v>
      </c>
      <c r="AX9" s="44" t="s">
        <v>430</v>
      </c>
      <c r="AY9" s="44" t="s">
        <v>431</v>
      </c>
      <c r="AZ9" s="44" t="s">
        <v>432</v>
      </c>
      <c r="BA9" s="44" t="s">
        <v>433</v>
      </c>
      <c r="BB9" s="44" t="s">
        <v>434</v>
      </c>
      <c r="BC9" s="44" t="s">
        <v>435</v>
      </c>
      <c r="BD9" s="44" t="s">
        <v>436</v>
      </c>
      <c r="BE9" s="44" t="s">
        <v>437</v>
      </c>
      <c r="BF9" s="44" t="s">
        <v>438</v>
      </c>
    </row>
    <row r="10" spans="1:58" ht="16" thickTop="1">
      <c r="C10" s="45" t="s">
        <v>395</v>
      </c>
      <c r="D10" s="42"/>
      <c r="E10">
        <v>148</v>
      </c>
      <c r="F10">
        <v>125</v>
      </c>
      <c r="G10">
        <v>146</v>
      </c>
      <c r="H10">
        <v>148</v>
      </c>
      <c r="I10" s="39">
        <v>148</v>
      </c>
      <c r="J10" s="29">
        <v>145</v>
      </c>
      <c r="K10">
        <v>144</v>
      </c>
      <c r="L10" s="30">
        <v>141</v>
      </c>
      <c r="M10">
        <v>130</v>
      </c>
      <c r="N10">
        <v>145</v>
      </c>
      <c r="O10">
        <v>147</v>
      </c>
      <c r="P10">
        <v>145</v>
      </c>
      <c r="Q10">
        <v>148</v>
      </c>
      <c r="R10">
        <v>148</v>
      </c>
      <c r="S10">
        <v>143</v>
      </c>
      <c r="T10">
        <v>148</v>
      </c>
      <c r="U10" s="39">
        <v>148</v>
      </c>
      <c r="V10">
        <v>148</v>
      </c>
      <c r="W10">
        <v>148</v>
      </c>
      <c r="X10">
        <v>148</v>
      </c>
      <c r="Y10">
        <v>148</v>
      </c>
      <c r="Z10">
        <v>148</v>
      </c>
      <c r="AA10">
        <v>148</v>
      </c>
      <c r="AB10" s="30">
        <v>148</v>
      </c>
      <c r="AC10">
        <v>148</v>
      </c>
      <c r="AD10" s="39">
        <v>148</v>
      </c>
      <c r="AE10">
        <v>148</v>
      </c>
      <c r="AF10" s="30">
        <v>148</v>
      </c>
      <c r="AG10">
        <v>148</v>
      </c>
      <c r="AH10">
        <v>148</v>
      </c>
      <c r="AI10">
        <v>148</v>
      </c>
      <c r="AJ10">
        <v>148</v>
      </c>
      <c r="AK10">
        <v>148</v>
      </c>
      <c r="AL10" s="30">
        <v>148</v>
      </c>
      <c r="AM10" s="29">
        <v>147</v>
      </c>
      <c r="AN10">
        <v>148</v>
      </c>
      <c r="AO10">
        <v>148</v>
      </c>
      <c r="AP10" s="30">
        <v>148</v>
      </c>
      <c r="AQ10" s="39">
        <v>148</v>
      </c>
      <c r="AR10">
        <v>148</v>
      </c>
      <c r="AS10">
        <v>146</v>
      </c>
      <c r="AT10">
        <v>146</v>
      </c>
      <c r="AU10">
        <v>145</v>
      </c>
      <c r="AV10">
        <v>145</v>
      </c>
      <c r="AW10">
        <v>146</v>
      </c>
      <c r="AX10">
        <v>144</v>
      </c>
      <c r="AY10">
        <v>145</v>
      </c>
      <c r="AZ10">
        <v>148</v>
      </c>
      <c r="BA10">
        <v>148</v>
      </c>
      <c r="BB10">
        <v>148</v>
      </c>
      <c r="BC10">
        <v>147</v>
      </c>
      <c r="BD10">
        <v>140</v>
      </c>
      <c r="BE10">
        <v>148</v>
      </c>
      <c r="BF10">
        <v>143</v>
      </c>
    </row>
    <row r="11" spans="1:58">
      <c r="C11" s="45" t="s">
        <v>396</v>
      </c>
      <c r="D11" s="35">
        <v>1.7676640301942825E-2</v>
      </c>
      <c r="E11" s="42"/>
      <c r="F11">
        <v>148</v>
      </c>
      <c r="G11">
        <v>187</v>
      </c>
      <c r="H11" s="39">
        <v>192</v>
      </c>
      <c r="I11" s="39">
        <v>189</v>
      </c>
      <c r="J11">
        <v>186</v>
      </c>
      <c r="K11">
        <v>183</v>
      </c>
      <c r="L11">
        <v>177</v>
      </c>
      <c r="M11">
        <v>159</v>
      </c>
      <c r="N11">
        <v>183</v>
      </c>
      <c r="O11" s="29">
        <v>187</v>
      </c>
      <c r="P11" s="39">
        <v>181</v>
      </c>
      <c r="Q11" s="39">
        <v>192</v>
      </c>
      <c r="R11" s="39">
        <v>192</v>
      </c>
      <c r="S11" s="29">
        <v>179</v>
      </c>
      <c r="T11">
        <v>192</v>
      </c>
      <c r="U11" s="39">
        <v>192</v>
      </c>
      <c r="V11">
        <v>192</v>
      </c>
      <c r="W11">
        <v>192</v>
      </c>
      <c r="X11">
        <v>192</v>
      </c>
      <c r="Y11">
        <v>192</v>
      </c>
      <c r="Z11">
        <v>192</v>
      </c>
      <c r="AA11">
        <v>192</v>
      </c>
      <c r="AB11" s="30">
        <v>192</v>
      </c>
      <c r="AC11">
        <v>192</v>
      </c>
      <c r="AD11">
        <v>192</v>
      </c>
      <c r="AE11" s="29">
        <v>192</v>
      </c>
      <c r="AF11">
        <v>192</v>
      </c>
      <c r="AG11">
        <v>192</v>
      </c>
      <c r="AH11" s="29">
        <v>192</v>
      </c>
      <c r="AI11">
        <v>192</v>
      </c>
      <c r="AJ11">
        <v>192</v>
      </c>
      <c r="AK11">
        <v>192</v>
      </c>
      <c r="AL11" s="29">
        <v>192</v>
      </c>
      <c r="AM11">
        <v>189</v>
      </c>
      <c r="AN11">
        <v>192</v>
      </c>
      <c r="AO11" s="30">
        <v>192</v>
      </c>
      <c r="AP11">
        <v>192</v>
      </c>
      <c r="AQ11">
        <v>192</v>
      </c>
      <c r="AR11" s="29">
        <v>192</v>
      </c>
      <c r="AS11">
        <v>178</v>
      </c>
      <c r="AT11" s="39">
        <v>178</v>
      </c>
      <c r="AU11">
        <v>177</v>
      </c>
      <c r="AV11">
        <v>173</v>
      </c>
      <c r="AW11" s="30">
        <v>178</v>
      </c>
      <c r="AX11" s="30">
        <v>176</v>
      </c>
      <c r="AY11" s="29">
        <v>177</v>
      </c>
      <c r="AZ11">
        <v>192</v>
      </c>
      <c r="BA11" s="30">
        <v>192</v>
      </c>
      <c r="BB11" s="30">
        <v>190</v>
      </c>
      <c r="BC11" s="30">
        <v>189</v>
      </c>
      <c r="BD11">
        <v>174</v>
      </c>
      <c r="BE11" s="30">
        <v>192</v>
      </c>
      <c r="BF11">
        <v>175</v>
      </c>
    </row>
    <row r="12" spans="1:58">
      <c r="B12" s="33" t="s">
        <v>470</v>
      </c>
      <c r="C12" s="45" t="s">
        <v>397</v>
      </c>
      <c r="D12" s="35">
        <v>-2.0970895886421204E-2</v>
      </c>
      <c r="E12" s="35">
        <v>1.7103783320635557E-3</v>
      </c>
      <c r="F12" s="42"/>
      <c r="G12" s="29">
        <v>148</v>
      </c>
      <c r="H12" s="39">
        <v>148</v>
      </c>
      <c r="I12" s="39">
        <v>148</v>
      </c>
      <c r="J12">
        <v>148</v>
      </c>
      <c r="K12">
        <v>145</v>
      </c>
      <c r="L12" s="39">
        <v>140</v>
      </c>
      <c r="M12" s="41">
        <v>131</v>
      </c>
      <c r="N12" s="39">
        <v>146</v>
      </c>
      <c r="O12" s="39">
        <v>148</v>
      </c>
      <c r="P12" s="41">
        <v>146</v>
      </c>
      <c r="Q12" s="39">
        <v>148</v>
      </c>
      <c r="R12" s="41">
        <v>148</v>
      </c>
      <c r="S12" s="41">
        <v>146</v>
      </c>
      <c r="T12">
        <v>148</v>
      </c>
      <c r="U12" s="29">
        <v>148</v>
      </c>
      <c r="V12" s="39">
        <v>148</v>
      </c>
      <c r="W12" s="29">
        <v>148</v>
      </c>
      <c r="X12" s="39">
        <v>148</v>
      </c>
      <c r="Y12" s="39">
        <v>148</v>
      </c>
      <c r="Z12" s="39">
        <v>148</v>
      </c>
      <c r="AA12" s="39">
        <v>148</v>
      </c>
      <c r="AB12" s="39">
        <v>148</v>
      </c>
      <c r="AC12">
        <v>148</v>
      </c>
      <c r="AD12" s="39">
        <v>148</v>
      </c>
      <c r="AE12" s="39">
        <v>148</v>
      </c>
      <c r="AF12" s="29">
        <v>148</v>
      </c>
      <c r="AG12" s="39">
        <v>148</v>
      </c>
      <c r="AH12" s="39">
        <v>148</v>
      </c>
      <c r="AI12" s="39">
        <v>148</v>
      </c>
      <c r="AJ12" s="39">
        <v>148</v>
      </c>
      <c r="AK12" s="39">
        <v>148</v>
      </c>
      <c r="AL12">
        <v>148</v>
      </c>
      <c r="AM12">
        <v>148</v>
      </c>
      <c r="AN12" s="39">
        <v>148</v>
      </c>
      <c r="AO12">
        <v>148</v>
      </c>
      <c r="AP12">
        <v>148</v>
      </c>
      <c r="AQ12" s="39">
        <v>148</v>
      </c>
      <c r="AR12" s="39">
        <v>148</v>
      </c>
      <c r="AS12" s="39">
        <v>145</v>
      </c>
      <c r="AT12" s="39">
        <v>145</v>
      </c>
      <c r="AU12">
        <v>145</v>
      </c>
      <c r="AV12" s="39">
        <v>144</v>
      </c>
      <c r="AW12" s="39">
        <v>145</v>
      </c>
      <c r="AX12" s="39">
        <v>145</v>
      </c>
      <c r="AY12" s="39">
        <v>145</v>
      </c>
      <c r="AZ12" s="39">
        <v>148</v>
      </c>
      <c r="BA12" s="39">
        <v>148</v>
      </c>
      <c r="BB12" s="39">
        <v>148</v>
      </c>
      <c r="BC12" s="39">
        <v>148</v>
      </c>
      <c r="BD12" s="39">
        <v>142</v>
      </c>
      <c r="BE12" s="41">
        <v>148</v>
      </c>
      <c r="BF12" s="29">
        <v>144</v>
      </c>
    </row>
    <row r="13" spans="1:58">
      <c r="C13" s="45" t="s">
        <v>398</v>
      </c>
      <c r="D13" s="35">
        <v>8.5278181359171867E-3</v>
      </c>
      <c r="E13" s="35">
        <v>1.7883237433125032E-6</v>
      </c>
      <c r="F13" s="36">
        <v>3.5970628261566162E-2</v>
      </c>
      <c r="G13" s="42"/>
      <c r="H13" s="30">
        <v>187</v>
      </c>
      <c r="I13" s="39">
        <v>187</v>
      </c>
      <c r="J13" s="29">
        <v>184</v>
      </c>
      <c r="K13">
        <v>181</v>
      </c>
      <c r="L13" s="29">
        <v>174</v>
      </c>
      <c r="M13" s="29">
        <v>157</v>
      </c>
      <c r="N13" s="29">
        <v>181</v>
      </c>
      <c r="O13">
        <v>184</v>
      </c>
      <c r="P13" s="30">
        <v>180</v>
      </c>
      <c r="Q13" s="29">
        <v>187</v>
      </c>
      <c r="R13" s="29">
        <v>187</v>
      </c>
      <c r="S13">
        <v>176</v>
      </c>
      <c r="T13">
        <v>187</v>
      </c>
      <c r="U13">
        <v>187</v>
      </c>
      <c r="V13">
        <v>187</v>
      </c>
      <c r="W13" s="39">
        <v>187</v>
      </c>
      <c r="X13">
        <v>187</v>
      </c>
      <c r="Y13" s="29">
        <v>187</v>
      </c>
      <c r="Z13">
        <v>187</v>
      </c>
      <c r="AA13">
        <v>187</v>
      </c>
      <c r="AB13">
        <v>187</v>
      </c>
      <c r="AC13">
        <v>187</v>
      </c>
      <c r="AD13">
        <v>187</v>
      </c>
      <c r="AE13" s="30">
        <v>187</v>
      </c>
      <c r="AF13" s="39">
        <v>187</v>
      </c>
      <c r="AG13" s="39">
        <v>187</v>
      </c>
      <c r="AH13">
        <v>187</v>
      </c>
      <c r="AI13">
        <v>187</v>
      </c>
      <c r="AJ13">
        <v>187</v>
      </c>
      <c r="AK13">
        <v>187</v>
      </c>
      <c r="AL13" s="30">
        <v>187</v>
      </c>
      <c r="AM13">
        <v>186</v>
      </c>
      <c r="AN13">
        <v>187</v>
      </c>
      <c r="AO13" s="29">
        <v>187</v>
      </c>
      <c r="AP13">
        <v>187</v>
      </c>
      <c r="AQ13" s="29">
        <v>187</v>
      </c>
      <c r="AR13">
        <v>187</v>
      </c>
      <c r="AS13" s="29">
        <v>175</v>
      </c>
      <c r="AT13" s="39">
        <v>175</v>
      </c>
      <c r="AU13" s="30">
        <v>174</v>
      </c>
      <c r="AV13" s="39">
        <v>170</v>
      </c>
      <c r="AW13" s="39">
        <v>175</v>
      </c>
      <c r="AX13">
        <v>173</v>
      </c>
      <c r="AY13" s="30">
        <v>174</v>
      </c>
      <c r="AZ13" s="29">
        <v>187</v>
      </c>
      <c r="BA13" s="30">
        <v>187</v>
      </c>
      <c r="BB13" s="30">
        <v>185</v>
      </c>
      <c r="BC13">
        <v>186</v>
      </c>
      <c r="BD13" s="30">
        <v>173</v>
      </c>
      <c r="BE13" s="30">
        <v>187</v>
      </c>
      <c r="BF13">
        <v>172</v>
      </c>
    </row>
    <row r="14" spans="1:58">
      <c r="C14" s="45" t="s">
        <v>399</v>
      </c>
      <c r="D14" s="35">
        <v>6.0252044349908829E-3</v>
      </c>
      <c r="E14" s="38">
        <v>6.1234205961227417E-2</v>
      </c>
      <c r="F14" s="38">
        <v>0.22978036105632782</v>
      </c>
      <c r="G14" s="37">
        <v>5.1267839968204498E-2</v>
      </c>
      <c r="H14" s="42"/>
      <c r="I14" s="41">
        <v>189</v>
      </c>
      <c r="J14" s="29">
        <v>186</v>
      </c>
      <c r="K14" s="39">
        <v>183</v>
      </c>
      <c r="L14" s="39">
        <v>177</v>
      </c>
      <c r="M14" s="39">
        <v>159</v>
      </c>
      <c r="N14" s="39">
        <v>183</v>
      </c>
      <c r="O14" s="39">
        <v>187</v>
      </c>
      <c r="P14" s="39">
        <v>181</v>
      </c>
      <c r="Q14" s="39">
        <v>192</v>
      </c>
      <c r="R14" s="39">
        <v>192</v>
      </c>
      <c r="S14" s="39">
        <v>179</v>
      </c>
      <c r="T14">
        <v>192</v>
      </c>
      <c r="U14" s="30">
        <v>192</v>
      </c>
      <c r="V14" s="39">
        <v>192</v>
      </c>
      <c r="W14" s="39">
        <v>192</v>
      </c>
      <c r="X14" s="39">
        <v>192</v>
      </c>
      <c r="Y14" s="39">
        <v>192</v>
      </c>
      <c r="Z14" s="39">
        <v>192</v>
      </c>
      <c r="AA14" s="39">
        <v>192</v>
      </c>
      <c r="AB14" s="39">
        <v>192</v>
      </c>
      <c r="AC14">
        <v>192</v>
      </c>
      <c r="AD14" s="30">
        <v>192</v>
      </c>
      <c r="AE14" s="39">
        <v>192</v>
      </c>
      <c r="AF14" s="30">
        <v>192</v>
      </c>
      <c r="AG14" s="39">
        <v>192</v>
      </c>
      <c r="AH14" s="39">
        <v>192</v>
      </c>
      <c r="AI14" s="39">
        <v>192</v>
      </c>
      <c r="AJ14" s="39">
        <v>192</v>
      </c>
      <c r="AK14" s="39">
        <v>192</v>
      </c>
      <c r="AL14">
        <v>192</v>
      </c>
      <c r="AM14">
        <v>189</v>
      </c>
      <c r="AN14" s="39">
        <v>192</v>
      </c>
      <c r="AO14" s="29">
        <v>192</v>
      </c>
      <c r="AP14">
        <v>192</v>
      </c>
      <c r="AQ14" s="39">
        <v>192</v>
      </c>
      <c r="AR14" s="39">
        <v>192</v>
      </c>
      <c r="AS14" s="39">
        <v>178</v>
      </c>
      <c r="AT14" s="39">
        <v>178</v>
      </c>
      <c r="AU14" s="39">
        <v>177</v>
      </c>
      <c r="AV14" s="39">
        <v>173</v>
      </c>
      <c r="AW14" s="39">
        <v>178</v>
      </c>
      <c r="AX14" s="39">
        <v>176</v>
      </c>
      <c r="AY14" s="39">
        <v>177</v>
      </c>
      <c r="AZ14" s="39">
        <v>192</v>
      </c>
      <c r="BA14" s="39">
        <v>192</v>
      </c>
      <c r="BB14" s="39">
        <v>190</v>
      </c>
      <c r="BC14" s="39">
        <v>189</v>
      </c>
      <c r="BD14" s="39">
        <v>174</v>
      </c>
      <c r="BE14" s="39">
        <v>192</v>
      </c>
      <c r="BF14">
        <v>175</v>
      </c>
    </row>
    <row r="15" spans="1:58">
      <c r="C15" s="45" t="s">
        <v>400</v>
      </c>
      <c r="D15" s="38">
        <v>8.727119117975235E-2</v>
      </c>
      <c r="E15" s="38">
        <v>0.37512165307998657</v>
      </c>
      <c r="F15" s="38">
        <v>0.44975224137306213</v>
      </c>
      <c r="G15" s="38">
        <v>0.21364954113960266</v>
      </c>
      <c r="H15" s="40">
        <v>0.56613588333129883</v>
      </c>
      <c r="I15" s="42"/>
      <c r="J15" s="39">
        <v>185</v>
      </c>
      <c r="K15" s="30">
        <v>182</v>
      </c>
      <c r="L15" s="39">
        <v>175</v>
      </c>
      <c r="M15" s="39">
        <v>158</v>
      </c>
      <c r="N15" s="39">
        <v>182</v>
      </c>
      <c r="O15" s="39">
        <v>186</v>
      </c>
      <c r="P15" s="41">
        <v>181</v>
      </c>
      <c r="Q15" s="39">
        <v>189</v>
      </c>
      <c r="R15" s="39">
        <v>189</v>
      </c>
      <c r="S15" s="39">
        <v>178</v>
      </c>
      <c r="T15">
        <v>189</v>
      </c>
      <c r="U15" s="30">
        <v>189</v>
      </c>
      <c r="V15" s="39">
        <v>189</v>
      </c>
      <c r="W15" s="39">
        <v>189</v>
      </c>
      <c r="X15" s="39">
        <v>189</v>
      </c>
      <c r="Y15" s="39">
        <v>189</v>
      </c>
      <c r="Z15" s="39">
        <v>189</v>
      </c>
      <c r="AA15" s="39">
        <v>189</v>
      </c>
      <c r="AB15" s="39">
        <v>189</v>
      </c>
      <c r="AC15" s="29">
        <v>189</v>
      </c>
      <c r="AD15">
        <v>189</v>
      </c>
      <c r="AE15" s="39">
        <v>189</v>
      </c>
      <c r="AF15" s="39">
        <v>189</v>
      </c>
      <c r="AG15" s="39">
        <v>189</v>
      </c>
      <c r="AH15" s="39">
        <v>189</v>
      </c>
      <c r="AI15" s="39">
        <v>189</v>
      </c>
      <c r="AJ15" s="39">
        <v>189</v>
      </c>
      <c r="AK15" s="39">
        <v>189</v>
      </c>
      <c r="AL15" s="29">
        <v>189</v>
      </c>
      <c r="AM15">
        <v>187</v>
      </c>
      <c r="AN15" s="39">
        <v>189</v>
      </c>
      <c r="AO15" s="30">
        <v>189</v>
      </c>
      <c r="AP15">
        <v>189</v>
      </c>
      <c r="AQ15" s="39">
        <v>189</v>
      </c>
      <c r="AR15" s="39">
        <v>189</v>
      </c>
      <c r="AS15" s="39">
        <v>177</v>
      </c>
      <c r="AT15" s="39">
        <v>177</v>
      </c>
      <c r="AU15" s="39">
        <v>176</v>
      </c>
      <c r="AV15" s="39">
        <v>172</v>
      </c>
      <c r="AW15" s="39">
        <v>177</v>
      </c>
      <c r="AX15" s="39">
        <v>175</v>
      </c>
      <c r="AY15" s="39">
        <v>176</v>
      </c>
      <c r="AZ15" s="39">
        <v>189</v>
      </c>
      <c r="BA15" s="39">
        <v>189</v>
      </c>
      <c r="BB15" s="39">
        <v>187</v>
      </c>
      <c r="BC15" s="39">
        <v>187</v>
      </c>
      <c r="BD15" s="39">
        <v>174</v>
      </c>
      <c r="BE15" s="39">
        <v>189</v>
      </c>
      <c r="BF15">
        <v>174</v>
      </c>
    </row>
    <row r="16" spans="1:58">
      <c r="C16" s="45" t="s">
        <v>390</v>
      </c>
      <c r="D16" s="36">
        <v>3.1395319849252701E-2</v>
      </c>
      <c r="E16" s="35">
        <v>1.120587345212698E-2</v>
      </c>
      <c r="F16" s="35">
        <v>1.6647491604089737E-2</v>
      </c>
      <c r="G16" s="36">
        <v>2.2653236985206604E-2</v>
      </c>
      <c r="H16" s="36">
        <v>3.4872561693191528E-2</v>
      </c>
      <c r="I16" s="38">
        <v>6.2871143221855164E-2</v>
      </c>
      <c r="J16" s="42"/>
      <c r="K16">
        <v>183</v>
      </c>
      <c r="L16">
        <v>176</v>
      </c>
      <c r="M16" s="29">
        <v>156</v>
      </c>
      <c r="N16" s="39">
        <v>183</v>
      </c>
      <c r="O16" s="29">
        <v>184</v>
      </c>
      <c r="P16" s="39">
        <v>181</v>
      </c>
      <c r="Q16" s="39">
        <v>186</v>
      </c>
      <c r="R16" s="39">
        <v>186</v>
      </c>
      <c r="S16" s="29">
        <v>175</v>
      </c>
      <c r="T16">
        <v>186</v>
      </c>
      <c r="U16" s="29">
        <v>186</v>
      </c>
      <c r="V16">
        <v>186</v>
      </c>
      <c r="W16" s="39">
        <v>186</v>
      </c>
      <c r="X16">
        <v>186</v>
      </c>
      <c r="Y16" s="29">
        <v>186</v>
      </c>
      <c r="Z16">
        <v>186</v>
      </c>
      <c r="AA16" s="39">
        <v>186</v>
      </c>
      <c r="AB16">
        <v>186</v>
      </c>
      <c r="AC16">
        <v>186</v>
      </c>
      <c r="AD16">
        <v>186</v>
      </c>
      <c r="AE16" s="39">
        <v>186</v>
      </c>
      <c r="AF16">
        <v>186</v>
      </c>
      <c r="AG16" s="39">
        <v>186</v>
      </c>
      <c r="AH16">
        <v>186</v>
      </c>
      <c r="AI16" s="30">
        <v>186</v>
      </c>
      <c r="AJ16">
        <v>186</v>
      </c>
      <c r="AK16">
        <v>186</v>
      </c>
      <c r="AL16">
        <v>186</v>
      </c>
      <c r="AM16">
        <v>183</v>
      </c>
      <c r="AN16">
        <v>186</v>
      </c>
      <c r="AO16">
        <v>186</v>
      </c>
      <c r="AP16">
        <v>186</v>
      </c>
      <c r="AQ16" s="29">
        <v>186</v>
      </c>
      <c r="AR16" s="30">
        <v>186</v>
      </c>
      <c r="AS16">
        <v>175</v>
      </c>
      <c r="AT16" s="29">
        <v>175</v>
      </c>
      <c r="AU16">
        <v>174</v>
      </c>
      <c r="AV16">
        <v>170</v>
      </c>
      <c r="AW16" s="30">
        <v>175</v>
      </c>
      <c r="AX16">
        <v>173</v>
      </c>
      <c r="AY16" s="29">
        <v>174</v>
      </c>
      <c r="AZ16">
        <v>186</v>
      </c>
      <c r="BA16">
        <v>186</v>
      </c>
      <c r="BB16" s="29">
        <v>184</v>
      </c>
      <c r="BC16" s="29">
        <v>185</v>
      </c>
      <c r="BD16" s="39">
        <v>171</v>
      </c>
      <c r="BE16" s="29">
        <v>186</v>
      </c>
      <c r="BF16">
        <v>172</v>
      </c>
    </row>
    <row r="17" spans="3:58">
      <c r="C17" s="45" t="s">
        <v>385</v>
      </c>
      <c r="D17" s="35">
        <v>-7.9908845946192741E-3</v>
      </c>
      <c r="E17" s="35">
        <v>1.8934803083539009E-2</v>
      </c>
      <c r="F17" s="35">
        <v>1.3694098219275475E-2</v>
      </c>
      <c r="G17" s="35">
        <v>-4.6252983156591654E-4</v>
      </c>
      <c r="H17" s="38">
        <v>0.10829339921474457</v>
      </c>
      <c r="I17" s="37">
        <v>5.2803207188844681E-2</v>
      </c>
      <c r="J17" s="35">
        <v>7.1038291789591312E-3</v>
      </c>
      <c r="K17" s="42"/>
      <c r="L17">
        <v>173</v>
      </c>
      <c r="M17">
        <v>153</v>
      </c>
      <c r="N17" s="39">
        <v>180</v>
      </c>
      <c r="O17" s="39">
        <v>181</v>
      </c>
      <c r="P17" s="39">
        <v>178</v>
      </c>
      <c r="Q17">
        <v>183</v>
      </c>
      <c r="R17">
        <v>183</v>
      </c>
      <c r="S17">
        <v>172</v>
      </c>
      <c r="T17">
        <v>183</v>
      </c>
      <c r="U17">
        <v>183</v>
      </c>
      <c r="V17">
        <v>183</v>
      </c>
      <c r="W17" s="39">
        <v>183</v>
      </c>
      <c r="X17">
        <v>183</v>
      </c>
      <c r="Y17">
        <v>183</v>
      </c>
      <c r="Z17" s="30">
        <v>183</v>
      </c>
      <c r="AA17" s="29">
        <v>183</v>
      </c>
      <c r="AB17" s="39">
        <v>183</v>
      </c>
      <c r="AC17">
        <v>183</v>
      </c>
      <c r="AD17" s="39">
        <v>183</v>
      </c>
      <c r="AE17">
        <v>183</v>
      </c>
      <c r="AF17">
        <v>183</v>
      </c>
      <c r="AG17">
        <v>183</v>
      </c>
      <c r="AH17">
        <v>183</v>
      </c>
      <c r="AI17">
        <v>183</v>
      </c>
      <c r="AJ17" s="30">
        <v>183</v>
      </c>
      <c r="AK17" s="30">
        <v>183</v>
      </c>
      <c r="AL17" s="39">
        <v>183</v>
      </c>
      <c r="AM17" s="39">
        <v>180</v>
      </c>
      <c r="AN17">
        <v>183</v>
      </c>
      <c r="AO17">
        <v>183</v>
      </c>
      <c r="AP17">
        <v>183</v>
      </c>
      <c r="AQ17">
        <v>183</v>
      </c>
      <c r="AR17" s="39">
        <v>183</v>
      </c>
      <c r="AS17">
        <v>172</v>
      </c>
      <c r="AT17">
        <v>172</v>
      </c>
      <c r="AU17">
        <v>171</v>
      </c>
      <c r="AV17">
        <v>167</v>
      </c>
      <c r="AW17">
        <v>172</v>
      </c>
      <c r="AX17">
        <v>170</v>
      </c>
      <c r="AY17" s="39">
        <v>171</v>
      </c>
      <c r="AZ17" s="30">
        <v>183</v>
      </c>
      <c r="BA17">
        <v>183</v>
      </c>
      <c r="BB17">
        <v>181</v>
      </c>
      <c r="BC17" s="29">
        <v>182</v>
      </c>
      <c r="BD17" s="39">
        <v>168</v>
      </c>
      <c r="BE17">
        <v>183</v>
      </c>
      <c r="BF17" s="30">
        <v>169</v>
      </c>
    </row>
    <row r="18" spans="3:58">
      <c r="C18" s="45" t="s">
        <v>389</v>
      </c>
      <c r="D18" s="37">
        <v>-5.1120758056640625E-2</v>
      </c>
      <c r="E18" s="35">
        <v>3.4072916605509818E-4</v>
      </c>
      <c r="F18" s="38">
        <v>0.13005997240543365</v>
      </c>
      <c r="G18" s="36">
        <v>2.387804351747036E-2</v>
      </c>
      <c r="H18" s="38">
        <v>9.4323866069316864E-2</v>
      </c>
      <c r="I18" s="38">
        <v>7.6943166553974152E-2</v>
      </c>
      <c r="J18" s="35">
        <v>1.4235952869057655E-2</v>
      </c>
      <c r="K18" s="35">
        <v>4.0771639905869961E-3</v>
      </c>
      <c r="L18" s="42"/>
      <c r="M18" s="39">
        <v>149</v>
      </c>
      <c r="N18" s="41">
        <v>176</v>
      </c>
      <c r="O18" s="39">
        <v>176</v>
      </c>
      <c r="P18" s="39">
        <v>175</v>
      </c>
      <c r="Q18" s="39">
        <v>177</v>
      </c>
      <c r="R18" s="39">
        <v>177</v>
      </c>
      <c r="S18" s="39">
        <v>166</v>
      </c>
      <c r="T18">
        <v>177</v>
      </c>
      <c r="U18" s="29">
        <v>177</v>
      </c>
      <c r="V18" s="39">
        <v>177</v>
      </c>
      <c r="W18" s="30">
        <v>177</v>
      </c>
      <c r="X18" s="39">
        <v>177</v>
      </c>
      <c r="Y18" s="39">
        <v>177</v>
      </c>
      <c r="Z18" s="39">
        <v>177</v>
      </c>
      <c r="AA18" s="30">
        <v>177</v>
      </c>
      <c r="AB18" s="30">
        <v>177</v>
      </c>
      <c r="AC18">
        <v>177</v>
      </c>
      <c r="AD18">
        <v>177</v>
      </c>
      <c r="AE18" s="39">
        <v>177</v>
      </c>
      <c r="AF18" s="39">
        <v>177</v>
      </c>
      <c r="AG18" s="39">
        <v>177</v>
      </c>
      <c r="AH18" s="39">
        <v>177</v>
      </c>
      <c r="AI18" s="39">
        <v>177</v>
      </c>
      <c r="AJ18" s="39">
        <v>177</v>
      </c>
      <c r="AK18" s="39">
        <v>177</v>
      </c>
      <c r="AL18">
        <v>177</v>
      </c>
      <c r="AM18">
        <v>174</v>
      </c>
      <c r="AN18" s="39">
        <v>177</v>
      </c>
      <c r="AO18">
        <v>177</v>
      </c>
      <c r="AP18" s="29">
        <v>177</v>
      </c>
      <c r="AQ18" s="39">
        <v>177</v>
      </c>
      <c r="AR18" s="39">
        <v>177</v>
      </c>
      <c r="AS18" s="39">
        <v>168</v>
      </c>
      <c r="AT18" s="39">
        <v>168</v>
      </c>
      <c r="AU18">
        <v>167</v>
      </c>
      <c r="AV18" s="30">
        <v>163</v>
      </c>
      <c r="AW18" s="39">
        <v>168</v>
      </c>
      <c r="AX18" s="29">
        <v>166</v>
      </c>
      <c r="AY18" s="39">
        <v>167</v>
      </c>
      <c r="AZ18" s="39">
        <v>177</v>
      </c>
      <c r="BA18" s="39">
        <v>177</v>
      </c>
      <c r="BB18" s="39">
        <v>176</v>
      </c>
      <c r="BC18" s="39">
        <v>176</v>
      </c>
      <c r="BD18" s="39">
        <v>164</v>
      </c>
      <c r="BE18" s="39">
        <v>177</v>
      </c>
      <c r="BF18" s="30">
        <v>165</v>
      </c>
    </row>
    <row r="19" spans="3:58">
      <c r="C19" s="45" t="s">
        <v>393</v>
      </c>
      <c r="D19" s="35">
        <v>-5.916134687140584E-4</v>
      </c>
      <c r="E19" s="35">
        <v>-9.1861074906773865E-5</v>
      </c>
      <c r="F19" s="40">
        <v>0.53491413593292236</v>
      </c>
      <c r="G19" s="36">
        <v>3.6892727017402649E-2</v>
      </c>
      <c r="H19" s="38">
        <v>0.18576906621456146</v>
      </c>
      <c r="I19" s="38">
        <v>0.22274711728096008</v>
      </c>
      <c r="J19" s="36">
        <v>3.2939258962869644E-2</v>
      </c>
      <c r="K19" s="35">
        <v>1.9896583398804069E-4</v>
      </c>
      <c r="L19" s="38">
        <v>0.2511667013168335</v>
      </c>
      <c r="M19" s="42"/>
      <c r="N19" s="41">
        <v>156</v>
      </c>
      <c r="O19" s="41">
        <v>155</v>
      </c>
      <c r="P19" s="41">
        <v>154</v>
      </c>
      <c r="Q19" s="39">
        <v>159</v>
      </c>
      <c r="R19" s="41">
        <v>159</v>
      </c>
      <c r="S19" s="41">
        <v>154</v>
      </c>
      <c r="T19">
        <v>159</v>
      </c>
      <c r="U19" s="39">
        <v>159</v>
      </c>
      <c r="V19" s="41">
        <v>159</v>
      </c>
      <c r="W19" s="39">
        <v>159</v>
      </c>
      <c r="X19" s="41">
        <v>159</v>
      </c>
      <c r="Y19" s="41">
        <v>159</v>
      </c>
      <c r="Z19" s="39">
        <v>159</v>
      </c>
      <c r="AA19" s="39">
        <v>159</v>
      </c>
      <c r="AB19" s="39">
        <v>159</v>
      </c>
      <c r="AC19">
        <v>159</v>
      </c>
      <c r="AD19" s="30">
        <v>159</v>
      </c>
      <c r="AE19" s="41">
        <v>159</v>
      </c>
      <c r="AF19">
        <v>159</v>
      </c>
      <c r="AG19" s="41">
        <v>159</v>
      </c>
      <c r="AH19" s="41">
        <v>159</v>
      </c>
      <c r="AI19" s="41">
        <v>159</v>
      </c>
      <c r="AJ19" s="39">
        <v>159</v>
      </c>
      <c r="AK19" s="41">
        <v>159</v>
      </c>
      <c r="AL19" s="29">
        <v>159</v>
      </c>
      <c r="AM19" s="29">
        <v>157</v>
      </c>
      <c r="AN19" s="41">
        <v>159</v>
      </c>
      <c r="AO19">
        <v>159</v>
      </c>
      <c r="AP19" s="29">
        <v>159</v>
      </c>
      <c r="AQ19" s="39">
        <v>159</v>
      </c>
      <c r="AR19" s="41">
        <v>159</v>
      </c>
      <c r="AS19" s="39">
        <v>151</v>
      </c>
      <c r="AT19" s="39">
        <v>151</v>
      </c>
      <c r="AU19">
        <v>151</v>
      </c>
      <c r="AV19" s="39">
        <v>150</v>
      </c>
      <c r="AW19" s="39">
        <v>151</v>
      </c>
      <c r="AX19" s="30">
        <v>150</v>
      </c>
      <c r="AY19" s="39">
        <v>151</v>
      </c>
      <c r="AZ19" s="39">
        <v>159</v>
      </c>
      <c r="BA19" s="39">
        <v>159</v>
      </c>
      <c r="BB19" s="39">
        <v>158</v>
      </c>
      <c r="BC19" s="41">
        <v>158</v>
      </c>
      <c r="BD19" s="39">
        <v>150</v>
      </c>
      <c r="BE19" s="41">
        <v>159</v>
      </c>
      <c r="BF19" s="39">
        <v>150</v>
      </c>
    </row>
    <row r="20" spans="3:58">
      <c r="C20" s="45" t="s">
        <v>526</v>
      </c>
      <c r="D20" s="35">
        <v>-4.7759427689015865E-3</v>
      </c>
      <c r="E20" s="35">
        <v>1.4957387931644917E-2</v>
      </c>
      <c r="F20" s="38">
        <v>0.32234889268875122</v>
      </c>
      <c r="G20" s="36">
        <v>3.245588019490242E-2</v>
      </c>
      <c r="H20" s="38">
        <v>0.24960792064666748</v>
      </c>
      <c r="I20" s="38">
        <v>0.24608603119850159</v>
      </c>
      <c r="J20" s="38">
        <v>0.30358791351318359</v>
      </c>
      <c r="K20" s="38">
        <v>0.20604367554187775</v>
      </c>
      <c r="L20" s="40">
        <v>0.51682007312774658</v>
      </c>
      <c r="M20" s="40">
        <v>0.58845639228820801</v>
      </c>
      <c r="N20" s="42"/>
      <c r="O20" s="41">
        <v>181</v>
      </c>
      <c r="P20" s="41">
        <v>181</v>
      </c>
      <c r="Q20" s="39">
        <v>183</v>
      </c>
      <c r="R20" s="39">
        <v>183</v>
      </c>
      <c r="S20" s="41">
        <v>173</v>
      </c>
      <c r="T20">
        <v>183</v>
      </c>
      <c r="U20" s="29">
        <v>183</v>
      </c>
      <c r="V20" s="39">
        <v>183</v>
      </c>
      <c r="W20" s="39">
        <v>183</v>
      </c>
      <c r="X20" s="39">
        <v>183</v>
      </c>
      <c r="Y20" s="39">
        <v>183</v>
      </c>
      <c r="Z20" s="39">
        <v>183</v>
      </c>
      <c r="AA20" s="39">
        <v>183</v>
      </c>
      <c r="AB20" s="39">
        <v>183</v>
      </c>
      <c r="AC20">
        <v>183</v>
      </c>
      <c r="AD20">
        <v>183</v>
      </c>
      <c r="AE20" s="39">
        <v>183</v>
      </c>
      <c r="AF20" s="39">
        <v>183</v>
      </c>
      <c r="AG20" s="39">
        <v>183</v>
      </c>
      <c r="AH20" s="39">
        <v>183</v>
      </c>
      <c r="AI20" s="39">
        <v>183</v>
      </c>
      <c r="AJ20" s="39">
        <v>183</v>
      </c>
      <c r="AK20" s="39">
        <v>183</v>
      </c>
      <c r="AL20">
        <v>183</v>
      </c>
      <c r="AM20">
        <v>180</v>
      </c>
      <c r="AN20" s="39">
        <v>183</v>
      </c>
      <c r="AO20">
        <v>183</v>
      </c>
      <c r="AP20">
        <v>183</v>
      </c>
      <c r="AQ20" s="39">
        <v>183</v>
      </c>
      <c r="AR20" s="41">
        <v>183</v>
      </c>
      <c r="AS20" s="39">
        <v>173</v>
      </c>
      <c r="AT20" s="39">
        <v>173</v>
      </c>
      <c r="AU20">
        <v>172</v>
      </c>
      <c r="AV20" s="39">
        <v>168</v>
      </c>
      <c r="AW20" s="39">
        <v>173</v>
      </c>
      <c r="AX20" s="30">
        <v>171</v>
      </c>
      <c r="AY20" s="39">
        <v>172</v>
      </c>
      <c r="AZ20" s="39">
        <v>183</v>
      </c>
      <c r="BA20" s="39">
        <v>183</v>
      </c>
      <c r="BB20" s="39">
        <v>182</v>
      </c>
      <c r="BC20" s="39">
        <v>182</v>
      </c>
      <c r="BD20" s="39">
        <v>170</v>
      </c>
      <c r="BE20" s="39">
        <v>183</v>
      </c>
      <c r="BF20" s="29">
        <v>170</v>
      </c>
    </row>
    <row r="21" spans="3:58">
      <c r="C21" s="45" t="s">
        <v>532</v>
      </c>
      <c r="D21" s="35">
        <v>-1.780408201739192E-4</v>
      </c>
      <c r="E21" s="36">
        <v>2.5633564218878746E-2</v>
      </c>
      <c r="F21" s="38">
        <v>0.43494600057601929</v>
      </c>
      <c r="G21" s="35">
        <v>1.4301135204732418E-2</v>
      </c>
      <c r="H21" s="38">
        <v>0.334686279296875</v>
      </c>
      <c r="I21" s="38">
        <v>0.30403578281402588</v>
      </c>
      <c r="J21" s="36">
        <v>3.051164373755455E-2</v>
      </c>
      <c r="K21" s="38">
        <v>7.3890380561351776E-2</v>
      </c>
      <c r="L21" s="38">
        <v>0.24270264804363251</v>
      </c>
      <c r="M21" s="40">
        <v>0.73534309864044189</v>
      </c>
      <c r="N21" s="40">
        <v>0.52423310279846191</v>
      </c>
      <c r="O21" s="42"/>
      <c r="P21" s="41">
        <v>181</v>
      </c>
      <c r="Q21" s="39">
        <v>187</v>
      </c>
      <c r="R21" s="41">
        <v>187</v>
      </c>
      <c r="S21" s="41">
        <v>175</v>
      </c>
      <c r="T21" s="29">
        <v>187</v>
      </c>
      <c r="U21">
        <v>187</v>
      </c>
      <c r="V21" s="41">
        <v>187</v>
      </c>
      <c r="W21" s="39">
        <v>187</v>
      </c>
      <c r="X21" s="41">
        <v>187</v>
      </c>
      <c r="Y21" s="41">
        <v>187</v>
      </c>
      <c r="Z21" s="39">
        <v>187</v>
      </c>
      <c r="AA21" s="39">
        <v>187</v>
      </c>
      <c r="AB21" s="39">
        <v>187</v>
      </c>
      <c r="AC21">
        <v>187</v>
      </c>
      <c r="AD21">
        <v>187</v>
      </c>
      <c r="AE21" s="41">
        <v>187</v>
      </c>
      <c r="AF21" s="39">
        <v>187</v>
      </c>
      <c r="AG21" s="41">
        <v>187</v>
      </c>
      <c r="AH21" s="41">
        <v>187</v>
      </c>
      <c r="AI21" s="41">
        <v>187</v>
      </c>
      <c r="AJ21" s="39">
        <v>187</v>
      </c>
      <c r="AK21" s="41">
        <v>187</v>
      </c>
      <c r="AL21">
        <v>187</v>
      </c>
      <c r="AM21">
        <v>185</v>
      </c>
      <c r="AN21" s="41">
        <v>187</v>
      </c>
      <c r="AO21">
        <v>187</v>
      </c>
      <c r="AP21">
        <v>187</v>
      </c>
      <c r="AQ21" s="39">
        <v>187</v>
      </c>
      <c r="AR21" s="41">
        <v>187</v>
      </c>
      <c r="AS21" s="39">
        <v>176</v>
      </c>
      <c r="AT21" s="39">
        <v>176</v>
      </c>
      <c r="AU21">
        <v>175</v>
      </c>
      <c r="AV21" s="39">
        <v>171</v>
      </c>
      <c r="AW21" s="39">
        <v>176</v>
      </c>
      <c r="AX21" s="30">
        <v>174</v>
      </c>
      <c r="AY21" s="39">
        <v>175</v>
      </c>
      <c r="AZ21" s="39">
        <v>187</v>
      </c>
      <c r="BA21" s="39">
        <v>187</v>
      </c>
      <c r="BB21" s="39">
        <v>185</v>
      </c>
      <c r="BC21" s="41">
        <v>185</v>
      </c>
      <c r="BD21" s="41">
        <v>171</v>
      </c>
      <c r="BE21" s="39">
        <v>187</v>
      </c>
      <c r="BF21">
        <v>173</v>
      </c>
    </row>
    <row r="22" spans="3:58">
      <c r="C22" s="45" t="s">
        <v>531</v>
      </c>
      <c r="D22" s="35">
        <v>1.2083566980436444E-3</v>
      </c>
      <c r="E22" s="38">
        <v>7.1894176304340363E-2</v>
      </c>
      <c r="F22" s="40">
        <v>0.51765763759613037</v>
      </c>
      <c r="G22" s="37">
        <v>4.4535271823406219E-2</v>
      </c>
      <c r="H22" s="38">
        <v>0.4507698118686676</v>
      </c>
      <c r="I22" s="40">
        <v>0.50145643949508667</v>
      </c>
      <c r="J22" s="38">
        <v>8.0170020461082458E-2</v>
      </c>
      <c r="K22" s="38">
        <v>0.11311299353837967</v>
      </c>
      <c r="L22" s="38">
        <v>0.30803981423377991</v>
      </c>
      <c r="M22" s="40">
        <v>0.73303091526031494</v>
      </c>
      <c r="N22" s="40">
        <v>0.66870468854904175</v>
      </c>
      <c r="O22" s="40">
        <v>0.94309061765670776</v>
      </c>
      <c r="P22" s="42"/>
      <c r="Q22" s="39">
        <v>181</v>
      </c>
      <c r="R22" s="41">
        <v>181</v>
      </c>
      <c r="S22" s="41">
        <v>171</v>
      </c>
      <c r="T22">
        <v>181</v>
      </c>
      <c r="U22">
        <v>181</v>
      </c>
      <c r="V22" s="41">
        <v>181</v>
      </c>
      <c r="W22" s="39">
        <v>181</v>
      </c>
      <c r="X22" s="41">
        <v>181</v>
      </c>
      <c r="Y22" s="41">
        <v>181</v>
      </c>
      <c r="Z22" s="39">
        <v>181</v>
      </c>
      <c r="AA22" s="39">
        <v>181</v>
      </c>
      <c r="AB22" s="39">
        <v>181</v>
      </c>
      <c r="AC22">
        <v>181</v>
      </c>
      <c r="AD22">
        <v>181</v>
      </c>
      <c r="AE22" s="41">
        <v>181</v>
      </c>
      <c r="AF22" s="39">
        <v>181</v>
      </c>
      <c r="AG22" s="41">
        <v>181</v>
      </c>
      <c r="AH22" s="41">
        <v>181</v>
      </c>
      <c r="AI22" s="41">
        <v>181</v>
      </c>
      <c r="AJ22" s="39">
        <v>181</v>
      </c>
      <c r="AK22" s="41">
        <v>181</v>
      </c>
      <c r="AL22">
        <v>181</v>
      </c>
      <c r="AM22">
        <v>179</v>
      </c>
      <c r="AN22" s="41">
        <v>181</v>
      </c>
      <c r="AO22">
        <v>181</v>
      </c>
      <c r="AP22">
        <v>181</v>
      </c>
      <c r="AQ22" s="39">
        <v>181</v>
      </c>
      <c r="AR22" s="41">
        <v>181</v>
      </c>
      <c r="AS22" s="39">
        <v>172</v>
      </c>
      <c r="AT22" s="39">
        <v>172</v>
      </c>
      <c r="AU22">
        <v>171</v>
      </c>
      <c r="AV22" s="39">
        <v>167</v>
      </c>
      <c r="AW22" s="39">
        <v>172</v>
      </c>
      <c r="AX22" s="39">
        <v>170</v>
      </c>
      <c r="AY22" s="39">
        <v>171</v>
      </c>
      <c r="AZ22" s="39">
        <v>181</v>
      </c>
      <c r="BA22" s="39">
        <v>181</v>
      </c>
      <c r="BB22" s="39">
        <v>180</v>
      </c>
      <c r="BC22" s="41">
        <v>180</v>
      </c>
      <c r="BD22" s="41">
        <v>169</v>
      </c>
      <c r="BE22" s="39">
        <v>181</v>
      </c>
      <c r="BF22">
        <v>169</v>
      </c>
    </row>
    <row r="23" spans="3:58">
      <c r="C23" s="45" t="s">
        <v>457</v>
      </c>
      <c r="D23" s="35">
        <v>2.7042462024837732E-3</v>
      </c>
      <c r="E23" s="38">
        <v>-5.4394222795963287E-2</v>
      </c>
      <c r="F23" s="38">
        <v>-0.4510989785194397</v>
      </c>
      <c r="G23" s="36">
        <v>-2.081519179046154E-2</v>
      </c>
      <c r="H23" s="38">
        <v>-0.12285397946834564</v>
      </c>
      <c r="I23" s="38">
        <v>-0.19827781617641449</v>
      </c>
      <c r="J23" s="38">
        <v>-6.4144134521484375E-2</v>
      </c>
      <c r="K23" s="35">
        <v>1.7475115600973368E-3</v>
      </c>
      <c r="L23" s="38">
        <v>-0.13680703938007355</v>
      </c>
      <c r="M23" s="38">
        <v>-0.23152755200862885</v>
      </c>
      <c r="N23" s="38">
        <v>-0.19061031937599182</v>
      </c>
      <c r="O23" s="38">
        <v>-0.23585323989391327</v>
      </c>
      <c r="P23" s="38">
        <v>-0.27722042798995972</v>
      </c>
      <c r="Q23" s="42"/>
      <c r="R23" s="41">
        <v>192</v>
      </c>
      <c r="S23" s="41">
        <v>179</v>
      </c>
      <c r="T23">
        <v>192</v>
      </c>
      <c r="U23">
        <v>192</v>
      </c>
      <c r="V23" s="39">
        <v>192</v>
      </c>
      <c r="W23" s="30">
        <v>192</v>
      </c>
      <c r="X23" s="39">
        <v>192</v>
      </c>
      <c r="Y23" s="39">
        <v>192</v>
      </c>
      <c r="Z23" s="39">
        <v>192</v>
      </c>
      <c r="AA23" s="39">
        <v>192</v>
      </c>
      <c r="AB23" s="30">
        <v>192</v>
      </c>
      <c r="AC23">
        <v>192</v>
      </c>
      <c r="AD23" s="30">
        <v>192</v>
      </c>
      <c r="AE23" s="39">
        <v>192</v>
      </c>
      <c r="AF23" s="30">
        <v>192</v>
      </c>
      <c r="AG23" s="39">
        <v>192</v>
      </c>
      <c r="AH23" s="39">
        <v>192</v>
      </c>
      <c r="AI23" s="39">
        <v>192</v>
      </c>
      <c r="AJ23" s="39">
        <v>192</v>
      </c>
      <c r="AK23" s="39">
        <v>192</v>
      </c>
      <c r="AL23" s="29">
        <v>192</v>
      </c>
      <c r="AM23" s="29">
        <v>189</v>
      </c>
      <c r="AN23" s="39">
        <v>192</v>
      </c>
      <c r="AO23">
        <v>192</v>
      </c>
      <c r="AP23">
        <v>192</v>
      </c>
      <c r="AQ23" s="39">
        <v>192</v>
      </c>
      <c r="AR23" s="39">
        <v>192</v>
      </c>
      <c r="AS23" s="39">
        <v>178</v>
      </c>
      <c r="AT23" s="39">
        <v>178</v>
      </c>
      <c r="AU23">
        <v>177</v>
      </c>
      <c r="AV23" s="39">
        <v>173</v>
      </c>
      <c r="AW23" s="39">
        <v>178</v>
      </c>
      <c r="AX23" s="39">
        <v>176</v>
      </c>
      <c r="AY23" s="39">
        <v>177</v>
      </c>
      <c r="AZ23" s="39">
        <v>192</v>
      </c>
      <c r="BA23" s="39">
        <v>192</v>
      </c>
      <c r="BB23" s="41">
        <v>190</v>
      </c>
      <c r="BC23" s="39">
        <v>189</v>
      </c>
      <c r="BD23" s="39">
        <v>174</v>
      </c>
      <c r="BE23" s="39">
        <v>192</v>
      </c>
      <c r="BF23" s="29">
        <v>175</v>
      </c>
    </row>
    <row r="24" spans="3:58">
      <c r="C24" s="45" t="s">
        <v>458</v>
      </c>
      <c r="D24" s="35">
        <v>-1.8281293159816414E-4</v>
      </c>
      <c r="E24" s="38">
        <v>-6.6536329686641693E-2</v>
      </c>
      <c r="F24" s="40">
        <v>-0.62845945358276367</v>
      </c>
      <c r="G24" s="36">
        <v>-2.978035993874073E-2</v>
      </c>
      <c r="H24" s="38">
        <v>-0.26787149906158447</v>
      </c>
      <c r="I24" s="38">
        <v>-0.38327297568321228</v>
      </c>
      <c r="J24" s="38">
        <v>-7.2330951690673828E-2</v>
      </c>
      <c r="K24" s="35">
        <v>-1.0274396277964115E-2</v>
      </c>
      <c r="L24" s="38">
        <v>-0.212879478931427</v>
      </c>
      <c r="M24" s="40">
        <v>-0.65768104791641235</v>
      </c>
      <c r="N24" s="38">
        <v>-0.44569990038871765</v>
      </c>
      <c r="O24" s="40">
        <v>-0.68199753761291504</v>
      </c>
      <c r="P24" s="40">
        <v>-0.72587352991104126</v>
      </c>
      <c r="Q24" s="40">
        <v>0.54367601871490479</v>
      </c>
      <c r="R24" s="42"/>
      <c r="S24" s="41">
        <v>179</v>
      </c>
      <c r="T24">
        <v>192</v>
      </c>
      <c r="U24" s="29">
        <v>192</v>
      </c>
      <c r="V24" s="39">
        <v>192</v>
      </c>
      <c r="W24" s="39">
        <v>192</v>
      </c>
      <c r="X24" s="39">
        <v>192</v>
      </c>
      <c r="Y24" s="41">
        <v>192</v>
      </c>
      <c r="Z24" s="39">
        <v>192</v>
      </c>
      <c r="AA24" s="39">
        <v>192</v>
      </c>
      <c r="AB24" s="39">
        <v>192</v>
      </c>
      <c r="AC24">
        <v>192</v>
      </c>
      <c r="AD24" s="39">
        <v>192</v>
      </c>
      <c r="AE24" s="41">
        <v>192</v>
      </c>
      <c r="AF24" s="30">
        <v>192</v>
      </c>
      <c r="AG24" s="41">
        <v>192</v>
      </c>
      <c r="AH24" s="41">
        <v>192</v>
      </c>
      <c r="AI24" s="41">
        <v>192</v>
      </c>
      <c r="AJ24" s="39">
        <v>192</v>
      </c>
      <c r="AK24" s="41">
        <v>192</v>
      </c>
      <c r="AL24">
        <v>192</v>
      </c>
      <c r="AM24">
        <v>189</v>
      </c>
      <c r="AN24" s="41">
        <v>192</v>
      </c>
      <c r="AO24">
        <v>192</v>
      </c>
      <c r="AP24">
        <v>192</v>
      </c>
      <c r="AQ24" s="39">
        <v>192</v>
      </c>
      <c r="AR24" s="41">
        <v>192</v>
      </c>
      <c r="AS24" s="39">
        <v>178</v>
      </c>
      <c r="AT24" s="39">
        <v>178</v>
      </c>
      <c r="AU24">
        <v>177</v>
      </c>
      <c r="AV24" s="39">
        <v>173</v>
      </c>
      <c r="AW24" s="39">
        <v>178</v>
      </c>
      <c r="AX24" s="39">
        <v>176</v>
      </c>
      <c r="AY24" s="39">
        <v>177</v>
      </c>
      <c r="AZ24" s="39">
        <v>192</v>
      </c>
      <c r="BA24" s="39">
        <v>192</v>
      </c>
      <c r="BB24" s="41">
        <v>190</v>
      </c>
      <c r="BC24" s="41">
        <v>189</v>
      </c>
      <c r="BD24" s="39">
        <v>174</v>
      </c>
      <c r="BE24" s="41">
        <v>192</v>
      </c>
      <c r="BF24" s="30">
        <v>175</v>
      </c>
    </row>
    <row r="25" spans="3:58">
      <c r="C25" s="45" t="s">
        <v>459</v>
      </c>
      <c r="D25" s="35">
        <v>-1.0868802746699657E-5</v>
      </c>
      <c r="E25" s="36">
        <v>-2.7955984696745872E-2</v>
      </c>
      <c r="F25" s="40">
        <v>-0.54101783037185669</v>
      </c>
      <c r="G25" s="35">
        <v>-1.0051588527858257E-2</v>
      </c>
      <c r="H25" s="38">
        <v>-0.26480099558830261</v>
      </c>
      <c r="I25" s="38">
        <v>-0.31522214412689209</v>
      </c>
      <c r="J25" s="36">
        <v>-3.6077380180358887E-2</v>
      </c>
      <c r="K25" s="35">
        <v>-1.3288719579577446E-2</v>
      </c>
      <c r="L25" s="38">
        <v>-0.26223209500312805</v>
      </c>
      <c r="M25" s="40">
        <v>-0.75665628910064697</v>
      </c>
      <c r="N25" s="40">
        <v>-0.50027483701705933</v>
      </c>
      <c r="O25" s="40">
        <v>-0.847617506980896</v>
      </c>
      <c r="P25" s="40">
        <v>-0.83981871604919434</v>
      </c>
      <c r="Q25" s="40">
        <v>0.50332945585250854</v>
      </c>
      <c r="R25" s="40">
        <v>0.87813764810562134</v>
      </c>
      <c r="S25" s="42"/>
      <c r="T25">
        <v>179</v>
      </c>
      <c r="U25" s="30">
        <v>179</v>
      </c>
      <c r="V25" s="41">
        <v>179</v>
      </c>
      <c r="W25" s="39">
        <v>179</v>
      </c>
      <c r="X25" s="41">
        <v>179</v>
      </c>
      <c r="Y25" s="41">
        <v>179</v>
      </c>
      <c r="Z25" s="39">
        <v>179</v>
      </c>
      <c r="AA25" s="39">
        <v>179</v>
      </c>
      <c r="AB25" s="39">
        <v>179</v>
      </c>
      <c r="AC25">
        <v>179</v>
      </c>
      <c r="AD25" s="39">
        <v>179</v>
      </c>
      <c r="AE25" s="41">
        <v>179</v>
      </c>
      <c r="AF25">
        <v>179</v>
      </c>
      <c r="AG25" s="41">
        <v>179</v>
      </c>
      <c r="AH25" s="41">
        <v>179</v>
      </c>
      <c r="AI25" s="41">
        <v>179</v>
      </c>
      <c r="AJ25" s="39">
        <v>179</v>
      </c>
      <c r="AK25" s="41">
        <v>179</v>
      </c>
      <c r="AL25">
        <v>179</v>
      </c>
      <c r="AM25">
        <v>177</v>
      </c>
      <c r="AN25" s="41">
        <v>179</v>
      </c>
      <c r="AO25">
        <v>179</v>
      </c>
      <c r="AP25">
        <v>179</v>
      </c>
      <c r="AQ25" s="39">
        <v>179</v>
      </c>
      <c r="AR25" s="41">
        <v>179</v>
      </c>
      <c r="AS25" s="39">
        <v>172</v>
      </c>
      <c r="AT25" s="39">
        <v>172</v>
      </c>
      <c r="AU25">
        <v>172</v>
      </c>
      <c r="AV25" s="39">
        <v>170</v>
      </c>
      <c r="AW25" s="39">
        <v>172</v>
      </c>
      <c r="AX25" s="39">
        <v>172</v>
      </c>
      <c r="AY25" s="39">
        <v>172</v>
      </c>
      <c r="AZ25" s="39">
        <v>179</v>
      </c>
      <c r="BA25" s="39">
        <v>179</v>
      </c>
      <c r="BB25" s="39">
        <v>179</v>
      </c>
      <c r="BC25" s="41">
        <v>178</v>
      </c>
      <c r="BD25" s="41">
        <v>168</v>
      </c>
      <c r="BE25" s="41">
        <v>179</v>
      </c>
      <c r="BF25" s="30">
        <v>171</v>
      </c>
    </row>
    <row r="26" spans="3:58">
      <c r="C26" s="45" t="s">
        <v>401</v>
      </c>
      <c r="D26" s="35">
        <v>-1.2405346147716045E-2</v>
      </c>
      <c r="E26" s="35">
        <v>6.6149441408924758E-5</v>
      </c>
      <c r="F26" s="35">
        <v>3.8009476847946644E-3</v>
      </c>
      <c r="G26" s="35">
        <v>-4.2317202314734459E-3</v>
      </c>
      <c r="H26" s="35">
        <v>-3.1409789808094501E-3</v>
      </c>
      <c r="I26" s="35">
        <v>-6.1456597177311778E-4</v>
      </c>
      <c r="J26" s="35">
        <v>-3.1822246965020895E-3</v>
      </c>
      <c r="K26" s="35">
        <v>-3.616557689383626E-3</v>
      </c>
      <c r="L26" s="35">
        <v>4.346061497926712E-3</v>
      </c>
      <c r="M26" s="35">
        <v>8.4371818229556084E-3</v>
      </c>
      <c r="N26" s="35">
        <v>3.4750744816847146E-4</v>
      </c>
      <c r="O26" s="36">
        <v>3.4707732498645782E-2</v>
      </c>
      <c r="P26" s="35">
        <v>1.474436279386282E-2</v>
      </c>
      <c r="Q26" s="35">
        <v>-5.7712262496352196E-3</v>
      </c>
      <c r="R26" s="35">
        <v>-3.4874468110501766E-3</v>
      </c>
      <c r="S26" s="35">
        <v>-6.2334733083844185E-3</v>
      </c>
      <c r="T26" s="42"/>
      <c r="U26">
        <v>192</v>
      </c>
      <c r="V26">
        <v>192</v>
      </c>
      <c r="W26">
        <v>192</v>
      </c>
      <c r="X26">
        <v>192</v>
      </c>
      <c r="Y26">
        <v>192</v>
      </c>
      <c r="Z26">
        <v>192</v>
      </c>
      <c r="AA26">
        <v>192</v>
      </c>
      <c r="AB26">
        <v>192</v>
      </c>
      <c r="AC26">
        <v>192</v>
      </c>
      <c r="AD26">
        <v>192</v>
      </c>
      <c r="AE26">
        <v>192</v>
      </c>
      <c r="AF26">
        <v>192</v>
      </c>
      <c r="AG26">
        <v>192</v>
      </c>
      <c r="AH26">
        <v>192</v>
      </c>
      <c r="AI26">
        <v>192</v>
      </c>
      <c r="AJ26">
        <v>192</v>
      </c>
      <c r="AK26">
        <v>192</v>
      </c>
      <c r="AL26">
        <v>192</v>
      </c>
      <c r="AM26">
        <v>189</v>
      </c>
      <c r="AN26">
        <v>192</v>
      </c>
      <c r="AO26">
        <v>192</v>
      </c>
      <c r="AP26">
        <v>192</v>
      </c>
      <c r="AQ26" s="29">
        <v>192</v>
      </c>
      <c r="AR26" s="30">
        <v>192</v>
      </c>
      <c r="AS26">
        <v>178</v>
      </c>
      <c r="AT26">
        <v>178</v>
      </c>
      <c r="AU26">
        <v>177</v>
      </c>
      <c r="AV26">
        <v>173</v>
      </c>
      <c r="AW26">
        <v>178</v>
      </c>
      <c r="AX26">
        <v>176</v>
      </c>
      <c r="AY26">
        <v>177</v>
      </c>
      <c r="AZ26" s="29">
        <v>192</v>
      </c>
      <c r="BA26">
        <v>192</v>
      </c>
      <c r="BB26">
        <v>190</v>
      </c>
      <c r="BC26">
        <v>189</v>
      </c>
      <c r="BD26">
        <v>174</v>
      </c>
      <c r="BE26">
        <v>192</v>
      </c>
      <c r="BF26">
        <v>175</v>
      </c>
    </row>
    <row r="27" spans="3:58">
      <c r="C27" s="45" t="s">
        <v>402</v>
      </c>
      <c r="D27" s="38">
        <v>0.12413472682237625</v>
      </c>
      <c r="E27" s="38">
        <v>0.10739696770906448</v>
      </c>
      <c r="F27" s="36">
        <v>-4.214959591627121E-2</v>
      </c>
      <c r="G27" s="35">
        <v>-1.9989009888377041E-4</v>
      </c>
      <c r="H27" s="37">
        <v>5.1253952085971832E-2</v>
      </c>
      <c r="I27" s="37">
        <v>5.3288396447896957E-2</v>
      </c>
      <c r="J27" s="36">
        <v>-2.4806451052427292E-2</v>
      </c>
      <c r="K27" s="35">
        <v>1.8692877143621445E-2</v>
      </c>
      <c r="L27" s="36">
        <v>-2.234155684709549E-2</v>
      </c>
      <c r="M27" s="38">
        <v>-7.5572595000267029E-2</v>
      </c>
      <c r="N27" s="36">
        <v>-2.7851490303874016E-2</v>
      </c>
      <c r="O27" s="35">
        <v>-5.8485651388764381E-3</v>
      </c>
      <c r="P27" s="35">
        <v>-2.5043224450200796E-3</v>
      </c>
      <c r="Q27" s="35">
        <v>1.6757907345890999E-2</v>
      </c>
      <c r="R27" s="36">
        <v>3.1473476439714432E-2</v>
      </c>
      <c r="S27" s="37">
        <v>4.3072760105133057E-2</v>
      </c>
      <c r="T27" s="35">
        <v>-3.8979132659733295E-4</v>
      </c>
      <c r="U27" s="42"/>
      <c r="V27">
        <v>192</v>
      </c>
      <c r="W27">
        <v>192</v>
      </c>
      <c r="X27" s="29">
        <v>192</v>
      </c>
      <c r="Y27" s="39">
        <v>192</v>
      </c>
      <c r="Z27">
        <v>192</v>
      </c>
      <c r="AA27">
        <v>192</v>
      </c>
      <c r="AB27">
        <v>192</v>
      </c>
      <c r="AC27" s="29">
        <v>192</v>
      </c>
      <c r="AD27" s="39">
        <v>192</v>
      </c>
      <c r="AE27">
        <v>192</v>
      </c>
      <c r="AF27">
        <v>192</v>
      </c>
      <c r="AG27">
        <v>192</v>
      </c>
      <c r="AH27" s="29">
        <v>192</v>
      </c>
      <c r="AI27" s="39">
        <v>192</v>
      </c>
      <c r="AJ27" s="29">
        <v>192</v>
      </c>
      <c r="AK27" s="29">
        <v>192</v>
      </c>
      <c r="AL27" s="29">
        <v>192</v>
      </c>
      <c r="AM27" s="29">
        <v>189</v>
      </c>
      <c r="AN27" s="39">
        <v>192</v>
      </c>
      <c r="AO27" s="39">
        <v>192</v>
      </c>
      <c r="AP27">
        <v>192</v>
      </c>
      <c r="AQ27" s="39">
        <v>192</v>
      </c>
      <c r="AR27">
        <v>192</v>
      </c>
      <c r="AS27">
        <v>178</v>
      </c>
      <c r="AT27" s="29">
        <v>178</v>
      </c>
      <c r="AU27" s="29">
        <v>177</v>
      </c>
      <c r="AV27">
        <v>173</v>
      </c>
      <c r="AW27" s="29">
        <v>178</v>
      </c>
      <c r="AX27" s="29">
        <v>176</v>
      </c>
      <c r="AY27">
        <v>177</v>
      </c>
      <c r="AZ27">
        <v>192</v>
      </c>
      <c r="BA27" s="29">
        <v>192</v>
      </c>
      <c r="BB27">
        <v>190</v>
      </c>
      <c r="BC27">
        <v>189</v>
      </c>
      <c r="BD27">
        <v>174</v>
      </c>
      <c r="BE27">
        <v>192</v>
      </c>
      <c r="BF27">
        <v>175</v>
      </c>
    </row>
    <row r="28" spans="3:58">
      <c r="C28" s="45" t="s">
        <v>403</v>
      </c>
      <c r="D28" s="35">
        <v>-1.127676572650671E-3</v>
      </c>
      <c r="E28" s="35">
        <v>1.2557108886539936E-2</v>
      </c>
      <c r="F28" s="38">
        <v>0.42056512832641602</v>
      </c>
      <c r="G28" s="35">
        <v>1.8676981329917908E-2</v>
      </c>
      <c r="H28" s="38">
        <v>0.18254098296165466</v>
      </c>
      <c r="I28" s="38">
        <v>0.19636598229408264</v>
      </c>
      <c r="J28" s="35">
        <v>7.5259916484355927E-3</v>
      </c>
      <c r="K28" s="35">
        <v>1.3958360068500042E-2</v>
      </c>
      <c r="L28" s="38">
        <v>0.21695932745933533</v>
      </c>
      <c r="M28" s="40">
        <v>0.67751729488372803</v>
      </c>
      <c r="N28" s="38">
        <v>0.34262090921401978</v>
      </c>
      <c r="O28" s="40">
        <v>0.61421221494674683</v>
      </c>
      <c r="P28" s="40">
        <v>0.59642833471298218</v>
      </c>
      <c r="Q28" s="38">
        <v>-0.16973637044429779</v>
      </c>
      <c r="R28" s="38">
        <v>-0.48367401957511902</v>
      </c>
      <c r="S28" s="40">
        <v>-0.63249611854553223</v>
      </c>
      <c r="T28" s="35">
        <v>6.0506127774715424E-3</v>
      </c>
      <c r="U28" s="35">
        <v>-1.154063455760479E-2</v>
      </c>
      <c r="V28" s="42"/>
      <c r="W28" s="39">
        <v>192</v>
      </c>
      <c r="X28" s="41">
        <v>192</v>
      </c>
      <c r="Y28" s="41">
        <v>192</v>
      </c>
      <c r="Z28" s="39">
        <v>192</v>
      </c>
      <c r="AA28" s="39">
        <v>192</v>
      </c>
      <c r="AB28" s="39">
        <v>192</v>
      </c>
      <c r="AC28">
        <v>192</v>
      </c>
      <c r="AD28">
        <v>192</v>
      </c>
      <c r="AE28" s="39">
        <v>192</v>
      </c>
      <c r="AF28">
        <v>192</v>
      </c>
      <c r="AG28" s="39">
        <v>192</v>
      </c>
      <c r="AH28" s="41">
        <v>192</v>
      </c>
      <c r="AI28" s="41">
        <v>192</v>
      </c>
      <c r="AJ28" s="39">
        <v>192</v>
      </c>
      <c r="AK28" s="41">
        <v>192</v>
      </c>
      <c r="AL28" s="29">
        <v>192</v>
      </c>
      <c r="AM28" s="29">
        <v>189</v>
      </c>
      <c r="AN28" s="41">
        <v>192</v>
      </c>
      <c r="AO28">
        <v>192</v>
      </c>
      <c r="AP28">
        <v>192</v>
      </c>
      <c r="AQ28" s="39">
        <v>192</v>
      </c>
      <c r="AR28" s="41">
        <v>192</v>
      </c>
      <c r="AS28" s="39">
        <v>178</v>
      </c>
      <c r="AT28" s="39">
        <v>178</v>
      </c>
      <c r="AU28">
        <v>177</v>
      </c>
      <c r="AV28" s="39">
        <v>173</v>
      </c>
      <c r="AW28" s="39">
        <v>178</v>
      </c>
      <c r="AX28" s="29">
        <v>176</v>
      </c>
      <c r="AY28" s="39">
        <v>177</v>
      </c>
      <c r="AZ28" s="39">
        <v>192</v>
      </c>
      <c r="BA28" s="39">
        <v>192</v>
      </c>
      <c r="BB28" s="39">
        <v>190</v>
      </c>
      <c r="BC28" s="39">
        <v>189</v>
      </c>
      <c r="BD28" s="39">
        <v>174</v>
      </c>
      <c r="BE28" s="39">
        <v>192</v>
      </c>
      <c r="BF28" s="39">
        <v>175</v>
      </c>
    </row>
    <row r="29" spans="3:58">
      <c r="C29" s="45" t="s">
        <v>404</v>
      </c>
      <c r="D29" s="35">
        <v>-1.1540715582668781E-2</v>
      </c>
      <c r="E29" s="35">
        <v>2.524614274079795E-6</v>
      </c>
      <c r="F29" s="36">
        <v>-3.563222661614418E-2</v>
      </c>
      <c r="G29" s="38">
        <v>-0.230572909116745</v>
      </c>
      <c r="H29" s="38">
        <v>-5.8928579092025757E-2</v>
      </c>
      <c r="I29" s="38">
        <v>-9.9828362464904785E-2</v>
      </c>
      <c r="J29" s="38">
        <v>-6.7268498241901398E-2</v>
      </c>
      <c r="K29" s="38">
        <v>-0.11414798349142075</v>
      </c>
      <c r="L29" s="37">
        <v>-3.9862934499979019E-2</v>
      </c>
      <c r="M29" s="38">
        <v>-0.13157078623771667</v>
      </c>
      <c r="N29" s="38">
        <v>-0.20284141600131989</v>
      </c>
      <c r="O29" s="38">
        <v>-0.13165128231048584</v>
      </c>
      <c r="P29" s="38">
        <v>-0.16218894720077515</v>
      </c>
      <c r="Q29" s="37">
        <v>5.3379841148853302E-2</v>
      </c>
      <c r="R29" s="38">
        <v>8.2419179379940033E-2</v>
      </c>
      <c r="S29" s="38">
        <v>6.2728047370910645E-2</v>
      </c>
      <c r="T29" s="35">
        <v>1.3158558867871761E-2</v>
      </c>
      <c r="U29" s="35">
        <v>1.3526449911296368E-2</v>
      </c>
      <c r="V29" s="38">
        <v>-5.7794086635112762E-2</v>
      </c>
      <c r="W29" s="42"/>
      <c r="X29">
        <v>192</v>
      </c>
      <c r="Y29" s="39">
        <v>192</v>
      </c>
      <c r="Z29" s="39">
        <v>192</v>
      </c>
      <c r="AA29" s="39">
        <v>192</v>
      </c>
      <c r="AB29">
        <v>192</v>
      </c>
      <c r="AC29" s="30">
        <v>192</v>
      </c>
      <c r="AD29" s="39">
        <v>192</v>
      </c>
      <c r="AE29" s="39">
        <v>192</v>
      </c>
      <c r="AF29">
        <v>192</v>
      </c>
      <c r="AG29" s="39">
        <v>192</v>
      </c>
      <c r="AH29" s="30">
        <v>192</v>
      </c>
      <c r="AI29" s="39">
        <v>192</v>
      </c>
      <c r="AJ29" s="39">
        <v>192</v>
      </c>
      <c r="AK29" s="39">
        <v>192</v>
      </c>
      <c r="AL29" s="39">
        <v>192</v>
      </c>
      <c r="AM29" s="39">
        <v>189</v>
      </c>
      <c r="AN29" s="39">
        <v>192</v>
      </c>
      <c r="AO29">
        <v>192</v>
      </c>
      <c r="AP29" s="30">
        <v>192</v>
      </c>
      <c r="AQ29" s="39">
        <v>192</v>
      </c>
      <c r="AR29" s="39">
        <v>192</v>
      </c>
      <c r="AS29" s="29">
        <v>178</v>
      </c>
      <c r="AT29" s="29">
        <v>178</v>
      </c>
      <c r="AU29">
        <v>177</v>
      </c>
      <c r="AV29" s="39">
        <v>173</v>
      </c>
      <c r="AW29" s="29">
        <v>178</v>
      </c>
      <c r="AX29">
        <v>176</v>
      </c>
      <c r="AY29" s="39">
        <v>177</v>
      </c>
      <c r="AZ29">
        <v>192</v>
      </c>
      <c r="BA29">
        <v>192</v>
      </c>
      <c r="BB29">
        <v>190</v>
      </c>
      <c r="BC29" s="39">
        <v>189</v>
      </c>
      <c r="BD29" s="39">
        <v>174</v>
      </c>
      <c r="BE29">
        <v>192</v>
      </c>
      <c r="BF29">
        <v>175</v>
      </c>
    </row>
    <row r="30" spans="3:58">
      <c r="C30" s="45" t="s">
        <v>405</v>
      </c>
      <c r="D30" s="35">
        <v>2.6184276066487655E-5</v>
      </c>
      <c r="E30" s="35">
        <v>1.069365069270134E-2</v>
      </c>
      <c r="F30" s="38">
        <v>0.36960098147392273</v>
      </c>
      <c r="G30" s="35">
        <v>4.7228943003574386E-5</v>
      </c>
      <c r="H30" s="38">
        <v>0.12121428549289703</v>
      </c>
      <c r="I30" s="38">
        <v>0.14212673902511597</v>
      </c>
      <c r="J30" s="35">
        <v>1.7464713891968131E-3</v>
      </c>
      <c r="K30" s="35">
        <v>7.591551635414362E-3</v>
      </c>
      <c r="L30" s="38">
        <v>0.12127521634101868</v>
      </c>
      <c r="M30" s="40">
        <v>0.58821988105773926</v>
      </c>
      <c r="N30" s="38">
        <v>0.24428488314151764</v>
      </c>
      <c r="O30" s="40">
        <v>0.57370936870574951</v>
      </c>
      <c r="P30" s="40">
        <v>0.5241096019744873</v>
      </c>
      <c r="Q30" s="38">
        <v>-0.13445885479450226</v>
      </c>
      <c r="R30" s="38">
        <v>-0.47621780633926392</v>
      </c>
      <c r="S30" s="40">
        <v>-0.66183817386627197</v>
      </c>
      <c r="T30" s="35">
        <v>7.5290105305612087E-3</v>
      </c>
      <c r="U30" s="36">
        <v>-2.5195959955453873E-2</v>
      </c>
      <c r="V30" s="40">
        <v>0.57619565725326538</v>
      </c>
      <c r="W30" s="35">
        <v>-5.5697080679237843E-3</v>
      </c>
      <c r="X30" s="42"/>
      <c r="Y30" s="39">
        <v>192</v>
      </c>
      <c r="Z30" s="39">
        <v>192</v>
      </c>
      <c r="AA30" s="39">
        <v>192</v>
      </c>
      <c r="AB30" s="39">
        <v>192</v>
      </c>
      <c r="AC30">
        <v>192</v>
      </c>
      <c r="AD30" s="30">
        <v>192</v>
      </c>
      <c r="AE30" s="41">
        <v>192</v>
      </c>
      <c r="AF30">
        <v>192</v>
      </c>
      <c r="AG30" s="39">
        <v>192</v>
      </c>
      <c r="AH30" s="41">
        <v>192</v>
      </c>
      <c r="AI30" s="41">
        <v>192</v>
      </c>
      <c r="AJ30" s="39">
        <v>192</v>
      </c>
      <c r="AK30" s="41">
        <v>192</v>
      </c>
      <c r="AL30">
        <v>192</v>
      </c>
      <c r="AM30">
        <v>189</v>
      </c>
      <c r="AN30" s="41">
        <v>192</v>
      </c>
      <c r="AO30">
        <v>192</v>
      </c>
      <c r="AP30">
        <v>192</v>
      </c>
      <c r="AQ30" s="39">
        <v>192</v>
      </c>
      <c r="AR30" s="41">
        <v>192</v>
      </c>
      <c r="AS30" s="39">
        <v>178</v>
      </c>
      <c r="AT30" s="39">
        <v>178</v>
      </c>
      <c r="AU30">
        <v>177</v>
      </c>
      <c r="AV30" s="39">
        <v>173</v>
      </c>
      <c r="AW30" s="39">
        <v>178</v>
      </c>
      <c r="AX30" s="29">
        <v>176</v>
      </c>
      <c r="AY30" s="39">
        <v>177</v>
      </c>
      <c r="AZ30" s="39">
        <v>192</v>
      </c>
      <c r="BA30" s="39">
        <v>192</v>
      </c>
      <c r="BB30" s="39">
        <v>190</v>
      </c>
      <c r="BC30" s="39">
        <v>189</v>
      </c>
      <c r="BD30" s="39">
        <v>174</v>
      </c>
      <c r="BE30" s="39">
        <v>192</v>
      </c>
      <c r="BF30" s="30">
        <v>175</v>
      </c>
    </row>
    <row r="31" spans="3:58">
      <c r="C31" s="45" t="s">
        <v>406</v>
      </c>
      <c r="D31" s="35">
        <v>-1.0897510685026646E-2</v>
      </c>
      <c r="E31" s="35">
        <v>4.8311887076124549E-4</v>
      </c>
      <c r="F31" s="38">
        <v>0.39920702576637268</v>
      </c>
      <c r="G31" s="36">
        <v>2.0719384774565697E-2</v>
      </c>
      <c r="H31" s="38">
        <v>0.17862698435783386</v>
      </c>
      <c r="I31" s="38">
        <v>0.16604867577552795</v>
      </c>
      <c r="J31" s="36">
        <v>2.3772470653057098E-2</v>
      </c>
      <c r="K31" s="35">
        <v>5.5938796140253544E-3</v>
      </c>
      <c r="L31" s="38">
        <v>0.35981285572052002</v>
      </c>
      <c r="M31" s="40">
        <v>0.72739970684051514</v>
      </c>
      <c r="N31" s="38">
        <v>0.47288444638252258</v>
      </c>
      <c r="O31" s="40">
        <v>0.6921427845954895</v>
      </c>
      <c r="P31" s="40">
        <v>0.67623937129974365</v>
      </c>
      <c r="Q31" s="38">
        <v>-0.22668573260307312</v>
      </c>
      <c r="R31" s="40">
        <v>-0.61268728971481323</v>
      </c>
      <c r="S31" s="40">
        <v>-0.7373197078704834</v>
      </c>
      <c r="T31" s="35">
        <v>1.9537761807441711E-2</v>
      </c>
      <c r="U31" s="38">
        <v>-6.589990109205246E-2</v>
      </c>
      <c r="V31" s="40">
        <v>0.56147485971450806</v>
      </c>
      <c r="W31" s="38">
        <v>-7.2585292160511017E-2</v>
      </c>
      <c r="X31" s="38">
        <v>0.45638000965118408</v>
      </c>
      <c r="Y31" s="42"/>
      <c r="Z31" s="39">
        <v>192</v>
      </c>
      <c r="AA31" s="39">
        <v>192</v>
      </c>
      <c r="AB31" s="39">
        <v>192</v>
      </c>
      <c r="AC31">
        <v>192</v>
      </c>
      <c r="AD31" s="30">
        <v>192</v>
      </c>
      <c r="AE31" s="41">
        <v>192</v>
      </c>
      <c r="AF31">
        <v>192</v>
      </c>
      <c r="AG31" s="39">
        <v>192</v>
      </c>
      <c r="AH31" s="41">
        <v>192</v>
      </c>
      <c r="AI31" s="41">
        <v>192</v>
      </c>
      <c r="AJ31" s="39">
        <v>192</v>
      </c>
      <c r="AK31" s="41">
        <v>192</v>
      </c>
      <c r="AL31">
        <v>192</v>
      </c>
      <c r="AM31" s="29">
        <v>189</v>
      </c>
      <c r="AN31" s="41">
        <v>192</v>
      </c>
      <c r="AO31">
        <v>192</v>
      </c>
      <c r="AP31">
        <v>192</v>
      </c>
      <c r="AQ31" s="39">
        <v>192</v>
      </c>
      <c r="AR31" s="41">
        <v>192</v>
      </c>
      <c r="AS31" s="39">
        <v>178</v>
      </c>
      <c r="AT31" s="39">
        <v>178</v>
      </c>
      <c r="AU31">
        <v>177</v>
      </c>
      <c r="AV31" s="39">
        <v>173</v>
      </c>
      <c r="AW31" s="39">
        <v>178</v>
      </c>
      <c r="AX31" s="30">
        <v>176</v>
      </c>
      <c r="AY31" s="39">
        <v>177</v>
      </c>
      <c r="AZ31" s="39">
        <v>192</v>
      </c>
      <c r="BA31" s="39">
        <v>192</v>
      </c>
      <c r="BB31" s="39">
        <v>190</v>
      </c>
      <c r="BC31" s="39">
        <v>189</v>
      </c>
      <c r="BD31" s="39">
        <v>174</v>
      </c>
      <c r="BE31" s="39">
        <v>192</v>
      </c>
      <c r="BF31" s="30">
        <v>175</v>
      </c>
    </row>
    <row r="32" spans="3:58">
      <c r="C32" s="45" t="s">
        <v>407</v>
      </c>
      <c r="D32" s="35">
        <v>-3.1947246752679348E-3</v>
      </c>
      <c r="E32" s="35">
        <v>7.1937451139092445E-3</v>
      </c>
      <c r="F32" s="38">
        <v>0.10799544304609299</v>
      </c>
      <c r="G32" s="35">
        <v>1.5369891189038754E-2</v>
      </c>
      <c r="H32" s="38">
        <v>0.16928258538246155</v>
      </c>
      <c r="I32" s="38">
        <v>0.10456789284944534</v>
      </c>
      <c r="J32" s="35">
        <v>1.3777882792055607E-2</v>
      </c>
      <c r="K32" s="37">
        <v>4.2914129793643951E-2</v>
      </c>
      <c r="L32" s="38">
        <v>0.10370106250047684</v>
      </c>
      <c r="M32" s="38">
        <v>0.2623831033706665</v>
      </c>
      <c r="N32" s="38">
        <v>0.20460721850395203</v>
      </c>
      <c r="O32" s="38">
        <v>0.31342253088951111</v>
      </c>
      <c r="P32" s="38">
        <v>0.31030616164207458</v>
      </c>
      <c r="Q32" s="38">
        <v>-0.10249345749616623</v>
      </c>
      <c r="R32" s="38">
        <v>-0.15771536529064178</v>
      </c>
      <c r="S32" s="38">
        <v>-0.22824771702289581</v>
      </c>
      <c r="T32" s="35">
        <v>1.8749096198007464E-3</v>
      </c>
      <c r="U32" s="35">
        <v>6.7737855715677142E-4</v>
      </c>
      <c r="V32" s="38">
        <v>0.19617576897144318</v>
      </c>
      <c r="W32" s="38">
        <v>-0.21532648801803589</v>
      </c>
      <c r="X32" s="38">
        <v>0.10702089220285416</v>
      </c>
      <c r="Y32" s="38">
        <v>0.19905033707618713</v>
      </c>
      <c r="Z32" s="42"/>
      <c r="AA32" s="39">
        <v>192</v>
      </c>
      <c r="AB32" s="39">
        <v>192</v>
      </c>
      <c r="AC32">
        <v>192</v>
      </c>
      <c r="AD32" s="30">
        <v>192</v>
      </c>
      <c r="AE32" s="39">
        <v>192</v>
      </c>
      <c r="AF32">
        <v>192</v>
      </c>
      <c r="AG32" s="39">
        <v>192</v>
      </c>
      <c r="AH32" s="39">
        <v>192</v>
      </c>
      <c r="AI32" s="39">
        <v>192</v>
      </c>
      <c r="AJ32" s="39">
        <v>192</v>
      </c>
      <c r="AK32" s="39">
        <v>192</v>
      </c>
      <c r="AL32">
        <v>192</v>
      </c>
      <c r="AM32">
        <v>189</v>
      </c>
      <c r="AN32" s="39">
        <v>192</v>
      </c>
      <c r="AO32" s="29">
        <v>192</v>
      </c>
      <c r="AP32">
        <v>192</v>
      </c>
      <c r="AQ32" s="39">
        <v>192</v>
      </c>
      <c r="AR32" s="39">
        <v>192</v>
      </c>
      <c r="AS32" s="39">
        <v>178</v>
      </c>
      <c r="AT32" s="39">
        <v>178</v>
      </c>
      <c r="AU32">
        <v>177</v>
      </c>
      <c r="AV32" s="39">
        <v>173</v>
      </c>
      <c r="AW32" s="39">
        <v>178</v>
      </c>
      <c r="AX32" s="39">
        <v>176</v>
      </c>
      <c r="AY32" s="39">
        <v>177</v>
      </c>
      <c r="AZ32" s="39">
        <v>192</v>
      </c>
      <c r="BA32" s="39">
        <v>192</v>
      </c>
      <c r="BB32" s="39">
        <v>190</v>
      </c>
      <c r="BC32" s="39">
        <v>189</v>
      </c>
      <c r="BD32" s="39">
        <v>174</v>
      </c>
      <c r="BE32" s="39">
        <v>192</v>
      </c>
      <c r="BF32" s="29">
        <v>175</v>
      </c>
    </row>
    <row r="33" spans="3:58">
      <c r="C33" s="45" t="s">
        <v>408</v>
      </c>
      <c r="D33" s="35">
        <v>1.5070600435137749E-2</v>
      </c>
      <c r="E33" s="35">
        <v>1.4622814953327179E-2</v>
      </c>
      <c r="F33" s="38">
        <v>0.38877624273300171</v>
      </c>
      <c r="G33" s="35">
        <v>1.7904756590723991E-2</v>
      </c>
      <c r="H33" s="38">
        <v>0.1674717515707016</v>
      </c>
      <c r="I33" s="38">
        <v>0.20820575952529907</v>
      </c>
      <c r="J33" s="38">
        <v>0.12378336489200592</v>
      </c>
      <c r="K33" s="36">
        <v>3.0734557658433914E-2</v>
      </c>
      <c r="L33" s="37">
        <v>5.6911516934633255E-2</v>
      </c>
      <c r="M33" s="38">
        <v>0.34528881311416626</v>
      </c>
      <c r="N33" s="38">
        <v>0.27147933840751648</v>
      </c>
      <c r="O33" s="38">
        <v>0.41660493612289429</v>
      </c>
      <c r="P33" s="38">
        <v>0.43956479430198669</v>
      </c>
      <c r="Q33" s="38">
        <v>-0.24379204213619232</v>
      </c>
      <c r="R33" s="38">
        <v>-0.48566323518753052</v>
      </c>
      <c r="S33" s="38">
        <v>-0.46924877166748047</v>
      </c>
      <c r="T33" s="35">
        <v>1.807661319617182E-4</v>
      </c>
      <c r="U33" s="35">
        <v>-7.9797282814979553E-3</v>
      </c>
      <c r="V33" s="38">
        <v>0.30495652556419373</v>
      </c>
      <c r="W33" s="38">
        <v>-6.6943615674972534E-2</v>
      </c>
      <c r="X33" s="38">
        <v>0.24116259813308716</v>
      </c>
      <c r="Y33" s="38">
        <v>0.30096563696861267</v>
      </c>
      <c r="Z33" s="38">
        <v>7.171206921339035E-2</v>
      </c>
      <c r="AA33" s="42"/>
      <c r="AB33" s="39">
        <v>192</v>
      </c>
      <c r="AC33">
        <v>192</v>
      </c>
      <c r="AD33" s="29">
        <v>192</v>
      </c>
      <c r="AE33" s="39">
        <v>192</v>
      </c>
      <c r="AF33" s="29">
        <v>192</v>
      </c>
      <c r="AG33" s="39">
        <v>192</v>
      </c>
      <c r="AH33" s="39">
        <v>192</v>
      </c>
      <c r="AI33" s="39">
        <v>192</v>
      </c>
      <c r="AJ33" s="39">
        <v>192</v>
      </c>
      <c r="AK33" s="39">
        <v>192</v>
      </c>
      <c r="AL33">
        <v>192</v>
      </c>
      <c r="AM33">
        <v>189</v>
      </c>
      <c r="AN33" s="39">
        <v>192</v>
      </c>
      <c r="AO33">
        <v>192</v>
      </c>
      <c r="AP33">
        <v>192</v>
      </c>
      <c r="AQ33" s="39">
        <v>192</v>
      </c>
      <c r="AR33" s="39">
        <v>192</v>
      </c>
      <c r="AS33" s="39">
        <v>178</v>
      </c>
      <c r="AT33" s="39">
        <v>178</v>
      </c>
      <c r="AU33">
        <v>177</v>
      </c>
      <c r="AV33" s="30">
        <v>173</v>
      </c>
      <c r="AW33" s="39">
        <v>178</v>
      </c>
      <c r="AX33" s="30">
        <v>176</v>
      </c>
      <c r="AY33" s="39">
        <v>177</v>
      </c>
      <c r="AZ33" s="39">
        <v>192</v>
      </c>
      <c r="BA33" s="39">
        <v>192</v>
      </c>
      <c r="BB33" s="39">
        <v>190</v>
      </c>
      <c r="BC33" s="39">
        <v>189</v>
      </c>
      <c r="BD33" s="39">
        <v>174</v>
      </c>
      <c r="BE33" s="39">
        <v>192</v>
      </c>
      <c r="BF33">
        <v>175</v>
      </c>
    </row>
    <row r="34" spans="3:58">
      <c r="C34" s="45" t="s">
        <v>409</v>
      </c>
      <c r="D34" s="37">
        <v>-4.7375716269016266E-2</v>
      </c>
      <c r="E34" s="37">
        <v>4.976186528801918E-2</v>
      </c>
      <c r="F34" s="38">
        <v>0.11971446126699448</v>
      </c>
      <c r="G34" s="35">
        <v>-4.2153717949986458E-3</v>
      </c>
      <c r="H34" s="38">
        <v>0.17406794428825378</v>
      </c>
      <c r="I34" s="38">
        <v>0.11964254081249237</v>
      </c>
      <c r="J34" s="35">
        <v>-6.766748265363276E-4</v>
      </c>
      <c r="K34" s="38">
        <v>9.3342706561088562E-2</v>
      </c>
      <c r="L34" s="37">
        <v>5.0562348216772079E-2</v>
      </c>
      <c r="M34" s="38">
        <v>0.13111907243728638</v>
      </c>
      <c r="N34" s="38">
        <v>0.13162630796432495</v>
      </c>
      <c r="O34" s="38">
        <v>0.26045364141464233</v>
      </c>
      <c r="P34" s="38">
        <v>0.26510712504386902</v>
      </c>
      <c r="Q34" s="37">
        <v>-4.4072844088077545E-2</v>
      </c>
      <c r="R34" s="38">
        <v>-0.16027292609214783</v>
      </c>
      <c r="S34" s="38">
        <v>-0.19463139772415161</v>
      </c>
      <c r="T34" s="35">
        <v>3.5403322544880211E-4</v>
      </c>
      <c r="U34" s="35">
        <v>1.3585069682449102E-3</v>
      </c>
      <c r="V34" s="38">
        <v>0.14696416258811951</v>
      </c>
      <c r="W34" s="35">
        <v>-1.0639343410730362E-2</v>
      </c>
      <c r="X34" s="38">
        <v>0.12313538789749146</v>
      </c>
      <c r="Y34" s="38">
        <v>0.14601162075996399</v>
      </c>
      <c r="Z34" s="38">
        <v>0.10759231448173523</v>
      </c>
      <c r="AA34" s="38">
        <v>6.063084676861763E-2</v>
      </c>
      <c r="AB34" s="42"/>
      <c r="AC34">
        <v>192</v>
      </c>
      <c r="AD34">
        <v>192</v>
      </c>
      <c r="AE34" s="39">
        <v>192</v>
      </c>
      <c r="AF34">
        <v>192</v>
      </c>
      <c r="AG34" s="39">
        <v>192</v>
      </c>
      <c r="AH34" s="39">
        <v>192</v>
      </c>
      <c r="AI34" s="39">
        <v>192</v>
      </c>
      <c r="AJ34" s="39">
        <v>192</v>
      </c>
      <c r="AK34" s="39">
        <v>192</v>
      </c>
      <c r="AL34">
        <v>192</v>
      </c>
      <c r="AM34">
        <v>189</v>
      </c>
      <c r="AN34" s="39">
        <v>192</v>
      </c>
      <c r="AO34" s="29">
        <v>192</v>
      </c>
      <c r="AP34">
        <v>192</v>
      </c>
      <c r="AQ34" s="39">
        <v>192</v>
      </c>
      <c r="AR34" s="39">
        <v>192</v>
      </c>
      <c r="AS34" s="39">
        <v>178</v>
      </c>
      <c r="AT34" s="39">
        <v>178</v>
      </c>
      <c r="AU34">
        <v>177</v>
      </c>
      <c r="AV34">
        <v>173</v>
      </c>
      <c r="AW34" s="39">
        <v>178</v>
      </c>
      <c r="AX34">
        <v>176</v>
      </c>
      <c r="AY34" s="39">
        <v>177</v>
      </c>
      <c r="AZ34">
        <v>192</v>
      </c>
      <c r="BA34" s="30">
        <v>192</v>
      </c>
      <c r="BB34" s="39">
        <v>190</v>
      </c>
      <c r="BC34" s="39">
        <v>189</v>
      </c>
      <c r="BD34" s="39">
        <v>174</v>
      </c>
      <c r="BE34" s="39">
        <v>192</v>
      </c>
      <c r="BF34">
        <v>175</v>
      </c>
    </row>
    <row r="35" spans="3:58">
      <c r="C35" s="45" t="s">
        <v>410</v>
      </c>
      <c r="D35" s="35">
        <v>-1.9621886312961578E-2</v>
      </c>
      <c r="E35" s="35">
        <v>-3.8971861358731985E-3</v>
      </c>
      <c r="F35" s="35">
        <v>-1.1759293265640736E-3</v>
      </c>
      <c r="G35" s="35">
        <v>-1.1078419163823128E-2</v>
      </c>
      <c r="H35" s="35">
        <v>-7.2363419458270073E-3</v>
      </c>
      <c r="I35" s="36">
        <v>-2.5331327691674232E-2</v>
      </c>
      <c r="J35" s="35">
        <v>-1.4972341014072299E-3</v>
      </c>
      <c r="K35" s="35">
        <v>-2.0743440836668015E-2</v>
      </c>
      <c r="L35" s="35">
        <v>-1.8835748778656125E-4</v>
      </c>
      <c r="M35" s="35">
        <v>-2.8804928297176957E-4</v>
      </c>
      <c r="N35" s="35">
        <v>-6.9400956854224205E-3</v>
      </c>
      <c r="O35" s="35">
        <v>6.2584811821579933E-3</v>
      </c>
      <c r="P35" s="35">
        <v>3.4114746085833758E-5</v>
      </c>
      <c r="Q35" s="35">
        <v>1.7646845662966371E-4</v>
      </c>
      <c r="R35" s="35">
        <v>-7.2442187229171395E-4</v>
      </c>
      <c r="S35" s="35">
        <v>-4.5249434188008308E-3</v>
      </c>
      <c r="T35" s="35">
        <v>1.9102264195680618E-3</v>
      </c>
      <c r="U35" s="36">
        <v>-2.7906375005841255E-2</v>
      </c>
      <c r="V35" s="35">
        <v>3.3034951775334775E-4</v>
      </c>
      <c r="W35" s="37">
        <v>4.7461744397878647E-2</v>
      </c>
      <c r="X35" s="35">
        <v>1.4448883943259716E-2</v>
      </c>
      <c r="Y35" s="35">
        <v>-2.528142613300588E-5</v>
      </c>
      <c r="Z35" s="35">
        <v>-8.6578065529465675E-3</v>
      </c>
      <c r="AA35" s="35">
        <v>1.2713957403320819E-4</v>
      </c>
      <c r="AB35" s="35">
        <v>-9.1074835509061813E-3</v>
      </c>
      <c r="AC35" s="42"/>
      <c r="AD35" s="39">
        <v>192</v>
      </c>
      <c r="AE35">
        <v>192</v>
      </c>
      <c r="AF35">
        <v>192</v>
      </c>
      <c r="AG35">
        <v>192</v>
      </c>
      <c r="AH35">
        <v>192</v>
      </c>
      <c r="AI35">
        <v>192</v>
      </c>
      <c r="AJ35">
        <v>192</v>
      </c>
      <c r="AK35">
        <v>192</v>
      </c>
      <c r="AL35">
        <v>192</v>
      </c>
      <c r="AM35">
        <v>189</v>
      </c>
      <c r="AN35">
        <v>192</v>
      </c>
      <c r="AO35">
        <v>192</v>
      </c>
      <c r="AP35">
        <v>192</v>
      </c>
      <c r="AQ35">
        <v>192</v>
      </c>
      <c r="AR35">
        <v>192</v>
      </c>
      <c r="AS35">
        <v>178</v>
      </c>
      <c r="AT35">
        <v>178</v>
      </c>
      <c r="AU35">
        <v>177</v>
      </c>
      <c r="AV35">
        <v>173</v>
      </c>
      <c r="AW35">
        <v>178</v>
      </c>
      <c r="AX35">
        <v>176</v>
      </c>
      <c r="AY35">
        <v>177</v>
      </c>
      <c r="AZ35">
        <v>192</v>
      </c>
      <c r="BA35">
        <v>192</v>
      </c>
      <c r="BB35">
        <v>190</v>
      </c>
      <c r="BC35">
        <v>189</v>
      </c>
      <c r="BD35">
        <v>174</v>
      </c>
      <c r="BE35">
        <v>192</v>
      </c>
      <c r="BF35">
        <v>175</v>
      </c>
    </row>
    <row r="36" spans="3:58">
      <c r="C36" s="45" t="s">
        <v>411</v>
      </c>
      <c r="D36" s="38">
        <v>9.2578016221523285E-2</v>
      </c>
      <c r="E36" s="35">
        <v>1.2159761041402817E-2</v>
      </c>
      <c r="F36" s="38">
        <v>-8.1526666879653931E-2</v>
      </c>
      <c r="G36" s="35">
        <v>4.002879373729229E-3</v>
      </c>
      <c r="H36" s="37">
        <v>4.3060887604951859E-2</v>
      </c>
      <c r="I36" s="35">
        <v>1.3463777489960194E-2</v>
      </c>
      <c r="J36" s="35">
        <v>-2.9762715566903353E-3</v>
      </c>
      <c r="K36" s="38">
        <v>0.17143242061138153</v>
      </c>
      <c r="L36" s="35">
        <v>-2.0172875374555588E-3</v>
      </c>
      <c r="M36" s="37">
        <v>-5.4013527929782867E-2</v>
      </c>
      <c r="N36" s="35">
        <v>1.7656062263995409E-3</v>
      </c>
      <c r="O36" s="35">
        <v>2.8678803937509656E-4</v>
      </c>
      <c r="P36" s="35">
        <v>1.9077354809269309E-3</v>
      </c>
      <c r="Q36" s="37">
        <v>4.9074724316596985E-2</v>
      </c>
      <c r="R36" s="38">
        <v>6.5116040408611298E-2</v>
      </c>
      <c r="S36" s="38">
        <v>5.9678830206394196E-2</v>
      </c>
      <c r="T36" s="35">
        <v>-3.4813885577023029E-3</v>
      </c>
      <c r="U36" s="38">
        <v>0.1712644100189209</v>
      </c>
      <c r="V36" s="35">
        <v>-1.5826059505343437E-2</v>
      </c>
      <c r="W36" s="38">
        <v>-0.13024614751338959</v>
      </c>
      <c r="X36" s="37">
        <v>-5.2458506077528E-2</v>
      </c>
      <c r="Y36" s="37">
        <v>-3.5733643919229507E-2</v>
      </c>
      <c r="Z36" s="37">
        <v>4.2807012796401978E-2</v>
      </c>
      <c r="AA36" s="36">
        <v>-2.6664108037948608E-2</v>
      </c>
      <c r="AB36" s="35">
        <v>4.9812099896371365E-3</v>
      </c>
      <c r="AC36" s="38">
        <v>-5.7036872953176498E-2</v>
      </c>
      <c r="AD36" s="42"/>
      <c r="AE36" s="30">
        <v>192</v>
      </c>
      <c r="AF36">
        <v>192</v>
      </c>
      <c r="AG36">
        <v>192</v>
      </c>
      <c r="AH36" s="29">
        <v>192</v>
      </c>
      <c r="AI36">
        <v>192</v>
      </c>
      <c r="AJ36">
        <v>192</v>
      </c>
      <c r="AK36">
        <v>192</v>
      </c>
      <c r="AL36" s="39">
        <v>192</v>
      </c>
      <c r="AM36" s="39">
        <v>189</v>
      </c>
      <c r="AN36" s="30">
        <v>192</v>
      </c>
      <c r="AO36" s="29">
        <v>192</v>
      </c>
      <c r="AP36">
        <v>192</v>
      </c>
      <c r="AQ36" s="29">
        <v>192</v>
      </c>
      <c r="AR36">
        <v>192</v>
      </c>
      <c r="AS36" s="29">
        <v>178</v>
      </c>
      <c r="AT36">
        <v>178</v>
      </c>
      <c r="AU36">
        <v>177</v>
      </c>
      <c r="AV36">
        <v>173</v>
      </c>
      <c r="AW36">
        <v>178</v>
      </c>
      <c r="AX36">
        <v>176</v>
      </c>
      <c r="AY36">
        <v>177</v>
      </c>
      <c r="AZ36" s="39">
        <v>192</v>
      </c>
      <c r="BA36" s="29">
        <v>192</v>
      </c>
      <c r="BB36" s="30">
        <v>190</v>
      </c>
      <c r="BC36">
        <v>189</v>
      </c>
      <c r="BD36">
        <v>174</v>
      </c>
      <c r="BE36" s="30">
        <v>192</v>
      </c>
      <c r="BF36" s="29">
        <v>175</v>
      </c>
    </row>
    <row r="37" spans="3:58">
      <c r="C37" s="45" t="s">
        <v>412</v>
      </c>
      <c r="D37" s="35">
        <v>1.5096205752342939E-3</v>
      </c>
      <c r="E37" s="36">
        <v>2.8509091585874557E-2</v>
      </c>
      <c r="F37" s="38">
        <v>0.33009672164916992</v>
      </c>
      <c r="G37" s="37">
        <v>3.5610463470220566E-2</v>
      </c>
      <c r="H37" s="38">
        <v>0.1646561473608017</v>
      </c>
      <c r="I37" s="38">
        <v>0.22308637201786041</v>
      </c>
      <c r="J37" s="38">
        <v>6.6267602145671844E-2</v>
      </c>
      <c r="K37" s="35">
        <v>5.5909045040607452E-3</v>
      </c>
      <c r="L37" s="38">
        <v>0.22519104182720184</v>
      </c>
      <c r="M37" s="40">
        <v>0.59708952903747559</v>
      </c>
      <c r="N37" s="38">
        <v>0.40378957986831665</v>
      </c>
      <c r="O37" s="40">
        <v>0.61777597665786743</v>
      </c>
      <c r="P37" s="40">
        <v>0.61339575052261353</v>
      </c>
      <c r="Q37" s="38">
        <v>-0.18458130955696106</v>
      </c>
      <c r="R37" s="40">
        <v>-0.55600780248641968</v>
      </c>
      <c r="S37" s="40">
        <v>-0.65968859195709229</v>
      </c>
      <c r="T37" s="35">
        <v>8.3215981721878052E-3</v>
      </c>
      <c r="U37" s="35">
        <v>-1.8032053485512733E-2</v>
      </c>
      <c r="V37" s="38">
        <v>0.47299742698669434</v>
      </c>
      <c r="W37" s="38">
        <v>-7.9677388072013855E-2</v>
      </c>
      <c r="X37" s="40">
        <v>0.50002622604370117</v>
      </c>
      <c r="Y37" s="40">
        <v>0.52823781967163086</v>
      </c>
      <c r="Z37" s="38">
        <v>0.1442713588476181</v>
      </c>
      <c r="AA37" s="38">
        <v>0.35264885425567627</v>
      </c>
      <c r="AB37" s="38">
        <v>7.3214031755924225E-2</v>
      </c>
      <c r="AC37" s="35">
        <v>1.1706091463565826E-3</v>
      </c>
      <c r="AD37" s="37">
        <v>-4.383791983127594E-2</v>
      </c>
      <c r="AE37" s="42"/>
      <c r="AF37" s="29">
        <v>192</v>
      </c>
      <c r="AG37" s="39">
        <v>192</v>
      </c>
      <c r="AH37" s="39">
        <v>192</v>
      </c>
      <c r="AI37" s="41">
        <v>192</v>
      </c>
      <c r="AJ37" s="39">
        <v>192</v>
      </c>
      <c r="AK37" s="41">
        <v>192</v>
      </c>
      <c r="AL37">
        <v>192</v>
      </c>
      <c r="AM37">
        <v>189</v>
      </c>
      <c r="AN37" s="41">
        <v>192</v>
      </c>
      <c r="AO37">
        <v>192</v>
      </c>
      <c r="AP37">
        <v>192</v>
      </c>
      <c r="AQ37" s="39">
        <v>192</v>
      </c>
      <c r="AR37" s="41">
        <v>192</v>
      </c>
      <c r="AS37" s="39">
        <v>178</v>
      </c>
      <c r="AT37" s="39">
        <v>178</v>
      </c>
      <c r="AU37">
        <v>177</v>
      </c>
      <c r="AV37" s="39">
        <v>173</v>
      </c>
      <c r="AW37" s="39">
        <v>178</v>
      </c>
      <c r="AX37" s="30">
        <v>176</v>
      </c>
      <c r="AY37" s="39">
        <v>177</v>
      </c>
      <c r="AZ37" s="39">
        <v>192</v>
      </c>
      <c r="BA37" s="39">
        <v>192</v>
      </c>
      <c r="BB37" s="39">
        <v>190</v>
      </c>
      <c r="BC37" s="39">
        <v>189</v>
      </c>
      <c r="BD37" s="39">
        <v>174</v>
      </c>
      <c r="BE37" s="39">
        <v>192</v>
      </c>
      <c r="BF37" s="29">
        <v>175</v>
      </c>
    </row>
    <row r="38" spans="3:58">
      <c r="C38" s="45" t="s">
        <v>413</v>
      </c>
      <c r="D38" s="37">
        <v>-5.5207099765539169E-2</v>
      </c>
      <c r="E38" s="35">
        <v>1.8412880599498749E-2</v>
      </c>
      <c r="F38" s="36">
        <v>2.8424952179193497E-2</v>
      </c>
      <c r="G38" s="38">
        <v>8.8230893015861511E-2</v>
      </c>
      <c r="H38" s="37">
        <v>3.6244310438632965E-2</v>
      </c>
      <c r="I38" s="38">
        <v>6.3413806259632111E-2</v>
      </c>
      <c r="J38" s="35">
        <v>1.8842846155166626E-2</v>
      </c>
      <c r="K38" s="35">
        <v>7.6732980087399483E-3</v>
      </c>
      <c r="L38" s="38">
        <v>6.5605007112026215E-2</v>
      </c>
      <c r="M38" s="35">
        <v>1.4831083826720715E-2</v>
      </c>
      <c r="N38" s="38">
        <v>6.4213797450065613E-2</v>
      </c>
      <c r="O38" s="38">
        <v>5.9021033346652985E-2</v>
      </c>
      <c r="P38" s="38">
        <v>6.9427385926246643E-2</v>
      </c>
      <c r="Q38" s="37">
        <v>-5.1303129643201828E-2</v>
      </c>
      <c r="R38" s="37">
        <v>-4.9725666642189026E-2</v>
      </c>
      <c r="S38" s="35">
        <v>-1.7341885715723038E-2</v>
      </c>
      <c r="T38" s="35">
        <v>1.6668923490215093E-4</v>
      </c>
      <c r="U38" s="35">
        <v>-1.1417950736358762E-3</v>
      </c>
      <c r="V38" s="35">
        <v>1.6595045104622841E-2</v>
      </c>
      <c r="W38" s="35">
        <v>-1.5364625491201878E-2</v>
      </c>
      <c r="X38" s="35">
        <v>1.0770850349217653E-3</v>
      </c>
      <c r="Y38" s="35">
        <v>1.7171686515212059E-2</v>
      </c>
      <c r="Z38" s="35">
        <v>1.1281626939307898E-4</v>
      </c>
      <c r="AA38" s="36">
        <v>2.556704543530941E-2</v>
      </c>
      <c r="AB38" s="35">
        <v>5.5380254052579403E-3</v>
      </c>
      <c r="AC38" s="35">
        <v>7.1592378662899137E-4</v>
      </c>
      <c r="AD38" s="35">
        <v>-6.0998479602858424E-4</v>
      </c>
      <c r="AE38" s="36">
        <v>2.9417151585221291E-2</v>
      </c>
      <c r="AF38" s="42"/>
      <c r="AG38">
        <v>192</v>
      </c>
      <c r="AH38" s="29">
        <v>192</v>
      </c>
      <c r="AI38">
        <v>192</v>
      </c>
      <c r="AJ38" s="29">
        <v>192</v>
      </c>
      <c r="AK38">
        <v>192</v>
      </c>
      <c r="AL38">
        <v>192</v>
      </c>
      <c r="AM38">
        <v>189</v>
      </c>
      <c r="AN38">
        <v>192</v>
      </c>
      <c r="AO38">
        <v>192</v>
      </c>
      <c r="AP38">
        <v>192</v>
      </c>
      <c r="AQ38" s="30">
        <v>192</v>
      </c>
      <c r="AR38" s="39">
        <v>192</v>
      </c>
      <c r="AS38">
        <v>178</v>
      </c>
      <c r="AT38" s="30">
        <v>178</v>
      </c>
      <c r="AU38">
        <v>177</v>
      </c>
      <c r="AV38">
        <v>173</v>
      </c>
      <c r="AW38" s="39">
        <v>178</v>
      </c>
      <c r="AX38">
        <v>176</v>
      </c>
      <c r="AY38" s="29">
        <v>177</v>
      </c>
      <c r="AZ38">
        <v>192</v>
      </c>
      <c r="BA38">
        <v>192</v>
      </c>
      <c r="BB38" s="29">
        <v>190</v>
      </c>
      <c r="BC38" s="39">
        <v>189</v>
      </c>
      <c r="BD38">
        <v>174</v>
      </c>
      <c r="BE38">
        <v>192</v>
      </c>
      <c r="BF38">
        <v>175</v>
      </c>
    </row>
    <row r="39" spans="3:58">
      <c r="C39" s="45" t="s">
        <v>414</v>
      </c>
      <c r="D39" s="35">
        <v>1.1278222315013409E-2</v>
      </c>
      <c r="E39" s="35">
        <v>1.3243558816611767E-2</v>
      </c>
      <c r="F39" s="38">
        <v>0.33242985606193542</v>
      </c>
      <c r="G39" s="38">
        <v>6.7899219691753387E-2</v>
      </c>
      <c r="H39" s="38">
        <v>0.27108997106552124</v>
      </c>
      <c r="I39" s="38">
        <v>0.29275253415107727</v>
      </c>
      <c r="J39" s="38">
        <v>7.6967932283878326E-2</v>
      </c>
      <c r="K39" s="35">
        <v>1.9234748557209969E-2</v>
      </c>
      <c r="L39" s="38">
        <v>0.24342480301856995</v>
      </c>
      <c r="M39" s="40">
        <v>0.51188939809799194</v>
      </c>
      <c r="N39" s="38">
        <v>0.44266036152839661</v>
      </c>
      <c r="O39" s="40">
        <v>0.56723469495773315</v>
      </c>
      <c r="P39" s="40">
        <v>0.62431156635284424</v>
      </c>
      <c r="Q39" s="38">
        <v>-0.35620790719985962</v>
      </c>
      <c r="R39" s="40">
        <v>-0.51558989286422729</v>
      </c>
      <c r="S39" s="40">
        <v>-0.57105249166488647</v>
      </c>
      <c r="T39" s="35">
        <v>2.6291009271517396E-4</v>
      </c>
      <c r="U39" s="35">
        <v>-4.3569905683398247E-3</v>
      </c>
      <c r="V39" s="38">
        <v>0.34826955199241638</v>
      </c>
      <c r="W39" s="38">
        <v>-0.23471745848655701</v>
      </c>
      <c r="X39" s="38">
        <v>0.26238864660263062</v>
      </c>
      <c r="Y39" s="38">
        <v>0.4519621729850769</v>
      </c>
      <c r="Z39" s="38">
        <v>0.3639218807220459</v>
      </c>
      <c r="AA39" s="38">
        <v>0.31959730386734009</v>
      </c>
      <c r="AB39" s="38">
        <v>8.4774643182754517E-2</v>
      </c>
      <c r="AC39" s="35">
        <v>-8.1535521894693375E-3</v>
      </c>
      <c r="AD39" s="35">
        <v>2.8356437105685472E-3</v>
      </c>
      <c r="AE39" s="38">
        <v>0.38352003693580627</v>
      </c>
      <c r="AF39" s="35">
        <v>1.5753349289298058E-2</v>
      </c>
      <c r="AG39" s="42"/>
      <c r="AH39" s="39">
        <v>192</v>
      </c>
      <c r="AI39" s="39">
        <v>192</v>
      </c>
      <c r="AJ39" s="39">
        <v>192</v>
      </c>
      <c r="AK39" s="39">
        <v>192</v>
      </c>
      <c r="AL39">
        <v>192</v>
      </c>
      <c r="AM39">
        <v>189</v>
      </c>
      <c r="AN39" s="39">
        <v>192</v>
      </c>
      <c r="AO39" s="29">
        <v>192</v>
      </c>
      <c r="AP39">
        <v>192</v>
      </c>
      <c r="AQ39" s="39">
        <v>192</v>
      </c>
      <c r="AR39" s="41">
        <v>192</v>
      </c>
      <c r="AS39" s="39">
        <v>178</v>
      </c>
      <c r="AT39" s="39">
        <v>178</v>
      </c>
      <c r="AU39">
        <v>177</v>
      </c>
      <c r="AV39" s="39">
        <v>173</v>
      </c>
      <c r="AW39" s="39">
        <v>178</v>
      </c>
      <c r="AX39" s="30">
        <v>176</v>
      </c>
      <c r="AY39" s="39">
        <v>177</v>
      </c>
      <c r="AZ39" s="39">
        <v>192</v>
      </c>
      <c r="BA39" s="39">
        <v>192</v>
      </c>
      <c r="BB39" s="39">
        <v>190</v>
      </c>
      <c r="BC39" s="39">
        <v>189</v>
      </c>
      <c r="BD39" s="41">
        <v>174</v>
      </c>
      <c r="BE39" s="39">
        <v>192</v>
      </c>
      <c r="BF39">
        <v>175</v>
      </c>
    </row>
    <row r="40" spans="3:58">
      <c r="C40" s="45" t="s">
        <v>415</v>
      </c>
      <c r="D40" s="35">
        <v>-6.3050715252757072E-3</v>
      </c>
      <c r="E40" s="36">
        <v>2.2902566939592361E-2</v>
      </c>
      <c r="F40" s="38">
        <v>0.4015917181968689</v>
      </c>
      <c r="G40" s="35">
        <v>1.0361747117713094E-3</v>
      </c>
      <c r="H40" s="38">
        <v>0.2240871787071228</v>
      </c>
      <c r="I40" s="38">
        <v>0.20045144855976105</v>
      </c>
      <c r="J40" s="35">
        <v>1.7196854576468468E-2</v>
      </c>
      <c r="K40" s="35">
        <v>2.026401087641716E-2</v>
      </c>
      <c r="L40" s="38">
        <v>0.18435993790626526</v>
      </c>
      <c r="M40" s="40">
        <v>0.63199126720428467</v>
      </c>
      <c r="N40" s="38">
        <v>0.36653366684913635</v>
      </c>
      <c r="O40" s="40">
        <v>0.76887261867523193</v>
      </c>
      <c r="P40" s="40">
        <v>0.71124464273452759</v>
      </c>
      <c r="Q40" s="38">
        <v>-0.21403035521507263</v>
      </c>
      <c r="R40" s="40">
        <v>-0.59859132766723633</v>
      </c>
      <c r="S40" s="40">
        <v>-0.81924664974212646</v>
      </c>
      <c r="T40" s="35">
        <v>7.15232128277421E-3</v>
      </c>
      <c r="U40" s="36">
        <v>-3.2951235771179199E-2</v>
      </c>
      <c r="V40" s="40">
        <v>0.55344200134277344</v>
      </c>
      <c r="W40" s="37">
        <v>-4.7903314232826233E-2</v>
      </c>
      <c r="X40" s="40">
        <v>0.59074944257736206</v>
      </c>
      <c r="Y40" s="40">
        <v>0.60053682327270508</v>
      </c>
      <c r="Z40" s="38">
        <v>0.25047534704208374</v>
      </c>
      <c r="AA40" s="38">
        <v>0.3447469174861908</v>
      </c>
      <c r="AB40" s="38">
        <v>0.24102708697319031</v>
      </c>
      <c r="AC40" s="35">
        <v>1.15366131067276E-2</v>
      </c>
      <c r="AD40" s="36">
        <v>-2.6821058243513107E-2</v>
      </c>
      <c r="AE40" s="38">
        <v>0.46325698494911194</v>
      </c>
      <c r="AF40" s="36">
        <v>2.958264946937561E-2</v>
      </c>
      <c r="AG40" s="38">
        <v>0.40544021129608154</v>
      </c>
      <c r="AH40" s="42"/>
      <c r="AI40" s="41">
        <v>192</v>
      </c>
      <c r="AJ40" s="39">
        <v>192</v>
      </c>
      <c r="AK40" s="41">
        <v>192</v>
      </c>
      <c r="AL40">
        <v>192</v>
      </c>
      <c r="AM40">
        <v>189</v>
      </c>
      <c r="AN40" s="41">
        <v>192</v>
      </c>
      <c r="AO40">
        <v>192</v>
      </c>
      <c r="AP40">
        <v>192</v>
      </c>
      <c r="AQ40" s="39">
        <v>192</v>
      </c>
      <c r="AR40" s="41">
        <v>192</v>
      </c>
      <c r="AS40" s="39">
        <v>178</v>
      </c>
      <c r="AT40" s="39">
        <v>178</v>
      </c>
      <c r="AU40">
        <v>177</v>
      </c>
      <c r="AV40" s="39">
        <v>173</v>
      </c>
      <c r="AW40" s="39">
        <v>178</v>
      </c>
      <c r="AX40" s="39">
        <v>176</v>
      </c>
      <c r="AY40" s="39">
        <v>177</v>
      </c>
      <c r="AZ40" s="39">
        <v>192</v>
      </c>
      <c r="BA40" s="39">
        <v>192</v>
      </c>
      <c r="BB40" s="39">
        <v>190</v>
      </c>
      <c r="BC40" s="39">
        <v>189</v>
      </c>
      <c r="BD40" s="41">
        <v>174</v>
      </c>
      <c r="BE40" s="39">
        <v>192</v>
      </c>
      <c r="BF40" s="29">
        <v>175</v>
      </c>
    </row>
    <row r="41" spans="3:58">
      <c r="C41" s="45" t="s">
        <v>416</v>
      </c>
      <c r="D41" s="35">
        <v>-1.2389339972287416E-3</v>
      </c>
      <c r="E41" s="35">
        <v>1.4981608837842941E-3</v>
      </c>
      <c r="F41" s="38">
        <v>0.36882811784744263</v>
      </c>
      <c r="G41" s="35">
        <v>1.6391804441809654E-2</v>
      </c>
      <c r="H41" s="38">
        <v>0.16626599431037903</v>
      </c>
      <c r="I41" s="38">
        <v>0.16561773419380188</v>
      </c>
      <c r="J41" s="37">
        <v>4.0953557938337326E-2</v>
      </c>
      <c r="K41" s="35">
        <v>8.6435610428452492E-3</v>
      </c>
      <c r="L41" s="38">
        <v>0.19144299626350403</v>
      </c>
      <c r="M41" s="40">
        <v>0.71941423416137695</v>
      </c>
      <c r="N41" s="38">
        <v>0.41454139351844788</v>
      </c>
      <c r="O41" s="40">
        <v>0.76882874965667725</v>
      </c>
      <c r="P41" s="40">
        <v>0.70092719793319702</v>
      </c>
      <c r="Q41" s="38">
        <v>-0.19982077181339264</v>
      </c>
      <c r="R41" s="40">
        <v>-0.5933147668838501</v>
      </c>
      <c r="S41" s="40">
        <v>-0.7874225378036499</v>
      </c>
      <c r="T41" s="35">
        <v>5.860873032361269E-3</v>
      </c>
      <c r="U41" s="38">
        <v>-6.9289728999137878E-2</v>
      </c>
      <c r="V41" s="40">
        <v>0.52034729719161987</v>
      </c>
      <c r="W41" s="38">
        <v>-0.13047200441360474</v>
      </c>
      <c r="X41" s="40">
        <v>0.54860913753509521</v>
      </c>
      <c r="Y41" s="40">
        <v>0.67747116088867188</v>
      </c>
      <c r="Z41" s="38">
        <v>0.31455796957015991</v>
      </c>
      <c r="AA41" s="38">
        <v>0.30059424042701721</v>
      </c>
      <c r="AB41" s="38">
        <v>0.18221297860145569</v>
      </c>
      <c r="AC41" s="35">
        <v>6.5988377900794148E-4</v>
      </c>
      <c r="AD41" s="35">
        <v>-1.9119974225759506E-2</v>
      </c>
      <c r="AE41" s="40">
        <v>0.53032571077346802</v>
      </c>
      <c r="AF41" s="35">
        <v>9.1790361329913139E-3</v>
      </c>
      <c r="AG41" s="38">
        <v>0.49475732445716858</v>
      </c>
      <c r="AH41" s="40">
        <v>0.77335792779922485</v>
      </c>
      <c r="AI41" s="42"/>
      <c r="AJ41" s="39">
        <v>192</v>
      </c>
      <c r="AK41" s="41">
        <v>192</v>
      </c>
      <c r="AL41">
        <v>192</v>
      </c>
      <c r="AM41">
        <v>189</v>
      </c>
      <c r="AN41" s="41">
        <v>192</v>
      </c>
      <c r="AO41">
        <v>192</v>
      </c>
      <c r="AP41">
        <v>192</v>
      </c>
      <c r="AQ41" s="39">
        <v>192</v>
      </c>
      <c r="AR41" s="41">
        <v>192</v>
      </c>
      <c r="AS41" s="39">
        <v>178</v>
      </c>
      <c r="AT41" s="39">
        <v>178</v>
      </c>
      <c r="AU41">
        <v>177</v>
      </c>
      <c r="AV41" s="39">
        <v>173</v>
      </c>
      <c r="AW41" s="39">
        <v>178</v>
      </c>
      <c r="AX41" s="30">
        <v>176</v>
      </c>
      <c r="AY41" s="39">
        <v>177</v>
      </c>
      <c r="AZ41" s="39">
        <v>192</v>
      </c>
      <c r="BA41" s="39">
        <v>192</v>
      </c>
      <c r="BB41" s="39">
        <v>190</v>
      </c>
      <c r="BC41" s="39">
        <v>189</v>
      </c>
      <c r="BD41" s="41">
        <v>174</v>
      </c>
      <c r="BE41" s="39">
        <v>192</v>
      </c>
      <c r="BF41" s="29">
        <v>175</v>
      </c>
    </row>
    <row r="42" spans="3:58">
      <c r="C42" s="45" t="s">
        <v>417</v>
      </c>
      <c r="D42" s="35">
        <v>-1.0527033009566367E-4</v>
      </c>
      <c r="E42" s="35">
        <v>1.2032014317810535E-2</v>
      </c>
      <c r="F42" s="38">
        <v>0.25454777479171753</v>
      </c>
      <c r="G42" s="35">
        <v>2.6382771320641041E-3</v>
      </c>
      <c r="H42" s="38">
        <v>0.13043694198131561</v>
      </c>
      <c r="I42" s="38">
        <v>0.15135358273983002</v>
      </c>
      <c r="J42" s="35">
        <v>1.529422216117382E-2</v>
      </c>
      <c r="K42" s="37">
        <v>4.071415588259697E-2</v>
      </c>
      <c r="L42" s="38">
        <v>9.0559147298336029E-2</v>
      </c>
      <c r="M42" s="38">
        <v>0.43198373913764954</v>
      </c>
      <c r="N42" s="38">
        <v>0.2685607373714447</v>
      </c>
      <c r="O42" s="38">
        <v>0.46479427814483643</v>
      </c>
      <c r="P42" s="38">
        <v>0.45856854319572449</v>
      </c>
      <c r="Q42" s="38">
        <v>-0.11338891834020615</v>
      </c>
      <c r="R42" s="38">
        <v>-0.42310675978660583</v>
      </c>
      <c r="S42" s="38">
        <v>-0.49432945251464844</v>
      </c>
      <c r="T42" s="35">
        <v>-1.3607852451968938E-4</v>
      </c>
      <c r="U42" s="36">
        <v>-2.4707593023777008E-2</v>
      </c>
      <c r="V42" s="38">
        <v>0.27338817715644836</v>
      </c>
      <c r="W42" s="38">
        <v>-6.8335719406604767E-2</v>
      </c>
      <c r="X42" s="38">
        <v>0.29229548573493958</v>
      </c>
      <c r="Y42" s="38">
        <v>0.37544238567352295</v>
      </c>
      <c r="Z42" s="38">
        <v>6.1280440539121628E-2</v>
      </c>
      <c r="AA42" s="38">
        <v>0.21589641273021698</v>
      </c>
      <c r="AB42" s="38">
        <v>0.14399378001689911</v>
      </c>
      <c r="AC42" s="35">
        <v>7.6697870099451393E-5</v>
      </c>
      <c r="AD42" s="35">
        <v>-5.2020419389009476E-3</v>
      </c>
      <c r="AE42" s="38">
        <v>0.19848428666591644</v>
      </c>
      <c r="AF42" s="36">
        <v>2.2865841165184975E-2</v>
      </c>
      <c r="AG42" s="38">
        <v>0.21617110073566437</v>
      </c>
      <c r="AH42" s="38">
        <v>0.39315789937973022</v>
      </c>
      <c r="AI42" s="38">
        <v>0.38218125700950623</v>
      </c>
      <c r="AJ42" s="42"/>
      <c r="AK42" s="39">
        <v>192</v>
      </c>
      <c r="AL42">
        <v>192</v>
      </c>
      <c r="AM42">
        <v>189</v>
      </c>
      <c r="AN42" s="39">
        <v>192</v>
      </c>
      <c r="AO42">
        <v>192</v>
      </c>
      <c r="AP42">
        <v>192</v>
      </c>
      <c r="AQ42" s="39">
        <v>192</v>
      </c>
      <c r="AR42" s="39">
        <v>192</v>
      </c>
      <c r="AS42" s="39">
        <v>178</v>
      </c>
      <c r="AT42" s="39">
        <v>178</v>
      </c>
      <c r="AU42">
        <v>177</v>
      </c>
      <c r="AV42">
        <v>173</v>
      </c>
      <c r="AW42" s="39">
        <v>178</v>
      </c>
      <c r="AX42">
        <v>176</v>
      </c>
      <c r="AY42" s="39">
        <v>177</v>
      </c>
      <c r="AZ42">
        <v>192</v>
      </c>
      <c r="BA42" s="30">
        <v>192</v>
      </c>
      <c r="BB42" s="39">
        <v>190</v>
      </c>
      <c r="BC42" s="39">
        <v>189</v>
      </c>
      <c r="BD42" s="39">
        <v>174</v>
      </c>
      <c r="BE42" s="39">
        <v>192</v>
      </c>
      <c r="BF42">
        <v>175</v>
      </c>
    </row>
    <row r="43" spans="3:58">
      <c r="C43" s="45" t="s">
        <v>418</v>
      </c>
      <c r="D43" s="35">
        <v>-2.6453973259776831E-3</v>
      </c>
      <c r="E43" s="35">
        <v>4.9642901867628098E-3</v>
      </c>
      <c r="F43" s="38">
        <v>0.35463401675224304</v>
      </c>
      <c r="G43" s="35">
        <v>9.3916204059496522E-4</v>
      </c>
      <c r="H43" s="38">
        <v>0.16359595954418182</v>
      </c>
      <c r="I43" s="38">
        <v>0.1594572514295578</v>
      </c>
      <c r="J43" s="35">
        <v>6.3000805675983429E-3</v>
      </c>
      <c r="K43" s="37">
        <v>3.8396816700696945E-2</v>
      </c>
      <c r="L43" s="38">
        <v>0.11981979012489319</v>
      </c>
      <c r="M43" s="40">
        <v>0.58545118570327759</v>
      </c>
      <c r="N43" s="38">
        <v>0.32982519268989563</v>
      </c>
      <c r="O43" s="40">
        <v>0.6991124153137207</v>
      </c>
      <c r="P43" s="40">
        <v>0.64808422327041626</v>
      </c>
      <c r="Q43" s="38">
        <v>-0.14471864700317383</v>
      </c>
      <c r="R43" s="40">
        <v>-0.50317209959030151</v>
      </c>
      <c r="S43" s="40">
        <v>-0.70119374990463257</v>
      </c>
      <c r="T43" s="35">
        <v>1.3855841010808945E-2</v>
      </c>
      <c r="U43" s="36">
        <v>-2.6420298963785172E-2</v>
      </c>
      <c r="V43" s="40">
        <v>0.52716803550720215</v>
      </c>
      <c r="W43" s="38">
        <v>-0.10270553082227707</v>
      </c>
      <c r="X43" s="40">
        <v>0.60885298252105713</v>
      </c>
      <c r="Y43" s="40">
        <v>0.52651220560073853</v>
      </c>
      <c r="Z43" s="38">
        <v>0.19042032957077026</v>
      </c>
      <c r="AA43" s="38">
        <v>0.2913544774055481</v>
      </c>
      <c r="AB43" s="38">
        <v>0.20893506705760956</v>
      </c>
      <c r="AC43" s="35">
        <v>1.5438727132277563E-5</v>
      </c>
      <c r="AD43" s="35">
        <v>-1.3984996825456619E-2</v>
      </c>
      <c r="AE43" s="40">
        <v>0.50344163179397583</v>
      </c>
      <c r="AF43" s="35">
        <v>7.6473741792142391E-3</v>
      </c>
      <c r="AG43" s="38">
        <v>0.36790931224822998</v>
      </c>
      <c r="AH43" s="40">
        <v>0.64876174926757812</v>
      </c>
      <c r="AI43" s="40">
        <v>0.65178489685058594</v>
      </c>
      <c r="AJ43" s="38">
        <v>0.39427706599235535</v>
      </c>
      <c r="AK43" s="42"/>
      <c r="AL43">
        <v>192</v>
      </c>
      <c r="AM43">
        <v>189</v>
      </c>
      <c r="AN43" s="41">
        <v>192</v>
      </c>
      <c r="AO43">
        <v>192</v>
      </c>
      <c r="AP43">
        <v>192</v>
      </c>
      <c r="AQ43" s="39">
        <v>192</v>
      </c>
      <c r="AR43" s="41">
        <v>192</v>
      </c>
      <c r="AS43" s="39">
        <v>178</v>
      </c>
      <c r="AT43" s="39">
        <v>178</v>
      </c>
      <c r="AU43">
        <v>177</v>
      </c>
      <c r="AV43" s="30">
        <v>173</v>
      </c>
      <c r="AW43" s="39">
        <v>178</v>
      </c>
      <c r="AX43" s="29">
        <v>176</v>
      </c>
      <c r="AY43" s="39">
        <v>177</v>
      </c>
      <c r="AZ43" s="39">
        <v>192</v>
      </c>
      <c r="BA43" s="39">
        <v>192</v>
      </c>
      <c r="BB43" s="39">
        <v>190</v>
      </c>
      <c r="BC43" s="39">
        <v>189</v>
      </c>
      <c r="BD43" s="39">
        <v>174</v>
      </c>
      <c r="BE43" s="39">
        <v>192</v>
      </c>
      <c r="BF43">
        <v>175</v>
      </c>
    </row>
    <row r="44" spans="3:58">
      <c r="C44" s="45" t="s">
        <v>419</v>
      </c>
      <c r="D44" s="37">
        <v>6.2694668769836426E-2</v>
      </c>
      <c r="E44" s="36">
        <v>2.413775771856308E-2</v>
      </c>
      <c r="F44" s="35">
        <v>-2.1163739264011383E-2</v>
      </c>
      <c r="G44" s="37">
        <v>3.5869460552930832E-2</v>
      </c>
      <c r="H44" s="35">
        <v>1.3346543535590172E-2</v>
      </c>
      <c r="I44" s="36">
        <v>3.0440432950854301E-2</v>
      </c>
      <c r="J44" s="35">
        <v>8.6515918374061584E-3</v>
      </c>
      <c r="K44" s="38">
        <v>8.4833830595016479E-2</v>
      </c>
      <c r="L44" s="35">
        <v>-1.0817024856805801E-2</v>
      </c>
      <c r="M44" s="36">
        <v>-3.6231979727745056E-2</v>
      </c>
      <c r="N44" s="35">
        <v>2.0345556549727917E-3</v>
      </c>
      <c r="O44" s="35">
        <v>2.7818772941827774E-3</v>
      </c>
      <c r="P44" s="35">
        <v>2.141851931810379E-3</v>
      </c>
      <c r="Q44" s="36">
        <v>2.5813234969973564E-2</v>
      </c>
      <c r="R44" s="35">
        <v>1.7125506419688463E-3</v>
      </c>
      <c r="S44" s="35">
        <v>7.5511611066758633E-3</v>
      </c>
      <c r="T44" s="35">
        <v>-9.8225101828575134E-3</v>
      </c>
      <c r="U44" s="36">
        <v>2.7233848348259926E-2</v>
      </c>
      <c r="V44" s="36">
        <v>-2.2097710520029068E-2</v>
      </c>
      <c r="W44" s="38">
        <v>-0.10869327932596207</v>
      </c>
      <c r="X44" s="35">
        <v>-1.7596758902072906E-2</v>
      </c>
      <c r="Y44" s="35">
        <v>-8.2010496407747269E-3</v>
      </c>
      <c r="Z44" s="35">
        <v>5.9554404288064688E-6</v>
      </c>
      <c r="AA44" s="35">
        <v>-1.2743200932163745E-4</v>
      </c>
      <c r="AB44" s="35">
        <v>2.2762210574001074E-3</v>
      </c>
      <c r="AC44" s="35">
        <v>-6.0804383829236031E-3</v>
      </c>
      <c r="AD44" s="38">
        <v>0.12672983109951019</v>
      </c>
      <c r="AE44" s="35">
        <v>-1.1043961194445728E-6</v>
      </c>
      <c r="AF44" s="35">
        <v>6.5823690965771675E-3</v>
      </c>
      <c r="AG44" s="35">
        <v>8.2581954075067188E-7</v>
      </c>
      <c r="AH44" s="35">
        <v>-4.48972312733531E-3</v>
      </c>
      <c r="AI44" s="35">
        <v>-8.1942295655608177E-3</v>
      </c>
      <c r="AJ44" s="35">
        <v>5.3721871227025986E-3</v>
      </c>
      <c r="AK44" s="35">
        <v>-3.0897276010364294E-3</v>
      </c>
      <c r="AL44" s="42"/>
      <c r="AM44" s="41">
        <v>189</v>
      </c>
      <c r="AN44">
        <v>192</v>
      </c>
      <c r="AO44" s="30">
        <v>192</v>
      </c>
      <c r="AP44">
        <v>192</v>
      </c>
      <c r="AQ44">
        <v>192</v>
      </c>
      <c r="AR44">
        <v>192</v>
      </c>
      <c r="AS44">
        <v>178</v>
      </c>
      <c r="AT44">
        <v>178</v>
      </c>
      <c r="AU44">
        <v>177</v>
      </c>
      <c r="AV44">
        <v>173</v>
      </c>
      <c r="AW44">
        <v>178</v>
      </c>
      <c r="AX44">
        <v>176</v>
      </c>
      <c r="AY44">
        <v>177</v>
      </c>
      <c r="AZ44" s="39">
        <v>192</v>
      </c>
      <c r="BA44" s="30">
        <v>192</v>
      </c>
      <c r="BB44">
        <v>190</v>
      </c>
      <c r="BC44">
        <v>189</v>
      </c>
      <c r="BD44">
        <v>174</v>
      </c>
      <c r="BE44" s="29">
        <v>192</v>
      </c>
      <c r="BF44">
        <v>175</v>
      </c>
    </row>
    <row r="45" spans="3:58">
      <c r="C45" s="45" t="s">
        <v>420</v>
      </c>
      <c r="D45" s="36">
        <v>2.6140758767724037E-2</v>
      </c>
      <c r="E45" s="35">
        <v>9.7195664420723915E-3</v>
      </c>
      <c r="F45" s="35">
        <v>-1.0902095586061478E-2</v>
      </c>
      <c r="G45" s="35">
        <v>7.8598270192742348E-3</v>
      </c>
      <c r="H45" s="35">
        <v>6.2962830998003483E-3</v>
      </c>
      <c r="I45" s="35">
        <v>8.0534853041172028E-3</v>
      </c>
      <c r="J45" s="35">
        <v>1.1067898944020271E-2</v>
      </c>
      <c r="K45" s="38">
        <v>0.13231517374515533</v>
      </c>
      <c r="L45" s="35">
        <v>-1.3938132906332612E-3</v>
      </c>
      <c r="M45" s="36">
        <v>-2.5334179401397705E-2</v>
      </c>
      <c r="N45" s="35">
        <v>1.2683726847171783E-2</v>
      </c>
      <c r="O45" s="35">
        <v>6.152757559902966E-4</v>
      </c>
      <c r="P45" s="35">
        <v>1.7051274189725518E-3</v>
      </c>
      <c r="Q45" s="36">
        <v>2.5982148945331573E-2</v>
      </c>
      <c r="R45" s="35">
        <v>5.8708149008452892E-3</v>
      </c>
      <c r="S45" s="35">
        <v>1.3541990891098976E-2</v>
      </c>
      <c r="T45" s="35">
        <v>-4.7840401530265808E-3</v>
      </c>
      <c r="U45" s="36">
        <v>2.6238149031996727E-2</v>
      </c>
      <c r="V45" s="36">
        <v>-2.7507087215781212E-2</v>
      </c>
      <c r="W45" s="38">
        <v>-7.7617600560188293E-2</v>
      </c>
      <c r="X45" s="35">
        <v>-1.9773995503783226E-2</v>
      </c>
      <c r="Y45" s="36">
        <v>-2.1233489736914635E-2</v>
      </c>
      <c r="Z45" s="35">
        <v>-2.1286717674229294E-4</v>
      </c>
      <c r="AA45" s="35">
        <v>-1.7213599756360054E-2</v>
      </c>
      <c r="AB45" s="35">
        <v>-2.001336106332019E-4</v>
      </c>
      <c r="AC45" s="35">
        <v>-4.4138808734714985E-3</v>
      </c>
      <c r="AD45" s="38">
        <v>9.2183917760848999E-2</v>
      </c>
      <c r="AE45" s="35">
        <v>-7.0764834526926279E-4</v>
      </c>
      <c r="AF45" s="35">
        <v>1.5414023771882057E-2</v>
      </c>
      <c r="AG45" s="35">
        <v>4.7071333392523229E-4</v>
      </c>
      <c r="AH45" s="35">
        <v>-4.2927819304168224E-3</v>
      </c>
      <c r="AI45" s="35">
        <v>-1.1228191666305065E-2</v>
      </c>
      <c r="AJ45" s="35">
        <v>3.1087205279618502E-3</v>
      </c>
      <c r="AK45" s="35">
        <v>-1.3923785649240017E-2</v>
      </c>
      <c r="AL45" s="40">
        <v>0.5530964732170105</v>
      </c>
      <c r="AM45" s="42"/>
      <c r="AN45">
        <v>189</v>
      </c>
      <c r="AO45" s="30">
        <v>189</v>
      </c>
      <c r="AP45">
        <v>189</v>
      </c>
      <c r="AQ45">
        <v>189</v>
      </c>
      <c r="AR45">
        <v>189</v>
      </c>
      <c r="AS45">
        <v>175</v>
      </c>
      <c r="AT45">
        <v>175</v>
      </c>
      <c r="AU45">
        <v>174</v>
      </c>
      <c r="AV45">
        <v>171</v>
      </c>
      <c r="AW45">
        <v>175</v>
      </c>
      <c r="AX45">
        <v>173</v>
      </c>
      <c r="AY45" s="30">
        <v>174</v>
      </c>
      <c r="AZ45" s="30">
        <v>189</v>
      </c>
      <c r="BA45">
        <v>189</v>
      </c>
      <c r="BB45">
        <v>187</v>
      </c>
      <c r="BC45">
        <v>186</v>
      </c>
      <c r="BD45">
        <v>173</v>
      </c>
      <c r="BE45" s="29">
        <v>189</v>
      </c>
      <c r="BF45" s="29">
        <v>172</v>
      </c>
    </row>
    <row r="46" spans="3:58">
      <c r="C46" s="45" t="s">
        <v>421</v>
      </c>
      <c r="D46" s="35">
        <v>-3.8142038974910975E-3</v>
      </c>
      <c r="E46" s="35">
        <v>2.5304316077381372E-3</v>
      </c>
      <c r="F46" s="38">
        <v>0.40639171004295349</v>
      </c>
      <c r="G46" s="35">
        <v>7.7680139802396297E-3</v>
      </c>
      <c r="H46" s="38">
        <v>0.15425887703895569</v>
      </c>
      <c r="I46" s="38">
        <v>0.16751570999622345</v>
      </c>
      <c r="J46" s="35">
        <v>2.0339792594313622E-2</v>
      </c>
      <c r="K46" s="35">
        <v>1.6227824613451958E-2</v>
      </c>
      <c r="L46" s="38">
        <v>0.16426071524620056</v>
      </c>
      <c r="M46" s="40">
        <v>0.70943969488143921</v>
      </c>
      <c r="N46" s="38">
        <v>0.37517014145851135</v>
      </c>
      <c r="O46" s="40">
        <v>0.74740093946456909</v>
      </c>
      <c r="P46" s="40">
        <v>0.6806408166885376</v>
      </c>
      <c r="Q46" s="38">
        <v>-0.16585260629653931</v>
      </c>
      <c r="R46" s="40">
        <v>-0.55782431364059448</v>
      </c>
      <c r="S46" s="40">
        <v>-0.77710056304931641</v>
      </c>
      <c r="T46" s="35">
        <v>1.0938133113086224E-2</v>
      </c>
      <c r="U46" s="38">
        <v>-8.6943179368972778E-2</v>
      </c>
      <c r="V46" s="40">
        <v>0.5442848801612854</v>
      </c>
      <c r="W46" s="38">
        <v>-9.0041995048522949E-2</v>
      </c>
      <c r="X46" s="40">
        <v>0.5242464542388916</v>
      </c>
      <c r="Y46" s="40">
        <v>0.67681610584259033</v>
      </c>
      <c r="Z46" s="38">
        <v>0.21011286973953247</v>
      </c>
      <c r="AA46" s="38">
        <v>0.33787056803703308</v>
      </c>
      <c r="AB46" s="38">
        <v>0.12067200243473053</v>
      </c>
      <c r="AC46" s="35">
        <v>4.2490134947001934E-3</v>
      </c>
      <c r="AD46" s="37">
        <v>-3.8092061877250671E-2</v>
      </c>
      <c r="AE46" s="40">
        <v>0.5155792236328125</v>
      </c>
      <c r="AF46" s="35">
        <v>1.6532266512513161E-2</v>
      </c>
      <c r="AG46" s="38">
        <v>0.42054834961891174</v>
      </c>
      <c r="AH46" s="40">
        <v>0.6471894383430481</v>
      </c>
      <c r="AI46" s="40">
        <v>0.76419609785079956</v>
      </c>
      <c r="AJ46" s="38">
        <v>0.42881408333778381</v>
      </c>
      <c r="AK46" s="40">
        <v>0.60742199420928955</v>
      </c>
      <c r="AL46" s="35">
        <v>-8.5890330374240875E-3</v>
      </c>
      <c r="AM46" s="35">
        <v>-1.8127121031284332E-2</v>
      </c>
      <c r="AN46" s="42"/>
      <c r="AO46">
        <v>192</v>
      </c>
      <c r="AP46">
        <v>192</v>
      </c>
      <c r="AQ46" s="39">
        <v>192</v>
      </c>
      <c r="AR46" s="41">
        <v>192</v>
      </c>
      <c r="AS46" s="39">
        <v>178</v>
      </c>
      <c r="AT46" s="39">
        <v>178</v>
      </c>
      <c r="AU46">
        <v>177</v>
      </c>
      <c r="AV46" s="39">
        <v>173</v>
      </c>
      <c r="AW46" s="39">
        <v>178</v>
      </c>
      <c r="AX46" s="29">
        <v>176</v>
      </c>
      <c r="AY46" s="39">
        <v>177</v>
      </c>
      <c r="AZ46" s="39">
        <v>192</v>
      </c>
      <c r="BA46" s="39">
        <v>192</v>
      </c>
      <c r="BB46" s="39">
        <v>190</v>
      </c>
      <c r="BC46" s="41">
        <v>189</v>
      </c>
      <c r="BD46" s="39">
        <v>174</v>
      </c>
      <c r="BE46" s="39">
        <v>192</v>
      </c>
      <c r="BF46" s="30">
        <v>175</v>
      </c>
    </row>
    <row r="47" spans="3:58">
      <c r="C47" s="45" t="s">
        <v>422</v>
      </c>
      <c r="D47" s="35">
        <v>4.9716653302311897E-3</v>
      </c>
      <c r="E47" s="37">
        <v>-3.7629619240760803E-2</v>
      </c>
      <c r="F47" s="35">
        <v>-1.0464531369507313E-3</v>
      </c>
      <c r="G47" s="36">
        <v>-3.0227858573198318E-2</v>
      </c>
      <c r="H47" s="36">
        <v>-3.0998269096016884E-2</v>
      </c>
      <c r="I47" s="37">
        <v>-4.9942158162593842E-2</v>
      </c>
      <c r="J47" s="35">
        <v>1.9155754707753658E-3</v>
      </c>
      <c r="K47" s="35">
        <v>-3.4298673272132874E-3</v>
      </c>
      <c r="L47" s="35">
        <v>-4.1909893043339252E-3</v>
      </c>
      <c r="M47" s="35">
        <v>5.8966991491615772E-4</v>
      </c>
      <c r="N47" s="35">
        <v>-1.4878042275086045E-3</v>
      </c>
      <c r="O47" s="35">
        <v>-5.0600949907675385E-4</v>
      </c>
      <c r="P47" s="35">
        <v>-5.7809869758784771E-3</v>
      </c>
      <c r="Q47" s="35">
        <v>2.2779486607760191E-3</v>
      </c>
      <c r="R47" s="35">
        <v>-3.5358540480956435E-4</v>
      </c>
      <c r="S47" s="35">
        <v>-1.4899722009431571E-4</v>
      </c>
      <c r="T47" s="35">
        <v>4.2044216570502613E-6</v>
      </c>
      <c r="U47" s="38">
        <v>-9.8836466670036316E-2</v>
      </c>
      <c r="V47" s="35">
        <v>-5.5573517456650734E-3</v>
      </c>
      <c r="W47" s="35">
        <v>1.4110179618000984E-2</v>
      </c>
      <c r="X47" s="35">
        <v>-5.3284788737073541E-4</v>
      </c>
      <c r="Y47" s="35">
        <v>-2.772157546132803E-3</v>
      </c>
      <c r="Z47" s="36">
        <v>-2.9503855854272842E-2</v>
      </c>
      <c r="AA47" s="35">
        <v>-4.3907682411372662E-3</v>
      </c>
      <c r="AB47" s="36">
        <v>-2.3128198459744453E-2</v>
      </c>
      <c r="AC47" s="35">
        <v>7.2145075537264347E-3</v>
      </c>
      <c r="AD47" s="36">
        <v>-2.3308251053094864E-2</v>
      </c>
      <c r="AE47" s="35">
        <v>-1.6739178681746125E-3</v>
      </c>
      <c r="AF47" s="35">
        <v>-8.4875654429197311E-3</v>
      </c>
      <c r="AG47" s="36">
        <v>-2.1258272230625153E-2</v>
      </c>
      <c r="AH47" s="35">
        <v>-1.1986306635662913E-3</v>
      </c>
      <c r="AI47" s="35">
        <v>1.0245785233564675E-5</v>
      </c>
      <c r="AJ47" s="35">
        <v>3.131459467113018E-3</v>
      </c>
      <c r="AK47" s="35">
        <v>-5.0432435236871243E-3</v>
      </c>
      <c r="AL47" s="37">
        <v>-4.2499620467424393E-2</v>
      </c>
      <c r="AM47" s="37">
        <v>-4.3983954936265945E-2</v>
      </c>
      <c r="AN47" s="35">
        <v>1.2814471265301108E-3</v>
      </c>
      <c r="AO47" s="42"/>
      <c r="AP47" s="30">
        <v>192</v>
      </c>
      <c r="AQ47">
        <v>192</v>
      </c>
      <c r="AR47">
        <v>192</v>
      </c>
      <c r="AS47">
        <v>178</v>
      </c>
      <c r="AT47" s="30">
        <v>178</v>
      </c>
      <c r="AU47">
        <v>177</v>
      </c>
      <c r="AV47">
        <v>173</v>
      </c>
      <c r="AW47" s="39">
        <v>178</v>
      </c>
      <c r="AX47" s="30">
        <v>176</v>
      </c>
      <c r="AY47" s="39">
        <v>177</v>
      </c>
      <c r="AZ47">
        <v>192</v>
      </c>
      <c r="BA47">
        <v>192</v>
      </c>
      <c r="BB47">
        <v>190</v>
      </c>
      <c r="BC47">
        <v>189</v>
      </c>
      <c r="BD47">
        <v>174</v>
      </c>
      <c r="BE47">
        <v>192</v>
      </c>
      <c r="BF47">
        <v>175</v>
      </c>
    </row>
    <row r="48" spans="3:58">
      <c r="C48" s="45" t="s">
        <v>423</v>
      </c>
      <c r="D48" s="37">
        <v>6.1822798103094101E-2</v>
      </c>
      <c r="E48" s="35">
        <v>1.7976048402488232E-3</v>
      </c>
      <c r="F48" s="35">
        <v>-2.9890246223658323E-3</v>
      </c>
      <c r="G48" s="35">
        <v>5.263802595436573E-4</v>
      </c>
      <c r="H48" s="35">
        <v>6.1682257801294327E-3</v>
      </c>
      <c r="I48" s="35">
        <v>4.7830231487751007E-3</v>
      </c>
      <c r="J48" s="35">
        <v>1.1042002588510513E-2</v>
      </c>
      <c r="K48" s="35">
        <v>5.8487610658630729E-4</v>
      </c>
      <c r="L48" s="36">
        <v>-2.390749379992485E-2</v>
      </c>
      <c r="M48" s="36">
        <v>2.6002651080489159E-2</v>
      </c>
      <c r="N48" s="35">
        <v>9.3599059619009495E-4</v>
      </c>
      <c r="O48" s="35">
        <v>1.0664005763828754E-2</v>
      </c>
      <c r="P48" s="35">
        <v>1.0403957217931747E-2</v>
      </c>
      <c r="Q48" s="35">
        <v>-1.0695429518818855E-2</v>
      </c>
      <c r="R48" s="35">
        <v>-8.520880714058876E-3</v>
      </c>
      <c r="S48" s="35">
        <v>-4.9440194852650166E-3</v>
      </c>
      <c r="T48" s="35">
        <v>-1.9614038988947868E-2</v>
      </c>
      <c r="U48" s="35">
        <v>-6.5834671258926392E-3</v>
      </c>
      <c r="V48" s="35">
        <v>-1.4776467578485608E-3</v>
      </c>
      <c r="W48" s="37">
        <v>-4.1405513882637024E-2</v>
      </c>
      <c r="X48" s="35">
        <v>-1.76439880306134E-5</v>
      </c>
      <c r="Y48" s="35">
        <v>-7.8831607243046165E-4</v>
      </c>
      <c r="Z48" s="35">
        <v>4.7411993145942688E-3</v>
      </c>
      <c r="AA48" s="35">
        <v>1.0565822012722492E-2</v>
      </c>
      <c r="AB48" s="35">
        <v>-8.6100876796990633E-4</v>
      </c>
      <c r="AC48" s="35">
        <v>-5.9421206824481487E-3</v>
      </c>
      <c r="AD48" s="35">
        <v>1.7544347792863846E-2</v>
      </c>
      <c r="AE48" s="35">
        <v>4.2332899756729603E-3</v>
      </c>
      <c r="AF48" s="35">
        <v>-3.1160116195678711E-3</v>
      </c>
      <c r="AG48" s="35">
        <v>1.6164287924766541E-2</v>
      </c>
      <c r="AH48" s="35">
        <v>1.0302760638296604E-3</v>
      </c>
      <c r="AI48" s="35">
        <v>3.366734366863966E-3</v>
      </c>
      <c r="AJ48" s="35">
        <v>8.7714251130819321E-3</v>
      </c>
      <c r="AK48" s="35">
        <v>4.7568972222507E-3</v>
      </c>
      <c r="AL48" s="35">
        <v>-8.6999079212546349E-4</v>
      </c>
      <c r="AM48" s="35">
        <v>-1.6992642777040601E-3</v>
      </c>
      <c r="AN48" s="35">
        <v>3.202345222234726E-3</v>
      </c>
      <c r="AO48" s="37">
        <v>3.6182429641485214E-2</v>
      </c>
      <c r="AP48" s="42"/>
      <c r="AQ48">
        <v>192</v>
      </c>
      <c r="AR48">
        <v>192</v>
      </c>
      <c r="AS48">
        <v>178</v>
      </c>
      <c r="AT48">
        <v>178</v>
      </c>
      <c r="AU48">
        <v>177</v>
      </c>
      <c r="AV48">
        <v>173</v>
      </c>
      <c r="AW48">
        <v>178</v>
      </c>
      <c r="AX48">
        <v>176</v>
      </c>
      <c r="AY48">
        <v>177</v>
      </c>
      <c r="AZ48">
        <v>192</v>
      </c>
      <c r="BA48">
        <v>192</v>
      </c>
      <c r="BB48">
        <v>190</v>
      </c>
      <c r="BC48">
        <v>189</v>
      </c>
      <c r="BD48">
        <v>174</v>
      </c>
      <c r="BE48">
        <v>192</v>
      </c>
      <c r="BF48">
        <v>175</v>
      </c>
    </row>
    <row r="49" spans="3:58">
      <c r="C49" s="45" t="s">
        <v>424</v>
      </c>
      <c r="D49" s="38">
        <v>-9.6601076424121857E-2</v>
      </c>
      <c r="E49" s="35">
        <v>-1.9591464661061764E-4</v>
      </c>
      <c r="F49" s="38">
        <v>0.34314605593681335</v>
      </c>
      <c r="G49" s="36">
        <v>2.3974919691681862E-2</v>
      </c>
      <c r="H49" s="38">
        <v>0.11388179659843445</v>
      </c>
      <c r="I49" s="38">
        <v>9.8072417080402374E-2</v>
      </c>
      <c r="J49" s="36">
        <v>2.7262844145298004E-2</v>
      </c>
      <c r="K49" s="35">
        <v>1.1282737366855145E-2</v>
      </c>
      <c r="L49" s="38">
        <v>0.23169407248497009</v>
      </c>
      <c r="M49" s="38">
        <v>0.45445266366004944</v>
      </c>
      <c r="N49" s="38">
        <v>0.33058133721351624</v>
      </c>
      <c r="O49" s="38">
        <v>0.44587787985801697</v>
      </c>
      <c r="P49" s="38">
        <v>0.4463346004486084</v>
      </c>
      <c r="Q49" s="38">
        <v>-0.2334008663892746</v>
      </c>
      <c r="R49" s="38">
        <v>-0.38215512037277222</v>
      </c>
      <c r="S49" s="38">
        <v>-0.39427188038825989</v>
      </c>
      <c r="T49" s="36">
        <v>2.7867447584867477E-2</v>
      </c>
      <c r="U49" s="38">
        <v>-0.12148529291152954</v>
      </c>
      <c r="V49" s="38">
        <v>0.32457113265991211</v>
      </c>
      <c r="W49" s="38">
        <v>-0.12133508920669556</v>
      </c>
      <c r="X49" s="38">
        <v>0.22671899199485779</v>
      </c>
      <c r="Y49" s="38">
        <v>0.45357215404510498</v>
      </c>
      <c r="Z49" s="38">
        <v>0.20230969786643982</v>
      </c>
      <c r="AA49" s="38">
        <v>0.15254157781600952</v>
      </c>
      <c r="AB49" s="38">
        <v>0.11877287924289703</v>
      </c>
      <c r="AC49" s="35">
        <v>1.0143979452550411E-3</v>
      </c>
      <c r="AD49" s="36">
        <v>-3.3632215112447739E-2</v>
      </c>
      <c r="AE49" s="38">
        <v>0.25520479679107666</v>
      </c>
      <c r="AF49" s="37">
        <v>5.0030272454023361E-2</v>
      </c>
      <c r="AG49" s="38">
        <v>0.37175971269607544</v>
      </c>
      <c r="AH49" s="38">
        <v>0.35708391666412354</v>
      </c>
      <c r="AI49" s="38">
        <v>0.40447473526000977</v>
      </c>
      <c r="AJ49" s="38">
        <v>0.17956586182117462</v>
      </c>
      <c r="AK49" s="38">
        <v>0.3011113703250885</v>
      </c>
      <c r="AL49" s="35">
        <v>-1.9698673859238625E-2</v>
      </c>
      <c r="AM49" s="35">
        <v>-5.4686586372554302E-3</v>
      </c>
      <c r="AN49" s="38">
        <v>0.40066841244697571</v>
      </c>
      <c r="AO49" s="35">
        <v>-7.6145455241203308E-3</v>
      </c>
      <c r="AP49" s="35">
        <v>1.5810813056305051E-4</v>
      </c>
      <c r="AQ49" s="42"/>
      <c r="AR49" s="39">
        <v>192</v>
      </c>
      <c r="AS49" s="39">
        <v>178</v>
      </c>
      <c r="AT49" s="39">
        <v>178</v>
      </c>
      <c r="AU49">
        <v>177</v>
      </c>
      <c r="AV49" s="39">
        <v>173</v>
      </c>
      <c r="AW49" s="39">
        <v>178</v>
      </c>
      <c r="AX49" s="30">
        <v>176</v>
      </c>
      <c r="AY49" s="39">
        <v>177</v>
      </c>
      <c r="AZ49" s="39">
        <v>192</v>
      </c>
      <c r="BA49" s="39">
        <v>192</v>
      </c>
      <c r="BB49" s="39">
        <v>190</v>
      </c>
      <c r="BC49" s="39">
        <v>189</v>
      </c>
      <c r="BD49" s="39">
        <v>174</v>
      </c>
      <c r="BE49" s="39">
        <v>192</v>
      </c>
      <c r="BF49" s="29">
        <v>175</v>
      </c>
    </row>
    <row r="50" spans="3:58">
      <c r="C50" s="45" t="s">
        <v>456</v>
      </c>
      <c r="D50" s="35">
        <v>-2.0420520741026849E-4</v>
      </c>
      <c r="E50" s="36">
        <v>2.8747228905558586E-2</v>
      </c>
      <c r="F50" s="38">
        <v>0.43210345506668091</v>
      </c>
      <c r="G50" s="35">
        <v>1.4389782212674618E-2</v>
      </c>
      <c r="H50" s="38">
        <v>0.31340563297271729</v>
      </c>
      <c r="I50" s="38">
        <v>0.29640969634056091</v>
      </c>
      <c r="J50" s="37">
        <v>3.5388469696044922E-2</v>
      </c>
      <c r="K50" s="38">
        <v>6.3830874860286713E-2</v>
      </c>
      <c r="L50" s="38">
        <v>0.23919025063514709</v>
      </c>
      <c r="M50" s="40">
        <v>0.74076211452484131</v>
      </c>
      <c r="N50" s="40">
        <v>0.52108049392700195</v>
      </c>
      <c r="O50" s="40">
        <v>0.99435305595397949</v>
      </c>
      <c r="P50" s="40">
        <v>0.93769222497940063</v>
      </c>
      <c r="Q50" s="38">
        <v>-0.23856738209724426</v>
      </c>
      <c r="R50" s="40">
        <v>-0.68887168169021606</v>
      </c>
      <c r="S50" s="40">
        <v>-0.85120964050292969</v>
      </c>
      <c r="T50" s="37">
        <v>3.8635000586509705E-2</v>
      </c>
      <c r="U50" s="35">
        <v>-7.212386466562748E-3</v>
      </c>
      <c r="V50" s="40">
        <v>0.61964088678359985</v>
      </c>
      <c r="W50" s="38">
        <v>-0.12775084376335144</v>
      </c>
      <c r="X50" s="40">
        <v>0.58264201879501343</v>
      </c>
      <c r="Y50" s="40">
        <v>0.69207239151000977</v>
      </c>
      <c r="Z50" s="38">
        <v>0.31876945495605469</v>
      </c>
      <c r="AA50" s="38">
        <v>0.40802022814750671</v>
      </c>
      <c r="AB50" s="38">
        <v>0.24629639089107513</v>
      </c>
      <c r="AC50" s="35">
        <v>5.7714954018592834E-3</v>
      </c>
      <c r="AD50" s="35">
        <v>6.9405265094246715E-5</v>
      </c>
      <c r="AE50" s="40">
        <v>0.62883996963500977</v>
      </c>
      <c r="AF50" s="38">
        <v>6.2388073652982712E-2</v>
      </c>
      <c r="AG50" s="40">
        <v>0.56963443756103516</v>
      </c>
      <c r="AH50" s="40">
        <v>0.77475589513778687</v>
      </c>
      <c r="AI50" s="40">
        <v>0.76891320943832397</v>
      </c>
      <c r="AJ50" s="38">
        <v>0.46830597519874573</v>
      </c>
      <c r="AK50" s="40">
        <v>0.69930273294448853</v>
      </c>
      <c r="AL50" s="35">
        <v>2.9341327026486397E-3</v>
      </c>
      <c r="AM50" s="35">
        <v>7.2226254269480705E-4</v>
      </c>
      <c r="AN50" s="40">
        <v>0.7396160364151001</v>
      </c>
      <c r="AO50" s="35">
        <v>-8.4625735325971618E-6</v>
      </c>
      <c r="AP50" s="35">
        <v>1.0720605961978436E-2</v>
      </c>
      <c r="AQ50" s="38">
        <v>0.4501192569732666</v>
      </c>
      <c r="AR50" s="42"/>
      <c r="AS50" s="39">
        <v>178</v>
      </c>
      <c r="AT50" s="39">
        <v>178</v>
      </c>
      <c r="AU50">
        <v>177</v>
      </c>
      <c r="AV50" s="39">
        <v>173</v>
      </c>
      <c r="AW50" s="39">
        <v>178</v>
      </c>
      <c r="AX50" s="30">
        <v>176</v>
      </c>
      <c r="AY50" s="39">
        <v>177</v>
      </c>
      <c r="AZ50" s="39">
        <v>192</v>
      </c>
      <c r="BA50" s="39">
        <v>192</v>
      </c>
      <c r="BB50" s="39">
        <v>190</v>
      </c>
      <c r="BC50" s="41">
        <v>189</v>
      </c>
      <c r="BD50" s="41">
        <v>174</v>
      </c>
      <c r="BE50" s="39">
        <v>192</v>
      </c>
      <c r="BF50" s="29">
        <v>175</v>
      </c>
    </row>
    <row r="51" spans="3:58">
      <c r="C51" s="45" t="s">
        <v>425</v>
      </c>
      <c r="D51" s="35">
        <v>5.6626337027410045E-5</v>
      </c>
      <c r="E51" s="35">
        <v>-2.1222013980150223E-2</v>
      </c>
      <c r="F51" s="38">
        <v>-0.3694378137588501</v>
      </c>
      <c r="G51" s="36">
        <v>-2.2099588066339493E-2</v>
      </c>
      <c r="H51" s="38">
        <v>-0.2286100834608078</v>
      </c>
      <c r="I51" s="38">
        <v>-0.24326150119304657</v>
      </c>
      <c r="J51" s="35">
        <v>-9.6719935536384583E-3</v>
      </c>
      <c r="K51" s="35">
        <v>-1.8315225606784225E-3</v>
      </c>
      <c r="L51" s="38">
        <v>-0.15727636218070984</v>
      </c>
      <c r="M51" s="38">
        <v>-0.39276087284088135</v>
      </c>
      <c r="N51" s="38">
        <v>-0.21798104047775269</v>
      </c>
      <c r="O51" s="38">
        <v>-0.3117198646068573</v>
      </c>
      <c r="P51" s="38">
        <v>-0.34883379936218262</v>
      </c>
      <c r="Q51" s="38">
        <v>0.28969705104827881</v>
      </c>
      <c r="R51" s="38">
        <v>0.40208524465560913</v>
      </c>
      <c r="S51" s="38">
        <v>0.40912237763404846</v>
      </c>
      <c r="T51" s="35">
        <v>8.3700305549427867E-4</v>
      </c>
      <c r="U51" s="35">
        <v>6.1283009126782417E-3</v>
      </c>
      <c r="V51" s="38">
        <v>-0.27695536613464355</v>
      </c>
      <c r="W51" s="36">
        <v>3.2002728432416916E-2</v>
      </c>
      <c r="X51" s="38">
        <v>-0.2710365355014801</v>
      </c>
      <c r="Y51" s="38">
        <v>-0.30641239881515503</v>
      </c>
      <c r="Z51" s="38">
        <v>-0.18894511461257935</v>
      </c>
      <c r="AA51" s="38">
        <v>-0.13308602571487427</v>
      </c>
      <c r="AB51" s="38">
        <v>-8.6031094193458557E-2</v>
      </c>
      <c r="AC51" s="35">
        <v>-1.8865830497816205E-3</v>
      </c>
      <c r="AD51" s="36">
        <v>3.4464452415704727E-2</v>
      </c>
      <c r="AE51" s="38">
        <v>-0.26794365048408508</v>
      </c>
      <c r="AF51" s="35">
        <v>-5.7005779817700386E-3</v>
      </c>
      <c r="AG51" s="38">
        <v>-0.25384172797203064</v>
      </c>
      <c r="AH51" s="38">
        <v>-0.33629482984542847</v>
      </c>
      <c r="AI51" s="38">
        <v>-0.31024527549743652</v>
      </c>
      <c r="AJ51" s="38">
        <v>-0.14884012937545776</v>
      </c>
      <c r="AK51" s="38">
        <v>-0.22927206754684448</v>
      </c>
      <c r="AL51" s="35">
        <v>5.7651340030133724E-3</v>
      </c>
      <c r="AM51" s="35">
        <v>2.0335151348263025E-3</v>
      </c>
      <c r="AN51" s="38">
        <v>-0.28248786926269531</v>
      </c>
      <c r="AO51" s="35">
        <v>1.0103109292685986E-2</v>
      </c>
      <c r="AP51" s="35">
        <v>-5.3922715596854687E-4</v>
      </c>
      <c r="AQ51" s="38">
        <v>-0.20755712687969208</v>
      </c>
      <c r="AR51" s="38">
        <v>-0.32068127393722534</v>
      </c>
      <c r="AS51" s="42"/>
      <c r="AT51" s="39">
        <v>178</v>
      </c>
      <c r="AU51">
        <v>177</v>
      </c>
      <c r="AV51" s="29">
        <v>173</v>
      </c>
      <c r="AW51" s="39">
        <v>178</v>
      </c>
      <c r="AX51" s="39">
        <v>176</v>
      </c>
      <c r="AY51" s="39">
        <v>177</v>
      </c>
      <c r="AZ51" s="39">
        <v>178</v>
      </c>
      <c r="BA51" s="39">
        <v>178</v>
      </c>
      <c r="BB51" s="39">
        <v>178</v>
      </c>
      <c r="BC51" s="39">
        <v>177</v>
      </c>
      <c r="BD51" s="39">
        <v>165</v>
      </c>
      <c r="BE51" s="41">
        <v>178</v>
      </c>
      <c r="BF51" s="39">
        <v>175</v>
      </c>
    </row>
    <row r="52" spans="3:58">
      <c r="C52" s="45" t="s">
        <v>426</v>
      </c>
      <c r="D52" s="35">
        <v>-4.3777425889857113E-4</v>
      </c>
      <c r="E52" s="38">
        <v>-7.9641066491603851E-2</v>
      </c>
      <c r="F52" s="38">
        <v>-0.29837766289710999</v>
      </c>
      <c r="G52" s="38">
        <v>-6.8871796131134033E-2</v>
      </c>
      <c r="H52" s="38">
        <v>-0.26410618424415588</v>
      </c>
      <c r="I52" s="38">
        <v>-0.35430783033370972</v>
      </c>
      <c r="J52" s="36">
        <v>-2.5102868676185608E-2</v>
      </c>
      <c r="K52" s="35">
        <v>-1.6769440844655037E-2</v>
      </c>
      <c r="L52" s="38">
        <v>-8.1921949982643127E-2</v>
      </c>
      <c r="M52" s="38">
        <v>-0.25434032082557678</v>
      </c>
      <c r="N52" s="38">
        <v>-0.17733404040336609</v>
      </c>
      <c r="O52" s="38">
        <v>-0.24607148766517639</v>
      </c>
      <c r="P52" s="38">
        <v>-0.31670022010803223</v>
      </c>
      <c r="Q52" s="38">
        <v>0.29369291663169861</v>
      </c>
      <c r="R52" s="38">
        <v>0.34465053677558899</v>
      </c>
      <c r="S52" s="38">
        <v>0.28416651487350464</v>
      </c>
      <c r="T52" s="35">
        <v>4.1346387006342411E-3</v>
      </c>
      <c r="U52" s="36">
        <v>-3.5106837749481201E-2</v>
      </c>
      <c r="V52" s="38">
        <v>-0.20613621175289154</v>
      </c>
      <c r="W52" s="36">
        <v>3.6041688174009323E-2</v>
      </c>
      <c r="X52" s="38">
        <v>-0.16167758405208588</v>
      </c>
      <c r="Y52" s="38">
        <v>-0.19055731594562531</v>
      </c>
      <c r="Z52" s="38">
        <v>-0.17369423806667328</v>
      </c>
      <c r="AA52" s="38">
        <v>-0.18309873342514038</v>
      </c>
      <c r="AB52" s="38">
        <v>-7.5010612607002258E-2</v>
      </c>
      <c r="AC52" s="35">
        <v>9.9525889381766319E-3</v>
      </c>
      <c r="AD52" s="35">
        <v>2.9632812365889549E-3</v>
      </c>
      <c r="AE52" s="38">
        <v>-0.24775882065296173</v>
      </c>
      <c r="AF52" s="37">
        <v>-4.0071357041597366E-2</v>
      </c>
      <c r="AG52" s="38">
        <v>-0.1933460533618927</v>
      </c>
      <c r="AH52" s="38">
        <v>-0.20285256206989288</v>
      </c>
      <c r="AI52" s="38">
        <v>-0.17652799189090729</v>
      </c>
      <c r="AJ52" s="38">
        <v>-7.2904579341411591E-2</v>
      </c>
      <c r="AK52" s="38">
        <v>-0.1606825590133667</v>
      </c>
      <c r="AL52" s="35">
        <v>-2.1200683841016144E-4</v>
      </c>
      <c r="AM52" s="35">
        <v>1.1352032743161544E-5</v>
      </c>
      <c r="AN52" s="38">
        <v>-0.15196098387241364</v>
      </c>
      <c r="AO52" s="37">
        <v>4.5646611601114273E-2</v>
      </c>
      <c r="AP52" s="35">
        <v>-1.3257802929729223E-3</v>
      </c>
      <c r="AQ52" s="38">
        <v>-9.6762262284755707E-2</v>
      </c>
      <c r="AR52" s="38">
        <v>-0.24669516086578369</v>
      </c>
      <c r="AS52" s="38">
        <v>0.3914867639541626</v>
      </c>
      <c r="AT52" s="42"/>
      <c r="AU52">
        <v>177</v>
      </c>
      <c r="AV52">
        <v>173</v>
      </c>
      <c r="AW52" s="41">
        <v>178</v>
      </c>
      <c r="AX52" s="39">
        <v>176</v>
      </c>
      <c r="AY52" s="39">
        <v>177</v>
      </c>
      <c r="AZ52" s="39">
        <v>178</v>
      </c>
      <c r="BA52" s="39">
        <v>178</v>
      </c>
      <c r="BB52" s="39">
        <v>178</v>
      </c>
      <c r="BC52" s="39">
        <v>177</v>
      </c>
      <c r="BD52" s="39">
        <v>165</v>
      </c>
      <c r="BE52" s="39">
        <v>178</v>
      </c>
      <c r="BF52" s="30">
        <v>175</v>
      </c>
    </row>
    <row r="53" spans="3:58">
      <c r="C53" s="45" t="s">
        <v>427</v>
      </c>
      <c r="D53" s="35">
        <v>4.5383572578430176E-3</v>
      </c>
      <c r="E53" s="35">
        <v>6.3589042983949184E-3</v>
      </c>
      <c r="F53" s="35">
        <v>1.784062571823597E-2</v>
      </c>
      <c r="G53" s="37">
        <v>5.1511254161596298E-2</v>
      </c>
      <c r="H53" s="38">
        <v>7.3639050126075745E-2</v>
      </c>
      <c r="I53" s="38">
        <v>5.9444412589073181E-2</v>
      </c>
      <c r="J53" s="35">
        <v>1.54891237616539E-3</v>
      </c>
      <c r="K53" s="35">
        <v>1.7606236040592194E-2</v>
      </c>
      <c r="L53" s="35">
        <v>5.1170224323868752E-3</v>
      </c>
      <c r="M53" s="35">
        <v>-1.1349901324138045E-3</v>
      </c>
      <c r="N53" s="35">
        <v>6.4244633540511131E-3</v>
      </c>
      <c r="O53" s="35">
        <v>7.4070936534553766E-4</v>
      </c>
      <c r="P53" s="35">
        <v>9.8137790337204933E-3</v>
      </c>
      <c r="Q53" s="35">
        <v>-1.1867613531649113E-2</v>
      </c>
      <c r="R53" s="35">
        <v>-8.5110816871747375E-4</v>
      </c>
      <c r="S53" s="35">
        <v>-2.9933569021522999E-3</v>
      </c>
      <c r="T53" s="35">
        <v>-1.7800802364945412E-2</v>
      </c>
      <c r="U53" s="36">
        <v>3.3882748335599899E-2</v>
      </c>
      <c r="V53" s="35">
        <v>-2.1895421668887138E-3</v>
      </c>
      <c r="W53" s="35">
        <v>1.4857978094369173E-3</v>
      </c>
      <c r="X53" s="35">
        <v>4.5779175707139075E-5</v>
      </c>
      <c r="Y53" s="35">
        <v>-5.1225681090727448E-4</v>
      </c>
      <c r="Z53" s="35">
        <v>1.5109863852558192E-5</v>
      </c>
      <c r="AA53" s="35">
        <v>4.7280215658247471E-3</v>
      </c>
      <c r="AB53" s="35">
        <v>5.6161815300583839E-3</v>
      </c>
      <c r="AC53" s="35">
        <v>-1.9345915643498302E-3</v>
      </c>
      <c r="AD53" s="35">
        <v>3.8114660419523716E-3</v>
      </c>
      <c r="AE53" s="35">
        <v>1.9535867031663656E-3</v>
      </c>
      <c r="AF53" s="35">
        <v>-3.6913331132382154E-4</v>
      </c>
      <c r="AG53" s="35">
        <v>1.8202904611825943E-2</v>
      </c>
      <c r="AH53" s="35">
        <v>-1.2456516174097487E-7</v>
      </c>
      <c r="AI53" s="35">
        <v>-5.5748438462615013E-3</v>
      </c>
      <c r="AJ53" s="35">
        <v>2.7724832762032747E-5</v>
      </c>
      <c r="AK53" s="35">
        <v>-6.1779115349054337E-3</v>
      </c>
      <c r="AL53" s="35">
        <v>1.5084395185112953E-2</v>
      </c>
      <c r="AM53" s="35">
        <v>6.6052963957190514E-3</v>
      </c>
      <c r="AN53" s="35">
        <v>-8.6620654910802841E-3</v>
      </c>
      <c r="AO53" s="35">
        <v>-1.0734078474342823E-2</v>
      </c>
      <c r="AP53" s="35">
        <v>-3.7585364771075547E-4</v>
      </c>
      <c r="AQ53" s="35">
        <v>1.1977838585153222E-4</v>
      </c>
      <c r="AR53" s="35">
        <v>9.3810040198150091E-6</v>
      </c>
      <c r="AS53" s="35">
        <v>-9.9777906143572181E-5</v>
      </c>
      <c r="AT53" s="35">
        <v>-9.2264084378257394E-4</v>
      </c>
      <c r="AU53" s="42"/>
      <c r="AV53" s="39">
        <v>173</v>
      </c>
      <c r="AW53">
        <v>177</v>
      </c>
      <c r="AX53" s="29">
        <v>176</v>
      </c>
      <c r="AY53">
        <v>177</v>
      </c>
      <c r="AZ53">
        <v>177</v>
      </c>
      <c r="BA53" s="39">
        <v>177</v>
      </c>
      <c r="BB53" s="30">
        <v>177</v>
      </c>
      <c r="BC53">
        <v>176</v>
      </c>
      <c r="BD53" s="29">
        <v>165</v>
      </c>
      <c r="BE53" s="29">
        <v>177</v>
      </c>
      <c r="BF53">
        <v>175</v>
      </c>
    </row>
    <row r="54" spans="3:58">
      <c r="C54" s="45" t="s">
        <v>428</v>
      </c>
      <c r="D54" s="35">
        <v>-2.9420203645713627E-4</v>
      </c>
      <c r="E54" s="35">
        <v>-5.7889556046575308E-6</v>
      </c>
      <c r="F54" s="38">
        <v>0.10401948541402817</v>
      </c>
      <c r="G54" s="38">
        <v>0.12502922117710114</v>
      </c>
      <c r="H54" s="38">
        <v>8.2930825650691986E-2</v>
      </c>
      <c r="I54" s="38">
        <v>7.8272879123687744E-2</v>
      </c>
      <c r="J54" s="35">
        <v>1.2769368477165699E-2</v>
      </c>
      <c r="K54" s="35">
        <v>4.6021244488656521E-3</v>
      </c>
      <c r="L54" s="37">
        <v>4.5461248606443405E-2</v>
      </c>
      <c r="M54" s="38">
        <v>0.14536339044570923</v>
      </c>
      <c r="N54" s="38">
        <v>9.4182245433330536E-2</v>
      </c>
      <c r="O54" s="38">
        <v>0.1068570464849472</v>
      </c>
      <c r="P54" s="38">
        <v>0.13213774561882019</v>
      </c>
      <c r="Q54" s="38">
        <v>-8.3233922719955444E-2</v>
      </c>
      <c r="R54" s="38">
        <v>-8.3266943693161011E-2</v>
      </c>
      <c r="S54" s="38">
        <v>-0.1452418714761734</v>
      </c>
      <c r="T54" s="35">
        <v>1.5557947335764766E-5</v>
      </c>
      <c r="U54" s="35">
        <v>-8.2352448953315616E-4</v>
      </c>
      <c r="V54" s="38">
        <v>9.793081134557724E-2</v>
      </c>
      <c r="W54" s="38">
        <v>-6.8537406623363495E-2</v>
      </c>
      <c r="X54" s="38">
        <v>6.1373349279165268E-2</v>
      </c>
      <c r="Y54" s="38">
        <v>9.5828741788864136E-2</v>
      </c>
      <c r="Z54" s="38">
        <v>0.10335500538349152</v>
      </c>
      <c r="AA54" s="37">
        <v>4.9811434000730515E-2</v>
      </c>
      <c r="AB54" s="35">
        <v>3.3802606631070375E-3</v>
      </c>
      <c r="AC54" s="35">
        <v>6.4932962413877249E-4</v>
      </c>
      <c r="AD54" s="35">
        <v>-2.9138706158846617E-3</v>
      </c>
      <c r="AE54" s="38">
        <v>0.11005658656358719</v>
      </c>
      <c r="AF54" s="35">
        <v>1.5730547020211816E-3</v>
      </c>
      <c r="AG54" s="38">
        <v>0.22041821479797363</v>
      </c>
      <c r="AH54" s="38">
        <v>6.3719138503074646E-2</v>
      </c>
      <c r="AI54" s="38">
        <v>0.10901945829391479</v>
      </c>
      <c r="AJ54" s="35">
        <v>4.216296598315239E-3</v>
      </c>
      <c r="AK54" s="37">
        <v>4.4369611889123917E-2</v>
      </c>
      <c r="AL54" s="35">
        <v>-9.5967523520812392E-4</v>
      </c>
      <c r="AM54" s="35">
        <v>1.141174347139895E-3</v>
      </c>
      <c r="AN54" s="38">
        <v>7.9267613589763641E-2</v>
      </c>
      <c r="AO54" s="35">
        <v>-4.7699077986180782E-3</v>
      </c>
      <c r="AP54" s="35">
        <v>-1.3248153263702989E-3</v>
      </c>
      <c r="AQ54" s="38">
        <v>0.10143272578716278</v>
      </c>
      <c r="AR54" s="38">
        <v>0.10341859608888626</v>
      </c>
      <c r="AS54" s="36">
        <v>-2.343493327498436E-2</v>
      </c>
      <c r="AT54" s="35">
        <v>-1.9767483696341515E-2</v>
      </c>
      <c r="AU54" s="38">
        <v>0.23669089376926422</v>
      </c>
      <c r="AV54" s="42"/>
      <c r="AW54" s="29">
        <v>173</v>
      </c>
      <c r="AX54">
        <v>172</v>
      </c>
      <c r="AY54">
        <v>173</v>
      </c>
      <c r="AZ54" s="39">
        <v>173</v>
      </c>
      <c r="BA54" s="39">
        <v>173</v>
      </c>
      <c r="BB54" s="39">
        <v>173</v>
      </c>
      <c r="BC54" s="29">
        <v>172</v>
      </c>
      <c r="BD54" s="39">
        <v>163</v>
      </c>
      <c r="BE54" s="39">
        <v>173</v>
      </c>
      <c r="BF54">
        <v>171</v>
      </c>
    </row>
    <row r="55" spans="3:58">
      <c r="C55" s="45" t="s">
        <v>429</v>
      </c>
      <c r="D55" s="35">
        <v>6.3174345996230841E-5</v>
      </c>
      <c r="E55" s="37">
        <v>-5.6028891354799271E-2</v>
      </c>
      <c r="F55" s="38">
        <v>-0.33910384774208069</v>
      </c>
      <c r="G55" s="38">
        <v>-9.6726700663566589E-2</v>
      </c>
      <c r="H55" s="38">
        <v>-0.26176121830940247</v>
      </c>
      <c r="I55" s="38">
        <v>-0.3604147732257843</v>
      </c>
      <c r="J55" s="37">
        <v>-3.9364293217658997E-2</v>
      </c>
      <c r="K55" s="35">
        <v>-8.6323246359825134E-3</v>
      </c>
      <c r="L55" s="38">
        <v>-0.10563898086547852</v>
      </c>
      <c r="M55" s="38">
        <v>-0.21390295028686523</v>
      </c>
      <c r="N55" s="38">
        <v>-0.17950290441513062</v>
      </c>
      <c r="O55" s="38">
        <v>-0.20013967156410217</v>
      </c>
      <c r="P55" s="38">
        <v>-0.27282598614692688</v>
      </c>
      <c r="Q55" s="38">
        <v>0.25936904549598694</v>
      </c>
      <c r="R55" s="38">
        <v>0.29588708281517029</v>
      </c>
      <c r="S55" s="38">
        <v>0.24191078543663025</v>
      </c>
      <c r="T55" s="35">
        <v>9.8970900580752641E-5</v>
      </c>
      <c r="U55" s="36">
        <v>-3.0972585082054138E-2</v>
      </c>
      <c r="V55" s="38">
        <v>-0.19604258239269257</v>
      </c>
      <c r="W55" s="36">
        <v>2.4933051317930222E-2</v>
      </c>
      <c r="X55" s="38">
        <v>-0.10998541116714478</v>
      </c>
      <c r="Y55" s="38">
        <v>-0.16869553923606873</v>
      </c>
      <c r="Z55" s="38">
        <v>-0.13109897077083588</v>
      </c>
      <c r="AA55" s="38">
        <v>-0.18829020857810974</v>
      </c>
      <c r="AB55" s="38">
        <v>-6.5713889896869659E-2</v>
      </c>
      <c r="AC55" s="35">
        <v>8.5724354721605778E-4</v>
      </c>
      <c r="AD55" s="35">
        <v>4.3213642202317715E-3</v>
      </c>
      <c r="AE55" s="38">
        <v>-0.18246981501579285</v>
      </c>
      <c r="AF55" s="38">
        <v>-5.9044264256954193E-2</v>
      </c>
      <c r="AG55" s="38">
        <v>-0.19395129382610321</v>
      </c>
      <c r="AH55" s="38">
        <v>-0.19142836332321167</v>
      </c>
      <c r="AI55" s="38">
        <v>-0.15594811737537384</v>
      </c>
      <c r="AJ55" s="38">
        <v>-6.0066781938076019E-2</v>
      </c>
      <c r="AK55" s="38">
        <v>-9.8546825349330902E-2</v>
      </c>
      <c r="AL55" s="35">
        <v>-4.2586991912685335E-4</v>
      </c>
      <c r="AM55" s="35">
        <v>-5.1446449942886829E-3</v>
      </c>
      <c r="AN55" s="38">
        <v>-0.13427647948265076</v>
      </c>
      <c r="AO55" s="38">
        <v>0.10668107867240906</v>
      </c>
      <c r="AP55" s="35">
        <v>2.077014883980155E-3</v>
      </c>
      <c r="AQ55" s="38">
        <v>-9.1509535908699036E-2</v>
      </c>
      <c r="AR55" s="38">
        <v>-0.20851339399814606</v>
      </c>
      <c r="AS55" s="38">
        <v>0.38864892721176147</v>
      </c>
      <c r="AT55" s="40">
        <v>0.68308144807815552</v>
      </c>
      <c r="AU55" s="35">
        <v>-6.2477784231305122E-3</v>
      </c>
      <c r="AV55" s="36">
        <v>-3.2611273229122162E-2</v>
      </c>
      <c r="AW55" s="42"/>
      <c r="AX55" s="39">
        <v>176</v>
      </c>
      <c r="AY55" s="39">
        <v>177</v>
      </c>
      <c r="AZ55" s="39">
        <v>178</v>
      </c>
      <c r="BA55" s="39">
        <v>178</v>
      </c>
      <c r="BB55" s="39">
        <v>178</v>
      </c>
      <c r="BC55" s="39">
        <v>177</v>
      </c>
      <c r="BD55" s="39">
        <v>165</v>
      </c>
      <c r="BE55" s="39">
        <v>178</v>
      </c>
      <c r="BF55" s="29">
        <v>175</v>
      </c>
    </row>
    <row r="56" spans="3:58">
      <c r="C56" s="45" t="s">
        <v>430</v>
      </c>
      <c r="D56" s="35">
        <v>1.992785109905526E-4</v>
      </c>
      <c r="E56" s="37">
        <v>-4.6605002135038376E-2</v>
      </c>
      <c r="F56" s="38">
        <v>-0.14616811275482178</v>
      </c>
      <c r="G56" s="35">
        <v>-5.1975375972688198E-3</v>
      </c>
      <c r="H56" s="38">
        <v>-9.0058095753192902E-2</v>
      </c>
      <c r="I56" s="38">
        <v>-0.13120760023593903</v>
      </c>
      <c r="J56" s="35">
        <v>-1.2360699474811554E-2</v>
      </c>
      <c r="K56" s="35">
        <v>-1.4691820833832026E-3</v>
      </c>
      <c r="L56" s="36">
        <v>-3.158925473690033E-2</v>
      </c>
      <c r="M56" s="37">
        <v>-4.3379291892051697E-2</v>
      </c>
      <c r="N56" s="37">
        <v>-4.6444077044725418E-2</v>
      </c>
      <c r="O56" s="37">
        <v>-5.3088489919900894E-2</v>
      </c>
      <c r="P56" s="38">
        <v>-8.3382360637187958E-2</v>
      </c>
      <c r="Q56" s="38">
        <v>0.10742367804050446</v>
      </c>
      <c r="R56" s="38">
        <v>0.13394317030906677</v>
      </c>
      <c r="S56" s="38">
        <v>8.7116435170173645E-2</v>
      </c>
      <c r="T56" s="35">
        <v>5.2273334003984928E-3</v>
      </c>
      <c r="U56" s="36">
        <v>-2.7257008478045464E-2</v>
      </c>
      <c r="V56" s="36">
        <v>-3.5683702677488327E-2</v>
      </c>
      <c r="W56" s="35">
        <v>-4.2754363676067442E-5</v>
      </c>
      <c r="X56" s="36">
        <v>-3.4080024808645248E-2</v>
      </c>
      <c r="Y56" s="37">
        <v>-4.2942706495523453E-2</v>
      </c>
      <c r="Z56" s="38">
        <v>-6.6159076988697052E-2</v>
      </c>
      <c r="AA56" s="37">
        <v>-4.2725097388029099E-2</v>
      </c>
      <c r="AB56" s="35">
        <v>-1.8623208627104759E-2</v>
      </c>
      <c r="AC56" s="35">
        <v>-1.2706963389064185E-5</v>
      </c>
      <c r="AD56" s="35">
        <v>1.9365342333912849E-2</v>
      </c>
      <c r="AE56" s="37">
        <v>-4.9500931054353714E-2</v>
      </c>
      <c r="AF56" s="35">
        <v>-8.824600838124752E-3</v>
      </c>
      <c r="AG56" s="37">
        <v>-5.3631864488124847E-2</v>
      </c>
      <c r="AH56" s="38">
        <v>-0.11230335384607315</v>
      </c>
      <c r="AI56" s="37">
        <v>-3.8099519908428192E-2</v>
      </c>
      <c r="AJ56" s="35">
        <v>-1.0730233043432236E-2</v>
      </c>
      <c r="AK56" s="36">
        <v>-2.9197700321674347E-2</v>
      </c>
      <c r="AL56" s="35">
        <v>5.1586242625489831E-4</v>
      </c>
      <c r="AM56" s="35">
        <v>3.5793957067653537E-4</v>
      </c>
      <c r="AN56" s="36">
        <v>-3.1279165297746658E-2</v>
      </c>
      <c r="AO56" s="37">
        <v>4.4609185308218002E-2</v>
      </c>
      <c r="AP56" s="35">
        <v>2.4922786906245165E-5</v>
      </c>
      <c r="AQ56" s="37">
        <v>-4.0538709610700607E-2</v>
      </c>
      <c r="AR56" s="37">
        <v>-5.2747689187526703E-2</v>
      </c>
      <c r="AS56" s="38">
        <v>0.18827611207962036</v>
      </c>
      <c r="AT56" s="38">
        <v>0.29335954785346985</v>
      </c>
      <c r="AU56" s="36">
        <v>-2.8581805527210236E-2</v>
      </c>
      <c r="AV56" s="35">
        <v>4.9161284550791606E-5</v>
      </c>
      <c r="AW56" s="38">
        <v>0.267586350440979</v>
      </c>
      <c r="AX56" s="42"/>
      <c r="AY56" s="39">
        <v>176</v>
      </c>
      <c r="AZ56" s="39">
        <v>176</v>
      </c>
      <c r="BA56" s="39">
        <v>176</v>
      </c>
      <c r="BB56" s="39">
        <v>176</v>
      </c>
      <c r="BC56" s="39">
        <v>175</v>
      </c>
      <c r="BD56" s="30">
        <v>164</v>
      </c>
      <c r="BE56" s="39">
        <v>176</v>
      </c>
      <c r="BF56">
        <v>175</v>
      </c>
    </row>
    <row r="57" spans="3:58">
      <c r="C57" s="45" t="s">
        <v>431</v>
      </c>
      <c r="D57" s="35">
        <v>-5.6964196119224653E-5</v>
      </c>
      <c r="E57" s="36">
        <v>-2.2568687796592712E-2</v>
      </c>
      <c r="F57" s="38">
        <v>-0.26365497708320618</v>
      </c>
      <c r="G57" s="37">
        <v>-4.7048334032297134E-2</v>
      </c>
      <c r="H57" s="38">
        <v>-0.19514341652393341</v>
      </c>
      <c r="I57" s="38">
        <v>-0.22978867590427399</v>
      </c>
      <c r="J57" s="36">
        <v>-3.3079206943511963E-2</v>
      </c>
      <c r="K57" s="38">
        <v>-7.0421196520328522E-2</v>
      </c>
      <c r="L57" s="38">
        <v>-0.11457362771034241</v>
      </c>
      <c r="M57" s="38">
        <v>-0.31136289238929749</v>
      </c>
      <c r="N57" s="38">
        <v>-0.28075391054153442</v>
      </c>
      <c r="O57" s="38">
        <v>-0.3036130964756012</v>
      </c>
      <c r="P57" s="38">
        <v>-0.37715151906013489</v>
      </c>
      <c r="Q57" s="38">
        <v>0.22973428666591644</v>
      </c>
      <c r="R57" s="38">
        <v>0.2869909405708313</v>
      </c>
      <c r="S57" s="38">
        <v>0.31546047329902649</v>
      </c>
      <c r="T57" s="35">
        <v>-4.7848462127149105E-3</v>
      </c>
      <c r="U57" s="35">
        <v>-8.7269032374024391E-3</v>
      </c>
      <c r="V57" s="38">
        <v>-0.15312851965427399</v>
      </c>
      <c r="W57" s="38">
        <v>0.11159338802099228</v>
      </c>
      <c r="X57" s="38">
        <v>-0.15270060300827026</v>
      </c>
      <c r="Y57" s="38">
        <v>-0.20487381517887115</v>
      </c>
      <c r="Z57" s="38">
        <v>-0.23282630741596222</v>
      </c>
      <c r="AA57" s="38">
        <v>-0.12397889047861099</v>
      </c>
      <c r="AB57" s="38">
        <v>-9.21005979180336E-2</v>
      </c>
      <c r="AC57" s="35">
        <v>9.2903934419155121E-3</v>
      </c>
      <c r="AD57" s="35">
        <v>-5.1438841037452221E-3</v>
      </c>
      <c r="AE57" s="38">
        <v>-0.23557038605213165</v>
      </c>
      <c r="AF57" s="36">
        <v>-3.5971660166978836E-2</v>
      </c>
      <c r="AG57" s="38">
        <v>-0.28811159729957581</v>
      </c>
      <c r="AH57" s="38">
        <v>-0.25688630342483521</v>
      </c>
      <c r="AI57" s="38">
        <v>-0.25193670392036438</v>
      </c>
      <c r="AJ57" s="38">
        <v>-6.8979799747467041E-2</v>
      </c>
      <c r="AK57" s="38">
        <v>-0.24061214923858643</v>
      </c>
      <c r="AL57" s="35">
        <v>-1.9791306927800179E-2</v>
      </c>
      <c r="AM57" s="37">
        <v>-4.0722373872995377E-2</v>
      </c>
      <c r="AN57" s="38">
        <v>-0.21272528171539307</v>
      </c>
      <c r="AO57" s="38">
        <v>7.4300810694694519E-2</v>
      </c>
      <c r="AP57" s="35">
        <v>-7.150446530431509E-3</v>
      </c>
      <c r="AQ57" s="38">
        <v>-8.3607494831085205E-2</v>
      </c>
      <c r="AR57" s="38">
        <v>-0.31019392609596252</v>
      </c>
      <c r="AS57" s="38">
        <v>0.22212335467338562</v>
      </c>
      <c r="AT57" s="38">
        <v>0.35073351860046387</v>
      </c>
      <c r="AU57" s="35">
        <v>1.0851465165615082E-2</v>
      </c>
      <c r="AV57" s="35">
        <v>-1.3481806963682175E-2</v>
      </c>
      <c r="AW57" s="38">
        <v>0.37700897455215454</v>
      </c>
      <c r="AX57" s="38">
        <v>0.1873980313539505</v>
      </c>
      <c r="AY57" s="42"/>
      <c r="AZ57" s="39">
        <v>177</v>
      </c>
      <c r="BA57" s="39">
        <v>177</v>
      </c>
      <c r="BB57" s="39">
        <v>177</v>
      </c>
      <c r="BC57" s="39">
        <v>176</v>
      </c>
      <c r="BD57" s="39">
        <v>165</v>
      </c>
      <c r="BE57" s="39">
        <v>177</v>
      </c>
      <c r="BF57" s="29">
        <v>175</v>
      </c>
    </row>
    <row r="58" spans="3:58">
      <c r="C58" s="45" t="s">
        <v>432</v>
      </c>
      <c r="D58" s="35">
        <v>-1.0446245782077312E-2</v>
      </c>
      <c r="E58" s="35">
        <v>-1.581607386469841E-2</v>
      </c>
      <c r="F58" s="38">
        <v>-0.31395062804222107</v>
      </c>
      <c r="G58" s="36">
        <v>-2.8429314494132996E-2</v>
      </c>
      <c r="H58" s="38">
        <v>-5.5872000753879547E-2</v>
      </c>
      <c r="I58" s="38">
        <v>-0.13838829100131989</v>
      </c>
      <c r="J58" s="35">
        <v>-9.3886619433760643E-3</v>
      </c>
      <c r="K58" s="37">
        <v>3.8283504545688629E-2</v>
      </c>
      <c r="L58" s="38">
        <v>-9.571482241153717E-2</v>
      </c>
      <c r="M58" s="38">
        <v>-0.40670913457870483</v>
      </c>
      <c r="N58" s="38">
        <v>-9.9103987216949463E-2</v>
      </c>
      <c r="O58" s="38">
        <v>-0.18200585246086121</v>
      </c>
      <c r="P58" s="38">
        <v>-0.20265191793441772</v>
      </c>
      <c r="Q58" s="38">
        <v>0.20633269846439362</v>
      </c>
      <c r="R58" s="38">
        <v>0.35318112373352051</v>
      </c>
      <c r="S58" s="38">
        <v>0.36544418334960938</v>
      </c>
      <c r="T58" s="36">
        <v>-3.3175993710756302E-2</v>
      </c>
      <c r="U58" s="35">
        <v>7.9381959512829781E-3</v>
      </c>
      <c r="V58" s="38">
        <v>-0.25411465764045715</v>
      </c>
      <c r="W58" s="35">
        <v>-2.8406965429894626E-4</v>
      </c>
      <c r="X58" s="38">
        <v>-0.24162143468856812</v>
      </c>
      <c r="Y58" s="38">
        <v>-0.21970686316490173</v>
      </c>
      <c r="Z58" s="38">
        <v>-0.10900115221738815</v>
      </c>
      <c r="AA58" s="38">
        <v>-0.13388881087303162</v>
      </c>
      <c r="AB58" s="35">
        <v>-5.8515812270343304E-4</v>
      </c>
      <c r="AC58" s="35">
        <v>-3.4966017119586468E-4</v>
      </c>
      <c r="AD58" s="38">
        <v>0.11042311787605286</v>
      </c>
      <c r="AE58" s="38">
        <v>-0.32985004782676697</v>
      </c>
      <c r="AF58" s="35">
        <v>-2.3996904492378235E-3</v>
      </c>
      <c r="AG58" s="38">
        <v>-0.21490639448165894</v>
      </c>
      <c r="AH58" s="38">
        <v>-0.19300632178783417</v>
      </c>
      <c r="AI58" s="38">
        <v>-0.19159011542797089</v>
      </c>
      <c r="AJ58" s="35">
        <v>-1.8701918423175812E-2</v>
      </c>
      <c r="AK58" s="38">
        <v>-0.13957729935646057</v>
      </c>
      <c r="AL58" s="38">
        <v>5.9875033795833588E-2</v>
      </c>
      <c r="AM58" s="37">
        <v>5.3425129503011703E-2</v>
      </c>
      <c r="AN58" s="38">
        <v>-0.16516953706741333</v>
      </c>
      <c r="AO58" s="35">
        <v>-3.8958649383857846E-4</v>
      </c>
      <c r="AP58" s="35">
        <v>-5.2093005251663271E-6</v>
      </c>
      <c r="AQ58" s="38">
        <v>-0.13365799188613892</v>
      </c>
      <c r="AR58" s="38">
        <v>-0.20211139321327209</v>
      </c>
      <c r="AS58" s="38">
        <v>0.22714926302433014</v>
      </c>
      <c r="AT58" s="38">
        <v>0.1922423243522644</v>
      </c>
      <c r="AU58" s="35">
        <v>-1.0647737653926015E-3</v>
      </c>
      <c r="AV58" s="38">
        <v>-8.0480322241783142E-2</v>
      </c>
      <c r="AW58" s="38">
        <v>0.19942250847816467</v>
      </c>
      <c r="AX58" s="38">
        <v>0.16387727856636047</v>
      </c>
      <c r="AY58" s="38">
        <v>0.16274601221084595</v>
      </c>
      <c r="AZ58" s="42"/>
      <c r="BA58" s="39">
        <v>192</v>
      </c>
      <c r="BB58" s="41">
        <v>190</v>
      </c>
      <c r="BC58" s="39">
        <v>189</v>
      </c>
      <c r="BD58" s="39">
        <v>174</v>
      </c>
      <c r="BE58" s="41">
        <v>192</v>
      </c>
      <c r="BF58" s="39">
        <v>175</v>
      </c>
    </row>
    <row r="59" spans="3:58">
      <c r="C59" s="45" t="s">
        <v>433</v>
      </c>
      <c r="D59" s="35">
        <v>-1.8790105357766151E-2</v>
      </c>
      <c r="E59" s="37">
        <v>-4.8509258776903152E-2</v>
      </c>
      <c r="F59" s="38">
        <v>-0.30856943130493164</v>
      </c>
      <c r="G59" s="37">
        <v>-4.4505845755338669E-2</v>
      </c>
      <c r="H59" s="38">
        <v>-0.25230279564857483</v>
      </c>
      <c r="I59" s="38">
        <v>-0.28910309076309204</v>
      </c>
      <c r="J59" s="35">
        <v>-8.4663676097989082E-3</v>
      </c>
      <c r="K59" s="35">
        <v>8.205772377550602E-3</v>
      </c>
      <c r="L59" s="38">
        <v>-9.743557870388031E-2</v>
      </c>
      <c r="M59" s="38">
        <v>-0.31152847409248352</v>
      </c>
      <c r="N59" s="38">
        <v>-0.10178650170564651</v>
      </c>
      <c r="O59" s="38">
        <v>-0.2080894261598587</v>
      </c>
      <c r="P59" s="38">
        <v>-0.25766092538833618</v>
      </c>
      <c r="Q59" s="38">
        <v>0.15529893338680267</v>
      </c>
      <c r="R59" s="38">
        <v>0.29731953144073486</v>
      </c>
      <c r="S59" s="38">
        <v>0.3320421576499939</v>
      </c>
      <c r="T59" s="35">
        <v>-1.5000301937106997E-4</v>
      </c>
      <c r="U59" s="36">
        <v>-2.5742825120687485E-2</v>
      </c>
      <c r="V59" s="38">
        <v>-0.27561816573143005</v>
      </c>
      <c r="W59" s="35">
        <v>-4.0324772708117962E-3</v>
      </c>
      <c r="X59" s="38">
        <v>-0.23216706514358521</v>
      </c>
      <c r="Y59" s="38">
        <v>-0.20027416944503784</v>
      </c>
      <c r="Z59" s="38">
        <v>-0.1281750351190567</v>
      </c>
      <c r="AA59" s="38">
        <v>-0.10469074547290802</v>
      </c>
      <c r="AB59" s="37">
        <v>-4.6240705996751785E-2</v>
      </c>
      <c r="AC59" s="35">
        <v>3.8443722296506166E-3</v>
      </c>
      <c r="AD59" s="36">
        <v>2.2437950596213341E-2</v>
      </c>
      <c r="AE59" s="38">
        <v>-0.24646654725074768</v>
      </c>
      <c r="AF59" s="35">
        <v>-1.9189471378922462E-2</v>
      </c>
      <c r="AG59" s="38">
        <v>-0.18705388903617859</v>
      </c>
      <c r="AH59" s="38">
        <v>-0.25123068690299988</v>
      </c>
      <c r="AI59" s="38">
        <v>-0.1988874077796936</v>
      </c>
      <c r="AJ59" s="37">
        <v>-3.7608925253152847E-2</v>
      </c>
      <c r="AK59" s="38">
        <v>-9.7890302538871765E-2</v>
      </c>
      <c r="AL59" s="37">
        <v>4.3469596654176712E-2</v>
      </c>
      <c r="AM59" s="35">
        <v>1.7185190692543983E-2</v>
      </c>
      <c r="AN59" s="38">
        <v>-0.1563076376914978</v>
      </c>
      <c r="AO59" s="35">
        <v>1.7913741990923882E-2</v>
      </c>
      <c r="AP59" s="35">
        <v>8.1671681255102158E-4</v>
      </c>
      <c r="AQ59" s="38">
        <v>-0.10267170518636703</v>
      </c>
      <c r="AR59" s="38">
        <v>-0.22104176878929138</v>
      </c>
      <c r="AS59" s="38">
        <v>0.37590044736862183</v>
      </c>
      <c r="AT59" s="38">
        <v>0.436687171459198</v>
      </c>
      <c r="AU59" s="38">
        <v>-7.7120408415794373E-2</v>
      </c>
      <c r="AV59" s="38">
        <v>-0.11349271237850189</v>
      </c>
      <c r="AW59" s="38">
        <v>0.46554812788963318</v>
      </c>
      <c r="AX59" s="38">
        <v>0.28234404325485229</v>
      </c>
      <c r="AY59" s="38">
        <v>0.22742810845375061</v>
      </c>
      <c r="AZ59" s="38">
        <v>0.42434996366500854</v>
      </c>
      <c r="BA59" s="42"/>
      <c r="BB59" s="41">
        <v>190</v>
      </c>
      <c r="BC59" s="39">
        <v>189</v>
      </c>
      <c r="BD59" s="39">
        <v>174</v>
      </c>
      <c r="BE59" s="41">
        <v>192</v>
      </c>
      <c r="BF59" s="30">
        <v>175</v>
      </c>
    </row>
    <row r="60" spans="3:58">
      <c r="C60" s="45" t="s">
        <v>434</v>
      </c>
      <c r="D60" s="35">
        <v>-1.0494380258023739E-3</v>
      </c>
      <c r="E60" s="37">
        <v>-4.2172018438577652E-2</v>
      </c>
      <c r="F60" s="38">
        <v>-0.43963506817817688</v>
      </c>
      <c r="G60" s="37">
        <v>-4.3419521301984787E-2</v>
      </c>
      <c r="H60" s="38">
        <v>-0.26313269138336182</v>
      </c>
      <c r="I60" s="38">
        <v>-0.32143637537956238</v>
      </c>
      <c r="J60" s="36">
        <v>-3.0555814504623413E-2</v>
      </c>
      <c r="K60" s="35">
        <v>1.2123944907216355E-4</v>
      </c>
      <c r="L60" s="38">
        <v>-0.18435287475585938</v>
      </c>
      <c r="M60" s="38">
        <v>-0.43764737248420715</v>
      </c>
      <c r="N60" s="38">
        <v>-0.25349631905555725</v>
      </c>
      <c r="O60" s="38">
        <v>-0.32883194088935852</v>
      </c>
      <c r="P60" s="38">
        <v>-0.39548513293266296</v>
      </c>
      <c r="Q60" s="40">
        <v>0.55069178342819214</v>
      </c>
      <c r="R60" s="40">
        <v>0.53946578502655029</v>
      </c>
      <c r="S60" s="38">
        <v>0.47864645719528198</v>
      </c>
      <c r="T60" s="35">
        <v>-7.2082046244759113E-5</v>
      </c>
      <c r="U60" s="35">
        <v>2.3038459476083517E-3</v>
      </c>
      <c r="V60" s="38">
        <v>-0.35059809684753418</v>
      </c>
      <c r="W60" s="35">
        <v>3.8119610399007797E-3</v>
      </c>
      <c r="X60" s="38">
        <v>-0.27925676107406616</v>
      </c>
      <c r="Y60" s="38">
        <v>-0.3143303394317627</v>
      </c>
      <c r="Z60" s="38">
        <v>-0.1255316287279129</v>
      </c>
      <c r="AA60" s="38">
        <v>-0.23464119434356689</v>
      </c>
      <c r="AB60" s="38">
        <v>-8.762553334236145E-2</v>
      </c>
      <c r="AC60" s="35">
        <v>-1.8380333494860679E-4</v>
      </c>
      <c r="AD60" s="37">
        <v>5.2633784711360931E-2</v>
      </c>
      <c r="AE60" s="38">
        <v>-0.31407555937767029</v>
      </c>
      <c r="AF60" s="36">
        <v>-2.7437822893261909E-2</v>
      </c>
      <c r="AG60" s="38">
        <v>-0.34037503600120544</v>
      </c>
      <c r="AH60" s="38">
        <v>-0.38596662878990173</v>
      </c>
      <c r="AI60" s="38">
        <v>-0.28310689330101013</v>
      </c>
      <c r="AJ60" s="38">
        <v>-9.1785088181495667E-2</v>
      </c>
      <c r="AK60" s="38">
        <v>-0.19785471260547638</v>
      </c>
      <c r="AL60" s="35">
        <v>1.0969339869916439E-2</v>
      </c>
      <c r="AM60" s="35">
        <v>5.7194959372282028E-3</v>
      </c>
      <c r="AN60" s="38">
        <v>-0.23899444937705994</v>
      </c>
      <c r="AO60" s="35">
        <v>8.8890222832560539E-3</v>
      </c>
      <c r="AP60" s="35">
        <v>-9.5428171334788203E-4</v>
      </c>
      <c r="AQ60" s="38">
        <v>-0.2113146036863327</v>
      </c>
      <c r="AR60" s="38">
        <v>-0.33946922421455383</v>
      </c>
      <c r="AS60" s="38">
        <v>0.48128867149353027</v>
      </c>
      <c r="AT60" s="38">
        <v>0.42618826031684875</v>
      </c>
      <c r="AU60" s="37">
        <v>-5.4120078682899475E-2</v>
      </c>
      <c r="AV60" s="38">
        <v>-0.1405281275510788</v>
      </c>
      <c r="AW60" s="38">
        <v>0.43749234080314636</v>
      </c>
      <c r="AX60" s="38">
        <v>0.24193218350410461</v>
      </c>
      <c r="AY60" s="38">
        <v>0.21966780722141266</v>
      </c>
      <c r="AZ60" s="40">
        <v>0.50233644247055054</v>
      </c>
      <c r="BA60" s="40">
        <v>0.55858206748962402</v>
      </c>
      <c r="BB60" s="42"/>
      <c r="BC60" s="39">
        <v>188</v>
      </c>
      <c r="BD60" s="39">
        <v>174</v>
      </c>
      <c r="BE60" s="41">
        <v>190</v>
      </c>
      <c r="BF60" s="39">
        <v>175</v>
      </c>
    </row>
    <row r="61" spans="3:58">
      <c r="C61" s="45" t="s">
        <v>435</v>
      </c>
      <c r="D61" s="35">
        <v>-1.8081323942169547E-3</v>
      </c>
      <c r="E61" s="37">
        <v>-4.4337555766105652E-2</v>
      </c>
      <c r="F61" s="38">
        <v>-0.47817087173461914</v>
      </c>
      <c r="G61" s="35">
        <v>-1.7838349565863609E-2</v>
      </c>
      <c r="H61" s="38">
        <v>-0.21041569113731384</v>
      </c>
      <c r="I61" s="38">
        <v>-0.29431799054145813</v>
      </c>
      <c r="J61" s="36">
        <v>-2.4413391947746277E-2</v>
      </c>
      <c r="K61" s="36">
        <v>-3.0012322589755058E-2</v>
      </c>
      <c r="L61" s="38">
        <v>-0.14506660401821136</v>
      </c>
      <c r="M61" s="40">
        <v>-0.64139419794082642</v>
      </c>
      <c r="N61" s="38">
        <v>-0.35843375325202942</v>
      </c>
      <c r="O61" s="40">
        <v>-0.60616809129714966</v>
      </c>
      <c r="P61" s="40">
        <v>-0.621917724609375</v>
      </c>
      <c r="Q61" s="38">
        <v>0.2816196084022522</v>
      </c>
      <c r="R61" s="40">
        <v>0.6127205491065979</v>
      </c>
      <c r="S61" s="40">
        <v>0.64181011915206909</v>
      </c>
      <c r="T61" s="35">
        <v>-1.1926854960620403E-2</v>
      </c>
      <c r="U61" s="35">
        <v>6.4698611386120319E-3</v>
      </c>
      <c r="V61" s="38">
        <v>-0.42102864384651184</v>
      </c>
      <c r="W61" s="38">
        <v>7.3539108037948608E-2</v>
      </c>
      <c r="X61" s="38">
        <v>-0.43099308013916016</v>
      </c>
      <c r="Y61" s="38">
        <v>-0.48159530758857727</v>
      </c>
      <c r="Z61" s="38">
        <v>-9.9227666854858398E-2</v>
      </c>
      <c r="AA61" s="38">
        <v>-0.3248668909072876</v>
      </c>
      <c r="AB61" s="38">
        <v>-0.13484320044517517</v>
      </c>
      <c r="AC61" s="35">
        <v>-3.1823271419852972E-3</v>
      </c>
      <c r="AD61" s="35">
        <v>1.3748618774116039E-2</v>
      </c>
      <c r="AE61" s="38">
        <v>-0.48995676636695862</v>
      </c>
      <c r="AF61" s="38">
        <v>-6.4427934587001801E-2</v>
      </c>
      <c r="AG61" s="38">
        <v>-0.29273989796638489</v>
      </c>
      <c r="AH61" s="38">
        <v>-0.47262060642242432</v>
      </c>
      <c r="AI61" s="38">
        <v>-0.4453885555267334</v>
      </c>
      <c r="AJ61" s="38">
        <v>-0.46372202038764954</v>
      </c>
      <c r="AK61" s="38">
        <v>-0.42512795329093933</v>
      </c>
      <c r="AL61" s="35">
        <v>-3.735728096216917E-4</v>
      </c>
      <c r="AM61" s="35">
        <v>-3.9671018021181226E-4</v>
      </c>
      <c r="AN61" s="40">
        <v>-0.52241438627243042</v>
      </c>
      <c r="AO61" s="35">
        <v>4.7931571316439658E-5</v>
      </c>
      <c r="AP61" s="35">
        <v>-4.8199718003161252E-4</v>
      </c>
      <c r="AQ61" s="38">
        <v>-0.26680254936218262</v>
      </c>
      <c r="AR61" s="40">
        <v>-0.61017388105392456</v>
      </c>
      <c r="AS61" s="38">
        <v>0.37546452879905701</v>
      </c>
      <c r="AT61" s="38">
        <v>0.32090511918067932</v>
      </c>
      <c r="AU61" s="35">
        <v>9.5618106424808502E-3</v>
      </c>
      <c r="AV61" s="36">
        <v>-2.6400329545140266E-2</v>
      </c>
      <c r="AW61" s="38">
        <v>0.26441472768783569</v>
      </c>
      <c r="AX61" s="38">
        <v>8.4003463387489319E-2</v>
      </c>
      <c r="AY61" s="38">
        <v>0.22688472270965576</v>
      </c>
      <c r="AZ61" s="38">
        <v>0.1674056351184845</v>
      </c>
      <c r="BA61" s="38">
        <v>0.19718649983406067</v>
      </c>
      <c r="BB61" s="38">
        <v>0.26539182662963867</v>
      </c>
      <c r="BC61" s="42"/>
      <c r="BD61" s="39">
        <v>174</v>
      </c>
      <c r="BE61" s="39">
        <v>189</v>
      </c>
      <c r="BF61" s="30">
        <v>174</v>
      </c>
    </row>
    <row r="62" spans="3:58">
      <c r="C62" s="45" t="s">
        <v>436</v>
      </c>
      <c r="D62" s="35">
        <v>-2.0009759813547134E-2</v>
      </c>
      <c r="E62" s="35">
        <v>-1.9759804010391235E-2</v>
      </c>
      <c r="F62" s="38">
        <v>-0.3640366792678833</v>
      </c>
      <c r="G62" s="37">
        <v>-4.4202201068401337E-2</v>
      </c>
      <c r="H62" s="38">
        <v>-0.37566593289375305</v>
      </c>
      <c r="I62" s="38">
        <v>-0.34054538607597351</v>
      </c>
      <c r="J62" s="38">
        <v>-6.1539236456155777E-2</v>
      </c>
      <c r="K62" s="38">
        <v>-6.6010482609272003E-2</v>
      </c>
      <c r="L62" s="38">
        <v>-0.13899731636047363</v>
      </c>
      <c r="M62" s="38">
        <v>-0.44307184219360352</v>
      </c>
      <c r="N62" s="38">
        <v>-0.3831213116645813</v>
      </c>
      <c r="O62" s="40">
        <v>-0.63264667987823486</v>
      </c>
      <c r="P62" s="40">
        <v>-0.65639472007751465</v>
      </c>
      <c r="Q62" s="38">
        <v>0.21083973348140717</v>
      </c>
      <c r="R62" s="38">
        <v>0.45809054374694824</v>
      </c>
      <c r="S62" s="40">
        <v>0.56441724300384521</v>
      </c>
      <c r="T62" s="35">
        <v>-7.1719952393323183E-4</v>
      </c>
      <c r="U62" s="35">
        <v>-1.2311977334320545E-3</v>
      </c>
      <c r="V62" s="38">
        <v>-0.35357967019081116</v>
      </c>
      <c r="W62" s="38">
        <v>0.19533547759056091</v>
      </c>
      <c r="X62" s="38">
        <v>-0.3140532374382019</v>
      </c>
      <c r="Y62" s="38">
        <v>-0.43536064028739929</v>
      </c>
      <c r="Z62" s="38">
        <v>-0.32607650756835938</v>
      </c>
      <c r="AA62" s="38">
        <v>-0.37724727392196655</v>
      </c>
      <c r="AB62" s="38">
        <v>-0.15879923105239868</v>
      </c>
      <c r="AC62" s="35">
        <v>4.4246800243854523E-3</v>
      </c>
      <c r="AD62" s="35">
        <v>-2.1055245772004128E-2</v>
      </c>
      <c r="AE62" s="38">
        <v>-0.43903020024299622</v>
      </c>
      <c r="AF62" s="35">
        <v>-1.7073396593332291E-3</v>
      </c>
      <c r="AG62" s="40">
        <v>-0.59494102001190186</v>
      </c>
      <c r="AH62" s="40">
        <v>-0.50455516576766968</v>
      </c>
      <c r="AI62" s="40">
        <v>-0.53282147645950317</v>
      </c>
      <c r="AJ62" s="38">
        <v>-0.24813060462474823</v>
      </c>
      <c r="AK62" s="38">
        <v>-0.40045565366744995</v>
      </c>
      <c r="AL62" s="35">
        <v>-1.2731101363897324E-2</v>
      </c>
      <c r="AM62" s="35">
        <v>-1.3711736537516117E-2</v>
      </c>
      <c r="AN62" s="38">
        <v>-0.45014300942420959</v>
      </c>
      <c r="AO62" s="35">
        <v>1.5250013209879398E-2</v>
      </c>
      <c r="AP62" s="35">
        <v>-2.0652184262871742E-2</v>
      </c>
      <c r="AQ62" s="38">
        <v>-0.2432752251625061</v>
      </c>
      <c r="AR62" s="40">
        <v>-0.61980009078979492</v>
      </c>
      <c r="AS62" s="38">
        <v>0.23916774988174438</v>
      </c>
      <c r="AT62" s="38">
        <v>0.22226080298423767</v>
      </c>
      <c r="AU62" s="36">
        <v>-3.3080663532018661E-2</v>
      </c>
      <c r="AV62" s="38">
        <v>-0.18509884178638458</v>
      </c>
      <c r="AW62" s="38">
        <v>0.19772204756736755</v>
      </c>
      <c r="AX62" s="37">
        <v>4.8809267580509186E-2</v>
      </c>
      <c r="AY62" s="38">
        <v>0.32982686161994934</v>
      </c>
      <c r="AZ62" s="38">
        <v>0.12577910721302032</v>
      </c>
      <c r="BA62" s="38">
        <v>0.24163444340229034</v>
      </c>
      <c r="BB62" s="38">
        <v>0.25712785124778748</v>
      </c>
      <c r="BC62" s="38">
        <v>0.37056651711463928</v>
      </c>
      <c r="BD62" s="42"/>
      <c r="BE62" s="39">
        <v>174</v>
      </c>
      <c r="BF62">
        <v>163</v>
      </c>
    </row>
    <row r="63" spans="3:58">
      <c r="C63" s="45" t="s">
        <v>437</v>
      </c>
      <c r="D63" s="35">
        <v>-1.2802181299775839E-4</v>
      </c>
      <c r="E63" s="37">
        <v>-5.0179075449705124E-2</v>
      </c>
      <c r="F63" s="40">
        <v>-0.50833314657211304</v>
      </c>
      <c r="G63" s="37">
        <v>-4.5806907117366791E-2</v>
      </c>
      <c r="H63" s="38">
        <v>-0.28735384345054626</v>
      </c>
      <c r="I63" s="38">
        <v>-0.36765792965888977</v>
      </c>
      <c r="J63" s="36">
        <v>-2.4287933483719826E-2</v>
      </c>
      <c r="K63" s="35">
        <v>8.3496815932448953E-5</v>
      </c>
      <c r="L63" s="38">
        <v>-0.21604172885417938</v>
      </c>
      <c r="M63" s="40">
        <v>-0.50650107860565186</v>
      </c>
      <c r="N63" s="38">
        <v>-0.2763027548789978</v>
      </c>
      <c r="O63" s="38">
        <v>-0.38328373432159424</v>
      </c>
      <c r="P63" s="38">
        <v>-0.46025055646896362</v>
      </c>
      <c r="Q63" s="38">
        <v>0.34710383415222168</v>
      </c>
      <c r="R63" s="40">
        <v>0.58196812868118286</v>
      </c>
      <c r="S63" s="40">
        <v>0.55496150255203247</v>
      </c>
      <c r="T63" s="35">
        <v>-3.8795170839875937E-3</v>
      </c>
      <c r="U63" s="35">
        <v>8.4780743345618248E-3</v>
      </c>
      <c r="V63" s="38">
        <v>-0.40487325191497803</v>
      </c>
      <c r="W63" s="35">
        <v>1.049437653273344E-2</v>
      </c>
      <c r="X63" s="38">
        <v>-0.33853235840797424</v>
      </c>
      <c r="Y63" s="38">
        <v>-0.37953302264213562</v>
      </c>
      <c r="Z63" s="38">
        <v>-0.18923614919185638</v>
      </c>
      <c r="AA63" s="38">
        <v>-0.23481591045856476</v>
      </c>
      <c r="AB63" s="38">
        <v>-0.11104653775691986</v>
      </c>
      <c r="AC63" s="35">
        <v>8.4469764260575175E-4</v>
      </c>
      <c r="AD63" s="37">
        <v>4.9481317400932312E-2</v>
      </c>
      <c r="AE63" s="38">
        <v>-0.35860177874565125</v>
      </c>
      <c r="AF63" s="35">
        <v>-1.843101903796196E-2</v>
      </c>
      <c r="AG63" s="38">
        <v>-0.36732617020606995</v>
      </c>
      <c r="AH63" s="38">
        <v>-0.4290047287940979</v>
      </c>
      <c r="AI63" s="38">
        <v>-0.35288286209106445</v>
      </c>
      <c r="AJ63" s="38">
        <v>-0.11548380553722382</v>
      </c>
      <c r="AK63" s="38">
        <v>-0.24557164311408997</v>
      </c>
      <c r="AL63" s="36">
        <v>2.2611536085605621E-2</v>
      </c>
      <c r="AM63" s="36">
        <v>2.4353228509426117E-2</v>
      </c>
      <c r="AN63" s="38">
        <v>-0.28688064217567444</v>
      </c>
      <c r="AO63" s="35">
        <v>8.2208188250660896E-3</v>
      </c>
      <c r="AP63" s="35">
        <v>-2.6017716154456139E-3</v>
      </c>
      <c r="AQ63" s="38">
        <v>-0.28362953662872314</v>
      </c>
      <c r="AR63" s="38">
        <v>-0.39455458521842957</v>
      </c>
      <c r="AS63" s="40">
        <v>0.54484128952026367</v>
      </c>
      <c r="AT63" s="38">
        <v>0.47201532125473022</v>
      </c>
      <c r="AU63" s="36">
        <v>-3.6042999476194382E-2</v>
      </c>
      <c r="AV63" s="38">
        <v>-0.11651992052793503</v>
      </c>
      <c r="AW63" s="38">
        <v>0.47734269499778748</v>
      </c>
      <c r="AX63" s="38">
        <v>0.27720192074775696</v>
      </c>
      <c r="AY63" s="38">
        <v>0.27972906827926636</v>
      </c>
      <c r="AZ63" s="40">
        <v>0.58724141120910645</v>
      </c>
      <c r="BA63" s="40">
        <v>0.62545746564865112</v>
      </c>
      <c r="BB63" s="40">
        <v>0.88935595750808716</v>
      </c>
      <c r="BC63" s="38">
        <v>0.31001457571983337</v>
      </c>
      <c r="BD63" s="38">
        <v>0.29771688580513</v>
      </c>
      <c r="BE63" s="42"/>
      <c r="BF63" s="39">
        <v>175</v>
      </c>
    </row>
    <row r="64" spans="3:58">
      <c r="C64" s="45" t="s">
        <v>438</v>
      </c>
      <c r="D64" s="35">
        <v>6.5011712722480297E-3</v>
      </c>
      <c r="E64" s="35">
        <v>5.9671696362784132E-5</v>
      </c>
      <c r="F64" s="36">
        <v>-3.1012097373604774E-2</v>
      </c>
      <c r="G64" s="35">
        <v>1.9504956435412169E-3</v>
      </c>
      <c r="H64" s="35">
        <v>4.8739713383838534E-4</v>
      </c>
      <c r="I64" s="35">
        <v>-1.3810889504384249E-4</v>
      </c>
      <c r="J64" s="35">
        <v>-1.0594637133181095E-3</v>
      </c>
      <c r="K64" s="37">
        <v>3.8480184972286224E-2</v>
      </c>
      <c r="L64" s="37">
        <v>-4.4224608689546585E-2</v>
      </c>
      <c r="M64" s="38">
        <v>-0.10779795050621033</v>
      </c>
      <c r="N64" s="36">
        <v>-2.3806279525160789E-2</v>
      </c>
      <c r="O64" s="35">
        <v>-1.7946681007742882E-2</v>
      </c>
      <c r="P64" s="35">
        <v>-1.7771907150745392E-2</v>
      </c>
      <c r="Q64" s="36">
        <v>3.2432455569505692E-2</v>
      </c>
      <c r="R64" s="37">
        <v>4.7862313687801361E-2</v>
      </c>
      <c r="S64" s="37">
        <v>4.5813839882612228E-2</v>
      </c>
      <c r="T64" s="35">
        <v>4.9491715617477894E-3</v>
      </c>
      <c r="U64" s="35">
        <v>2.1397849544882774E-2</v>
      </c>
      <c r="V64" s="38">
        <v>-5.9363190084695816E-2</v>
      </c>
      <c r="W64" s="35">
        <v>-2.7889135526493192E-4</v>
      </c>
      <c r="X64" s="37">
        <v>-5.3869094699621201E-2</v>
      </c>
      <c r="Y64" s="37">
        <v>-4.7527920454740524E-2</v>
      </c>
      <c r="Z64" s="36">
        <v>-3.3706359565258026E-2</v>
      </c>
      <c r="AA64" s="35">
        <v>-3.9392993785440922E-3</v>
      </c>
      <c r="AB64" s="35">
        <v>1.4814527276030276E-6</v>
      </c>
      <c r="AC64" s="35">
        <v>-7.4213766492903233E-3</v>
      </c>
      <c r="AD64" s="36">
        <v>3.495396301150322E-2</v>
      </c>
      <c r="AE64" s="36">
        <v>-3.6508958786725998E-2</v>
      </c>
      <c r="AF64" s="35">
        <v>1.1262760497629642E-2</v>
      </c>
      <c r="AG64" s="35">
        <v>-1.8552456051111221E-2</v>
      </c>
      <c r="AH64" s="36">
        <v>-2.5397311896085739E-2</v>
      </c>
      <c r="AI64" s="36">
        <v>-3.7048511207103729E-2</v>
      </c>
      <c r="AJ64" s="35">
        <v>-2.8390164952725172E-3</v>
      </c>
      <c r="AK64" s="35">
        <v>-1.7362222075462341E-2</v>
      </c>
      <c r="AL64" s="35">
        <v>2.1493660286068916E-2</v>
      </c>
      <c r="AM64" s="36">
        <v>2.4416055530309677E-2</v>
      </c>
      <c r="AN64" s="37">
        <v>-3.8092177361249924E-2</v>
      </c>
      <c r="AO64" s="35">
        <v>-1.8396466970443726E-2</v>
      </c>
      <c r="AP64" s="35">
        <v>-3.3024844015017152E-4</v>
      </c>
      <c r="AQ64" s="36">
        <v>-2.8520550578832626E-2</v>
      </c>
      <c r="AR64" s="36">
        <v>-2.3589886724948883E-2</v>
      </c>
      <c r="AS64" s="38">
        <v>0.19431738555431366</v>
      </c>
      <c r="AT64" s="37">
        <v>5.3060099482536316E-2</v>
      </c>
      <c r="AU64" s="35">
        <v>1.5193503350019455E-2</v>
      </c>
      <c r="AV64" s="35">
        <v>-5.1675750873982906E-3</v>
      </c>
      <c r="AW64" s="36">
        <v>3.5043057054281235E-2</v>
      </c>
      <c r="AX64" s="35">
        <v>1.8967349082231522E-2</v>
      </c>
      <c r="AY64" s="36">
        <v>2.2068848833441734E-2</v>
      </c>
      <c r="AZ64" s="38">
        <v>6.7742146551609039E-2</v>
      </c>
      <c r="BA64" s="37">
        <v>4.3723497539758682E-2</v>
      </c>
      <c r="BB64" s="38">
        <v>9.5531776547431946E-2</v>
      </c>
      <c r="BC64" s="37">
        <v>4.6064697206020355E-2</v>
      </c>
      <c r="BD64" s="35">
        <v>3.4512307029217482E-3</v>
      </c>
      <c r="BE64" s="38">
        <v>0.10338164865970612</v>
      </c>
      <c r="BF64" s="42"/>
    </row>
    <row r="66" spans="2:14" ht="61" thickBot="1">
      <c r="D66" s="96" t="s">
        <v>395</v>
      </c>
      <c r="E66" s="96" t="s">
        <v>396</v>
      </c>
      <c r="F66" s="96" t="s">
        <v>397</v>
      </c>
      <c r="G66" s="96" t="s">
        <v>398</v>
      </c>
      <c r="H66" s="96" t="s">
        <v>399</v>
      </c>
      <c r="I66" s="96" t="s">
        <v>400</v>
      </c>
      <c r="J66" s="96" t="s">
        <v>390</v>
      </c>
      <c r="K66" s="96" t="s">
        <v>385</v>
      </c>
      <c r="L66" s="96" t="s">
        <v>389</v>
      </c>
      <c r="M66" s="96" t="s">
        <v>393</v>
      </c>
      <c r="N66" s="96" t="s">
        <v>526</v>
      </c>
    </row>
    <row r="67" spans="2:14" ht="16" thickTop="1">
      <c r="B67" s="27" t="s">
        <v>539</v>
      </c>
      <c r="C67" s="95" t="s">
        <v>540</v>
      </c>
      <c r="D67" s="35">
        <f t="array" ref="D67">AVERAGE(ABS(D26:D49))</f>
        <v>2.8012828796969796E-2</v>
      </c>
      <c r="E67" s="35">
        <f t="array" ref="E67">AVERAGE(ABS(E26:E49))</f>
        <v>1.6517014607217106E-2</v>
      </c>
      <c r="F67" s="35">
        <f t="array" ref="F67">AVERAGE(ABS(F26:F49))</f>
        <v>0.20109737021266483</v>
      </c>
      <c r="G67" s="35">
        <f t="array" ref="G67">AVERAGE(ABS(G26:G49))</f>
        <v>2.6916328632826964E-2</v>
      </c>
      <c r="H67" s="35">
        <f t="array" ref="H67">AVERAGE(ABS(H26:H49))</f>
        <v>0.1099229905133446</v>
      </c>
      <c r="I67" s="35">
        <f t="array" ref="I67">AVERAGE(ABS(I26:I49))</f>
        <v>0.11435099901427748</v>
      </c>
      <c r="J67" s="35">
        <f t="array" ref="J67">AVERAGE(ABS(J26:J49))</f>
        <v>2.47131807191181E-2</v>
      </c>
      <c r="K67" s="35">
        <f t="array" ref="K67">AVERAGE(ABS(K26:K49))</f>
        <v>3.7998344601267796E-2</v>
      </c>
      <c r="L67" s="35">
        <f t="array" ref="L67">AVERAGE(ABS(L26:L49))</f>
        <v>0.10561022323236102</v>
      </c>
      <c r="M67" s="35">
        <f t="array" ref="M67">AVERAGE(ABS(M26:M49))</f>
        <v>0.3227713036588587</v>
      </c>
      <c r="N67" s="35">
        <f t="array" ref="N67">AVERAGE(ABS(N26:N49))</f>
        <v>0.2050111460230255</v>
      </c>
    </row>
    <row r="68" spans="2:14">
      <c r="C68" s="95" t="s">
        <v>541</v>
      </c>
      <c r="D68" s="35">
        <f t="array" ref="D68">AVERAGE(ABS(D51:D64))</f>
        <v>4.5985179572848468E-3</v>
      </c>
      <c r="E68" s="35">
        <f t="array" ref="E68">AVERAGE(ABS(E51:E64))</f>
        <v>3.2375986643923431E-2</v>
      </c>
      <c r="F68" s="35">
        <f t="array" ref="F68">AVERAGE(ABS(F51:F64))</f>
        <v>0.28445074627442019</v>
      </c>
      <c r="G68" s="35">
        <f t="array" ref="G68">AVERAGE(ABS(G51:G64))</f>
        <v>4.5902647626852353E-2</v>
      </c>
      <c r="H68" s="35">
        <f t="array" ref="H68">AVERAGE(ABS(H51:H64))</f>
        <v>0.18867708760496629</v>
      </c>
      <c r="I68" s="35">
        <f t="array" ref="I68">AVERAGE(ABS(I51:I64))</f>
        <v>0.22916320320863243</v>
      </c>
      <c r="J68" s="35">
        <f t="array" ref="J68">AVERAGE(ABS(J51:J64))</f>
        <v>2.0972015169848288E-2</v>
      </c>
      <c r="K68" s="35">
        <f t="array" ref="K68">AVERAGE(ABS(K51:K64))</f>
        <v>2.160921646386019E-2</v>
      </c>
      <c r="L68" s="35">
        <f t="array" ref="L68">AVERAGE(ABS(L51:L64))</f>
        <v>0.10452942716489945</v>
      </c>
      <c r="M68" s="35">
        <f t="array" ref="M68">AVERAGE(ABS(M51:M64))</f>
        <v>0.30120676851532024</v>
      </c>
      <c r="N68" s="35">
        <f t="array" ref="N68">AVERAGE(ABS(N51:N64))</f>
        <v>0.1784766849263438</v>
      </c>
    </row>
    <row r="69" spans="2:14">
      <c r="C69" s="95" t="s">
        <v>542</v>
      </c>
      <c r="D69" s="35">
        <f t="array" ref="D69">AVERAGE(ABS(D26:D64))</f>
        <v>1.889464994196598E-2</v>
      </c>
      <c r="E69" s="35">
        <f t="array" ref="E69">AVERAGE(ABS(E26:E64))</f>
        <v>2.2523574166505054E-2</v>
      </c>
      <c r="F69" s="35">
        <f t="array" ref="F69">AVERAGE(ABS(F26:F64))</f>
        <v>0.2369423278977569</v>
      </c>
      <c r="G69" s="35">
        <f t="array" ref="G69">AVERAGE(ABS(G26:G64))</f>
        <v>3.3410736825037299E-2</v>
      </c>
      <c r="H69" s="35">
        <f t="array" ref="H69">AVERAGE(ABS(H26:H64))</f>
        <v>0.14341119568621835</v>
      </c>
      <c r="I69" s="35">
        <f t="array" ref="I69">AVERAGE(ABS(I26:I64))</f>
        <v>0.16023380814369423</v>
      </c>
      <c r="J69" s="35">
        <f t="array" ref="J69">AVERAGE(ABS(J26:J64))</f>
        <v>2.3643923572634753E-2</v>
      </c>
      <c r="K69" s="35">
        <f t="array" ref="K69">AVERAGE(ABS(K26:K64))</f>
        <v>3.2777440404737346E-2</v>
      </c>
      <c r="L69" s="35">
        <f t="array" ref="L69">AVERAGE(ABS(L26:L64))</f>
        <v>0.10864737406462574</v>
      </c>
      <c r="M69" s="35">
        <f t="array" ref="M69">AVERAGE(ABS(M26:M64))</f>
        <v>0.32574790157825473</v>
      </c>
      <c r="N69" s="35">
        <f t="array" ref="N69">AVERAGE(ABS(N26:N64))</f>
        <v>0.20359029711406224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1]!PairCompare">
                <anchor moveWithCells="1" sizeWithCells="1">
                  <from>
                    <xdr:col>0</xdr:col>
                    <xdr:colOff>127000</xdr:colOff>
                    <xdr:row>10</xdr:row>
                    <xdr:rowOff>139700</xdr:rowOff>
                  </from>
                  <to>
                    <xdr:col>1</xdr:col>
                    <xdr:colOff>444500</xdr:colOff>
                    <xdr:row>12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90"/>
  </sheetPr>
  <dimension ref="A2:AM202"/>
  <sheetViews>
    <sheetView workbookViewId="0">
      <pane xSplit="2" ySplit="10" topLeftCell="C179" activePane="bottomRight" state="frozen"/>
      <selection activeCell="AG179" sqref="AG179"/>
      <selection pane="topRight" activeCell="AG179" sqref="AG179"/>
      <selection pane="bottomLeft" activeCell="AG179" sqref="AG179"/>
      <selection pane="bottomRight" activeCell="AG179" sqref="AG179"/>
    </sheetView>
  </sheetViews>
  <sheetFormatPr baseColWidth="10" defaultRowHeight="15" x14ac:dyDescent="0"/>
  <cols>
    <col min="3" max="4" width="14.33203125" customWidth="1"/>
    <col min="5" max="5" width="12.6640625" customWidth="1"/>
    <col min="6" max="6" width="11" bestFit="1" customWidth="1"/>
    <col min="9" max="9" width="11" customWidth="1"/>
    <col min="11" max="11" width="13.1640625" bestFit="1" customWidth="1"/>
    <col min="12" max="12" width="11.6640625" bestFit="1" customWidth="1"/>
    <col min="14" max="14" width="3.33203125" style="57" customWidth="1"/>
    <col min="15" max="15" width="9.83203125" style="2" customWidth="1"/>
    <col min="17" max="17" width="2.83203125" style="57" customWidth="1"/>
    <col min="22" max="22" width="3" style="57" customWidth="1"/>
    <col min="24" max="24" width="3" style="57" customWidth="1"/>
    <col min="25" max="25" width="15.33203125" customWidth="1"/>
    <col min="30" max="30" width="6.83203125" customWidth="1"/>
  </cols>
  <sheetData>
    <row r="2" spans="1:39">
      <c r="B2" t="s">
        <v>386</v>
      </c>
      <c r="C2" s="48">
        <f>mmean(C11:C202)</f>
        <v>35878481.939474791</v>
      </c>
      <c r="D2" s="48">
        <f t="shared" ref="D2:E2" si="0">mmean(D11:D202)</f>
        <v>18261303.256849002</v>
      </c>
      <c r="E2" s="48">
        <f t="shared" si="0"/>
        <v>17617178.6826258</v>
      </c>
      <c r="F2" s="48">
        <f>mmean(F11:F202)</f>
        <v>1.4031609143705177</v>
      </c>
      <c r="G2" s="47">
        <f>mmean(G11:G202)</f>
        <v>55.881818181818133</v>
      </c>
      <c r="H2" s="47">
        <f t="shared" ref="H2:S2" si="1">mmean(H11:H202)</f>
        <v>44.118181818181831</v>
      </c>
      <c r="I2" s="47">
        <f t="shared" si="1"/>
        <v>2.1750817331240779</v>
      </c>
      <c r="J2" s="47">
        <f t="shared" si="1"/>
        <v>0.42526094593323455</v>
      </c>
      <c r="K2" s="48">
        <f t="shared" ref="K2:M2" si="2">mmean(K11:K202)</f>
        <v>402758.03012578248</v>
      </c>
      <c r="L2" s="48">
        <f t="shared" si="2"/>
        <v>184903.24465766951</v>
      </c>
      <c r="M2" s="49">
        <f t="shared" si="2"/>
        <v>0.61812876946503614</v>
      </c>
      <c r="N2" s="59"/>
      <c r="O2" s="47">
        <f t="shared" si="1"/>
        <v>37.163395786979926</v>
      </c>
      <c r="P2" s="47">
        <f t="shared" si="1"/>
        <v>23.254725620184455</v>
      </c>
      <c r="Q2" s="56"/>
      <c r="R2" s="47">
        <f t="shared" si="1"/>
        <v>71.992307692307691</v>
      </c>
      <c r="S2" s="47">
        <f t="shared" si="1"/>
        <v>65.672131147540981</v>
      </c>
      <c r="T2" s="2">
        <f>mmean(T11:T202)</f>
        <v>78.572222222222223</v>
      </c>
      <c r="V2" s="55"/>
      <c r="W2" s="2">
        <f t="shared" ref="W2" si="3">mmean(W11:W202)</f>
        <v>24.428930817610055</v>
      </c>
      <c r="X2" s="55"/>
      <c r="Y2" s="27" t="s">
        <v>386</v>
      </c>
      <c r="Z2" s="2">
        <f>mmean(Z11:Z202)</f>
        <v>0.29589093663898808</v>
      </c>
      <c r="AA2" s="2">
        <f>mmean(AA11:AA202)</f>
        <v>0.37673868626777357</v>
      </c>
      <c r="AB2" s="2">
        <f>mmean(AB11:AB202)</f>
        <v>0.32344632768361564</v>
      </c>
      <c r="AC2" s="2">
        <f>mmean(AC11:AC202)</f>
        <v>0.33561545372866131</v>
      </c>
      <c r="AD2" s="2"/>
      <c r="AG2" s="2">
        <f>mmean(AG11:AG202)</f>
        <v>0.33584019140341342</v>
      </c>
    </row>
    <row r="3" spans="1:39">
      <c r="B3" t="s">
        <v>387</v>
      </c>
      <c r="C3" s="48">
        <f>mstDev(C11:C202)</f>
        <v>134164821.24303728</v>
      </c>
      <c r="D3" s="48">
        <f t="shared" ref="D3:E3" si="4">mstDev(D11:D202)</f>
        <v>57263864.620606937</v>
      </c>
      <c r="E3" s="48">
        <f t="shared" si="4"/>
        <v>81392791.342801943</v>
      </c>
      <c r="F3" s="48">
        <f>mstDev(F11:F202)</f>
        <v>1.3496929414701946</v>
      </c>
      <c r="G3" s="47">
        <f>mstDev(G11:G202)</f>
        <v>22.96295265260785</v>
      </c>
      <c r="H3" s="47">
        <f t="shared" ref="H3:S3" si="5">mstDev(H11:H202)</f>
        <v>22.962952652607715</v>
      </c>
      <c r="I3" s="47">
        <f t="shared" si="5"/>
        <v>1.6948987849769857</v>
      </c>
      <c r="J3" s="47">
        <f t="shared" si="5"/>
        <v>1.7171802488524421</v>
      </c>
      <c r="K3" s="48">
        <f t="shared" ref="K3:M3" si="6">mstDev(K11:K202)</f>
        <v>1335285.5096132972</v>
      </c>
      <c r="L3" s="48">
        <f t="shared" si="6"/>
        <v>491598.13737020281</v>
      </c>
      <c r="M3" s="49">
        <f t="shared" si="6"/>
        <v>1.8416769583669834</v>
      </c>
      <c r="N3" s="59"/>
      <c r="O3" s="47">
        <f t="shared" si="5"/>
        <v>22.321473554618461</v>
      </c>
      <c r="P3" s="47">
        <f t="shared" si="5"/>
        <v>15.251247643173082</v>
      </c>
      <c r="Q3" s="56"/>
      <c r="R3" s="47">
        <f t="shared" si="5"/>
        <v>29.871321566072304</v>
      </c>
      <c r="S3" s="47">
        <f t="shared" si="5"/>
        <v>33.492358310717307</v>
      </c>
      <c r="T3" s="2">
        <f>mstDev(T11:T202)</f>
        <v>24.759182158936351</v>
      </c>
      <c r="V3" s="55"/>
      <c r="W3" s="2">
        <f t="shared" ref="W3" si="7">mstDev(W11:W202)</f>
        <v>28.677045788901054</v>
      </c>
      <c r="X3" s="55"/>
      <c r="Y3" s="27" t="s">
        <v>387</v>
      </c>
      <c r="Z3" s="2">
        <f>mstDev(Z11:Z202)</f>
        <v>0.30537643378978463</v>
      </c>
      <c r="AA3" s="2">
        <f>mstDev(AA11:AA202)</f>
        <v>0.28082038832660017</v>
      </c>
      <c r="AB3" s="2">
        <f>mstDev(AB11:AB202)</f>
        <v>0.34605280518717779</v>
      </c>
      <c r="AC3" s="2">
        <f>mstDev(AC11:AC202)</f>
        <v>0.38328948219777997</v>
      </c>
      <c r="AD3" s="2"/>
      <c r="AG3" s="2">
        <f>mstDev(AG11:AG202)</f>
        <v>0.20743968693569889</v>
      </c>
    </row>
    <row r="4" spans="1:39">
      <c r="B4" t="s">
        <v>474</v>
      </c>
      <c r="C4" s="48">
        <f>mmedian(C11:C201)</f>
        <v>7402132</v>
      </c>
      <c r="D4" s="48">
        <f t="shared" ref="D4:E4" si="8">mmedian(D11:D201)</f>
        <v>3609973.7220000001</v>
      </c>
      <c r="E4" s="48">
        <f t="shared" si="8"/>
        <v>2515604.2275</v>
      </c>
      <c r="F4" s="48">
        <f>mmedian(F11:F201)</f>
        <v>1.2459745738738415</v>
      </c>
      <c r="G4" s="47">
        <f>mmedian(G11:G201)</f>
        <v>58.25</v>
      </c>
      <c r="H4" s="47">
        <f t="shared" ref="H4:S4" si="9">mmedian(H11:H201)</f>
        <v>41.75</v>
      </c>
      <c r="I4" s="47">
        <f t="shared" si="9"/>
        <v>1.9006578634725066</v>
      </c>
      <c r="J4" s="47">
        <f t="shared" si="9"/>
        <v>0.24877361468461581</v>
      </c>
      <c r="K4" s="48">
        <f t="shared" ref="K4:M4" si="10">mmedian(K11:K201)</f>
        <v>83057.759312431997</v>
      </c>
      <c r="L4" s="48">
        <f t="shared" si="10"/>
        <v>42756.534112099122</v>
      </c>
      <c r="M4" s="49">
        <f t="shared" si="10"/>
        <v>0.47322755667655664</v>
      </c>
      <c r="N4" s="59"/>
      <c r="O4" s="47">
        <f t="shared" si="9"/>
        <v>31.407713481570163</v>
      </c>
      <c r="P4" s="47">
        <f t="shared" si="9"/>
        <v>19.77307216135355</v>
      </c>
      <c r="Q4" s="56"/>
      <c r="R4" s="47">
        <f t="shared" si="9"/>
        <v>85</v>
      </c>
      <c r="S4" s="47">
        <f t="shared" si="9"/>
        <v>78.5</v>
      </c>
      <c r="T4" s="47">
        <f>mmedian(T11:T201)</f>
        <v>91</v>
      </c>
      <c r="V4" s="56"/>
      <c r="W4" s="47">
        <f t="shared" ref="W4" si="11">mmedian(W11:W201)</f>
        <v>12.45</v>
      </c>
      <c r="X4" s="56"/>
    </row>
    <row r="5" spans="1:39">
      <c r="B5" t="s">
        <v>479</v>
      </c>
      <c r="C5" s="48">
        <f>mpercentile(C$11:C$202,0.05)</f>
        <v>87399.001250267029</v>
      </c>
      <c r="D5" s="48">
        <f t="shared" ref="D5:E5" si="12">mpercentile(D$11:D$202,0.05)</f>
        <v>33597.383725786211</v>
      </c>
      <c r="E5" s="48">
        <f t="shared" si="12"/>
        <v>27029.973705488213</v>
      </c>
      <c r="F5" s="48">
        <f>mpercentile(F$11:F$202,0.05)</f>
        <v>-0.22599830212701225</v>
      </c>
      <c r="G5" s="47">
        <f>mpercentile(G$11:G$202,0.05)</f>
        <v>18.360000228881837</v>
      </c>
      <c r="H5" s="47">
        <f t="shared" ref="H5:W5" si="13">mpercentile(H$11:H$202,0.05)</f>
        <v>7.5400000572204569</v>
      </c>
      <c r="I5" s="47">
        <f t="shared" si="13"/>
        <v>-7.849781798972727E-2</v>
      </c>
      <c r="J5" s="47">
        <f t="shared" si="13"/>
        <v>-1.7091628840736748</v>
      </c>
      <c r="K5" s="48">
        <f t="shared" si="13"/>
        <v>-13116.952894739354</v>
      </c>
      <c r="L5" s="48">
        <f t="shared" si="13"/>
        <v>-8954.1242411580861</v>
      </c>
      <c r="M5" s="49">
        <f t="shared" si="13"/>
        <v>-1.0205528130868438</v>
      </c>
      <c r="N5" s="59"/>
      <c r="O5" s="47">
        <f t="shared" si="13"/>
        <v>7.7351668626713534</v>
      </c>
      <c r="P5" s="47">
        <f t="shared" si="13"/>
        <v>7.2320446774704212</v>
      </c>
      <c r="Q5" s="56"/>
      <c r="R5" s="47">
        <f t="shared" si="13"/>
        <v>13.15000057220459</v>
      </c>
      <c r="S5" s="47">
        <f t="shared" si="13"/>
        <v>6</v>
      </c>
      <c r="T5" s="47">
        <f>mpercentile(T$11:T$202,0.05)</f>
        <v>27.100000381469727</v>
      </c>
      <c r="V5" s="56"/>
      <c r="W5" s="47">
        <f t="shared" si="13"/>
        <v>0</v>
      </c>
      <c r="X5" s="56"/>
    </row>
    <row r="6" spans="1:39">
      <c r="B6" t="s">
        <v>480</v>
      </c>
      <c r="C6" s="48">
        <f>mpercentile(C$11:C$202,0.1)</f>
        <v>228337.06473922729</v>
      </c>
      <c r="D6" s="48">
        <f t="shared" ref="D6:E6" si="14">mpercentile(D$11:D$202,0.1)</f>
        <v>92346.597939987187</v>
      </c>
      <c r="E6" s="48">
        <f t="shared" si="14"/>
        <v>70180.8481588211</v>
      </c>
      <c r="F6" s="48">
        <f>mpercentile(F$11:F$202,0.1)</f>
        <v>-4.2357946742692741E-2</v>
      </c>
      <c r="G6" s="47">
        <f>mpercentile(G$11:G$202,0.1)</f>
        <v>24.520001602172851</v>
      </c>
      <c r="H6" s="47">
        <f t="shared" ref="H6:W6" si="15">mpercentile(H$11:H$202,0.1)</f>
        <v>12.799999999999997</v>
      </c>
      <c r="I6" s="47">
        <f t="shared" si="15"/>
        <v>0.15473247814616903</v>
      </c>
      <c r="J6" s="47">
        <f t="shared" si="15"/>
        <v>-1.4097599828661331</v>
      </c>
      <c r="K6" s="48">
        <f t="shared" si="15"/>
        <v>-197.61315424630828</v>
      </c>
      <c r="L6" s="48">
        <f t="shared" si="15"/>
        <v>-160.63987181485234</v>
      </c>
      <c r="M6" s="49">
        <f t="shared" si="15"/>
        <v>-0.35470915749060578</v>
      </c>
      <c r="N6" s="59"/>
      <c r="O6" s="47">
        <f t="shared" si="15"/>
        <v>13.678135751024216</v>
      </c>
      <c r="P6" s="47">
        <f t="shared" si="15"/>
        <v>8.3937678845405568</v>
      </c>
      <c r="Q6" s="56"/>
      <c r="R6" s="47">
        <f t="shared" si="15"/>
        <v>24.30000114440918</v>
      </c>
      <c r="S6" s="47">
        <f t="shared" si="15"/>
        <v>10.399999618530273</v>
      </c>
      <c r="T6" s="47">
        <f>mpercentile(T$11:T$202,0.1)</f>
        <v>34.200000762939453</v>
      </c>
      <c r="V6" s="56"/>
      <c r="W6" s="47">
        <f t="shared" si="15"/>
        <v>0</v>
      </c>
      <c r="X6" s="56"/>
    </row>
    <row r="7" spans="1:39">
      <c r="B7" t="s">
        <v>481</v>
      </c>
      <c r="C7" s="48">
        <f>mpercentile(C$11:C$202,0.9)</f>
        <v>69848241.121841431</v>
      </c>
      <c r="D7" s="48">
        <f t="shared" ref="D7:E7" si="16">mpercentile(D$11:D$202,0.9)</f>
        <v>40297041.577025585</v>
      </c>
      <c r="E7" s="48">
        <f t="shared" si="16"/>
        <v>26850050.67017024</v>
      </c>
      <c r="F7" s="48">
        <f>mpercentile(F$11:F$202,0.9)</f>
        <v>2.833782827399391</v>
      </c>
      <c r="G7" s="47">
        <f>mpercentile(G$11:G$202,0.9)</f>
        <v>87.2</v>
      </c>
      <c r="H7" s="47">
        <f t="shared" ref="H7:W7" si="17">mpercentile(H$11:H$202,0.9)</f>
        <v>75.479995727539062</v>
      </c>
      <c r="I7" s="47">
        <f t="shared" si="17"/>
        <v>4.3899256229245394</v>
      </c>
      <c r="J7" s="47">
        <f t="shared" si="17"/>
        <v>2.2891544784629478</v>
      </c>
      <c r="K7" s="48">
        <f t="shared" si="17"/>
        <v>927040.90279214561</v>
      </c>
      <c r="L7" s="48">
        <f t="shared" si="17"/>
        <v>434028.45520206256</v>
      </c>
      <c r="M7" s="49">
        <f t="shared" si="17"/>
        <v>1.9114241329704191</v>
      </c>
      <c r="N7" s="59"/>
      <c r="O7" s="47">
        <f t="shared" si="17"/>
        <v>71.645522703227542</v>
      </c>
      <c r="P7" s="47">
        <f t="shared" si="17"/>
        <v>41.394059111026287</v>
      </c>
      <c r="Q7" s="56"/>
      <c r="R7" s="47">
        <f t="shared" si="17"/>
        <v>100</v>
      </c>
      <c r="S7" s="47">
        <f t="shared" si="17"/>
        <v>100</v>
      </c>
      <c r="T7" s="47">
        <f>mpercentile(T$11:T$202,0.9)</f>
        <v>100</v>
      </c>
      <c r="V7" s="56"/>
      <c r="W7" s="47">
        <f t="shared" si="17"/>
        <v>68.900000000000006</v>
      </c>
      <c r="X7" s="56"/>
      <c r="Z7" s="80" t="s">
        <v>482</v>
      </c>
      <c r="AA7" s="80"/>
      <c r="AB7" s="80"/>
      <c r="AC7" s="80"/>
    </row>
    <row r="8" spans="1:39">
      <c r="B8" t="s">
        <v>483</v>
      </c>
      <c r="C8" s="48">
        <f>mpercentile(C$11:C$202,0.95)</f>
        <v>136030052.68379211</v>
      </c>
      <c r="D8" s="48">
        <f t="shared" ref="D8:E8" si="18">mpercentile(D$11:D$202,0.95)</f>
        <v>73028533.201748744</v>
      </c>
      <c r="E8" s="48">
        <f t="shared" si="18"/>
        <v>51381623.081270337</v>
      </c>
      <c r="F8" s="48">
        <f>mpercentile(F$11:F$202,0.95)</f>
        <v>3.0984559064906629</v>
      </c>
      <c r="G8" s="47">
        <f>mpercentile(G$11:G$202,0.95)</f>
        <v>92.459999084472656</v>
      </c>
      <c r="H8" s="47">
        <f t="shared" ref="H8:W8" si="19">mpercentile(H$11:H$202,0.95)</f>
        <v>81.639996337890622</v>
      </c>
      <c r="I8" s="47">
        <f t="shared" si="19"/>
        <v>4.9666532677947091</v>
      </c>
      <c r="J8" s="47">
        <f t="shared" si="19"/>
        <v>2.5214457449026511</v>
      </c>
      <c r="K8" s="48">
        <f t="shared" si="19"/>
        <v>1631151.0125359488</v>
      </c>
      <c r="L8" s="48">
        <f t="shared" si="19"/>
        <v>883057.76665692567</v>
      </c>
      <c r="M8" s="49">
        <f t="shared" si="19"/>
        <v>2.6316638718470586</v>
      </c>
      <c r="N8" s="59"/>
      <c r="O8" s="47">
        <f t="shared" si="19"/>
        <v>91.647639966296651</v>
      </c>
      <c r="P8" s="47">
        <f t="shared" si="19"/>
        <v>49.158296501168699</v>
      </c>
      <c r="Q8" s="56"/>
      <c r="R8" s="47">
        <f t="shared" si="19"/>
        <v>100</v>
      </c>
      <c r="S8" s="47">
        <f t="shared" si="19"/>
        <v>100</v>
      </c>
      <c r="T8" s="47">
        <f>mpercentile(T$11:T$202,0.95)</f>
        <v>100</v>
      </c>
      <c r="V8" s="56"/>
      <c r="W8" s="47">
        <f t="shared" si="19"/>
        <v>78.900000000000006</v>
      </c>
      <c r="X8" s="56"/>
      <c r="Y8" s="27" t="s">
        <v>472</v>
      </c>
      <c r="Z8">
        <v>0</v>
      </c>
      <c r="AA8">
        <v>10</v>
      </c>
      <c r="AB8">
        <v>0</v>
      </c>
      <c r="AC8">
        <v>0</v>
      </c>
    </row>
    <row r="9" spans="1:39">
      <c r="B9" t="s">
        <v>388</v>
      </c>
      <c r="C9" s="48">
        <f>COUNT(C11:C202)</f>
        <v>187</v>
      </c>
      <c r="D9" s="48">
        <f t="shared" ref="D9:E9" si="20">COUNT(D11:D202)</f>
        <v>187</v>
      </c>
      <c r="E9" s="48">
        <f t="shared" si="20"/>
        <v>187</v>
      </c>
      <c r="F9" s="48">
        <f>COUNT(F11:F202)</f>
        <v>187</v>
      </c>
      <c r="G9">
        <f>COUNT(G11:G202)</f>
        <v>187</v>
      </c>
      <c r="H9">
        <f>COUNT(H11:H202)</f>
        <v>187</v>
      </c>
      <c r="I9">
        <f t="shared" ref="I9:S9" si="21">COUNT(I11:I202)</f>
        <v>186</v>
      </c>
      <c r="J9">
        <f t="shared" si="21"/>
        <v>184</v>
      </c>
      <c r="K9">
        <f t="shared" si="21"/>
        <v>187</v>
      </c>
      <c r="L9">
        <f t="shared" si="21"/>
        <v>187</v>
      </c>
      <c r="M9">
        <f t="shared" si="21"/>
        <v>186</v>
      </c>
      <c r="O9">
        <f t="shared" si="21"/>
        <v>183</v>
      </c>
      <c r="P9">
        <f t="shared" si="21"/>
        <v>107</v>
      </c>
      <c r="R9">
        <f t="shared" si="21"/>
        <v>182</v>
      </c>
      <c r="S9">
        <f t="shared" si="21"/>
        <v>183</v>
      </c>
      <c r="T9">
        <f>COUNT(T11:T202)</f>
        <v>180</v>
      </c>
      <c r="W9">
        <f t="shared" ref="W9" si="22">COUNT(W11:W202)</f>
        <v>159</v>
      </c>
      <c r="Y9" s="27" t="s">
        <v>473</v>
      </c>
      <c r="Z9" s="49">
        <v>2</v>
      </c>
      <c r="AA9">
        <v>80</v>
      </c>
      <c r="AB9">
        <v>40</v>
      </c>
      <c r="AC9">
        <v>70</v>
      </c>
    </row>
    <row r="10" spans="1:39" s="50" customFormat="1" ht="120">
      <c r="C10" s="51" t="s">
        <v>484</v>
      </c>
      <c r="D10" s="51" t="s">
        <v>485</v>
      </c>
      <c r="E10" s="51" t="s">
        <v>486</v>
      </c>
      <c r="F10" s="51" t="s">
        <v>487</v>
      </c>
      <c r="G10" s="51" t="s">
        <v>488</v>
      </c>
      <c r="H10" s="51" t="s">
        <v>489</v>
      </c>
      <c r="I10" s="51" t="s">
        <v>490</v>
      </c>
      <c r="J10" s="51" t="s">
        <v>491</v>
      </c>
      <c r="K10" s="51" t="s">
        <v>492</v>
      </c>
      <c r="L10" s="51" t="s">
        <v>493</v>
      </c>
      <c r="M10" s="52" t="s">
        <v>390</v>
      </c>
      <c r="N10" s="58"/>
      <c r="O10" s="53" t="s">
        <v>385</v>
      </c>
      <c r="P10" s="51" t="s">
        <v>494</v>
      </c>
      <c r="Q10" s="58"/>
      <c r="R10" s="51" t="s">
        <v>495</v>
      </c>
      <c r="S10" s="51" t="s">
        <v>496</v>
      </c>
      <c r="T10" s="51" t="s">
        <v>497</v>
      </c>
      <c r="U10" s="52" t="s">
        <v>389</v>
      </c>
      <c r="V10" s="58"/>
      <c r="W10" s="52" t="s">
        <v>393</v>
      </c>
      <c r="X10" s="58"/>
      <c r="Y10" s="51"/>
      <c r="Z10" s="51" t="s">
        <v>390</v>
      </c>
      <c r="AA10" s="51" t="s">
        <v>385</v>
      </c>
      <c r="AB10" s="51" t="s">
        <v>389</v>
      </c>
      <c r="AC10" s="51" t="s">
        <v>393</v>
      </c>
      <c r="AD10" s="51"/>
      <c r="AE10" s="51"/>
      <c r="AF10" s="51"/>
      <c r="AG10" s="51" t="s">
        <v>498</v>
      </c>
      <c r="AH10" s="51"/>
      <c r="AI10" s="51"/>
      <c r="AJ10" s="51"/>
      <c r="AK10" s="51"/>
      <c r="AL10" s="51"/>
      <c r="AM10" s="51"/>
    </row>
    <row r="11" spans="1:39">
      <c r="A11" s="1" t="s">
        <v>173</v>
      </c>
      <c r="B11" s="1" t="s">
        <v>192</v>
      </c>
      <c r="C11" s="48">
        <v>34385068.123271421</v>
      </c>
      <c r="D11" s="48">
        <f>C11*G11/100</f>
        <v>8527496.8945713118</v>
      </c>
      <c r="E11" s="48">
        <f>C11*H11/100</f>
        <v>25857571.228700109</v>
      </c>
      <c r="F11" s="2">
        <v>2.8313000000000033</v>
      </c>
      <c r="G11">
        <v>24.8</v>
      </c>
      <c r="H11">
        <f>100-G11</f>
        <v>75.2</v>
      </c>
      <c r="I11" s="47">
        <v>4.3360779886505139</v>
      </c>
      <c r="J11" s="47">
        <v>2.2879128432578639</v>
      </c>
      <c r="K11" s="48">
        <f t="shared" ref="K11:K42" si="23">C11*F11/100</f>
        <v>973544.4337741849</v>
      </c>
      <c r="L11" s="48">
        <f t="shared" ref="L11:L42" si="24">D11*F11/100</f>
        <v>241439.01957599781</v>
      </c>
      <c r="M11" s="49">
        <f t="shared" ref="M11:M42" si="25">(D11*I11/100-L11)/L11</f>
        <v>0.53147952836171009</v>
      </c>
      <c r="N11" s="59"/>
      <c r="O11" s="47">
        <v>43.756239915788065</v>
      </c>
      <c r="P11" s="47">
        <v>10.851547499115439</v>
      </c>
      <c r="Q11" s="56"/>
      <c r="R11">
        <v>37</v>
      </c>
      <c r="S11">
        <v>30</v>
      </c>
      <c r="T11">
        <v>60</v>
      </c>
      <c r="U11">
        <f>T11-S11</f>
        <v>30</v>
      </c>
      <c r="W11" t="e">
        <v>#N/A</v>
      </c>
      <c r="Z11" s="2">
        <f t="shared" ref="Z11:Z42" si="26">MAX(0,MIN(1,(M11-Z$8)/(Z$9-Z$8)))</f>
        <v>0.26573976418085504</v>
      </c>
      <c r="AA11" s="2">
        <f t="shared" ref="AA11:AA42" si="27">MAX(0,MIN(1,(O11-AA$8)/(AA$9-AA$8)))</f>
        <v>0.48223199879697237</v>
      </c>
      <c r="AB11" s="2">
        <f t="shared" ref="AB11:AB42" si="28">MAX(0,MIN(1,(U11-AB$8)/(AB$9-AB$8)))</f>
        <v>0.75</v>
      </c>
      <c r="AC11" s="2" t="e">
        <f t="shared" ref="AC11:AC42" si="29">MAX(0,MIN(1,(W11-AC$8)/(AC$9-AC$8)))</f>
        <v>#N/A</v>
      </c>
      <c r="AD11" s="2"/>
      <c r="AE11" s="1" t="s">
        <v>173</v>
      </c>
      <c r="AF11" s="1" t="s">
        <v>192</v>
      </c>
      <c r="AG11" s="46">
        <f>IF(COUNT(Z11:AC11)&gt;2,mmean(Z11:AC11),NA())</f>
        <v>0.49932392099260908</v>
      </c>
      <c r="AI11" s="46"/>
      <c r="AJ11" s="46"/>
      <c r="AK11" s="46"/>
    </row>
    <row r="12" spans="1:39">
      <c r="A12" s="1" t="s">
        <v>123</v>
      </c>
      <c r="B12" s="1" t="s">
        <v>193</v>
      </c>
      <c r="C12" s="48">
        <v>3204284</v>
      </c>
      <c r="D12" s="48">
        <f t="shared" ref="D12:D75" si="30">C12*G12/100</f>
        <v>1538056.32</v>
      </c>
      <c r="E12" s="48">
        <f t="shared" ref="E12:E75" si="31">C12*H12/100</f>
        <v>1666227.68</v>
      </c>
      <c r="F12" s="2">
        <v>0.36145067800325253</v>
      </c>
      <c r="G12">
        <v>48</v>
      </c>
      <c r="H12">
        <f t="shared" ref="H12:H75" si="32">100-G12</f>
        <v>52</v>
      </c>
      <c r="I12" s="47">
        <v>1.7037527112173247</v>
      </c>
      <c r="J12" s="47">
        <v>-0.86180616556019252</v>
      </c>
      <c r="K12" s="48">
        <f t="shared" si="23"/>
        <v>11581.90624314974</v>
      </c>
      <c r="L12" s="48">
        <f t="shared" si="24"/>
        <v>5559.3149967118761</v>
      </c>
      <c r="M12" s="49">
        <f t="shared" si="25"/>
        <v>3.7136519998504283</v>
      </c>
      <c r="N12" s="59"/>
      <c r="O12" s="47">
        <v>28.613157212553403</v>
      </c>
      <c r="P12" s="47" t="e">
        <v>#N/A</v>
      </c>
      <c r="Q12" s="56"/>
      <c r="R12">
        <v>98</v>
      </c>
      <c r="S12">
        <v>98</v>
      </c>
      <c r="T12">
        <v>98</v>
      </c>
      <c r="U12">
        <f t="shared" ref="U12:U75" si="33">T12-S12</f>
        <v>0</v>
      </c>
      <c r="W12">
        <v>0</v>
      </c>
      <c r="Z12" s="2">
        <f t="shared" si="26"/>
        <v>1</v>
      </c>
      <c r="AA12" s="2">
        <f t="shared" si="27"/>
        <v>0.26590224589362005</v>
      </c>
      <c r="AB12" s="2">
        <f t="shared" si="28"/>
        <v>0</v>
      </c>
      <c r="AC12" s="2">
        <f t="shared" si="29"/>
        <v>0</v>
      </c>
      <c r="AD12" s="2"/>
      <c r="AE12" s="1" t="s">
        <v>123</v>
      </c>
      <c r="AF12" s="1" t="s">
        <v>193</v>
      </c>
      <c r="AG12" s="46">
        <f t="shared" ref="AG12:AG75" si="34">IF(COUNT(Z12:AC12)&gt;2,mmean(Z12:AC12),NA())</f>
        <v>0.316475561473405</v>
      </c>
      <c r="AI12" s="46"/>
      <c r="AJ12" s="46"/>
      <c r="AK12" s="46"/>
    </row>
    <row r="13" spans="1:39">
      <c r="A13" s="1" t="s">
        <v>74</v>
      </c>
      <c r="B13" s="1" t="s">
        <v>194</v>
      </c>
      <c r="C13" s="48">
        <v>35468208</v>
      </c>
      <c r="D13" s="48">
        <f t="shared" si="30"/>
        <v>23586358.32</v>
      </c>
      <c r="E13" s="48">
        <f t="shared" si="31"/>
        <v>11881849.68</v>
      </c>
      <c r="F13" s="2">
        <v>1.4713470406532079</v>
      </c>
      <c r="G13">
        <v>66.5</v>
      </c>
      <c r="H13">
        <f t="shared" si="32"/>
        <v>33.5</v>
      </c>
      <c r="I13" s="47">
        <v>2.4384141120122318</v>
      </c>
      <c r="J13" s="47">
        <v>-0.42108081287417609</v>
      </c>
      <c r="K13" s="48">
        <f t="shared" si="23"/>
        <v>521860.42878072435</v>
      </c>
      <c r="L13" s="48">
        <f t="shared" si="24"/>
        <v>347037.18513918167</v>
      </c>
      <c r="M13" s="49">
        <f t="shared" si="25"/>
        <v>0.65726646714815318</v>
      </c>
      <c r="N13" s="59"/>
      <c r="O13" s="47">
        <v>11.869856982652674</v>
      </c>
      <c r="P13" s="47">
        <v>7.8934548934640292</v>
      </c>
      <c r="Q13" s="56"/>
      <c r="R13">
        <v>95</v>
      </c>
      <c r="S13">
        <v>88</v>
      </c>
      <c r="T13">
        <v>98</v>
      </c>
      <c r="U13">
        <f t="shared" si="33"/>
        <v>10</v>
      </c>
      <c r="W13" t="e">
        <v>#N/A</v>
      </c>
      <c r="Z13" s="2">
        <f t="shared" si="26"/>
        <v>0.32863323357407659</v>
      </c>
      <c r="AA13" s="2">
        <f t="shared" si="27"/>
        <v>2.6712242609323918E-2</v>
      </c>
      <c r="AB13" s="2">
        <f t="shared" si="28"/>
        <v>0.25</v>
      </c>
      <c r="AC13" s="2" t="e">
        <f t="shared" si="29"/>
        <v>#N/A</v>
      </c>
      <c r="AD13" s="2"/>
      <c r="AE13" s="1" t="s">
        <v>74</v>
      </c>
      <c r="AF13" s="1" t="s">
        <v>194</v>
      </c>
      <c r="AG13" s="46">
        <f t="shared" si="34"/>
        <v>0.20178182539446685</v>
      </c>
      <c r="AI13" s="46"/>
      <c r="AJ13" s="46"/>
      <c r="AK13" s="46"/>
    </row>
    <row r="14" spans="1:39">
      <c r="A14" s="1" t="s">
        <v>17</v>
      </c>
      <c r="B14" s="1" t="s">
        <v>195</v>
      </c>
      <c r="C14" s="48" t="e">
        <v>#N/A</v>
      </c>
      <c r="D14" s="48" t="e">
        <f t="shared" si="30"/>
        <v>#N/A</v>
      </c>
      <c r="E14" s="48" t="e">
        <f t="shared" si="31"/>
        <v>#N/A</v>
      </c>
      <c r="F14" s="2" t="e">
        <v>#N/A</v>
      </c>
      <c r="G14" t="e">
        <v>#N/A</v>
      </c>
      <c r="H14" t="e">
        <f t="shared" si="32"/>
        <v>#N/A</v>
      </c>
      <c r="I14" s="47" t="e">
        <v>#N/A</v>
      </c>
      <c r="J14" s="47" t="e">
        <v>#N/A</v>
      </c>
      <c r="K14" s="48" t="e">
        <f t="shared" si="23"/>
        <v>#N/A</v>
      </c>
      <c r="L14" s="48" t="e">
        <f t="shared" si="24"/>
        <v>#N/A</v>
      </c>
      <c r="M14" s="49" t="e">
        <f t="shared" si="25"/>
        <v>#N/A</v>
      </c>
      <c r="N14" s="59"/>
      <c r="O14" s="47" t="e">
        <v>#N/A</v>
      </c>
      <c r="P14" s="47" t="e">
        <v>#N/A</v>
      </c>
      <c r="Q14" s="56"/>
      <c r="R14" t="e">
        <v>#N/A</v>
      </c>
      <c r="S14" t="e">
        <v>#N/A</v>
      </c>
      <c r="T14" t="e">
        <v>#N/A</v>
      </c>
      <c r="U14" t="e">
        <f t="shared" si="33"/>
        <v>#N/A</v>
      </c>
      <c r="W14">
        <v>0</v>
      </c>
      <c r="Z14" s="2" t="e">
        <f t="shared" si="26"/>
        <v>#N/A</v>
      </c>
      <c r="AA14" s="2" t="e">
        <f t="shared" si="27"/>
        <v>#N/A</v>
      </c>
      <c r="AB14" s="2" t="e">
        <f t="shared" si="28"/>
        <v>#N/A</v>
      </c>
      <c r="AC14" s="2">
        <f t="shared" si="29"/>
        <v>0</v>
      </c>
      <c r="AD14" s="2"/>
      <c r="AE14" s="1" t="s">
        <v>17</v>
      </c>
      <c r="AF14" s="1" t="s">
        <v>195</v>
      </c>
      <c r="AG14" s="46" t="e">
        <f t="shared" si="34"/>
        <v>#N/A</v>
      </c>
      <c r="AI14" s="46"/>
      <c r="AJ14" s="46"/>
      <c r="AK14" s="46"/>
    </row>
    <row r="15" spans="1:39">
      <c r="A15" s="1" t="s">
        <v>98</v>
      </c>
      <c r="B15" s="1" t="s">
        <v>196</v>
      </c>
      <c r="C15" s="48">
        <v>19081912</v>
      </c>
      <c r="D15" s="48">
        <f t="shared" si="30"/>
        <v>11162918.52</v>
      </c>
      <c r="E15" s="48">
        <f t="shared" si="31"/>
        <v>7918993.4800000004</v>
      </c>
      <c r="F15" s="2">
        <v>2.7995378359387608</v>
      </c>
      <c r="G15">
        <v>58.5</v>
      </c>
      <c r="H15">
        <f t="shared" si="32"/>
        <v>41.5</v>
      </c>
      <c r="I15" s="47">
        <v>4.3499564895352973</v>
      </c>
      <c r="J15" s="47">
        <v>0.65404433581282784</v>
      </c>
      <c r="K15" s="48">
        <f t="shared" si="23"/>
        <v>534205.34626053867</v>
      </c>
      <c r="L15" s="48">
        <f t="shared" si="24"/>
        <v>312510.12756241515</v>
      </c>
      <c r="M15" s="49">
        <f t="shared" si="25"/>
        <v>0.55381235920201055</v>
      </c>
      <c r="N15" s="59"/>
      <c r="O15" s="47">
        <v>42.75166921132378</v>
      </c>
      <c r="P15" s="47">
        <v>25.009726488624413</v>
      </c>
      <c r="Q15" s="56"/>
      <c r="R15">
        <v>57</v>
      </c>
      <c r="S15">
        <v>18</v>
      </c>
      <c r="T15">
        <v>86</v>
      </c>
      <c r="U15">
        <f t="shared" si="33"/>
        <v>68</v>
      </c>
      <c r="W15">
        <v>65.8</v>
      </c>
      <c r="Z15" s="2">
        <f t="shared" si="26"/>
        <v>0.27690617960100528</v>
      </c>
      <c r="AA15" s="2">
        <f t="shared" si="27"/>
        <v>0.46788098873319683</v>
      </c>
      <c r="AB15" s="2">
        <f t="shared" si="28"/>
        <v>1</v>
      </c>
      <c r="AC15" s="2">
        <f t="shared" si="29"/>
        <v>0.94</v>
      </c>
      <c r="AD15" s="2"/>
      <c r="AE15" s="1" t="s">
        <v>98</v>
      </c>
      <c r="AF15" s="1" t="s">
        <v>196</v>
      </c>
      <c r="AG15" s="46">
        <f t="shared" si="34"/>
        <v>0.67119679208355054</v>
      </c>
      <c r="AI15" s="46"/>
      <c r="AJ15" s="46"/>
      <c r="AK15" s="46"/>
    </row>
    <row r="16" spans="1:39">
      <c r="A16" s="1" t="s">
        <v>157</v>
      </c>
      <c r="B16" s="1" t="s">
        <v>197</v>
      </c>
      <c r="C16" s="48">
        <v>88710</v>
      </c>
      <c r="D16" s="48">
        <f t="shared" si="30"/>
        <v>26879.13</v>
      </c>
      <c r="E16" s="48">
        <f t="shared" si="31"/>
        <v>61830.87</v>
      </c>
      <c r="F16" s="2">
        <v>1.0288343107582714</v>
      </c>
      <c r="G16">
        <v>30.3</v>
      </c>
      <c r="H16">
        <f t="shared" si="32"/>
        <v>69.7</v>
      </c>
      <c r="I16" s="47">
        <v>0.76515584552795624</v>
      </c>
      <c r="J16" s="47">
        <v>1.143677849076818</v>
      </c>
      <c r="K16" s="48">
        <f t="shared" si="23"/>
        <v>912.67891707366255</v>
      </c>
      <c r="L16" s="48">
        <f t="shared" si="24"/>
        <v>276.54171187331974</v>
      </c>
      <c r="M16" s="49">
        <f t="shared" si="25"/>
        <v>-0.25628856121252303</v>
      </c>
      <c r="N16" s="59"/>
      <c r="O16" s="47">
        <v>99.646671945865876</v>
      </c>
      <c r="P16" s="47" t="e">
        <v>#N/A</v>
      </c>
      <c r="Q16" s="56"/>
      <c r="R16">
        <v>95</v>
      </c>
      <c r="S16">
        <v>94</v>
      </c>
      <c r="T16">
        <v>98</v>
      </c>
      <c r="U16">
        <f t="shared" si="33"/>
        <v>4</v>
      </c>
      <c r="W16">
        <v>0</v>
      </c>
      <c r="Z16" s="2">
        <f t="shared" si="26"/>
        <v>0</v>
      </c>
      <c r="AA16" s="2">
        <f t="shared" si="27"/>
        <v>1</v>
      </c>
      <c r="AB16" s="2">
        <f t="shared" si="28"/>
        <v>0.1</v>
      </c>
      <c r="AC16" s="2">
        <f t="shared" si="29"/>
        <v>0</v>
      </c>
      <c r="AD16" s="2"/>
      <c r="AE16" s="1" t="s">
        <v>157</v>
      </c>
      <c r="AF16" s="1" t="s">
        <v>197</v>
      </c>
      <c r="AG16" s="46">
        <f t="shared" si="34"/>
        <v>0.27500000000000002</v>
      </c>
      <c r="AI16" s="46"/>
      <c r="AJ16" s="46"/>
      <c r="AK16" s="46"/>
    </row>
    <row r="17" spans="1:37">
      <c r="A17" s="1" t="s">
        <v>13</v>
      </c>
      <c r="B17" s="1" t="s">
        <v>198</v>
      </c>
      <c r="C17" s="48">
        <v>40412376</v>
      </c>
      <c r="D17" s="48">
        <f t="shared" si="30"/>
        <v>37341035.424000002</v>
      </c>
      <c r="E17" s="48">
        <f t="shared" si="31"/>
        <v>3071340.575999998</v>
      </c>
      <c r="F17" s="2">
        <v>0.86960888386260482</v>
      </c>
      <c r="G17">
        <v>92.4</v>
      </c>
      <c r="H17">
        <f t="shared" si="32"/>
        <v>7.5999999999999943</v>
      </c>
      <c r="I17" s="47">
        <v>1.0862936923716386</v>
      </c>
      <c r="J17" s="47">
        <v>-1.7279397564634158</v>
      </c>
      <c r="K17" s="48">
        <f t="shared" si="23"/>
        <v>351429.61187595921</v>
      </c>
      <c r="L17" s="48">
        <f t="shared" si="24"/>
        <v>324720.96137338632</v>
      </c>
      <c r="M17" s="49">
        <f t="shared" si="25"/>
        <v>0.24917501710259574</v>
      </c>
      <c r="N17" s="59"/>
      <c r="O17" s="47">
        <v>35.013461334274545</v>
      </c>
      <c r="P17" s="47">
        <v>39.09316047143578</v>
      </c>
      <c r="Q17" s="56"/>
      <c r="R17">
        <v>90</v>
      </c>
      <c r="S17">
        <v>77</v>
      </c>
      <c r="T17">
        <v>91</v>
      </c>
      <c r="U17">
        <f t="shared" si="33"/>
        <v>14</v>
      </c>
      <c r="W17">
        <v>20.8</v>
      </c>
      <c r="Z17" s="2">
        <f t="shared" si="26"/>
        <v>0.12458750855129787</v>
      </c>
      <c r="AA17" s="2">
        <f t="shared" si="27"/>
        <v>0.3573351619182078</v>
      </c>
      <c r="AB17" s="2">
        <f t="shared" si="28"/>
        <v>0.35</v>
      </c>
      <c r="AC17" s="2">
        <f t="shared" si="29"/>
        <v>0.29714285714285715</v>
      </c>
      <c r="AD17" s="2"/>
      <c r="AE17" s="1" t="s">
        <v>13</v>
      </c>
      <c r="AF17" s="1" t="s">
        <v>198</v>
      </c>
      <c r="AG17" s="46">
        <f t="shared" si="34"/>
        <v>0.28226638190309072</v>
      </c>
      <c r="AI17" s="46"/>
      <c r="AJ17" s="46"/>
      <c r="AK17" s="46"/>
    </row>
    <row r="18" spans="1:37">
      <c r="A18" s="1" t="s">
        <v>75</v>
      </c>
      <c r="B18" s="1" t="s">
        <v>199</v>
      </c>
      <c r="C18" s="48">
        <v>3092072</v>
      </c>
      <c r="D18" s="48">
        <f t="shared" si="30"/>
        <v>1969649.8640000001</v>
      </c>
      <c r="E18" s="48">
        <f t="shared" si="31"/>
        <v>1122422.1359999999</v>
      </c>
      <c r="F18" s="2">
        <v>0.22965661502555024</v>
      </c>
      <c r="G18">
        <v>63.7</v>
      </c>
      <c r="H18">
        <f t="shared" si="32"/>
        <v>36.299999999999997</v>
      </c>
      <c r="I18" s="47">
        <v>0.10414671464617167</v>
      </c>
      <c r="J18" s="47">
        <v>0.45028549657933398</v>
      </c>
      <c r="K18" s="48">
        <f t="shared" si="23"/>
        <v>7101.147889352832</v>
      </c>
      <c r="L18" s="48">
        <f t="shared" si="24"/>
        <v>4523.4312055177543</v>
      </c>
      <c r="M18" s="49">
        <f t="shared" si="25"/>
        <v>-0.54651114824371638</v>
      </c>
      <c r="N18" s="59"/>
      <c r="O18" s="47">
        <v>56.439675919983713</v>
      </c>
      <c r="P18" s="47">
        <v>35.952073561029628</v>
      </c>
      <c r="Q18" s="56"/>
      <c r="R18">
        <v>90</v>
      </c>
      <c r="S18">
        <v>80</v>
      </c>
      <c r="T18">
        <v>95</v>
      </c>
      <c r="U18">
        <f t="shared" si="33"/>
        <v>15</v>
      </c>
      <c r="W18">
        <v>0</v>
      </c>
      <c r="Z18" s="2">
        <f t="shared" si="26"/>
        <v>0</v>
      </c>
      <c r="AA18" s="2">
        <f t="shared" si="27"/>
        <v>0.66342394171405306</v>
      </c>
      <c r="AB18" s="2">
        <f t="shared" si="28"/>
        <v>0.375</v>
      </c>
      <c r="AC18" s="2">
        <f t="shared" si="29"/>
        <v>0</v>
      </c>
      <c r="AD18" s="2"/>
      <c r="AE18" s="1" t="s">
        <v>75</v>
      </c>
      <c r="AF18" s="1" t="s">
        <v>199</v>
      </c>
      <c r="AG18" s="46">
        <f t="shared" si="34"/>
        <v>0.25960598542851326</v>
      </c>
      <c r="AI18" s="46"/>
      <c r="AJ18" s="46"/>
      <c r="AK18" s="46"/>
    </row>
    <row r="19" spans="1:37">
      <c r="A19" s="1" t="s">
        <v>16</v>
      </c>
      <c r="B19" s="1" t="s">
        <v>200</v>
      </c>
      <c r="C19" s="48">
        <v>22328800</v>
      </c>
      <c r="D19" s="48">
        <f t="shared" si="30"/>
        <v>19894960.799999997</v>
      </c>
      <c r="E19" s="48">
        <f t="shared" si="31"/>
        <v>2433839.2000000011</v>
      </c>
      <c r="F19" s="2">
        <v>1.7032739774637273</v>
      </c>
      <c r="G19">
        <v>89.1</v>
      </c>
      <c r="H19">
        <f t="shared" si="32"/>
        <v>10.900000000000006</v>
      </c>
      <c r="I19" s="47">
        <v>1.9054985155404884</v>
      </c>
      <c r="J19" s="47">
        <v>6.5384769059897915E-2</v>
      </c>
      <c r="K19" s="48">
        <f t="shared" si="23"/>
        <v>380320.63987992075</v>
      </c>
      <c r="L19" s="48">
        <f t="shared" si="24"/>
        <v>338865.69013300934</v>
      </c>
      <c r="M19" s="49">
        <f t="shared" si="25"/>
        <v>0.11872695805397381</v>
      </c>
      <c r="N19" s="59"/>
      <c r="O19" s="47">
        <v>22.261808125804404</v>
      </c>
      <c r="P19" s="47">
        <v>58.303012253233497</v>
      </c>
      <c r="Q19" s="56"/>
      <c r="R19">
        <v>100</v>
      </c>
      <c r="S19">
        <v>100</v>
      </c>
      <c r="T19">
        <v>100</v>
      </c>
      <c r="U19">
        <f t="shared" si="33"/>
        <v>0</v>
      </c>
      <c r="W19">
        <v>0</v>
      </c>
      <c r="Z19" s="2">
        <f t="shared" si="26"/>
        <v>5.9363479026986903E-2</v>
      </c>
      <c r="AA19" s="2">
        <f t="shared" si="27"/>
        <v>0.17516868751149148</v>
      </c>
      <c r="AB19" s="2">
        <f t="shared" si="28"/>
        <v>0</v>
      </c>
      <c r="AC19" s="2">
        <f t="shared" si="29"/>
        <v>0</v>
      </c>
      <c r="AD19" s="2"/>
      <c r="AE19" s="1" t="s">
        <v>16</v>
      </c>
      <c r="AF19" s="1" t="s">
        <v>200</v>
      </c>
      <c r="AG19" s="46">
        <f t="shared" si="34"/>
        <v>5.8633041634619597E-2</v>
      </c>
      <c r="AI19" s="46"/>
      <c r="AJ19" s="46"/>
      <c r="AK19" s="46"/>
    </row>
    <row r="20" spans="1:37">
      <c r="A20" s="1" t="s">
        <v>69</v>
      </c>
      <c r="B20" s="1" t="s">
        <v>201</v>
      </c>
      <c r="C20" s="48">
        <v>8384745.0000000009</v>
      </c>
      <c r="D20" s="48">
        <f t="shared" si="30"/>
        <v>5668087.6200000001</v>
      </c>
      <c r="E20" s="48">
        <f t="shared" si="31"/>
        <v>2716657.3800000008</v>
      </c>
      <c r="F20" s="2">
        <v>0.23247743905886975</v>
      </c>
      <c r="G20">
        <v>67.599999999999994</v>
      </c>
      <c r="H20">
        <f t="shared" si="32"/>
        <v>32.400000000000006</v>
      </c>
      <c r="I20" s="47">
        <v>0.5584519461100329</v>
      </c>
      <c r="J20" s="47">
        <v>-0.44424000039952322</v>
      </c>
      <c r="K20" s="48">
        <f t="shared" si="23"/>
        <v>19492.640447616632</v>
      </c>
      <c r="L20" s="48">
        <f t="shared" si="24"/>
        <v>13177.024942588841</v>
      </c>
      <c r="M20" s="49">
        <f t="shared" si="25"/>
        <v>1.4021769526143886</v>
      </c>
      <c r="N20" s="59"/>
      <c r="O20" s="47">
        <v>30.091172090949431</v>
      </c>
      <c r="P20" s="47">
        <v>20.341632333481815</v>
      </c>
      <c r="Q20" s="56"/>
      <c r="R20">
        <v>100</v>
      </c>
      <c r="S20">
        <v>100</v>
      </c>
      <c r="T20">
        <v>100</v>
      </c>
      <c r="U20">
        <f t="shared" si="33"/>
        <v>0</v>
      </c>
      <c r="W20">
        <v>0</v>
      </c>
      <c r="Z20" s="2">
        <f t="shared" si="26"/>
        <v>0.70108847630719429</v>
      </c>
      <c r="AA20" s="2">
        <f t="shared" si="27"/>
        <v>0.28701674415642042</v>
      </c>
      <c r="AB20" s="2">
        <f t="shared" si="28"/>
        <v>0</v>
      </c>
      <c r="AC20" s="2">
        <f t="shared" si="29"/>
        <v>0</v>
      </c>
      <c r="AD20" s="2"/>
      <c r="AE20" s="1" t="s">
        <v>69</v>
      </c>
      <c r="AF20" s="1" t="s">
        <v>201</v>
      </c>
      <c r="AG20" s="46">
        <f t="shared" si="34"/>
        <v>0.24702630511590368</v>
      </c>
      <c r="AI20" s="46"/>
      <c r="AJ20" s="46"/>
      <c r="AK20" s="46"/>
    </row>
    <row r="21" spans="1:37">
      <c r="A21" s="1" t="s">
        <v>110</v>
      </c>
      <c r="B21" s="1" t="s">
        <v>202</v>
      </c>
      <c r="C21" s="48">
        <v>9047932</v>
      </c>
      <c r="D21" s="48">
        <f t="shared" si="30"/>
        <v>4723020.5040000007</v>
      </c>
      <c r="E21" s="48">
        <f t="shared" si="31"/>
        <v>4324911.4959999993</v>
      </c>
      <c r="F21" s="2">
        <v>1.1201177491402001</v>
      </c>
      <c r="G21">
        <v>52.2</v>
      </c>
      <c r="H21">
        <f t="shared" si="32"/>
        <v>47.8</v>
      </c>
      <c r="I21" s="47">
        <v>1.3886772813575678</v>
      </c>
      <c r="J21" s="47">
        <v>0.82765879825736488</v>
      </c>
      <c r="K21" s="48">
        <f t="shared" si="23"/>
        <v>101347.4922621359</v>
      </c>
      <c r="L21" s="48">
        <f t="shared" si="24"/>
        <v>52903.390960834942</v>
      </c>
      <c r="M21" s="49">
        <f t="shared" si="25"/>
        <v>0.23976008988654401</v>
      </c>
      <c r="N21" s="59"/>
      <c r="O21" s="47">
        <v>41.755334289355432</v>
      </c>
      <c r="P21" s="47">
        <v>21.796284499043537</v>
      </c>
      <c r="Q21" s="56"/>
      <c r="R21">
        <v>45</v>
      </c>
      <c r="S21">
        <v>39</v>
      </c>
      <c r="T21">
        <v>51</v>
      </c>
      <c r="U21">
        <f t="shared" si="33"/>
        <v>12</v>
      </c>
      <c r="W21">
        <v>0</v>
      </c>
      <c r="Z21" s="2">
        <f t="shared" si="26"/>
        <v>0.11988004494327201</v>
      </c>
      <c r="AA21" s="2">
        <f t="shared" si="27"/>
        <v>0.45364763270507757</v>
      </c>
      <c r="AB21" s="2">
        <f t="shared" si="28"/>
        <v>0.3</v>
      </c>
      <c r="AC21" s="2">
        <f t="shared" si="29"/>
        <v>0</v>
      </c>
      <c r="AD21" s="2"/>
      <c r="AE21" s="1" t="s">
        <v>110</v>
      </c>
      <c r="AF21" s="1" t="s">
        <v>202</v>
      </c>
      <c r="AG21" s="46">
        <f t="shared" si="34"/>
        <v>0.2183819194120874</v>
      </c>
      <c r="AI21" s="46"/>
      <c r="AJ21" s="46"/>
      <c r="AK21" s="46"/>
    </row>
    <row r="22" spans="1:37">
      <c r="A22" s="1" t="s">
        <v>26</v>
      </c>
      <c r="B22" s="1" t="s">
        <v>203</v>
      </c>
      <c r="C22" s="48">
        <v>342877</v>
      </c>
      <c r="D22" s="48">
        <f t="shared" si="30"/>
        <v>288359.55699999997</v>
      </c>
      <c r="E22" s="48">
        <f t="shared" si="31"/>
        <v>54517.443000000014</v>
      </c>
      <c r="F22" s="2">
        <v>1.3267275716108835</v>
      </c>
      <c r="G22">
        <v>84.1</v>
      </c>
      <c r="H22">
        <f t="shared" si="32"/>
        <v>15.900000000000006</v>
      </c>
      <c r="I22" s="47">
        <v>1.5648229221850558</v>
      </c>
      <c r="J22" s="47">
        <v>7.6711295187821923E-2</v>
      </c>
      <c r="K22" s="48">
        <f t="shared" si="23"/>
        <v>4549.0436957122492</v>
      </c>
      <c r="L22" s="48">
        <f t="shared" si="24"/>
        <v>3825.7457480940011</v>
      </c>
      <c r="M22" s="49">
        <f t="shared" si="25"/>
        <v>0.17946061849387981</v>
      </c>
      <c r="N22" s="59"/>
      <c r="O22" s="47">
        <v>87.240009648785431</v>
      </c>
      <c r="P22" s="47" t="e">
        <v>#N/A</v>
      </c>
      <c r="Q22" s="56"/>
      <c r="R22">
        <v>100</v>
      </c>
      <c r="S22">
        <v>100</v>
      </c>
      <c r="T22">
        <v>100</v>
      </c>
      <c r="U22">
        <f t="shared" si="33"/>
        <v>0</v>
      </c>
      <c r="W22">
        <v>0</v>
      </c>
      <c r="Z22" s="2">
        <f t="shared" si="26"/>
        <v>8.9730309246939907E-2</v>
      </c>
      <c r="AA22" s="2">
        <f t="shared" si="27"/>
        <v>1</v>
      </c>
      <c r="AB22" s="2">
        <f t="shared" si="28"/>
        <v>0</v>
      </c>
      <c r="AC22" s="2">
        <f t="shared" si="29"/>
        <v>0</v>
      </c>
      <c r="AD22" s="2"/>
      <c r="AE22" s="1" t="s">
        <v>26</v>
      </c>
      <c r="AF22" s="1" t="s">
        <v>203</v>
      </c>
      <c r="AG22" s="46">
        <f t="shared" si="34"/>
        <v>0.27243257731173498</v>
      </c>
      <c r="AI22" s="46"/>
      <c r="AJ22" s="46"/>
      <c r="AK22" s="46"/>
    </row>
    <row r="23" spans="1:37">
      <c r="A23" s="1" t="s">
        <v>15</v>
      </c>
      <c r="B23" s="1" t="s">
        <v>204</v>
      </c>
      <c r="C23" s="48">
        <v>1261835</v>
      </c>
      <c r="D23" s="48">
        <f t="shared" si="30"/>
        <v>1117985.81</v>
      </c>
      <c r="E23" s="48">
        <f t="shared" si="31"/>
        <v>143849.19000000006</v>
      </c>
      <c r="F23" s="2">
        <v>7.5924010734774976</v>
      </c>
      <c r="G23">
        <v>88.6</v>
      </c>
      <c r="H23">
        <f t="shared" si="32"/>
        <v>11.400000000000006</v>
      </c>
      <c r="I23" s="47">
        <v>7.637557994542858</v>
      </c>
      <c r="J23" s="47">
        <v>7.2421380183573181</v>
      </c>
      <c r="K23" s="48">
        <f t="shared" si="23"/>
        <v>95803.574085514789</v>
      </c>
      <c r="L23" s="48">
        <f t="shared" si="24"/>
        <v>84881.966639766091</v>
      </c>
      <c r="M23" s="49">
        <f t="shared" si="25"/>
        <v>5.9476469470384798E-3</v>
      </c>
      <c r="N23" s="59"/>
      <c r="O23" s="47">
        <v>15.766984465492314</v>
      </c>
      <c r="P23" s="47" t="e">
        <v>#N/A</v>
      </c>
      <c r="Q23" s="56"/>
      <c r="R23" s="54">
        <v>100</v>
      </c>
      <c r="S23" s="54">
        <v>100</v>
      </c>
      <c r="T23">
        <v>100</v>
      </c>
      <c r="U23">
        <f t="shared" si="33"/>
        <v>0</v>
      </c>
      <c r="W23">
        <v>0</v>
      </c>
      <c r="Z23" s="2">
        <f t="shared" si="26"/>
        <v>2.9738234735192399E-3</v>
      </c>
      <c r="AA23" s="2">
        <f t="shared" si="27"/>
        <v>8.2385492364175916E-2</v>
      </c>
      <c r="AB23" s="2">
        <f t="shared" si="28"/>
        <v>0</v>
      </c>
      <c r="AC23" s="2">
        <f t="shared" si="29"/>
        <v>0</v>
      </c>
      <c r="AD23" s="2"/>
      <c r="AE23" s="1" t="s">
        <v>15</v>
      </c>
      <c r="AF23" s="1" t="s">
        <v>204</v>
      </c>
      <c r="AG23" s="46">
        <f t="shared" si="34"/>
        <v>2.1339828959423789E-2</v>
      </c>
      <c r="AI23" s="46"/>
      <c r="AJ23" s="46"/>
      <c r="AK23" s="46"/>
    </row>
    <row r="24" spans="1:37">
      <c r="A24" s="1" t="s">
        <v>166</v>
      </c>
      <c r="B24" s="1" t="s">
        <v>205</v>
      </c>
      <c r="C24" s="48">
        <v>148692131</v>
      </c>
      <c r="D24" s="48">
        <f t="shared" si="30"/>
        <v>41782488.811000004</v>
      </c>
      <c r="E24" s="48">
        <f t="shared" si="31"/>
        <v>106909642.18900001</v>
      </c>
      <c r="F24" s="2">
        <v>1.1240299655385793</v>
      </c>
      <c r="G24">
        <v>28.1</v>
      </c>
      <c r="H24">
        <f t="shared" si="32"/>
        <v>71.900000000000006</v>
      </c>
      <c r="I24" s="47">
        <v>2.8469728013939823</v>
      </c>
      <c r="J24" s="47">
        <v>0.45865462467902812</v>
      </c>
      <c r="K24" s="48">
        <f t="shared" si="23"/>
        <v>1671344.108837879</v>
      </c>
      <c r="L24" s="48">
        <f t="shared" si="24"/>
        <v>469647.6945834441</v>
      </c>
      <c r="M24" s="49">
        <f t="shared" si="25"/>
        <v>1.532826426944814</v>
      </c>
      <c r="N24" s="59"/>
      <c r="O24" s="47">
        <v>35.058596117289099</v>
      </c>
      <c r="P24" s="47">
        <v>14.319863369232365</v>
      </c>
      <c r="Q24" s="56"/>
      <c r="R24">
        <v>53</v>
      </c>
      <c r="S24">
        <v>52</v>
      </c>
      <c r="T24">
        <v>56</v>
      </c>
      <c r="U24">
        <f t="shared" si="33"/>
        <v>4</v>
      </c>
      <c r="W24">
        <v>61.6</v>
      </c>
      <c r="Z24" s="2">
        <f t="shared" si="26"/>
        <v>0.76641321347240698</v>
      </c>
      <c r="AA24" s="2">
        <f t="shared" si="27"/>
        <v>0.35797994453270143</v>
      </c>
      <c r="AB24" s="2">
        <f t="shared" si="28"/>
        <v>0.1</v>
      </c>
      <c r="AC24" s="2">
        <f t="shared" si="29"/>
        <v>0.88</v>
      </c>
      <c r="AD24" s="2"/>
      <c r="AE24" s="1" t="s">
        <v>166</v>
      </c>
      <c r="AF24" s="1" t="s">
        <v>205</v>
      </c>
      <c r="AG24" s="46">
        <f t="shared" si="34"/>
        <v>0.52609828950127713</v>
      </c>
      <c r="AI24" s="46"/>
      <c r="AJ24" s="46"/>
      <c r="AK24" s="46"/>
    </row>
    <row r="25" spans="1:37">
      <c r="A25" s="1" t="s">
        <v>133</v>
      </c>
      <c r="B25" s="1" t="s">
        <v>206</v>
      </c>
      <c r="C25" s="48">
        <v>273331</v>
      </c>
      <c r="D25" s="48">
        <f t="shared" si="30"/>
        <v>111519.048</v>
      </c>
      <c r="E25" s="48">
        <f t="shared" si="31"/>
        <v>161811.95200000002</v>
      </c>
      <c r="F25" s="2">
        <v>0.21278902552062631</v>
      </c>
      <c r="G25">
        <v>40.799999999999997</v>
      </c>
      <c r="H25">
        <f t="shared" si="32"/>
        <v>59.2</v>
      </c>
      <c r="I25" s="47">
        <v>1.3962347902208931</v>
      </c>
      <c r="J25" s="47">
        <v>-0.59475237503393119</v>
      </c>
      <c r="K25" s="48">
        <f t="shared" si="23"/>
        <v>581.61837134578309</v>
      </c>
      <c r="L25" s="48">
        <f t="shared" si="24"/>
        <v>237.30029550907952</v>
      </c>
      <c r="M25" s="49">
        <f t="shared" si="25"/>
        <v>5.5615921065701368</v>
      </c>
      <c r="N25" s="59"/>
      <c r="O25" s="47">
        <v>100</v>
      </c>
      <c r="P25" s="47" t="e">
        <v>#N/A</v>
      </c>
      <c r="Q25" s="56"/>
      <c r="R25">
        <v>100</v>
      </c>
      <c r="S25">
        <v>100</v>
      </c>
      <c r="T25">
        <v>100</v>
      </c>
      <c r="U25">
        <f t="shared" si="33"/>
        <v>0</v>
      </c>
      <c r="W25">
        <v>0</v>
      </c>
      <c r="Z25" s="2">
        <f t="shared" si="26"/>
        <v>1</v>
      </c>
      <c r="AA25" s="2">
        <f t="shared" si="27"/>
        <v>1</v>
      </c>
      <c r="AB25" s="2">
        <f t="shared" si="28"/>
        <v>0</v>
      </c>
      <c r="AC25" s="2">
        <f t="shared" si="29"/>
        <v>0</v>
      </c>
      <c r="AD25" s="2"/>
      <c r="AE25" s="1" t="s">
        <v>133</v>
      </c>
      <c r="AF25" s="1" t="s">
        <v>206</v>
      </c>
      <c r="AG25" s="46">
        <f t="shared" si="34"/>
        <v>0.5</v>
      </c>
      <c r="AI25" s="46"/>
      <c r="AJ25" s="46"/>
      <c r="AK25" s="46"/>
    </row>
    <row r="26" spans="1:37">
      <c r="A26" s="1" t="s">
        <v>51</v>
      </c>
      <c r="B26" s="1" t="s">
        <v>207</v>
      </c>
      <c r="C26" s="48">
        <v>9490500</v>
      </c>
      <c r="D26" s="48">
        <f t="shared" si="30"/>
        <v>7051441.5</v>
      </c>
      <c r="E26" s="48">
        <f t="shared" si="31"/>
        <v>2439058.5000000005</v>
      </c>
      <c r="F26" s="2">
        <v>-0.1737071103981809</v>
      </c>
      <c r="G26">
        <v>74.3</v>
      </c>
      <c r="H26">
        <f t="shared" si="32"/>
        <v>25.700000000000003</v>
      </c>
      <c r="I26" s="47">
        <v>0.3931725288692493</v>
      </c>
      <c r="J26" s="47">
        <v>-1.7947383611038119</v>
      </c>
      <c r="K26" s="48">
        <f t="shared" si="23"/>
        <v>-16485.673312339361</v>
      </c>
      <c r="L26" s="48">
        <f t="shared" si="24"/>
        <v>-12248.855271068143</v>
      </c>
      <c r="M26" s="49">
        <f t="shared" si="25"/>
        <v>-3.2634221936453716</v>
      </c>
      <c r="N26" s="59"/>
      <c r="O26" s="47">
        <v>26.26729584298473</v>
      </c>
      <c r="P26" s="47">
        <v>19.516600811337653</v>
      </c>
      <c r="Q26" s="56"/>
      <c r="R26">
        <v>93</v>
      </c>
      <c r="S26">
        <v>97</v>
      </c>
      <c r="T26">
        <v>91</v>
      </c>
      <c r="U26">
        <f t="shared" si="33"/>
        <v>-6</v>
      </c>
      <c r="W26">
        <v>0</v>
      </c>
      <c r="Z26" s="2">
        <f t="shared" si="26"/>
        <v>0</v>
      </c>
      <c r="AA26" s="2">
        <f t="shared" si="27"/>
        <v>0.23238994061406756</v>
      </c>
      <c r="AB26" s="2">
        <f t="shared" si="28"/>
        <v>0</v>
      </c>
      <c r="AC26" s="2">
        <f t="shared" si="29"/>
        <v>0</v>
      </c>
      <c r="AD26" s="2"/>
      <c r="AE26" s="1" t="s">
        <v>51</v>
      </c>
      <c r="AF26" s="1" t="s">
        <v>207</v>
      </c>
      <c r="AG26" s="46">
        <f t="shared" si="34"/>
        <v>5.8097485153516891E-2</v>
      </c>
      <c r="AI26" s="46"/>
      <c r="AJ26" s="46"/>
      <c r="AK26" s="46"/>
    </row>
    <row r="27" spans="1:37">
      <c r="A27" s="1" t="s">
        <v>4</v>
      </c>
      <c r="B27" s="1" t="s">
        <v>208</v>
      </c>
      <c r="C27" s="48">
        <v>10879159</v>
      </c>
      <c r="D27" s="48">
        <f t="shared" si="30"/>
        <v>10596300.866</v>
      </c>
      <c r="E27" s="48">
        <f t="shared" si="31"/>
        <v>282858.13399999938</v>
      </c>
      <c r="F27" s="2">
        <v>0.76275814717755985</v>
      </c>
      <c r="G27">
        <v>97.4</v>
      </c>
      <c r="H27">
        <f t="shared" si="32"/>
        <v>2.5999999999999943</v>
      </c>
      <c r="I27" s="47">
        <v>0.78329413657103941</v>
      </c>
      <c r="J27" s="47">
        <v>-3.5291273799230283E-3</v>
      </c>
      <c r="K27" s="48">
        <f t="shared" si="23"/>
        <v>82981.671616900756</v>
      </c>
      <c r="L27" s="48">
        <f t="shared" si="24"/>
        <v>80824.148154861337</v>
      </c>
      <c r="M27" s="49">
        <f t="shared" si="25"/>
        <v>2.6923330113836207E-2</v>
      </c>
      <c r="N27" s="59"/>
      <c r="O27" s="47">
        <v>17.96978987365042</v>
      </c>
      <c r="P27" s="47">
        <v>17.502575336935511</v>
      </c>
      <c r="Q27" s="56"/>
      <c r="R27">
        <v>100</v>
      </c>
      <c r="S27">
        <v>100</v>
      </c>
      <c r="T27">
        <v>100</v>
      </c>
      <c r="U27">
        <f t="shared" si="33"/>
        <v>0</v>
      </c>
      <c r="W27">
        <v>0</v>
      </c>
      <c r="Z27" s="2">
        <f t="shared" si="26"/>
        <v>1.3461665056918103E-2</v>
      </c>
      <c r="AA27" s="2">
        <f t="shared" si="27"/>
        <v>0.11385414105214886</v>
      </c>
      <c r="AB27" s="2">
        <f t="shared" si="28"/>
        <v>0</v>
      </c>
      <c r="AC27" s="2">
        <f t="shared" si="29"/>
        <v>0</v>
      </c>
      <c r="AD27" s="2"/>
      <c r="AE27" s="1" t="s">
        <v>4</v>
      </c>
      <c r="AF27" s="1" t="s">
        <v>208</v>
      </c>
      <c r="AG27" s="46">
        <f t="shared" si="34"/>
        <v>3.1828951527266738E-2</v>
      </c>
      <c r="AI27" s="46"/>
      <c r="AJ27" s="46"/>
      <c r="AK27" s="46"/>
    </row>
    <row r="28" spans="1:37">
      <c r="A28" s="1" t="s">
        <v>109</v>
      </c>
      <c r="B28" s="1" t="s">
        <v>209</v>
      </c>
      <c r="C28" s="48">
        <v>344700</v>
      </c>
      <c r="D28" s="48">
        <f t="shared" si="30"/>
        <v>181656.9</v>
      </c>
      <c r="E28" s="48">
        <f t="shared" si="31"/>
        <v>163043.09999999998</v>
      </c>
      <c r="F28" s="2">
        <v>3.3931563230132125</v>
      </c>
      <c r="G28">
        <v>52.7</v>
      </c>
      <c r="H28">
        <f t="shared" si="32"/>
        <v>47.3</v>
      </c>
      <c r="I28" s="47">
        <v>4.3464523888855755</v>
      </c>
      <c r="J28" s="47">
        <v>2.3416219230609068</v>
      </c>
      <c r="K28" s="48">
        <f t="shared" si="23"/>
        <v>11696.209845426543</v>
      </c>
      <c r="L28" s="48">
        <f t="shared" si="24"/>
        <v>6163.9025885397887</v>
      </c>
      <c r="M28" s="49">
        <f t="shared" si="25"/>
        <v>0.28094669833124886</v>
      </c>
      <c r="N28" s="59"/>
      <c r="O28" s="47" t="e">
        <v>#N/A</v>
      </c>
      <c r="P28" s="47" t="e">
        <v>#N/A</v>
      </c>
      <c r="Q28" s="56"/>
      <c r="R28">
        <v>90</v>
      </c>
      <c r="S28">
        <v>86</v>
      </c>
      <c r="T28">
        <v>93</v>
      </c>
      <c r="U28">
        <f t="shared" si="33"/>
        <v>7</v>
      </c>
      <c r="W28">
        <v>18.7</v>
      </c>
      <c r="Z28" s="2">
        <f t="shared" si="26"/>
        <v>0.14047334916562443</v>
      </c>
      <c r="AA28" s="2" t="e">
        <f t="shared" si="27"/>
        <v>#N/A</v>
      </c>
      <c r="AB28" s="2">
        <f t="shared" si="28"/>
        <v>0.17499999999999999</v>
      </c>
      <c r="AC28" s="2">
        <f t="shared" si="29"/>
        <v>0.26714285714285713</v>
      </c>
      <c r="AD28" s="2"/>
      <c r="AE28" s="1" t="s">
        <v>109</v>
      </c>
      <c r="AF28" s="1" t="s">
        <v>209</v>
      </c>
      <c r="AG28" s="46">
        <f t="shared" si="34"/>
        <v>0.19420540210282719</v>
      </c>
      <c r="AI28" s="46"/>
      <c r="AJ28" s="46"/>
      <c r="AK28" s="46"/>
    </row>
    <row r="29" spans="1:37">
      <c r="A29" s="1" t="s">
        <v>132</v>
      </c>
      <c r="B29" s="1" t="s">
        <v>210</v>
      </c>
      <c r="C29" s="48">
        <v>8849892</v>
      </c>
      <c r="D29" s="48">
        <f t="shared" si="30"/>
        <v>3716954.64</v>
      </c>
      <c r="E29" s="48">
        <f t="shared" si="31"/>
        <v>5132937.3600000003</v>
      </c>
      <c r="F29" s="2">
        <v>2.8437143264245299</v>
      </c>
      <c r="G29">
        <v>42</v>
      </c>
      <c r="H29">
        <f t="shared" si="32"/>
        <v>58</v>
      </c>
      <c r="I29" s="47">
        <v>3.8006594280396064</v>
      </c>
      <c r="J29" s="47">
        <v>2.1564263976483087</v>
      </c>
      <c r="K29" s="48">
        <f t="shared" si="23"/>
        <v>251665.64667709835</v>
      </c>
      <c r="L29" s="48">
        <f t="shared" si="24"/>
        <v>105699.57160438132</v>
      </c>
      <c r="M29" s="49">
        <f t="shared" si="25"/>
        <v>0.33651238899874525</v>
      </c>
      <c r="N29" s="59"/>
      <c r="O29" s="47">
        <v>22.71916344935541</v>
      </c>
      <c r="P29" s="47" t="e">
        <v>#N/A</v>
      </c>
      <c r="Q29" s="56"/>
      <c r="R29">
        <v>12</v>
      </c>
      <c r="S29">
        <v>4</v>
      </c>
      <c r="T29">
        <v>24</v>
      </c>
      <c r="U29">
        <f t="shared" si="33"/>
        <v>20</v>
      </c>
      <c r="W29">
        <v>69.8</v>
      </c>
      <c r="Z29" s="2">
        <f t="shared" si="26"/>
        <v>0.16825619449937262</v>
      </c>
      <c r="AA29" s="2">
        <f t="shared" si="27"/>
        <v>0.18170233499079158</v>
      </c>
      <c r="AB29" s="2">
        <f t="shared" si="28"/>
        <v>0.5</v>
      </c>
      <c r="AC29" s="2">
        <f t="shared" si="29"/>
        <v>0.99714285714285711</v>
      </c>
      <c r="AD29" s="2"/>
      <c r="AE29" s="1" t="s">
        <v>132</v>
      </c>
      <c r="AF29" s="1" t="s">
        <v>210</v>
      </c>
      <c r="AG29" s="46">
        <f t="shared" si="34"/>
        <v>0.46177534665825531</v>
      </c>
      <c r="AI29" s="46"/>
      <c r="AJ29" s="46"/>
      <c r="AK29" s="46"/>
    </row>
    <row r="30" spans="1:37">
      <c r="A30" s="1" t="s">
        <v>146</v>
      </c>
      <c r="B30" s="1" t="s">
        <v>211</v>
      </c>
      <c r="C30" s="48">
        <v>725940</v>
      </c>
      <c r="D30" s="48">
        <f t="shared" si="30"/>
        <v>267145.92</v>
      </c>
      <c r="E30" s="48">
        <f t="shared" si="31"/>
        <v>458794.08</v>
      </c>
      <c r="F30" s="2">
        <v>1.7053702219905147</v>
      </c>
      <c r="G30">
        <v>36.799999999999997</v>
      </c>
      <c r="H30">
        <f t="shared" si="32"/>
        <v>63.2</v>
      </c>
      <c r="I30" s="47">
        <v>4.9082944792181564</v>
      </c>
      <c r="J30" s="47">
        <v>-0.11343187514656858</v>
      </c>
      <c r="K30" s="48">
        <f t="shared" si="23"/>
        <v>12379.964589517944</v>
      </c>
      <c r="L30" s="48">
        <f t="shared" si="24"/>
        <v>4555.8269689426024</v>
      </c>
      <c r="M30" s="49">
        <f t="shared" si="25"/>
        <v>1.8781401339875496</v>
      </c>
      <c r="N30" s="59"/>
      <c r="O30" s="47" t="e">
        <v>#N/A</v>
      </c>
      <c r="P30" s="47" t="e">
        <v>#N/A</v>
      </c>
      <c r="Q30" s="56"/>
      <c r="R30">
        <v>65</v>
      </c>
      <c r="S30">
        <v>54</v>
      </c>
      <c r="T30">
        <v>87</v>
      </c>
      <c r="U30">
        <f t="shared" si="33"/>
        <v>33</v>
      </c>
      <c r="W30">
        <v>0</v>
      </c>
      <c r="Z30" s="2">
        <f t="shared" si="26"/>
        <v>0.93907006699377482</v>
      </c>
      <c r="AA30" s="2" t="e">
        <f t="shared" si="27"/>
        <v>#N/A</v>
      </c>
      <c r="AB30" s="2">
        <f t="shared" si="28"/>
        <v>0.82499999999999996</v>
      </c>
      <c r="AC30" s="2">
        <f t="shared" si="29"/>
        <v>0</v>
      </c>
      <c r="AD30" s="2"/>
      <c r="AE30" s="1" t="s">
        <v>146</v>
      </c>
      <c r="AF30" s="1" t="s">
        <v>211</v>
      </c>
      <c r="AG30" s="46">
        <f t="shared" si="34"/>
        <v>0.58802335566459163</v>
      </c>
      <c r="AI30" s="46"/>
      <c r="AJ30" s="46"/>
      <c r="AK30" s="46"/>
    </row>
    <row r="31" spans="1:37">
      <c r="A31" s="1" t="s">
        <v>72</v>
      </c>
      <c r="B31" s="1" t="s">
        <v>212</v>
      </c>
      <c r="C31" s="48">
        <v>9929849</v>
      </c>
      <c r="D31" s="48">
        <f t="shared" si="30"/>
        <v>6603349.585</v>
      </c>
      <c r="E31" s="48">
        <f t="shared" si="31"/>
        <v>3326499.415</v>
      </c>
      <c r="F31" s="2">
        <v>1.5876666835607098</v>
      </c>
      <c r="G31">
        <v>66.5</v>
      </c>
      <c r="H31">
        <f t="shared" si="32"/>
        <v>33.5</v>
      </c>
      <c r="I31" s="47">
        <v>2.2817995445488228</v>
      </c>
      <c r="J31" s="47">
        <v>0.22387442234817911</v>
      </c>
      <c r="K31" s="48">
        <f t="shared" si="23"/>
        <v>157652.90430088632</v>
      </c>
      <c r="L31" s="48">
        <f t="shared" si="24"/>
        <v>104839.18136008939</v>
      </c>
      <c r="M31" s="49">
        <f t="shared" si="25"/>
        <v>0.43720314104680946</v>
      </c>
      <c r="N31" s="59"/>
      <c r="O31" s="47">
        <v>25.341699367261349</v>
      </c>
      <c r="P31" s="47">
        <v>33.455312361748909</v>
      </c>
      <c r="Q31" s="56"/>
      <c r="R31">
        <v>25</v>
      </c>
      <c r="S31">
        <v>9</v>
      </c>
      <c r="T31">
        <v>34</v>
      </c>
      <c r="U31">
        <f t="shared" si="33"/>
        <v>25</v>
      </c>
      <c r="W31">
        <v>47.3</v>
      </c>
      <c r="Z31" s="2">
        <f t="shared" si="26"/>
        <v>0.21860157052340473</v>
      </c>
      <c r="AA31" s="2">
        <f t="shared" si="27"/>
        <v>0.21916713381801928</v>
      </c>
      <c r="AB31" s="2">
        <f t="shared" si="28"/>
        <v>0.625</v>
      </c>
      <c r="AC31" s="2">
        <f t="shared" si="29"/>
        <v>0.67571428571428571</v>
      </c>
      <c r="AD31" s="2"/>
      <c r="AE31" s="1" t="s">
        <v>72</v>
      </c>
      <c r="AF31" s="1" t="s">
        <v>212</v>
      </c>
      <c r="AG31" s="46">
        <f t="shared" si="34"/>
        <v>0.43462074751392743</v>
      </c>
      <c r="AI31" s="46"/>
      <c r="AJ31" s="46"/>
      <c r="AK31" s="46"/>
    </row>
    <row r="32" spans="1:37">
      <c r="A32" s="1" t="s">
        <v>122</v>
      </c>
      <c r="B32" s="1" t="s">
        <v>213</v>
      </c>
      <c r="C32" s="48">
        <v>3760149</v>
      </c>
      <c r="D32" s="48">
        <f t="shared" si="30"/>
        <v>1827432.4140000001</v>
      </c>
      <c r="E32" s="48">
        <f t="shared" si="31"/>
        <v>1932716.5859999999</v>
      </c>
      <c r="F32" s="2">
        <v>-0.20016393871309054</v>
      </c>
      <c r="G32">
        <v>48.6</v>
      </c>
      <c r="H32">
        <f t="shared" si="32"/>
        <v>51.4</v>
      </c>
      <c r="I32" s="47">
        <v>1.0004300726210003</v>
      </c>
      <c r="J32" s="47">
        <v>-1.3222496139355471</v>
      </c>
      <c r="K32" s="48">
        <f t="shared" si="23"/>
        <v>-7526.4623398808872</v>
      </c>
      <c r="L32" s="48">
        <f t="shared" si="24"/>
        <v>-3657.8606971821114</v>
      </c>
      <c r="M32" s="49">
        <f t="shared" si="25"/>
        <v>-5.9980534908187879</v>
      </c>
      <c r="N32" s="59"/>
      <c r="O32" s="47">
        <v>21.659354305527657</v>
      </c>
      <c r="P32" s="47" t="e">
        <v>#N/A</v>
      </c>
      <c r="Q32" s="56"/>
      <c r="R32">
        <v>95</v>
      </c>
      <c r="S32">
        <v>92</v>
      </c>
      <c r="T32">
        <v>99</v>
      </c>
      <c r="U32">
        <f t="shared" si="33"/>
        <v>7</v>
      </c>
      <c r="W32">
        <v>0</v>
      </c>
      <c r="Z32" s="2">
        <f t="shared" si="26"/>
        <v>0</v>
      </c>
      <c r="AA32" s="2">
        <f t="shared" si="27"/>
        <v>0.1665622043646808</v>
      </c>
      <c r="AB32" s="2">
        <f t="shared" si="28"/>
        <v>0.17499999999999999</v>
      </c>
      <c r="AC32" s="2">
        <f t="shared" si="29"/>
        <v>0</v>
      </c>
      <c r="AD32" s="2"/>
      <c r="AE32" s="1" t="s">
        <v>122</v>
      </c>
      <c r="AF32" s="1" t="s">
        <v>213</v>
      </c>
      <c r="AG32" s="46">
        <f t="shared" si="34"/>
        <v>8.5390551091170191E-2</v>
      </c>
      <c r="AI32" s="46"/>
      <c r="AJ32" s="46"/>
      <c r="AK32" s="46"/>
    </row>
    <row r="33" spans="1:37">
      <c r="A33" s="1" t="s">
        <v>90</v>
      </c>
      <c r="B33" s="1" t="s">
        <v>214</v>
      </c>
      <c r="C33" s="48">
        <v>2006945</v>
      </c>
      <c r="D33" s="48">
        <f t="shared" si="30"/>
        <v>1226243.395</v>
      </c>
      <c r="E33" s="48">
        <f t="shared" si="31"/>
        <v>780701.60499999998</v>
      </c>
      <c r="F33" s="2">
        <v>1.2721177658444358</v>
      </c>
      <c r="G33">
        <v>61.1</v>
      </c>
      <c r="H33">
        <f t="shared" si="32"/>
        <v>38.9</v>
      </c>
      <c r="I33" s="47">
        <v>2.5237810105078911</v>
      </c>
      <c r="J33" s="47">
        <v>-0.66276948088047483</v>
      </c>
      <c r="K33" s="48">
        <f t="shared" si="23"/>
        <v>25530.703895726612</v>
      </c>
      <c r="L33" s="48">
        <f t="shared" si="24"/>
        <v>15599.260080288961</v>
      </c>
      <c r="M33" s="49">
        <f t="shared" si="25"/>
        <v>0.9839208902428912</v>
      </c>
      <c r="N33" s="59"/>
      <c r="O33" s="47">
        <v>16.383439993335276</v>
      </c>
      <c r="P33" s="47" t="e">
        <v>#N/A</v>
      </c>
      <c r="Q33" s="56"/>
      <c r="R33">
        <v>60</v>
      </c>
      <c r="S33">
        <v>39</v>
      </c>
      <c r="T33">
        <v>74</v>
      </c>
      <c r="U33">
        <f t="shared" si="33"/>
        <v>35</v>
      </c>
      <c r="W33" t="e">
        <v>#N/A</v>
      </c>
      <c r="Z33" s="2">
        <f t="shared" si="26"/>
        <v>0.4919604451214456</v>
      </c>
      <c r="AA33" s="2">
        <f t="shared" si="27"/>
        <v>9.1191999904789656E-2</v>
      </c>
      <c r="AB33" s="2">
        <f t="shared" si="28"/>
        <v>0.875</v>
      </c>
      <c r="AC33" s="2" t="e">
        <f t="shared" si="29"/>
        <v>#N/A</v>
      </c>
      <c r="AD33" s="2"/>
      <c r="AE33" s="1" t="s">
        <v>90</v>
      </c>
      <c r="AF33" s="1" t="s">
        <v>214</v>
      </c>
      <c r="AG33" s="46">
        <f t="shared" si="34"/>
        <v>0.48605081500874509</v>
      </c>
      <c r="AI33" s="46"/>
      <c r="AJ33" s="46"/>
      <c r="AK33" s="46"/>
    </row>
    <row r="34" spans="1:37">
      <c r="A34" s="1" t="s">
        <v>23</v>
      </c>
      <c r="B34" s="1" t="s">
        <v>215</v>
      </c>
      <c r="C34" s="48">
        <v>194946470</v>
      </c>
      <c r="D34" s="48">
        <f t="shared" si="30"/>
        <v>168628696.55000001</v>
      </c>
      <c r="E34" s="48">
        <f t="shared" si="31"/>
        <v>26317773.449999999</v>
      </c>
      <c r="F34" s="2">
        <v>0.87578627880092896</v>
      </c>
      <c r="G34">
        <v>86.5</v>
      </c>
      <c r="H34">
        <f t="shared" si="32"/>
        <v>13.5</v>
      </c>
      <c r="I34" s="47">
        <v>1.4089972326313676</v>
      </c>
      <c r="J34" s="47">
        <v>-2.4748549101833084</v>
      </c>
      <c r="K34" s="48">
        <f t="shared" si="23"/>
        <v>1707314.4352667693</v>
      </c>
      <c r="L34" s="48">
        <f t="shared" si="24"/>
        <v>1476826.9865057555</v>
      </c>
      <c r="M34" s="49">
        <f t="shared" si="25"/>
        <v>0.60883684380220848</v>
      </c>
      <c r="N34" s="59"/>
      <c r="O34" s="47">
        <v>12.016040813072394</v>
      </c>
      <c r="P34" s="47">
        <v>40.799390212092575</v>
      </c>
      <c r="Q34" s="56"/>
      <c r="R34">
        <v>80</v>
      </c>
      <c r="S34">
        <v>37</v>
      </c>
      <c r="T34">
        <v>87</v>
      </c>
      <c r="U34">
        <f t="shared" si="33"/>
        <v>50</v>
      </c>
      <c r="W34">
        <v>26.9</v>
      </c>
      <c r="Z34" s="2">
        <f t="shared" si="26"/>
        <v>0.30441842190110424</v>
      </c>
      <c r="AA34" s="2">
        <f t="shared" si="27"/>
        <v>2.880058304389134E-2</v>
      </c>
      <c r="AB34" s="2">
        <f t="shared" si="28"/>
        <v>1</v>
      </c>
      <c r="AC34" s="2">
        <f t="shared" si="29"/>
        <v>0.38428571428571429</v>
      </c>
      <c r="AD34" s="2"/>
      <c r="AE34" s="1" t="s">
        <v>23</v>
      </c>
      <c r="AF34" s="1" t="s">
        <v>215</v>
      </c>
      <c r="AG34" s="46">
        <f t="shared" si="34"/>
        <v>0.4293761798076775</v>
      </c>
      <c r="AI34" s="46"/>
      <c r="AJ34" s="46"/>
      <c r="AK34" s="46"/>
    </row>
    <row r="35" spans="1:37">
      <c r="A35" s="1" t="s">
        <v>43</v>
      </c>
      <c r="B35" s="1" t="s">
        <v>216</v>
      </c>
      <c r="C35" s="48">
        <v>398920</v>
      </c>
      <c r="D35" s="48">
        <f t="shared" si="30"/>
        <v>301982.44</v>
      </c>
      <c r="E35" s="48">
        <f t="shared" si="31"/>
        <v>96937.559999999983</v>
      </c>
      <c r="F35" s="2">
        <v>1.7914958545316768</v>
      </c>
      <c r="G35">
        <v>75.7</v>
      </c>
      <c r="H35">
        <f t="shared" si="32"/>
        <v>24.299999999999997</v>
      </c>
      <c r="I35" s="47">
        <v>2.3744333823428616</v>
      </c>
      <c r="J35" s="47">
        <v>-3.0058072522122013E-3</v>
      </c>
      <c r="K35" s="48">
        <f t="shared" si="23"/>
        <v>7146.6352628977656</v>
      </c>
      <c r="L35" s="48">
        <f t="shared" si="24"/>
        <v>5410.0028940136081</v>
      </c>
      <c r="M35" s="49">
        <f t="shared" si="25"/>
        <v>0.32539150249028814</v>
      </c>
      <c r="N35" s="59"/>
      <c r="O35" s="47">
        <v>7.5375591182531867</v>
      </c>
      <c r="P35" s="47" t="e">
        <v>#N/A</v>
      </c>
      <c r="Q35" s="56"/>
      <c r="R35" s="54">
        <v>100</v>
      </c>
      <c r="S35" s="54">
        <v>100</v>
      </c>
      <c r="T35" t="e">
        <v>#N/A</v>
      </c>
      <c r="U35" t="e">
        <f t="shared" si="33"/>
        <v>#N/A</v>
      </c>
      <c r="W35">
        <v>0</v>
      </c>
      <c r="Z35" s="2">
        <f t="shared" si="26"/>
        <v>0.16269575124514407</v>
      </c>
      <c r="AA35" s="2">
        <f t="shared" si="27"/>
        <v>0</v>
      </c>
      <c r="AB35" s="2" t="e">
        <f t="shared" si="28"/>
        <v>#N/A</v>
      </c>
      <c r="AC35" s="2">
        <f t="shared" si="29"/>
        <v>0</v>
      </c>
      <c r="AD35" s="2"/>
      <c r="AE35" s="1" t="s">
        <v>43</v>
      </c>
      <c r="AF35" s="1" t="s">
        <v>216</v>
      </c>
      <c r="AG35" s="46">
        <f t="shared" si="34"/>
        <v>5.4231917081714688E-2</v>
      </c>
      <c r="AI35" s="46"/>
      <c r="AJ35" s="46"/>
      <c r="AK35" s="46"/>
    </row>
    <row r="36" spans="1:37">
      <c r="A36" s="1" t="s">
        <v>54</v>
      </c>
      <c r="B36" s="1" t="s">
        <v>217</v>
      </c>
      <c r="C36" s="48">
        <v>7543325</v>
      </c>
      <c r="D36" s="48">
        <f t="shared" si="30"/>
        <v>5408564.0250000004</v>
      </c>
      <c r="E36" s="48">
        <f t="shared" si="31"/>
        <v>2134760.9749999996</v>
      </c>
      <c r="F36" s="2">
        <v>-0.55268173323316627</v>
      </c>
      <c r="G36">
        <v>71.7</v>
      </c>
      <c r="H36">
        <f t="shared" si="32"/>
        <v>28.299999999999997</v>
      </c>
      <c r="I36" s="47">
        <v>-0.13339390722957672</v>
      </c>
      <c r="J36" s="47">
        <v>-1.6071730508946316</v>
      </c>
      <c r="K36" s="48">
        <f t="shared" si="23"/>
        <v>-41690.579353410743</v>
      </c>
      <c r="L36" s="48">
        <f t="shared" si="24"/>
        <v>-29892.145396395503</v>
      </c>
      <c r="M36" s="49">
        <f t="shared" si="25"/>
        <v>-0.75864245331716029</v>
      </c>
      <c r="N36" s="59"/>
      <c r="O36" s="47">
        <v>22.118384740763052</v>
      </c>
      <c r="P36" s="47">
        <v>15.858881859127107</v>
      </c>
      <c r="Q36" s="56"/>
      <c r="R36">
        <v>100</v>
      </c>
      <c r="S36">
        <v>100</v>
      </c>
      <c r="T36">
        <v>100</v>
      </c>
      <c r="U36">
        <f t="shared" si="33"/>
        <v>0</v>
      </c>
      <c r="W36">
        <v>0</v>
      </c>
      <c r="Z36" s="2">
        <f t="shared" si="26"/>
        <v>0</v>
      </c>
      <c r="AA36" s="2">
        <f t="shared" si="27"/>
        <v>0.17311978201090072</v>
      </c>
      <c r="AB36" s="2">
        <f t="shared" si="28"/>
        <v>0</v>
      </c>
      <c r="AC36" s="2">
        <f t="shared" si="29"/>
        <v>0</v>
      </c>
      <c r="AD36" s="2"/>
      <c r="AE36" s="1" t="s">
        <v>54</v>
      </c>
      <c r="AF36" s="1" t="s">
        <v>217</v>
      </c>
      <c r="AG36" s="46">
        <f t="shared" si="34"/>
        <v>4.3279945502725181E-2</v>
      </c>
      <c r="AI36" s="46"/>
      <c r="AJ36" s="46"/>
      <c r="AK36" s="46"/>
    </row>
    <row r="37" spans="1:37">
      <c r="A37" s="1" t="s">
        <v>179</v>
      </c>
      <c r="B37" s="1" t="s">
        <v>218</v>
      </c>
      <c r="C37" s="48">
        <v>16468714</v>
      </c>
      <c r="D37" s="48">
        <f t="shared" si="30"/>
        <v>3359617.6559999995</v>
      </c>
      <c r="E37" s="48">
        <f t="shared" si="31"/>
        <v>13109096.343999999</v>
      </c>
      <c r="F37" s="2">
        <v>2.9844270856342674</v>
      </c>
      <c r="G37">
        <v>20.399999999999999</v>
      </c>
      <c r="H37">
        <f t="shared" si="32"/>
        <v>79.599999999999994</v>
      </c>
      <c r="I37" s="47">
        <v>5.0647398486105732</v>
      </c>
      <c r="J37" s="47">
        <v>2.4581760277591065</v>
      </c>
      <c r="K37" s="48">
        <f t="shared" si="23"/>
        <v>491496.76127164258</v>
      </c>
      <c r="L37" s="48">
        <f t="shared" si="24"/>
        <v>100265.33929941506</v>
      </c>
      <c r="M37" s="49">
        <f t="shared" si="25"/>
        <v>0.69705598538159186</v>
      </c>
      <c r="N37" s="59"/>
      <c r="O37" s="47">
        <v>56.790718330478981</v>
      </c>
      <c r="P37" s="47">
        <v>11.58530653941771</v>
      </c>
      <c r="Q37" s="56"/>
      <c r="R37">
        <v>11</v>
      </c>
      <c r="S37">
        <v>6</v>
      </c>
      <c r="T37">
        <v>33</v>
      </c>
      <c r="U37">
        <f t="shared" si="33"/>
        <v>27</v>
      </c>
      <c r="W37">
        <v>59.5</v>
      </c>
      <c r="Z37" s="2">
        <f t="shared" si="26"/>
        <v>0.34852799269079593</v>
      </c>
      <c r="AA37" s="2">
        <f t="shared" si="27"/>
        <v>0.66843883329255682</v>
      </c>
      <c r="AB37" s="2">
        <f t="shared" si="28"/>
        <v>0.67500000000000004</v>
      </c>
      <c r="AC37" s="2">
        <f t="shared" si="29"/>
        <v>0.85</v>
      </c>
      <c r="AD37" s="2"/>
      <c r="AE37" s="1" t="s">
        <v>179</v>
      </c>
      <c r="AF37" s="1" t="s">
        <v>218</v>
      </c>
      <c r="AG37" s="46">
        <f t="shared" si="34"/>
        <v>0.63549170649583819</v>
      </c>
      <c r="AI37" s="46"/>
      <c r="AJ37" s="46"/>
      <c r="AK37" s="46"/>
    </row>
    <row r="38" spans="1:37">
      <c r="A38" s="1" t="s">
        <v>191</v>
      </c>
      <c r="B38" s="1" t="s">
        <v>219</v>
      </c>
      <c r="C38" s="48">
        <v>8382849</v>
      </c>
      <c r="D38" s="48">
        <f t="shared" si="30"/>
        <v>922113.39</v>
      </c>
      <c r="E38" s="48">
        <f t="shared" si="31"/>
        <v>7460735.6100000003</v>
      </c>
      <c r="F38" s="2">
        <v>2.5614523062157324</v>
      </c>
      <c r="G38">
        <v>11</v>
      </c>
      <c r="H38">
        <f t="shared" si="32"/>
        <v>89</v>
      </c>
      <c r="I38" s="47">
        <v>5.3266054392667428</v>
      </c>
      <c r="J38" s="47">
        <v>2.2249404911843795</v>
      </c>
      <c r="K38" s="48">
        <f t="shared" si="23"/>
        <v>214722.67903708245</v>
      </c>
      <c r="L38" s="48">
        <f t="shared" si="24"/>
        <v>23619.494694079072</v>
      </c>
      <c r="M38" s="49">
        <f t="shared" si="25"/>
        <v>1.0795255200891185</v>
      </c>
      <c r="N38" s="59"/>
      <c r="O38" s="47">
        <v>52.02742127596143</v>
      </c>
      <c r="P38" s="47" t="e">
        <v>#N/A</v>
      </c>
      <c r="Q38" s="56"/>
      <c r="R38">
        <v>46</v>
      </c>
      <c r="S38">
        <v>46</v>
      </c>
      <c r="T38">
        <v>49</v>
      </c>
      <c r="U38">
        <f t="shared" si="33"/>
        <v>3</v>
      </c>
      <c r="W38">
        <v>64.3</v>
      </c>
      <c r="Z38" s="2">
        <f t="shared" si="26"/>
        <v>0.53976276004455925</v>
      </c>
      <c r="AA38" s="2">
        <f t="shared" si="27"/>
        <v>0.60039173251373468</v>
      </c>
      <c r="AB38" s="2">
        <f t="shared" si="28"/>
        <v>7.4999999999999997E-2</v>
      </c>
      <c r="AC38" s="2">
        <f t="shared" si="29"/>
        <v>0.91857142857142848</v>
      </c>
      <c r="AD38" s="2"/>
      <c r="AE38" s="1" t="s">
        <v>191</v>
      </c>
      <c r="AF38" s="1" t="s">
        <v>219</v>
      </c>
      <c r="AG38" s="46">
        <f t="shared" si="34"/>
        <v>0.53343148028243059</v>
      </c>
      <c r="AI38" s="46"/>
      <c r="AJ38" s="46"/>
      <c r="AK38" s="46"/>
    </row>
    <row r="39" spans="1:37">
      <c r="A39" s="1" t="s">
        <v>177</v>
      </c>
      <c r="B39" s="1" t="s">
        <v>220</v>
      </c>
      <c r="C39" s="48">
        <v>14138255</v>
      </c>
      <c r="D39" s="48">
        <f t="shared" si="30"/>
        <v>3223522.14</v>
      </c>
      <c r="E39" s="48">
        <f t="shared" si="31"/>
        <v>10914732.859999999</v>
      </c>
      <c r="F39" s="2">
        <v>1.1406518528950371</v>
      </c>
      <c r="G39">
        <v>22.8</v>
      </c>
      <c r="H39">
        <f t="shared" si="32"/>
        <v>77.2</v>
      </c>
      <c r="I39" s="47">
        <v>3.8976072567124604</v>
      </c>
      <c r="J39" s="47">
        <v>0.34075080032736071</v>
      </c>
      <c r="K39" s="48">
        <f t="shared" si="23"/>
        <v>161268.26762452524</v>
      </c>
      <c r="L39" s="48">
        <f t="shared" si="24"/>
        <v>36769.165018391752</v>
      </c>
      <c r="M39" s="49">
        <f t="shared" si="25"/>
        <v>2.416999890738019</v>
      </c>
      <c r="N39" s="59"/>
      <c r="O39" s="47">
        <v>48.471762629184234</v>
      </c>
      <c r="P39" s="47">
        <v>11.051561879454006</v>
      </c>
      <c r="Q39" s="56"/>
      <c r="R39">
        <v>29</v>
      </c>
      <c r="S39">
        <v>18</v>
      </c>
      <c r="T39">
        <v>67</v>
      </c>
      <c r="U39">
        <f t="shared" si="33"/>
        <v>49</v>
      </c>
      <c r="W39">
        <v>78.900000000000006</v>
      </c>
      <c r="Z39" s="2">
        <f t="shared" si="26"/>
        <v>1</v>
      </c>
      <c r="AA39" s="2">
        <f t="shared" si="27"/>
        <v>0.54959660898834617</v>
      </c>
      <c r="AB39" s="2">
        <f t="shared" si="28"/>
        <v>1</v>
      </c>
      <c r="AC39" s="2">
        <f t="shared" si="29"/>
        <v>1</v>
      </c>
      <c r="AD39" s="2"/>
      <c r="AE39" s="1" t="s">
        <v>177</v>
      </c>
      <c r="AF39" s="1" t="s">
        <v>220</v>
      </c>
      <c r="AG39" s="46">
        <f t="shared" si="34"/>
        <v>0.88739915224708654</v>
      </c>
      <c r="AI39" s="46"/>
      <c r="AJ39" s="46"/>
      <c r="AK39" s="46"/>
    </row>
    <row r="40" spans="1:37">
      <c r="A40" s="1" t="s">
        <v>97</v>
      </c>
      <c r="B40" s="1" t="s">
        <v>221</v>
      </c>
      <c r="C40" s="48">
        <v>19598889</v>
      </c>
      <c r="D40" s="48">
        <f t="shared" si="30"/>
        <v>11445751.175999999</v>
      </c>
      <c r="E40" s="48">
        <f t="shared" si="31"/>
        <v>8153137.824</v>
      </c>
      <c r="F40" s="2">
        <v>2.186407346948783</v>
      </c>
      <c r="G40">
        <v>58.4</v>
      </c>
      <c r="H40">
        <f t="shared" si="32"/>
        <v>41.6</v>
      </c>
      <c r="I40" s="47">
        <v>3.6004678119639073</v>
      </c>
      <c r="J40" s="47">
        <v>0.23442916001692327</v>
      </c>
      <c r="K40" s="48">
        <f t="shared" si="23"/>
        <v>428511.54901633685</v>
      </c>
      <c r="L40" s="48">
        <f t="shared" si="24"/>
        <v>250250.74462554071</v>
      </c>
      <c r="M40" s="49">
        <f t="shared" si="25"/>
        <v>0.64675069217476833</v>
      </c>
      <c r="N40" s="59"/>
      <c r="O40" s="47">
        <v>18.564146357256092</v>
      </c>
      <c r="P40" s="47">
        <v>20.029543511369447</v>
      </c>
      <c r="Q40" s="56"/>
      <c r="R40">
        <v>47</v>
      </c>
      <c r="S40">
        <v>35</v>
      </c>
      <c r="T40">
        <v>56</v>
      </c>
      <c r="U40">
        <f t="shared" si="33"/>
        <v>21</v>
      </c>
      <c r="W40">
        <v>46.1</v>
      </c>
      <c r="Z40" s="2">
        <f t="shared" si="26"/>
        <v>0.32337534608738416</v>
      </c>
      <c r="AA40" s="2">
        <f t="shared" si="27"/>
        <v>0.12234494796080132</v>
      </c>
      <c r="AB40" s="2">
        <f t="shared" si="28"/>
        <v>0.52500000000000002</v>
      </c>
      <c r="AC40" s="2">
        <f t="shared" si="29"/>
        <v>0.65857142857142859</v>
      </c>
      <c r="AD40" s="2"/>
      <c r="AE40" s="1" t="s">
        <v>97</v>
      </c>
      <c r="AF40" s="1" t="s">
        <v>221</v>
      </c>
      <c r="AG40" s="46">
        <f t="shared" si="34"/>
        <v>0.40732293065490355</v>
      </c>
      <c r="AI40" s="46"/>
      <c r="AJ40" s="46"/>
      <c r="AK40" s="46"/>
    </row>
    <row r="41" spans="1:37">
      <c r="A41" s="1" t="s">
        <v>32</v>
      </c>
      <c r="B41" s="1" t="s">
        <v>222</v>
      </c>
      <c r="C41" s="48">
        <v>34108752</v>
      </c>
      <c r="D41" s="48">
        <f t="shared" si="30"/>
        <v>27491654.112</v>
      </c>
      <c r="E41" s="48">
        <f t="shared" si="31"/>
        <v>6617097.8880000021</v>
      </c>
      <c r="F41" s="2">
        <v>1.0872894977929168</v>
      </c>
      <c r="G41">
        <v>80.599999999999994</v>
      </c>
      <c r="H41">
        <f t="shared" si="32"/>
        <v>19.400000000000006</v>
      </c>
      <c r="I41" s="47">
        <v>1.2114360065994263</v>
      </c>
      <c r="J41" s="47">
        <v>0.57314954775105442</v>
      </c>
      <c r="K41" s="48">
        <f t="shared" si="23"/>
        <v>370860.87832423148</v>
      </c>
      <c r="L41" s="48">
        <f t="shared" si="24"/>
        <v>298913.86792933056</v>
      </c>
      <c r="M41" s="49">
        <f t="shared" si="25"/>
        <v>0.11417981049068697</v>
      </c>
      <c r="N41" s="59"/>
      <c r="O41" s="47">
        <v>19.822219419024822</v>
      </c>
      <c r="P41" s="47">
        <v>43.772780077089898</v>
      </c>
      <c r="Q41" s="56"/>
      <c r="R41">
        <v>100</v>
      </c>
      <c r="S41">
        <v>99</v>
      </c>
      <c r="T41">
        <v>100</v>
      </c>
      <c r="U41">
        <f t="shared" si="33"/>
        <v>1</v>
      </c>
      <c r="W41">
        <v>0</v>
      </c>
      <c r="Z41" s="2">
        <f t="shared" si="26"/>
        <v>5.7089905245343485E-2</v>
      </c>
      <c r="AA41" s="2">
        <f t="shared" si="27"/>
        <v>0.14031742027178318</v>
      </c>
      <c r="AB41" s="2">
        <f t="shared" si="28"/>
        <v>2.5000000000000001E-2</v>
      </c>
      <c r="AC41" s="2">
        <f t="shared" si="29"/>
        <v>0</v>
      </c>
      <c r="AD41" s="2"/>
      <c r="AE41" s="1" t="s">
        <v>32</v>
      </c>
      <c r="AF41" s="1" t="s">
        <v>222</v>
      </c>
      <c r="AG41" s="46">
        <f t="shared" si="34"/>
        <v>5.5601831379281666E-2</v>
      </c>
      <c r="AI41" s="46"/>
      <c r="AJ41" s="46"/>
      <c r="AK41" s="46"/>
    </row>
    <row r="42" spans="1:37">
      <c r="A42" s="1" t="s">
        <v>89</v>
      </c>
      <c r="B42" s="1" t="s">
        <v>223</v>
      </c>
      <c r="C42" s="48">
        <v>495999</v>
      </c>
      <c r="D42" s="48">
        <f t="shared" si="30"/>
        <v>303055.38900000002</v>
      </c>
      <c r="E42" s="48">
        <f t="shared" si="31"/>
        <v>192943.61099999998</v>
      </c>
      <c r="F42" s="2">
        <v>0.8865816157724965</v>
      </c>
      <c r="G42">
        <v>61.1</v>
      </c>
      <c r="H42">
        <f t="shared" si="32"/>
        <v>38.9</v>
      </c>
      <c r="I42" s="47">
        <v>2.1051048435626507</v>
      </c>
      <c r="J42" s="47">
        <v>-0.99786426796621841</v>
      </c>
      <c r="K42" s="48">
        <f t="shared" si="23"/>
        <v>4397.4359484154247</v>
      </c>
      <c r="L42" s="48">
        <f t="shared" si="24"/>
        <v>2686.8333644818249</v>
      </c>
      <c r="M42" s="49">
        <f t="shared" si="25"/>
        <v>1.3744061529275344</v>
      </c>
      <c r="N42" s="59"/>
      <c r="O42" s="47">
        <v>42.173947836936883</v>
      </c>
      <c r="P42" s="47" t="e">
        <v>#N/A</v>
      </c>
      <c r="Q42" s="56"/>
      <c r="R42">
        <v>54</v>
      </c>
      <c r="S42">
        <v>38</v>
      </c>
      <c r="T42">
        <v>65</v>
      </c>
      <c r="U42">
        <f t="shared" si="33"/>
        <v>27</v>
      </c>
      <c r="W42">
        <v>0</v>
      </c>
      <c r="Z42" s="2">
        <f t="shared" si="26"/>
        <v>0.68720307646376722</v>
      </c>
      <c r="AA42" s="2">
        <f t="shared" si="27"/>
        <v>0.45962782624195547</v>
      </c>
      <c r="AB42" s="2">
        <f t="shared" si="28"/>
        <v>0.67500000000000004</v>
      </c>
      <c r="AC42" s="2">
        <f t="shared" si="29"/>
        <v>0</v>
      </c>
      <c r="AD42" s="2"/>
      <c r="AE42" s="1" t="s">
        <v>89</v>
      </c>
      <c r="AF42" s="1" t="s">
        <v>223</v>
      </c>
      <c r="AG42" s="46">
        <f t="shared" si="34"/>
        <v>0.45545772567643067</v>
      </c>
      <c r="AI42" s="46"/>
      <c r="AJ42" s="46"/>
      <c r="AK42" s="46"/>
    </row>
    <row r="43" spans="1:37">
      <c r="A43" s="1" t="s">
        <v>135</v>
      </c>
      <c r="B43" s="1" t="s">
        <v>224</v>
      </c>
      <c r="C43" s="48">
        <v>4401051</v>
      </c>
      <c r="D43" s="48">
        <f t="shared" si="30"/>
        <v>1712008.8390000002</v>
      </c>
      <c r="E43" s="48">
        <f t="shared" si="31"/>
        <v>2689042.1610000003</v>
      </c>
      <c r="F43" s="2">
        <v>1.9021401030538398</v>
      </c>
      <c r="G43">
        <v>38.9</v>
      </c>
      <c r="H43">
        <f t="shared" si="32"/>
        <v>61.1</v>
      </c>
      <c r="I43" s="47">
        <v>2.3142993676089305</v>
      </c>
      <c r="J43" s="47">
        <v>1.6406165803458685</v>
      </c>
      <c r="K43" s="48">
        <f t="shared" ref="K43:K74" si="35">C43*F43/100</f>
        <v>83714.156026852041</v>
      </c>
      <c r="L43" s="48">
        <f t="shared" ref="L43:L74" si="36">D43*F43/100</f>
        <v>32564.806694445451</v>
      </c>
      <c r="M43" s="49">
        <f t="shared" ref="M43:M74" si="37">(D43*I43/100-L43)/L43</f>
        <v>0.21668186475506132</v>
      </c>
      <c r="N43" s="59"/>
      <c r="O43" s="47">
        <v>41.940402610954933</v>
      </c>
      <c r="P43" s="47" t="e">
        <v>#N/A</v>
      </c>
      <c r="Q43" s="56"/>
      <c r="R43">
        <v>34</v>
      </c>
      <c r="S43">
        <v>28</v>
      </c>
      <c r="T43">
        <v>43</v>
      </c>
      <c r="U43">
        <f t="shared" si="33"/>
        <v>15</v>
      </c>
      <c r="W43">
        <v>95.9</v>
      </c>
      <c r="Z43" s="2">
        <f t="shared" ref="Z43:Z74" si="38">MAX(0,MIN(1,(M43-Z$8)/(Z$9-Z$8)))</f>
        <v>0.10834093237753066</v>
      </c>
      <c r="AA43" s="2">
        <f t="shared" ref="AA43:AA74" si="39">MAX(0,MIN(1,(O43-AA$8)/(AA$9-AA$8)))</f>
        <v>0.45629146587078478</v>
      </c>
      <c r="AB43" s="2">
        <f t="shared" ref="AB43:AB74" si="40">MAX(0,MIN(1,(U43-AB$8)/(AB$9-AB$8)))</f>
        <v>0.375</v>
      </c>
      <c r="AC43" s="2">
        <f t="shared" ref="AC43:AC74" si="41">MAX(0,MIN(1,(W43-AC$8)/(AC$9-AC$8)))</f>
        <v>1</v>
      </c>
      <c r="AD43" s="2"/>
      <c r="AE43" s="1" t="s">
        <v>135</v>
      </c>
      <c r="AF43" s="1" t="s">
        <v>224</v>
      </c>
      <c r="AG43" s="46">
        <f t="shared" si="34"/>
        <v>0.48490809956207886</v>
      </c>
      <c r="AI43" s="46"/>
      <c r="AJ43" s="46"/>
      <c r="AK43" s="46"/>
    </row>
    <row r="44" spans="1:37">
      <c r="A44" s="1" t="s">
        <v>165</v>
      </c>
      <c r="B44" s="1" t="s">
        <v>225</v>
      </c>
      <c r="C44" s="48">
        <v>11227208</v>
      </c>
      <c r="D44" s="48">
        <f t="shared" si="30"/>
        <v>3098709.4080000003</v>
      </c>
      <c r="E44" s="48">
        <f t="shared" si="31"/>
        <v>8128498.5920000002</v>
      </c>
      <c r="F44" s="2">
        <v>2.6180444236019378</v>
      </c>
      <c r="G44">
        <v>27.6</v>
      </c>
      <c r="H44">
        <f t="shared" si="32"/>
        <v>72.400000000000006</v>
      </c>
      <c r="I44" s="47">
        <v>4.298756255240054</v>
      </c>
      <c r="J44" s="47">
        <v>1.9846952047272062</v>
      </c>
      <c r="K44" s="48">
        <f t="shared" si="35"/>
        <v>293933.29297019064</v>
      </c>
      <c r="L44" s="48">
        <f t="shared" si="36"/>
        <v>81125.58885977263</v>
      </c>
      <c r="M44" s="49">
        <f t="shared" si="37"/>
        <v>0.64197223564517358</v>
      </c>
      <c r="N44" s="59"/>
      <c r="O44" s="47">
        <v>26.743940488917247</v>
      </c>
      <c r="P44" s="47" t="e">
        <v>#N/A</v>
      </c>
      <c r="Q44" s="56"/>
      <c r="R44">
        <v>9</v>
      </c>
      <c r="S44">
        <v>4</v>
      </c>
      <c r="T44">
        <v>23</v>
      </c>
      <c r="U44">
        <f t="shared" si="33"/>
        <v>19</v>
      </c>
      <c r="W44">
        <v>89.3</v>
      </c>
      <c r="Z44" s="2">
        <f t="shared" si="38"/>
        <v>0.32098611782258679</v>
      </c>
      <c r="AA44" s="2">
        <f t="shared" si="39"/>
        <v>0.23919914984167495</v>
      </c>
      <c r="AB44" s="2">
        <f t="shared" si="40"/>
        <v>0.47499999999999998</v>
      </c>
      <c r="AC44" s="2">
        <f t="shared" si="41"/>
        <v>1</v>
      </c>
      <c r="AD44" s="2"/>
      <c r="AE44" s="1" t="s">
        <v>165</v>
      </c>
      <c r="AF44" s="1" t="s">
        <v>225</v>
      </c>
      <c r="AG44" s="46">
        <f t="shared" si="34"/>
        <v>0.50879631691606542</v>
      </c>
      <c r="AI44" s="46"/>
      <c r="AJ44" s="46"/>
      <c r="AK44" s="46"/>
    </row>
    <row r="45" spans="1:37">
      <c r="A45" s="1" t="s">
        <v>18</v>
      </c>
      <c r="B45" s="1" t="s">
        <v>226</v>
      </c>
      <c r="C45" s="48">
        <v>17113688</v>
      </c>
      <c r="D45" s="48">
        <f t="shared" si="30"/>
        <v>15231182.32</v>
      </c>
      <c r="E45" s="48">
        <f t="shared" si="31"/>
        <v>1882505.68</v>
      </c>
      <c r="F45" s="2">
        <v>0.92723685049221627</v>
      </c>
      <c r="G45">
        <v>89</v>
      </c>
      <c r="H45">
        <f t="shared" si="32"/>
        <v>11</v>
      </c>
      <c r="I45" s="47">
        <v>1.242339519495063</v>
      </c>
      <c r="J45" s="47">
        <v>-1.5863604766621273</v>
      </c>
      <c r="K45" s="48">
        <f t="shared" si="35"/>
        <v>158684.42161426437</v>
      </c>
      <c r="L45" s="48">
        <f t="shared" si="36"/>
        <v>141229.13523669529</v>
      </c>
      <c r="M45" s="49">
        <f t="shared" si="37"/>
        <v>0.33982975205911731</v>
      </c>
      <c r="N45" s="59"/>
      <c r="O45" s="47">
        <v>39.074799808449804</v>
      </c>
      <c r="P45" s="47">
        <v>34.776571829520329</v>
      </c>
      <c r="Q45" s="56"/>
      <c r="R45">
        <v>96</v>
      </c>
      <c r="S45">
        <v>83</v>
      </c>
      <c r="T45">
        <v>98</v>
      </c>
      <c r="U45">
        <f t="shared" si="33"/>
        <v>15</v>
      </c>
      <c r="W45">
        <v>9</v>
      </c>
      <c r="Z45" s="2">
        <f t="shared" si="38"/>
        <v>0.16991487602955865</v>
      </c>
      <c r="AA45" s="2">
        <f t="shared" si="39"/>
        <v>0.41535428297785432</v>
      </c>
      <c r="AB45" s="2">
        <f t="shared" si="40"/>
        <v>0.375</v>
      </c>
      <c r="AC45" s="2">
        <f t="shared" si="41"/>
        <v>0.12857142857142856</v>
      </c>
      <c r="AD45" s="2"/>
      <c r="AE45" s="1" t="s">
        <v>18</v>
      </c>
      <c r="AF45" s="1" t="s">
        <v>226</v>
      </c>
      <c r="AG45" s="46">
        <f t="shared" si="34"/>
        <v>0.27221014689471035</v>
      </c>
      <c r="AI45" s="46"/>
      <c r="AJ45" s="46"/>
      <c r="AK45" s="46"/>
    </row>
    <row r="46" spans="1:37">
      <c r="A46" s="1" t="s">
        <v>111</v>
      </c>
      <c r="B46" s="1" t="s">
        <v>227</v>
      </c>
      <c r="C46" s="48">
        <v>1338299511.5047736</v>
      </c>
      <c r="D46" s="48">
        <f t="shared" si="30"/>
        <v>600896480.66564333</v>
      </c>
      <c r="E46" s="48">
        <f t="shared" si="31"/>
        <v>737403030.83913028</v>
      </c>
      <c r="F46" s="2">
        <v>0.5063950114429554</v>
      </c>
      <c r="G46">
        <v>44.9</v>
      </c>
      <c r="H46">
        <f t="shared" si="32"/>
        <v>55.1</v>
      </c>
      <c r="I46" s="47">
        <v>2.5431949348266629</v>
      </c>
      <c r="J46" s="47">
        <v>-1.1018186057961108</v>
      </c>
      <c r="K46" s="48">
        <f t="shared" si="35"/>
        <v>6777081.964425615</v>
      </c>
      <c r="L46" s="48">
        <f t="shared" si="36"/>
        <v>3042909.8020271007</v>
      </c>
      <c r="M46" s="49">
        <f t="shared" si="37"/>
        <v>4.0221563746844886</v>
      </c>
      <c r="N46" s="59"/>
      <c r="O46" s="47">
        <v>2.7583969174921634</v>
      </c>
      <c r="P46" s="47">
        <v>17.743070587615094</v>
      </c>
      <c r="Q46" s="56"/>
      <c r="R46">
        <v>55</v>
      </c>
      <c r="S46">
        <v>52</v>
      </c>
      <c r="T46">
        <v>58</v>
      </c>
      <c r="U46">
        <f t="shared" si="33"/>
        <v>6</v>
      </c>
      <c r="W46">
        <v>29.1</v>
      </c>
      <c r="Z46" s="2">
        <f t="shared" si="38"/>
        <v>1</v>
      </c>
      <c r="AA46" s="2">
        <f t="shared" si="39"/>
        <v>0</v>
      </c>
      <c r="AB46" s="2">
        <f t="shared" si="40"/>
        <v>0.15</v>
      </c>
      <c r="AC46" s="2">
        <f t="shared" si="41"/>
        <v>0.41571428571428576</v>
      </c>
      <c r="AD46" s="2"/>
      <c r="AE46" s="1" t="s">
        <v>111</v>
      </c>
      <c r="AF46" s="1" t="s">
        <v>227</v>
      </c>
      <c r="AG46" s="46">
        <f t="shared" si="34"/>
        <v>0.3914285714285714</v>
      </c>
      <c r="AI46" s="46"/>
      <c r="AJ46" s="46"/>
      <c r="AK46" s="46"/>
    </row>
    <row r="47" spans="1:37">
      <c r="A47" s="1" t="s">
        <v>46</v>
      </c>
      <c r="B47" s="1" t="s">
        <v>228</v>
      </c>
      <c r="C47" s="48">
        <v>46294841</v>
      </c>
      <c r="D47" s="48">
        <f t="shared" si="30"/>
        <v>34767425.590999998</v>
      </c>
      <c r="E47" s="48">
        <f t="shared" si="31"/>
        <v>11527415.409000004</v>
      </c>
      <c r="F47" s="2">
        <v>1.393833920499741</v>
      </c>
      <c r="G47">
        <v>75.099999999999994</v>
      </c>
      <c r="H47">
        <f t="shared" si="32"/>
        <v>24.900000000000006</v>
      </c>
      <c r="I47" s="47">
        <v>1.794101299465473</v>
      </c>
      <c r="J47" s="47">
        <v>0.19621481582818562</v>
      </c>
      <c r="K47" s="48">
        <f t="shared" si="35"/>
        <v>645273.19729942153</v>
      </c>
      <c r="L47" s="48">
        <f t="shared" si="36"/>
        <v>484600.17117186554</v>
      </c>
      <c r="M47" s="49">
        <f t="shared" si="37"/>
        <v>0.2871700660163452</v>
      </c>
      <c r="N47" s="59"/>
      <c r="O47" s="47">
        <v>24.447654249672972</v>
      </c>
      <c r="P47" s="47">
        <v>37.700043078234138</v>
      </c>
      <c r="Q47" s="56"/>
      <c r="R47">
        <v>74</v>
      </c>
      <c r="S47">
        <v>55</v>
      </c>
      <c r="T47">
        <v>81</v>
      </c>
      <c r="U47">
        <f t="shared" si="33"/>
        <v>26</v>
      </c>
      <c r="W47">
        <v>14.3</v>
      </c>
      <c r="Z47" s="2">
        <f t="shared" si="38"/>
        <v>0.1435850330081726</v>
      </c>
      <c r="AA47" s="2">
        <f t="shared" si="39"/>
        <v>0.20639506070961389</v>
      </c>
      <c r="AB47" s="2">
        <f t="shared" si="40"/>
        <v>0.65</v>
      </c>
      <c r="AC47" s="2">
        <f t="shared" si="41"/>
        <v>0.20428571428571429</v>
      </c>
      <c r="AD47" s="2"/>
      <c r="AE47" s="1" t="s">
        <v>46</v>
      </c>
      <c r="AF47" s="1" t="s">
        <v>228</v>
      </c>
      <c r="AG47" s="46">
        <f t="shared" si="34"/>
        <v>0.30106645200087523</v>
      </c>
      <c r="AI47" s="46"/>
      <c r="AJ47" s="46"/>
      <c r="AK47" s="46"/>
    </row>
    <row r="48" spans="1:37">
      <c r="A48" s="1" t="s">
        <v>163</v>
      </c>
      <c r="B48" s="1" t="s">
        <v>229</v>
      </c>
      <c r="C48" s="48">
        <v>734750</v>
      </c>
      <c r="D48" s="48">
        <f t="shared" si="30"/>
        <v>207199.5</v>
      </c>
      <c r="E48" s="48">
        <f t="shared" si="31"/>
        <v>527550.5</v>
      </c>
      <c r="F48" s="2">
        <v>2.616583062204743</v>
      </c>
      <c r="G48">
        <v>28.2</v>
      </c>
      <c r="H48">
        <f t="shared" si="32"/>
        <v>71.8</v>
      </c>
      <c r="I48" s="47">
        <v>2.8295756879872345</v>
      </c>
      <c r="J48" s="47">
        <v>2.5330524990853034</v>
      </c>
      <c r="K48" s="48">
        <f t="shared" si="35"/>
        <v>19225.344049549349</v>
      </c>
      <c r="L48" s="48">
        <f t="shared" si="36"/>
        <v>5421.5470219729168</v>
      </c>
      <c r="M48" s="49">
        <f t="shared" si="37"/>
        <v>8.1401056537843131E-2</v>
      </c>
      <c r="N48" s="59"/>
      <c r="O48" s="47">
        <v>24.143227509469728</v>
      </c>
      <c r="P48" s="47" t="e">
        <v>#N/A</v>
      </c>
      <c r="Q48" s="56"/>
      <c r="R48">
        <v>36</v>
      </c>
      <c r="S48">
        <v>30</v>
      </c>
      <c r="T48">
        <v>50</v>
      </c>
      <c r="U48">
        <f t="shared" si="33"/>
        <v>20</v>
      </c>
      <c r="W48">
        <v>68.900000000000006</v>
      </c>
      <c r="Z48" s="2">
        <f t="shared" si="38"/>
        <v>4.0700528268921565E-2</v>
      </c>
      <c r="AA48" s="2">
        <f t="shared" si="39"/>
        <v>0.20204610727813899</v>
      </c>
      <c r="AB48" s="2">
        <f t="shared" si="40"/>
        <v>0.5</v>
      </c>
      <c r="AC48" s="2">
        <f t="shared" si="41"/>
        <v>0.98428571428571432</v>
      </c>
      <c r="AD48" s="2"/>
      <c r="AE48" s="1" t="s">
        <v>163</v>
      </c>
      <c r="AF48" s="1" t="s">
        <v>229</v>
      </c>
      <c r="AG48" s="46">
        <f t="shared" si="34"/>
        <v>0.43175808745819372</v>
      </c>
      <c r="AI48" s="46"/>
      <c r="AJ48" s="46"/>
      <c r="AK48" s="46"/>
    </row>
    <row r="49" spans="1:37">
      <c r="A49" s="1" t="s">
        <v>85</v>
      </c>
      <c r="B49" s="1" t="s">
        <v>230</v>
      </c>
      <c r="C49" s="48">
        <v>4042899</v>
      </c>
      <c r="D49" s="48">
        <f t="shared" si="30"/>
        <v>2510640.2790000001</v>
      </c>
      <c r="E49" s="48">
        <f t="shared" si="31"/>
        <v>1532258.7209999999</v>
      </c>
      <c r="F49" s="2">
        <v>2.5412318131200271</v>
      </c>
      <c r="G49">
        <v>62.1</v>
      </c>
      <c r="H49">
        <f t="shared" si="32"/>
        <v>37.9</v>
      </c>
      <c r="I49" s="47">
        <v>3.1550279575673539</v>
      </c>
      <c r="J49" s="47">
        <v>1.5435863634827371</v>
      </c>
      <c r="K49" s="48">
        <f t="shared" si="35"/>
        <v>102739.43556031145</v>
      </c>
      <c r="L49" s="48">
        <f t="shared" si="36"/>
        <v>63801.189482953407</v>
      </c>
      <c r="M49" s="49">
        <f t="shared" si="37"/>
        <v>0.24153488921332661</v>
      </c>
      <c r="N49" s="59"/>
      <c r="O49" s="47">
        <v>52.708108408388995</v>
      </c>
      <c r="P49" s="47">
        <v>32.73173532160957</v>
      </c>
      <c r="Q49" s="56"/>
      <c r="R49">
        <v>30</v>
      </c>
      <c r="S49">
        <v>29</v>
      </c>
      <c r="T49">
        <v>31</v>
      </c>
      <c r="U49">
        <f t="shared" si="33"/>
        <v>2</v>
      </c>
      <c r="W49">
        <v>49.9</v>
      </c>
      <c r="Z49" s="2">
        <f t="shared" si="38"/>
        <v>0.1207674446066633</v>
      </c>
      <c r="AA49" s="2">
        <f t="shared" si="39"/>
        <v>0.61011583440555706</v>
      </c>
      <c r="AB49" s="2">
        <f t="shared" si="40"/>
        <v>0.05</v>
      </c>
      <c r="AC49" s="2">
        <f t="shared" si="41"/>
        <v>0.71285714285714286</v>
      </c>
      <c r="AD49" s="2"/>
      <c r="AE49" s="1" t="s">
        <v>85</v>
      </c>
      <c r="AF49" s="1" t="s">
        <v>230</v>
      </c>
      <c r="AG49" s="46">
        <f t="shared" si="34"/>
        <v>0.37343510546734082</v>
      </c>
      <c r="AI49" s="46"/>
      <c r="AJ49" s="46"/>
      <c r="AK49" s="46"/>
    </row>
    <row r="50" spans="1:37">
      <c r="A50" s="1" t="s">
        <v>148</v>
      </c>
      <c r="B50" s="1" t="s">
        <v>231</v>
      </c>
      <c r="C50" s="48" t="e">
        <v>#N/A</v>
      </c>
      <c r="D50" s="48" t="e">
        <f t="shared" si="30"/>
        <v>#N/A</v>
      </c>
      <c r="E50" s="48" t="e">
        <f t="shared" si="31"/>
        <v>#N/A</v>
      </c>
      <c r="F50" s="2" t="e">
        <v>#N/A</v>
      </c>
      <c r="G50" t="e">
        <v>#N/A</v>
      </c>
      <c r="H50" t="e">
        <f t="shared" si="32"/>
        <v>#N/A</v>
      </c>
      <c r="I50" s="47" t="e">
        <v>#N/A</v>
      </c>
      <c r="J50" s="47" t="e">
        <v>#N/A</v>
      </c>
      <c r="K50" s="48" t="e">
        <f t="shared" si="35"/>
        <v>#N/A</v>
      </c>
      <c r="L50" s="48" t="e">
        <f t="shared" si="36"/>
        <v>#N/A</v>
      </c>
      <c r="M50" s="49" t="e">
        <f t="shared" si="37"/>
        <v>#N/A</v>
      </c>
      <c r="N50" s="59"/>
      <c r="O50" s="47" t="e">
        <v>#N/A</v>
      </c>
      <c r="P50" s="47" t="e">
        <v>#N/A</v>
      </c>
      <c r="Q50" s="56"/>
      <c r="R50" t="e">
        <v>#N/A</v>
      </c>
      <c r="S50" t="e">
        <v>#N/A</v>
      </c>
      <c r="T50" t="e">
        <v>#N/A</v>
      </c>
      <c r="U50" t="e">
        <f t="shared" si="33"/>
        <v>#N/A</v>
      </c>
      <c r="W50">
        <v>61.7</v>
      </c>
      <c r="Z50" s="2" t="e">
        <f t="shared" si="38"/>
        <v>#N/A</v>
      </c>
      <c r="AA50" s="2" t="e">
        <f t="shared" si="39"/>
        <v>#N/A</v>
      </c>
      <c r="AB50" s="2" t="e">
        <f t="shared" si="40"/>
        <v>#N/A</v>
      </c>
      <c r="AC50" s="2">
        <f t="shared" si="41"/>
        <v>0.88142857142857145</v>
      </c>
      <c r="AD50" s="2"/>
      <c r="AE50" s="1" t="s">
        <v>148</v>
      </c>
      <c r="AF50" s="1" t="s">
        <v>231</v>
      </c>
      <c r="AG50" s="46" t="e">
        <f t="shared" si="34"/>
        <v>#N/A</v>
      </c>
      <c r="AI50" s="46"/>
      <c r="AJ50" s="46"/>
      <c r="AK50" s="46"/>
    </row>
    <row r="51" spans="1:37">
      <c r="A51" s="1" t="s">
        <v>78</v>
      </c>
      <c r="B51" s="1" t="s">
        <v>232</v>
      </c>
      <c r="C51" s="48">
        <v>4658887</v>
      </c>
      <c r="D51" s="48">
        <f t="shared" si="30"/>
        <v>2995664.3409999995</v>
      </c>
      <c r="E51" s="48">
        <f t="shared" si="31"/>
        <v>1663222.659</v>
      </c>
      <c r="F51" s="2">
        <v>1.4724455856314285</v>
      </c>
      <c r="G51">
        <v>64.3</v>
      </c>
      <c r="H51">
        <f t="shared" si="32"/>
        <v>35.700000000000003</v>
      </c>
      <c r="I51" s="47">
        <v>2.2844425517976465</v>
      </c>
      <c r="J51" s="47">
        <v>2.6369218664059928E-2</v>
      </c>
      <c r="K51" s="48">
        <f t="shared" si="35"/>
        <v>68599.575971056489</v>
      </c>
      <c r="L51" s="48">
        <f t="shared" si="36"/>
        <v>44109.527349389318</v>
      </c>
      <c r="M51" s="49">
        <f t="shared" si="37"/>
        <v>0.55146144216800352</v>
      </c>
      <c r="N51" s="59"/>
      <c r="O51" s="47">
        <v>48.765944168242186</v>
      </c>
      <c r="P51" s="47">
        <v>31.356502100179721</v>
      </c>
      <c r="Q51" s="56"/>
      <c r="R51">
        <v>95</v>
      </c>
      <c r="S51">
        <v>96</v>
      </c>
      <c r="T51">
        <v>95</v>
      </c>
      <c r="U51">
        <f t="shared" si="33"/>
        <v>-1</v>
      </c>
      <c r="W51">
        <v>10.9</v>
      </c>
      <c r="Z51" s="2">
        <f t="shared" si="38"/>
        <v>0.27573072108400176</v>
      </c>
      <c r="AA51" s="2">
        <f t="shared" si="39"/>
        <v>0.55379920240345981</v>
      </c>
      <c r="AB51" s="2">
        <f t="shared" si="40"/>
        <v>0</v>
      </c>
      <c r="AC51" s="2">
        <f t="shared" si="41"/>
        <v>0.15571428571428572</v>
      </c>
      <c r="AD51" s="2"/>
      <c r="AE51" s="1" t="s">
        <v>78</v>
      </c>
      <c r="AF51" s="1" t="s">
        <v>232</v>
      </c>
      <c r="AG51" s="46">
        <f t="shared" si="34"/>
        <v>0.24631105230043682</v>
      </c>
      <c r="AI51" s="46"/>
      <c r="AJ51" s="46"/>
      <c r="AK51" s="46"/>
    </row>
    <row r="52" spans="1:37">
      <c r="A52" s="1" t="s">
        <v>116</v>
      </c>
      <c r="B52" s="1" t="s">
        <v>233</v>
      </c>
      <c r="C52" s="48">
        <v>19737800</v>
      </c>
      <c r="D52" s="48">
        <f t="shared" si="30"/>
        <v>9888637.8000000007</v>
      </c>
      <c r="E52" s="48">
        <f t="shared" si="31"/>
        <v>9849162.1999999993</v>
      </c>
      <c r="F52" s="2">
        <v>1.9841815815460615</v>
      </c>
      <c r="G52">
        <v>50.1</v>
      </c>
      <c r="H52">
        <f t="shared" si="32"/>
        <v>49.9</v>
      </c>
      <c r="I52" s="47">
        <v>3.3103010756844706</v>
      </c>
      <c r="J52" s="47">
        <v>0.67020687343317009</v>
      </c>
      <c r="K52" s="48">
        <f t="shared" si="35"/>
        <v>391633.79220239853</v>
      </c>
      <c r="L52" s="48">
        <f t="shared" si="36"/>
        <v>196208.52989340166</v>
      </c>
      <c r="M52" s="49">
        <f t="shared" si="37"/>
        <v>0.66834583410713111</v>
      </c>
      <c r="N52" s="59"/>
      <c r="O52" s="47">
        <v>41.716301915719875</v>
      </c>
      <c r="P52" s="47">
        <v>20.899867259775657</v>
      </c>
      <c r="Q52" s="56"/>
      <c r="R52">
        <v>23</v>
      </c>
      <c r="S52">
        <v>11</v>
      </c>
      <c r="T52">
        <v>36</v>
      </c>
      <c r="U52">
        <f t="shared" si="33"/>
        <v>25</v>
      </c>
      <c r="W52">
        <v>57</v>
      </c>
      <c r="Z52" s="2">
        <f t="shared" si="38"/>
        <v>0.33417291705356555</v>
      </c>
      <c r="AA52" s="2">
        <f t="shared" si="39"/>
        <v>0.45309002736742676</v>
      </c>
      <c r="AB52" s="2">
        <f t="shared" si="40"/>
        <v>0.625</v>
      </c>
      <c r="AC52" s="2">
        <f t="shared" si="41"/>
        <v>0.81428571428571428</v>
      </c>
      <c r="AD52" s="2"/>
      <c r="AE52" s="1" t="s">
        <v>116</v>
      </c>
      <c r="AF52" s="1" t="s">
        <v>233</v>
      </c>
      <c r="AG52" s="46">
        <f t="shared" si="34"/>
        <v>0.55663716467667657</v>
      </c>
      <c r="AI52" s="46"/>
      <c r="AJ52" s="46"/>
      <c r="AK52" s="46"/>
    </row>
    <row r="53" spans="1:37">
      <c r="A53" s="1" t="s">
        <v>96</v>
      </c>
      <c r="B53" s="1" t="s">
        <v>234</v>
      </c>
      <c r="C53" s="48">
        <v>4424161.4637086159</v>
      </c>
      <c r="D53" s="48">
        <f t="shared" si="30"/>
        <v>2557165.32602358</v>
      </c>
      <c r="E53" s="48">
        <f t="shared" si="31"/>
        <v>1866996.1376850361</v>
      </c>
      <c r="F53" s="2">
        <v>-0.11106752092176456</v>
      </c>
      <c r="G53">
        <v>57.8</v>
      </c>
      <c r="H53">
        <f t="shared" si="32"/>
        <v>42.2</v>
      </c>
      <c r="I53" s="47">
        <v>0.33977423457122347</v>
      </c>
      <c r="J53" s="47">
        <v>-0.72529104423613244</v>
      </c>
      <c r="K53" s="48">
        <f t="shared" si="35"/>
        <v>-4913.8064593172121</v>
      </c>
      <c r="L53" s="48">
        <f t="shared" si="36"/>
        <v>-2840.180133485349</v>
      </c>
      <c r="M53" s="49">
        <f t="shared" si="37"/>
        <v>-4.0591682586537496</v>
      </c>
      <c r="N53" s="59"/>
      <c r="O53" s="47">
        <v>26.883668438922776</v>
      </c>
      <c r="P53" s="47" t="e">
        <v>#N/A</v>
      </c>
      <c r="Q53" s="56"/>
      <c r="R53">
        <v>99</v>
      </c>
      <c r="S53">
        <v>98</v>
      </c>
      <c r="T53">
        <v>99</v>
      </c>
      <c r="U53">
        <f t="shared" si="33"/>
        <v>1</v>
      </c>
      <c r="W53">
        <v>0</v>
      </c>
      <c r="Z53" s="2">
        <f t="shared" si="38"/>
        <v>0</v>
      </c>
      <c r="AA53" s="2">
        <f t="shared" si="39"/>
        <v>0.24119526341318251</v>
      </c>
      <c r="AB53" s="2">
        <f t="shared" si="40"/>
        <v>2.5000000000000001E-2</v>
      </c>
      <c r="AC53" s="2">
        <f t="shared" si="41"/>
        <v>0</v>
      </c>
      <c r="AD53" s="2"/>
      <c r="AE53" s="1" t="s">
        <v>96</v>
      </c>
      <c r="AF53" s="1" t="s">
        <v>234</v>
      </c>
      <c r="AG53" s="46">
        <f t="shared" si="34"/>
        <v>6.6548815853295626E-2</v>
      </c>
      <c r="AI53" s="46"/>
      <c r="AJ53" s="46"/>
      <c r="AK53" s="46"/>
    </row>
    <row r="54" spans="1:37">
      <c r="A54" s="1" t="s">
        <v>41</v>
      </c>
      <c r="B54" s="1" t="s">
        <v>235</v>
      </c>
      <c r="C54" s="48">
        <v>11257979</v>
      </c>
      <c r="D54" s="48">
        <f t="shared" si="30"/>
        <v>8522290.1030000001</v>
      </c>
      <c r="E54" s="48">
        <f t="shared" si="31"/>
        <v>2735688.8969999999</v>
      </c>
      <c r="F54" s="2">
        <v>-4.1286631981453568E-2</v>
      </c>
      <c r="G54">
        <v>75.7</v>
      </c>
      <c r="H54">
        <f t="shared" si="32"/>
        <v>24.299999999999997</v>
      </c>
      <c r="I54" s="47">
        <v>-1.486306200342483E-2</v>
      </c>
      <c r="J54" s="47">
        <v>-0.1235573071277853</v>
      </c>
      <c r="K54" s="48">
        <f t="shared" si="35"/>
        <v>-4648.040358279326</v>
      </c>
      <c r="L54" s="48">
        <f t="shared" si="36"/>
        <v>-3518.5665512174501</v>
      </c>
      <c r="M54" s="49">
        <f t="shared" si="37"/>
        <v>-0.64000303996457053</v>
      </c>
      <c r="N54" s="59"/>
      <c r="O54" s="47">
        <v>24.989421555249773</v>
      </c>
      <c r="P54" s="47">
        <v>18.916992117324078</v>
      </c>
      <c r="Q54" s="56"/>
      <c r="R54">
        <v>91</v>
      </c>
      <c r="S54">
        <v>81</v>
      </c>
      <c r="T54">
        <v>94</v>
      </c>
      <c r="U54">
        <f t="shared" si="33"/>
        <v>13</v>
      </c>
      <c r="W54" t="e">
        <v>#N/A</v>
      </c>
      <c r="Z54" s="2">
        <f t="shared" si="38"/>
        <v>0</v>
      </c>
      <c r="AA54" s="2">
        <f t="shared" si="39"/>
        <v>0.21413459364642534</v>
      </c>
      <c r="AB54" s="2">
        <f t="shared" si="40"/>
        <v>0.32500000000000001</v>
      </c>
      <c r="AC54" s="2" t="e">
        <f t="shared" si="41"/>
        <v>#N/A</v>
      </c>
      <c r="AD54" s="2"/>
      <c r="AE54" s="1" t="s">
        <v>41</v>
      </c>
      <c r="AF54" s="1" t="s">
        <v>235</v>
      </c>
      <c r="AG54" s="46">
        <f t="shared" si="34"/>
        <v>0.17971153121547512</v>
      </c>
      <c r="AI54" s="46"/>
      <c r="AJ54" s="46"/>
      <c r="AK54" s="46"/>
    </row>
    <row r="55" spans="1:37">
      <c r="A55" s="1" t="s">
        <v>56</v>
      </c>
      <c r="B55" s="1" t="s">
        <v>236</v>
      </c>
      <c r="C55" s="48">
        <v>1103647</v>
      </c>
      <c r="D55" s="48">
        <f t="shared" si="30"/>
        <v>775863.8409999999</v>
      </c>
      <c r="E55" s="48">
        <f t="shared" si="31"/>
        <v>327783.15900000004</v>
      </c>
      <c r="F55" s="2">
        <v>1.2008603280021131</v>
      </c>
      <c r="G55">
        <v>70.3</v>
      </c>
      <c r="H55">
        <f t="shared" si="32"/>
        <v>29.700000000000003</v>
      </c>
      <c r="I55" s="47">
        <v>1.4857608056095875</v>
      </c>
      <c r="J55" s="47">
        <v>0.52971686920344685</v>
      </c>
      <c r="K55" s="48">
        <f t="shared" si="35"/>
        <v>13253.258984185481</v>
      </c>
      <c r="L55" s="48">
        <f t="shared" si="36"/>
        <v>9317.0410658823912</v>
      </c>
      <c r="M55" s="49">
        <f t="shared" si="37"/>
        <v>0.23724697282777843</v>
      </c>
      <c r="N55" s="59"/>
      <c r="O55" s="47">
        <v>31.377842864725121</v>
      </c>
      <c r="P55" s="47" t="e">
        <v>#N/A</v>
      </c>
      <c r="Q55" s="56"/>
      <c r="R55">
        <v>100</v>
      </c>
      <c r="S55">
        <v>100</v>
      </c>
      <c r="T55">
        <v>100</v>
      </c>
      <c r="U55">
        <f t="shared" si="33"/>
        <v>0</v>
      </c>
      <c r="W55">
        <v>0</v>
      </c>
      <c r="Z55" s="2">
        <f t="shared" si="38"/>
        <v>0.11862348641388921</v>
      </c>
      <c r="AA55" s="2">
        <f t="shared" si="39"/>
        <v>0.30539775521035889</v>
      </c>
      <c r="AB55" s="2">
        <f t="shared" si="40"/>
        <v>0</v>
      </c>
      <c r="AC55" s="2">
        <f t="shared" si="41"/>
        <v>0</v>
      </c>
      <c r="AD55" s="2"/>
      <c r="AE55" s="1" t="s">
        <v>56</v>
      </c>
      <c r="AF55" s="1" t="s">
        <v>236</v>
      </c>
      <c r="AG55" s="46">
        <f t="shared" si="34"/>
        <v>0.10600531040606202</v>
      </c>
      <c r="AI55" s="46"/>
      <c r="AJ55" s="46"/>
      <c r="AK55" s="46"/>
    </row>
    <row r="56" spans="1:37">
      <c r="A56" s="1" t="s">
        <v>50</v>
      </c>
      <c r="B56" s="1" t="s">
        <v>237</v>
      </c>
      <c r="C56" s="48">
        <v>10525090</v>
      </c>
      <c r="D56" s="48">
        <f t="shared" si="30"/>
        <v>7735941.1500000004</v>
      </c>
      <c r="E56" s="48">
        <f t="shared" si="31"/>
        <v>2789148.85</v>
      </c>
      <c r="F56" s="2">
        <v>0.36085624969141827</v>
      </c>
      <c r="G56">
        <v>73.5</v>
      </c>
      <c r="H56">
        <f t="shared" si="32"/>
        <v>26.5</v>
      </c>
      <c r="I56" s="47">
        <v>0.36085624969141827</v>
      </c>
      <c r="J56" s="47">
        <v>0.36085624969141827</v>
      </c>
      <c r="K56" s="48">
        <f t="shared" si="35"/>
        <v>37980.445050646493</v>
      </c>
      <c r="L56" s="48">
        <f t="shared" si="36"/>
        <v>27915.627112225178</v>
      </c>
      <c r="M56" s="49">
        <f t="shared" si="37"/>
        <v>0</v>
      </c>
      <c r="N56" s="59"/>
      <c r="O56" s="47">
        <v>15.025876974258006</v>
      </c>
      <c r="P56" s="47">
        <v>11.044019576079634</v>
      </c>
      <c r="Q56" s="56"/>
      <c r="R56">
        <v>98</v>
      </c>
      <c r="S56">
        <v>97</v>
      </c>
      <c r="T56">
        <v>99</v>
      </c>
      <c r="U56">
        <f t="shared" si="33"/>
        <v>2</v>
      </c>
      <c r="W56">
        <v>0</v>
      </c>
      <c r="Z56" s="2">
        <f t="shared" si="38"/>
        <v>0</v>
      </c>
      <c r="AA56" s="2">
        <f t="shared" si="39"/>
        <v>7.1798242489400088E-2</v>
      </c>
      <c r="AB56" s="2">
        <f t="shared" si="40"/>
        <v>0.05</v>
      </c>
      <c r="AC56" s="2">
        <f t="shared" si="41"/>
        <v>0</v>
      </c>
      <c r="AD56" s="2"/>
      <c r="AE56" s="1" t="s">
        <v>50</v>
      </c>
      <c r="AF56" s="1" t="s">
        <v>237</v>
      </c>
      <c r="AG56" s="46">
        <f t="shared" si="34"/>
        <v>3.0449560622350023E-2</v>
      </c>
      <c r="AI56" s="46"/>
      <c r="AJ56" s="46"/>
      <c r="AK56" s="46"/>
    </row>
    <row r="57" spans="1:37">
      <c r="A57" s="1" t="s">
        <v>22</v>
      </c>
      <c r="B57" s="1" t="s">
        <v>238</v>
      </c>
      <c r="C57" s="48">
        <v>5544139</v>
      </c>
      <c r="D57" s="48">
        <f t="shared" si="30"/>
        <v>4834489.2080000006</v>
      </c>
      <c r="E57" s="48">
        <f t="shared" si="31"/>
        <v>709649.7919999999</v>
      </c>
      <c r="F57" s="2">
        <v>0.38029421555861609</v>
      </c>
      <c r="G57">
        <v>87.2</v>
      </c>
      <c r="H57">
        <f t="shared" si="32"/>
        <v>12.799999999999997</v>
      </c>
      <c r="I57" s="47">
        <v>0.67890475098740577</v>
      </c>
      <c r="J57" s="47">
        <v>-1.6306010767127412</v>
      </c>
      <c r="K57" s="48">
        <f t="shared" si="35"/>
        <v>21084.039919529299</v>
      </c>
      <c r="L57" s="48">
        <f t="shared" si="36"/>
        <v>18385.282809829554</v>
      </c>
      <c r="M57" s="49">
        <f t="shared" si="37"/>
        <v>0.78520924908142298</v>
      </c>
      <c r="N57" s="59"/>
      <c r="O57" s="47">
        <v>24.524907368455953</v>
      </c>
      <c r="P57" s="47">
        <v>21.385719225293595</v>
      </c>
      <c r="Q57" s="56"/>
      <c r="R57">
        <v>100</v>
      </c>
      <c r="S57">
        <v>100</v>
      </c>
      <c r="T57">
        <v>100</v>
      </c>
      <c r="U57">
        <f t="shared" si="33"/>
        <v>0</v>
      </c>
      <c r="W57">
        <v>0</v>
      </c>
      <c r="Z57" s="2">
        <f t="shared" si="38"/>
        <v>0.39260462454071149</v>
      </c>
      <c r="AA57" s="2">
        <f t="shared" si="39"/>
        <v>0.20749867669222791</v>
      </c>
      <c r="AB57" s="2">
        <f t="shared" si="40"/>
        <v>0</v>
      </c>
      <c r="AC57" s="2">
        <f t="shared" si="41"/>
        <v>0</v>
      </c>
      <c r="AD57" s="2"/>
      <c r="AE57" s="1" t="s">
        <v>22</v>
      </c>
      <c r="AF57" s="1" t="s">
        <v>238</v>
      </c>
      <c r="AG57" s="46">
        <f t="shared" si="34"/>
        <v>0.15002582530823486</v>
      </c>
      <c r="AI57" s="46"/>
      <c r="AJ57" s="46"/>
      <c r="AK57" s="46"/>
    </row>
    <row r="58" spans="1:37">
      <c r="A58" s="1" t="s">
        <v>21</v>
      </c>
      <c r="B58" s="1" t="s">
        <v>239</v>
      </c>
      <c r="C58" s="48">
        <v>888716</v>
      </c>
      <c r="D58" s="48">
        <f t="shared" si="30"/>
        <v>782958.79599999997</v>
      </c>
      <c r="E58" s="48">
        <f t="shared" si="31"/>
        <v>105757.20400000006</v>
      </c>
      <c r="F58" s="2">
        <v>1.8885094815911347</v>
      </c>
      <c r="G58">
        <v>88.1</v>
      </c>
      <c r="H58">
        <f t="shared" si="32"/>
        <v>11.900000000000006</v>
      </c>
      <c r="I58" s="47">
        <v>2.3435728379907808</v>
      </c>
      <c r="J58" s="47">
        <v>-1.4175767444975971</v>
      </c>
      <c r="K58" s="48">
        <f t="shared" si="35"/>
        <v>16783.48592441747</v>
      </c>
      <c r="L58" s="48">
        <f t="shared" si="36"/>
        <v>14786.251099411789</v>
      </c>
      <c r="M58" s="49">
        <f t="shared" si="37"/>
        <v>0.24096429530035476</v>
      </c>
      <c r="N58" s="59"/>
      <c r="O58" s="47">
        <v>74.093097601035566</v>
      </c>
      <c r="P58" s="47" t="e">
        <v>#N/A</v>
      </c>
      <c r="Q58" s="56"/>
      <c r="R58">
        <v>56</v>
      </c>
      <c r="S58">
        <v>10</v>
      </c>
      <c r="T58">
        <v>63</v>
      </c>
      <c r="U58">
        <f t="shared" si="33"/>
        <v>53</v>
      </c>
      <c r="W58" t="e">
        <v>#N/A</v>
      </c>
      <c r="Z58" s="2">
        <f t="shared" si="38"/>
        <v>0.12048214765017738</v>
      </c>
      <c r="AA58" s="2">
        <f t="shared" si="39"/>
        <v>0.91561568001479376</v>
      </c>
      <c r="AB58" s="2">
        <f t="shared" si="40"/>
        <v>1</v>
      </c>
      <c r="AC58" s="2" t="e">
        <f t="shared" si="41"/>
        <v>#N/A</v>
      </c>
      <c r="AD58" s="2"/>
      <c r="AE58" s="1" t="s">
        <v>21</v>
      </c>
      <c r="AF58" s="1" t="s">
        <v>239</v>
      </c>
      <c r="AG58" s="46">
        <f t="shared" si="34"/>
        <v>0.67869927588832368</v>
      </c>
      <c r="AI58" s="46"/>
      <c r="AJ58" s="46"/>
      <c r="AK58" s="46"/>
    </row>
    <row r="59" spans="1:37">
      <c r="A59" s="1" t="s">
        <v>45</v>
      </c>
      <c r="B59" s="1" t="s">
        <v>240</v>
      </c>
      <c r="C59" s="48">
        <v>67757</v>
      </c>
      <c r="D59" s="48">
        <f t="shared" si="30"/>
        <v>50546.721999999994</v>
      </c>
      <c r="E59" s="48">
        <f t="shared" si="31"/>
        <v>17210.278000000002</v>
      </c>
      <c r="F59" s="2">
        <v>-0.24322125213228066</v>
      </c>
      <c r="G59">
        <v>74.599999999999994</v>
      </c>
      <c r="H59">
        <f t="shared" si="32"/>
        <v>25.400000000000006</v>
      </c>
      <c r="I59" s="47">
        <v>0.21358459394580248</v>
      </c>
      <c r="J59" s="47">
        <v>-1.5729240664811703</v>
      </c>
      <c r="K59" s="48">
        <f t="shared" si="35"/>
        <v>-164.79942380726942</v>
      </c>
      <c r="L59" s="48">
        <f t="shared" si="36"/>
        <v>-122.94037016022295</v>
      </c>
      <c r="M59" s="49">
        <f t="shared" si="37"/>
        <v>-1.878149388975435</v>
      </c>
      <c r="N59" s="59"/>
      <c r="O59" s="47">
        <v>28.283738243086816</v>
      </c>
      <c r="P59" s="47" t="e">
        <v>#N/A</v>
      </c>
      <c r="Q59" s="56"/>
      <c r="R59">
        <v>81</v>
      </c>
      <c r="S59">
        <v>84</v>
      </c>
      <c r="T59">
        <v>80</v>
      </c>
      <c r="U59">
        <f t="shared" si="33"/>
        <v>-4</v>
      </c>
      <c r="W59" t="e">
        <v>#N/A</v>
      </c>
      <c r="Z59" s="2">
        <f t="shared" si="38"/>
        <v>0</v>
      </c>
      <c r="AA59" s="2">
        <f t="shared" si="39"/>
        <v>0.26119626061552592</v>
      </c>
      <c r="AB59" s="2">
        <f t="shared" si="40"/>
        <v>0</v>
      </c>
      <c r="AC59" s="2" t="e">
        <f t="shared" si="41"/>
        <v>#N/A</v>
      </c>
      <c r="AD59" s="2"/>
      <c r="AE59" s="1" t="s">
        <v>45</v>
      </c>
      <c r="AF59" s="1" t="s">
        <v>240</v>
      </c>
      <c r="AG59" s="46">
        <f t="shared" si="34"/>
        <v>8.7065420205175312E-2</v>
      </c>
      <c r="AI59" s="46"/>
      <c r="AJ59" s="46"/>
      <c r="AK59" s="46"/>
    </row>
    <row r="60" spans="1:37">
      <c r="A60" s="1" t="s">
        <v>59</v>
      </c>
      <c r="B60" s="1" t="s">
        <v>241</v>
      </c>
      <c r="C60" s="48">
        <v>9927320</v>
      </c>
      <c r="D60" s="48">
        <f t="shared" si="30"/>
        <v>6998760.5999999996</v>
      </c>
      <c r="E60" s="48">
        <f t="shared" si="31"/>
        <v>2928559.4</v>
      </c>
      <c r="F60" s="2">
        <v>1.3229442822765347</v>
      </c>
      <c r="G60">
        <v>70.5</v>
      </c>
      <c r="H60">
        <f t="shared" si="32"/>
        <v>29.5</v>
      </c>
      <c r="I60" s="47">
        <v>2.3781373040264104</v>
      </c>
      <c r="J60" s="47">
        <v>-1.154584514279229</v>
      </c>
      <c r="K60" s="48">
        <f t="shared" si="35"/>
        <v>131332.91232329488</v>
      </c>
      <c r="L60" s="48">
        <f t="shared" si="36"/>
        <v>92589.703187922889</v>
      </c>
      <c r="M60" s="49">
        <f t="shared" si="37"/>
        <v>0.79760957123159415</v>
      </c>
      <c r="N60" s="59"/>
      <c r="O60" s="47">
        <v>31.150515421259016</v>
      </c>
      <c r="P60" s="47">
        <v>21.961113371987608</v>
      </c>
      <c r="Q60" s="56"/>
      <c r="R60">
        <v>83</v>
      </c>
      <c r="S60">
        <v>74</v>
      </c>
      <c r="T60">
        <v>87</v>
      </c>
      <c r="U60">
        <f t="shared" si="33"/>
        <v>13</v>
      </c>
      <c r="W60">
        <v>14.8</v>
      </c>
      <c r="Z60" s="2">
        <f t="shared" si="38"/>
        <v>0.39880478561579707</v>
      </c>
      <c r="AA60" s="2">
        <f t="shared" si="39"/>
        <v>0.3021502203037002</v>
      </c>
      <c r="AB60" s="2">
        <f t="shared" si="40"/>
        <v>0.32500000000000001</v>
      </c>
      <c r="AC60" s="2">
        <f t="shared" si="41"/>
        <v>0.21142857142857144</v>
      </c>
      <c r="AD60" s="2"/>
      <c r="AE60" s="1" t="s">
        <v>59</v>
      </c>
      <c r="AF60" s="1" t="s">
        <v>241</v>
      </c>
      <c r="AG60" s="46">
        <f t="shared" si="34"/>
        <v>0.3093458943370172</v>
      </c>
      <c r="AI60" s="46"/>
      <c r="AJ60" s="46"/>
      <c r="AK60" s="46"/>
    </row>
    <row r="61" spans="1:37">
      <c r="A61" s="1" t="s">
        <v>71</v>
      </c>
      <c r="B61" s="1" t="s">
        <v>242</v>
      </c>
      <c r="C61" s="48">
        <v>14464739</v>
      </c>
      <c r="D61" s="48">
        <f t="shared" si="30"/>
        <v>9676910.3910000008</v>
      </c>
      <c r="E61" s="48">
        <f t="shared" si="31"/>
        <v>4787828.6089999992</v>
      </c>
      <c r="F61" s="2">
        <v>1.4145668083466603</v>
      </c>
      <c r="G61">
        <v>66.900000000000006</v>
      </c>
      <c r="H61">
        <f t="shared" si="32"/>
        <v>33.099999999999994</v>
      </c>
      <c r="I61" s="47">
        <v>2.4060125140645341</v>
      </c>
      <c r="J61" s="47">
        <v>-0.55977192612726812</v>
      </c>
      <c r="K61" s="48">
        <f t="shared" si="35"/>
        <v>204613.39680797461</v>
      </c>
      <c r="L61" s="48">
        <f t="shared" si="36"/>
        <v>136886.36246453502</v>
      </c>
      <c r="M61" s="49">
        <f t="shared" si="37"/>
        <v>0.70088291331865182</v>
      </c>
      <c r="N61" s="59"/>
      <c r="O61" s="47">
        <v>27.797260606047907</v>
      </c>
      <c r="P61" s="47">
        <v>31.357081520793429</v>
      </c>
      <c r="Q61" s="56"/>
      <c r="R61">
        <v>92</v>
      </c>
      <c r="S61">
        <v>84</v>
      </c>
      <c r="T61">
        <v>96</v>
      </c>
      <c r="U61">
        <f t="shared" si="33"/>
        <v>12</v>
      </c>
      <c r="W61">
        <v>21.5</v>
      </c>
      <c r="Z61" s="2">
        <f t="shared" si="38"/>
        <v>0.35044145665932591</v>
      </c>
      <c r="AA61" s="2">
        <f t="shared" si="39"/>
        <v>0.25424658008639867</v>
      </c>
      <c r="AB61" s="2">
        <f t="shared" si="40"/>
        <v>0.3</v>
      </c>
      <c r="AC61" s="2">
        <f t="shared" si="41"/>
        <v>0.30714285714285716</v>
      </c>
      <c r="AD61" s="2"/>
      <c r="AE61" s="1" t="s">
        <v>71</v>
      </c>
      <c r="AF61" s="1" t="s">
        <v>242</v>
      </c>
      <c r="AG61" s="46">
        <f t="shared" si="34"/>
        <v>0.30295772347214545</v>
      </c>
      <c r="AI61" s="46"/>
      <c r="AJ61" s="46"/>
      <c r="AK61" s="46"/>
    </row>
    <row r="62" spans="1:37">
      <c r="A62" s="1" t="s">
        <v>126</v>
      </c>
      <c r="B62" s="1" t="s">
        <v>243</v>
      </c>
      <c r="C62" s="48">
        <v>81121077</v>
      </c>
      <c r="D62" s="48">
        <f t="shared" si="30"/>
        <v>34719820.956</v>
      </c>
      <c r="E62" s="48">
        <f t="shared" si="31"/>
        <v>46401256.044000007</v>
      </c>
      <c r="F62" s="2">
        <v>1.7469951373878787</v>
      </c>
      <c r="G62">
        <v>42.8</v>
      </c>
      <c r="H62">
        <f t="shared" si="32"/>
        <v>57.2</v>
      </c>
      <c r="I62" s="47">
        <v>1.8404967804785337</v>
      </c>
      <c r="J62" s="47">
        <v>1.6770895071380403</v>
      </c>
      <c r="K62" s="48">
        <f t="shared" si="35"/>
        <v>1417181.2705866769</v>
      </c>
      <c r="L62" s="48">
        <f t="shared" si="36"/>
        <v>606553.58381109778</v>
      </c>
      <c r="M62" s="49">
        <f t="shared" si="37"/>
        <v>5.3521410042651339E-2</v>
      </c>
      <c r="N62" s="59"/>
      <c r="O62" s="47">
        <v>31.686159942880781</v>
      </c>
      <c r="P62" s="47">
        <v>18.969989759874615</v>
      </c>
      <c r="Q62" s="56"/>
      <c r="R62">
        <v>94</v>
      </c>
      <c r="S62">
        <v>92</v>
      </c>
      <c r="T62">
        <v>97</v>
      </c>
      <c r="U62">
        <f t="shared" si="33"/>
        <v>5</v>
      </c>
      <c r="W62">
        <v>13.1</v>
      </c>
      <c r="Z62" s="2">
        <f t="shared" si="38"/>
        <v>2.676070502132567E-2</v>
      </c>
      <c r="AA62" s="2">
        <f t="shared" si="39"/>
        <v>0.30980228489829686</v>
      </c>
      <c r="AB62" s="2">
        <f t="shared" si="40"/>
        <v>0.125</v>
      </c>
      <c r="AC62" s="2">
        <f t="shared" si="41"/>
        <v>0.18714285714285714</v>
      </c>
      <c r="AD62" s="2"/>
      <c r="AE62" s="1" t="s">
        <v>126</v>
      </c>
      <c r="AF62" s="1" t="s">
        <v>243</v>
      </c>
      <c r="AG62" s="46">
        <f t="shared" si="34"/>
        <v>0.16217646176561992</v>
      </c>
      <c r="AI62" s="46"/>
      <c r="AJ62" s="46"/>
      <c r="AK62" s="46"/>
    </row>
    <row r="63" spans="1:37">
      <c r="A63" s="1" t="s">
        <v>84</v>
      </c>
      <c r="B63" s="1" t="s">
        <v>244</v>
      </c>
      <c r="C63" s="48">
        <v>6192993</v>
      </c>
      <c r="D63" s="48">
        <f t="shared" si="30"/>
        <v>3796304.7089999998</v>
      </c>
      <c r="E63" s="48">
        <f t="shared" si="31"/>
        <v>2396688.2910000002</v>
      </c>
      <c r="F63" s="2">
        <v>0.52730476278715366</v>
      </c>
      <c r="G63">
        <v>61.3</v>
      </c>
      <c r="H63">
        <f t="shared" si="32"/>
        <v>38.700000000000003</v>
      </c>
      <c r="I63" s="47">
        <v>1.0179026396725905</v>
      </c>
      <c r="J63" s="47">
        <v>-0.24489984660389913</v>
      </c>
      <c r="K63" s="48">
        <f t="shared" si="35"/>
        <v>32655.947048075031</v>
      </c>
      <c r="L63" s="48">
        <f t="shared" si="36"/>
        <v>20018.095540469993</v>
      </c>
      <c r="M63" s="49">
        <f t="shared" si="37"/>
        <v>0.93038772168926265</v>
      </c>
      <c r="N63" s="59"/>
      <c r="O63" s="47">
        <v>41.229619853467881</v>
      </c>
      <c r="P63" s="47">
        <v>25.27375697017581</v>
      </c>
      <c r="Q63" s="56"/>
      <c r="R63">
        <v>87</v>
      </c>
      <c r="S63">
        <v>83</v>
      </c>
      <c r="T63">
        <v>89</v>
      </c>
      <c r="U63">
        <f t="shared" si="33"/>
        <v>6</v>
      </c>
      <c r="W63">
        <v>28.9</v>
      </c>
      <c r="Z63" s="2">
        <f t="shared" si="38"/>
        <v>0.46519386084463132</v>
      </c>
      <c r="AA63" s="2">
        <f t="shared" si="39"/>
        <v>0.44613742647811261</v>
      </c>
      <c r="AB63" s="2">
        <f t="shared" si="40"/>
        <v>0.15</v>
      </c>
      <c r="AC63" s="2">
        <f t="shared" si="41"/>
        <v>0.41285714285714281</v>
      </c>
      <c r="AD63" s="2"/>
      <c r="AE63" s="1" t="s">
        <v>84</v>
      </c>
      <c r="AF63" s="1" t="s">
        <v>244</v>
      </c>
      <c r="AG63" s="46">
        <f t="shared" si="34"/>
        <v>0.36854710754497166</v>
      </c>
      <c r="AI63" s="46"/>
      <c r="AJ63" s="46"/>
      <c r="AK63" s="46"/>
    </row>
    <row r="64" spans="1:37">
      <c r="A64" s="1" t="s">
        <v>134</v>
      </c>
      <c r="B64" s="1" t="s">
        <v>245</v>
      </c>
      <c r="C64" s="48">
        <v>700401</v>
      </c>
      <c r="D64" s="48">
        <f t="shared" si="30"/>
        <v>278059.19700000004</v>
      </c>
      <c r="E64" s="48">
        <f t="shared" si="31"/>
        <v>422341.80299999996</v>
      </c>
      <c r="F64" s="2">
        <v>2.7921866963711666</v>
      </c>
      <c r="G64">
        <v>39.700000000000003</v>
      </c>
      <c r="H64">
        <f t="shared" si="32"/>
        <v>60.3</v>
      </c>
      <c r="I64" s="47">
        <v>3.1960236914385911</v>
      </c>
      <c r="J64" s="47">
        <v>2.5271981345539389</v>
      </c>
      <c r="K64" s="48">
        <f t="shared" si="35"/>
        <v>19556.503543250616</v>
      </c>
      <c r="L64" s="48">
        <f t="shared" si="36"/>
        <v>7763.9319066704948</v>
      </c>
      <c r="M64" s="49">
        <f t="shared" si="37"/>
        <v>0.14463108630675259</v>
      </c>
      <c r="N64" s="59"/>
      <c r="O64" s="47">
        <v>47.432935353468494</v>
      </c>
      <c r="P64" s="47" t="e">
        <v>#N/A</v>
      </c>
      <c r="Q64" s="56"/>
      <c r="R64">
        <v>51</v>
      </c>
      <c r="S64">
        <v>46</v>
      </c>
      <c r="T64">
        <v>60</v>
      </c>
      <c r="U64">
        <f t="shared" si="33"/>
        <v>14</v>
      </c>
      <c r="W64">
        <v>66.3</v>
      </c>
      <c r="Z64" s="2">
        <f t="shared" si="38"/>
        <v>7.2315543153376294E-2</v>
      </c>
      <c r="AA64" s="2">
        <f t="shared" si="39"/>
        <v>0.53475621933526418</v>
      </c>
      <c r="AB64" s="2">
        <f t="shared" si="40"/>
        <v>0.35</v>
      </c>
      <c r="AC64" s="2">
        <f t="shared" si="41"/>
        <v>0.94714285714285706</v>
      </c>
      <c r="AD64" s="2"/>
      <c r="AE64" s="1" t="s">
        <v>134</v>
      </c>
      <c r="AF64" s="1" t="s">
        <v>245</v>
      </c>
      <c r="AG64" s="46">
        <f t="shared" si="34"/>
        <v>0.47605365490787438</v>
      </c>
      <c r="AI64" s="46"/>
      <c r="AJ64" s="46"/>
      <c r="AK64" s="46"/>
    </row>
    <row r="65" spans="1:37">
      <c r="A65" s="1" t="s">
        <v>178</v>
      </c>
      <c r="B65" s="1" t="s">
        <v>246</v>
      </c>
      <c r="C65" s="48">
        <v>5253676</v>
      </c>
      <c r="D65" s="48">
        <f t="shared" si="30"/>
        <v>1134794.0160000001</v>
      </c>
      <c r="E65" s="48">
        <f t="shared" si="31"/>
        <v>4118881.9840000002</v>
      </c>
      <c r="F65" s="2">
        <v>3.0080108417601439</v>
      </c>
      <c r="G65">
        <v>21.6</v>
      </c>
      <c r="H65">
        <f t="shared" si="32"/>
        <v>78.400000000000006</v>
      </c>
      <c r="I65" s="47">
        <v>5.0660816117622209</v>
      </c>
      <c r="J65" s="47">
        <v>2.4483553489444074</v>
      </c>
      <c r="K65" s="48">
        <f t="shared" si="35"/>
        <v>158031.14367095067</v>
      </c>
      <c r="L65" s="48">
        <f t="shared" si="36"/>
        <v>34134.727032925344</v>
      </c>
      <c r="M65" s="49">
        <f t="shared" si="37"/>
        <v>0.68419659312058612</v>
      </c>
      <c r="N65" s="59"/>
      <c r="O65" s="47">
        <v>60.159369235799744</v>
      </c>
      <c r="P65" s="47" t="e">
        <v>#N/A</v>
      </c>
      <c r="Q65" s="56"/>
      <c r="R65">
        <v>14</v>
      </c>
      <c r="S65">
        <v>4</v>
      </c>
      <c r="T65">
        <v>52</v>
      </c>
      <c r="U65">
        <f t="shared" si="33"/>
        <v>48</v>
      </c>
      <c r="W65" t="e">
        <v>#N/A</v>
      </c>
      <c r="Z65" s="2">
        <f t="shared" si="38"/>
        <v>0.34209829656029306</v>
      </c>
      <c r="AA65" s="2">
        <f t="shared" si="39"/>
        <v>0.71656241765428208</v>
      </c>
      <c r="AB65" s="2">
        <f t="shared" si="40"/>
        <v>1</v>
      </c>
      <c r="AC65" s="2" t="e">
        <f t="shared" si="41"/>
        <v>#N/A</v>
      </c>
      <c r="AD65" s="2"/>
      <c r="AE65" s="1" t="s">
        <v>178</v>
      </c>
      <c r="AF65" s="1" t="s">
        <v>246</v>
      </c>
      <c r="AG65" s="46">
        <f t="shared" si="34"/>
        <v>0.6862202380715251</v>
      </c>
      <c r="AI65" s="46"/>
      <c r="AJ65" s="46"/>
      <c r="AK65" s="46"/>
    </row>
    <row r="66" spans="1:37">
      <c r="A66" s="1" t="s">
        <v>58</v>
      </c>
      <c r="B66" s="1" t="s">
        <v>247</v>
      </c>
      <c r="C66" s="48">
        <v>1339646</v>
      </c>
      <c r="D66" s="48">
        <f t="shared" si="30"/>
        <v>931053.97</v>
      </c>
      <c r="E66" s="48">
        <f t="shared" si="31"/>
        <v>408592.03</v>
      </c>
      <c r="F66" s="2">
        <v>-4.6643236438386006E-2</v>
      </c>
      <c r="G66">
        <v>69.5</v>
      </c>
      <c r="H66">
        <f t="shared" si="32"/>
        <v>30.5</v>
      </c>
      <c r="I66" s="47">
        <v>-1.7862116654156424E-2</v>
      </c>
      <c r="J66" s="47">
        <v>-0.11219551672741472</v>
      </c>
      <c r="K66" s="48">
        <f t="shared" si="35"/>
        <v>-624.85425121738058</v>
      </c>
      <c r="L66" s="48">
        <f t="shared" si="36"/>
        <v>-434.27370459607948</v>
      </c>
      <c r="M66" s="49">
        <f t="shared" si="37"/>
        <v>-0.61704808632326313</v>
      </c>
      <c r="N66" s="59"/>
      <c r="O66" s="47">
        <v>42.849903931668074</v>
      </c>
      <c r="P66" s="47" t="e">
        <v>#N/A</v>
      </c>
      <c r="Q66" s="56"/>
      <c r="R66">
        <v>95</v>
      </c>
      <c r="S66">
        <v>94</v>
      </c>
      <c r="T66">
        <v>96</v>
      </c>
      <c r="U66">
        <f t="shared" si="33"/>
        <v>2</v>
      </c>
      <c r="W66">
        <v>0</v>
      </c>
      <c r="Z66" s="2">
        <f t="shared" si="38"/>
        <v>0</v>
      </c>
      <c r="AA66" s="2">
        <f t="shared" si="39"/>
        <v>0.46928434188097246</v>
      </c>
      <c r="AB66" s="2">
        <f t="shared" si="40"/>
        <v>0.05</v>
      </c>
      <c r="AC66" s="2">
        <f t="shared" si="41"/>
        <v>0</v>
      </c>
      <c r="AD66" s="2"/>
      <c r="AE66" s="1" t="s">
        <v>58</v>
      </c>
      <c r="AF66" s="1" t="s">
        <v>247</v>
      </c>
      <c r="AG66" s="46">
        <f t="shared" si="34"/>
        <v>0.12982108547024312</v>
      </c>
      <c r="AI66" s="46"/>
      <c r="AJ66" s="46"/>
      <c r="AK66" s="46"/>
    </row>
    <row r="67" spans="1:37">
      <c r="A67" s="1" t="s">
        <v>184</v>
      </c>
      <c r="B67" s="1" t="s">
        <v>248</v>
      </c>
      <c r="C67" s="48">
        <v>82949541</v>
      </c>
      <c r="D67" s="48">
        <f t="shared" si="30"/>
        <v>14599119.216000002</v>
      </c>
      <c r="E67" s="48">
        <f t="shared" si="31"/>
        <v>68350421.784000009</v>
      </c>
      <c r="F67" s="2">
        <v>2.1468097132286741</v>
      </c>
      <c r="G67">
        <v>17.600000000000001</v>
      </c>
      <c r="H67">
        <f t="shared" si="32"/>
        <v>82.4</v>
      </c>
      <c r="I67" s="47">
        <v>3.8660497672659777</v>
      </c>
      <c r="J67" s="47">
        <v>1.7833932018067096</v>
      </c>
      <c r="K67" s="48">
        <f t="shared" si="35"/>
        <v>1780768.8032666016</v>
      </c>
      <c r="L67" s="48">
        <f t="shared" si="36"/>
        <v>313415.3093749219</v>
      </c>
      <c r="M67" s="49">
        <f t="shared" si="37"/>
        <v>0.80083485902048979</v>
      </c>
      <c r="N67" s="59"/>
      <c r="O67" s="47">
        <v>20.067142110801157</v>
      </c>
      <c r="P67" s="47">
        <v>3.5318170115010039</v>
      </c>
      <c r="Q67" s="56"/>
      <c r="R67">
        <v>12</v>
      </c>
      <c r="S67">
        <v>8</v>
      </c>
      <c r="T67">
        <v>29</v>
      </c>
      <c r="U67">
        <f t="shared" si="33"/>
        <v>21</v>
      </c>
      <c r="W67">
        <v>76.400000000000006</v>
      </c>
      <c r="Z67" s="2">
        <f t="shared" si="38"/>
        <v>0.40041742951024489</v>
      </c>
      <c r="AA67" s="2">
        <f t="shared" si="39"/>
        <v>0.14381631586858795</v>
      </c>
      <c r="AB67" s="2">
        <f t="shared" si="40"/>
        <v>0.52500000000000002</v>
      </c>
      <c r="AC67" s="2">
        <f t="shared" si="41"/>
        <v>1</v>
      </c>
      <c r="AD67" s="2"/>
      <c r="AE67" s="1" t="s">
        <v>184</v>
      </c>
      <c r="AF67" s="1" t="s">
        <v>248</v>
      </c>
      <c r="AG67" s="46">
        <f t="shared" si="34"/>
        <v>0.51730843634470824</v>
      </c>
      <c r="AI67" s="46"/>
      <c r="AJ67" s="46"/>
      <c r="AK67" s="46"/>
    </row>
    <row r="68" spans="1:37">
      <c r="A68" s="1" t="s">
        <v>108</v>
      </c>
      <c r="B68" s="1" t="s">
        <v>249</v>
      </c>
      <c r="C68" s="48">
        <v>860623</v>
      </c>
      <c r="D68" s="48">
        <f t="shared" si="30"/>
        <v>459572.68199999997</v>
      </c>
      <c r="E68" s="48">
        <f t="shared" si="31"/>
        <v>401050.31800000003</v>
      </c>
      <c r="F68" s="2">
        <v>0.96909826204365013</v>
      </c>
      <c r="G68">
        <v>53.4</v>
      </c>
      <c r="H68">
        <f t="shared" si="32"/>
        <v>46.6</v>
      </c>
      <c r="I68" s="47">
        <v>1.9476533043154547</v>
      </c>
      <c r="J68" s="47">
        <v>-0.14060155912945516</v>
      </c>
      <c r="K68" s="48">
        <f t="shared" si="35"/>
        <v>8340.2825357479232</v>
      </c>
      <c r="L68" s="48">
        <f t="shared" si="36"/>
        <v>4453.7108740893909</v>
      </c>
      <c r="M68" s="49">
        <f t="shared" si="37"/>
        <v>1.0097583295714636</v>
      </c>
      <c r="N68" s="59"/>
      <c r="O68" s="47">
        <v>38.620535821632593</v>
      </c>
      <c r="P68" s="47" t="e">
        <v>#N/A</v>
      </c>
      <c r="Q68" s="56"/>
      <c r="R68" t="e">
        <v>#N/A</v>
      </c>
      <c r="S68" t="e">
        <v>#N/A</v>
      </c>
      <c r="T68">
        <v>96</v>
      </c>
      <c r="U68" t="e">
        <f t="shared" si="33"/>
        <v>#N/A</v>
      </c>
      <c r="W68" t="e">
        <v>#N/A</v>
      </c>
      <c r="Z68" s="2">
        <f t="shared" si="38"/>
        <v>0.5048791647857318</v>
      </c>
      <c r="AA68" s="2">
        <f t="shared" si="39"/>
        <v>0.40886479745189419</v>
      </c>
      <c r="AB68" s="2" t="e">
        <f t="shared" si="40"/>
        <v>#N/A</v>
      </c>
      <c r="AC68" s="2" t="e">
        <f t="shared" si="41"/>
        <v>#N/A</v>
      </c>
      <c r="AD68" s="2"/>
      <c r="AE68" s="1" t="s">
        <v>108</v>
      </c>
      <c r="AF68" s="1" t="s">
        <v>249</v>
      </c>
      <c r="AG68" s="46" t="e">
        <f t="shared" si="34"/>
        <v>#N/A</v>
      </c>
      <c r="AI68" s="46"/>
      <c r="AJ68" s="46"/>
      <c r="AK68" s="46"/>
    </row>
    <row r="69" spans="1:37">
      <c r="A69" s="1" t="s">
        <v>77</v>
      </c>
      <c r="B69" s="1" t="s">
        <v>250</v>
      </c>
      <c r="C69" s="48">
        <v>5363624</v>
      </c>
      <c r="D69" s="48">
        <f t="shared" si="30"/>
        <v>3427355.7359999996</v>
      </c>
      <c r="E69" s="48">
        <f t="shared" si="31"/>
        <v>1936268.264</v>
      </c>
      <c r="F69" s="2">
        <v>0.4625658621856486</v>
      </c>
      <c r="G69">
        <v>63.9</v>
      </c>
      <c r="H69">
        <f t="shared" si="32"/>
        <v>36.1</v>
      </c>
      <c r="I69" s="47">
        <v>0.93315496592691793</v>
      </c>
      <c r="J69" s="47">
        <v>-0.36502506820027791</v>
      </c>
      <c r="K69" s="48">
        <f t="shared" si="35"/>
        <v>24810.29359999637</v>
      </c>
      <c r="L69" s="48">
        <f t="shared" si="36"/>
        <v>15853.777610397681</v>
      </c>
      <c r="M69" s="49">
        <f t="shared" si="37"/>
        <v>1.0173450792881913</v>
      </c>
      <c r="N69" s="59"/>
      <c r="O69" s="47">
        <v>32.579285198541179</v>
      </c>
      <c r="P69" s="47">
        <v>20.818163241867811</v>
      </c>
      <c r="Q69" s="56"/>
      <c r="R69">
        <v>100</v>
      </c>
      <c r="S69">
        <v>100</v>
      </c>
      <c r="T69">
        <v>100</v>
      </c>
      <c r="U69">
        <f t="shared" si="33"/>
        <v>0</v>
      </c>
      <c r="W69">
        <v>0</v>
      </c>
      <c r="Z69" s="2">
        <f t="shared" si="38"/>
        <v>0.50867253964409564</v>
      </c>
      <c r="AA69" s="2">
        <f t="shared" si="39"/>
        <v>0.32256121712201685</v>
      </c>
      <c r="AB69" s="2">
        <f t="shared" si="40"/>
        <v>0</v>
      </c>
      <c r="AC69" s="2">
        <f t="shared" si="41"/>
        <v>0</v>
      </c>
      <c r="AD69" s="2"/>
      <c r="AE69" s="1" t="s">
        <v>77</v>
      </c>
      <c r="AF69" s="1" t="s">
        <v>250</v>
      </c>
      <c r="AG69" s="46">
        <f t="shared" si="34"/>
        <v>0.20780843919152814</v>
      </c>
      <c r="AI69" s="46"/>
      <c r="AJ69" s="46"/>
      <c r="AK69" s="46"/>
    </row>
    <row r="70" spans="1:37">
      <c r="A70" s="1" t="s">
        <v>40</v>
      </c>
      <c r="B70" s="1" t="s">
        <v>251</v>
      </c>
      <c r="C70" s="48">
        <v>64876618.433712251</v>
      </c>
      <c r="D70" s="48">
        <f t="shared" si="30"/>
        <v>50474009.141428128</v>
      </c>
      <c r="E70" s="48">
        <f t="shared" si="31"/>
        <v>14402609.292284122</v>
      </c>
      <c r="F70" s="2">
        <v>0.51598185451323697</v>
      </c>
      <c r="G70">
        <v>77.8</v>
      </c>
      <c r="H70">
        <f t="shared" si="32"/>
        <v>22.200000000000003</v>
      </c>
      <c r="I70" s="47">
        <v>0.79915877176572336</v>
      </c>
      <c r="J70" s="47">
        <v>-0.47013102206478224</v>
      </c>
      <c r="K70" s="48">
        <f t="shared" si="35"/>
        <v>334751.57893974503</v>
      </c>
      <c r="L70" s="48">
        <f t="shared" si="36"/>
        <v>260436.72841512162</v>
      </c>
      <c r="M70" s="49">
        <f t="shared" si="37"/>
        <v>0.54881177463038444</v>
      </c>
      <c r="N70" s="59"/>
      <c r="O70" s="47">
        <v>20.773588582235071</v>
      </c>
      <c r="P70" s="47">
        <v>22.279986764058769</v>
      </c>
      <c r="Q70" s="56"/>
      <c r="R70">
        <v>100</v>
      </c>
      <c r="S70">
        <v>100</v>
      </c>
      <c r="T70">
        <v>100</v>
      </c>
      <c r="U70">
        <f t="shared" si="33"/>
        <v>0</v>
      </c>
      <c r="W70">
        <v>0</v>
      </c>
      <c r="Z70" s="2">
        <f t="shared" si="38"/>
        <v>0.27440588731519222</v>
      </c>
      <c r="AA70" s="2">
        <f t="shared" si="39"/>
        <v>0.15390840831764388</v>
      </c>
      <c r="AB70" s="2">
        <f t="shared" si="40"/>
        <v>0</v>
      </c>
      <c r="AC70" s="2">
        <f t="shared" si="41"/>
        <v>0</v>
      </c>
      <c r="AD70" s="2"/>
      <c r="AE70" s="1" t="s">
        <v>40</v>
      </c>
      <c r="AF70" s="1" t="s">
        <v>251</v>
      </c>
      <c r="AG70" s="46">
        <f t="shared" si="34"/>
        <v>0.10707857390820902</v>
      </c>
      <c r="AI70" s="46"/>
      <c r="AJ70" s="46"/>
      <c r="AK70" s="46"/>
    </row>
    <row r="71" spans="1:37">
      <c r="A71" s="1" t="s">
        <v>25</v>
      </c>
      <c r="B71" s="1" t="s">
        <v>252</v>
      </c>
      <c r="C71" s="48">
        <v>1505463</v>
      </c>
      <c r="D71" s="48">
        <f t="shared" si="30"/>
        <v>1294698.18</v>
      </c>
      <c r="E71" s="48">
        <f t="shared" si="31"/>
        <v>210764.82</v>
      </c>
      <c r="F71" s="2">
        <v>1.8739546366465485</v>
      </c>
      <c r="G71">
        <v>86</v>
      </c>
      <c r="H71">
        <f t="shared" si="32"/>
        <v>14</v>
      </c>
      <c r="I71" s="47">
        <v>2.4336575903183308</v>
      </c>
      <c r="J71" s="47">
        <v>-1.4971510975845477</v>
      </c>
      <c r="K71" s="48">
        <f t="shared" si="35"/>
        <v>28211.693691498229</v>
      </c>
      <c r="L71" s="48">
        <f t="shared" si="36"/>
        <v>24262.056574688475</v>
      </c>
      <c r="M71" s="49">
        <f t="shared" si="37"/>
        <v>0.29867476123828357</v>
      </c>
      <c r="N71" s="59"/>
      <c r="O71" s="47">
        <v>48.984782269590191</v>
      </c>
      <c r="P71" s="47" t="e">
        <v>#N/A</v>
      </c>
      <c r="Q71" s="56"/>
      <c r="R71">
        <v>33</v>
      </c>
      <c r="S71">
        <v>30</v>
      </c>
      <c r="T71">
        <v>33</v>
      </c>
      <c r="U71">
        <f t="shared" si="33"/>
        <v>3</v>
      </c>
      <c r="W71">
        <v>38.700000000000003</v>
      </c>
      <c r="Z71" s="2">
        <f t="shared" si="38"/>
        <v>0.14933738061914179</v>
      </c>
      <c r="AA71" s="2">
        <f t="shared" si="39"/>
        <v>0.55692546099414564</v>
      </c>
      <c r="AB71" s="2">
        <f t="shared" si="40"/>
        <v>7.4999999999999997E-2</v>
      </c>
      <c r="AC71" s="2">
        <f t="shared" si="41"/>
        <v>0.55285714285714294</v>
      </c>
      <c r="AD71" s="2"/>
      <c r="AE71" s="1" t="s">
        <v>25</v>
      </c>
      <c r="AF71" s="1" t="s">
        <v>252</v>
      </c>
      <c r="AG71" s="46">
        <f t="shared" si="34"/>
        <v>0.33352999611760759</v>
      </c>
      <c r="AI71" s="46"/>
      <c r="AJ71" s="46"/>
      <c r="AK71" s="46"/>
    </row>
    <row r="72" spans="1:37">
      <c r="A72" s="1" t="s">
        <v>95</v>
      </c>
      <c r="B72" s="1" t="s">
        <v>253</v>
      </c>
      <c r="C72" s="48">
        <v>1728394</v>
      </c>
      <c r="D72" s="48">
        <f t="shared" si="30"/>
        <v>1004196.9140000001</v>
      </c>
      <c r="E72" s="48">
        <f t="shared" si="31"/>
        <v>724197.08599999989</v>
      </c>
      <c r="F72" s="2">
        <v>2.7367249671854088</v>
      </c>
      <c r="G72">
        <v>58.1</v>
      </c>
      <c r="H72">
        <f t="shared" si="32"/>
        <v>41.9</v>
      </c>
      <c r="I72" s="47">
        <v>4.1930613859750512</v>
      </c>
      <c r="J72" s="47">
        <v>0.75178267089443107</v>
      </c>
      <c r="K72" s="48">
        <f t="shared" si="35"/>
        <v>47301.39012933457</v>
      </c>
      <c r="L72" s="48">
        <f t="shared" si="36"/>
        <v>27482.10766514339</v>
      </c>
      <c r="M72" s="49">
        <f t="shared" si="37"/>
        <v>0.53214569832620584</v>
      </c>
      <c r="N72" s="59"/>
      <c r="O72" s="47">
        <v>45.323439950419484</v>
      </c>
      <c r="P72" s="47" t="e">
        <v>#N/A</v>
      </c>
      <c r="Q72" s="56"/>
      <c r="R72">
        <v>67</v>
      </c>
      <c r="S72">
        <v>65</v>
      </c>
      <c r="T72">
        <v>68</v>
      </c>
      <c r="U72">
        <f t="shared" si="33"/>
        <v>3</v>
      </c>
      <c r="W72">
        <v>34.799999999999997</v>
      </c>
      <c r="Z72" s="2">
        <f t="shared" si="38"/>
        <v>0.26607284916310292</v>
      </c>
      <c r="AA72" s="2">
        <f t="shared" si="39"/>
        <v>0.50462057072027833</v>
      </c>
      <c r="AB72" s="2">
        <f t="shared" si="40"/>
        <v>7.4999999999999997E-2</v>
      </c>
      <c r="AC72" s="2">
        <f t="shared" si="41"/>
        <v>0.49714285714285711</v>
      </c>
      <c r="AD72" s="2"/>
      <c r="AE72" s="1" t="s">
        <v>95</v>
      </c>
      <c r="AF72" s="1" t="s">
        <v>253</v>
      </c>
      <c r="AG72" s="46">
        <f t="shared" si="34"/>
        <v>0.33570906925655958</v>
      </c>
      <c r="AI72" s="46"/>
      <c r="AJ72" s="46"/>
      <c r="AK72" s="46"/>
    </row>
    <row r="73" spans="1:37">
      <c r="A73" s="1" t="s">
        <v>105</v>
      </c>
      <c r="B73" s="1" t="s">
        <v>254</v>
      </c>
      <c r="C73" s="48">
        <v>4452800</v>
      </c>
      <c r="D73" s="48">
        <f t="shared" si="30"/>
        <v>2355531.2000000002</v>
      </c>
      <c r="E73" s="48">
        <f t="shared" si="31"/>
        <v>2097268.7999999998</v>
      </c>
      <c r="F73" s="2">
        <v>0.94770328871029708</v>
      </c>
      <c r="G73">
        <v>52.9</v>
      </c>
      <c r="H73">
        <f t="shared" si="32"/>
        <v>47.1</v>
      </c>
      <c r="I73" s="47">
        <v>1.0990464882370397</v>
      </c>
      <c r="J73" s="47">
        <v>0.77799599299459132</v>
      </c>
      <c r="K73" s="48">
        <f t="shared" si="35"/>
        <v>42199.332039692104</v>
      </c>
      <c r="L73" s="48">
        <f t="shared" si="36"/>
        <v>22323.446648997127</v>
      </c>
      <c r="M73" s="49">
        <f t="shared" si="37"/>
        <v>0.15969470754153567</v>
      </c>
      <c r="N73" s="59"/>
      <c r="O73" s="47">
        <v>47.553010548109057</v>
      </c>
      <c r="P73" s="47">
        <v>25.155542579949696</v>
      </c>
      <c r="Q73" s="56"/>
      <c r="R73">
        <v>95</v>
      </c>
      <c r="S73">
        <v>93</v>
      </c>
      <c r="T73">
        <v>96</v>
      </c>
      <c r="U73">
        <f t="shared" si="33"/>
        <v>3</v>
      </c>
      <c r="W73">
        <v>0</v>
      </c>
      <c r="Z73" s="2">
        <f t="shared" si="38"/>
        <v>7.9847353770767834E-2</v>
      </c>
      <c r="AA73" s="2">
        <f t="shared" si="39"/>
        <v>0.53647157925870081</v>
      </c>
      <c r="AB73" s="2">
        <f t="shared" si="40"/>
        <v>7.4999999999999997E-2</v>
      </c>
      <c r="AC73" s="2">
        <f t="shared" si="41"/>
        <v>0</v>
      </c>
      <c r="AD73" s="2"/>
      <c r="AE73" s="1" t="s">
        <v>105</v>
      </c>
      <c r="AF73" s="1" t="s">
        <v>254</v>
      </c>
      <c r="AG73" s="46">
        <f t="shared" si="34"/>
        <v>0.17282973325736714</v>
      </c>
      <c r="AI73" s="46"/>
      <c r="AJ73" s="46"/>
      <c r="AK73" s="46"/>
    </row>
    <row r="74" spans="1:37">
      <c r="A74" s="1" t="s">
        <v>44</v>
      </c>
      <c r="B74" s="1" t="s">
        <v>255</v>
      </c>
      <c r="C74" s="48">
        <v>81702329</v>
      </c>
      <c r="D74" s="48">
        <f t="shared" si="30"/>
        <v>60296318.802000001</v>
      </c>
      <c r="E74" s="48">
        <f t="shared" si="31"/>
        <v>21406010.198000003</v>
      </c>
      <c r="F74" s="2">
        <v>-0.24446507688734345</v>
      </c>
      <c r="G74">
        <v>73.8</v>
      </c>
      <c r="H74">
        <f t="shared" si="32"/>
        <v>26.200000000000003</v>
      </c>
      <c r="I74" s="47">
        <v>-0.1360051964069029</v>
      </c>
      <c r="J74" s="47">
        <v>-0.5493433618232122</v>
      </c>
      <c r="K74" s="48">
        <f t="shared" si="35"/>
        <v>-199733.66140860031</v>
      </c>
      <c r="L74" s="48">
        <f t="shared" si="36"/>
        <v>-147403.44211954705</v>
      </c>
      <c r="M74" s="49">
        <f t="shared" si="37"/>
        <v>-0.44366206356101329</v>
      </c>
      <c r="N74" s="59"/>
      <c r="O74" s="47">
        <v>5.7209794371154556</v>
      </c>
      <c r="P74" s="47">
        <v>8.0597004768370795</v>
      </c>
      <c r="Q74" s="56"/>
      <c r="R74">
        <v>100</v>
      </c>
      <c r="S74">
        <v>100</v>
      </c>
      <c r="T74">
        <v>100</v>
      </c>
      <c r="U74">
        <f t="shared" si="33"/>
        <v>0</v>
      </c>
      <c r="W74">
        <v>0</v>
      </c>
      <c r="Z74" s="2">
        <f t="shared" si="38"/>
        <v>0</v>
      </c>
      <c r="AA74" s="2">
        <f t="shared" si="39"/>
        <v>0</v>
      </c>
      <c r="AB74" s="2">
        <f t="shared" si="40"/>
        <v>0</v>
      </c>
      <c r="AC74" s="2">
        <f t="shared" si="41"/>
        <v>0</v>
      </c>
      <c r="AD74" s="2"/>
      <c r="AE74" s="1" t="s">
        <v>44</v>
      </c>
      <c r="AF74" s="1" t="s">
        <v>255</v>
      </c>
      <c r="AG74" s="46">
        <f t="shared" si="34"/>
        <v>0</v>
      </c>
      <c r="AI74" s="46"/>
      <c r="AJ74" s="46"/>
      <c r="AK74" s="46"/>
    </row>
    <row r="75" spans="1:37">
      <c r="A75" s="1" t="s">
        <v>112</v>
      </c>
      <c r="B75" s="1" t="s">
        <v>256</v>
      </c>
      <c r="C75" s="48">
        <v>24391823</v>
      </c>
      <c r="D75" s="48">
        <f t="shared" si="30"/>
        <v>12561788.845000001</v>
      </c>
      <c r="E75" s="48">
        <f t="shared" si="31"/>
        <v>11830034.154999999</v>
      </c>
      <c r="F75" s="2">
        <v>2.3537603642032878</v>
      </c>
      <c r="G75">
        <v>51.5</v>
      </c>
      <c r="H75">
        <f t="shared" si="32"/>
        <v>48.5</v>
      </c>
      <c r="I75" s="47">
        <v>3.801076846553638</v>
      </c>
      <c r="J75" s="47">
        <v>0.83951002692174803</v>
      </c>
      <c r="K75" s="48">
        <f t="shared" ref="K75:K106" si="42">C75*F75/100</f>
        <v>574125.06188062136</v>
      </c>
      <c r="L75" s="48">
        <f t="shared" ref="L75:L106" si="43">D75*F75/100</f>
        <v>295674.40686852002</v>
      </c>
      <c r="M75" s="49">
        <f t="shared" ref="M75:M106" si="44">(D75*I75/100-L75)/L75</f>
        <v>0.61489542621312876</v>
      </c>
      <c r="N75" s="59"/>
      <c r="O75" s="47">
        <v>18.642902128801069</v>
      </c>
      <c r="P75" s="47">
        <v>17.120352177039003</v>
      </c>
      <c r="Q75" s="56"/>
      <c r="R75">
        <v>13</v>
      </c>
      <c r="S75">
        <v>7</v>
      </c>
      <c r="T75">
        <v>18</v>
      </c>
      <c r="U75">
        <f t="shared" si="33"/>
        <v>11</v>
      </c>
      <c r="W75">
        <v>40.1</v>
      </c>
      <c r="Z75" s="2">
        <f t="shared" ref="Z75:Z106" si="45">MAX(0,MIN(1,(M75-Z$8)/(Z$9-Z$8)))</f>
        <v>0.30744771310656438</v>
      </c>
      <c r="AA75" s="2">
        <f t="shared" ref="AA75:AA106" si="46">MAX(0,MIN(1,(O75-AA$8)/(AA$9-AA$8)))</f>
        <v>0.12347003041144385</v>
      </c>
      <c r="AB75" s="2">
        <f t="shared" ref="AB75:AB106" si="47">MAX(0,MIN(1,(U75-AB$8)/(AB$9-AB$8)))</f>
        <v>0.27500000000000002</v>
      </c>
      <c r="AC75" s="2">
        <f t="shared" ref="AC75:AC106" si="48">MAX(0,MIN(1,(W75-AC$8)/(AC$9-AC$8)))</f>
        <v>0.57285714285714284</v>
      </c>
      <c r="AD75" s="2"/>
      <c r="AE75" s="1" t="s">
        <v>112</v>
      </c>
      <c r="AF75" s="1" t="s">
        <v>256</v>
      </c>
      <c r="AG75" s="46">
        <f t="shared" si="34"/>
        <v>0.31969372159378773</v>
      </c>
      <c r="AI75" s="46"/>
      <c r="AJ75" s="46"/>
      <c r="AK75" s="46"/>
    </row>
    <row r="76" spans="1:37">
      <c r="A76" s="1" t="s">
        <v>83</v>
      </c>
      <c r="B76" s="1" t="s">
        <v>257</v>
      </c>
      <c r="C76" s="48">
        <v>11319048</v>
      </c>
      <c r="D76" s="48">
        <f t="shared" ref="D76:D139" si="49">C76*G76/100</f>
        <v>6949895.4719999991</v>
      </c>
      <c r="E76" s="48">
        <f t="shared" ref="E76:E139" si="50">C76*H76/100</f>
        <v>4369152.5279999999</v>
      </c>
      <c r="F76" s="2">
        <v>0.32110733070941133</v>
      </c>
      <c r="G76">
        <v>61.4</v>
      </c>
      <c r="H76">
        <f t="shared" ref="H76:H139" si="51">100-G76</f>
        <v>38.6</v>
      </c>
      <c r="I76" s="47">
        <v>0.6473718941910318</v>
      </c>
      <c r="J76" s="47">
        <v>-0.19568968513481921</v>
      </c>
      <c r="K76" s="48">
        <f t="shared" si="42"/>
        <v>36346.292894517013</v>
      </c>
      <c r="L76" s="48">
        <f t="shared" si="43"/>
        <v>22316.623837233441</v>
      </c>
      <c r="M76" s="49">
        <f t="shared" si="44"/>
        <v>1.016060775569388</v>
      </c>
      <c r="N76" s="59"/>
      <c r="O76" s="47">
        <v>46.867078981587312</v>
      </c>
      <c r="P76" s="47">
        <v>28.776386494694606</v>
      </c>
      <c r="Q76" s="56"/>
      <c r="R76">
        <v>98</v>
      </c>
      <c r="S76">
        <v>97</v>
      </c>
      <c r="T76">
        <v>99</v>
      </c>
      <c r="U76">
        <f t="shared" ref="U76:U139" si="52">T76-S76</f>
        <v>2</v>
      </c>
      <c r="W76">
        <v>0</v>
      </c>
      <c r="Z76" s="2">
        <f t="shared" si="45"/>
        <v>0.508030387784694</v>
      </c>
      <c r="AA76" s="2">
        <f t="shared" si="46"/>
        <v>0.52667255687981873</v>
      </c>
      <c r="AB76" s="2">
        <f t="shared" si="47"/>
        <v>0.05</v>
      </c>
      <c r="AC76" s="2">
        <f t="shared" si="48"/>
        <v>0</v>
      </c>
      <c r="AD76" s="2"/>
      <c r="AE76" s="1" t="s">
        <v>83</v>
      </c>
      <c r="AF76" s="1" t="s">
        <v>257</v>
      </c>
      <c r="AG76" s="46">
        <f t="shared" ref="AG76:AG139" si="53">IF(COUNT(Z76:AC76)&gt;2,mmean(Z76:AC76),NA())</f>
        <v>0.27117573616612817</v>
      </c>
      <c r="AI76" s="46"/>
      <c r="AJ76" s="46"/>
      <c r="AK76" s="46"/>
    </row>
    <row r="77" spans="1:37">
      <c r="A77" s="1" t="s">
        <v>155</v>
      </c>
      <c r="B77" s="1" t="s">
        <v>258</v>
      </c>
      <c r="C77" s="48">
        <v>104487</v>
      </c>
      <c r="D77" s="48">
        <f t="shared" si="49"/>
        <v>32390.97</v>
      </c>
      <c r="E77" s="48">
        <f t="shared" si="50"/>
        <v>72096.03</v>
      </c>
      <c r="F77" s="2">
        <v>0.37395049905704747</v>
      </c>
      <c r="G77">
        <v>31</v>
      </c>
      <c r="H77">
        <f t="shared" si="51"/>
        <v>69</v>
      </c>
      <c r="I77" s="47">
        <v>0.63234857564954083</v>
      </c>
      <c r="J77" s="47">
        <v>0.25807563093519992</v>
      </c>
      <c r="K77" s="48">
        <f t="shared" si="42"/>
        <v>390.72965794973715</v>
      </c>
      <c r="L77" s="48">
        <f t="shared" si="43"/>
        <v>121.12619396441852</v>
      </c>
      <c r="M77" s="49">
        <f t="shared" si="44"/>
        <v>0.69099540512466029</v>
      </c>
      <c r="N77" s="59"/>
      <c r="O77" s="47">
        <v>100</v>
      </c>
      <c r="P77" s="47" t="e">
        <v>#N/A</v>
      </c>
      <c r="Q77" s="56"/>
      <c r="R77">
        <v>97</v>
      </c>
      <c r="S77">
        <v>97</v>
      </c>
      <c r="T77">
        <v>96</v>
      </c>
      <c r="U77">
        <f t="shared" si="52"/>
        <v>-1</v>
      </c>
      <c r="W77">
        <v>6</v>
      </c>
      <c r="Z77" s="2">
        <f t="shared" si="45"/>
        <v>0.34549770256233014</v>
      </c>
      <c r="AA77" s="2">
        <f t="shared" si="46"/>
        <v>1</v>
      </c>
      <c r="AB77" s="2">
        <f t="shared" si="47"/>
        <v>0</v>
      </c>
      <c r="AC77" s="2">
        <f t="shared" si="48"/>
        <v>8.5714285714285715E-2</v>
      </c>
      <c r="AD77" s="2"/>
      <c r="AE77" s="1" t="s">
        <v>155</v>
      </c>
      <c r="AF77" s="1" t="s">
        <v>258</v>
      </c>
      <c r="AG77" s="46">
        <f t="shared" si="53"/>
        <v>0.35780299706915392</v>
      </c>
      <c r="AI77" s="46"/>
      <c r="AJ77" s="46"/>
      <c r="AK77" s="46"/>
    </row>
    <row r="78" spans="1:37">
      <c r="A78" s="1" t="s">
        <v>115</v>
      </c>
      <c r="B78" s="1" t="s">
        <v>259</v>
      </c>
      <c r="C78" s="48">
        <v>14388929</v>
      </c>
      <c r="D78" s="48">
        <f t="shared" si="49"/>
        <v>7122519.8550000004</v>
      </c>
      <c r="E78" s="48">
        <f t="shared" si="50"/>
        <v>7266409.1449999996</v>
      </c>
      <c r="F78" s="2">
        <v>2.5002998306912239</v>
      </c>
      <c r="G78">
        <v>49.5</v>
      </c>
      <c r="H78">
        <f t="shared" si="51"/>
        <v>50.5</v>
      </c>
      <c r="I78" s="47">
        <v>3.4339376253601133</v>
      </c>
      <c r="J78" s="47">
        <v>1.5935323324318371</v>
      </c>
      <c r="K78" s="48">
        <f t="shared" si="42"/>
        <v>359766.36742528045</v>
      </c>
      <c r="L78" s="48">
        <f t="shared" si="43"/>
        <v>178084.35187551382</v>
      </c>
      <c r="M78" s="49">
        <f t="shared" si="44"/>
        <v>0.37341033391614442</v>
      </c>
      <c r="N78" s="59"/>
      <c r="O78" s="47">
        <v>15.501143169505422</v>
      </c>
      <c r="P78" s="47">
        <v>7.6730658689051836</v>
      </c>
      <c r="Q78" s="56"/>
      <c r="R78">
        <v>81</v>
      </c>
      <c r="S78">
        <v>73</v>
      </c>
      <c r="T78">
        <v>89</v>
      </c>
      <c r="U78">
        <f t="shared" si="52"/>
        <v>16</v>
      </c>
      <c r="W78">
        <v>38.700000000000003</v>
      </c>
      <c r="Z78" s="2">
        <f t="shared" si="45"/>
        <v>0.18670516695807221</v>
      </c>
      <c r="AA78" s="2">
        <f t="shared" si="46"/>
        <v>7.8587759564363174E-2</v>
      </c>
      <c r="AB78" s="2">
        <f t="shared" si="47"/>
        <v>0.4</v>
      </c>
      <c r="AC78" s="2">
        <f t="shared" si="48"/>
        <v>0.55285714285714294</v>
      </c>
      <c r="AD78" s="2"/>
      <c r="AE78" s="1" t="s">
        <v>115</v>
      </c>
      <c r="AF78" s="1" t="s">
        <v>259</v>
      </c>
      <c r="AG78" s="46">
        <f t="shared" si="53"/>
        <v>0.30453751734489459</v>
      </c>
      <c r="AI78" s="46"/>
      <c r="AJ78" s="46"/>
      <c r="AK78" s="46"/>
    </row>
    <row r="79" spans="1:37">
      <c r="A79" s="1" t="s">
        <v>147</v>
      </c>
      <c r="B79" s="1" t="s">
        <v>260</v>
      </c>
      <c r="C79" s="48">
        <v>9981590</v>
      </c>
      <c r="D79" s="48">
        <f t="shared" si="49"/>
        <v>3533482.86</v>
      </c>
      <c r="E79" s="48">
        <f t="shared" si="50"/>
        <v>6448107.1399999997</v>
      </c>
      <c r="F79" s="2">
        <v>2.2325310996307892</v>
      </c>
      <c r="G79">
        <v>35.4</v>
      </c>
      <c r="H79">
        <f t="shared" si="51"/>
        <v>64.599999999999994</v>
      </c>
      <c r="I79" s="47">
        <v>3.5977400164634998</v>
      </c>
      <c r="J79" s="47">
        <v>1.4922439434027142</v>
      </c>
      <c r="K79" s="48">
        <f t="shared" si="42"/>
        <v>222842.10098763689</v>
      </c>
      <c r="L79" s="48">
        <f t="shared" si="43"/>
        <v>78886.103749623464</v>
      </c>
      <c r="M79" s="49">
        <f t="shared" si="44"/>
        <v>0.61150723367682791</v>
      </c>
      <c r="N79" s="59"/>
      <c r="O79" s="47">
        <v>46.795047988431449</v>
      </c>
      <c r="P79" s="47">
        <v>16.565446987904732</v>
      </c>
      <c r="Q79" s="56"/>
      <c r="R79">
        <v>19</v>
      </c>
      <c r="S79">
        <v>11</v>
      </c>
      <c r="T79">
        <v>34</v>
      </c>
      <c r="U79">
        <f t="shared" si="52"/>
        <v>23</v>
      </c>
      <c r="W79">
        <v>45.7</v>
      </c>
      <c r="Z79" s="2">
        <f t="shared" si="45"/>
        <v>0.30575361683841396</v>
      </c>
      <c r="AA79" s="2">
        <f t="shared" si="46"/>
        <v>0.52564354269187785</v>
      </c>
      <c r="AB79" s="2">
        <f t="shared" si="47"/>
        <v>0.57499999999999996</v>
      </c>
      <c r="AC79" s="2">
        <f t="shared" si="48"/>
        <v>0.65285714285714291</v>
      </c>
      <c r="AD79" s="2"/>
      <c r="AE79" s="1" t="s">
        <v>147</v>
      </c>
      <c r="AF79" s="1" t="s">
        <v>260</v>
      </c>
      <c r="AG79" s="46">
        <f t="shared" si="53"/>
        <v>0.5148135755968587</v>
      </c>
      <c r="AI79" s="46"/>
      <c r="AJ79" s="46"/>
      <c r="AK79" s="46"/>
    </row>
    <row r="80" spans="1:37">
      <c r="A80" s="1" t="s">
        <v>156</v>
      </c>
      <c r="B80" s="1" t="s">
        <v>261</v>
      </c>
      <c r="C80" s="48">
        <v>1515224</v>
      </c>
      <c r="D80" s="48">
        <f t="shared" si="49"/>
        <v>454567.2</v>
      </c>
      <c r="E80" s="48">
        <f t="shared" si="50"/>
        <v>1060656.8</v>
      </c>
      <c r="F80" s="2">
        <v>2.0741278807686654</v>
      </c>
      <c r="G80">
        <v>30</v>
      </c>
      <c r="H80">
        <f t="shared" si="51"/>
        <v>70</v>
      </c>
      <c r="I80" s="47">
        <v>2.3411507363565343</v>
      </c>
      <c r="J80" s="47">
        <v>1.9599074228909754</v>
      </c>
      <c r="K80" s="48">
        <f t="shared" si="42"/>
        <v>31427.683440098204</v>
      </c>
      <c r="L80" s="48">
        <f t="shared" si="43"/>
        <v>9428.3050320294606</v>
      </c>
      <c r="M80" s="49">
        <f t="shared" si="44"/>
        <v>0.12873982268099651</v>
      </c>
      <c r="N80" s="59"/>
      <c r="O80" s="47">
        <v>67.974300404669108</v>
      </c>
      <c r="P80" s="47" t="e">
        <v>#N/A</v>
      </c>
      <c r="Q80" s="56"/>
      <c r="R80">
        <v>21</v>
      </c>
      <c r="S80">
        <v>9</v>
      </c>
      <c r="T80">
        <v>49</v>
      </c>
      <c r="U80">
        <f t="shared" si="52"/>
        <v>40</v>
      </c>
      <c r="W80">
        <v>83.1</v>
      </c>
      <c r="Z80" s="2">
        <f t="shared" si="45"/>
        <v>6.4369911340498256E-2</v>
      </c>
      <c r="AA80" s="2">
        <f t="shared" si="46"/>
        <v>0.82820429149527297</v>
      </c>
      <c r="AB80" s="2">
        <f t="shared" si="47"/>
        <v>1</v>
      </c>
      <c r="AC80" s="2">
        <f t="shared" si="48"/>
        <v>1</v>
      </c>
      <c r="AD80" s="2"/>
      <c r="AE80" s="1" t="s">
        <v>156</v>
      </c>
      <c r="AF80" s="1" t="s">
        <v>261</v>
      </c>
      <c r="AG80" s="46">
        <f t="shared" si="53"/>
        <v>0.72314355070894276</v>
      </c>
      <c r="AI80" s="46"/>
      <c r="AJ80" s="46"/>
      <c r="AK80" s="46"/>
    </row>
    <row r="81" spans="1:37">
      <c r="A81" s="1" t="s">
        <v>162</v>
      </c>
      <c r="B81" s="1" t="s">
        <v>262</v>
      </c>
      <c r="C81" s="48">
        <v>754493</v>
      </c>
      <c r="D81" s="48">
        <f t="shared" si="49"/>
        <v>215030.505</v>
      </c>
      <c r="E81" s="48">
        <f t="shared" si="50"/>
        <v>539462.495</v>
      </c>
      <c r="F81" s="2">
        <v>0.1963508570440341</v>
      </c>
      <c r="G81">
        <v>28.5</v>
      </c>
      <c r="H81">
        <f t="shared" si="51"/>
        <v>71.5</v>
      </c>
      <c r="I81" s="47">
        <v>0.40709909100048058</v>
      </c>
      <c r="J81" s="47">
        <v>0.11246996298839088</v>
      </c>
      <c r="K81" s="48">
        <f t="shared" si="42"/>
        <v>1481.4534718372443</v>
      </c>
      <c r="L81" s="48">
        <f t="shared" si="43"/>
        <v>422.21423947361455</v>
      </c>
      <c r="M81" s="49">
        <f t="shared" si="44"/>
        <v>1.0733247469817955</v>
      </c>
      <c r="N81" s="59"/>
      <c r="O81" s="47">
        <v>61.478290786517789</v>
      </c>
      <c r="P81" s="47" t="e">
        <v>#N/A</v>
      </c>
      <c r="Q81" s="56"/>
      <c r="R81">
        <v>81</v>
      </c>
      <c r="S81">
        <v>80</v>
      </c>
      <c r="T81">
        <v>85</v>
      </c>
      <c r="U81">
        <f t="shared" si="52"/>
        <v>5</v>
      </c>
      <c r="W81">
        <v>33.200000000000003</v>
      </c>
      <c r="Z81" s="2">
        <f t="shared" si="45"/>
        <v>0.53666237349089774</v>
      </c>
      <c r="AA81" s="2">
        <f t="shared" si="46"/>
        <v>0.73540415409311122</v>
      </c>
      <c r="AB81" s="2">
        <f t="shared" si="47"/>
        <v>0.125</v>
      </c>
      <c r="AC81" s="2">
        <f t="shared" si="48"/>
        <v>0.47428571428571431</v>
      </c>
      <c r="AD81" s="2"/>
      <c r="AE81" s="1" t="s">
        <v>162</v>
      </c>
      <c r="AF81" s="1" t="s">
        <v>262</v>
      </c>
      <c r="AG81" s="46">
        <f t="shared" si="53"/>
        <v>0.46783806046743082</v>
      </c>
      <c r="AI81" s="46"/>
      <c r="AJ81" s="46"/>
      <c r="AK81" s="46"/>
    </row>
    <row r="82" spans="1:37">
      <c r="A82" s="1" t="s">
        <v>121</v>
      </c>
      <c r="B82" s="1" t="s">
        <v>263</v>
      </c>
      <c r="C82" s="48">
        <v>9993247</v>
      </c>
      <c r="D82" s="48">
        <f t="shared" si="49"/>
        <v>4956650.5120000001</v>
      </c>
      <c r="E82" s="48">
        <f t="shared" si="50"/>
        <v>5036596.4879999999</v>
      </c>
      <c r="F82" s="2">
        <v>1.2993367033722003</v>
      </c>
      <c r="G82">
        <v>49.6</v>
      </c>
      <c r="H82">
        <f t="shared" si="51"/>
        <v>50.4</v>
      </c>
      <c r="I82" s="47">
        <v>4.1210328011579094</v>
      </c>
      <c r="J82" s="47">
        <v>-1.4019432212346692</v>
      </c>
      <c r="K82" s="48">
        <f t="shared" si="42"/>
        <v>129845.9261296413</v>
      </c>
      <c r="L82" s="48">
        <f t="shared" si="43"/>
        <v>64403.579360302094</v>
      </c>
      <c r="M82" s="49">
        <f t="shared" si="44"/>
        <v>2.1716434935321165</v>
      </c>
      <c r="N82" s="59"/>
      <c r="O82" s="47">
        <v>43.244081760671044</v>
      </c>
      <c r="P82" s="47">
        <v>21.449064553292839</v>
      </c>
      <c r="Q82" s="56"/>
      <c r="R82">
        <v>17</v>
      </c>
      <c r="S82">
        <v>10</v>
      </c>
      <c r="T82">
        <v>24</v>
      </c>
      <c r="U82">
        <f t="shared" si="52"/>
        <v>14</v>
      </c>
      <c r="W82">
        <v>70.099999999999994</v>
      </c>
      <c r="Z82" s="2">
        <f t="shared" si="45"/>
        <v>1</v>
      </c>
      <c r="AA82" s="2">
        <f t="shared" si="46"/>
        <v>0.47491545372387206</v>
      </c>
      <c r="AB82" s="2">
        <f t="shared" si="47"/>
        <v>0.35</v>
      </c>
      <c r="AC82" s="2">
        <f t="shared" si="48"/>
        <v>1</v>
      </c>
      <c r="AD82" s="2"/>
      <c r="AE82" s="1" t="s">
        <v>121</v>
      </c>
      <c r="AF82" s="1" t="s">
        <v>263</v>
      </c>
      <c r="AG82" s="46">
        <f t="shared" si="53"/>
        <v>0.70622886343096802</v>
      </c>
      <c r="AI82" s="46"/>
      <c r="AJ82" s="46"/>
      <c r="AK82" s="46"/>
    </row>
    <row r="83" spans="1:37">
      <c r="A83" s="1" t="s">
        <v>119</v>
      </c>
      <c r="B83" s="1" t="s">
        <v>264</v>
      </c>
      <c r="C83" s="48">
        <v>7600524</v>
      </c>
      <c r="D83" s="48">
        <f t="shared" si="49"/>
        <v>3709055.7119999998</v>
      </c>
      <c r="E83" s="48">
        <f t="shared" si="50"/>
        <v>3891468.2880000002</v>
      </c>
      <c r="F83" s="2">
        <v>2.0013495516359963</v>
      </c>
      <c r="G83">
        <v>48.8</v>
      </c>
      <c r="H83">
        <f t="shared" si="51"/>
        <v>51.2</v>
      </c>
      <c r="I83" s="47">
        <v>2.9484433100124208</v>
      </c>
      <c r="J83" s="47">
        <v>1.1069239894127851</v>
      </c>
      <c r="K83" s="48">
        <f t="shared" si="42"/>
        <v>152113.05299598628</v>
      </c>
      <c r="L83" s="48">
        <f t="shared" si="43"/>
        <v>74231.169862041308</v>
      </c>
      <c r="M83" s="49">
        <f t="shared" si="44"/>
        <v>0.47322755667655664</v>
      </c>
      <c r="N83" s="59"/>
      <c r="O83" s="47">
        <v>27.715302217601206</v>
      </c>
      <c r="P83" s="47">
        <v>13.525067482189387</v>
      </c>
      <c r="Q83" s="56"/>
      <c r="R83">
        <v>71</v>
      </c>
      <c r="S83">
        <v>62</v>
      </c>
      <c r="T83">
        <v>80</v>
      </c>
      <c r="U83">
        <f t="shared" si="52"/>
        <v>18</v>
      </c>
      <c r="W83">
        <v>34.9</v>
      </c>
      <c r="Z83" s="2">
        <f t="shared" si="45"/>
        <v>0.23661377833827832</v>
      </c>
      <c r="AA83" s="2">
        <f t="shared" si="46"/>
        <v>0.25307574596573151</v>
      </c>
      <c r="AB83" s="2">
        <f t="shared" si="47"/>
        <v>0.45</v>
      </c>
      <c r="AC83" s="2">
        <f t="shared" si="48"/>
        <v>0.49857142857142855</v>
      </c>
      <c r="AD83" s="2"/>
      <c r="AE83" s="1" t="s">
        <v>119</v>
      </c>
      <c r="AF83" s="1" t="s">
        <v>264</v>
      </c>
      <c r="AG83" s="46">
        <f t="shared" si="53"/>
        <v>0.35956523821885955</v>
      </c>
      <c r="AI83" s="46"/>
      <c r="AJ83" s="46"/>
      <c r="AK83" s="46"/>
    </row>
    <row r="84" spans="1:37">
      <c r="A84" s="1" t="s">
        <v>64</v>
      </c>
      <c r="B84" s="1" t="s">
        <v>265</v>
      </c>
      <c r="C84" s="48">
        <v>10008703</v>
      </c>
      <c r="D84" s="48">
        <f t="shared" si="49"/>
        <v>6835944.1490000002</v>
      </c>
      <c r="E84" s="48">
        <f t="shared" si="50"/>
        <v>3172758.8510000003</v>
      </c>
      <c r="F84" s="2">
        <v>-0.13925172457121743</v>
      </c>
      <c r="G84">
        <v>68.3</v>
      </c>
      <c r="H84">
        <f t="shared" si="51"/>
        <v>31.700000000000003</v>
      </c>
      <c r="I84" s="47">
        <v>0.44812147663819646</v>
      </c>
      <c r="J84" s="47">
        <v>-1.3931866498447611</v>
      </c>
      <c r="K84" s="48">
        <f t="shared" si="42"/>
        <v>-13937.291534711176</v>
      </c>
      <c r="L84" s="48">
        <f t="shared" si="43"/>
        <v>-9519.170118207734</v>
      </c>
      <c r="M84" s="49">
        <f t="shared" si="44"/>
        <v>-4.2180676973161217</v>
      </c>
      <c r="N84" s="59"/>
      <c r="O84" s="47">
        <v>24.958907837911301</v>
      </c>
      <c r="P84" s="47">
        <v>17.04693405329342</v>
      </c>
      <c r="Q84" s="56"/>
      <c r="R84">
        <v>100</v>
      </c>
      <c r="S84">
        <v>100</v>
      </c>
      <c r="T84">
        <v>100</v>
      </c>
      <c r="U84">
        <f t="shared" si="52"/>
        <v>0</v>
      </c>
      <c r="W84">
        <v>0</v>
      </c>
      <c r="Z84" s="2">
        <f t="shared" si="45"/>
        <v>0</v>
      </c>
      <c r="AA84" s="2">
        <f t="shared" si="46"/>
        <v>0.21369868339873288</v>
      </c>
      <c r="AB84" s="2">
        <f t="shared" si="47"/>
        <v>0</v>
      </c>
      <c r="AC84" s="2">
        <f t="shared" si="48"/>
        <v>0</v>
      </c>
      <c r="AD84" s="2"/>
      <c r="AE84" s="1" t="s">
        <v>64</v>
      </c>
      <c r="AF84" s="1" t="s">
        <v>265</v>
      </c>
      <c r="AG84" s="46">
        <f t="shared" si="53"/>
        <v>5.342467084968322E-2</v>
      </c>
      <c r="AI84" s="46"/>
      <c r="AJ84" s="46"/>
      <c r="AK84" s="46"/>
    </row>
    <row r="85" spans="1:37">
      <c r="A85" s="1" t="s">
        <v>12</v>
      </c>
      <c r="B85" s="1" t="s">
        <v>266</v>
      </c>
      <c r="C85" s="48">
        <v>317398</v>
      </c>
      <c r="D85" s="48">
        <f t="shared" si="49"/>
        <v>292958.35399999999</v>
      </c>
      <c r="E85" s="48">
        <f t="shared" si="50"/>
        <v>24439.646000000012</v>
      </c>
      <c r="F85" s="2">
        <v>-0.3462828414635124</v>
      </c>
      <c r="G85">
        <v>92.3</v>
      </c>
      <c r="H85">
        <f t="shared" si="51"/>
        <v>7.7000000000000028</v>
      </c>
      <c r="I85" s="47">
        <v>-0.32461202113815651</v>
      </c>
      <c r="J85" s="47">
        <v>-0.60568635916819125</v>
      </c>
      <c r="K85" s="48">
        <f t="shared" si="42"/>
        <v>-1099.0948131483592</v>
      </c>
      <c r="L85" s="48">
        <f t="shared" si="43"/>
        <v>-1014.4645125359353</v>
      </c>
      <c r="M85" s="49">
        <f t="shared" si="44"/>
        <v>-6.2581270945356066E-2</v>
      </c>
      <c r="N85" s="59"/>
      <c r="O85" s="47">
        <v>67.399002679714371</v>
      </c>
      <c r="P85" s="47" t="e">
        <v>#N/A</v>
      </c>
      <c r="Q85" s="56"/>
      <c r="R85">
        <v>100</v>
      </c>
      <c r="S85">
        <v>100</v>
      </c>
      <c r="T85">
        <v>100</v>
      </c>
      <c r="U85">
        <f t="shared" si="52"/>
        <v>0</v>
      </c>
      <c r="W85">
        <v>0</v>
      </c>
      <c r="Z85" s="2">
        <f t="shared" si="45"/>
        <v>0</v>
      </c>
      <c r="AA85" s="2">
        <f t="shared" si="46"/>
        <v>0.81998575256734818</v>
      </c>
      <c r="AB85" s="2">
        <f t="shared" si="47"/>
        <v>0</v>
      </c>
      <c r="AC85" s="2">
        <f t="shared" si="48"/>
        <v>0</v>
      </c>
      <c r="AD85" s="2"/>
      <c r="AE85" s="1" t="s">
        <v>12</v>
      </c>
      <c r="AF85" s="1" t="s">
        <v>266</v>
      </c>
      <c r="AG85" s="46">
        <f t="shared" si="53"/>
        <v>0.20499643814183705</v>
      </c>
      <c r="AI85" s="46"/>
      <c r="AJ85" s="46"/>
      <c r="AK85" s="46"/>
    </row>
    <row r="86" spans="1:37">
      <c r="A86" s="1" t="s">
        <v>159</v>
      </c>
      <c r="B86" s="1" t="s">
        <v>267</v>
      </c>
      <c r="C86" s="48">
        <v>1170938000</v>
      </c>
      <c r="D86" s="48">
        <f t="shared" si="49"/>
        <v>352452338</v>
      </c>
      <c r="E86" s="48">
        <f t="shared" si="50"/>
        <v>818485662</v>
      </c>
      <c r="F86" s="2">
        <v>1.3403818399221554</v>
      </c>
      <c r="G86">
        <v>30.1</v>
      </c>
      <c r="H86">
        <f t="shared" si="51"/>
        <v>69.900000000000006</v>
      </c>
      <c r="I86" s="47">
        <v>2.2749680817459184</v>
      </c>
      <c r="J86" s="47">
        <v>0.94060974839169142</v>
      </c>
      <c r="K86" s="48">
        <f t="shared" si="42"/>
        <v>15695040.308747686</v>
      </c>
      <c r="L86" s="48">
        <f t="shared" si="43"/>
        <v>4724207.1329330541</v>
      </c>
      <c r="M86" s="49">
        <f t="shared" si="44"/>
        <v>0.69725373321831974</v>
      </c>
      <c r="N86" s="59"/>
      <c r="O86" s="47">
        <v>6.2864698602169575</v>
      </c>
      <c r="P86" s="47">
        <v>12.758955128281768</v>
      </c>
      <c r="Q86" s="56"/>
      <c r="R86">
        <v>31</v>
      </c>
      <c r="S86">
        <v>21</v>
      </c>
      <c r="T86">
        <v>54</v>
      </c>
      <c r="U86">
        <f t="shared" si="52"/>
        <v>33</v>
      </c>
      <c r="W86">
        <v>29.4</v>
      </c>
      <c r="Z86" s="2">
        <f t="shared" si="45"/>
        <v>0.34862686660915987</v>
      </c>
      <c r="AA86" s="2">
        <f t="shared" si="46"/>
        <v>0</v>
      </c>
      <c r="AB86" s="2">
        <f t="shared" si="47"/>
        <v>0.82499999999999996</v>
      </c>
      <c r="AC86" s="2">
        <f t="shared" si="48"/>
        <v>0.42</v>
      </c>
      <c r="AD86" s="2"/>
      <c r="AE86" s="1" t="s">
        <v>159</v>
      </c>
      <c r="AF86" s="1" t="s">
        <v>267</v>
      </c>
      <c r="AG86" s="46">
        <f t="shared" si="53"/>
        <v>0.39840671665228994</v>
      </c>
      <c r="AI86" s="46"/>
      <c r="AJ86" s="46"/>
      <c r="AK86" s="46"/>
    </row>
    <row r="87" spans="1:37">
      <c r="A87" s="1" t="s">
        <v>107</v>
      </c>
      <c r="B87" s="1" t="s">
        <v>268</v>
      </c>
      <c r="C87" s="48">
        <v>239870937</v>
      </c>
      <c r="D87" s="48">
        <f t="shared" si="49"/>
        <v>128810693.16900001</v>
      </c>
      <c r="E87" s="48">
        <f t="shared" si="50"/>
        <v>111060243.83099999</v>
      </c>
      <c r="F87" s="2">
        <v>1.0293478596952839</v>
      </c>
      <c r="G87">
        <v>53.7</v>
      </c>
      <c r="H87">
        <f t="shared" si="51"/>
        <v>46.3</v>
      </c>
      <c r="I87" s="47">
        <v>3.1370660810036672</v>
      </c>
      <c r="J87" s="47">
        <v>-1.3608640948118487</v>
      </c>
      <c r="K87" s="48">
        <f t="shared" si="42"/>
        <v>2469106.3560405229</v>
      </c>
      <c r="L87" s="48">
        <f t="shared" si="43"/>
        <v>1325910.1131937609</v>
      </c>
      <c r="M87" s="49">
        <f t="shared" si="44"/>
        <v>2.0476248155140939</v>
      </c>
      <c r="N87" s="59"/>
      <c r="O87" s="47">
        <v>7.1501913182907693</v>
      </c>
      <c r="P87" s="47">
        <v>8.8136117132022527</v>
      </c>
      <c r="Q87" s="56"/>
      <c r="R87">
        <v>52</v>
      </c>
      <c r="S87">
        <v>36</v>
      </c>
      <c r="T87">
        <v>67</v>
      </c>
      <c r="U87">
        <f t="shared" si="52"/>
        <v>31</v>
      </c>
      <c r="W87">
        <v>23</v>
      </c>
      <c r="Z87" s="2">
        <f t="shared" si="45"/>
        <v>1</v>
      </c>
      <c r="AA87" s="2">
        <f t="shared" si="46"/>
        <v>0</v>
      </c>
      <c r="AB87" s="2">
        <f t="shared" si="47"/>
        <v>0.77500000000000002</v>
      </c>
      <c r="AC87" s="2">
        <f t="shared" si="48"/>
        <v>0.32857142857142857</v>
      </c>
      <c r="AD87" s="2"/>
      <c r="AE87" s="1" t="s">
        <v>107</v>
      </c>
      <c r="AF87" s="1" t="s">
        <v>268</v>
      </c>
      <c r="AG87" s="46">
        <f t="shared" si="53"/>
        <v>0.52589285714285716</v>
      </c>
      <c r="AI87" s="46"/>
      <c r="AJ87" s="46"/>
      <c r="AK87" s="46"/>
    </row>
    <row r="88" spans="1:37">
      <c r="A88" s="1" t="s">
        <v>63</v>
      </c>
      <c r="B88" s="1" t="s">
        <v>269</v>
      </c>
      <c r="C88" s="48">
        <v>73973630</v>
      </c>
      <c r="D88" s="48">
        <f t="shared" si="49"/>
        <v>51411672.850000001</v>
      </c>
      <c r="E88" s="48">
        <f t="shared" si="50"/>
        <v>22561957.149999999</v>
      </c>
      <c r="F88" s="2">
        <v>1.1372260094318898</v>
      </c>
      <c r="G88">
        <v>69.5</v>
      </c>
      <c r="H88">
        <f t="shared" si="51"/>
        <v>30.5</v>
      </c>
      <c r="I88" s="47">
        <v>1.8882405156370523</v>
      </c>
      <c r="J88" s="47">
        <v>-0.55332140407082286</v>
      </c>
      <c r="K88" s="48">
        <f t="shared" si="42"/>
        <v>841247.36048091133</v>
      </c>
      <c r="L88" s="48">
        <f t="shared" si="43"/>
        <v>584666.91553423333</v>
      </c>
      <c r="M88" s="49">
        <f t="shared" si="44"/>
        <v>0.66039160200032498</v>
      </c>
      <c r="N88" s="59"/>
      <c r="O88" s="47">
        <v>14.084357887218601</v>
      </c>
      <c r="P88" s="47">
        <v>24.472465390707473</v>
      </c>
      <c r="Q88" s="56"/>
      <c r="R88">
        <v>83</v>
      </c>
      <c r="S88">
        <v>78</v>
      </c>
      <c r="T88">
        <v>86</v>
      </c>
      <c r="U88">
        <f t="shared" si="52"/>
        <v>8</v>
      </c>
      <c r="W88" t="e">
        <v>#N/A</v>
      </c>
      <c r="Z88" s="2">
        <f t="shared" si="45"/>
        <v>0.33019580100016249</v>
      </c>
      <c r="AA88" s="2">
        <f t="shared" si="46"/>
        <v>5.8347969817408592E-2</v>
      </c>
      <c r="AB88" s="2">
        <f t="shared" si="47"/>
        <v>0.2</v>
      </c>
      <c r="AC88" s="2" t="e">
        <f t="shared" si="48"/>
        <v>#N/A</v>
      </c>
      <c r="AD88" s="2"/>
      <c r="AE88" s="1" t="s">
        <v>63</v>
      </c>
      <c r="AF88" s="1" t="s">
        <v>269</v>
      </c>
      <c r="AG88" s="46">
        <f t="shared" si="53"/>
        <v>0.19618125693919039</v>
      </c>
      <c r="AI88" s="46"/>
      <c r="AJ88" s="46"/>
      <c r="AK88" s="46"/>
    </row>
    <row r="89" spans="1:37">
      <c r="A89" s="1" t="s">
        <v>68</v>
      </c>
      <c r="B89" s="1" t="s">
        <v>270</v>
      </c>
      <c r="C89" s="48">
        <v>32030823.298208248</v>
      </c>
      <c r="D89" s="48">
        <f t="shared" si="49"/>
        <v>21268466.67001028</v>
      </c>
      <c r="E89" s="48">
        <f t="shared" si="50"/>
        <v>10762356.62819797</v>
      </c>
      <c r="F89" s="2">
        <v>3.023599999999993</v>
      </c>
      <c r="G89">
        <v>66.400000000000006</v>
      </c>
      <c r="H89">
        <f t="shared" si="51"/>
        <v>33.599999999999994</v>
      </c>
      <c r="I89" s="47">
        <v>2.8283011030314587</v>
      </c>
      <c r="J89" s="47">
        <v>3.2768530347872042</v>
      </c>
      <c r="K89" s="48">
        <f t="shared" si="42"/>
        <v>968483.97324462235</v>
      </c>
      <c r="L89" s="48">
        <f t="shared" si="43"/>
        <v>643073.35823442938</v>
      </c>
      <c r="M89" s="49">
        <f t="shared" si="44"/>
        <v>-6.4591512425100847E-2</v>
      </c>
      <c r="N89" s="59"/>
      <c r="O89" s="47">
        <v>27.696763905910444</v>
      </c>
      <c r="P89" s="47">
        <v>22.907987508427404</v>
      </c>
      <c r="Q89" s="56"/>
      <c r="R89">
        <v>73</v>
      </c>
      <c r="S89">
        <v>66</v>
      </c>
      <c r="T89">
        <v>76</v>
      </c>
      <c r="U89">
        <f t="shared" si="52"/>
        <v>10</v>
      </c>
      <c r="W89">
        <v>52.8</v>
      </c>
      <c r="Z89" s="2">
        <f t="shared" si="45"/>
        <v>0</v>
      </c>
      <c r="AA89" s="2">
        <f t="shared" si="46"/>
        <v>0.25281091294157776</v>
      </c>
      <c r="AB89" s="2">
        <f t="shared" si="47"/>
        <v>0.25</v>
      </c>
      <c r="AC89" s="2">
        <f t="shared" si="48"/>
        <v>0.75428571428571423</v>
      </c>
      <c r="AD89" s="2"/>
      <c r="AE89" s="1" t="s">
        <v>68</v>
      </c>
      <c r="AF89" s="1" t="s">
        <v>270</v>
      </c>
      <c r="AG89" s="46">
        <f t="shared" si="53"/>
        <v>0.31427415680682302</v>
      </c>
      <c r="AI89" s="46"/>
      <c r="AJ89" s="46"/>
      <c r="AK89" s="46"/>
    </row>
    <row r="90" spans="1:37">
      <c r="A90" s="1" t="s">
        <v>82</v>
      </c>
      <c r="B90" s="1" t="s">
        <v>271</v>
      </c>
      <c r="C90" s="48">
        <v>4481430</v>
      </c>
      <c r="D90" s="48">
        <f t="shared" si="49"/>
        <v>2774005.17</v>
      </c>
      <c r="E90" s="48">
        <f t="shared" si="50"/>
        <v>1707424.83</v>
      </c>
      <c r="F90" s="2">
        <v>0.50306737631432086</v>
      </c>
      <c r="G90">
        <v>61.9</v>
      </c>
      <c r="H90">
        <f t="shared" si="51"/>
        <v>38.1</v>
      </c>
      <c r="I90" s="47">
        <v>0.95643602851717435</v>
      </c>
      <c r="J90" s="47">
        <v>-0.22915346837555547</v>
      </c>
      <c r="K90" s="48">
        <f t="shared" si="42"/>
        <v>22544.612322362871</v>
      </c>
      <c r="L90" s="48">
        <f t="shared" si="43"/>
        <v>13955.115027542615</v>
      </c>
      <c r="M90" s="49">
        <f t="shared" si="44"/>
        <v>0.90120861250121054</v>
      </c>
      <c r="N90" s="59"/>
      <c r="O90" s="47">
        <v>39.604684658897014</v>
      </c>
      <c r="P90" s="47">
        <v>24.515299803857253</v>
      </c>
      <c r="Q90" s="56"/>
      <c r="R90">
        <v>99</v>
      </c>
      <c r="S90">
        <v>98</v>
      </c>
      <c r="T90">
        <v>100</v>
      </c>
      <c r="U90">
        <f t="shared" si="52"/>
        <v>2</v>
      </c>
      <c r="W90">
        <v>0</v>
      </c>
      <c r="Z90" s="2">
        <f t="shared" si="45"/>
        <v>0.45060430625060527</v>
      </c>
      <c r="AA90" s="2">
        <f t="shared" si="46"/>
        <v>0.42292406655567161</v>
      </c>
      <c r="AB90" s="2">
        <f t="shared" si="47"/>
        <v>0.05</v>
      </c>
      <c r="AC90" s="2">
        <f t="shared" si="48"/>
        <v>0</v>
      </c>
      <c r="AD90" s="2"/>
      <c r="AE90" s="1" t="s">
        <v>82</v>
      </c>
      <c r="AF90" s="1" t="s">
        <v>271</v>
      </c>
      <c r="AG90" s="46">
        <f t="shared" si="53"/>
        <v>0.23088209320156922</v>
      </c>
      <c r="AI90" s="46"/>
      <c r="AJ90" s="46"/>
      <c r="AK90" s="46"/>
    </row>
    <row r="91" spans="1:37">
      <c r="A91" s="1" t="s">
        <v>11</v>
      </c>
      <c r="B91" s="1" t="s">
        <v>272</v>
      </c>
      <c r="C91" s="48">
        <v>7624600</v>
      </c>
      <c r="D91" s="48">
        <f t="shared" si="49"/>
        <v>6991758.2000000002</v>
      </c>
      <c r="E91" s="48">
        <f t="shared" si="50"/>
        <v>632841.79999999981</v>
      </c>
      <c r="F91" s="2">
        <v>1.8398687121493369</v>
      </c>
      <c r="G91">
        <v>91.7</v>
      </c>
      <c r="H91">
        <f t="shared" si="51"/>
        <v>8.2999999999999972</v>
      </c>
      <c r="I91" s="47">
        <v>1.861681341748314</v>
      </c>
      <c r="J91" s="47">
        <v>1.5991947090928254</v>
      </c>
      <c r="K91" s="48">
        <f t="shared" si="42"/>
        <v>140282.62982653835</v>
      </c>
      <c r="L91" s="48">
        <f t="shared" si="43"/>
        <v>128639.17155093566</v>
      </c>
      <c r="M91" s="49">
        <f t="shared" si="44"/>
        <v>1.1855535916742443E-2</v>
      </c>
      <c r="N91" s="59"/>
      <c r="O91" s="47">
        <v>46.793251517193482</v>
      </c>
      <c r="P91" s="47">
        <v>56.50183616189701</v>
      </c>
      <c r="Q91" s="56"/>
      <c r="R91">
        <v>100</v>
      </c>
      <c r="S91">
        <v>100</v>
      </c>
      <c r="T91">
        <v>100</v>
      </c>
      <c r="U91">
        <f t="shared" si="52"/>
        <v>0</v>
      </c>
      <c r="W91">
        <v>0</v>
      </c>
      <c r="Z91" s="2">
        <f t="shared" si="45"/>
        <v>5.9277679583712214E-3</v>
      </c>
      <c r="AA91" s="2">
        <f t="shared" si="46"/>
        <v>0.5256178788170498</v>
      </c>
      <c r="AB91" s="2">
        <f t="shared" si="47"/>
        <v>0</v>
      </c>
      <c r="AC91" s="2">
        <f t="shared" si="48"/>
        <v>0</v>
      </c>
      <c r="AD91" s="2"/>
      <c r="AE91" s="1" t="s">
        <v>11</v>
      </c>
      <c r="AF91" s="1" t="s">
        <v>272</v>
      </c>
      <c r="AG91" s="46">
        <f t="shared" si="53"/>
        <v>0.13288641169385526</v>
      </c>
      <c r="AI91" s="46"/>
      <c r="AJ91" s="46"/>
      <c r="AK91" s="46"/>
    </row>
    <row r="92" spans="1:37">
      <c r="A92" s="1" t="s">
        <v>62</v>
      </c>
      <c r="B92" s="1" t="s">
        <v>273</v>
      </c>
      <c r="C92" s="48">
        <v>60483521</v>
      </c>
      <c r="D92" s="48">
        <f t="shared" si="49"/>
        <v>41370728.364000008</v>
      </c>
      <c r="E92" s="48">
        <f t="shared" si="50"/>
        <v>19112792.635999996</v>
      </c>
      <c r="F92" s="2">
        <v>0.48198984924956789</v>
      </c>
      <c r="G92">
        <v>68.400000000000006</v>
      </c>
      <c r="H92">
        <f t="shared" si="51"/>
        <v>31.599999999999994</v>
      </c>
      <c r="I92" s="47">
        <v>0.71618199375770353</v>
      </c>
      <c r="J92" s="47">
        <v>-2.3061729357340112E-2</v>
      </c>
      <c r="K92" s="48">
        <f t="shared" si="42"/>
        <v>291524.43168873078</v>
      </c>
      <c r="L92" s="48">
        <f t="shared" si="43"/>
        <v>199402.71127509189</v>
      </c>
      <c r="M92" s="49">
        <f t="shared" si="44"/>
        <v>0.48588605107090937</v>
      </c>
      <c r="N92" s="59"/>
      <c r="O92" s="47">
        <v>8.1271278823453468</v>
      </c>
      <c r="P92" s="47">
        <v>16.979638139783564</v>
      </c>
      <c r="Q92" s="56"/>
      <c r="R92" s="54">
        <v>100</v>
      </c>
      <c r="S92" s="54">
        <v>100</v>
      </c>
      <c r="T92" t="e">
        <v>#N/A</v>
      </c>
      <c r="U92" t="e">
        <f t="shared" si="52"/>
        <v>#N/A</v>
      </c>
      <c r="W92">
        <v>0</v>
      </c>
      <c r="Z92" s="2">
        <f t="shared" si="45"/>
        <v>0.24294302553545469</v>
      </c>
      <c r="AA92" s="2">
        <f t="shared" si="46"/>
        <v>0</v>
      </c>
      <c r="AB92" s="2" t="e">
        <f t="shared" si="47"/>
        <v>#N/A</v>
      </c>
      <c r="AC92" s="2">
        <f t="shared" si="48"/>
        <v>0</v>
      </c>
      <c r="AD92" s="2"/>
      <c r="AE92" s="1" t="s">
        <v>62</v>
      </c>
      <c r="AF92" s="1" t="s">
        <v>273</v>
      </c>
      <c r="AG92" s="46">
        <f t="shared" si="53"/>
        <v>8.0981008511818234E-2</v>
      </c>
      <c r="AI92" s="46"/>
      <c r="AJ92" s="46"/>
      <c r="AK92" s="46"/>
    </row>
    <row r="93" spans="1:37">
      <c r="A93" s="1" t="s">
        <v>104</v>
      </c>
      <c r="B93" s="1" t="s">
        <v>274</v>
      </c>
      <c r="C93" s="48">
        <v>2702300</v>
      </c>
      <c r="D93" s="48">
        <f t="shared" si="49"/>
        <v>1451135.1</v>
      </c>
      <c r="E93" s="48">
        <f t="shared" si="50"/>
        <v>1251164.8999999999</v>
      </c>
      <c r="F93" s="2">
        <v>0.24824481523393443</v>
      </c>
      <c r="G93">
        <v>53.7</v>
      </c>
      <c r="H93">
        <f t="shared" si="51"/>
        <v>46.3</v>
      </c>
      <c r="I93" s="47">
        <v>0.62137957651973874</v>
      </c>
      <c r="J93" s="47">
        <v>-0.18279033487830831</v>
      </c>
      <c r="K93" s="48">
        <f t="shared" si="42"/>
        <v>6708.31964206661</v>
      </c>
      <c r="L93" s="48">
        <f t="shared" si="43"/>
        <v>3602.3676477897698</v>
      </c>
      <c r="M93" s="49">
        <f t="shared" si="44"/>
        <v>1.5030918608881296</v>
      </c>
      <c r="N93" s="59"/>
      <c r="O93" s="47">
        <v>40.193017905260632</v>
      </c>
      <c r="P93" s="47" t="e">
        <v>#N/A</v>
      </c>
      <c r="Q93" s="56"/>
      <c r="R93">
        <v>83</v>
      </c>
      <c r="S93">
        <v>84</v>
      </c>
      <c r="T93">
        <v>82</v>
      </c>
      <c r="U93">
        <f t="shared" si="52"/>
        <v>-2</v>
      </c>
      <c r="W93">
        <v>60.5</v>
      </c>
      <c r="Z93" s="2">
        <f t="shared" si="45"/>
        <v>0.75154593044406481</v>
      </c>
      <c r="AA93" s="2">
        <f t="shared" si="46"/>
        <v>0.43132882721800903</v>
      </c>
      <c r="AB93" s="2">
        <f t="shared" si="47"/>
        <v>0</v>
      </c>
      <c r="AC93" s="2">
        <f t="shared" si="48"/>
        <v>0.86428571428571432</v>
      </c>
      <c r="AD93" s="2"/>
      <c r="AE93" s="1" t="s">
        <v>104</v>
      </c>
      <c r="AF93" s="1" t="s">
        <v>274</v>
      </c>
      <c r="AG93" s="46">
        <f t="shared" si="53"/>
        <v>0.51179011798694707</v>
      </c>
      <c r="AI93" s="46"/>
      <c r="AJ93" s="46"/>
      <c r="AK93" s="46"/>
    </row>
    <row r="94" spans="1:37">
      <c r="A94" s="1" t="s">
        <v>70</v>
      </c>
      <c r="B94" s="1" t="s">
        <v>275</v>
      </c>
      <c r="C94" s="48">
        <v>127450459</v>
      </c>
      <c r="D94" s="48">
        <f t="shared" si="49"/>
        <v>85136906.612000003</v>
      </c>
      <c r="E94" s="48">
        <f t="shared" si="50"/>
        <v>42313552.388000004</v>
      </c>
      <c r="F94" s="2">
        <v>-8.4310163274107508E-2</v>
      </c>
      <c r="G94">
        <v>66.8</v>
      </c>
      <c r="H94">
        <f t="shared" si="51"/>
        <v>33.200000000000003</v>
      </c>
      <c r="I94" s="47">
        <v>0.15549810512717818</v>
      </c>
      <c r="J94" s="47">
        <v>-0.56508032008443387</v>
      </c>
      <c r="K94" s="48">
        <f t="shared" si="42"/>
        <v>-107453.69007649945</v>
      </c>
      <c r="L94" s="48">
        <f t="shared" si="43"/>
        <v>-71779.064971101645</v>
      </c>
      <c r="M94" s="49">
        <f t="shared" si="44"/>
        <v>-2.8443577747753355</v>
      </c>
      <c r="N94" s="59"/>
      <c r="O94" s="47">
        <v>43.070052059927193</v>
      </c>
      <c r="P94" s="47">
        <v>49.460798724938286</v>
      </c>
      <c r="Q94" s="56"/>
      <c r="R94">
        <v>100</v>
      </c>
      <c r="S94">
        <v>100</v>
      </c>
      <c r="T94">
        <v>100</v>
      </c>
      <c r="U94">
        <f t="shared" si="52"/>
        <v>0</v>
      </c>
      <c r="W94">
        <v>0</v>
      </c>
      <c r="Z94" s="2">
        <f t="shared" si="45"/>
        <v>0</v>
      </c>
      <c r="AA94" s="2">
        <f t="shared" si="46"/>
        <v>0.47242931514181702</v>
      </c>
      <c r="AB94" s="2">
        <f t="shared" si="47"/>
        <v>0</v>
      </c>
      <c r="AC94" s="2">
        <f t="shared" si="48"/>
        <v>0</v>
      </c>
      <c r="AD94" s="2"/>
      <c r="AE94" s="1" t="s">
        <v>70</v>
      </c>
      <c r="AF94" s="1" t="s">
        <v>275</v>
      </c>
      <c r="AG94" s="46">
        <f t="shared" si="53"/>
        <v>0.11810732878545425</v>
      </c>
      <c r="AI94" s="46"/>
      <c r="AJ94" s="46"/>
      <c r="AK94" s="46"/>
    </row>
    <row r="95" spans="1:37">
      <c r="A95" s="1" t="s">
        <v>35</v>
      </c>
      <c r="B95" s="1" t="s">
        <v>276</v>
      </c>
      <c r="C95" s="48">
        <v>6047000</v>
      </c>
      <c r="D95" s="48">
        <f t="shared" si="49"/>
        <v>4746895</v>
      </c>
      <c r="E95" s="48">
        <f t="shared" si="50"/>
        <v>1300105</v>
      </c>
      <c r="F95" s="2">
        <v>2.2070783860725749</v>
      </c>
      <c r="G95">
        <v>78.5</v>
      </c>
      <c r="H95">
        <f t="shared" si="51"/>
        <v>21.5</v>
      </c>
      <c r="I95" s="47">
        <v>2.2580467867682135</v>
      </c>
      <c r="J95" s="47">
        <v>2.0212047266099673</v>
      </c>
      <c r="K95" s="48">
        <f t="shared" si="42"/>
        <v>133462.0300058086</v>
      </c>
      <c r="L95" s="48">
        <f t="shared" si="43"/>
        <v>104767.69355455977</v>
      </c>
      <c r="M95" s="49">
        <f t="shared" si="44"/>
        <v>2.3093153835072842E-2</v>
      </c>
      <c r="N95" s="59"/>
      <c r="O95" s="47">
        <v>23.286843294406133</v>
      </c>
      <c r="P95" s="47">
        <v>18.280171986108815</v>
      </c>
      <c r="Q95" s="56"/>
      <c r="R95">
        <v>98</v>
      </c>
      <c r="S95">
        <v>97</v>
      </c>
      <c r="T95">
        <v>98</v>
      </c>
      <c r="U95">
        <f t="shared" si="52"/>
        <v>1</v>
      </c>
      <c r="W95">
        <v>19.600000000000001</v>
      </c>
      <c r="Z95" s="2">
        <f t="shared" si="45"/>
        <v>1.1546576917536421E-2</v>
      </c>
      <c r="AA95" s="2">
        <f t="shared" si="46"/>
        <v>0.18981204706294474</v>
      </c>
      <c r="AB95" s="2">
        <f t="shared" si="47"/>
        <v>2.5000000000000001E-2</v>
      </c>
      <c r="AC95" s="2">
        <f t="shared" si="48"/>
        <v>0.28000000000000003</v>
      </c>
      <c r="AD95" s="2"/>
      <c r="AE95" s="1" t="s">
        <v>35</v>
      </c>
      <c r="AF95" s="1" t="s">
        <v>276</v>
      </c>
      <c r="AG95" s="46">
        <f t="shared" si="53"/>
        <v>0.12658965599512029</v>
      </c>
      <c r="AI95" s="46"/>
      <c r="AJ95" s="46"/>
      <c r="AK95" s="46"/>
    </row>
    <row r="96" spans="1:37">
      <c r="A96" s="1" t="s">
        <v>92</v>
      </c>
      <c r="B96" s="1" t="s">
        <v>277</v>
      </c>
      <c r="C96" s="48">
        <v>16316050</v>
      </c>
      <c r="D96" s="48">
        <f t="shared" si="49"/>
        <v>9544889.25</v>
      </c>
      <c r="E96" s="48">
        <f t="shared" si="50"/>
        <v>6771160.75</v>
      </c>
      <c r="F96" s="2">
        <v>2.4259084468976799</v>
      </c>
      <c r="G96">
        <v>58.5</v>
      </c>
      <c r="H96">
        <f t="shared" si="51"/>
        <v>41.5</v>
      </c>
      <c r="I96" s="47">
        <v>2.9056900389310543</v>
      </c>
      <c r="J96" s="47">
        <v>1.7534755577209744</v>
      </c>
      <c r="K96" s="48">
        <f t="shared" si="42"/>
        <v>395812.43515004887</v>
      </c>
      <c r="L96" s="48">
        <f t="shared" si="43"/>
        <v>231550.27456277862</v>
      </c>
      <c r="M96" s="49">
        <f t="shared" si="44"/>
        <v>0.19777398963548379</v>
      </c>
      <c r="N96" s="59"/>
      <c r="O96" s="47">
        <v>14.491084849412999</v>
      </c>
      <c r="P96" s="47">
        <v>8.4772846369066048</v>
      </c>
      <c r="Q96" s="56"/>
      <c r="R96">
        <v>97</v>
      </c>
      <c r="S96">
        <v>98</v>
      </c>
      <c r="T96">
        <v>97</v>
      </c>
      <c r="U96">
        <f t="shared" si="52"/>
        <v>-1</v>
      </c>
      <c r="W96">
        <v>0</v>
      </c>
      <c r="Z96" s="2">
        <f t="shared" si="45"/>
        <v>9.8886994817741894E-2</v>
      </c>
      <c r="AA96" s="2">
        <f t="shared" si="46"/>
        <v>6.4158354991614278E-2</v>
      </c>
      <c r="AB96" s="2">
        <f t="shared" si="47"/>
        <v>0</v>
      </c>
      <c r="AC96" s="2">
        <f t="shared" si="48"/>
        <v>0</v>
      </c>
      <c r="AD96" s="2"/>
      <c r="AE96" s="1" t="s">
        <v>92</v>
      </c>
      <c r="AF96" s="1" t="s">
        <v>277</v>
      </c>
      <c r="AG96" s="46">
        <f t="shared" si="53"/>
        <v>4.0761337452339043E-2</v>
      </c>
      <c r="AI96" s="46"/>
      <c r="AJ96" s="46"/>
      <c r="AK96" s="46"/>
    </row>
    <row r="97" spans="1:37">
      <c r="A97" s="1" t="s">
        <v>176</v>
      </c>
      <c r="B97" s="1" t="s">
        <v>278</v>
      </c>
      <c r="C97" s="48">
        <v>40512682</v>
      </c>
      <c r="D97" s="48">
        <f t="shared" si="49"/>
        <v>8993815.4039999992</v>
      </c>
      <c r="E97" s="48">
        <f t="shared" si="50"/>
        <v>31518866.596000001</v>
      </c>
      <c r="F97" s="2">
        <v>2.6272113285425265</v>
      </c>
      <c r="G97">
        <v>22.2</v>
      </c>
      <c r="H97">
        <f t="shared" si="51"/>
        <v>77.8</v>
      </c>
      <c r="I97" s="47">
        <v>3.9877765341204117</v>
      </c>
      <c r="J97" s="47">
        <v>2.2423487624131004</v>
      </c>
      <c r="K97" s="48">
        <f t="shared" si="42"/>
        <v>1064353.771000409</v>
      </c>
      <c r="L97" s="48">
        <f t="shared" si="43"/>
        <v>236286.53716209077</v>
      </c>
      <c r="M97" s="49">
        <f t="shared" si="44"/>
        <v>0.51787429157161624</v>
      </c>
      <c r="N97" s="59"/>
      <c r="O97" s="47">
        <v>39.175242560937939</v>
      </c>
      <c r="P97" s="47">
        <v>8.6969038485282208</v>
      </c>
      <c r="Q97" s="56"/>
      <c r="R97">
        <v>31</v>
      </c>
      <c r="S97">
        <v>32</v>
      </c>
      <c r="T97">
        <v>27</v>
      </c>
      <c r="U97">
        <f t="shared" si="52"/>
        <v>-5</v>
      </c>
      <c r="W97">
        <v>54.7</v>
      </c>
      <c r="Z97" s="2">
        <f t="shared" si="45"/>
        <v>0.25893714578580812</v>
      </c>
      <c r="AA97" s="2">
        <f t="shared" si="46"/>
        <v>0.41678917944197053</v>
      </c>
      <c r="AB97" s="2">
        <f t="shared" si="47"/>
        <v>0</v>
      </c>
      <c r="AC97" s="2">
        <f t="shared" si="48"/>
        <v>0.78142857142857147</v>
      </c>
      <c r="AD97" s="2"/>
      <c r="AE97" s="1" t="s">
        <v>176</v>
      </c>
      <c r="AF97" s="1" t="s">
        <v>278</v>
      </c>
      <c r="AG97" s="46">
        <f t="shared" si="53"/>
        <v>0.36428872416408753</v>
      </c>
      <c r="AI97" s="46"/>
      <c r="AJ97" s="46"/>
      <c r="AK97" s="46"/>
    </row>
    <row r="98" spans="1:37">
      <c r="A98" s="1" t="s">
        <v>124</v>
      </c>
      <c r="B98" s="1" t="s">
        <v>279</v>
      </c>
      <c r="C98" s="48">
        <v>99546</v>
      </c>
      <c r="D98" s="48">
        <f t="shared" si="49"/>
        <v>43800.24</v>
      </c>
      <c r="E98" s="48">
        <f t="shared" si="50"/>
        <v>55745.760000000002</v>
      </c>
      <c r="F98" s="2">
        <v>1.5376897960586482</v>
      </c>
      <c r="G98">
        <v>44</v>
      </c>
      <c r="H98">
        <f t="shared" si="51"/>
        <v>56</v>
      </c>
      <c r="I98" s="47">
        <v>1.7196734677572583</v>
      </c>
      <c r="J98" s="47">
        <v>1.3949345969401015</v>
      </c>
      <c r="K98" s="48">
        <f t="shared" si="42"/>
        <v>1530.708684384542</v>
      </c>
      <c r="L98" s="48">
        <f t="shared" si="43"/>
        <v>673.51182112919832</v>
      </c>
      <c r="M98" s="49">
        <f t="shared" si="44"/>
        <v>0.11834875419285761</v>
      </c>
      <c r="N98" s="59"/>
      <c r="O98" s="47">
        <v>99.701630473430228</v>
      </c>
      <c r="P98" s="47" t="e">
        <v>#N/A</v>
      </c>
      <c r="Q98" s="56"/>
      <c r="R98">
        <v>31</v>
      </c>
      <c r="S98">
        <v>22</v>
      </c>
      <c r="T98">
        <v>49</v>
      </c>
      <c r="U98">
        <f t="shared" si="52"/>
        <v>27</v>
      </c>
      <c r="W98" t="e">
        <v>#N/A</v>
      </c>
      <c r="Z98" s="2">
        <f t="shared" si="45"/>
        <v>5.9174377096428803E-2</v>
      </c>
      <c r="AA98" s="2">
        <f t="shared" si="46"/>
        <v>1</v>
      </c>
      <c r="AB98" s="2">
        <f t="shared" si="47"/>
        <v>0.67500000000000004</v>
      </c>
      <c r="AC98" s="2" t="e">
        <f t="shared" si="48"/>
        <v>#N/A</v>
      </c>
      <c r="AD98" s="2"/>
      <c r="AE98" s="1" t="s">
        <v>124</v>
      </c>
      <c r="AF98" s="1" t="s">
        <v>279</v>
      </c>
      <c r="AG98" s="46">
        <f t="shared" si="53"/>
        <v>0.57805812569880966</v>
      </c>
      <c r="AI98" s="46"/>
      <c r="AJ98" s="46"/>
      <c r="AK98" s="46"/>
    </row>
    <row r="99" spans="1:37">
      <c r="A99" s="1" t="s">
        <v>76</v>
      </c>
      <c r="B99" s="1" t="s">
        <v>280</v>
      </c>
      <c r="C99" s="48">
        <v>24346229</v>
      </c>
      <c r="D99" s="48">
        <f t="shared" si="49"/>
        <v>15435509.185999999</v>
      </c>
      <c r="E99" s="48">
        <f t="shared" si="50"/>
        <v>8910719.8139999993</v>
      </c>
      <c r="F99" s="2">
        <v>0.44479363889590162</v>
      </c>
      <c r="G99">
        <v>63.4</v>
      </c>
      <c r="H99">
        <f t="shared" si="51"/>
        <v>36.6</v>
      </c>
      <c r="I99" s="47">
        <v>1.0142352282515616</v>
      </c>
      <c r="J99" s="47">
        <v>-0.53400699772035565</v>
      </c>
      <c r="K99" s="48">
        <f t="shared" si="42"/>
        <v>108290.47790302928</v>
      </c>
      <c r="L99" s="48">
        <f t="shared" si="43"/>
        <v>68656.162990520563</v>
      </c>
      <c r="M99" s="49">
        <f t="shared" si="44"/>
        <v>1.2802377092648363</v>
      </c>
      <c r="N99" s="59"/>
      <c r="O99" s="47">
        <v>18.354865821787605</v>
      </c>
      <c r="P99" s="47">
        <v>11.636984931013341</v>
      </c>
      <c r="Q99" s="56"/>
      <c r="R99">
        <v>59</v>
      </c>
      <c r="S99">
        <v>60</v>
      </c>
      <c r="T99">
        <v>58</v>
      </c>
      <c r="U99">
        <f t="shared" si="52"/>
        <v>-2</v>
      </c>
      <c r="W99" t="e">
        <v>#N/A</v>
      </c>
      <c r="Z99" s="2">
        <f t="shared" si="45"/>
        <v>0.64011885463241813</v>
      </c>
      <c r="AA99" s="2">
        <f t="shared" si="46"/>
        <v>0.11935522602553722</v>
      </c>
      <c r="AB99" s="2">
        <f t="shared" si="47"/>
        <v>0</v>
      </c>
      <c r="AC99" s="2" t="e">
        <f t="shared" si="48"/>
        <v>#N/A</v>
      </c>
      <c r="AD99" s="2"/>
      <c r="AE99" s="1" t="s">
        <v>76</v>
      </c>
      <c r="AF99" s="1" t="s">
        <v>280</v>
      </c>
      <c r="AG99" s="46">
        <f t="shared" si="53"/>
        <v>0.25315802688598515</v>
      </c>
      <c r="AI99" s="46"/>
      <c r="AJ99" s="46"/>
      <c r="AK99" s="46"/>
    </row>
    <row r="100" spans="1:37">
      <c r="A100" s="1" t="s">
        <v>31</v>
      </c>
      <c r="B100" s="1" t="s">
        <v>281</v>
      </c>
      <c r="C100" s="48">
        <v>48875000</v>
      </c>
      <c r="D100" s="48">
        <f t="shared" si="49"/>
        <v>40028625.000000007</v>
      </c>
      <c r="E100" s="48">
        <f t="shared" si="50"/>
        <v>8846374.9999999981</v>
      </c>
      <c r="F100" s="2">
        <v>0.26223612167809768</v>
      </c>
      <c r="G100">
        <v>81.900000000000006</v>
      </c>
      <c r="H100">
        <f t="shared" si="51"/>
        <v>18.099999999999994</v>
      </c>
      <c r="I100" s="47">
        <v>0.53121782193948131</v>
      </c>
      <c r="J100" s="47">
        <v>-0.94590597574238444</v>
      </c>
      <c r="K100" s="48">
        <f t="shared" si="42"/>
        <v>128167.90447017024</v>
      </c>
      <c r="L100" s="48">
        <f t="shared" si="43"/>
        <v>104969.51376106944</v>
      </c>
      <c r="M100" s="49">
        <f t="shared" si="44"/>
        <v>1.0257233005892543</v>
      </c>
      <c r="N100" s="59"/>
      <c r="O100" s="47">
        <v>24.414321001533274</v>
      </c>
      <c r="P100" s="47">
        <v>47.952994373401538</v>
      </c>
      <c r="Q100" s="56"/>
      <c r="R100">
        <v>100</v>
      </c>
      <c r="S100">
        <v>100</v>
      </c>
      <c r="T100">
        <v>100</v>
      </c>
      <c r="U100">
        <f t="shared" si="52"/>
        <v>0</v>
      </c>
      <c r="W100">
        <v>0</v>
      </c>
      <c r="Z100" s="2">
        <f t="shared" si="45"/>
        <v>0.51286165029462716</v>
      </c>
      <c r="AA100" s="2">
        <f t="shared" si="46"/>
        <v>0.20591887145047535</v>
      </c>
      <c r="AB100" s="2">
        <f t="shared" si="47"/>
        <v>0</v>
      </c>
      <c r="AC100" s="2">
        <f t="shared" si="48"/>
        <v>0</v>
      </c>
      <c r="AD100" s="2"/>
      <c r="AE100" s="1" t="s">
        <v>31</v>
      </c>
      <c r="AF100" s="1" t="s">
        <v>281</v>
      </c>
      <c r="AG100" s="46">
        <f t="shared" si="53"/>
        <v>0.17969513043627564</v>
      </c>
      <c r="AI100" s="46"/>
      <c r="AJ100" s="46"/>
      <c r="AK100" s="46"/>
    </row>
    <row r="101" spans="1:37">
      <c r="A101" s="1" t="s">
        <v>3</v>
      </c>
      <c r="B101" s="1" t="s">
        <v>282</v>
      </c>
      <c r="C101" s="48">
        <v>2736732</v>
      </c>
      <c r="D101" s="48">
        <f t="shared" si="49"/>
        <v>2692944.2880000002</v>
      </c>
      <c r="E101" s="48">
        <f t="shared" si="50"/>
        <v>43787.711999999847</v>
      </c>
      <c r="F101" s="2">
        <v>3.3607360305249085</v>
      </c>
      <c r="G101">
        <v>98.4</v>
      </c>
      <c r="H101">
        <f t="shared" si="51"/>
        <v>1.5999999999999943</v>
      </c>
      <c r="I101" s="47">
        <v>3.3810632996263377</v>
      </c>
      <c r="J101" s="47">
        <v>2.1184840306682813</v>
      </c>
      <c r="K101" s="48">
        <f t="shared" si="42"/>
        <v>91974.338382904942</v>
      </c>
      <c r="L101" s="48">
        <f t="shared" si="43"/>
        <v>90502.748968778469</v>
      </c>
      <c r="M101" s="49">
        <f t="shared" si="44"/>
        <v>6.0484575154967739E-3</v>
      </c>
      <c r="N101" s="59"/>
      <c r="O101" s="47">
        <v>85.609049183567805</v>
      </c>
      <c r="P101" s="47">
        <v>84.239304396630715</v>
      </c>
      <c r="Q101" s="56"/>
      <c r="R101">
        <v>100</v>
      </c>
      <c r="S101">
        <v>100</v>
      </c>
      <c r="T101">
        <v>100</v>
      </c>
      <c r="U101">
        <f t="shared" si="52"/>
        <v>0</v>
      </c>
      <c r="W101">
        <v>0</v>
      </c>
      <c r="Z101" s="2">
        <f t="shared" si="45"/>
        <v>3.0242287577483869E-3</v>
      </c>
      <c r="AA101" s="2">
        <f t="shared" si="46"/>
        <v>1</v>
      </c>
      <c r="AB101" s="2">
        <f t="shared" si="47"/>
        <v>0</v>
      </c>
      <c r="AC101" s="2">
        <f t="shared" si="48"/>
        <v>0</v>
      </c>
      <c r="AD101" s="2"/>
      <c r="AE101" s="1" t="s">
        <v>3</v>
      </c>
      <c r="AF101" s="1" t="s">
        <v>282</v>
      </c>
      <c r="AG101" s="46">
        <f t="shared" si="53"/>
        <v>0.25075605718943711</v>
      </c>
      <c r="AI101" s="46"/>
      <c r="AJ101" s="46"/>
      <c r="AK101" s="46"/>
    </row>
    <row r="102" spans="1:37">
      <c r="A102" s="1" t="s">
        <v>144</v>
      </c>
      <c r="B102" s="1" t="s">
        <v>283</v>
      </c>
      <c r="C102" s="48">
        <v>5365167.4952957798</v>
      </c>
      <c r="D102" s="48">
        <f t="shared" si="49"/>
        <v>1963651.3032782555</v>
      </c>
      <c r="E102" s="48">
        <f t="shared" si="50"/>
        <v>3401516.192017524</v>
      </c>
      <c r="F102" s="2">
        <v>0.81996521317827253</v>
      </c>
      <c r="G102">
        <v>36.6</v>
      </c>
      <c r="H102">
        <f t="shared" si="51"/>
        <v>63.4</v>
      </c>
      <c r="I102" s="47">
        <v>1.2580820147345737</v>
      </c>
      <c r="J102" s="47">
        <v>0.5679171906447803</v>
      </c>
      <c r="K102" s="48">
        <f t="shared" si="42"/>
        <v>43992.507090173429</v>
      </c>
      <c r="L102" s="48">
        <f t="shared" si="43"/>
        <v>16101.257595003475</v>
      </c>
      <c r="M102" s="49">
        <f t="shared" si="44"/>
        <v>0.5343114494554152</v>
      </c>
      <c r="N102" s="59"/>
      <c r="O102" s="47">
        <v>43.981841305437626</v>
      </c>
      <c r="P102" s="47" t="e">
        <v>#N/A</v>
      </c>
      <c r="Q102" s="56"/>
      <c r="R102">
        <v>93</v>
      </c>
      <c r="S102">
        <v>93</v>
      </c>
      <c r="T102">
        <v>94</v>
      </c>
      <c r="U102">
        <f t="shared" si="52"/>
        <v>1</v>
      </c>
      <c r="W102">
        <v>0</v>
      </c>
      <c r="Z102" s="2">
        <f t="shared" si="45"/>
        <v>0.2671557247277076</v>
      </c>
      <c r="AA102" s="2">
        <f t="shared" si="46"/>
        <v>0.48545487579196611</v>
      </c>
      <c r="AB102" s="2">
        <f t="shared" si="47"/>
        <v>2.5000000000000001E-2</v>
      </c>
      <c r="AC102" s="2">
        <f t="shared" si="48"/>
        <v>0</v>
      </c>
      <c r="AD102" s="2"/>
      <c r="AE102" s="1" t="s">
        <v>144</v>
      </c>
      <c r="AF102" s="1" t="s">
        <v>283</v>
      </c>
      <c r="AG102" s="46">
        <f t="shared" si="53"/>
        <v>0.19440265012991845</v>
      </c>
      <c r="AI102" s="46"/>
      <c r="AJ102" s="46"/>
      <c r="AK102" s="46"/>
    </row>
    <row r="103" spans="1:37">
      <c r="A103" s="1" t="s">
        <v>154</v>
      </c>
      <c r="B103" s="1" t="s">
        <v>284</v>
      </c>
      <c r="C103" s="48">
        <v>6200894</v>
      </c>
      <c r="D103" s="48">
        <f t="shared" si="49"/>
        <v>2058696.8080000002</v>
      </c>
      <c r="E103" s="48">
        <f t="shared" si="50"/>
        <v>4142197.1919999998</v>
      </c>
      <c r="F103" s="2">
        <v>1.4416027017160586</v>
      </c>
      <c r="G103">
        <v>33.200000000000003</v>
      </c>
      <c r="H103">
        <f t="shared" si="51"/>
        <v>66.8</v>
      </c>
      <c r="I103" s="47">
        <v>4.9980780739445034</v>
      </c>
      <c r="J103" s="47">
        <v>-0.28001892439706366</v>
      </c>
      <c r="K103" s="48">
        <f t="shared" si="42"/>
        <v>89392.255434548992</v>
      </c>
      <c r="L103" s="48">
        <f t="shared" si="43"/>
        <v>29678.22880427026</v>
      </c>
      <c r="M103" s="49">
        <f t="shared" si="44"/>
        <v>2.4670287923259848</v>
      </c>
      <c r="N103" s="59"/>
      <c r="O103" s="47">
        <v>40.38826877124103</v>
      </c>
      <c r="P103" s="47" t="e">
        <v>#N/A</v>
      </c>
      <c r="Q103" s="56"/>
      <c r="R103">
        <v>53</v>
      </c>
      <c r="S103">
        <v>38</v>
      </c>
      <c r="T103">
        <v>86</v>
      </c>
      <c r="U103">
        <f t="shared" si="52"/>
        <v>48</v>
      </c>
      <c r="W103">
        <v>79.3</v>
      </c>
      <c r="Z103" s="2">
        <f t="shared" si="45"/>
        <v>1</v>
      </c>
      <c r="AA103" s="2">
        <f t="shared" si="46"/>
        <v>0.43411812530344329</v>
      </c>
      <c r="AB103" s="2">
        <f t="shared" si="47"/>
        <v>1</v>
      </c>
      <c r="AC103" s="2">
        <f t="shared" si="48"/>
        <v>1</v>
      </c>
      <c r="AD103" s="2"/>
      <c r="AE103" s="1" t="s">
        <v>154</v>
      </c>
      <c r="AF103" s="1" t="s">
        <v>284</v>
      </c>
      <c r="AG103" s="46">
        <f t="shared" si="53"/>
        <v>0.85852953132586085</v>
      </c>
      <c r="AI103" s="46"/>
      <c r="AJ103" s="46"/>
      <c r="AK103" s="46"/>
    </row>
    <row r="104" spans="1:37">
      <c r="A104" s="1" t="s">
        <v>61</v>
      </c>
      <c r="B104" s="1" t="s">
        <v>285</v>
      </c>
      <c r="C104" s="48">
        <v>2242916</v>
      </c>
      <c r="D104" s="48">
        <f t="shared" si="49"/>
        <v>1529668.7120000003</v>
      </c>
      <c r="E104" s="48">
        <f t="shared" si="50"/>
        <v>713247.28799999994</v>
      </c>
      <c r="F104" s="2">
        <v>-0.52995510614472496</v>
      </c>
      <c r="G104">
        <v>68.2</v>
      </c>
      <c r="H104">
        <f t="shared" si="51"/>
        <v>31.799999999999997</v>
      </c>
      <c r="I104" s="47">
        <v>-0.47128687330911495</v>
      </c>
      <c r="J104" s="47">
        <v>-0.65566222514988337</v>
      </c>
      <c r="K104" s="48">
        <f t="shared" si="42"/>
        <v>-11886.44786853702</v>
      </c>
      <c r="L104" s="48">
        <f t="shared" si="43"/>
        <v>-8106.557446342249</v>
      </c>
      <c r="M104" s="49">
        <f t="shared" si="44"/>
        <v>-0.11070415617353904</v>
      </c>
      <c r="N104" s="59"/>
      <c r="O104" s="47">
        <v>46.238491720204955</v>
      </c>
      <c r="P104" s="47" t="e">
        <v>#N/A</v>
      </c>
      <c r="Q104" s="56"/>
      <c r="R104">
        <v>78</v>
      </c>
      <c r="S104">
        <v>71</v>
      </c>
      <c r="T104">
        <v>82</v>
      </c>
      <c r="U104">
        <f t="shared" si="52"/>
        <v>11</v>
      </c>
      <c r="W104">
        <v>0</v>
      </c>
      <c r="Z104" s="2">
        <f t="shared" si="45"/>
        <v>0</v>
      </c>
      <c r="AA104" s="2">
        <f t="shared" si="46"/>
        <v>0.51769273886007083</v>
      </c>
      <c r="AB104" s="2">
        <f t="shared" si="47"/>
        <v>0.27500000000000002</v>
      </c>
      <c r="AC104" s="2">
        <f t="shared" si="48"/>
        <v>0</v>
      </c>
      <c r="AD104" s="2"/>
      <c r="AE104" s="1" t="s">
        <v>61</v>
      </c>
      <c r="AF104" s="1" t="s">
        <v>285</v>
      </c>
      <c r="AG104" s="46">
        <f t="shared" si="53"/>
        <v>0.19817318471501771</v>
      </c>
      <c r="AI104" s="46"/>
      <c r="AJ104" s="46"/>
      <c r="AK104" s="46"/>
    </row>
    <row r="105" spans="1:37">
      <c r="A105" s="1" t="s">
        <v>20</v>
      </c>
      <c r="B105" s="1" t="s">
        <v>286</v>
      </c>
      <c r="C105" s="48">
        <v>4227597</v>
      </c>
      <c r="D105" s="48">
        <f t="shared" si="49"/>
        <v>3686464.5840000003</v>
      </c>
      <c r="E105" s="48">
        <f t="shared" si="50"/>
        <v>541132.41599999985</v>
      </c>
      <c r="F105" s="2">
        <v>0.72661448359841196</v>
      </c>
      <c r="G105">
        <v>87.2</v>
      </c>
      <c r="H105">
        <f t="shared" si="51"/>
        <v>12.799999999999997</v>
      </c>
      <c r="I105" s="47">
        <v>0.86432393845714084</v>
      </c>
      <c r="J105" s="47">
        <v>-0.20651825929006903</v>
      </c>
      <c r="K105" s="48">
        <f t="shared" si="42"/>
        <v>30718.332110171956</v>
      </c>
      <c r="L105" s="48">
        <f t="shared" si="43"/>
        <v>26786.385600069949</v>
      </c>
      <c r="M105" s="49">
        <f t="shared" si="44"/>
        <v>0.18952203399077661</v>
      </c>
      <c r="N105" s="59"/>
      <c r="O105" s="47">
        <v>52.543296045944054</v>
      </c>
      <c r="P105" s="47">
        <v>45.817754152063216</v>
      </c>
      <c r="Q105" s="56"/>
      <c r="R105">
        <v>98</v>
      </c>
      <c r="S105">
        <v>87</v>
      </c>
      <c r="T105">
        <v>100</v>
      </c>
      <c r="U105">
        <f t="shared" si="52"/>
        <v>13</v>
      </c>
      <c r="W105">
        <v>53.1</v>
      </c>
      <c r="Z105" s="2">
        <f t="shared" si="45"/>
        <v>9.4761016995388303E-2</v>
      </c>
      <c r="AA105" s="2">
        <f t="shared" si="46"/>
        <v>0.6077613720849151</v>
      </c>
      <c r="AB105" s="2">
        <f t="shared" si="47"/>
        <v>0.32500000000000001</v>
      </c>
      <c r="AC105" s="2">
        <f t="shared" si="48"/>
        <v>0.75857142857142856</v>
      </c>
      <c r="AD105" s="2"/>
      <c r="AE105" s="1" t="s">
        <v>20</v>
      </c>
      <c r="AF105" s="1" t="s">
        <v>286</v>
      </c>
      <c r="AG105" s="46">
        <f t="shared" si="53"/>
        <v>0.44652345441293295</v>
      </c>
      <c r="AI105" s="46"/>
      <c r="AJ105" s="46"/>
      <c r="AK105" s="46"/>
    </row>
    <row r="106" spans="1:37">
      <c r="A106" s="1" t="s">
        <v>172</v>
      </c>
      <c r="B106" s="1" t="s">
        <v>287</v>
      </c>
      <c r="C106" s="48">
        <v>2171318</v>
      </c>
      <c r="D106" s="48">
        <f t="shared" si="49"/>
        <v>584084.5419999999</v>
      </c>
      <c r="E106" s="48">
        <f t="shared" si="50"/>
        <v>1587233.4579999999</v>
      </c>
      <c r="F106" s="2">
        <v>1.0238211285933871</v>
      </c>
      <c r="G106">
        <v>26.9</v>
      </c>
      <c r="H106">
        <f t="shared" si="51"/>
        <v>73.099999999999994</v>
      </c>
      <c r="I106" s="47">
        <v>3.7368737411973276</v>
      </c>
      <c r="J106" s="47">
        <v>4.3688043981421926E-2</v>
      </c>
      <c r="K106" s="48">
        <f t="shared" si="42"/>
        <v>22230.412452951361</v>
      </c>
      <c r="L106" s="48">
        <f t="shared" si="43"/>
        <v>5979.9809498439163</v>
      </c>
      <c r="M106" s="49">
        <f t="shared" si="44"/>
        <v>2.6499283291128823</v>
      </c>
      <c r="N106" s="59"/>
      <c r="O106" s="47">
        <v>39.102064952054569</v>
      </c>
      <c r="P106" s="47" t="e">
        <v>#N/A</v>
      </c>
      <c r="Q106" s="56"/>
      <c r="R106">
        <v>29</v>
      </c>
      <c r="S106">
        <v>25</v>
      </c>
      <c r="T106">
        <v>40</v>
      </c>
      <c r="U106">
        <f t="shared" si="52"/>
        <v>15</v>
      </c>
      <c r="W106">
        <v>53.7</v>
      </c>
      <c r="Z106" s="2">
        <f t="shared" si="45"/>
        <v>1</v>
      </c>
      <c r="AA106" s="2">
        <f t="shared" si="46"/>
        <v>0.415743785029351</v>
      </c>
      <c r="AB106" s="2">
        <f t="shared" si="47"/>
        <v>0.375</v>
      </c>
      <c r="AC106" s="2">
        <f t="shared" si="48"/>
        <v>0.76714285714285724</v>
      </c>
      <c r="AD106" s="2"/>
      <c r="AE106" s="1" t="s">
        <v>172</v>
      </c>
      <c r="AF106" s="1" t="s">
        <v>287</v>
      </c>
      <c r="AG106" s="46">
        <f t="shared" si="53"/>
        <v>0.63947166054305205</v>
      </c>
      <c r="AI106" s="46"/>
      <c r="AJ106" s="46"/>
      <c r="AK106" s="46"/>
    </row>
    <row r="107" spans="1:37">
      <c r="A107" s="1" t="s">
        <v>88</v>
      </c>
      <c r="B107" s="1" t="s">
        <v>288</v>
      </c>
      <c r="C107" s="48">
        <v>3994122</v>
      </c>
      <c r="D107" s="48">
        <f t="shared" si="49"/>
        <v>2456385.0299999998</v>
      </c>
      <c r="E107" s="48">
        <f t="shared" si="50"/>
        <v>1537736.97</v>
      </c>
      <c r="F107" s="2">
        <v>4.0412132359336121</v>
      </c>
      <c r="G107">
        <v>61.5</v>
      </c>
      <c r="H107">
        <f t="shared" si="51"/>
        <v>38.5</v>
      </c>
      <c r="I107" s="47">
        <v>5.1530624922589796</v>
      </c>
      <c r="J107" s="47">
        <v>2.2903961136680318</v>
      </c>
      <c r="K107" s="48">
        <f t="shared" ref="K107:K138" si="54">C107*F107/100</f>
        <v>161410.98692333631</v>
      </c>
      <c r="L107" s="48">
        <f t="shared" ref="L107:L138" si="55">D107*F107/100</f>
        <v>99267.756957851816</v>
      </c>
      <c r="M107" s="49">
        <f t="shared" ref="M107:M138" si="56">(D107*I107/100-L107)/L107</f>
        <v>0.27512758951669253</v>
      </c>
      <c r="N107" s="59"/>
      <c r="O107" s="47">
        <v>33.686290621955145</v>
      </c>
      <c r="P107" s="47">
        <v>29.973181571562058</v>
      </c>
      <c r="Q107" s="56"/>
      <c r="R107">
        <v>17</v>
      </c>
      <c r="S107">
        <v>4</v>
      </c>
      <c r="T107">
        <v>25</v>
      </c>
      <c r="U107">
        <f t="shared" si="52"/>
        <v>21</v>
      </c>
      <c r="W107">
        <v>68.3</v>
      </c>
      <c r="Z107" s="2">
        <f t="shared" ref="Z107:Z138" si="57">MAX(0,MIN(1,(M107-Z$8)/(Z$9-Z$8)))</f>
        <v>0.13756379475834626</v>
      </c>
      <c r="AA107" s="2">
        <f t="shared" ref="AA107:AA138" si="58">MAX(0,MIN(1,(O107-AA$8)/(AA$9-AA$8)))</f>
        <v>0.33837558031364495</v>
      </c>
      <c r="AB107" s="2">
        <f t="shared" ref="AB107:AB138" si="59">MAX(0,MIN(1,(U107-AB$8)/(AB$9-AB$8)))</f>
        <v>0.52500000000000002</v>
      </c>
      <c r="AC107" s="2">
        <f t="shared" ref="AC107:AC138" si="60">MAX(0,MIN(1,(W107-AC$8)/(AC$9-AC$8)))</f>
        <v>0.97571428571428565</v>
      </c>
      <c r="AD107" s="2"/>
      <c r="AE107" s="1" t="s">
        <v>88</v>
      </c>
      <c r="AF107" s="1" t="s">
        <v>288</v>
      </c>
      <c r="AG107" s="46">
        <f t="shared" si="53"/>
        <v>0.49416341519656926</v>
      </c>
      <c r="AI107" s="46"/>
      <c r="AJ107" s="46"/>
      <c r="AK107" s="46"/>
    </row>
    <row r="108" spans="1:37">
      <c r="A108" s="1" t="s">
        <v>34</v>
      </c>
      <c r="B108" s="1" t="s">
        <v>289</v>
      </c>
      <c r="C108" s="48">
        <v>6355112</v>
      </c>
      <c r="D108" s="48">
        <f t="shared" si="49"/>
        <v>4950632.2479999997</v>
      </c>
      <c r="E108" s="48">
        <f t="shared" si="50"/>
        <v>1404479.7519999996</v>
      </c>
      <c r="F108" s="2">
        <v>1.4653395682191879</v>
      </c>
      <c r="G108">
        <v>77.900000000000006</v>
      </c>
      <c r="H108">
        <f t="shared" si="51"/>
        <v>22.099999999999994</v>
      </c>
      <c r="I108" s="47">
        <v>1.6966724049655189</v>
      </c>
      <c r="J108" s="47">
        <v>0.65415891468158538</v>
      </c>
      <c r="K108" s="48">
        <f t="shared" si="54"/>
        <v>93123.970740645789</v>
      </c>
      <c r="L108" s="48">
        <f t="shared" si="55"/>
        <v>72543.573206963076</v>
      </c>
      <c r="M108" s="49">
        <f t="shared" si="56"/>
        <v>0.15786978101428534</v>
      </c>
      <c r="N108" s="59"/>
      <c r="O108" s="47">
        <v>22.372011179934447</v>
      </c>
      <c r="P108" s="47">
        <v>17.427796709168934</v>
      </c>
      <c r="Q108" s="56"/>
      <c r="R108">
        <v>97</v>
      </c>
      <c r="S108">
        <v>96</v>
      </c>
      <c r="T108">
        <v>97</v>
      </c>
      <c r="U108">
        <f t="shared" si="52"/>
        <v>1</v>
      </c>
      <c r="W108" t="e">
        <v>#N/A</v>
      </c>
      <c r="Z108" s="2">
        <f t="shared" si="57"/>
        <v>7.8934890507142669E-2</v>
      </c>
      <c r="AA108" s="2">
        <f t="shared" si="58"/>
        <v>0.17674301685620639</v>
      </c>
      <c r="AB108" s="2">
        <f t="shared" si="59"/>
        <v>2.5000000000000001E-2</v>
      </c>
      <c r="AC108" s="2" t="e">
        <f t="shared" si="60"/>
        <v>#N/A</v>
      </c>
      <c r="AD108" s="2"/>
      <c r="AE108" s="1" t="s">
        <v>34</v>
      </c>
      <c r="AF108" s="1" t="s">
        <v>289</v>
      </c>
      <c r="AG108" s="46">
        <f t="shared" si="53"/>
        <v>9.3559302454449697E-2</v>
      </c>
      <c r="AI108" s="46"/>
      <c r="AJ108" s="46"/>
      <c r="AK108" s="46"/>
    </row>
    <row r="109" spans="1:37">
      <c r="A109" s="1" t="s">
        <v>187</v>
      </c>
      <c r="B109" s="1" t="s">
        <v>290</v>
      </c>
      <c r="C109" s="48">
        <v>36032</v>
      </c>
      <c r="D109" s="48">
        <f t="shared" si="49"/>
        <v>5116.5439999999999</v>
      </c>
      <c r="E109" s="48">
        <f t="shared" si="50"/>
        <v>30915.456000000002</v>
      </c>
      <c r="F109" s="2">
        <v>0.72419680332904268</v>
      </c>
      <c r="G109">
        <v>14.2</v>
      </c>
      <c r="H109">
        <f t="shared" si="51"/>
        <v>85.8</v>
      </c>
      <c r="I109" s="47">
        <v>0.3025517654355554</v>
      </c>
      <c r="J109" s="47">
        <v>0.79415133573760066</v>
      </c>
      <c r="K109" s="48">
        <f t="shared" si="54"/>
        <v>260.94259217552064</v>
      </c>
      <c r="L109" s="48">
        <f t="shared" si="55"/>
        <v>37.053848088923935</v>
      </c>
      <c r="M109" s="49">
        <f t="shared" si="56"/>
        <v>-0.58222438424919509</v>
      </c>
      <c r="N109" s="59"/>
      <c r="O109" s="47">
        <v>100</v>
      </c>
      <c r="P109" s="47" t="e">
        <v>#N/A</v>
      </c>
      <c r="Q109" s="56"/>
      <c r="R109" s="54">
        <v>100</v>
      </c>
      <c r="S109" s="54">
        <v>100</v>
      </c>
      <c r="T109" t="e">
        <v>#N/A</v>
      </c>
      <c r="U109" t="e">
        <f t="shared" si="52"/>
        <v>#N/A</v>
      </c>
      <c r="W109">
        <v>0</v>
      </c>
      <c r="Z109" s="2">
        <f t="shared" si="57"/>
        <v>0</v>
      </c>
      <c r="AA109" s="2">
        <f t="shared" si="58"/>
        <v>1</v>
      </c>
      <c r="AB109" s="2" t="e">
        <f t="shared" si="59"/>
        <v>#N/A</v>
      </c>
      <c r="AC109" s="2">
        <f t="shared" si="60"/>
        <v>0</v>
      </c>
      <c r="AD109" s="2"/>
      <c r="AE109" s="1" t="s">
        <v>187</v>
      </c>
      <c r="AF109" s="1" t="s">
        <v>290</v>
      </c>
      <c r="AG109" s="46">
        <f t="shared" si="53"/>
        <v>0.33333333333333331</v>
      </c>
      <c r="AI109" s="46"/>
      <c r="AJ109" s="46"/>
      <c r="AK109" s="46"/>
    </row>
    <row r="110" spans="1:37">
      <c r="A110" s="1" t="s">
        <v>67</v>
      </c>
      <c r="B110" s="1" t="s">
        <v>291</v>
      </c>
      <c r="C110" s="48">
        <v>3320656</v>
      </c>
      <c r="D110" s="48">
        <f t="shared" si="49"/>
        <v>2231480.8320000004</v>
      </c>
      <c r="E110" s="48">
        <f t="shared" si="50"/>
        <v>1089175.1680000001</v>
      </c>
      <c r="F110" s="2">
        <v>-0.56455657002222082</v>
      </c>
      <c r="G110">
        <v>67.2</v>
      </c>
      <c r="H110">
        <f t="shared" si="51"/>
        <v>32.799999999999997</v>
      </c>
      <c r="I110" s="47">
        <v>-0.38582551261261838</v>
      </c>
      <c r="J110" s="47">
        <v>-0.92974261189937624</v>
      </c>
      <c r="K110" s="48">
        <f t="shared" si="54"/>
        <v>-18746.981615837078</v>
      </c>
      <c r="L110" s="48">
        <f t="shared" si="55"/>
        <v>-12597.971645842517</v>
      </c>
      <c r="M110" s="49">
        <f t="shared" si="56"/>
        <v>-0.31658662196167103</v>
      </c>
      <c r="N110" s="59"/>
      <c r="O110" s="47">
        <v>24.37249556972608</v>
      </c>
      <c r="P110" s="47" t="e">
        <v>#N/A</v>
      </c>
      <c r="Q110" s="56"/>
      <c r="R110" s="54">
        <v>100</v>
      </c>
      <c r="S110" s="54">
        <v>100</v>
      </c>
      <c r="T110" t="e">
        <v>#N/A</v>
      </c>
      <c r="U110" t="e">
        <f t="shared" si="52"/>
        <v>#N/A</v>
      </c>
      <c r="W110">
        <v>0</v>
      </c>
      <c r="Z110" s="2">
        <f t="shared" si="57"/>
        <v>0</v>
      </c>
      <c r="AA110" s="2">
        <f t="shared" si="58"/>
        <v>0.20532136528180114</v>
      </c>
      <c r="AB110" s="2" t="e">
        <f t="shared" si="59"/>
        <v>#N/A</v>
      </c>
      <c r="AC110" s="2">
        <f t="shared" si="60"/>
        <v>0</v>
      </c>
      <c r="AD110" s="2"/>
      <c r="AE110" s="1" t="s">
        <v>67</v>
      </c>
      <c r="AF110" s="1" t="s">
        <v>291</v>
      </c>
      <c r="AG110" s="46">
        <f t="shared" si="53"/>
        <v>6.8440455093933719E-2</v>
      </c>
      <c r="AI110" s="46"/>
      <c r="AJ110" s="46"/>
      <c r="AK110" s="46"/>
    </row>
    <row r="111" spans="1:37">
      <c r="A111" s="1" t="s">
        <v>29</v>
      </c>
      <c r="B111" s="1" t="s">
        <v>292</v>
      </c>
      <c r="C111" s="48">
        <v>505831</v>
      </c>
      <c r="D111" s="48">
        <f t="shared" si="49"/>
        <v>415793.08200000005</v>
      </c>
      <c r="E111" s="48">
        <f t="shared" si="50"/>
        <v>90037.917999999991</v>
      </c>
      <c r="F111" s="2">
        <v>1.6038382315612887</v>
      </c>
      <c r="G111">
        <v>82.2</v>
      </c>
      <c r="H111">
        <f t="shared" si="51"/>
        <v>17.799999999999997</v>
      </c>
      <c r="I111" s="47">
        <v>1.4579592851953309</v>
      </c>
      <c r="J111" s="47">
        <v>2.2802782404153725</v>
      </c>
      <c r="K111" s="48">
        <f t="shared" si="54"/>
        <v>8112.7109650887814</v>
      </c>
      <c r="L111" s="48">
        <f t="shared" si="55"/>
        <v>6668.6484133029799</v>
      </c>
      <c r="M111" s="49">
        <f t="shared" si="56"/>
        <v>-9.0956147256789577E-2</v>
      </c>
      <c r="N111" s="59"/>
      <c r="O111" s="47">
        <v>21.917883604356529</v>
      </c>
      <c r="P111" s="47" t="e">
        <v>#N/A</v>
      </c>
      <c r="Q111" s="56"/>
      <c r="R111">
        <v>100</v>
      </c>
      <c r="S111">
        <v>100</v>
      </c>
      <c r="T111">
        <v>100</v>
      </c>
      <c r="U111">
        <f t="shared" si="52"/>
        <v>0</v>
      </c>
      <c r="W111">
        <v>0</v>
      </c>
      <c r="Z111" s="2">
        <f t="shared" si="57"/>
        <v>0</v>
      </c>
      <c r="AA111" s="2">
        <f t="shared" si="58"/>
        <v>0.17025548006223612</v>
      </c>
      <c r="AB111" s="2">
        <f t="shared" si="59"/>
        <v>0</v>
      </c>
      <c r="AC111" s="2">
        <f t="shared" si="60"/>
        <v>0</v>
      </c>
      <c r="AD111" s="2"/>
      <c r="AE111" s="1" t="s">
        <v>29</v>
      </c>
      <c r="AF111" s="1" t="s">
        <v>292</v>
      </c>
      <c r="AG111" s="46">
        <f t="shared" si="53"/>
        <v>4.256387001555903E-2</v>
      </c>
      <c r="AI111" s="46"/>
      <c r="AJ111" s="46"/>
      <c r="AK111" s="46"/>
    </row>
    <row r="112" spans="1:37">
      <c r="A112" s="1" t="s">
        <v>158</v>
      </c>
      <c r="B112" s="1" t="s">
        <v>293</v>
      </c>
      <c r="C112" s="48">
        <v>20713819</v>
      </c>
      <c r="D112" s="48">
        <f t="shared" si="49"/>
        <v>6255573.3379999995</v>
      </c>
      <c r="E112" s="48">
        <f t="shared" si="50"/>
        <v>14458245.662</v>
      </c>
      <c r="F112" s="2">
        <v>2.8880475689134255</v>
      </c>
      <c r="G112">
        <v>30.2</v>
      </c>
      <c r="H112">
        <f t="shared" si="51"/>
        <v>69.8</v>
      </c>
      <c r="I112" s="47">
        <v>4.0202607958913994</v>
      </c>
      <c r="J112" s="47">
        <v>2.4021240745429235</v>
      </c>
      <c r="K112" s="48">
        <f t="shared" si="54"/>
        <v>598224.94605862722</v>
      </c>
      <c r="L112" s="48">
        <f t="shared" si="55"/>
        <v>180663.93370970539</v>
      </c>
      <c r="M112" s="49">
        <f t="shared" si="56"/>
        <v>0.39203413377430923</v>
      </c>
      <c r="N112" s="59"/>
      <c r="O112" s="47">
        <v>30.037422606586343</v>
      </c>
      <c r="P112" s="47">
        <v>9.0713016271890758</v>
      </c>
      <c r="Q112" s="56"/>
      <c r="R112">
        <v>11</v>
      </c>
      <c r="S112">
        <v>10</v>
      </c>
      <c r="T112">
        <v>15</v>
      </c>
      <c r="U112">
        <f t="shared" si="52"/>
        <v>5</v>
      </c>
      <c r="W112">
        <v>76.2</v>
      </c>
      <c r="Z112" s="2">
        <f t="shared" si="57"/>
        <v>0.19601706688715462</v>
      </c>
      <c r="AA112" s="2">
        <f t="shared" si="58"/>
        <v>0.28624889437980489</v>
      </c>
      <c r="AB112" s="2">
        <f t="shared" si="59"/>
        <v>0.125</v>
      </c>
      <c r="AC112" s="2">
        <f t="shared" si="60"/>
        <v>1</v>
      </c>
      <c r="AD112" s="2"/>
      <c r="AE112" s="1" t="s">
        <v>158</v>
      </c>
      <c r="AF112" s="1" t="s">
        <v>293</v>
      </c>
      <c r="AG112" s="46">
        <f t="shared" si="53"/>
        <v>0.40181649031673988</v>
      </c>
      <c r="AI112" s="46"/>
      <c r="AJ112" s="46"/>
      <c r="AK112" s="46"/>
    </row>
    <row r="113" spans="1:37">
      <c r="A113" s="1" t="s">
        <v>180</v>
      </c>
      <c r="B113" s="1" t="s">
        <v>294</v>
      </c>
      <c r="C113" s="48">
        <v>14900841</v>
      </c>
      <c r="D113" s="48">
        <f t="shared" si="49"/>
        <v>2950366.5180000002</v>
      </c>
      <c r="E113" s="48">
        <f t="shared" si="50"/>
        <v>11950474.482000001</v>
      </c>
      <c r="F113" s="2">
        <v>3.1256946162921864</v>
      </c>
      <c r="G113">
        <v>19.8</v>
      </c>
      <c r="H113">
        <f t="shared" si="51"/>
        <v>80.2</v>
      </c>
      <c r="I113" s="47">
        <v>5.6833787952571697</v>
      </c>
      <c r="J113" s="47">
        <v>2.504188575948787</v>
      </c>
      <c r="K113" s="48">
        <f t="shared" si="54"/>
        <v>465754.78491925879</v>
      </c>
      <c r="L113" s="48">
        <f t="shared" si="55"/>
        <v>92219.447414013237</v>
      </c>
      <c r="M113" s="49">
        <f t="shared" si="56"/>
        <v>0.81827705292559993</v>
      </c>
      <c r="N113" s="59"/>
      <c r="O113" s="47">
        <v>29.305104797152527</v>
      </c>
      <c r="P113" s="47" t="e">
        <v>#N/A</v>
      </c>
      <c r="Q113" s="56"/>
      <c r="R113">
        <v>56</v>
      </c>
      <c r="S113">
        <v>57</v>
      </c>
      <c r="T113">
        <v>51</v>
      </c>
      <c r="U113">
        <f t="shared" si="52"/>
        <v>-6</v>
      </c>
      <c r="W113">
        <v>68.900000000000006</v>
      </c>
      <c r="Z113" s="2">
        <f t="shared" si="57"/>
        <v>0.40913852646279997</v>
      </c>
      <c r="AA113" s="2">
        <f t="shared" si="58"/>
        <v>0.27578721138789325</v>
      </c>
      <c r="AB113" s="2">
        <f t="shared" si="59"/>
        <v>0</v>
      </c>
      <c r="AC113" s="2">
        <f t="shared" si="60"/>
        <v>0.98428571428571432</v>
      </c>
      <c r="AD113" s="2"/>
      <c r="AE113" s="1" t="s">
        <v>180</v>
      </c>
      <c r="AF113" s="1" t="s">
        <v>294</v>
      </c>
      <c r="AG113" s="46">
        <f t="shared" si="53"/>
        <v>0.41730286303410191</v>
      </c>
      <c r="AI113" s="46"/>
      <c r="AJ113" s="46"/>
      <c r="AK113" s="46"/>
    </row>
    <row r="114" spans="1:37">
      <c r="A114" s="1" t="s">
        <v>55</v>
      </c>
      <c r="B114" s="1" t="s">
        <v>295</v>
      </c>
      <c r="C114" s="48">
        <v>28401017</v>
      </c>
      <c r="D114" s="48">
        <f t="shared" si="49"/>
        <v>20505534.274</v>
      </c>
      <c r="E114" s="48">
        <f t="shared" si="50"/>
        <v>7895482.7259999989</v>
      </c>
      <c r="F114" s="2">
        <v>1.6029400814387529</v>
      </c>
      <c r="G114">
        <v>72.2</v>
      </c>
      <c r="H114">
        <f t="shared" si="51"/>
        <v>27.799999999999997</v>
      </c>
      <c r="I114" s="47">
        <v>2.8853663550614121</v>
      </c>
      <c r="J114" s="47">
        <v>-1.6528322669044522</v>
      </c>
      <c r="K114" s="48">
        <f t="shared" si="54"/>
        <v>455251.28502923407</v>
      </c>
      <c r="L114" s="48">
        <f t="shared" si="55"/>
        <v>328691.42779110698</v>
      </c>
      <c r="M114" s="49">
        <f t="shared" si="56"/>
        <v>0.80004629522495363</v>
      </c>
      <c r="N114" s="59"/>
      <c r="O114" s="47">
        <v>7.4085658032633033</v>
      </c>
      <c r="P114" s="47">
        <v>9.3207542532719874</v>
      </c>
      <c r="Q114" s="56"/>
      <c r="R114">
        <v>96</v>
      </c>
      <c r="S114">
        <v>95</v>
      </c>
      <c r="T114">
        <v>96</v>
      </c>
      <c r="U114">
        <f t="shared" si="52"/>
        <v>1</v>
      </c>
      <c r="W114">
        <v>0</v>
      </c>
      <c r="Z114" s="2">
        <f t="shared" si="57"/>
        <v>0.40002314761247681</v>
      </c>
      <c r="AA114" s="2">
        <f t="shared" si="58"/>
        <v>0</v>
      </c>
      <c r="AB114" s="2">
        <f t="shared" si="59"/>
        <v>2.5000000000000001E-2</v>
      </c>
      <c r="AC114" s="2">
        <f t="shared" si="60"/>
        <v>0</v>
      </c>
      <c r="AD114" s="2"/>
      <c r="AE114" s="1" t="s">
        <v>55</v>
      </c>
      <c r="AF114" s="1" t="s">
        <v>295</v>
      </c>
      <c r="AG114" s="46">
        <f t="shared" si="53"/>
        <v>0.10625578690311921</v>
      </c>
      <c r="AI114" s="46"/>
      <c r="AJ114" s="46"/>
      <c r="AK114" s="46"/>
    </row>
    <row r="115" spans="1:37">
      <c r="A115" s="1" t="s">
        <v>137</v>
      </c>
      <c r="B115" s="1" t="s">
        <v>296</v>
      </c>
      <c r="C115" s="48">
        <v>315885</v>
      </c>
      <c r="D115" s="48">
        <f t="shared" si="49"/>
        <v>127933.425</v>
      </c>
      <c r="E115" s="48">
        <f t="shared" si="50"/>
        <v>187951.57500000001</v>
      </c>
      <c r="F115" s="2">
        <v>1.3211924045464505</v>
      </c>
      <c r="G115">
        <v>40.5</v>
      </c>
      <c r="H115">
        <f t="shared" si="51"/>
        <v>59.5</v>
      </c>
      <c r="I115" s="47">
        <v>4.6347485641563324</v>
      </c>
      <c r="J115" s="47">
        <v>-0.87304456521702134</v>
      </c>
      <c r="K115" s="48">
        <f t="shared" si="54"/>
        <v>4173.4486271015548</v>
      </c>
      <c r="L115" s="48">
        <f t="shared" si="55"/>
        <v>1690.2466939761298</v>
      </c>
      <c r="M115" s="49">
        <f t="shared" si="56"/>
        <v>2.5080042454129807</v>
      </c>
      <c r="N115" s="59"/>
      <c r="O115" s="47">
        <v>98.424471430049536</v>
      </c>
      <c r="P115" s="47" t="e">
        <v>#N/A</v>
      </c>
      <c r="Q115" s="56"/>
      <c r="R115">
        <v>98</v>
      </c>
      <c r="S115">
        <v>96</v>
      </c>
      <c r="T115">
        <v>100</v>
      </c>
      <c r="U115">
        <f t="shared" si="52"/>
        <v>4</v>
      </c>
      <c r="W115">
        <v>0</v>
      </c>
      <c r="Z115" s="2">
        <f t="shared" si="57"/>
        <v>1</v>
      </c>
      <c r="AA115" s="2">
        <f t="shared" si="58"/>
        <v>1</v>
      </c>
      <c r="AB115" s="2">
        <f t="shared" si="59"/>
        <v>0.1</v>
      </c>
      <c r="AC115" s="2">
        <f t="shared" si="60"/>
        <v>0</v>
      </c>
      <c r="AD115" s="2"/>
      <c r="AE115" s="1" t="s">
        <v>137</v>
      </c>
      <c r="AF115" s="1" t="s">
        <v>296</v>
      </c>
      <c r="AG115" s="46">
        <f t="shared" si="53"/>
        <v>0.52500000000000002</v>
      </c>
      <c r="AI115" s="46"/>
      <c r="AJ115" s="46"/>
      <c r="AK115" s="46"/>
    </row>
    <row r="116" spans="1:37">
      <c r="A116" s="1" t="s">
        <v>152</v>
      </c>
      <c r="B116" s="1" t="s">
        <v>297</v>
      </c>
      <c r="C116" s="48">
        <v>15369809</v>
      </c>
      <c r="D116" s="48">
        <f t="shared" si="49"/>
        <v>5118146.3969999989</v>
      </c>
      <c r="E116" s="48">
        <f t="shared" si="50"/>
        <v>10251662.603</v>
      </c>
      <c r="F116" s="2">
        <v>3.0385543888005122</v>
      </c>
      <c r="G116">
        <v>33.299999999999997</v>
      </c>
      <c r="H116">
        <f t="shared" si="51"/>
        <v>66.7</v>
      </c>
      <c r="I116" s="47">
        <v>4.73453689314141</v>
      </c>
      <c r="J116" s="47">
        <v>2.2024790497459708</v>
      </c>
      <c r="K116" s="48">
        <f t="shared" si="54"/>
        <v>467020.00591975613</v>
      </c>
      <c r="L116" s="48">
        <f t="shared" si="55"/>
        <v>155517.66197127875</v>
      </c>
      <c r="M116" s="49">
        <f t="shared" si="56"/>
        <v>0.55815440085322865</v>
      </c>
      <c r="N116" s="59"/>
      <c r="O116" s="47">
        <v>33.18623322294156</v>
      </c>
      <c r="P116" s="47">
        <v>11.051015663239538</v>
      </c>
      <c r="Q116" s="56"/>
      <c r="R116">
        <v>36</v>
      </c>
      <c r="S116">
        <v>32</v>
      </c>
      <c r="T116">
        <v>45</v>
      </c>
      <c r="U116">
        <f t="shared" si="52"/>
        <v>13</v>
      </c>
      <c r="W116">
        <v>65.900000000000006</v>
      </c>
      <c r="Z116" s="2">
        <f t="shared" si="57"/>
        <v>0.27907720042661432</v>
      </c>
      <c r="AA116" s="2">
        <f t="shared" si="58"/>
        <v>0.33123190318487944</v>
      </c>
      <c r="AB116" s="2">
        <f t="shared" si="59"/>
        <v>0.32500000000000001</v>
      </c>
      <c r="AC116" s="2">
        <f t="shared" si="60"/>
        <v>0.9414285714285715</v>
      </c>
      <c r="AD116" s="2"/>
      <c r="AE116" s="1" t="s">
        <v>152</v>
      </c>
      <c r="AF116" s="1" t="s">
        <v>297</v>
      </c>
      <c r="AG116" s="46">
        <f t="shared" si="53"/>
        <v>0.46918441876001632</v>
      </c>
      <c r="AI116" s="46"/>
      <c r="AJ116" s="46"/>
      <c r="AK116" s="46"/>
    </row>
    <row r="117" spans="1:37">
      <c r="A117" s="1" t="s">
        <v>8</v>
      </c>
      <c r="B117" s="1" t="s">
        <v>298</v>
      </c>
      <c r="C117" s="48">
        <v>412961</v>
      </c>
      <c r="D117" s="48">
        <f t="shared" si="49"/>
        <v>391074.06700000004</v>
      </c>
      <c r="E117" s="48">
        <f t="shared" si="50"/>
        <v>21886.93299999999</v>
      </c>
      <c r="F117" s="2">
        <v>-7.9636821592400736E-2</v>
      </c>
      <c r="G117">
        <v>94.7</v>
      </c>
      <c r="H117">
        <f t="shared" si="51"/>
        <v>5.2999999999999972</v>
      </c>
      <c r="I117" s="47">
        <v>0.15294600870016417</v>
      </c>
      <c r="J117" s="47">
        <v>-4.1467407946851358</v>
      </c>
      <c r="K117" s="48">
        <f t="shared" si="54"/>
        <v>-328.86901481619401</v>
      </c>
      <c r="L117" s="48">
        <f t="shared" si="55"/>
        <v>-311.43895703093574</v>
      </c>
      <c r="M117" s="49">
        <f t="shared" si="56"/>
        <v>-2.9205438595098188</v>
      </c>
      <c r="N117" s="59"/>
      <c r="O117" s="47">
        <v>51.035863904417546</v>
      </c>
      <c r="P117" s="47" t="e">
        <v>#N/A</v>
      </c>
      <c r="Q117" s="56"/>
      <c r="R117">
        <v>100</v>
      </c>
      <c r="S117">
        <v>100</v>
      </c>
      <c r="T117">
        <v>100</v>
      </c>
      <c r="U117">
        <f t="shared" si="52"/>
        <v>0</v>
      </c>
      <c r="W117">
        <v>0</v>
      </c>
      <c r="Z117" s="2">
        <f t="shared" si="57"/>
        <v>0</v>
      </c>
      <c r="AA117" s="2">
        <f t="shared" si="58"/>
        <v>0.58622662720596497</v>
      </c>
      <c r="AB117" s="2">
        <f t="shared" si="59"/>
        <v>0</v>
      </c>
      <c r="AC117" s="2">
        <f t="shared" si="60"/>
        <v>0</v>
      </c>
      <c r="AD117" s="2"/>
      <c r="AE117" s="1" t="s">
        <v>8</v>
      </c>
      <c r="AF117" s="1" t="s">
        <v>298</v>
      </c>
      <c r="AG117" s="46">
        <f t="shared" si="53"/>
        <v>0.14655665680149124</v>
      </c>
      <c r="AI117" s="46"/>
      <c r="AJ117" s="46"/>
      <c r="AK117" s="46"/>
    </row>
    <row r="118" spans="1:37">
      <c r="A118" s="1" t="s">
        <v>53</v>
      </c>
      <c r="B118" s="1" t="s">
        <v>299</v>
      </c>
      <c r="C118" s="48">
        <v>54038</v>
      </c>
      <c r="D118" s="48">
        <f t="shared" si="49"/>
        <v>38799.284</v>
      </c>
      <c r="E118" s="48">
        <f t="shared" si="50"/>
        <v>15238.716</v>
      </c>
      <c r="F118" s="2">
        <v>1.1951665991137339</v>
      </c>
      <c r="G118">
        <v>71.8</v>
      </c>
      <c r="H118">
        <f t="shared" si="51"/>
        <v>28.200000000000003</v>
      </c>
      <c r="I118" s="47">
        <v>1.6978205477072306</v>
      </c>
      <c r="J118" s="47">
        <v>-7.3349353617863502E-2</v>
      </c>
      <c r="K118" s="48">
        <f t="shared" si="54"/>
        <v>645.84412682907953</v>
      </c>
      <c r="L118" s="48">
        <f t="shared" si="55"/>
        <v>463.71608306327909</v>
      </c>
      <c r="M118" s="49">
        <f t="shared" si="56"/>
        <v>0.42057228587732909</v>
      </c>
      <c r="N118" s="59"/>
      <c r="O118" s="47">
        <v>77.599015725391652</v>
      </c>
      <c r="P118" s="47" t="e">
        <v>#N/A</v>
      </c>
      <c r="Q118" s="56"/>
      <c r="R118">
        <v>73</v>
      </c>
      <c r="S118">
        <v>53</v>
      </c>
      <c r="T118">
        <v>83</v>
      </c>
      <c r="U118">
        <f t="shared" si="52"/>
        <v>30</v>
      </c>
      <c r="W118" t="e">
        <v>#N/A</v>
      </c>
      <c r="Z118" s="2">
        <f t="shared" si="57"/>
        <v>0.21028614293866454</v>
      </c>
      <c r="AA118" s="2">
        <f t="shared" si="58"/>
        <v>0.96570022464845218</v>
      </c>
      <c r="AB118" s="2">
        <f t="shared" si="59"/>
        <v>0.75</v>
      </c>
      <c r="AC118" s="2" t="e">
        <f t="shared" si="60"/>
        <v>#N/A</v>
      </c>
      <c r="AD118" s="2"/>
      <c r="AE118" s="1" t="s">
        <v>53</v>
      </c>
      <c r="AF118" s="1" t="s">
        <v>299</v>
      </c>
      <c r="AG118" s="46">
        <f t="shared" si="53"/>
        <v>0.64199545586237228</v>
      </c>
      <c r="AI118" s="46"/>
      <c r="AJ118" s="46"/>
      <c r="AK118" s="46"/>
    </row>
    <row r="119" spans="1:37">
      <c r="A119" s="1" t="s">
        <v>131</v>
      </c>
      <c r="B119" s="1" t="s">
        <v>300</v>
      </c>
      <c r="C119" s="48">
        <v>3459773</v>
      </c>
      <c r="D119" s="48">
        <f t="shared" si="49"/>
        <v>1432346.0219999999</v>
      </c>
      <c r="E119" s="48">
        <f t="shared" si="50"/>
        <v>2027426.9780000001</v>
      </c>
      <c r="F119" s="2">
        <v>2.4028699862090153</v>
      </c>
      <c r="G119">
        <v>41.4</v>
      </c>
      <c r="H119">
        <f t="shared" si="51"/>
        <v>58.6</v>
      </c>
      <c r="I119" s="47">
        <v>2.8871324337877846</v>
      </c>
      <c r="J119" s="47">
        <v>2.0621541540475836</v>
      </c>
      <c r="K119" s="48">
        <f t="shared" si="54"/>
        <v>83133.847007963239</v>
      </c>
      <c r="L119" s="48">
        <f t="shared" si="55"/>
        <v>34417.412661296774</v>
      </c>
      <c r="M119" s="49">
        <f t="shared" si="56"/>
        <v>0.20153501868937382</v>
      </c>
      <c r="N119" s="59"/>
      <c r="O119" s="47">
        <v>50.933987751335607</v>
      </c>
      <c r="P119" s="47" t="e">
        <v>#N/A</v>
      </c>
      <c r="Q119" s="56"/>
      <c r="R119">
        <v>26</v>
      </c>
      <c r="S119">
        <v>9</v>
      </c>
      <c r="T119">
        <v>50</v>
      </c>
      <c r="U119">
        <f t="shared" si="52"/>
        <v>41</v>
      </c>
      <c r="W119" t="e">
        <v>#N/A</v>
      </c>
      <c r="Z119" s="2">
        <f t="shared" si="57"/>
        <v>0.10076750934468691</v>
      </c>
      <c r="AA119" s="2">
        <f t="shared" si="58"/>
        <v>0.58477125359050863</v>
      </c>
      <c r="AB119" s="2">
        <f t="shared" si="59"/>
        <v>1</v>
      </c>
      <c r="AC119" s="2" t="e">
        <f t="shared" si="60"/>
        <v>#N/A</v>
      </c>
      <c r="AD119" s="2"/>
      <c r="AE119" s="1" t="s">
        <v>131</v>
      </c>
      <c r="AF119" s="1" t="s">
        <v>300</v>
      </c>
      <c r="AG119" s="46">
        <f t="shared" si="53"/>
        <v>0.56184625431173185</v>
      </c>
      <c r="AI119" s="46"/>
      <c r="AJ119" s="46"/>
      <c r="AK119" s="46"/>
    </row>
    <row r="120" spans="1:37">
      <c r="A120" s="1" t="s">
        <v>130</v>
      </c>
      <c r="B120" s="1" t="s">
        <v>301</v>
      </c>
      <c r="C120" s="48">
        <v>1281214</v>
      </c>
      <c r="D120" s="48">
        <f t="shared" si="49"/>
        <v>545797.16399999999</v>
      </c>
      <c r="E120" s="48">
        <f t="shared" si="50"/>
        <v>735416.83599999989</v>
      </c>
      <c r="F120" s="2">
        <v>0.46085860886092855</v>
      </c>
      <c r="G120">
        <v>42.6</v>
      </c>
      <c r="H120">
        <f t="shared" si="51"/>
        <v>57.4</v>
      </c>
      <c r="I120" s="47">
        <v>0.60180295918431537</v>
      </c>
      <c r="J120" s="47">
        <v>0.35638358629867556</v>
      </c>
      <c r="K120" s="48">
        <f t="shared" si="54"/>
        <v>5904.5850169314572</v>
      </c>
      <c r="L120" s="48">
        <f t="shared" si="55"/>
        <v>2515.3532172128007</v>
      </c>
      <c r="M120" s="49">
        <f t="shared" si="56"/>
        <v>0.30582991749193728</v>
      </c>
      <c r="N120" s="59"/>
      <c r="O120" s="47">
        <v>27.517020282348735</v>
      </c>
      <c r="P120" s="47" t="e">
        <v>#N/A</v>
      </c>
      <c r="Q120" s="56"/>
      <c r="R120">
        <v>91</v>
      </c>
      <c r="S120">
        <v>90</v>
      </c>
      <c r="T120">
        <v>93</v>
      </c>
      <c r="U120">
        <f t="shared" si="52"/>
        <v>3</v>
      </c>
      <c r="W120">
        <v>0</v>
      </c>
      <c r="Z120" s="2">
        <f t="shared" si="57"/>
        <v>0.15291495874596864</v>
      </c>
      <c r="AA120" s="2">
        <f t="shared" si="58"/>
        <v>0.25024314689069621</v>
      </c>
      <c r="AB120" s="2">
        <f t="shared" si="59"/>
        <v>7.4999999999999997E-2</v>
      </c>
      <c r="AC120" s="2">
        <f t="shared" si="60"/>
        <v>0</v>
      </c>
      <c r="AD120" s="2"/>
      <c r="AE120" s="1" t="s">
        <v>130</v>
      </c>
      <c r="AF120" s="1" t="s">
        <v>301</v>
      </c>
      <c r="AG120" s="46">
        <f t="shared" si="53"/>
        <v>0.11953952640916622</v>
      </c>
      <c r="AI120" s="46"/>
      <c r="AJ120" s="46"/>
      <c r="AK120" s="46"/>
    </row>
    <row r="121" spans="1:37">
      <c r="A121" s="1" t="s">
        <v>39</v>
      </c>
      <c r="B121" s="1" t="s">
        <v>302</v>
      </c>
      <c r="C121" s="48">
        <v>113423047</v>
      </c>
      <c r="D121" s="48">
        <f t="shared" si="49"/>
        <v>88243130.566</v>
      </c>
      <c r="E121" s="48">
        <f t="shared" si="50"/>
        <v>25179916.434</v>
      </c>
      <c r="F121" s="2">
        <v>1.2327842554984587</v>
      </c>
      <c r="G121">
        <v>77.8</v>
      </c>
      <c r="H121">
        <f t="shared" si="51"/>
        <v>22.200000000000003</v>
      </c>
      <c r="I121" s="47">
        <v>1.6191337380029254</v>
      </c>
      <c r="J121" s="47">
        <v>-0.10951777771562417</v>
      </c>
      <c r="K121" s="48">
        <f t="shared" si="54"/>
        <v>1398261.4655226169</v>
      </c>
      <c r="L121" s="48">
        <f t="shared" si="55"/>
        <v>1087847.4201765959</v>
      </c>
      <c r="M121" s="49">
        <f t="shared" si="56"/>
        <v>0.31339586045268869</v>
      </c>
      <c r="N121" s="59"/>
      <c r="O121" s="47">
        <v>22.052948343038501</v>
      </c>
      <c r="P121" s="47">
        <v>34.88140906671287</v>
      </c>
      <c r="Q121" s="56"/>
      <c r="R121">
        <v>85</v>
      </c>
      <c r="S121">
        <v>68</v>
      </c>
      <c r="T121">
        <v>90</v>
      </c>
      <c r="U121">
        <f t="shared" si="52"/>
        <v>22</v>
      </c>
      <c r="W121">
        <v>14.4</v>
      </c>
      <c r="Z121" s="2">
        <f t="shared" si="57"/>
        <v>0.15669793022634435</v>
      </c>
      <c r="AA121" s="2">
        <f t="shared" si="58"/>
        <v>0.17218497632912144</v>
      </c>
      <c r="AB121" s="2">
        <f t="shared" si="59"/>
        <v>0.55000000000000004</v>
      </c>
      <c r="AC121" s="2">
        <f t="shared" si="60"/>
        <v>0.20571428571428571</v>
      </c>
      <c r="AD121" s="2"/>
      <c r="AE121" s="1" t="s">
        <v>39</v>
      </c>
      <c r="AF121" s="1" t="s">
        <v>302</v>
      </c>
      <c r="AG121" s="46">
        <f t="shared" si="53"/>
        <v>0.27114929806743787</v>
      </c>
      <c r="AI121" s="46"/>
      <c r="AJ121" s="46"/>
      <c r="AK121" s="46"/>
    </row>
    <row r="122" spans="1:37">
      <c r="A122" s="1" t="s">
        <v>175</v>
      </c>
      <c r="B122" s="1" t="s">
        <v>303</v>
      </c>
      <c r="C122" s="48">
        <v>111064</v>
      </c>
      <c r="D122" s="48">
        <f t="shared" si="49"/>
        <v>25211.527999999998</v>
      </c>
      <c r="E122" s="48">
        <f t="shared" si="50"/>
        <v>85852.471999999994</v>
      </c>
      <c r="F122" s="2">
        <v>0.34995976909189874</v>
      </c>
      <c r="G122">
        <v>22.7</v>
      </c>
      <c r="H122">
        <f t="shared" si="51"/>
        <v>77.3</v>
      </c>
      <c r="I122" s="47">
        <v>0.70300514903015132</v>
      </c>
      <c r="J122" s="47">
        <v>0.24652040119285354</v>
      </c>
      <c r="K122" s="48">
        <f t="shared" si="54"/>
        <v>388.6793179442264</v>
      </c>
      <c r="L122" s="48">
        <f t="shared" si="55"/>
        <v>88.230205173339399</v>
      </c>
      <c r="M122" s="49">
        <f t="shared" si="56"/>
        <v>1.0088170444687414</v>
      </c>
      <c r="N122" s="59"/>
      <c r="O122" s="47">
        <v>27.725283083888069</v>
      </c>
      <c r="P122" s="47" t="e">
        <v>#N/A</v>
      </c>
      <c r="Q122" s="56"/>
      <c r="R122">
        <v>27</v>
      </c>
      <c r="S122">
        <v>15</v>
      </c>
      <c r="T122">
        <v>61</v>
      </c>
      <c r="U122">
        <f t="shared" si="52"/>
        <v>46</v>
      </c>
      <c r="W122" t="e">
        <v>#N/A</v>
      </c>
      <c r="Z122" s="2">
        <f t="shared" si="57"/>
        <v>0.50440852223437072</v>
      </c>
      <c r="AA122" s="2">
        <f t="shared" si="58"/>
        <v>0.25321832976982955</v>
      </c>
      <c r="AB122" s="2">
        <f t="shared" si="59"/>
        <v>1</v>
      </c>
      <c r="AC122" s="2" t="e">
        <f t="shared" si="60"/>
        <v>#N/A</v>
      </c>
      <c r="AD122" s="2"/>
      <c r="AE122" s="1" t="s">
        <v>175</v>
      </c>
      <c r="AF122" s="1" t="s">
        <v>303</v>
      </c>
      <c r="AG122" s="46">
        <f t="shared" si="53"/>
        <v>0.58587561733473337</v>
      </c>
      <c r="AI122" s="46"/>
      <c r="AJ122" s="46"/>
      <c r="AK122" s="46"/>
    </row>
    <row r="123" spans="1:37">
      <c r="A123" s="1" t="s">
        <v>129</v>
      </c>
      <c r="B123" s="1" t="s">
        <v>304</v>
      </c>
      <c r="C123" s="48">
        <v>3562062</v>
      </c>
      <c r="D123" s="48">
        <f t="shared" si="49"/>
        <v>1467569.544</v>
      </c>
      <c r="E123" s="48">
        <f t="shared" si="50"/>
        <v>2094492.456</v>
      </c>
      <c r="F123" s="2">
        <v>-9.9359335527546805E-2</v>
      </c>
      <c r="G123">
        <v>41.2</v>
      </c>
      <c r="H123">
        <f t="shared" si="51"/>
        <v>58.8</v>
      </c>
      <c r="I123" s="47">
        <v>-0.77667203611213309</v>
      </c>
      <c r="J123" s="47">
        <v>0.37796853973822869</v>
      </c>
      <c r="K123" s="48">
        <f t="shared" si="54"/>
        <v>-3539.2411342792439</v>
      </c>
      <c r="L123" s="48">
        <f t="shared" si="55"/>
        <v>-1458.1673473230487</v>
      </c>
      <c r="M123" s="49">
        <f t="shared" si="56"/>
        <v>6.8167998204537623</v>
      </c>
      <c r="N123" s="59"/>
      <c r="O123" s="47">
        <v>43.951160999691396</v>
      </c>
      <c r="P123" s="47" t="e">
        <v>#N/A</v>
      </c>
      <c r="Q123" s="56"/>
      <c r="R123">
        <v>79</v>
      </c>
      <c r="S123">
        <v>74</v>
      </c>
      <c r="T123">
        <v>85</v>
      </c>
      <c r="U123">
        <f t="shared" si="52"/>
        <v>11</v>
      </c>
      <c r="W123" t="e">
        <v>#N/A</v>
      </c>
      <c r="Z123" s="2">
        <f t="shared" si="57"/>
        <v>1</v>
      </c>
      <c r="AA123" s="2">
        <f t="shared" si="58"/>
        <v>0.4850165857098771</v>
      </c>
      <c r="AB123" s="2">
        <f t="shared" si="59"/>
        <v>0.27500000000000002</v>
      </c>
      <c r="AC123" s="2" t="e">
        <f t="shared" si="60"/>
        <v>#N/A</v>
      </c>
      <c r="AD123" s="2"/>
      <c r="AE123" s="1" t="s">
        <v>129</v>
      </c>
      <c r="AF123" s="1" t="s">
        <v>304</v>
      </c>
      <c r="AG123" s="46">
        <f t="shared" si="53"/>
        <v>0.58667219523662573</v>
      </c>
      <c r="AI123" s="46"/>
      <c r="AJ123" s="46"/>
      <c r="AK123" s="46"/>
    </row>
    <row r="124" spans="1:37">
      <c r="A124" s="1" t="s">
        <v>2</v>
      </c>
      <c r="B124" s="1" t="s">
        <v>305</v>
      </c>
      <c r="C124" s="48">
        <v>35407</v>
      </c>
      <c r="D124" s="48">
        <f t="shared" si="49"/>
        <v>35407</v>
      </c>
      <c r="E124" s="48">
        <f t="shared" si="50"/>
        <v>0</v>
      </c>
      <c r="F124" s="2">
        <v>8.476492370101657E-2</v>
      </c>
      <c r="G124">
        <v>100</v>
      </c>
      <c r="H124">
        <f t="shared" si="51"/>
        <v>0</v>
      </c>
      <c r="I124" s="47">
        <v>8.4764923701038775E-2</v>
      </c>
      <c r="J124" s="47" t="e">
        <v>#N/A</v>
      </c>
      <c r="K124" s="48">
        <f t="shared" si="54"/>
        <v>30.012716534818939</v>
      </c>
      <c r="L124" s="48">
        <f t="shared" si="55"/>
        <v>30.012716534818939</v>
      </c>
      <c r="M124" s="49">
        <f t="shared" si="56"/>
        <v>2.6196080458309433E-13</v>
      </c>
      <c r="N124" s="59"/>
      <c r="O124" s="47">
        <v>92.749526528535483</v>
      </c>
      <c r="P124" s="47" t="e">
        <v>#N/A</v>
      </c>
      <c r="Q124" s="56"/>
      <c r="R124">
        <v>100</v>
      </c>
      <c r="S124" s="54">
        <v>100</v>
      </c>
      <c r="T124">
        <v>100</v>
      </c>
      <c r="U124">
        <f t="shared" si="52"/>
        <v>0</v>
      </c>
      <c r="W124">
        <v>0</v>
      </c>
      <c r="Z124" s="2">
        <f t="shared" si="57"/>
        <v>1.3098040229154717E-13</v>
      </c>
      <c r="AA124" s="2">
        <f t="shared" si="58"/>
        <v>1</v>
      </c>
      <c r="AB124" s="2">
        <f t="shared" si="59"/>
        <v>0</v>
      </c>
      <c r="AC124" s="2">
        <f t="shared" si="60"/>
        <v>0</v>
      </c>
      <c r="AD124" s="2"/>
      <c r="AE124" s="1" t="s">
        <v>2</v>
      </c>
      <c r="AF124" s="1" t="s">
        <v>305</v>
      </c>
      <c r="AG124" s="46">
        <f t="shared" si="53"/>
        <v>0.25000000000003275</v>
      </c>
      <c r="AI124" s="46"/>
      <c r="AJ124" s="46"/>
      <c r="AK124" s="46"/>
    </row>
    <row r="125" spans="1:37">
      <c r="A125" s="1" t="s">
        <v>66</v>
      </c>
      <c r="B125" s="1" t="s">
        <v>306</v>
      </c>
      <c r="C125" s="48">
        <v>2060563</v>
      </c>
      <c r="D125" s="48">
        <f t="shared" si="49"/>
        <v>1399122.2770000002</v>
      </c>
      <c r="E125" s="48">
        <f t="shared" si="50"/>
        <v>661440.72299999988</v>
      </c>
      <c r="F125" s="2">
        <v>0.18429415329340554</v>
      </c>
      <c r="G125">
        <v>67.900000000000006</v>
      </c>
      <c r="H125">
        <f t="shared" si="51"/>
        <v>32.099999999999994</v>
      </c>
      <c r="I125" s="47">
        <v>0.92339581793233783</v>
      </c>
      <c r="J125" s="47">
        <v>-1.3613316703758007</v>
      </c>
      <c r="K125" s="48">
        <f t="shared" si="54"/>
        <v>3797.4971339271956</v>
      </c>
      <c r="L125" s="48">
        <f t="shared" si="55"/>
        <v>2578.5005539365666</v>
      </c>
      <c r="M125" s="49">
        <f t="shared" si="56"/>
        <v>4.0104455373700612</v>
      </c>
      <c r="N125" s="59"/>
      <c r="O125" s="47">
        <v>34.653109871112662</v>
      </c>
      <c r="P125" s="47" t="e">
        <v>#N/A</v>
      </c>
      <c r="Q125" s="56"/>
      <c r="R125">
        <v>89</v>
      </c>
      <c r="S125">
        <v>82</v>
      </c>
      <c r="T125">
        <v>92</v>
      </c>
      <c r="U125">
        <f t="shared" si="52"/>
        <v>10</v>
      </c>
      <c r="W125">
        <v>0</v>
      </c>
      <c r="Z125" s="2">
        <f t="shared" si="57"/>
        <v>1</v>
      </c>
      <c r="AA125" s="2">
        <f t="shared" si="58"/>
        <v>0.35218728387303805</v>
      </c>
      <c r="AB125" s="2">
        <f t="shared" si="59"/>
        <v>0.25</v>
      </c>
      <c r="AC125" s="2">
        <f t="shared" si="60"/>
        <v>0</v>
      </c>
      <c r="AD125" s="2"/>
      <c r="AE125" s="1" t="s">
        <v>66</v>
      </c>
      <c r="AF125" s="1" t="s">
        <v>306</v>
      </c>
      <c r="AG125" s="46">
        <f t="shared" si="53"/>
        <v>0.4005468209682595</v>
      </c>
      <c r="AI125" s="46"/>
      <c r="AJ125" s="46"/>
      <c r="AK125" s="46"/>
    </row>
    <row r="126" spans="1:37">
      <c r="A126" s="1" t="s">
        <v>94</v>
      </c>
      <c r="B126" s="1" t="s">
        <v>307</v>
      </c>
      <c r="C126" s="48">
        <v>2756001</v>
      </c>
      <c r="D126" s="48">
        <f t="shared" si="49"/>
        <v>1584700.575</v>
      </c>
      <c r="E126" s="48">
        <f t="shared" si="50"/>
        <v>1171300.425</v>
      </c>
      <c r="F126" s="2">
        <v>1.6220091286643967</v>
      </c>
      <c r="G126">
        <v>57.5</v>
      </c>
      <c r="H126">
        <f t="shared" si="51"/>
        <v>42.5</v>
      </c>
      <c r="I126" s="47">
        <v>1.9006578634725066</v>
      </c>
      <c r="J126" s="47">
        <v>1.2462454173810671</v>
      </c>
      <c r="K126" s="48">
        <f t="shared" si="54"/>
        <v>44702.587806082061</v>
      </c>
      <c r="L126" s="48">
        <f t="shared" si="55"/>
        <v>25703.987988497182</v>
      </c>
      <c r="M126" s="49">
        <f t="shared" si="56"/>
        <v>0.17179233450896575</v>
      </c>
      <c r="N126" s="59"/>
      <c r="O126" s="47">
        <v>60.955426863525943</v>
      </c>
      <c r="P126" s="47" t="e">
        <v>#N/A</v>
      </c>
      <c r="Q126" s="56"/>
      <c r="R126">
        <v>50</v>
      </c>
      <c r="S126">
        <v>32</v>
      </c>
      <c r="T126">
        <v>64</v>
      </c>
      <c r="U126">
        <f t="shared" si="52"/>
        <v>32</v>
      </c>
      <c r="W126">
        <v>57.9</v>
      </c>
      <c r="Z126" s="2">
        <f t="shared" si="57"/>
        <v>8.5896167254482875E-2</v>
      </c>
      <c r="AA126" s="2">
        <f t="shared" si="58"/>
        <v>0.72793466947894203</v>
      </c>
      <c r="AB126" s="2">
        <f t="shared" si="59"/>
        <v>0.8</v>
      </c>
      <c r="AC126" s="2">
        <f t="shared" si="60"/>
        <v>0.82714285714285707</v>
      </c>
      <c r="AD126" s="2"/>
      <c r="AE126" s="1" t="s">
        <v>94</v>
      </c>
      <c r="AF126" s="1" t="s">
        <v>307</v>
      </c>
      <c r="AG126" s="46">
        <f t="shared" si="53"/>
        <v>0.61024342346907046</v>
      </c>
      <c r="AI126" s="46"/>
      <c r="AJ126" s="46"/>
      <c r="AK126" s="46"/>
    </row>
    <row r="127" spans="1:37">
      <c r="A127" s="1" t="s">
        <v>87</v>
      </c>
      <c r="B127" s="1" t="s">
        <v>308</v>
      </c>
      <c r="C127" s="48">
        <v>631490</v>
      </c>
      <c r="D127" s="48">
        <f t="shared" si="49"/>
        <v>375736.55</v>
      </c>
      <c r="E127" s="48">
        <f t="shared" si="50"/>
        <v>255753.45</v>
      </c>
      <c r="F127" s="2">
        <v>0.16720490453756831</v>
      </c>
      <c r="G127">
        <v>59.5</v>
      </c>
      <c r="H127">
        <f t="shared" si="51"/>
        <v>40.5</v>
      </c>
      <c r="I127" s="47">
        <v>-0.40259720692621176</v>
      </c>
      <c r="J127" s="47">
        <v>1.0102547774395336</v>
      </c>
      <c r="K127" s="48">
        <f t="shared" si="54"/>
        <v>1055.8822516642902</v>
      </c>
      <c r="L127" s="48">
        <f t="shared" si="55"/>
        <v>628.24993974025256</v>
      </c>
      <c r="M127" s="49">
        <f t="shared" si="56"/>
        <v>-3.4078074027771992</v>
      </c>
      <c r="N127" s="59"/>
      <c r="O127" s="47">
        <v>38.131775067966181</v>
      </c>
      <c r="P127" s="47" t="e">
        <v>#N/A</v>
      </c>
      <c r="Q127" s="56"/>
      <c r="R127">
        <v>92</v>
      </c>
      <c r="S127">
        <v>86</v>
      </c>
      <c r="T127">
        <v>96</v>
      </c>
      <c r="U127">
        <f t="shared" si="52"/>
        <v>10</v>
      </c>
      <c r="W127">
        <v>0</v>
      </c>
      <c r="Z127" s="2">
        <f t="shared" si="57"/>
        <v>0</v>
      </c>
      <c r="AA127" s="2">
        <f t="shared" si="58"/>
        <v>0.40188250097094547</v>
      </c>
      <c r="AB127" s="2">
        <f t="shared" si="59"/>
        <v>0.25</v>
      </c>
      <c r="AC127" s="2">
        <f t="shared" si="60"/>
        <v>0</v>
      </c>
      <c r="AD127" s="2"/>
      <c r="AE127" s="1" t="s">
        <v>87</v>
      </c>
      <c r="AF127" s="1" t="s">
        <v>308</v>
      </c>
      <c r="AG127" s="46">
        <f t="shared" si="53"/>
        <v>0.16297062524273637</v>
      </c>
      <c r="AI127" s="46"/>
      <c r="AJ127" s="46"/>
      <c r="AK127" s="46"/>
    </row>
    <row r="128" spans="1:37">
      <c r="A128" s="1" t="s">
        <v>100</v>
      </c>
      <c r="B128" s="1" t="s">
        <v>309</v>
      </c>
      <c r="C128" s="48">
        <v>31951412</v>
      </c>
      <c r="D128" s="48">
        <f t="shared" si="49"/>
        <v>18116450.604000002</v>
      </c>
      <c r="E128" s="48">
        <f t="shared" si="50"/>
        <v>13834961.396</v>
      </c>
      <c r="F128" s="2">
        <v>0.99673180401505368</v>
      </c>
      <c r="G128">
        <v>56.7</v>
      </c>
      <c r="H128">
        <f t="shared" si="51"/>
        <v>43.3</v>
      </c>
      <c r="I128" s="47">
        <v>1.5981841743377578</v>
      </c>
      <c r="J128" s="47">
        <v>0.2145792083724252</v>
      </c>
      <c r="K128" s="48">
        <f t="shared" si="54"/>
        <v>318469.88523588231</v>
      </c>
      <c r="L128" s="48">
        <f t="shared" si="55"/>
        <v>180572.42492874528</v>
      </c>
      <c r="M128" s="49">
        <f t="shared" si="56"/>
        <v>0.60342447978475511</v>
      </c>
      <c r="N128" s="59"/>
      <c r="O128" s="47">
        <v>18.124990770957091</v>
      </c>
      <c r="P128" s="47">
        <v>19.252457450080769</v>
      </c>
      <c r="Q128" s="56"/>
      <c r="R128">
        <v>69</v>
      </c>
      <c r="S128">
        <v>52</v>
      </c>
      <c r="T128">
        <v>83</v>
      </c>
      <c r="U128">
        <f t="shared" si="52"/>
        <v>31</v>
      </c>
      <c r="W128">
        <v>13.1</v>
      </c>
      <c r="Z128" s="2">
        <f t="shared" si="57"/>
        <v>0.30171223989237755</v>
      </c>
      <c r="AA128" s="2">
        <f t="shared" si="58"/>
        <v>0.11607129672795843</v>
      </c>
      <c r="AB128" s="2">
        <f t="shared" si="59"/>
        <v>0.77500000000000002</v>
      </c>
      <c r="AC128" s="2">
        <f t="shared" si="60"/>
        <v>0.18714285714285714</v>
      </c>
      <c r="AD128" s="2"/>
      <c r="AE128" s="1" t="s">
        <v>100</v>
      </c>
      <c r="AF128" s="1" t="s">
        <v>309</v>
      </c>
      <c r="AG128" s="46">
        <f t="shared" si="53"/>
        <v>0.34498159844079829</v>
      </c>
      <c r="AI128" s="46"/>
      <c r="AJ128" s="46"/>
      <c r="AK128" s="46"/>
    </row>
    <row r="129" spans="1:37">
      <c r="A129" s="1" t="s">
        <v>142</v>
      </c>
      <c r="B129" s="1" t="s">
        <v>310</v>
      </c>
      <c r="C129" s="48">
        <v>23390765</v>
      </c>
      <c r="D129" s="48">
        <f t="shared" si="49"/>
        <v>8982053.7599999998</v>
      </c>
      <c r="E129" s="48">
        <f t="shared" si="50"/>
        <v>14408711.24</v>
      </c>
      <c r="F129" s="2">
        <v>2.3013565968986196</v>
      </c>
      <c r="G129">
        <v>38.4</v>
      </c>
      <c r="H129">
        <f t="shared" si="51"/>
        <v>61.6</v>
      </c>
      <c r="I129" s="47">
        <v>4.3535201689783181</v>
      </c>
      <c r="J129" s="47">
        <v>1.0430725328803123</v>
      </c>
      <c r="K129" s="48">
        <f t="shared" si="54"/>
        <v>538304.91339255346</v>
      </c>
      <c r="L129" s="48">
        <f t="shared" si="55"/>
        <v>206709.0867427405</v>
      </c>
      <c r="M129" s="49">
        <f t="shared" si="56"/>
        <v>0.89171907336970635</v>
      </c>
      <c r="N129" s="59"/>
      <c r="O129" s="47">
        <v>18.422290093262593</v>
      </c>
      <c r="P129" s="47">
        <v>7.0741593958128348</v>
      </c>
      <c r="Q129" s="56"/>
      <c r="R129">
        <v>17</v>
      </c>
      <c r="S129">
        <v>4</v>
      </c>
      <c r="T129">
        <v>38</v>
      </c>
      <c r="U129">
        <f t="shared" si="52"/>
        <v>34</v>
      </c>
      <c r="W129">
        <v>80.5</v>
      </c>
      <c r="Z129" s="2">
        <f t="shared" si="57"/>
        <v>0.44585953668485317</v>
      </c>
      <c r="AA129" s="2">
        <f t="shared" si="58"/>
        <v>0.12031842990375133</v>
      </c>
      <c r="AB129" s="2">
        <f t="shared" si="59"/>
        <v>0.85</v>
      </c>
      <c r="AC129" s="2">
        <f t="shared" si="60"/>
        <v>1</v>
      </c>
      <c r="AD129" s="2"/>
      <c r="AE129" s="1" t="s">
        <v>142</v>
      </c>
      <c r="AF129" s="1" t="s">
        <v>310</v>
      </c>
      <c r="AG129" s="46">
        <f t="shared" si="53"/>
        <v>0.60404449164715113</v>
      </c>
      <c r="AI129" s="46"/>
      <c r="AJ129" s="46"/>
      <c r="AK129" s="46"/>
    </row>
    <row r="130" spans="1:37">
      <c r="A130" s="1" t="s">
        <v>150</v>
      </c>
      <c r="B130" s="1" t="s">
        <v>311</v>
      </c>
      <c r="C130" s="48">
        <v>47963012</v>
      </c>
      <c r="D130" s="48">
        <f t="shared" si="49"/>
        <v>16259461.068</v>
      </c>
      <c r="E130" s="48">
        <f t="shared" si="50"/>
        <v>31703550.931999996</v>
      </c>
      <c r="F130" s="2">
        <v>0.75685041556177979</v>
      </c>
      <c r="G130">
        <v>33.9</v>
      </c>
      <c r="H130">
        <f t="shared" si="51"/>
        <v>66.099999999999994</v>
      </c>
      <c r="I130" s="47">
        <v>2.7229548554774978</v>
      </c>
      <c r="J130" s="47">
        <v>-0.23668477803759511</v>
      </c>
      <c r="K130" s="48">
        <f t="shared" si="54"/>
        <v>363008.25563794631</v>
      </c>
      <c r="L130" s="48">
        <f t="shared" si="55"/>
        <v>123059.79866126379</v>
      </c>
      <c r="M130" s="49">
        <f t="shared" si="56"/>
        <v>2.5977450754999687</v>
      </c>
      <c r="N130" s="59"/>
      <c r="O130" s="47">
        <v>26.751218763089202</v>
      </c>
      <c r="P130" s="47">
        <v>11.224839257384421</v>
      </c>
      <c r="Q130" s="56"/>
      <c r="R130">
        <v>81</v>
      </c>
      <c r="S130">
        <v>79</v>
      </c>
      <c r="T130">
        <v>86</v>
      </c>
      <c r="U130">
        <f t="shared" si="52"/>
        <v>7</v>
      </c>
      <c r="W130">
        <v>45.6</v>
      </c>
      <c r="Z130" s="2">
        <f t="shared" si="57"/>
        <v>1</v>
      </c>
      <c r="AA130" s="2">
        <f t="shared" si="58"/>
        <v>0.2393031251869886</v>
      </c>
      <c r="AB130" s="2">
        <f t="shared" si="59"/>
        <v>0.17499999999999999</v>
      </c>
      <c r="AC130" s="2">
        <f t="shared" si="60"/>
        <v>0.65142857142857147</v>
      </c>
      <c r="AD130" s="2"/>
      <c r="AE130" s="1" t="s">
        <v>150</v>
      </c>
      <c r="AF130" s="1" t="s">
        <v>311</v>
      </c>
      <c r="AG130" s="46">
        <f t="shared" si="53"/>
        <v>0.51643292415389008</v>
      </c>
      <c r="AI130" s="46"/>
      <c r="AJ130" s="46"/>
      <c r="AK130" s="46"/>
    </row>
    <row r="131" spans="1:37">
      <c r="A131" s="1" t="s">
        <v>141</v>
      </c>
      <c r="B131" s="1" t="s">
        <v>312</v>
      </c>
      <c r="C131" s="48">
        <v>2283289</v>
      </c>
      <c r="D131" s="48">
        <f t="shared" si="49"/>
        <v>867649.82</v>
      </c>
      <c r="E131" s="48">
        <f t="shared" si="50"/>
        <v>1415639.18</v>
      </c>
      <c r="F131" s="2">
        <v>1.8213832948593693</v>
      </c>
      <c r="G131">
        <v>38</v>
      </c>
      <c r="H131">
        <f t="shared" si="51"/>
        <v>62</v>
      </c>
      <c r="I131" s="47">
        <v>3.3594671829035647</v>
      </c>
      <c r="J131" s="47">
        <v>0.89024797529493205</v>
      </c>
      <c r="K131" s="48">
        <f t="shared" si="54"/>
        <v>41587.444419361542</v>
      </c>
      <c r="L131" s="48">
        <f t="shared" si="55"/>
        <v>15803.228879357386</v>
      </c>
      <c r="M131" s="49">
        <f t="shared" si="56"/>
        <v>0.84445920437792987</v>
      </c>
      <c r="N131" s="59"/>
      <c r="O131" s="47">
        <v>40.730377857565948</v>
      </c>
      <c r="P131" s="47" t="e">
        <v>#N/A</v>
      </c>
      <c r="Q131" s="56"/>
      <c r="R131">
        <v>33</v>
      </c>
      <c r="S131">
        <v>17</v>
      </c>
      <c r="T131">
        <v>60</v>
      </c>
      <c r="U131">
        <f t="shared" si="52"/>
        <v>43</v>
      </c>
      <c r="W131">
        <v>33.5</v>
      </c>
      <c r="Z131" s="2">
        <f t="shared" si="57"/>
        <v>0.42222960218896494</v>
      </c>
      <c r="AA131" s="2">
        <f t="shared" si="58"/>
        <v>0.43900539796522781</v>
      </c>
      <c r="AB131" s="2">
        <f t="shared" si="59"/>
        <v>1</v>
      </c>
      <c r="AC131" s="2">
        <f t="shared" si="60"/>
        <v>0.47857142857142859</v>
      </c>
      <c r="AD131" s="2"/>
      <c r="AE131" s="1" t="s">
        <v>141</v>
      </c>
      <c r="AF131" s="1" t="s">
        <v>312</v>
      </c>
      <c r="AG131" s="46">
        <f t="shared" si="53"/>
        <v>0.58495160718140538</v>
      </c>
      <c r="AI131" s="46"/>
      <c r="AJ131" s="46"/>
      <c r="AK131" s="46"/>
    </row>
    <row r="132" spans="1:37">
      <c r="A132" s="1" t="s">
        <v>1</v>
      </c>
      <c r="B132" s="1" t="s">
        <v>313</v>
      </c>
      <c r="C132" s="48" t="e">
        <v>#N/A</v>
      </c>
      <c r="D132" s="48" t="e">
        <f t="shared" si="49"/>
        <v>#N/A</v>
      </c>
      <c r="E132" s="48" t="e">
        <f t="shared" si="50"/>
        <v>#N/A</v>
      </c>
      <c r="F132" s="2" t="e">
        <v>#N/A</v>
      </c>
      <c r="G132" t="e">
        <v>#N/A</v>
      </c>
      <c r="H132" t="e">
        <f t="shared" si="51"/>
        <v>#N/A</v>
      </c>
      <c r="I132" s="47" t="e">
        <v>#N/A</v>
      </c>
      <c r="J132" s="47" t="e">
        <v>#N/A</v>
      </c>
      <c r="K132" s="48" t="e">
        <f t="shared" si="54"/>
        <v>#N/A</v>
      </c>
      <c r="L132" s="48" t="e">
        <f t="shared" si="55"/>
        <v>#N/A</v>
      </c>
      <c r="M132" s="49" t="e">
        <f t="shared" si="56"/>
        <v>#N/A</v>
      </c>
      <c r="N132" s="59"/>
      <c r="O132" s="47" t="e">
        <v>#N/A</v>
      </c>
      <c r="P132" s="47" t="e">
        <v>#N/A</v>
      </c>
      <c r="Q132" s="56"/>
      <c r="R132" t="e">
        <v>#N/A</v>
      </c>
      <c r="S132" t="e">
        <v>#N/A</v>
      </c>
      <c r="T132" t="e">
        <v>#N/A</v>
      </c>
      <c r="U132" t="e">
        <f t="shared" si="52"/>
        <v>#N/A</v>
      </c>
      <c r="W132" t="e">
        <v>#N/A</v>
      </c>
      <c r="Z132" s="2" t="e">
        <f t="shared" si="57"/>
        <v>#N/A</v>
      </c>
      <c r="AA132" s="2" t="e">
        <f t="shared" si="58"/>
        <v>#N/A</v>
      </c>
      <c r="AB132" s="2" t="e">
        <f t="shared" si="59"/>
        <v>#N/A</v>
      </c>
      <c r="AC132" s="2" t="e">
        <f t="shared" si="60"/>
        <v>#N/A</v>
      </c>
      <c r="AD132" s="2"/>
      <c r="AE132" s="1" t="s">
        <v>1</v>
      </c>
      <c r="AF132" s="1" t="s">
        <v>313</v>
      </c>
      <c r="AG132" s="46" t="e">
        <f t="shared" si="53"/>
        <v>#N/A</v>
      </c>
      <c r="AI132" s="46"/>
      <c r="AJ132" s="46"/>
      <c r="AK132" s="46"/>
    </row>
    <row r="133" spans="1:37">
      <c r="A133" s="1" t="s">
        <v>183</v>
      </c>
      <c r="B133" s="1" t="s">
        <v>314</v>
      </c>
      <c r="C133" s="48">
        <v>29959364</v>
      </c>
      <c r="D133" s="48">
        <f t="shared" si="49"/>
        <v>5452604.2479999997</v>
      </c>
      <c r="E133" s="48">
        <f t="shared" si="50"/>
        <v>24506759.751999997</v>
      </c>
      <c r="F133" s="2">
        <v>1.7734168003763116</v>
      </c>
      <c r="G133">
        <v>18.2</v>
      </c>
      <c r="H133">
        <f t="shared" si="51"/>
        <v>81.8</v>
      </c>
      <c r="I133" s="47">
        <v>4.4461816909577747</v>
      </c>
      <c r="J133" s="47">
        <v>1.1883346827707804</v>
      </c>
      <c r="K133" s="48">
        <f t="shared" si="54"/>
        <v>531304.39446189255</v>
      </c>
      <c r="L133" s="48">
        <f t="shared" si="55"/>
        <v>96697.399792064447</v>
      </c>
      <c r="M133" s="49">
        <f t="shared" si="56"/>
        <v>1.507127309279078</v>
      </c>
      <c r="N133" s="59"/>
      <c r="O133" s="47">
        <v>19.019773906760161</v>
      </c>
      <c r="P133" s="47" t="e">
        <v>#N/A</v>
      </c>
      <c r="Q133" s="56"/>
      <c r="R133">
        <v>31</v>
      </c>
      <c r="S133">
        <v>27</v>
      </c>
      <c r="T133">
        <v>51</v>
      </c>
      <c r="U133">
        <f t="shared" si="52"/>
        <v>24</v>
      </c>
      <c r="W133">
        <v>58.1</v>
      </c>
      <c r="Z133" s="2">
        <f t="shared" si="57"/>
        <v>0.753563654639539</v>
      </c>
      <c r="AA133" s="2">
        <f t="shared" si="58"/>
        <v>0.12885391295371659</v>
      </c>
      <c r="AB133" s="2">
        <f t="shared" si="59"/>
        <v>0.6</v>
      </c>
      <c r="AC133" s="2">
        <f t="shared" si="60"/>
        <v>0.83000000000000007</v>
      </c>
      <c r="AD133" s="2"/>
      <c r="AE133" s="1" t="s">
        <v>183</v>
      </c>
      <c r="AF133" s="1" t="s">
        <v>314</v>
      </c>
      <c r="AG133" s="46">
        <f t="shared" si="53"/>
        <v>0.57810439189831397</v>
      </c>
      <c r="AI133" s="46"/>
      <c r="AJ133" s="46"/>
      <c r="AK133" s="46"/>
    </row>
    <row r="134" spans="1:37">
      <c r="A134" s="1" t="s">
        <v>28</v>
      </c>
      <c r="B134" s="1" t="s">
        <v>315</v>
      </c>
      <c r="C134" s="48">
        <v>16612213</v>
      </c>
      <c r="D134" s="48">
        <f t="shared" si="49"/>
        <v>13771524.577</v>
      </c>
      <c r="E134" s="48">
        <f t="shared" si="50"/>
        <v>2840688.422999999</v>
      </c>
      <c r="F134" s="2">
        <v>0.4937763710902292</v>
      </c>
      <c r="G134">
        <v>82.9</v>
      </c>
      <c r="H134">
        <f t="shared" si="51"/>
        <v>17.099999999999994</v>
      </c>
      <c r="I134" s="47">
        <v>1.1472943692563033</v>
      </c>
      <c r="J134" s="47">
        <v>-2.6152823359128474</v>
      </c>
      <c r="K134" s="48">
        <f t="shared" si="54"/>
        <v>82027.1825091793</v>
      </c>
      <c r="L134" s="48">
        <f t="shared" si="55"/>
        <v>68000.534300109633</v>
      </c>
      <c r="M134" s="49">
        <f t="shared" si="56"/>
        <v>1.3235100673674296</v>
      </c>
      <c r="N134" s="59"/>
      <c r="O134" s="47">
        <v>7.6165423380342716</v>
      </c>
      <c r="P134" s="47">
        <v>12.393755124618256</v>
      </c>
      <c r="Q134" s="56"/>
      <c r="R134">
        <v>100</v>
      </c>
      <c r="S134">
        <v>100</v>
      </c>
      <c r="T134">
        <v>100</v>
      </c>
      <c r="U134">
        <f t="shared" si="52"/>
        <v>0</v>
      </c>
      <c r="W134">
        <v>0</v>
      </c>
      <c r="Z134" s="2">
        <f t="shared" si="57"/>
        <v>0.6617550336837148</v>
      </c>
      <c r="AA134" s="2">
        <f t="shared" si="58"/>
        <v>0</v>
      </c>
      <c r="AB134" s="2">
        <f t="shared" si="59"/>
        <v>0</v>
      </c>
      <c r="AC134" s="2">
        <f t="shared" si="60"/>
        <v>0</v>
      </c>
      <c r="AD134" s="2"/>
      <c r="AE134" s="1" t="s">
        <v>28</v>
      </c>
      <c r="AF134" s="1" t="s">
        <v>315</v>
      </c>
      <c r="AG134" s="46">
        <f t="shared" si="53"/>
        <v>0.1654387584209287</v>
      </c>
      <c r="AI134" s="46"/>
      <c r="AJ134" s="46"/>
      <c r="AK134" s="46"/>
    </row>
    <row r="135" spans="1:37">
      <c r="A135" s="1" t="s">
        <v>19</v>
      </c>
      <c r="B135" s="1" t="s">
        <v>316</v>
      </c>
      <c r="C135" s="48">
        <v>4367800</v>
      </c>
      <c r="D135" s="48">
        <f t="shared" si="49"/>
        <v>3791250.4</v>
      </c>
      <c r="E135" s="48">
        <f t="shared" si="50"/>
        <v>576549.60000000009</v>
      </c>
      <c r="F135" s="2">
        <v>1.1976742729306247</v>
      </c>
      <c r="G135">
        <v>86.8</v>
      </c>
      <c r="H135">
        <f t="shared" si="51"/>
        <v>13.200000000000003</v>
      </c>
      <c r="I135" s="47">
        <v>1.3360187727452333</v>
      </c>
      <c r="J135" s="47">
        <v>0.29269072093884491</v>
      </c>
      <c r="K135" s="48">
        <f t="shared" si="54"/>
        <v>52312.016893063817</v>
      </c>
      <c r="L135" s="48">
        <f t="shared" si="55"/>
        <v>45406.830663179404</v>
      </c>
      <c r="M135" s="49">
        <f t="shared" si="56"/>
        <v>0.115510955642463</v>
      </c>
      <c r="N135" s="59"/>
      <c r="O135" s="47">
        <v>37.044005323415199</v>
      </c>
      <c r="P135" s="47">
        <v>32.154196620724392</v>
      </c>
      <c r="Q135" s="56"/>
      <c r="R135" t="e">
        <v>#N/A</v>
      </c>
      <c r="S135">
        <v>88</v>
      </c>
      <c r="T135" t="e">
        <v>#N/A</v>
      </c>
      <c r="U135" t="e">
        <f t="shared" si="52"/>
        <v>#N/A</v>
      </c>
      <c r="W135">
        <v>0</v>
      </c>
      <c r="Z135" s="2">
        <f t="shared" si="57"/>
        <v>5.7755477821231499E-2</v>
      </c>
      <c r="AA135" s="2">
        <f t="shared" si="58"/>
        <v>0.3863429331916457</v>
      </c>
      <c r="AB135" s="2" t="e">
        <f t="shared" si="59"/>
        <v>#N/A</v>
      </c>
      <c r="AC135" s="2">
        <f t="shared" si="60"/>
        <v>0</v>
      </c>
      <c r="AD135" s="2"/>
      <c r="AE135" s="1" t="s">
        <v>19</v>
      </c>
      <c r="AF135" s="1" t="s">
        <v>316</v>
      </c>
      <c r="AG135" s="46">
        <f t="shared" si="53"/>
        <v>0.14803280367095906</v>
      </c>
      <c r="AI135" s="46"/>
      <c r="AJ135" s="46"/>
      <c r="AK135" s="46"/>
    </row>
    <row r="136" spans="1:37">
      <c r="A136" s="1" t="s">
        <v>93</v>
      </c>
      <c r="B136" s="1" t="s">
        <v>317</v>
      </c>
      <c r="C136" s="48">
        <v>5788163</v>
      </c>
      <c r="D136" s="48">
        <f t="shared" si="49"/>
        <v>3316617.3989999997</v>
      </c>
      <c r="E136" s="48">
        <f t="shared" si="50"/>
        <v>2471545.6010000003</v>
      </c>
      <c r="F136" s="2">
        <v>1.3555667019744022</v>
      </c>
      <c r="G136">
        <v>57.3</v>
      </c>
      <c r="H136">
        <f t="shared" si="51"/>
        <v>42.7</v>
      </c>
      <c r="I136" s="47">
        <v>1.8454207255911785</v>
      </c>
      <c r="J136" s="47">
        <v>0.70196960399587005</v>
      </c>
      <c r="K136" s="48">
        <f t="shared" si="54"/>
        <v>78462.410284002617</v>
      </c>
      <c r="L136" s="48">
        <f t="shared" si="55"/>
        <v>44958.961092733502</v>
      </c>
      <c r="M136" s="49">
        <f t="shared" si="56"/>
        <v>0.36136475092173392</v>
      </c>
      <c r="N136" s="59"/>
      <c r="O136" s="47">
        <v>28.451457810132535</v>
      </c>
      <c r="P136" s="47">
        <v>22.662095037752046</v>
      </c>
      <c r="Q136" s="56"/>
      <c r="R136">
        <v>52</v>
      </c>
      <c r="S136">
        <v>37</v>
      </c>
      <c r="T136">
        <v>63</v>
      </c>
      <c r="U136">
        <f t="shared" si="52"/>
        <v>26</v>
      </c>
      <c r="W136">
        <v>45.5</v>
      </c>
      <c r="Z136" s="2">
        <f t="shared" si="57"/>
        <v>0.18068237546086696</v>
      </c>
      <c r="AA136" s="2">
        <f t="shared" si="58"/>
        <v>0.2635922544304648</v>
      </c>
      <c r="AB136" s="2">
        <f t="shared" si="59"/>
        <v>0.65</v>
      </c>
      <c r="AC136" s="2">
        <f t="shared" si="60"/>
        <v>0.65</v>
      </c>
      <c r="AD136" s="2"/>
      <c r="AE136" s="1" t="s">
        <v>93</v>
      </c>
      <c r="AF136" s="1" t="s">
        <v>317</v>
      </c>
      <c r="AG136" s="46">
        <f t="shared" si="53"/>
        <v>0.43606865747283297</v>
      </c>
      <c r="AI136" s="46"/>
      <c r="AJ136" s="46"/>
      <c r="AK136" s="46"/>
    </row>
    <row r="137" spans="1:37">
      <c r="A137" s="1" t="s">
        <v>185</v>
      </c>
      <c r="B137" s="1" t="s">
        <v>318</v>
      </c>
      <c r="C137" s="48">
        <v>15511953</v>
      </c>
      <c r="D137" s="48">
        <f t="shared" si="49"/>
        <v>2590496.1510000001</v>
      </c>
      <c r="E137" s="48">
        <f t="shared" si="50"/>
        <v>12921456.848999999</v>
      </c>
      <c r="F137" s="2">
        <v>3.5411932753208077</v>
      </c>
      <c r="G137">
        <v>16.7</v>
      </c>
      <c r="H137">
        <f t="shared" si="51"/>
        <v>83.3</v>
      </c>
      <c r="I137" s="47">
        <v>4.0213862748615234</v>
      </c>
      <c r="J137" s="47">
        <v>3.4452009473354321</v>
      </c>
      <c r="K137" s="48">
        <f t="shared" si="54"/>
        <v>549308.23650692438</v>
      </c>
      <c r="L137" s="48">
        <f t="shared" si="55"/>
        <v>91734.475496656349</v>
      </c>
      <c r="M137" s="49">
        <f t="shared" si="56"/>
        <v>0.13560203078642019</v>
      </c>
      <c r="N137" s="59"/>
      <c r="O137" s="47">
        <v>40.443449398508676</v>
      </c>
      <c r="P137" s="47">
        <v>6.7540560495509494</v>
      </c>
      <c r="Q137" s="56"/>
      <c r="R137">
        <v>9</v>
      </c>
      <c r="S137">
        <v>4</v>
      </c>
      <c r="T137">
        <v>34</v>
      </c>
      <c r="U137">
        <f t="shared" si="52"/>
        <v>30</v>
      </c>
      <c r="W137">
        <v>81.7</v>
      </c>
      <c r="Z137" s="2">
        <f t="shared" si="57"/>
        <v>6.7801015393210096E-2</v>
      </c>
      <c r="AA137" s="2">
        <f t="shared" si="58"/>
        <v>0.43490641997869539</v>
      </c>
      <c r="AB137" s="2">
        <f t="shared" si="59"/>
        <v>0.75</v>
      </c>
      <c r="AC137" s="2">
        <f t="shared" si="60"/>
        <v>1</v>
      </c>
      <c r="AD137" s="2"/>
      <c r="AE137" s="1" t="s">
        <v>185</v>
      </c>
      <c r="AF137" s="1" t="s">
        <v>318</v>
      </c>
      <c r="AG137" s="46">
        <f t="shared" si="53"/>
        <v>0.56317685884297641</v>
      </c>
      <c r="AI137" s="46"/>
      <c r="AJ137" s="46"/>
      <c r="AK137" s="46"/>
    </row>
    <row r="138" spans="1:37">
      <c r="A138" s="1" t="s">
        <v>118</v>
      </c>
      <c r="B138" s="1" t="s">
        <v>319</v>
      </c>
      <c r="C138" s="48">
        <v>158423182</v>
      </c>
      <c r="D138" s="48">
        <f t="shared" si="49"/>
        <v>78894744.635999992</v>
      </c>
      <c r="E138" s="48">
        <f t="shared" si="50"/>
        <v>79528437.364000008</v>
      </c>
      <c r="F138" s="2">
        <v>2.5152930208230546</v>
      </c>
      <c r="G138">
        <v>49.8</v>
      </c>
      <c r="H138">
        <f t="shared" si="51"/>
        <v>50.2</v>
      </c>
      <c r="I138" s="47">
        <v>3.971629439612693</v>
      </c>
      <c r="J138" s="47">
        <v>1.0912183216708269</v>
      </c>
      <c r="K138" s="48">
        <f t="shared" si="54"/>
        <v>3984807.2402118058</v>
      </c>
      <c r="L138" s="48">
        <f t="shared" si="55"/>
        <v>1984434.0056254789</v>
      </c>
      <c r="M138" s="49">
        <f t="shared" si="56"/>
        <v>0.57899274825367908</v>
      </c>
      <c r="N138" s="59"/>
      <c r="O138" s="47">
        <v>13.407321424009483</v>
      </c>
      <c r="P138" s="47">
        <v>15.025167844438325</v>
      </c>
      <c r="Q138" s="56"/>
      <c r="R138">
        <v>32</v>
      </c>
      <c r="S138">
        <v>28</v>
      </c>
      <c r="T138">
        <v>36</v>
      </c>
      <c r="U138">
        <f t="shared" si="52"/>
        <v>8</v>
      </c>
      <c r="W138">
        <v>62.7</v>
      </c>
      <c r="Z138" s="2">
        <f t="shared" si="57"/>
        <v>0.28949637412683954</v>
      </c>
      <c r="AA138" s="2">
        <f t="shared" si="58"/>
        <v>4.8676020342992614E-2</v>
      </c>
      <c r="AB138" s="2">
        <f t="shared" si="59"/>
        <v>0.2</v>
      </c>
      <c r="AC138" s="2">
        <f t="shared" si="60"/>
        <v>0.8957142857142858</v>
      </c>
      <c r="AD138" s="2"/>
      <c r="AE138" s="1" t="s">
        <v>118</v>
      </c>
      <c r="AF138" s="1" t="s">
        <v>319</v>
      </c>
      <c r="AG138" s="46">
        <f t="shared" si="53"/>
        <v>0.35847167004602953</v>
      </c>
      <c r="AI138" s="46"/>
      <c r="AJ138" s="46"/>
      <c r="AK138" s="46"/>
    </row>
    <row r="139" spans="1:37">
      <c r="A139" s="1" t="s">
        <v>38</v>
      </c>
      <c r="B139" s="1" t="s">
        <v>320</v>
      </c>
      <c r="C139" s="48">
        <v>4885240</v>
      </c>
      <c r="D139" s="48">
        <f t="shared" si="49"/>
        <v>3790946.24</v>
      </c>
      <c r="E139" s="48">
        <f t="shared" si="50"/>
        <v>1094293.7600000002</v>
      </c>
      <c r="F139" s="2">
        <v>1.1635749522060874</v>
      </c>
      <c r="G139">
        <v>77.599999999999994</v>
      </c>
      <c r="H139">
        <f t="shared" si="51"/>
        <v>22.400000000000006</v>
      </c>
      <c r="I139" s="47">
        <v>1.2409244468450793</v>
      </c>
      <c r="J139" s="47">
        <v>0.89607590727578434</v>
      </c>
      <c r="K139" s="48">
        <f t="shared" ref="K139:K170" si="61">C139*F139/100</f>
        <v>56843.428995152666</v>
      </c>
      <c r="L139" s="48">
        <f t="shared" ref="L139:L170" si="62">D139*F139/100</f>
        <v>44110.500900238476</v>
      </c>
      <c r="M139" s="49">
        <f t="shared" ref="M139:M170" si="63">(D139*I139/100-L139)/L139</f>
        <v>6.6475730241821115E-2</v>
      </c>
      <c r="N139" s="59"/>
      <c r="O139" s="47">
        <v>23.435705593123892</v>
      </c>
      <c r="P139" s="47" t="e">
        <v>#N/A</v>
      </c>
      <c r="Q139" s="56"/>
      <c r="R139">
        <v>100</v>
      </c>
      <c r="S139">
        <v>100</v>
      </c>
      <c r="T139">
        <v>100</v>
      </c>
      <c r="U139">
        <f t="shared" si="52"/>
        <v>0</v>
      </c>
      <c r="W139">
        <v>0</v>
      </c>
      <c r="Z139" s="2">
        <f t="shared" ref="Z139:Z170" si="64">MAX(0,MIN(1,(M139-Z$8)/(Z$9-Z$8)))</f>
        <v>3.3237865120910558E-2</v>
      </c>
      <c r="AA139" s="2">
        <f t="shared" ref="AA139:AA170" si="65">MAX(0,MIN(1,(O139-AA$8)/(AA$9-AA$8)))</f>
        <v>0.1919386513303413</v>
      </c>
      <c r="AB139" s="2">
        <f t="shared" ref="AB139:AB170" si="66">MAX(0,MIN(1,(U139-AB$8)/(AB$9-AB$8)))</f>
        <v>0</v>
      </c>
      <c r="AC139" s="2">
        <f t="shared" ref="AC139:AC170" si="67">MAX(0,MIN(1,(W139-AC$8)/(AC$9-AC$8)))</f>
        <v>0</v>
      </c>
      <c r="AD139" s="2"/>
      <c r="AE139" s="1" t="s">
        <v>38</v>
      </c>
      <c r="AF139" s="1" t="s">
        <v>320</v>
      </c>
      <c r="AG139" s="46">
        <f t="shared" si="53"/>
        <v>5.6294129112812966E-2</v>
      </c>
      <c r="AI139" s="46"/>
      <c r="AJ139" s="46"/>
      <c r="AK139" s="46"/>
    </row>
    <row r="140" spans="1:37">
      <c r="A140" s="1" t="s">
        <v>52</v>
      </c>
      <c r="B140" s="1" t="s">
        <v>321</v>
      </c>
      <c r="C140" s="48">
        <v>2782435</v>
      </c>
      <c r="D140" s="48">
        <f t="shared" ref="D140:D202" si="68">C140*G140/100</f>
        <v>1995005.895</v>
      </c>
      <c r="E140" s="48">
        <f t="shared" ref="E140:E202" si="69">C140*H140/100</f>
        <v>787429.10499999986</v>
      </c>
      <c r="F140" s="2">
        <v>2.558808373009724</v>
      </c>
      <c r="G140">
        <v>71.7</v>
      </c>
      <c r="H140">
        <f t="shared" ref="H140:H202" si="70">100-G140</f>
        <v>28.299999999999997</v>
      </c>
      <c r="I140" s="47">
        <v>2.6146119458864105</v>
      </c>
      <c r="J140" s="47">
        <v>2.4175654116754939</v>
      </c>
      <c r="K140" s="48">
        <f t="shared" si="61"/>
        <v>71197.179753553108</v>
      </c>
      <c r="L140" s="48">
        <f t="shared" si="62"/>
        <v>51048.377883297588</v>
      </c>
      <c r="M140" s="49">
        <f t="shared" si="63"/>
        <v>2.1808422023822355E-2</v>
      </c>
      <c r="N140" s="59"/>
      <c r="O140" s="47">
        <v>32.625026832972409</v>
      </c>
      <c r="P140" s="47" t="e">
        <v>#N/A</v>
      </c>
      <c r="Q140" s="56"/>
      <c r="R140">
        <v>87</v>
      </c>
      <c r="S140">
        <v>61</v>
      </c>
      <c r="T140">
        <v>97</v>
      </c>
      <c r="U140">
        <f t="shared" ref="U140:U202" si="71">T140-S140</f>
        <v>36</v>
      </c>
      <c r="W140">
        <v>0</v>
      </c>
      <c r="Z140" s="2">
        <f t="shared" si="64"/>
        <v>1.0904211011911177E-2</v>
      </c>
      <c r="AA140" s="2">
        <f t="shared" si="65"/>
        <v>0.32321466904246299</v>
      </c>
      <c r="AB140" s="2">
        <f t="shared" si="66"/>
        <v>0.9</v>
      </c>
      <c r="AC140" s="2">
        <f t="shared" si="67"/>
        <v>0</v>
      </c>
      <c r="AD140" s="2"/>
      <c r="AE140" s="1" t="s">
        <v>52</v>
      </c>
      <c r="AF140" s="1" t="s">
        <v>321</v>
      </c>
      <c r="AG140" s="46">
        <f t="shared" ref="AG140:AG202" si="72">IF(COUNT(Z140:AC140)&gt;2,mmean(Z140:AC140),NA())</f>
        <v>0.30852972001359358</v>
      </c>
      <c r="AI140" s="46"/>
      <c r="AJ140" s="46"/>
      <c r="AK140" s="46"/>
    </row>
    <row r="141" spans="1:37">
      <c r="A141" s="1" t="s">
        <v>143</v>
      </c>
      <c r="B141" s="1" t="s">
        <v>322</v>
      </c>
      <c r="C141" s="48">
        <v>173593383</v>
      </c>
      <c r="D141" s="48">
        <f t="shared" si="68"/>
        <v>64229551.710000001</v>
      </c>
      <c r="E141" s="48">
        <f t="shared" si="69"/>
        <v>109363831.29000001</v>
      </c>
      <c r="F141" s="2">
        <v>1.8013427085722462</v>
      </c>
      <c r="G141">
        <v>37</v>
      </c>
      <c r="H141">
        <f t="shared" si="70"/>
        <v>63</v>
      </c>
      <c r="I141" s="47">
        <v>2.9429696767227278</v>
      </c>
      <c r="J141" s="47">
        <v>1.1368884367053629</v>
      </c>
      <c r="K141" s="48">
        <f t="shared" si="61"/>
        <v>3127011.7472343934</v>
      </c>
      <c r="L141" s="48">
        <f t="shared" si="62"/>
        <v>1156994.3464767255</v>
      </c>
      <c r="M141" s="49">
        <f t="shared" si="63"/>
        <v>0.63376444844043089</v>
      </c>
      <c r="N141" s="59"/>
      <c r="O141" s="47">
        <v>20.434196799721054</v>
      </c>
      <c r="P141" s="47">
        <v>18.12042455558343</v>
      </c>
      <c r="Q141" s="56"/>
      <c r="R141">
        <v>45</v>
      </c>
      <c r="S141">
        <v>29</v>
      </c>
      <c r="T141">
        <v>72</v>
      </c>
      <c r="U141">
        <f t="shared" si="71"/>
        <v>43</v>
      </c>
      <c r="W141">
        <v>46.6</v>
      </c>
      <c r="Z141" s="2">
        <f t="shared" si="64"/>
        <v>0.31688222422021545</v>
      </c>
      <c r="AA141" s="2">
        <f t="shared" si="65"/>
        <v>0.14905995428172933</v>
      </c>
      <c r="AB141" s="2">
        <f t="shared" si="66"/>
        <v>1</v>
      </c>
      <c r="AC141" s="2">
        <f t="shared" si="67"/>
        <v>0.6657142857142857</v>
      </c>
      <c r="AD141" s="2"/>
      <c r="AE141" s="1" t="s">
        <v>143</v>
      </c>
      <c r="AF141" s="1" t="s">
        <v>322</v>
      </c>
      <c r="AG141" s="46">
        <f t="shared" si="72"/>
        <v>0.53291411605405759</v>
      </c>
      <c r="AI141" s="46"/>
      <c r="AJ141" s="46"/>
      <c r="AK141" s="46"/>
    </row>
    <row r="142" spans="1:37">
      <c r="A142" s="1" t="s">
        <v>30</v>
      </c>
      <c r="B142" s="1" t="s">
        <v>323</v>
      </c>
      <c r="C142" s="48">
        <v>20472</v>
      </c>
      <c r="D142" s="48">
        <f t="shared" si="68"/>
        <v>16930.344000000001</v>
      </c>
      <c r="E142" s="48">
        <f t="shared" si="69"/>
        <v>3541.655999999999</v>
      </c>
      <c r="F142" s="2">
        <v>0.61737664859311192</v>
      </c>
      <c r="G142">
        <v>82.7</v>
      </c>
      <c r="H142">
        <f t="shared" si="70"/>
        <v>17.299999999999997</v>
      </c>
      <c r="I142" s="47">
        <v>1.9809234626164451</v>
      </c>
      <c r="J142" s="47">
        <v>-5.6556762837497292</v>
      </c>
      <c r="K142" s="48">
        <f t="shared" si="61"/>
        <v>126.38934749998187</v>
      </c>
      <c r="L142" s="48">
        <f t="shared" si="62"/>
        <v>104.52399038248501</v>
      </c>
      <c r="M142" s="49">
        <f t="shared" si="63"/>
        <v>2.2086141695359007</v>
      </c>
      <c r="N142" s="59"/>
      <c r="O142" s="47">
        <v>75.031930442279688</v>
      </c>
      <c r="P142" s="47" t="e">
        <v>#N/A</v>
      </c>
      <c r="Q142" s="56"/>
      <c r="R142">
        <v>83</v>
      </c>
      <c r="S142">
        <v>52</v>
      </c>
      <c r="T142">
        <v>96</v>
      </c>
      <c r="U142">
        <f t="shared" si="71"/>
        <v>44</v>
      </c>
      <c r="W142" t="e">
        <v>#N/A</v>
      </c>
      <c r="Z142" s="2">
        <f t="shared" si="64"/>
        <v>1</v>
      </c>
      <c r="AA142" s="2">
        <f t="shared" si="65"/>
        <v>0.92902757774685263</v>
      </c>
      <c r="AB142" s="2">
        <f t="shared" si="66"/>
        <v>1</v>
      </c>
      <c r="AC142" s="2" t="e">
        <f t="shared" si="67"/>
        <v>#N/A</v>
      </c>
      <c r="AD142" s="2"/>
      <c r="AE142" s="1" t="s">
        <v>30</v>
      </c>
      <c r="AF142" s="1" t="s">
        <v>323</v>
      </c>
      <c r="AG142" s="46">
        <f t="shared" si="72"/>
        <v>0.97634252591561754</v>
      </c>
      <c r="AI142" s="46"/>
      <c r="AJ142" s="46"/>
      <c r="AK142" s="46"/>
    </row>
    <row r="143" spans="1:37">
      <c r="A143" s="1" t="s">
        <v>49</v>
      </c>
      <c r="B143" s="1" t="s">
        <v>324</v>
      </c>
      <c r="C143" s="48">
        <v>3516820</v>
      </c>
      <c r="D143" s="48">
        <f t="shared" si="68"/>
        <v>2630581.36</v>
      </c>
      <c r="E143" s="48">
        <f t="shared" si="69"/>
        <v>886238.64000000013</v>
      </c>
      <c r="F143" s="2">
        <v>1.5739312041201765</v>
      </c>
      <c r="G143">
        <v>74.8</v>
      </c>
      <c r="H143">
        <f t="shared" si="70"/>
        <v>25.200000000000003</v>
      </c>
      <c r="I143" s="47">
        <v>2.6492103817463275</v>
      </c>
      <c r="J143" s="47">
        <v>-1.5513231462902306</v>
      </c>
      <c r="K143" s="48">
        <f t="shared" si="61"/>
        <v>55352.327372739193</v>
      </c>
      <c r="L143" s="48">
        <f t="shared" si="62"/>
        <v>41403.540874808918</v>
      </c>
      <c r="M143" s="49">
        <f t="shared" si="63"/>
        <v>0.68318054487472279</v>
      </c>
      <c r="N143" s="59"/>
      <c r="O143" s="47">
        <v>52.401724613451997</v>
      </c>
      <c r="P143" s="47">
        <v>39.196490010862085</v>
      </c>
      <c r="Q143" s="56"/>
      <c r="R143">
        <v>69</v>
      </c>
      <c r="S143">
        <v>51</v>
      </c>
      <c r="T143">
        <v>75</v>
      </c>
      <c r="U143">
        <f t="shared" si="71"/>
        <v>24</v>
      </c>
      <c r="W143">
        <v>23</v>
      </c>
      <c r="Z143" s="2">
        <f t="shared" si="64"/>
        <v>0.3415902724373614</v>
      </c>
      <c r="AA143" s="2">
        <f t="shared" si="65"/>
        <v>0.6057389230493142</v>
      </c>
      <c r="AB143" s="2">
        <f t="shared" si="66"/>
        <v>0.6</v>
      </c>
      <c r="AC143" s="2">
        <f t="shared" si="67"/>
        <v>0.32857142857142857</v>
      </c>
      <c r="AD143" s="2"/>
      <c r="AE143" s="1" t="s">
        <v>49</v>
      </c>
      <c r="AF143" s="1" t="s">
        <v>324</v>
      </c>
      <c r="AG143" s="46">
        <f t="shared" si="72"/>
        <v>0.46897515601452605</v>
      </c>
      <c r="AI143" s="46"/>
      <c r="AJ143" s="46"/>
      <c r="AK143" s="46"/>
    </row>
    <row r="144" spans="1:37">
      <c r="A144" s="1" t="s">
        <v>190</v>
      </c>
      <c r="B144" s="1" t="s">
        <v>325</v>
      </c>
      <c r="C144" s="48">
        <v>6858266</v>
      </c>
      <c r="D144" s="48">
        <f t="shared" si="68"/>
        <v>857283.25</v>
      </c>
      <c r="E144" s="48">
        <f t="shared" si="69"/>
        <v>6000982.75</v>
      </c>
      <c r="F144" s="2">
        <v>2.284559769906922</v>
      </c>
      <c r="G144">
        <v>12.5</v>
      </c>
      <c r="H144">
        <f t="shared" si="70"/>
        <v>87.5</v>
      </c>
      <c r="I144" s="47">
        <v>2.1246876335372216</v>
      </c>
      <c r="J144" s="47">
        <v>2.3074195254070857</v>
      </c>
      <c r="K144" s="48">
        <f t="shared" si="61"/>
        <v>156681.18594920466</v>
      </c>
      <c r="L144" s="48">
        <f t="shared" si="62"/>
        <v>19585.148243650583</v>
      </c>
      <c r="M144" s="49">
        <f t="shared" si="63"/>
        <v>-6.9979406306456007E-2</v>
      </c>
      <c r="N144" s="59"/>
      <c r="O144" s="47">
        <v>37.365381660412432</v>
      </c>
      <c r="P144" s="47" t="e">
        <v>#N/A</v>
      </c>
      <c r="Q144" s="56"/>
      <c r="R144">
        <v>45</v>
      </c>
      <c r="S144">
        <v>41</v>
      </c>
      <c r="T144">
        <v>71</v>
      </c>
      <c r="U144">
        <f t="shared" si="71"/>
        <v>30</v>
      </c>
      <c r="W144" t="e">
        <v>#N/A</v>
      </c>
      <c r="Z144" s="2">
        <f t="shared" si="64"/>
        <v>0</v>
      </c>
      <c r="AA144" s="2">
        <f t="shared" si="65"/>
        <v>0.3909340237201776</v>
      </c>
      <c r="AB144" s="2">
        <f t="shared" si="66"/>
        <v>0.75</v>
      </c>
      <c r="AC144" s="2" t="e">
        <f t="shared" si="67"/>
        <v>#N/A</v>
      </c>
      <c r="AD144" s="2"/>
      <c r="AE144" s="1" t="s">
        <v>190</v>
      </c>
      <c r="AF144" s="1" t="s">
        <v>325</v>
      </c>
      <c r="AG144" s="46">
        <f t="shared" si="72"/>
        <v>0.38031134124005916</v>
      </c>
      <c r="AI144" s="46"/>
      <c r="AJ144" s="46"/>
      <c r="AK144" s="46"/>
    </row>
    <row r="145" spans="1:37">
      <c r="A145" s="1" t="s">
        <v>86</v>
      </c>
      <c r="B145" s="1" t="s">
        <v>326</v>
      </c>
      <c r="C145" s="48">
        <v>6454548</v>
      </c>
      <c r="D145" s="48">
        <f t="shared" si="68"/>
        <v>3969547.02</v>
      </c>
      <c r="E145" s="48">
        <f t="shared" si="69"/>
        <v>2485000.98</v>
      </c>
      <c r="F145" s="2">
        <v>1.7607851966197023</v>
      </c>
      <c r="G145">
        <v>61.5</v>
      </c>
      <c r="H145">
        <f t="shared" si="70"/>
        <v>38.5</v>
      </c>
      <c r="I145" s="47">
        <v>2.7411852062817901</v>
      </c>
      <c r="J145" s="47">
        <v>0.21436262686155338</v>
      </c>
      <c r="K145" s="48">
        <f t="shared" si="61"/>
        <v>113650.72569271308</v>
      </c>
      <c r="L145" s="48">
        <f t="shared" si="62"/>
        <v>69895.196301018543</v>
      </c>
      <c r="M145" s="49">
        <f t="shared" si="63"/>
        <v>0.55679705369185695</v>
      </c>
      <c r="N145" s="59"/>
      <c r="O145" s="47">
        <v>51.130922238074405</v>
      </c>
      <c r="P145" s="47">
        <v>31.445517176415759</v>
      </c>
      <c r="Q145" s="56"/>
      <c r="R145">
        <v>70</v>
      </c>
      <c r="S145">
        <v>40</v>
      </c>
      <c r="T145">
        <v>90</v>
      </c>
      <c r="U145">
        <f t="shared" si="71"/>
        <v>50</v>
      </c>
      <c r="W145">
        <v>17.600000000000001</v>
      </c>
      <c r="Z145" s="2">
        <f t="shared" si="64"/>
        <v>0.27839852684592847</v>
      </c>
      <c r="AA145" s="2">
        <f t="shared" si="65"/>
        <v>0.58758460340106289</v>
      </c>
      <c r="AB145" s="2">
        <f t="shared" si="66"/>
        <v>1</v>
      </c>
      <c r="AC145" s="2">
        <f t="shared" si="67"/>
        <v>0.25142857142857145</v>
      </c>
      <c r="AD145" s="2"/>
      <c r="AE145" s="1" t="s">
        <v>86</v>
      </c>
      <c r="AF145" s="1" t="s">
        <v>326</v>
      </c>
      <c r="AG145" s="46">
        <f t="shared" si="72"/>
        <v>0.52935292541889067</v>
      </c>
      <c r="AI145" s="46"/>
      <c r="AJ145" s="46"/>
      <c r="AK145" s="46"/>
    </row>
    <row r="146" spans="1:37">
      <c r="A146" s="1" t="s">
        <v>37</v>
      </c>
      <c r="B146" s="1" t="s">
        <v>327</v>
      </c>
      <c r="C146" s="48">
        <v>29076512</v>
      </c>
      <c r="D146" s="48">
        <f t="shared" si="68"/>
        <v>20818782.591999996</v>
      </c>
      <c r="E146" s="48">
        <f t="shared" si="69"/>
        <v>8257729.4080000017</v>
      </c>
      <c r="F146" s="2">
        <v>1.0765698348323889</v>
      </c>
      <c r="G146">
        <v>71.599999999999994</v>
      </c>
      <c r="H146">
        <f t="shared" si="70"/>
        <v>28.400000000000006</v>
      </c>
      <c r="I146" s="47">
        <v>1.2163322614961745</v>
      </c>
      <c r="J146" s="47">
        <v>0.72507562408796389</v>
      </c>
      <c r="K146" s="48">
        <f t="shared" si="61"/>
        <v>313028.95721341972</v>
      </c>
      <c r="L146" s="48">
        <f t="shared" si="62"/>
        <v>224128.73336480849</v>
      </c>
      <c r="M146" s="49">
        <f t="shared" si="63"/>
        <v>0.12982197916175606</v>
      </c>
      <c r="N146" s="59"/>
      <c r="O146" s="47">
        <v>42.944658077343938</v>
      </c>
      <c r="P146" s="47">
        <v>30.748375183378251</v>
      </c>
      <c r="Q146" s="56"/>
      <c r="R146">
        <v>68</v>
      </c>
      <c r="S146">
        <v>36</v>
      </c>
      <c r="T146">
        <v>81</v>
      </c>
      <c r="U146">
        <f t="shared" si="71"/>
        <v>45</v>
      </c>
      <c r="W146">
        <v>36.1</v>
      </c>
      <c r="Z146" s="2">
        <f t="shared" si="64"/>
        <v>6.4910989580878029E-2</v>
      </c>
      <c r="AA146" s="2">
        <f t="shared" si="65"/>
        <v>0.47063797253348483</v>
      </c>
      <c r="AB146" s="2">
        <f t="shared" si="66"/>
        <v>1</v>
      </c>
      <c r="AC146" s="2">
        <f t="shared" si="67"/>
        <v>0.51571428571428568</v>
      </c>
      <c r="AD146" s="2"/>
      <c r="AE146" s="1" t="s">
        <v>37</v>
      </c>
      <c r="AF146" s="1" t="s">
        <v>327</v>
      </c>
      <c r="AG146" s="46">
        <f t="shared" si="72"/>
        <v>0.51281581195716208</v>
      </c>
      <c r="AI146" s="46"/>
      <c r="AJ146" s="46"/>
      <c r="AK146" s="46"/>
    </row>
    <row r="147" spans="1:37">
      <c r="A147" s="1" t="s">
        <v>73</v>
      </c>
      <c r="B147" s="1" t="s">
        <v>328</v>
      </c>
      <c r="C147" s="48">
        <v>93260798</v>
      </c>
      <c r="D147" s="48">
        <f t="shared" si="68"/>
        <v>61925169.872000009</v>
      </c>
      <c r="E147" s="48">
        <f t="shared" si="69"/>
        <v>31335628.127999991</v>
      </c>
      <c r="F147" s="2">
        <v>1.684377253449872</v>
      </c>
      <c r="G147">
        <v>66.400000000000006</v>
      </c>
      <c r="H147">
        <f t="shared" si="70"/>
        <v>33.599999999999994</v>
      </c>
      <c r="I147" s="47">
        <v>2.805091694344056</v>
      </c>
      <c r="J147" s="47">
        <v>-0.49410159656726788</v>
      </c>
      <c r="K147" s="48">
        <f t="shared" si="61"/>
        <v>1570863.6678978333</v>
      </c>
      <c r="L147" s="48">
        <f t="shared" si="62"/>
        <v>1043053.4754841614</v>
      </c>
      <c r="M147" s="49">
        <f t="shared" si="63"/>
        <v>0.66535833264120781</v>
      </c>
      <c r="N147" s="59"/>
      <c r="O147" s="47">
        <v>18.777967059332735</v>
      </c>
      <c r="P147" s="47">
        <v>14.097046435309293</v>
      </c>
      <c r="Q147" s="56"/>
      <c r="R147">
        <v>76</v>
      </c>
      <c r="S147">
        <v>69</v>
      </c>
      <c r="T147">
        <v>80</v>
      </c>
      <c r="U147">
        <f t="shared" si="71"/>
        <v>11</v>
      </c>
      <c r="W147">
        <v>40.9</v>
      </c>
      <c r="Z147" s="2">
        <f t="shared" si="64"/>
        <v>0.3326791663206039</v>
      </c>
      <c r="AA147" s="2">
        <f t="shared" si="65"/>
        <v>0.12539952941903906</v>
      </c>
      <c r="AB147" s="2">
        <f t="shared" si="66"/>
        <v>0.27500000000000002</v>
      </c>
      <c r="AC147" s="2">
        <f t="shared" si="67"/>
        <v>0.5842857142857143</v>
      </c>
      <c r="AD147" s="2"/>
      <c r="AE147" s="1" t="s">
        <v>73</v>
      </c>
      <c r="AF147" s="1" t="s">
        <v>328</v>
      </c>
      <c r="AG147" s="46">
        <f t="shared" si="72"/>
        <v>0.3293411025063393</v>
      </c>
      <c r="AI147" s="46"/>
      <c r="AJ147" s="46"/>
      <c r="AK147" s="46"/>
    </row>
    <row r="148" spans="1:37">
      <c r="A148" s="1" t="s">
        <v>81</v>
      </c>
      <c r="B148" s="1" t="s">
        <v>329</v>
      </c>
      <c r="C148" s="48">
        <v>38187488</v>
      </c>
      <c r="D148" s="48">
        <f t="shared" si="68"/>
        <v>23370742.655999999</v>
      </c>
      <c r="E148" s="48">
        <f t="shared" si="69"/>
        <v>14816745.343999999</v>
      </c>
      <c r="F148" s="2">
        <v>9.4014749646832596E-2</v>
      </c>
      <c r="G148">
        <v>61.2</v>
      </c>
      <c r="H148">
        <f t="shared" si="70"/>
        <v>38.799999999999997</v>
      </c>
      <c r="I148" s="47">
        <v>-3.9764389880240034E-3</v>
      </c>
      <c r="J148" s="47">
        <v>0.24877361468461581</v>
      </c>
      <c r="K148" s="48">
        <f t="shared" si="61"/>
        <v>35901.871239614236</v>
      </c>
      <c r="L148" s="48">
        <f t="shared" si="62"/>
        <v>21971.945198643916</v>
      </c>
      <c r="M148" s="49">
        <f t="shared" si="63"/>
        <v>-1.0422959057271495</v>
      </c>
      <c r="N148" s="59"/>
      <c r="O148" s="47">
        <v>7.3265279807460821</v>
      </c>
      <c r="P148" s="47">
        <v>4.4838351242166024</v>
      </c>
      <c r="Q148" s="56"/>
      <c r="R148">
        <v>90</v>
      </c>
      <c r="S148">
        <v>80</v>
      </c>
      <c r="T148">
        <v>96</v>
      </c>
      <c r="U148">
        <f t="shared" si="71"/>
        <v>16</v>
      </c>
      <c r="W148">
        <v>0</v>
      </c>
      <c r="Z148" s="2">
        <f t="shared" si="64"/>
        <v>0</v>
      </c>
      <c r="AA148" s="2">
        <f t="shared" si="65"/>
        <v>0</v>
      </c>
      <c r="AB148" s="2">
        <f t="shared" si="66"/>
        <v>0.4</v>
      </c>
      <c r="AC148" s="2">
        <f t="shared" si="67"/>
        <v>0</v>
      </c>
      <c r="AD148" s="2"/>
      <c r="AE148" s="1" t="s">
        <v>81</v>
      </c>
      <c r="AF148" s="1" t="s">
        <v>329</v>
      </c>
      <c r="AG148" s="46">
        <f t="shared" si="72"/>
        <v>0.1</v>
      </c>
      <c r="AI148" s="46"/>
      <c r="AJ148" s="46"/>
      <c r="AK148" s="46"/>
    </row>
    <row r="149" spans="1:37">
      <c r="A149" s="1" t="s">
        <v>91</v>
      </c>
      <c r="B149" s="1" t="s">
        <v>330</v>
      </c>
      <c r="C149" s="48">
        <v>10642841</v>
      </c>
      <c r="D149" s="48">
        <f t="shared" si="68"/>
        <v>6460204.4870000007</v>
      </c>
      <c r="E149" s="48">
        <f t="shared" si="69"/>
        <v>4182636.5129999993</v>
      </c>
      <c r="F149" s="2">
        <v>9.7380432895109836E-2</v>
      </c>
      <c r="G149">
        <v>60.7</v>
      </c>
      <c r="H149">
        <f t="shared" si="70"/>
        <v>39.299999999999997</v>
      </c>
      <c r="I149" s="47">
        <v>1.124049493852437</v>
      </c>
      <c r="J149" s="47">
        <v>-1.4679128239096986</v>
      </c>
      <c r="K149" s="48">
        <f t="shared" si="61"/>
        <v>10364.044638138237</v>
      </c>
      <c r="L149" s="48">
        <f t="shared" si="62"/>
        <v>6290.9750953499097</v>
      </c>
      <c r="M149" s="49">
        <f t="shared" si="63"/>
        <v>10.542868114615699</v>
      </c>
      <c r="N149" s="59"/>
      <c r="O149" s="47">
        <v>43.713244769306009</v>
      </c>
      <c r="P149" s="47">
        <v>39.262570962020391</v>
      </c>
      <c r="Q149" s="56"/>
      <c r="R149">
        <v>100</v>
      </c>
      <c r="S149">
        <v>100</v>
      </c>
      <c r="T149">
        <v>100</v>
      </c>
      <c r="U149">
        <f t="shared" si="71"/>
        <v>0</v>
      </c>
      <c r="W149">
        <v>0</v>
      </c>
      <c r="Z149" s="2">
        <f t="shared" si="64"/>
        <v>1</v>
      </c>
      <c r="AA149" s="2">
        <f t="shared" si="65"/>
        <v>0.48161778241865727</v>
      </c>
      <c r="AB149" s="2">
        <f t="shared" si="66"/>
        <v>0</v>
      </c>
      <c r="AC149" s="2">
        <f t="shared" si="67"/>
        <v>0</v>
      </c>
      <c r="AD149" s="2"/>
      <c r="AE149" s="1" t="s">
        <v>91</v>
      </c>
      <c r="AF149" s="1" t="s">
        <v>330</v>
      </c>
      <c r="AG149" s="46">
        <f t="shared" si="72"/>
        <v>0.37040444560466435</v>
      </c>
      <c r="AI149" s="46"/>
      <c r="AJ149" s="46"/>
      <c r="AK149" s="46"/>
    </row>
    <row r="150" spans="1:37">
      <c r="A150" s="1" t="s">
        <v>5</v>
      </c>
      <c r="B150" s="1" t="s">
        <v>331</v>
      </c>
      <c r="C150" s="48">
        <v>1758793</v>
      </c>
      <c r="D150" s="48">
        <f t="shared" si="68"/>
        <v>1684923.6940000001</v>
      </c>
      <c r="E150" s="48">
        <f t="shared" si="69"/>
        <v>73869.306000000055</v>
      </c>
      <c r="F150" s="2">
        <v>9.6022000623898922</v>
      </c>
      <c r="G150">
        <v>95.8</v>
      </c>
      <c r="H150">
        <f t="shared" si="70"/>
        <v>4.2000000000000028</v>
      </c>
      <c r="I150" s="47">
        <v>9.6857422560541373</v>
      </c>
      <c r="J150" s="47">
        <v>7.7153516319515196</v>
      </c>
      <c r="K150" s="48">
        <f t="shared" si="61"/>
        <v>168882.82254330907</v>
      </c>
      <c r="L150" s="48">
        <f t="shared" si="62"/>
        <v>161789.74399649008</v>
      </c>
      <c r="M150" s="49">
        <f t="shared" si="63"/>
        <v>8.7003179606167484E-3</v>
      </c>
      <c r="N150" s="59"/>
      <c r="O150" s="47">
        <v>27.894755812976939</v>
      </c>
      <c r="P150" s="47" t="e">
        <v>#N/A</v>
      </c>
      <c r="Q150" s="56"/>
      <c r="R150">
        <v>100</v>
      </c>
      <c r="S150">
        <v>100</v>
      </c>
      <c r="T150">
        <v>100</v>
      </c>
      <c r="U150">
        <f t="shared" si="71"/>
        <v>0</v>
      </c>
      <c r="W150">
        <v>0</v>
      </c>
      <c r="Z150" s="2">
        <f t="shared" si="64"/>
        <v>4.3501589803083742E-3</v>
      </c>
      <c r="AA150" s="2">
        <f t="shared" si="65"/>
        <v>0.25563936875681342</v>
      </c>
      <c r="AB150" s="2">
        <f t="shared" si="66"/>
        <v>0</v>
      </c>
      <c r="AC150" s="2">
        <f t="shared" si="67"/>
        <v>0</v>
      </c>
      <c r="AD150" s="2"/>
      <c r="AE150" s="1" t="s">
        <v>5</v>
      </c>
      <c r="AF150" s="1" t="s">
        <v>331</v>
      </c>
      <c r="AG150" s="46">
        <f t="shared" si="72"/>
        <v>6.4997381934280452E-2</v>
      </c>
      <c r="AI150" s="46"/>
      <c r="AJ150" s="46"/>
      <c r="AK150" s="46"/>
    </row>
    <row r="151" spans="1:37">
      <c r="A151" s="1" t="s">
        <v>103</v>
      </c>
      <c r="B151" s="1" t="s">
        <v>332</v>
      </c>
      <c r="C151" s="48" t="e">
        <v>#N/A</v>
      </c>
      <c r="D151" s="48" t="e">
        <f t="shared" si="68"/>
        <v>#N/A</v>
      </c>
      <c r="E151" s="48" t="e">
        <f t="shared" si="69"/>
        <v>#N/A</v>
      </c>
      <c r="F151" s="2" t="e">
        <v>#N/A</v>
      </c>
      <c r="G151" t="e">
        <v>#N/A</v>
      </c>
      <c r="H151" t="e">
        <f t="shared" si="70"/>
        <v>#N/A</v>
      </c>
      <c r="I151" s="47" t="e">
        <v>#N/A</v>
      </c>
      <c r="J151" s="47" t="e">
        <v>#N/A</v>
      </c>
      <c r="K151" s="48" t="e">
        <f t="shared" si="61"/>
        <v>#N/A</v>
      </c>
      <c r="L151" s="48" t="e">
        <f t="shared" si="62"/>
        <v>#N/A</v>
      </c>
      <c r="M151" s="49" t="e">
        <f t="shared" si="63"/>
        <v>#N/A</v>
      </c>
      <c r="N151" s="59"/>
      <c r="O151" s="47" t="e">
        <v>#N/A</v>
      </c>
      <c r="P151" s="47" t="e">
        <v>#N/A</v>
      </c>
      <c r="Q151" s="56"/>
      <c r="R151" t="e">
        <v>#N/A</v>
      </c>
      <c r="S151" t="e">
        <v>#N/A</v>
      </c>
      <c r="T151" t="e">
        <v>#N/A</v>
      </c>
      <c r="U151" t="e">
        <f t="shared" si="71"/>
        <v>#N/A</v>
      </c>
      <c r="W151">
        <v>0</v>
      </c>
      <c r="Z151" s="2" t="e">
        <f t="shared" si="64"/>
        <v>#N/A</v>
      </c>
      <c r="AA151" s="2" t="e">
        <f t="shared" si="65"/>
        <v>#N/A</v>
      </c>
      <c r="AB151" s="2" t="e">
        <f t="shared" si="66"/>
        <v>#N/A</v>
      </c>
      <c r="AC151" s="2">
        <f t="shared" si="67"/>
        <v>0</v>
      </c>
      <c r="AD151" s="2"/>
      <c r="AE151" s="1" t="s">
        <v>103</v>
      </c>
      <c r="AF151" s="1" t="s">
        <v>332</v>
      </c>
      <c r="AG151" s="46" t="e">
        <f t="shared" si="72"/>
        <v>#N/A</v>
      </c>
      <c r="AI151" s="46"/>
      <c r="AJ151" s="46"/>
      <c r="AK151" s="46"/>
    </row>
    <row r="152" spans="1:37">
      <c r="A152" s="1" t="s">
        <v>48</v>
      </c>
      <c r="B152" s="1" t="s">
        <v>333</v>
      </c>
      <c r="C152" s="48">
        <v>141750000</v>
      </c>
      <c r="D152" s="48">
        <f t="shared" si="68"/>
        <v>103194000</v>
      </c>
      <c r="E152" s="48">
        <f t="shared" si="69"/>
        <v>38556000.000000007</v>
      </c>
      <c r="F152" s="2">
        <v>-7.052186469988958E-2</v>
      </c>
      <c r="G152">
        <v>72.8</v>
      </c>
      <c r="H152">
        <f t="shared" si="70"/>
        <v>27.200000000000003</v>
      </c>
      <c r="I152" s="47">
        <v>-9.7990619164585041E-2</v>
      </c>
      <c r="J152" s="47">
        <v>3.0345931954734121E-3</v>
      </c>
      <c r="K152" s="48">
        <f t="shared" si="61"/>
        <v>-99964.743212093483</v>
      </c>
      <c r="L152" s="48">
        <f t="shared" si="62"/>
        <v>-72774.333058404052</v>
      </c>
      <c r="M152" s="49">
        <f t="shared" si="63"/>
        <v>0.38950692216648747</v>
      </c>
      <c r="N152" s="59"/>
      <c r="O152" s="47">
        <v>10.22335794716747</v>
      </c>
      <c r="P152" s="47">
        <v>18.124123456790127</v>
      </c>
      <c r="Q152" s="56"/>
      <c r="R152">
        <v>87</v>
      </c>
      <c r="S152">
        <v>70</v>
      </c>
      <c r="T152">
        <v>93</v>
      </c>
      <c r="U152">
        <f t="shared" si="71"/>
        <v>23</v>
      </c>
      <c r="W152">
        <v>0</v>
      </c>
      <c r="Z152" s="2">
        <f t="shared" si="64"/>
        <v>0.19475346108324373</v>
      </c>
      <c r="AA152" s="2">
        <f t="shared" si="65"/>
        <v>3.1908278166781403E-3</v>
      </c>
      <c r="AB152" s="2">
        <f t="shared" si="66"/>
        <v>0.57499999999999996</v>
      </c>
      <c r="AC152" s="2">
        <f t="shared" si="67"/>
        <v>0</v>
      </c>
      <c r="AD152" s="2"/>
      <c r="AE152" s="1" t="s">
        <v>48</v>
      </c>
      <c r="AF152" s="1" t="s">
        <v>333</v>
      </c>
      <c r="AG152" s="46">
        <f t="shared" si="72"/>
        <v>0.19323607222498046</v>
      </c>
      <c r="AI152" s="46"/>
      <c r="AJ152" s="46"/>
      <c r="AK152" s="46"/>
    </row>
    <row r="153" spans="1:37">
      <c r="A153" s="1" t="s">
        <v>182</v>
      </c>
      <c r="B153" s="1" t="s">
        <v>334</v>
      </c>
      <c r="C153" s="48">
        <v>10624005</v>
      </c>
      <c r="D153" s="48">
        <f t="shared" si="68"/>
        <v>2007936.9449999996</v>
      </c>
      <c r="E153" s="48">
        <f t="shared" si="69"/>
        <v>8616068.0549999997</v>
      </c>
      <c r="F153" s="2">
        <v>2.9878106640324615</v>
      </c>
      <c r="G153">
        <v>18.899999999999999</v>
      </c>
      <c r="H153">
        <f t="shared" si="70"/>
        <v>81.099999999999994</v>
      </c>
      <c r="I153" s="47">
        <v>4.4803756857000163</v>
      </c>
      <c r="J153" s="47">
        <v>2.6431525188148068</v>
      </c>
      <c r="K153" s="48">
        <f t="shared" si="61"/>
        <v>317425.1543373419</v>
      </c>
      <c r="L153" s="48">
        <f t="shared" si="62"/>
        <v>59993.354169757607</v>
      </c>
      <c r="M153" s="49">
        <f t="shared" si="63"/>
        <v>0.49955140720099483</v>
      </c>
      <c r="N153" s="59"/>
      <c r="O153" s="47">
        <v>57.07430220125763</v>
      </c>
      <c r="P153" s="47" t="e">
        <v>#N/A</v>
      </c>
      <c r="Q153" s="56"/>
      <c r="R153">
        <v>54</v>
      </c>
      <c r="S153">
        <v>55</v>
      </c>
      <c r="T153">
        <v>50</v>
      </c>
      <c r="U153">
        <f t="shared" si="71"/>
        <v>-5</v>
      </c>
      <c r="W153">
        <v>65.099999999999994</v>
      </c>
      <c r="Z153" s="2">
        <f t="shared" si="64"/>
        <v>0.24977570360049742</v>
      </c>
      <c r="AA153" s="2">
        <f t="shared" si="65"/>
        <v>0.67249003144653763</v>
      </c>
      <c r="AB153" s="2">
        <f t="shared" si="66"/>
        <v>0</v>
      </c>
      <c r="AC153" s="2">
        <f t="shared" si="67"/>
        <v>0.92999999999999994</v>
      </c>
      <c r="AD153" s="2"/>
      <c r="AE153" s="1" t="s">
        <v>182</v>
      </c>
      <c r="AF153" s="1" t="s">
        <v>334</v>
      </c>
      <c r="AG153" s="46">
        <f t="shared" si="72"/>
        <v>0.46306643376175871</v>
      </c>
      <c r="AI153" s="46"/>
      <c r="AJ153" s="46"/>
      <c r="AK153" s="46"/>
    </row>
    <row r="154" spans="1:37">
      <c r="A154" s="1" t="s">
        <v>151</v>
      </c>
      <c r="B154" s="1" t="s">
        <v>335</v>
      </c>
      <c r="C154" s="48">
        <v>52402</v>
      </c>
      <c r="D154" s="48">
        <f t="shared" si="68"/>
        <v>16978.248</v>
      </c>
      <c r="E154" s="48">
        <f t="shared" si="69"/>
        <v>35423.752</v>
      </c>
      <c r="F154" s="2">
        <v>1.2481679795866303</v>
      </c>
      <c r="G154">
        <v>32.4</v>
      </c>
      <c r="H154">
        <f t="shared" si="70"/>
        <v>67.599999999999994</v>
      </c>
      <c r="I154" s="47">
        <v>1.3717010403859036</v>
      </c>
      <c r="J154" s="47">
        <v>1.1890138814405016</v>
      </c>
      <c r="K154" s="48">
        <f t="shared" si="61"/>
        <v>654.06498466298603</v>
      </c>
      <c r="L154" s="48">
        <f t="shared" si="62"/>
        <v>211.91705503080746</v>
      </c>
      <c r="M154" s="49">
        <f t="shared" si="63"/>
        <v>9.8971502890328134E-2</v>
      </c>
      <c r="N154" s="59"/>
      <c r="O154" s="47">
        <v>76.712488829008791</v>
      </c>
      <c r="P154" s="47" t="e">
        <v>#N/A</v>
      </c>
      <c r="Q154" s="56"/>
      <c r="R154">
        <v>96</v>
      </c>
      <c r="S154">
        <v>96</v>
      </c>
      <c r="T154">
        <v>96</v>
      </c>
      <c r="U154">
        <f t="shared" si="71"/>
        <v>0</v>
      </c>
      <c r="W154">
        <v>0</v>
      </c>
      <c r="Z154" s="2">
        <f t="shared" si="64"/>
        <v>4.9485751445164067E-2</v>
      </c>
      <c r="AA154" s="2">
        <f t="shared" si="65"/>
        <v>0.95303555470012558</v>
      </c>
      <c r="AB154" s="2">
        <f t="shared" si="66"/>
        <v>0</v>
      </c>
      <c r="AC154" s="2">
        <f t="shared" si="67"/>
        <v>0</v>
      </c>
      <c r="AD154" s="2"/>
      <c r="AE154" s="1" t="s">
        <v>151</v>
      </c>
      <c r="AF154" s="1" t="s">
        <v>335</v>
      </c>
      <c r="AG154" s="46">
        <f t="shared" si="72"/>
        <v>0.25063032653632239</v>
      </c>
      <c r="AI154" s="46"/>
      <c r="AJ154" s="46"/>
      <c r="AK154" s="46"/>
    </row>
    <row r="155" spans="1:37">
      <c r="A155" s="1" t="s">
        <v>161</v>
      </c>
      <c r="B155" s="1" t="s">
        <v>336</v>
      </c>
      <c r="C155" s="48">
        <v>174000</v>
      </c>
      <c r="D155" s="48">
        <f t="shared" si="68"/>
        <v>48720</v>
      </c>
      <c r="E155" s="48">
        <f t="shared" si="69"/>
        <v>125280</v>
      </c>
      <c r="F155" s="2">
        <v>1.1027145406423355</v>
      </c>
      <c r="G155">
        <v>28</v>
      </c>
      <c r="H155">
        <f t="shared" si="70"/>
        <v>72</v>
      </c>
      <c r="I155" s="47">
        <v>1.3888377687455653</v>
      </c>
      <c r="J155" s="47">
        <v>0.99166511223963882</v>
      </c>
      <c r="K155" s="48">
        <f t="shared" si="61"/>
        <v>1918.723300717664</v>
      </c>
      <c r="L155" s="48">
        <f t="shared" si="62"/>
        <v>537.24252420094581</v>
      </c>
      <c r="M155" s="49">
        <f t="shared" si="63"/>
        <v>0.25947171054492663</v>
      </c>
      <c r="N155" s="59"/>
      <c r="O155" s="47">
        <v>32.040852257719493</v>
      </c>
      <c r="P155" s="47" t="e">
        <v>#N/A</v>
      </c>
      <c r="Q155" s="56"/>
      <c r="R155">
        <v>89</v>
      </c>
      <c r="S155">
        <v>89</v>
      </c>
      <c r="T155">
        <v>89</v>
      </c>
      <c r="U155">
        <f t="shared" si="71"/>
        <v>0</v>
      </c>
      <c r="W155">
        <v>11.9</v>
      </c>
      <c r="Z155" s="2">
        <f t="shared" si="64"/>
        <v>0.12973585527246331</v>
      </c>
      <c r="AA155" s="2">
        <f t="shared" si="65"/>
        <v>0.31486931796742135</v>
      </c>
      <c r="AB155" s="2">
        <f t="shared" si="66"/>
        <v>0</v>
      </c>
      <c r="AC155" s="2">
        <f t="shared" si="67"/>
        <v>0.17</v>
      </c>
      <c r="AD155" s="2"/>
      <c r="AE155" s="1" t="s">
        <v>161</v>
      </c>
      <c r="AF155" s="1" t="s">
        <v>336</v>
      </c>
      <c r="AG155" s="46">
        <f t="shared" si="72"/>
        <v>0.15365129330997118</v>
      </c>
      <c r="AI155" s="46"/>
      <c r="AJ155" s="46"/>
      <c r="AK155" s="46"/>
    </row>
    <row r="156" spans="1:37">
      <c r="A156" s="1" t="s">
        <v>120</v>
      </c>
      <c r="B156" s="1" t="s">
        <v>337</v>
      </c>
      <c r="C156" s="48">
        <v>109333</v>
      </c>
      <c r="D156" s="48">
        <f t="shared" si="68"/>
        <v>52261.173999999992</v>
      </c>
      <c r="E156" s="48">
        <f t="shared" si="69"/>
        <v>57071.826000000008</v>
      </c>
      <c r="F156" s="2">
        <v>5.8553903284092837E-2</v>
      </c>
      <c r="G156">
        <v>47.8</v>
      </c>
      <c r="H156">
        <f t="shared" si="70"/>
        <v>52.2</v>
      </c>
      <c r="I156" s="47">
        <v>0.85670978929917196</v>
      </c>
      <c r="J156" s="47">
        <v>-0.66677853803007858</v>
      </c>
      <c r="K156" s="48">
        <f t="shared" si="61"/>
        <v>64.018739077597218</v>
      </c>
      <c r="L156" s="48">
        <f t="shared" si="62"/>
        <v>30.600957279091467</v>
      </c>
      <c r="M156" s="49">
        <f t="shared" si="63"/>
        <v>13.631130313252948</v>
      </c>
      <c r="N156" s="59"/>
      <c r="O156" s="47">
        <v>54.422086633855614</v>
      </c>
      <c r="P156" s="47" t="e">
        <v>#N/A</v>
      </c>
      <c r="Q156" s="56"/>
      <c r="R156" t="e">
        <v>#N/A</v>
      </c>
      <c r="S156">
        <v>96</v>
      </c>
      <c r="T156" t="e">
        <v>#N/A</v>
      </c>
      <c r="U156" t="e">
        <f t="shared" si="71"/>
        <v>#N/A</v>
      </c>
      <c r="W156">
        <v>0</v>
      </c>
      <c r="Z156" s="2">
        <f t="shared" si="64"/>
        <v>1</v>
      </c>
      <c r="AA156" s="2">
        <f t="shared" si="65"/>
        <v>0.63460123762650877</v>
      </c>
      <c r="AB156" s="2" t="e">
        <f t="shared" si="66"/>
        <v>#N/A</v>
      </c>
      <c r="AC156" s="2">
        <f t="shared" si="67"/>
        <v>0</v>
      </c>
      <c r="AD156" s="2"/>
      <c r="AE156" s="1" t="s">
        <v>120</v>
      </c>
      <c r="AF156" s="1" t="s">
        <v>337</v>
      </c>
      <c r="AG156" s="46">
        <f t="shared" si="72"/>
        <v>0.54486707920883626</v>
      </c>
      <c r="AI156" s="46"/>
      <c r="AJ156" s="46"/>
      <c r="AK156" s="46"/>
    </row>
    <row r="157" spans="1:37">
      <c r="A157" s="1" t="s">
        <v>174</v>
      </c>
      <c r="B157" s="1" t="s">
        <v>338</v>
      </c>
      <c r="C157" s="48">
        <v>183081</v>
      </c>
      <c r="D157" s="48">
        <f t="shared" si="68"/>
        <v>42840.953999999998</v>
      </c>
      <c r="E157" s="48">
        <f t="shared" si="69"/>
        <v>140240.046</v>
      </c>
      <c r="F157" s="2">
        <v>0.37211177822553043</v>
      </c>
      <c r="G157">
        <v>23.4</v>
      </c>
      <c r="H157">
        <f t="shared" si="70"/>
        <v>76.599999999999994</v>
      </c>
      <c r="I157" s="47">
        <v>1.2304861473646822</v>
      </c>
      <c r="J157" s="47">
        <v>0.11135543751745942</v>
      </c>
      <c r="K157" s="48">
        <f t="shared" si="61"/>
        <v>681.26596469308333</v>
      </c>
      <c r="L157" s="48">
        <f t="shared" si="62"/>
        <v>159.41623573818148</v>
      </c>
      <c r="M157" s="49">
        <f t="shared" si="63"/>
        <v>2.3067648469296942</v>
      </c>
      <c r="N157" s="59"/>
      <c r="O157" s="47">
        <v>86.09535753830751</v>
      </c>
      <c r="P157" s="47" t="e">
        <v>#N/A</v>
      </c>
      <c r="Q157" s="56"/>
      <c r="R157">
        <v>100</v>
      </c>
      <c r="S157">
        <v>100</v>
      </c>
      <c r="T157">
        <v>100</v>
      </c>
      <c r="U157">
        <f t="shared" si="71"/>
        <v>0</v>
      </c>
      <c r="W157">
        <v>0</v>
      </c>
      <c r="Z157" s="2">
        <f t="shared" si="64"/>
        <v>1</v>
      </c>
      <c r="AA157" s="2">
        <f t="shared" si="65"/>
        <v>1</v>
      </c>
      <c r="AB157" s="2">
        <f t="shared" si="66"/>
        <v>0</v>
      </c>
      <c r="AC157" s="2">
        <f t="shared" si="67"/>
        <v>0</v>
      </c>
      <c r="AD157" s="2"/>
      <c r="AE157" s="1" t="s">
        <v>174</v>
      </c>
      <c r="AF157" s="1" t="s">
        <v>338</v>
      </c>
      <c r="AG157" s="46">
        <f t="shared" si="72"/>
        <v>0.5</v>
      </c>
      <c r="AI157" s="46"/>
      <c r="AJ157" s="46"/>
      <c r="AK157" s="46"/>
    </row>
    <row r="158" spans="1:37">
      <c r="A158" s="1" t="s">
        <v>7</v>
      </c>
      <c r="B158" s="1" t="s">
        <v>339</v>
      </c>
      <c r="C158" s="48">
        <v>31534</v>
      </c>
      <c r="D158" s="48">
        <f t="shared" si="68"/>
        <v>29736.561999999998</v>
      </c>
      <c r="E158" s="48">
        <f t="shared" si="69"/>
        <v>1797.4380000000008</v>
      </c>
      <c r="F158" s="2">
        <v>0.55650215966100369</v>
      </c>
      <c r="G158">
        <v>94.3</v>
      </c>
      <c r="H158">
        <f t="shared" si="70"/>
        <v>5.7000000000000028</v>
      </c>
      <c r="I158" s="47">
        <v>0.5989289740437086</v>
      </c>
      <c r="J158" s="47">
        <v>-0.14280138943576531</v>
      </c>
      <c r="K158" s="48">
        <f t="shared" si="61"/>
        <v>175.48739102750088</v>
      </c>
      <c r="L158" s="48">
        <f t="shared" si="62"/>
        <v>165.48460973893336</v>
      </c>
      <c r="M158" s="49">
        <f t="shared" si="63"/>
        <v>7.6238364301316308E-2</v>
      </c>
      <c r="N158" s="59"/>
      <c r="O158" s="47">
        <v>14.848272877925536</v>
      </c>
      <c r="P158" s="47" t="e">
        <v>#N/A</v>
      </c>
      <c r="Q158" s="56"/>
      <c r="R158" t="e">
        <v>#N/A</v>
      </c>
      <c r="S158" t="e">
        <v>#N/A</v>
      </c>
      <c r="T158" t="e">
        <v>#N/A</v>
      </c>
      <c r="U158" t="e">
        <f t="shared" si="71"/>
        <v>#N/A</v>
      </c>
      <c r="W158" t="e">
        <v>#N/A</v>
      </c>
      <c r="Z158" s="2">
        <f t="shared" si="64"/>
        <v>3.8119182150658154E-2</v>
      </c>
      <c r="AA158" s="2">
        <f t="shared" si="65"/>
        <v>6.9261041113221955E-2</v>
      </c>
      <c r="AB158" s="2" t="e">
        <f t="shared" si="66"/>
        <v>#N/A</v>
      </c>
      <c r="AC158" s="2" t="e">
        <f t="shared" si="67"/>
        <v>#N/A</v>
      </c>
      <c r="AD158" s="2"/>
      <c r="AE158" s="1" t="s">
        <v>7</v>
      </c>
      <c r="AF158" s="1" t="s">
        <v>339</v>
      </c>
      <c r="AG158" s="46" t="e">
        <f t="shared" si="72"/>
        <v>#N/A</v>
      </c>
      <c r="AI158" s="46"/>
      <c r="AJ158" s="46"/>
      <c r="AK158" s="46"/>
    </row>
    <row r="159" spans="1:37">
      <c r="A159" s="1" t="s">
        <v>80</v>
      </c>
      <c r="B159" s="1" t="s">
        <v>340</v>
      </c>
      <c r="C159" s="48">
        <v>165397</v>
      </c>
      <c r="D159" s="48">
        <f t="shared" si="68"/>
        <v>102876.93400000001</v>
      </c>
      <c r="E159" s="48">
        <f t="shared" si="69"/>
        <v>62520.065999999999</v>
      </c>
      <c r="F159" s="2">
        <v>1.7578339375449072</v>
      </c>
      <c r="G159">
        <v>62.2</v>
      </c>
      <c r="H159">
        <f t="shared" si="70"/>
        <v>37.799999999999997</v>
      </c>
      <c r="I159" s="47">
        <v>3.0849289928992838</v>
      </c>
      <c r="J159" s="47">
        <v>-0.38828349993773015</v>
      </c>
      <c r="K159" s="48">
        <f t="shared" si="61"/>
        <v>2907.4045976811503</v>
      </c>
      <c r="L159" s="48">
        <f t="shared" si="62"/>
        <v>1808.4056597576755</v>
      </c>
      <c r="M159" s="49">
        <f t="shared" si="63"/>
        <v>0.75496042430940569</v>
      </c>
      <c r="N159" s="59"/>
      <c r="O159" s="47">
        <v>59.999975739763521</v>
      </c>
      <c r="P159" s="47" t="e">
        <v>#N/A</v>
      </c>
      <c r="Q159" s="56"/>
      <c r="R159">
        <v>26</v>
      </c>
      <c r="S159">
        <v>19</v>
      </c>
      <c r="T159">
        <v>30</v>
      </c>
      <c r="U159">
        <f t="shared" si="71"/>
        <v>11</v>
      </c>
      <c r="W159" t="e">
        <v>#N/A</v>
      </c>
      <c r="Z159" s="2">
        <f t="shared" si="64"/>
        <v>0.37748021215470284</v>
      </c>
      <c r="AA159" s="2">
        <f t="shared" si="65"/>
        <v>0.71428536771090745</v>
      </c>
      <c r="AB159" s="2">
        <f t="shared" si="66"/>
        <v>0.27500000000000002</v>
      </c>
      <c r="AC159" s="2" t="e">
        <f t="shared" si="67"/>
        <v>#N/A</v>
      </c>
      <c r="AD159" s="2"/>
      <c r="AE159" s="1" t="s">
        <v>80</v>
      </c>
      <c r="AF159" s="1" t="s">
        <v>340</v>
      </c>
      <c r="AG159" s="46">
        <f t="shared" si="72"/>
        <v>0.45558852662187005</v>
      </c>
      <c r="AI159" s="46"/>
      <c r="AJ159" s="46"/>
      <c r="AK159" s="46"/>
    </row>
    <row r="160" spans="1:37">
      <c r="A160" s="1" t="s">
        <v>27</v>
      </c>
      <c r="B160" s="1" t="s">
        <v>341</v>
      </c>
      <c r="C160" s="48">
        <v>27448086</v>
      </c>
      <c r="D160" s="48">
        <f t="shared" si="68"/>
        <v>22946599.895999998</v>
      </c>
      <c r="E160" s="48">
        <f t="shared" si="69"/>
        <v>4501486.1040000012</v>
      </c>
      <c r="F160" s="2">
        <v>2.3554870123937772</v>
      </c>
      <c r="G160">
        <v>83.6</v>
      </c>
      <c r="H160">
        <f t="shared" si="70"/>
        <v>16.400000000000006</v>
      </c>
      <c r="I160" s="47">
        <v>3.9713427412315685</v>
      </c>
      <c r="J160" s="47">
        <v>-5.4985771927341904</v>
      </c>
      <c r="K160" s="48">
        <f t="shared" si="61"/>
        <v>646536.10088067467</v>
      </c>
      <c r="L160" s="48">
        <f t="shared" si="62"/>
        <v>540504.18033624394</v>
      </c>
      <c r="M160" s="49">
        <f t="shared" si="63"/>
        <v>0.68599645013354105</v>
      </c>
      <c r="N160" s="59"/>
      <c r="O160" s="47">
        <v>21.126615803525059</v>
      </c>
      <c r="P160" s="47">
        <v>38.869999897260591</v>
      </c>
      <c r="Q160" s="56"/>
      <c r="R160">
        <v>98.6</v>
      </c>
      <c r="S160" t="e">
        <v>#N/A</v>
      </c>
      <c r="T160">
        <v>100</v>
      </c>
      <c r="U160" t="e">
        <f t="shared" si="71"/>
        <v>#N/A</v>
      </c>
      <c r="W160">
        <v>18</v>
      </c>
      <c r="Z160" s="2">
        <f t="shared" si="64"/>
        <v>0.34299822506677052</v>
      </c>
      <c r="AA160" s="2">
        <f t="shared" si="65"/>
        <v>0.15895165433607228</v>
      </c>
      <c r="AB160" s="2" t="e">
        <f t="shared" si="66"/>
        <v>#N/A</v>
      </c>
      <c r="AC160" s="2">
        <f t="shared" si="67"/>
        <v>0.25714285714285712</v>
      </c>
      <c r="AD160" s="2"/>
      <c r="AE160" s="1" t="s">
        <v>27</v>
      </c>
      <c r="AF160" s="1" t="s">
        <v>341</v>
      </c>
      <c r="AG160" s="46">
        <f t="shared" si="72"/>
        <v>0.25303091218189994</v>
      </c>
      <c r="AI160" s="46"/>
      <c r="AJ160" s="46"/>
      <c r="AK160" s="46"/>
    </row>
    <row r="161" spans="1:37">
      <c r="A161" s="1" t="s">
        <v>128</v>
      </c>
      <c r="B161" s="1" t="s">
        <v>342</v>
      </c>
      <c r="C161" s="48">
        <v>12433728</v>
      </c>
      <c r="D161" s="48">
        <f t="shared" si="68"/>
        <v>5334069.3119999999</v>
      </c>
      <c r="E161" s="48">
        <f t="shared" si="69"/>
        <v>7099658.688000001</v>
      </c>
      <c r="F161" s="2">
        <v>2.6640133015832395</v>
      </c>
      <c r="G161">
        <v>42.9</v>
      </c>
      <c r="H161">
        <f t="shared" si="70"/>
        <v>57.1</v>
      </c>
      <c r="I161" s="47">
        <v>3.2719179092214468</v>
      </c>
      <c r="J161" s="47">
        <v>2.2097053386432113</v>
      </c>
      <c r="K161" s="48">
        <f t="shared" si="61"/>
        <v>331236.1678026797</v>
      </c>
      <c r="L161" s="48">
        <f t="shared" si="62"/>
        <v>142100.31598734958</v>
      </c>
      <c r="M161" s="49">
        <f t="shared" si="63"/>
        <v>0.22819128090573973</v>
      </c>
      <c r="N161" s="59"/>
      <c r="O161" s="47">
        <v>53.671574787365643</v>
      </c>
      <c r="P161" s="47">
        <v>23.025105583779862</v>
      </c>
      <c r="Q161" s="56"/>
      <c r="R161">
        <v>51</v>
      </c>
      <c r="S161">
        <v>38</v>
      </c>
      <c r="T161">
        <v>69</v>
      </c>
      <c r="U161">
        <f t="shared" si="71"/>
        <v>31</v>
      </c>
      <c r="W161">
        <v>38.799999999999997</v>
      </c>
      <c r="Z161" s="2">
        <f t="shared" si="64"/>
        <v>0.11409564045286986</v>
      </c>
      <c r="AA161" s="2">
        <f t="shared" si="65"/>
        <v>0.62387963981950922</v>
      </c>
      <c r="AB161" s="2">
        <f t="shared" si="66"/>
        <v>0.77500000000000002</v>
      </c>
      <c r="AC161" s="2">
        <f t="shared" si="67"/>
        <v>0.55428571428571427</v>
      </c>
      <c r="AD161" s="2"/>
      <c r="AE161" s="1" t="s">
        <v>128</v>
      </c>
      <c r="AF161" s="1" t="s">
        <v>342</v>
      </c>
      <c r="AG161" s="46">
        <f t="shared" si="72"/>
        <v>0.51681524863952333</v>
      </c>
      <c r="AI161" s="46"/>
      <c r="AJ161" s="46"/>
      <c r="AK161" s="46"/>
    </row>
    <row r="162" spans="1:37">
      <c r="A162" s="1" t="s">
        <v>106</v>
      </c>
      <c r="B162" s="1" t="s">
        <v>343</v>
      </c>
      <c r="C162" s="48">
        <v>7292574</v>
      </c>
      <c r="D162" s="48">
        <f t="shared" si="68"/>
        <v>3821308.7759999996</v>
      </c>
      <c r="E162" s="48">
        <f t="shared" si="69"/>
        <v>3471265.2240000004</v>
      </c>
      <c r="F162" s="2">
        <v>-0.38639976782476243</v>
      </c>
      <c r="G162">
        <v>52.4</v>
      </c>
      <c r="H162">
        <f t="shared" si="70"/>
        <v>47.6</v>
      </c>
      <c r="I162" s="47">
        <v>-4.2296962223403074E-2</v>
      </c>
      <c r="J162" s="47">
        <v>-0.76383783385365533</v>
      </c>
      <c r="K162" s="48">
        <f t="shared" si="61"/>
        <v>-28178.489004448991</v>
      </c>
      <c r="L162" s="48">
        <f t="shared" si="62"/>
        <v>-14765.52823833127</v>
      </c>
      <c r="M162" s="49">
        <f t="shared" si="63"/>
        <v>-0.8905357462777117</v>
      </c>
      <c r="N162" s="59"/>
      <c r="O162" s="47">
        <v>29.236056688657396</v>
      </c>
      <c r="P162" s="47">
        <v>15.319693704856475</v>
      </c>
      <c r="Q162" s="56"/>
      <c r="R162">
        <v>92</v>
      </c>
      <c r="S162">
        <v>88</v>
      </c>
      <c r="T162">
        <v>96</v>
      </c>
      <c r="U162">
        <f t="shared" si="71"/>
        <v>8</v>
      </c>
      <c r="W162">
        <v>0</v>
      </c>
      <c r="Z162" s="2">
        <f t="shared" si="64"/>
        <v>0</v>
      </c>
      <c r="AA162" s="2">
        <f t="shared" si="65"/>
        <v>0.27480080983796279</v>
      </c>
      <c r="AB162" s="2">
        <f t="shared" si="66"/>
        <v>0.2</v>
      </c>
      <c r="AC162" s="2">
        <f t="shared" si="67"/>
        <v>0</v>
      </c>
      <c r="AD162" s="2"/>
      <c r="AE162" s="1" t="s">
        <v>106</v>
      </c>
      <c r="AF162" s="1" t="s">
        <v>343</v>
      </c>
      <c r="AG162" s="46">
        <f t="shared" si="72"/>
        <v>0.1187002024594907</v>
      </c>
      <c r="AI162" s="46"/>
      <c r="AJ162" s="46"/>
      <c r="AK162" s="46"/>
    </row>
    <row r="163" spans="1:37">
      <c r="A163" s="1" t="s">
        <v>102</v>
      </c>
      <c r="B163" s="1" t="s">
        <v>344</v>
      </c>
      <c r="C163" s="48">
        <v>86525</v>
      </c>
      <c r="D163" s="48">
        <f t="shared" si="68"/>
        <v>47848.324999999997</v>
      </c>
      <c r="E163" s="48">
        <f t="shared" si="69"/>
        <v>38676.675000000003</v>
      </c>
      <c r="F163" s="2">
        <v>-0.88941635542761444</v>
      </c>
      <c r="G163">
        <v>55.3</v>
      </c>
      <c r="H163">
        <f t="shared" si="70"/>
        <v>44.7</v>
      </c>
      <c r="I163" s="47">
        <v>-1.7634590062704868E-2</v>
      </c>
      <c r="J163" s="47">
        <v>-1.9575172974610044</v>
      </c>
      <c r="K163" s="48">
        <f t="shared" si="61"/>
        <v>-769.56750153374333</v>
      </c>
      <c r="L163" s="48">
        <f t="shared" si="62"/>
        <v>-425.57082834816009</v>
      </c>
      <c r="M163" s="49">
        <f t="shared" si="63"/>
        <v>-0.98017285160645995</v>
      </c>
      <c r="N163" s="59"/>
      <c r="O163" s="47">
        <v>54.330878321241094</v>
      </c>
      <c r="P163" s="47" t="e">
        <v>#N/A</v>
      </c>
      <c r="Q163" s="56"/>
      <c r="R163" t="e">
        <v>#N/A</v>
      </c>
      <c r="S163" t="e">
        <v>#N/A</v>
      </c>
      <c r="T163">
        <v>97</v>
      </c>
      <c r="U163" t="e">
        <f t="shared" si="71"/>
        <v>#N/A</v>
      </c>
      <c r="W163" t="e">
        <v>#N/A</v>
      </c>
      <c r="Z163" s="2">
        <f t="shared" si="64"/>
        <v>0</v>
      </c>
      <c r="AA163" s="2">
        <f t="shared" si="65"/>
        <v>0.63329826173201564</v>
      </c>
      <c r="AB163" s="2" t="e">
        <f t="shared" si="66"/>
        <v>#N/A</v>
      </c>
      <c r="AC163" s="2" t="e">
        <f t="shared" si="67"/>
        <v>#N/A</v>
      </c>
      <c r="AD163" s="2"/>
      <c r="AE163" s="1" t="s">
        <v>102</v>
      </c>
      <c r="AF163" s="1" t="s">
        <v>344</v>
      </c>
      <c r="AG163" s="46" t="e">
        <f t="shared" si="72"/>
        <v>#N/A</v>
      </c>
      <c r="AI163" s="46"/>
      <c r="AJ163" s="46"/>
      <c r="AK163" s="46"/>
    </row>
    <row r="164" spans="1:37">
      <c r="A164" s="1" t="s">
        <v>136</v>
      </c>
      <c r="B164" s="1" t="s">
        <v>345</v>
      </c>
      <c r="C164" s="48">
        <v>5867536</v>
      </c>
      <c r="D164" s="48">
        <f t="shared" si="68"/>
        <v>2253133.824</v>
      </c>
      <c r="E164" s="48">
        <f t="shared" si="69"/>
        <v>3614402.1760000004</v>
      </c>
      <c r="F164" s="2">
        <v>2.2098752202706815</v>
      </c>
      <c r="G164">
        <v>38.4</v>
      </c>
      <c r="H164">
        <f t="shared" si="70"/>
        <v>61.6</v>
      </c>
      <c r="I164" s="47">
        <v>3.0467001873223443</v>
      </c>
      <c r="J164" s="47">
        <v>1.6917393460709358</v>
      </c>
      <c r="K164" s="48">
        <f t="shared" si="61"/>
        <v>129665.22410446154</v>
      </c>
      <c r="L164" s="48">
        <f t="shared" si="62"/>
        <v>49791.446056113236</v>
      </c>
      <c r="M164" s="49">
        <f t="shared" si="63"/>
        <v>0.37867521178375024</v>
      </c>
      <c r="N164" s="59"/>
      <c r="O164" s="47">
        <v>39.981957148054427</v>
      </c>
      <c r="P164" s="47" t="e">
        <v>#N/A</v>
      </c>
      <c r="Q164" s="56"/>
      <c r="R164">
        <v>13</v>
      </c>
      <c r="S164">
        <v>6</v>
      </c>
      <c r="T164">
        <v>24</v>
      </c>
      <c r="U164">
        <f t="shared" si="71"/>
        <v>18</v>
      </c>
      <c r="W164">
        <v>97</v>
      </c>
      <c r="Z164" s="2">
        <f t="shared" si="64"/>
        <v>0.18933760589187512</v>
      </c>
      <c r="AA164" s="2">
        <f t="shared" si="65"/>
        <v>0.42831367354363464</v>
      </c>
      <c r="AB164" s="2">
        <f t="shared" si="66"/>
        <v>0.45</v>
      </c>
      <c r="AC164" s="2">
        <f t="shared" si="67"/>
        <v>1</v>
      </c>
      <c r="AD164" s="2"/>
      <c r="AE164" s="1" t="s">
        <v>136</v>
      </c>
      <c r="AF164" s="1" t="s">
        <v>345</v>
      </c>
      <c r="AG164" s="46">
        <f t="shared" si="72"/>
        <v>0.51691281985887749</v>
      </c>
      <c r="AI164" s="46"/>
      <c r="AJ164" s="46"/>
      <c r="AK164" s="46"/>
    </row>
    <row r="165" spans="1:37">
      <c r="A165" s="1" t="s">
        <v>0</v>
      </c>
      <c r="B165" s="1" t="s">
        <v>346</v>
      </c>
      <c r="C165" s="48">
        <v>5076700</v>
      </c>
      <c r="D165" s="48">
        <f t="shared" si="68"/>
        <v>5076700</v>
      </c>
      <c r="E165" s="48">
        <f t="shared" si="69"/>
        <v>0</v>
      </c>
      <c r="F165" s="2">
        <v>1.7706612065291869</v>
      </c>
      <c r="G165">
        <v>100</v>
      </c>
      <c r="H165">
        <f t="shared" si="70"/>
        <v>0</v>
      </c>
      <c r="I165" s="47">
        <v>1.7706612065291869</v>
      </c>
      <c r="J165" s="47" t="e">
        <v>#N/A</v>
      </c>
      <c r="K165" s="48">
        <f t="shared" si="61"/>
        <v>89891.15747186722</v>
      </c>
      <c r="L165" s="48">
        <f t="shared" si="62"/>
        <v>89891.15747186722</v>
      </c>
      <c r="M165" s="49">
        <f t="shared" si="63"/>
        <v>0</v>
      </c>
      <c r="N165" s="59"/>
      <c r="O165" s="47">
        <v>95.27234226958457</v>
      </c>
      <c r="P165" s="47">
        <v>95.27234226958457</v>
      </c>
      <c r="Q165" s="56"/>
      <c r="R165">
        <v>100</v>
      </c>
      <c r="S165" s="54">
        <v>100</v>
      </c>
      <c r="T165">
        <v>100</v>
      </c>
      <c r="U165">
        <f t="shared" si="71"/>
        <v>0</v>
      </c>
      <c r="W165">
        <v>0</v>
      </c>
      <c r="Z165" s="2">
        <f t="shared" si="64"/>
        <v>0</v>
      </c>
      <c r="AA165" s="2">
        <f t="shared" si="65"/>
        <v>1</v>
      </c>
      <c r="AB165" s="2">
        <f t="shared" si="66"/>
        <v>0</v>
      </c>
      <c r="AC165" s="2">
        <f t="shared" si="67"/>
        <v>0</v>
      </c>
      <c r="AD165" s="2"/>
      <c r="AE165" s="1" t="s">
        <v>0</v>
      </c>
      <c r="AF165" s="1" t="s">
        <v>346</v>
      </c>
      <c r="AG165" s="46">
        <f t="shared" si="72"/>
        <v>0.25</v>
      </c>
      <c r="AI165" s="46"/>
      <c r="AJ165" s="46"/>
      <c r="AK165" s="46"/>
    </row>
    <row r="166" spans="1:37">
      <c r="A166" s="1" t="s">
        <v>99</v>
      </c>
      <c r="B166" s="1" t="s">
        <v>347</v>
      </c>
      <c r="C166" s="48">
        <v>5433456</v>
      </c>
      <c r="D166" s="48">
        <f t="shared" si="68"/>
        <v>3086203.0079999999</v>
      </c>
      <c r="E166" s="48">
        <f t="shared" si="69"/>
        <v>2347252.9920000001</v>
      </c>
      <c r="F166" s="2">
        <v>0.27397615710522016</v>
      </c>
      <c r="G166">
        <v>56.8</v>
      </c>
      <c r="H166">
        <f t="shared" si="70"/>
        <v>43.2</v>
      </c>
      <c r="I166" s="47">
        <v>0.48546724756782128</v>
      </c>
      <c r="J166" s="47">
        <v>-3.4165311673019171E-3</v>
      </c>
      <c r="K166" s="48">
        <f t="shared" si="61"/>
        <v>14886.373946803013</v>
      </c>
      <c r="L166" s="48">
        <f t="shared" si="62"/>
        <v>8455.4604017841102</v>
      </c>
      <c r="M166" s="49">
        <f t="shared" si="63"/>
        <v>0.77193246557355799</v>
      </c>
      <c r="N166" s="59"/>
      <c r="O166" s="47" t="e">
        <v>#N/A</v>
      </c>
      <c r="P166" s="47" t="e">
        <v>#N/A</v>
      </c>
      <c r="Q166" s="56"/>
      <c r="R166">
        <v>100</v>
      </c>
      <c r="S166">
        <v>99</v>
      </c>
      <c r="T166">
        <v>100</v>
      </c>
      <c r="U166">
        <f t="shared" si="71"/>
        <v>1</v>
      </c>
      <c r="W166">
        <v>0</v>
      </c>
      <c r="Z166" s="2">
        <f t="shared" si="64"/>
        <v>0.385966232786779</v>
      </c>
      <c r="AA166" s="2" t="e">
        <f t="shared" si="65"/>
        <v>#N/A</v>
      </c>
      <c r="AB166" s="2">
        <f t="shared" si="66"/>
        <v>2.5000000000000001E-2</v>
      </c>
      <c r="AC166" s="2">
        <f t="shared" si="67"/>
        <v>0</v>
      </c>
      <c r="AD166" s="2"/>
      <c r="AE166" s="1" t="s">
        <v>99</v>
      </c>
      <c r="AF166" s="1" t="s">
        <v>347</v>
      </c>
      <c r="AG166" s="46">
        <f t="shared" si="72"/>
        <v>0.13698874426225968</v>
      </c>
      <c r="AI166" s="46"/>
      <c r="AJ166" s="46"/>
      <c r="AK166" s="46"/>
    </row>
    <row r="167" spans="1:37">
      <c r="A167" s="1" t="s">
        <v>117</v>
      </c>
      <c r="B167" s="1" t="s">
        <v>348</v>
      </c>
      <c r="C167" s="48">
        <v>2052821</v>
      </c>
      <c r="D167" s="48">
        <f t="shared" si="68"/>
        <v>985354.08</v>
      </c>
      <c r="E167" s="48">
        <f t="shared" si="69"/>
        <v>1067466.92</v>
      </c>
      <c r="F167" s="2">
        <v>0.64274049673477696</v>
      </c>
      <c r="G167">
        <v>48</v>
      </c>
      <c r="H167">
        <f t="shared" si="70"/>
        <v>52</v>
      </c>
      <c r="I167" s="47">
        <v>1.9685521671189476E-2</v>
      </c>
      <c r="J167" s="47">
        <v>1.2213342034391605</v>
      </c>
      <c r="K167" s="48">
        <f t="shared" si="61"/>
        <v>13194.311892475816</v>
      </c>
      <c r="L167" s="48">
        <f t="shared" si="62"/>
        <v>6333.2697083883904</v>
      </c>
      <c r="M167" s="49">
        <f t="shared" si="63"/>
        <v>-0.9693725200587251</v>
      </c>
      <c r="N167" s="59"/>
      <c r="O167" s="47">
        <v>26.400987298585626</v>
      </c>
      <c r="P167" s="47" t="e">
        <v>#N/A</v>
      </c>
      <c r="Q167" s="56"/>
      <c r="R167">
        <v>100</v>
      </c>
      <c r="S167">
        <v>100</v>
      </c>
      <c r="T167">
        <v>100</v>
      </c>
      <c r="U167">
        <f t="shared" si="71"/>
        <v>0</v>
      </c>
      <c r="W167">
        <v>0</v>
      </c>
      <c r="Z167" s="2">
        <f t="shared" si="64"/>
        <v>0</v>
      </c>
      <c r="AA167" s="2">
        <f t="shared" si="65"/>
        <v>0.23429981855122323</v>
      </c>
      <c r="AB167" s="2">
        <f t="shared" si="66"/>
        <v>0</v>
      </c>
      <c r="AC167" s="2">
        <f t="shared" si="67"/>
        <v>0</v>
      </c>
      <c r="AD167" s="2"/>
      <c r="AE167" s="1" t="s">
        <v>117</v>
      </c>
      <c r="AF167" s="1" t="s">
        <v>348</v>
      </c>
      <c r="AG167" s="46">
        <f t="shared" si="72"/>
        <v>5.8574954637805807E-2</v>
      </c>
      <c r="AI167" s="46"/>
      <c r="AJ167" s="46"/>
      <c r="AK167" s="46"/>
    </row>
    <row r="168" spans="1:37">
      <c r="A168" s="1" t="s">
        <v>181</v>
      </c>
      <c r="B168" s="1" t="s">
        <v>349</v>
      </c>
      <c r="C168" s="48">
        <v>538148</v>
      </c>
      <c r="D168" s="48">
        <f t="shared" si="68"/>
        <v>100095.52800000001</v>
      </c>
      <c r="E168" s="48">
        <f t="shared" si="69"/>
        <v>438052.47200000001</v>
      </c>
      <c r="F168" s="2">
        <v>2.6403409776536639</v>
      </c>
      <c r="G168">
        <v>18.600000000000001</v>
      </c>
      <c r="H168">
        <f t="shared" si="70"/>
        <v>81.400000000000006</v>
      </c>
      <c r="I168" s="47">
        <v>4.3757424469688289</v>
      </c>
      <c r="J168" s="47">
        <v>2.2479912835609923</v>
      </c>
      <c r="K168" s="48">
        <f t="shared" si="61"/>
        <v>14208.942164423641</v>
      </c>
      <c r="L168" s="48">
        <f t="shared" si="62"/>
        <v>2642.8632425827968</v>
      </c>
      <c r="M168" s="49">
        <f t="shared" si="63"/>
        <v>0.65726415035126551</v>
      </c>
      <c r="N168" s="59"/>
      <c r="O168" s="47">
        <v>75.066237832043711</v>
      </c>
      <c r="P168" s="47" t="e">
        <v>#N/A</v>
      </c>
      <c r="Q168" s="56"/>
      <c r="R168">
        <v>29</v>
      </c>
      <c r="S168">
        <v>18</v>
      </c>
      <c r="T168">
        <v>98</v>
      </c>
      <c r="U168">
        <f t="shared" si="71"/>
        <v>80</v>
      </c>
      <c r="W168" t="e">
        <v>#N/A</v>
      </c>
      <c r="Z168" s="2">
        <f t="shared" si="64"/>
        <v>0.32863207517563275</v>
      </c>
      <c r="AA168" s="2">
        <f t="shared" si="65"/>
        <v>0.92951768331491014</v>
      </c>
      <c r="AB168" s="2">
        <f t="shared" si="66"/>
        <v>1</v>
      </c>
      <c r="AC168" s="2" t="e">
        <f t="shared" si="67"/>
        <v>#N/A</v>
      </c>
      <c r="AD168" s="2"/>
      <c r="AE168" s="1" t="s">
        <v>181</v>
      </c>
      <c r="AF168" s="1" t="s">
        <v>349</v>
      </c>
      <c r="AG168" s="46">
        <f t="shared" si="72"/>
        <v>0.75271658616351422</v>
      </c>
      <c r="AI168" s="46"/>
      <c r="AJ168" s="46"/>
      <c r="AK168" s="46"/>
    </row>
    <row r="169" spans="1:37">
      <c r="A169" s="1" t="s">
        <v>140</v>
      </c>
      <c r="B169" s="1" t="s">
        <v>350</v>
      </c>
      <c r="C169" s="48">
        <v>9330872</v>
      </c>
      <c r="D169" s="48">
        <f t="shared" si="68"/>
        <v>3489746.128</v>
      </c>
      <c r="E169" s="48">
        <f t="shared" si="69"/>
        <v>5841125.8720000004</v>
      </c>
      <c r="F169" s="2">
        <v>2.2875335161970258</v>
      </c>
      <c r="G169">
        <v>37.4</v>
      </c>
      <c r="H169">
        <f t="shared" si="70"/>
        <v>62.6</v>
      </c>
      <c r="I169" s="47">
        <v>3.470979280897315</v>
      </c>
      <c r="J169" s="47">
        <v>1.5871167718399162</v>
      </c>
      <c r="K169" s="48">
        <f t="shared" si="61"/>
        <v>213446.82435344375</v>
      </c>
      <c r="L169" s="48">
        <f t="shared" si="62"/>
        <v>79829.112308187963</v>
      </c>
      <c r="M169" s="49">
        <f t="shared" si="63"/>
        <v>0.51734575966683172</v>
      </c>
      <c r="N169" s="59"/>
      <c r="O169" s="47">
        <v>42.983069397648741</v>
      </c>
      <c r="P169" s="47">
        <v>16.075667954720629</v>
      </c>
      <c r="Q169" s="56"/>
      <c r="R169">
        <v>23</v>
      </c>
      <c r="S169">
        <v>6</v>
      </c>
      <c r="T169">
        <v>52</v>
      </c>
      <c r="U169">
        <f t="shared" si="71"/>
        <v>46</v>
      </c>
      <c r="W169">
        <v>73.599999999999994</v>
      </c>
      <c r="Z169" s="2">
        <f t="shared" si="64"/>
        <v>0.25867287983341586</v>
      </c>
      <c r="AA169" s="2">
        <f t="shared" si="65"/>
        <v>0.47118670568069632</v>
      </c>
      <c r="AB169" s="2">
        <f t="shared" si="66"/>
        <v>1</v>
      </c>
      <c r="AC169" s="2">
        <f t="shared" si="67"/>
        <v>1</v>
      </c>
      <c r="AD169" s="2"/>
      <c r="AE169" s="1" t="s">
        <v>140</v>
      </c>
      <c r="AF169" s="1" t="s">
        <v>350</v>
      </c>
      <c r="AG169" s="46">
        <f t="shared" si="72"/>
        <v>0.68246489637852803</v>
      </c>
      <c r="AI169" s="46"/>
      <c r="AJ169" s="46"/>
      <c r="AK169" s="46"/>
    </row>
    <row r="170" spans="1:37">
      <c r="A170" s="1" t="s">
        <v>79</v>
      </c>
      <c r="B170" s="1" t="s">
        <v>351</v>
      </c>
      <c r="C170" s="48">
        <v>49991300</v>
      </c>
      <c r="D170" s="48">
        <f t="shared" si="68"/>
        <v>30844632.100000001</v>
      </c>
      <c r="E170" s="48">
        <f t="shared" si="69"/>
        <v>19146667.899999999</v>
      </c>
      <c r="F170" s="2">
        <v>1.3516270634340772</v>
      </c>
      <c r="G170">
        <v>61.7</v>
      </c>
      <c r="H170">
        <f t="shared" si="70"/>
        <v>38.299999999999997</v>
      </c>
      <c r="I170" s="47">
        <v>2.1326268028416493</v>
      </c>
      <c r="J170" s="47">
        <v>0.10615170064351327</v>
      </c>
      <c r="K170" s="48">
        <f t="shared" si="61"/>
        <v>675695.94016251981</v>
      </c>
      <c r="L170" s="48">
        <f t="shared" si="62"/>
        <v>416904.39508027479</v>
      </c>
      <c r="M170" s="49">
        <f t="shared" si="63"/>
        <v>0.57782191592352905</v>
      </c>
      <c r="N170" s="59"/>
      <c r="O170" s="47">
        <v>11.897451031682104</v>
      </c>
      <c r="P170" s="47">
        <v>33.595405600574502</v>
      </c>
      <c r="Q170" s="56"/>
      <c r="R170">
        <v>77</v>
      </c>
      <c r="S170">
        <v>65</v>
      </c>
      <c r="T170">
        <v>84</v>
      </c>
      <c r="U170">
        <f t="shared" si="71"/>
        <v>19</v>
      </c>
      <c r="W170">
        <v>23</v>
      </c>
      <c r="Z170" s="2">
        <f t="shared" si="64"/>
        <v>0.28891095796176453</v>
      </c>
      <c r="AA170" s="2">
        <f t="shared" si="65"/>
        <v>2.7106443309744346E-2</v>
      </c>
      <c r="AB170" s="2">
        <f t="shared" si="66"/>
        <v>0.47499999999999998</v>
      </c>
      <c r="AC170" s="2">
        <f t="shared" si="67"/>
        <v>0.32857142857142857</v>
      </c>
      <c r="AD170" s="2"/>
      <c r="AE170" s="1" t="s">
        <v>79</v>
      </c>
      <c r="AF170" s="1" t="s">
        <v>351</v>
      </c>
      <c r="AG170" s="46">
        <f t="shared" si="72"/>
        <v>0.27989720746073432</v>
      </c>
      <c r="AI170" s="46"/>
      <c r="AJ170" s="46"/>
      <c r="AK170" s="46"/>
    </row>
    <row r="171" spans="1:37">
      <c r="A171" s="1" t="s">
        <v>36</v>
      </c>
      <c r="B171" s="1" t="s">
        <v>352</v>
      </c>
      <c r="C171" s="48">
        <v>46081574</v>
      </c>
      <c r="D171" s="48">
        <f t="shared" si="68"/>
        <v>35667138.276000001</v>
      </c>
      <c r="E171" s="48">
        <f t="shared" si="69"/>
        <v>10414435.723999998</v>
      </c>
      <c r="F171" s="2">
        <v>0.37608411343406095</v>
      </c>
      <c r="G171">
        <v>77.400000000000006</v>
      </c>
      <c r="H171">
        <f t="shared" si="70"/>
        <v>22.599999999999994</v>
      </c>
      <c r="I171" s="47">
        <v>0.55712644918867404</v>
      </c>
      <c r="J171" s="47">
        <v>-0.24147409098095032</v>
      </c>
      <c r="K171" s="48">
        <f t="shared" ref="K171:K202" si="73">C171*F171/100</f>
        <v>173305.47903436073</v>
      </c>
      <c r="L171" s="48">
        <f t="shared" ref="L171:L202" si="74">D171*F171/100</f>
        <v>134138.44077259523</v>
      </c>
      <c r="M171" s="49">
        <f t="shared" ref="M171:M202" si="75">(D171*I171/100-L171)/L171</f>
        <v>0.48138788448546183</v>
      </c>
      <c r="N171" s="59"/>
      <c r="O171" s="47">
        <v>16.405263452092715</v>
      </c>
      <c r="P171" s="47">
        <v>23.728853098637646</v>
      </c>
      <c r="Q171" s="56"/>
      <c r="R171">
        <v>100</v>
      </c>
      <c r="S171">
        <v>100</v>
      </c>
      <c r="T171">
        <v>100</v>
      </c>
      <c r="U171">
        <f t="shared" si="71"/>
        <v>0</v>
      </c>
      <c r="W171">
        <v>0</v>
      </c>
      <c r="Z171" s="2">
        <f t="shared" ref="Z171:Z202" si="76">MAX(0,MIN(1,(M171-Z$8)/(Z$9-Z$8)))</f>
        <v>0.24069394224273091</v>
      </c>
      <c r="AA171" s="2">
        <f t="shared" ref="AA171:AA202" si="77">MAX(0,MIN(1,(O171-AA$8)/(AA$9-AA$8)))</f>
        <v>9.1503763601324506E-2</v>
      </c>
      <c r="AB171" s="2">
        <f t="shared" ref="AB171:AB202" si="78">MAX(0,MIN(1,(U171-AB$8)/(AB$9-AB$8)))</f>
        <v>0</v>
      </c>
      <c r="AC171" s="2">
        <f t="shared" ref="AC171:AC202" si="79">MAX(0,MIN(1,(W171-AC$8)/(AC$9-AC$8)))</f>
        <v>0</v>
      </c>
      <c r="AD171" s="2"/>
      <c r="AE171" s="1" t="s">
        <v>36</v>
      </c>
      <c r="AF171" s="1" t="s">
        <v>352</v>
      </c>
      <c r="AG171" s="46">
        <f t="shared" si="72"/>
        <v>8.3049426461013848E-2</v>
      </c>
      <c r="AI171" s="46"/>
      <c r="AJ171" s="46"/>
      <c r="AK171" s="46"/>
    </row>
    <row r="172" spans="1:37">
      <c r="A172" s="1" t="s">
        <v>186</v>
      </c>
      <c r="B172" s="1" t="s">
        <v>353</v>
      </c>
      <c r="C172" s="48">
        <v>20859949</v>
      </c>
      <c r="D172" s="48">
        <f t="shared" si="68"/>
        <v>3149852.2989999996</v>
      </c>
      <c r="E172" s="48">
        <f t="shared" si="69"/>
        <v>17710096.701000001</v>
      </c>
      <c r="F172" s="2">
        <v>0.9189141300897713</v>
      </c>
      <c r="G172">
        <v>15.1</v>
      </c>
      <c r="H172">
        <f t="shared" si="70"/>
        <v>84.9</v>
      </c>
      <c r="I172" s="47">
        <v>0.9189141300897713</v>
      </c>
      <c r="J172" s="47">
        <v>0.91891413008979328</v>
      </c>
      <c r="K172" s="48">
        <f t="shared" si="73"/>
        <v>191685.01889051998</v>
      </c>
      <c r="L172" s="48">
        <f t="shared" si="74"/>
        <v>28944.437852468509</v>
      </c>
      <c r="M172" s="49">
        <f t="shared" si="75"/>
        <v>0</v>
      </c>
      <c r="N172" s="59"/>
      <c r="O172" s="47">
        <v>21.835154419315916</v>
      </c>
      <c r="P172" s="47" t="e">
        <v>#N/A</v>
      </c>
      <c r="Q172" s="56"/>
      <c r="R172">
        <v>91</v>
      </c>
      <c r="S172">
        <v>92</v>
      </c>
      <c r="T172">
        <v>88</v>
      </c>
      <c r="U172">
        <f t="shared" si="71"/>
        <v>-4</v>
      </c>
      <c r="W172" t="e">
        <v>#N/A</v>
      </c>
      <c r="Z172" s="2">
        <f t="shared" si="76"/>
        <v>0</v>
      </c>
      <c r="AA172" s="2">
        <f t="shared" si="77"/>
        <v>0.16907363456165594</v>
      </c>
      <c r="AB172" s="2">
        <f t="shared" si="78"/>
        <v>0</v>
      </c>
      <c r="AC172" s="2" t="e">
        <f t="shared" si="79"/>
        <v>#N/A</v>
      </c>
      <c r="AD172" s="2"/>
      <c r="AE172" s="1" t="s">
        <v>186</v>
      </c>
      <c r="AF172" s="1" t="s">
        <v>353</v>
      </c>
      <c r="AG172" s="46">
        <f t="shared" si="72"/>
        <v>5.635787818721865E-2</v>
      </c>
      <c r="AI172" s="46"/>
      <c r="AJ172" s="46"/>
      <c r="AK172" s="46"/>
    </row>
    <row r="173" spans="1:37">
      <c r="A173" s="1" t="s">
        <v>125</v>
      </c>
      <c r="B173" s="1" t="s">
        <v>354</v>
      </c>
      <c r="C173" s="48">
        <v>43551941</v>
      </c>
      <c r="D173" s="48">
        <f t="shared" si="68"/>
        <v>19685477.332000002</v>
      </c>
      <c r="E173" s="48">
        <f t="shared" si="69"/>
        <v>23866463.667999998</v>
      </c>
      <c r="F173" s="2">
        <v>2.4960702592333037</v>
      </c>
      <c r="G173">
        <v>45.2</v>
      </c>
      <c r="H173">
        <f t="shared" si="70"/>
        <v>54.8</v>
      </c>
      <c r="I173" s="47">
        <v>4.4621746991490214</v>
      </c>
      <c r="J173" s="47">
        <v>0.90298805201389198</v>
      </c>
      <c r="K173" s="48">
        <f t="shared" si="73"/>
        <v>1087087.0466198355</v>
      </c>
      <c r="L173" s="48">
        <f t="shared" si="74"/>
        <v>491363.34507216571</v>
      </c>
      <c r="M173" s="49">
        <f t="shared" si="75"/>
        <v>0.78767992713459467</v>
      </c>
      <c r="N173" s="59"/>
      <c r="O173" s="47">
        <v>26.274613070174951</v>
      </c>
      <c r="P173" s="47">
        <v>11.87612510771908</v>
      </c>
      <c r="Q173" s="56"/>
      <c r="R173">
        <v>34</v>
      </c>
      <c r="S173">
        <v>18</v>
      </c>
      <c r="T173">
        <v>55</v>
      </c>
      <c r="U173">
        <f t="shared" si="71"/>
        <v>37</v>
      </c>
      <c r="W173" t="e">
        <v>#N/A</v>
      </c>
      <c r="Z173" s="2">
        <f t="shared" si="76"/>
        <v>0.39383996356729734</v>
      </c>
      <c r="AA173" s="2">
        <f t="shared" si="77"/>
        <v>0.23249447243107071</v>
      </c>
      <c r="AB173" s="2">
        <f t="shared" si="78"/>
        <v>0.92500000000000004</v>
      </c>
      <c r="AC173" s="2" t="e">
        <f t="shared" si="79"/>
        <v>#N/A</v>
      </c>
      <c r="AD173" s="2"/>
      <c r="AE173" s="1" t="s">
        <v>125</v>
      </c>
      <c r="AF173" s="1" t="s">
        <v>354</v>
      </c>
      <c r="AG173" s="46">
        <f t="shared" si="72"/>
        <v>0.51711147866612273</v>
      </c>
      <c r="AI173" s="46"/>
      <c r="AJ173" s="46"/>
      <c r="AK173" s="46"/>
    </row>
    <row r="174" spans="1:37">
      <c r="A174" s="1" t="s">
        <v>42</v>
      </c>
      <c r="B174" s="1" t="s">
        <v>355</v>
      </c>
      <c r="C174" s="48">
        <v>524636</v>
      </c>
      <c r="D174" s="48">
        <f t="shared" si="68"/>
        <v>396624.81599999993</v>
      </c>
      <c r="E174" s="48">
        <f t="shared" si="69"/>
        <v>128011.18400000002</v>
      </c>
      <c r="F174" s="2">
        <v>0.91432206414831274</v>
      </c>
      <c r="G174">
        <v>75.599999999999994</v>
      </c>
      <c r="H174">
        <f t="shared" si="70"/>
        <v>24.400000000000006</v>
      </c>
      <c r="I174" s="47">
        <v>1.3650718661679162</v>
      </c>
      <c r="J174" s="47">
        <v>-0.46950140237019478</v>
      </c>
      <c r="K174" s="48">
        <f t="shared" si="73"/>
        <v>4796.8627044651421</v>
      </c>
      <c r="L174" s="48">
        <f t="shared" si="74"/>
        <v>3626.4282045756468</v>
      </c>
      <c r="M174" s="49">
        <f t="shared" si="75"/>
        <v>0.49298799590872278</v>
      </c>
      <c r="N174" s="59"/>
      <c r="O174" s="47">
        <v>66.286193226236406</v>
      </c>
      <c r="P174" s="47" t="e">
        <v>#N/A</v>
      </c>
      <c r="Q174" s="56"/>
      <c r="R174">
        <v>84</v>
      </c>
      <c r="S174">
        <v>66</v>
      </c>
      <c r="T174">
        <v>90</v>
      </c>
      <c r="U174">
        <f t="shared" si="71"/>
        <v>24</v>
      </c>
      <c r="W174">
        <v>3.9</v>
      </c>
      <c r="Z174" s="2">
        <f t="shared" si="76"/>
        <v>0.24649399795436139</v>
      </c>
      <c r="AA174" s="2">
        <f t="shared" si="77"/>
        <v>0.80408847466052014</v>
      </c>
      <c r="AB174" s="2">
        <f t="shared" si="78"/>
        <v>0.6</v>
      </c>
      <c r="AC174" s="2">
        <f t="shared" si="79"/>
        <v>5.5714285714285716E-2</v>
      </c>
      <c r="AD174" s="2"/>
      <c r="AE174" s="1" t="s">
        <v>42</v>
      </c>
      <c r="AF174" s="1" t="s">
        <v>355</v>
      </c>
      <c r="AG174" s="46">
        <f t="shared" si="72"/>
        <v>0.42657418958229176</v>
      </c>
      <c r="AI174" s="46"/>
      <c r="AJ174" s="46"/>
      <c r="AK174" s="46"/>
    </row>
    <row r="175" spans="1:37">
      <c r="A175" s="1" t="s">
        <v>171</v>
      </c>
      <c r="B175" s="1" t="s">
        <v>356</v>
      </c>
      <c r="C175" s="48">
        <v>1186056</v>
      </c>
      <c r="D175" s="48">
        <f t="shared" si="68"/>
        <v>302444.28000000003</v>
      </c>
      <c r="E175" s="48">
        <f t="shared" si="69"/>
        <v>883611.72</v>
      </c>
      <c r="F175" s="2">
        <v>1.5045299495512092</v>
      </c>
      <c r="G175">
        <v>25.5</v>
      </c>
      <c r="H175">
        <f t="shared" si="70"/>
        <v>74.5</v>
      </c>
      <c r="I175" s="47">
        <v>2.6086421123119305</v>
      </c>
      <c r="J175" s="47">
        <v>1.1293955332058272</v>
      </c>
      <c r="K175" s="48">
        <f t="shared" si="73"/>
        <v>17844.567738449088</v>
      </c>
      <c r="L175" s="48">
        <f t="shared" si="74"/>
        <v>4550.3647733045182</v>
      </c>
      <c r="M175" s="49">
        <f t="shared" si="75"/>
        <v>0.73385854704326137</v>
      </c>
      <c r="N175" s="59"/>
      <c r="O175" s="47">
        <v>25.051194422725469</v>
      </c>
      <c r="P175" s="47" t="e">
        <v>#N/A</v>
      </c>
      <c r="Q175" s="56"/>
      <c r="R175">
        <v>55</v>
      </c>
      <c r="S175">
        <v>53</v>
      </c>
      <c r="T175">
        <v>61</v>
      </c>
      <c r="U175">
        <f t="shared" si="71"/>
        <v>8</v>
      </c>
      <c r="W175" t="e">
        <v>#N/A</v>
      </c>
      <c r="Z175" s="2">
        <f t="shared" si="76"/>
        <v>0.36692927352163068</v>
      </c>
      <c r="AA175" s="2">
        <f t="shared" si="77"/>
        <v>0.21501706318179242</v>
      </c>
      <c r="AB175" s="2">
        <f t="shared" si="78"/>
        <v>0.2</v>
      </c>
      <c r="AC175" s="2" t="e">
        <f t="shared" si="79"/>
        <v>#N/A</v>
      </c>
      <c r="AD175" s="2"/>
      <c r="AE175" s="1" t="s">
        <v>171</v>
      </c>
      <c r="AF175" s="1" t="s">
        <v>356</v>
      </c>
      <c r="AG175" s="46">
        <f t="shared" si="72"/>
        <v>0.26064877890114108</v>
      </c>
      <c r="AI175" s="46"/>
      <c r="AJ175" s="46"/>
      <c r="AK175" s="46"/>
    </row>
    <row r="176" spans="1:37">
      <c r="A176" s="1" t="s">
        <v>24</v>
      </c>
      <c r="B176" s="1" t="s">
        <v>357</v>
      </c>
      <c r="C176" s="48">
        <v>9379116</v>
      </c>
      <c r="D176" s="48">
        <f t="shared" si="68"/>
        <v>7944111.2520000003</v>
      </c>
      <c r="E176" s="48">
        <f t="shared" si="69"/>
        <v>1435004.7479999999</v>
      </c>
      <c r="F176" s="2">
        <v>0.86308055165547348</v>
      </c>
      <c r="G176">
        <v>84.7</v>
      </c>
      <c r="H176">
        <f t="shared" si="70"/>
        <v>15.299999999999997</v>
      </c>
      <c r="I176" s="47">
        <v>0.95757618826418278</v>
      </c>
      <c r="J176" s="47">
        <v>0.34156698374469796</v>
      </c>
      <c r="K176" s="48">
        <f t="shared" si="73"/>
        <v>80949.326113206786</v>
      </c>
      <c r="L176" s="48">
        <f t="shared" si="74"/>
        <v>68564.079217886145</v>
      </c>
      <c r="M176" s="49">
        <f t="shared" si="75"/>
        <v>0.10948646268005617</v>
      </c>
      <c r="N176" s="59"/>
      <c r="O176" s="47">
        <v>16.180375113407337</v>
      </c>
      <c r="P176" s="47">
        <v>13.704777721056013</v>
      </c>
      <c r="Q176" s="56"/>
      <c r="R176">
        <v>100</v>
      </c>
      <c r="S176">
        <v>100</v>
      </c>
      <c r="T176">
        <v>100</v>
      </c>
      <c r="U176">
        <f t="shared" si="71"/>
        <v>0</v>
      </c>
      <c r="W176">
        <v>0</v>
      </c>
      <c r="Z176" s="2">
        <f t="shared" si="76"/>
        <v>5.4743231340028085E-2</v>
      </c>
      <c r="AA176" s="2">
        <f t="shared" si="77"/>
        <v>8.8291073048676241E-2</v>
      </c>
      <c r="AB176" s="2">
        <f t="shared" si="78"/>
        <v>0</v>
      </c>
      <c r="AC176" s="2">
        <f t="shared" si="79"/>
        <v>0</v>
      </c>
      <c r="AD176" s="2"/>
      <c r="AE176" s="1" t="s">
        <v>24</v>
      </c>
      <c r="AF176" s="1" t="s">
        <v>357</v>
      </c>
      <c r="AG176" s="46">
        <f t="shared" si="72"/>
        <v>3.575857609717608E-2</v>
      </c>
      <c r="AI176" s="46"/>
      <c r="AJ176" s="46"/>
      <c r="AK176" s="46"/>
    </row>
    <row r="177" spans="1:37">
      <c r="A177" s="1" t="s">
        <v>47</v>
      </c>
      <c r="B177" s="1" t="s">
        <v>358</v>
      </c>
      <c r="C177" s="48">
        <v>7825243</v>
      </c>
      <c r="D177" s="48">
        <f t="shared" si="68"/>
        <v>5759378.8479999993</v>
      </c>
      <c r="E177" s="48">
        <f t="shared" si="69"/>
        <v>2065864.1520000005</v>
      </c>
      <c r="F177" s="2">
        <v>1.0458263868105107</v>
      </c>
      <c r="G177">
        <v>73.599999999999994</v>
      </c>
      <c r="H177">
        <f t="shared" si="70"/>
        <v>26.400000000000006</v>
      </c>
      <c r="I177" s="47">
        <v>1.1273813729809532</v>
      </c>
      <c r="J177" s="47">
        <v>0.8188115333566216</v>
      </c>
      <c r="K177" s="48">
        <f t="shared" si="73"/>
        <v>81838.456126042409</v>
      </c>
      <c r="L177" s="48">
        <f t="shared" si="74"/>
        <v>60233.103708767201</v>
      </c>
      <c r="M177" s="49">
        <f t="shared" si="75"/>
        <v>7.7981381230170912E-2</v>
      </c>
      <c r="N177" s="59"/>
      <c r="O177" s="47">
        <v>19.970261209668564</v>
      </c>
      <c r="P177" s="47">
        <v>14.698112250316061</v>
      </c>
      <c r="Q177" s="56"/>
      <c r="R177">
        <v>100</v>
      </c>
      <c r="S177">
        <v>100</v>
      </c>
      <c r="T177">
        <v>100</v>
      </c>
      <c r="U177">
        <f t="shared" si="71"/>
        <v>0</v>
      </c>
      <c r="W177">
        <v>0</v>
      </c>
      <c r="Z177" s="2">
        <f t="shared" si="76"/>
        <v>3.8990690615085456E-2</v>
      </c>
      <c r="AA177" s="2">
        <f t="shared" si="77"/>
        <v>0.14243230299526521</v>
      </c>
      <c r="AB177" s="2">
        <f t="shared" si="78"/>
        <v>0</v>
      </c>
      <c r="AC177" s="2">
        <f t="shared" si="79"/>
        <v>0</v>
      </c>
      <c r="AD177" s="2"/>
      <c r="AE177" s="1" t="s">
        <v>47</v>
      </c>
      <c r="AF177" s="1" t="s">
        <v>358</v>
      </c>
      <c r="AG177" s="46">
        <f t="shared" si="72"/>
        <v>4.5355748402587666E-2</v>
      </c>
      <c r="AI177" s="46"/>
      <c r="AJ177" s="46"/>
      <c r="AK177" s="46"/>
    </row>
    <row r="178" spans="1:37">
      <c r="A178" s="1" t="s">
        <v>101</v>
      </c>
      <c r="B178" s="1" t="s">
        <v>359</v>
      </c>
      <c r="C178" s="48">
        <v>20446608.571213819</v>
      </c>
      <c r="D178" s="48">
        <f t="shared" si="68"/>
        <v>11225188.105596388</v>
      </c>
      <c r="E178" s="48">
        <f t="shared" si="69"/>
        <v>9221420.4656174332</v>
      </c>
      <c r="F178" s="2">
        <v>2.0386000000000015</v>
      </c>
      <c r="G178">
        <v>54.9</v>
      </c>
      <c r="H178">
        <f t="shared" si="70"/>
        <v>45.1</v>
      </c>
      <c r="I178" s="47">
        <v>2.6393322061915301</v>
      </c>
      <c r="J178" s="47">
        <v>1.2670459177373534</v>
      </c>
      <c r="K178" s="48">
        <f t="shared" si="73"/>
        <v>416824.56233276526</v>
      </c>
      <c r="L178" s="48">
        <f t="shared" si="74"/>
        <v>228836.68472068812</v>
      </c>
      <c r="M178" s="49">
        <f t="shared" si="75"/>
        <v>0.29467880221305226</v>
      </c>
      <c r="N178" s="59"/>
      <c r="O178" s="47">
        <v>27.498238523602929</v>
      </c>
      <c r="P178" s="47">
        <v>34.292665092007226</v>
      </c>
      <c r="Q178" s="56"/>
      <c r="R178">
        <v>96</v>
      </c>
      <c r="S178">
        <v>95</v>
      </c>
      <c r="T178">
        <v>96</v>
      </c>
      <c r="U178">
        <f t="shared" si="71"/>
        <v>1</v>
      </c>
      <c r="W178">
        <v>22.5</v>
      </c>
      <c r="Z178" s="2">
        <f t="shared" si="76"/>
        <v>0.14733940110652613</v>
      </c>
      <c r="AA178" s="2">
        <f t="shared" si="77"/>
        <v>0.24997483605147042</v>
      </c>
      <c r="AB178" s="2">
        <f t="shared" si="78"/>
        <v>2.5000000000000001E-2</v>
      </c>
      <c r="AC178" s="2">
        <f t="shared" si="79"/>
        <v>0.32142857142857145</v>
      </c>
      <c r="AD178" s="2"/>
      <c r="AE178" s="1" t="s">
        <v>101</v>
      </c>
      <c r="AF178" s="1" t="s">
        <v>359</v>
      </c>
      <c r="AG178" s="46">
        <f t="shared" si="72"/>
        <v>0.18593570214664201</v>
      </c>
      <c r="AI178" s="46"/>
      <c r="AJ178" s="46"/>
      <c r="AK178" s="46"/>
    </row>
    <row r="179" spans="1:37">
      <c r="A179" s="1" t="s">
        <v>167</v>
      </c>
      <c r="B179" s="1" t="s">
        <v>360</v>
      </c>
      <c r="C179" s="48">
        <v>6878637</v>
      </c>
      <c r="D179" s="48">
        <f t="shared" si="68"/>
        <v>1822838.8049999999</v>
      </c>
      <c r="E179" s="48">
        <f t="shared" si="69"/>
        <v>5055798.1950000003</v>
      </c>
      <c r="F179" s="2">
        <v>1.3943544859710337</v>
      </c>
      <c r="G179">
        <v>26.5</v>
      </c>
      <c r="H179">
        <f t="shared" si="70"/>
        <v>73.5</v>
      </c>
      <c r="I179" s="47">
        <v>1.4698546783079598</v>
      </c>
      <c r="J179" s="47">
        <v>1.3671473031069774</v>
      </c>
      <c r="K179" s="48">
        <f t="shared" si="73"/>
        <v>95912.583583163345</v>
      </c>
      <c r="L179" s="48">
        <f t="shared" si="74"/>
        <v>25416.834649538283</v>
      </c>
      <c r="M179" s="49">
        <f t="shared" si="75"/>
        <v>5.4147057363499229E-2</v>
      </c>
      <c r="N179" s="59"/>
      <c r="O179" s="47">
        <v>39.189548431765822</v>
      </c>
      <c r="P179" s="47" t="e">
        <v>#N/A</v>
      </c>
      <c r="Q179" s="56"/>
      <c r="R179">
        <v>94</v>
      </c>
      <c r="S179">
        <v>94</v>
      </c>
      <c r="T179">
        <v>95</v>
      </c>
      <c r="U179">
        <f t="shared" si="71"/>
        <v>1</v>
      </c>
      <c r="W179" t="e">
        <v>#N/A</v>
      </c>
      <c r="Z179" s="2">
        <f t="shared" si="76"/>
        <v>2.7073528681749615E-2</v>
      </c>
      <c r="AA179" s="2">
        <f t="shared" si="77"/>
        <v>0.41699354902522601</v>
      </c>
      <c r="AB179" s="2">
        <f t="shared" si="78"/>
        <v>2.5000000000000001E-2</v>
      </c>
      <c r="AC179" s="2" t="e">
        <f t="shared" si="79"/>
        <v>#N/A</v>
      </c>
      <c r="AD179" s="2"/>
      <c r="AE179" s="1" t="s">
        <v>167</v>
      </c>
      <c r="AF179" s="1" t="s">
        <v>360</v>
      </c>
      <c r="AG179" s="46">
        <f t="shared" si="72"/>
        <v>0.15635569256899187</v>
      </c>
      <c r="AI179" s="46"/>
      <c r="AJ179" s="46"/>
      <c r="AK179" s="46"/>
    </row>
    <row r="180" spans="1:37">
      <c r="A180" s="1" t="s">
        <v>170</v>
      </c>
      <c r="B180" s="1" t="s">
        <v>361</v>
      </c>
      <c r="C180" s="48">
        <v>44841226</v>
      </c>
      <c r="D180" s="48">
        <f t="shared" si="68"/>
        <v>11838083.663999999</v>
      </c>
      <c r="E180" s="48">
        <f t="shared" si="69"/>
        <v>33003142.335999999</v>
      </c>
      <c r="F180" s="2">
        <v>2.9798473382286836</v>
      </c>
      <c r="G180">
        <v>26.4</v>
      </c>
      <c r="H180">
        <f t="shared" si="70"/>
        <v>73.599999999999994</v>
      </c>
      <c r="I180" s="47">
        <v>4.6605591698667714</v>
      </c>
      <c r="J180" s="47">
        <v>2.383801141182043</v>
      </c>
      <c r="K180" s="48">
        <f t="shared" si="73"/>
        <v>1336200.0793901084</v>
      </c>
      <c r="L180" s="48">
        <f t="shared" si="74"/>
        <v>352756.82095898857</v>
      </c>
      <c r="M180" s="49">
        <f t="shared" si="75"/>
        <v>0.56402615331198713</v>
      </c>
      <c r="N180" s="59"/>
      <c r="O180" s="47">
        <v>28.291183734279784</v>
      </c>
      <c r="P180" s="47">
        <v>7.4688725058498617</v>
      </c>
      <c r="Q180" s="56"/>
      <c r="R180">
        <v>24</v>
      </c>
      <c r="S180">
        <v>21</v>
      </c>
      <c r="T180">
        <v>32</v>
      </c>
      <c r="U180">
        <f t="shared" si="71"/>
        <v>11</v>
      </c>
      <c r="W180">
        <v>63.5</v>
      </c>
      <c r="Z180" s="2">
        <f t="shared" si="76"/>
        <v>0.28201307665599357</v>
      </c>
      <c r="AA180" s="2">
        <f t="shared" si="77"/>
        <v>0.26130262477542548</v>
      </c>
      <c r="AB180" s="2">
        <f t="shared" si="78"/>
        <v>0.27500000000000002</v>
      </c>
      <c r="AC180" s="2">
        <f t="shared" si="79"/>
        <v>0.90714285714285714</v>
      </c>
      <c r="AD180" s="2"/>
      <c r="AE180" s="1" t="s">
        <v>170</v>
      </c>
      <c r="AF180" s="1" t="s">
        <v>361</v>
      </c>
      <c r="AG180" s="46">
        <f t="shared" si="72"/>
        <v>0.43136463964356908</v>
      </c>
      <c r="AI180" s="46"/>
      <c r="AJ180" s="46"/>
      <c r="AK180" s="46"/>
    </row>
    <row r="181" spans="1:37">
      <c r="A181" s="1" t="s">
        <v>149</v>
      </c>
      <c r="B181" s="1" t="s">
        <v>362</v>
      </c>
      <c r="C181" s="48">
        <v>69122234</v>
      </c>
      <c r="D181" s="48">
        <f t="shared" si="68"/>
        <v>23501559.559999999</v>
      </c>
      <c r="E181" s="48">
        <f t="shared" si="69"/>
        <v>45620674.439999998</v>
      </c>
      <c r="F181" s="2">
        <v>0.60381372357808127</v>
      </c>
      <c r="G181">
        <v>34</v>
      </c>
      <c r="H181">
        <f t="shared" si="70"/>
        <v>66</v>
      </c>
      <c r="I181" s="47">
        <v>1.608847308928216</v>
      </c>
      <c r="J181" s="47">
        <v>8.9984574329995584E-2</v>
      </c>
      <c r="K181" s="48">
        <f t="shared" si="73"/>
        <v>417369.53493575455</v>
      </c>
      <c r="L181" s="48">
        <f t="shared" si="74"/>
        <v>141905.64187815654</v>
      </c>
      <c r="M181" s="49">
        <f t="shared" si="75"/>
        <v>1.6644762218958906</v>
      </c>
      <c r="N181" s="59"/>
      <c r="O181" s="47">
        <v>29.685140606047511</v>
      </c>
      <c r="P181" s="47">
        <v>10.092947806056154</v>
      </c>
      <c r="Q181" s="56"/>
      <c r="R181">
        <v>96</v>
      </c>
      <c r="S181">
        <v>96</v>
      </c>
      <c r="T181">
        <v>95</v>
      </c>
      <c r="U181">
        <f t="shared" si="71"/>
        <v>-1</v>
      </c>
      <c r="W181">
        <v>27</v>
      </c>
      <c r="Z181" s="2">
        <f t="shared" si="76"/>
        <v>0.83223811094794531</v>
      </c>
      <c r="AA181" s="2">
        <f t="shared" si="77"/>
        <v>0.28121629437210732</v>
      </c>
      <c r="AB181" s="2">
        <f t="shared" si="78"/>
        <v>0</v>
      </c>
      <c r="AC181" s="2">
        <f t="shared" si="79"/>
        <v>0.38571428571428573</v>
      </c>
      <c r="AD181" s="2"/>
      <c r="AE181" s="1" t="s">
        <v>149</v>
      </c>
      <c r="AF181" s="1" t="s">
        <v>362</v>
      </c>
      <c r="AG181" s="46">
        <f t="shared" si="72"/>
        <v>0.37479217275858456</v>
      </c>
      <c r="AI181" s="46"/>
      <c r="AJ181" s="46"/>
      <c r="AK181" s="46"/>
    </row>
    <row r="182" spans="1:37">
      <c r="A182" s="1" t="s">
        <v>164</v>
      </c>
      <c r="B182" s="1" t="s">
        <v>363</v>
      </c>
      <c r="C182" s="48" t="e">
        <v>#N/A</v>
      </c>
      <c r="D182" s="48" t="e">
        <f t="shared" si="68"/>
        <v>#N/A</v>
      </c>
      <c r="E182" s="48" t="e">
        <f t="shared" si="69"/>
        <v>#N/A</v>
      </c>
      <c r="F182" s="2" t="e">
        <v>#N/A</v>
      </c>
      <c r="G182" t="e">
        <v>#N/A</v>
      </c>
      <c r="H182" t="e">
        <f t="shared" si="70"/>
        <v>#N/A</v>
      </c>
      <c r="I182" s="47" t="e">
        <v>#N/A</v>
      </c>
      <c r="J182" s="47" t="e">
        <v>#N/A</v>
      </c>
      <c r="K182" s="48" t="e">
        <f t="shared" si="73"/>
        <v>#N/A</v>
      </c>
      <c r="L182" s="48" t="e">
        <f t="shared" si="74"/>
        <v>#N/A</v>
      </c>
      <c r="M182" s="49" t="e">
        <f t="shared" si="75"/>
        <v>#N/A</v>
      </c>
      <c r="N182" s="59"/>
      <c r="O182" s="47" t="e">
        <v>#N/A</v>
      </c>
      <c r="P182" s="47" t="e">
        <v>#N/A</v>
      </c>
      <c r="Q182" s="56"/>
      <c r="R182" t="e">
        <v>#N/A</v>
      </c>
      <c r="S182" t="e">
        <v>#N/A</v>
      </c>
      <c r="T182" t="e">
        <v>#N/A</v>
      </c>
      <c r="U182" t="e">
        <f t="shared" si="71"/>
        <v>#N/A</v>
      </c>
      <c r="W182" t="e">
        <v>#N/A</v>
      </c>
      <c r="Z182" s="2" t="e">
        <f t="shared" si="76"/>
        <v>#N/A</v>
      </c>
      <c r="AA182" s="2" t="e">
        <f t="shared" si="77"/>
        <v>#N/A</v>
      </c>
      <c r="AB182" s="2" t="e">
        <f t="shared" si="78"/>
        <v>#N/A</v>
      </c>
      <c r="AC182" s="2" t="e">
        <f t="shared" si="79"/>
        <v>#N/A</v>
      </c>
      <c r="AD182" s="2"/>
      <c r="AE182" s="1" t="s">
        <v>164</v>
      </c>
      <c r="AF182" s="1" t="s">
        <v>363</v>
      </c>
      <c r="AG182" s="46" t="e">
        <f t="shared" si="72"/>
        <v>#N/A</v>
      </c>
      <c r="AI182" s="46"/>
      <c r="AJ182" s="46"/>
      <c r="AK182" s="46"/>
    </row>
    <row r="183" spans="1:37">
      <c r="A183" s="1" t="s">
        <v>127</v>
      </c>
      <c r="B183" s="1" t="s">
        <v>364</v>
      </c>
      <c r="C183" s="48">
        <v>6027798</v>
      </c>
      <c r="D183" s="48">
        <f t="shared" si="68"/>
        <v>2616064.3319999999</v>
      </c>
      <c r="E183" s="48">
        <f t="shared" si="69"/>
        <v>3411733.6680000001</v>
      </c>
      <c r="F183" s="2">
        <v>2.1114383888769024</v>
      </c>
      <c r="G183">
        <v>43.4</v>
      </c>
      <c r="H183">
        <f t="shared" si="70"/>
        <v>56.6</v>
      </c>
      <c r="I183" s="47">
        <v>3.7374904760549539</v>
      </c>
      <c r="J183" s="47">
        <v>0.88227453772126452</v>
      </c>
      <c r="K183" s="48">
        <f t="shared" si="73"/>
        <v>127273.24097595415</v>
      </c>
      <c r="L183" s="48">
        <f t="shared" si="74"/>
        <v>55236.586583564094</v>
      </c>
      <c r="M183" s="49">
        <f t="shared" si="75"/>
        <v>0.77011581097706872</v>
      </c>
      <c r="N183" s="59"/>
      <c r="O183" s="47">
        <v>63.722286168916739</v>
      </c>
      <c r="P183" s="47">
        <v>27.655472197309866</v>
      </c>
      <c r="Q183" s="56"/>
      <c r="R183">
        <v>12</v>
      </c>
      <c r="S183">
        <v>3</v>
      </c>
      <c r="T183">
        <v>24</v>
      </c>
      <c r="U183">
        <f t="shared" si="71"/>
        <v>21</v>
      </c>
      <c r="W183">
        <v>62.1</v>
      </c>
      <c r="Z183" s="2">
        <f t="shared" si="76"/>
        <v>0.38505790548853436</v>
      </c>
      <c r="AA183" s="2">
        <f t="shared" si="77"/>
        <v>0.76746123098452479</v>
      </c>
      <c r="AB183" s="2">
        <f t="shared" si="78"/>
        <v>0.52500000000000002</v>
      </c>
      <c r="AC183" s="2">
        <f t="shared" si="79"/>
        <v>0.88714285714285712</v>
      </c>
      <c r="AD183" s="2"/>
      <c r="AE183" s="1" t="s">
        <v>127</v>
      </c>
      <c r="AF183" s="1" t="s">
        <v>364</v>
      </c>
      <c r="AG183" s="46">
        <f t="shared" si="72"/>
        <v>0.64116549840397907</v>
      </c>
      <c r="AI183" s="46"/>
      <c r="AJ183" s="46"/>
      <c r="AK183" s="46"/>
    </row>
    <row r="184" spans="1:37">
      <c r="A184" s="1" t="s">
        <v>169</v>
      </c>
      <c r="B184" s="1" t="s">
        <v>365</v>
      </c>
      <c r="C184" s="48">
        <v>104058</v>
      </c>
      <c r="D184" s="48">
        <f t="shared" si="68"/>
        <v>26326.673999999999</v>
      </c>
      <c r="E184" s="48">
        <f t="shared" si="69"/>
        <v>77731.326000000001</v>
      </c>
      <c r="F184" s="2">
        <v>0.51932652596592233</v>
      </c>
      <c r="G184">
        <v>25.3</v>
      </c>
      <c r="H184">
        <f t="shared" si="70"/>
        <v>74.7</v>
      </c>
      <c r="I184" s="47">
        <v>1.5523114761235877</v>
      </c>
      <c r="J184" s="47">
        <v>0.17187194682642021</v>
      </c>
      <c r="K184" s="48">
        <f t="shared" si="73"/>
        <v>540.40079638961947</v>
      </c>
      <c r="L184" s="48">
        <f t="shared" si="74"/>
        <v>136.72140148657371</v>
      </c>
      <c r="M184" s="49">
        <f t="shared" si="75"/>
        <v>1.9890856686674403</v>
      </c>
      <c r="N184" s="59"/>
      <c r="O184" s="47">
        <v>93.591499169774735</v>
      </c>
      <c r="P184" s="47" t="e">
        <v>#N/A</v>
      </c>
      <c r="Q184" s="56"/>
      <c r="R184">
        <v>96</v>
      </c>
      <c r="S184">
        <v>96</v>
      </c>
      <c r="T184">
        <v>98</v>
      </c>
      <c r="U184">
        <f t="shared" si="71"/>
        <v>2</v>
      </c>
      <c r="W184" t="e">
        <v>#N/A</v>
      </c>
      <c r="Z184" s="2">
        <f t="shared" si="76"/>
        <v>0.99454283433372015</v>
      </c>
      <c r="AA184" s="2">
        <f t="shared" si="77"/>
        <v>1</v>
      </c>
      <c r="AB184" s="2">
        <f t="shared" si="78"/>
        <v>0.05</v>
      </c>
      <c r="AC184" s="2" t="e">
        <f t="shared" si="79"/>
        <v>#N/A</v>
      </c>
      <c r="AD184" s="2"/>
      <c r="AE184" s="1" t="s">
        <v>169</v>
      </c>
      <c r="AF184" s="1" t="s">
        <v>365</v>
      </c>
      <c r="AG184" s="46">
        <f t="shared" si="72"/>
        <v>0.6815142781112401</v>
      </c>
      <c r="AI184" s="46"/>
      <c r="AJ184" s="46"/>
      <c r="AK184" s="46"/>
    </row>
    <row r="185" spans="1:37">
      <c r="A185" s="1" t="s">
        <v>189</v>
      </c>
      <c r="B185" s="1" t="s">
        <v>366</v>
      </c>
      <c r="C185" s="48">
        <v>1341465</v>
      </c>
      <c r="D185" s="48">
        <f t="shared" si="68"/>
        <v>186463.63500000001</v>
      </c>
      <c r="E185" s="48">
        <f t="shared" si="69"/>
        <v>1155001.3649999998</v>
      </c>
      <c r="F185" s="2">
        <v>0.38210318002567334</v>
      </c>
      <c r="G185">
        <v>13.9</v>
      </c>
      <c r="H185">
        <f t="shared" si="70"/>
        <v>86.1</v>
      </c>
      <c r="I185" s="47">
        <v>2.8585589424653239</v>
      </c>
      <c r="J185" s="47">
        <v>-1.2008840474360079E-2</v>
      </c>
      <c r="K185" s="48">
        <f t="shared" si="73"/>
        <v>5125.7804239313991</v>
      </c>
      <c r="L185" s="48">
        <f t="shared" si="74"/>
        <v>712.4834789264645</v>
      </c>
      <c r="M185" s="49">
        <f t="shared" si="75"/>
        <v>6.4811179071403151</v>
      </c>
      <c r="N185" s="59"/>
      <c r="O185" s="47">
        <v>31.649103480910014</v>
      </c>
      <c r="P185" s="47" t="e">
        <v>#N/A</v>
      </c>
      <c r="Q185" s="56"/>
      <c r="R185">
        <v>92</v>
      </c>
      <c r="S185">
        <v>92</v>
      </c>
      <c r="T185">
        <v>92</v>
      </c>
      <c r="U185">
        <f t="shared" si="71"/>
        <v>0</v>
      </c>
      <c r="W185">
        <v>24.7</v>
      </c>
      <c r="Z185" s="2">
        <f t="shared" si="76"/>
        <v>1</v>
      </c>
      <c r="AA185" s="2">
        <f t="shared" si="77"/>
        <v>0.30927290687014308</v>
      </c>
      <c r="AB185" s="2">
        <f t="shared" si="78"/>
        <v>0</v>
      </c>
      <c r="AC185" s="2">
        <f t="shared" si="79"/>
        <v>0.35285714285714287</v>
      </c>
      <c r="AD185" s="2"/>
      <c r="AE185" s="1" t="s">
        <v>189</v>
      </c>
      <c r="AF185" s="1" t="s">
        <v>366</v>
      </c>
      <c r="AG185" s="46">
        <f t="shared" si="72"/>
        <v>0.41553251243182143</v>
      </c>
      <c r="AI185" s="46"/>
      <c r="AJ185" s="46"/>
      <c r="AK185" s="46"/>
    </row>
    <row r="186" spans="1:37">
      <c r="A186" s="1" t="s">
        <v>65</v>
      </c>
      <c r="B186" s="1" t="s">
        <v>367</v>
      </c>
      <c r="C186" s="48">
        <v>10549100</v>
      </c>
      <c r="D186" s="48">
        <f t="shared" si="68"/>
        <v>7099544.2999999998</v>
      </c>
      <c r="E186" s="48">
        <f t="shared" si="69"/>
        <v>3449555.7000000007</v>
      </c>
      <c r="F186" s="2">
        <v>1.0434280682023465</v>
      </c>
      <c r="G186">
        <v>67.3</v>
      </c>
      <c r="H186">
        <f t="shared" si="70"/>
        <v>32.700000000000003</v>
      </c>
      <c r="I186" s="47">
        <v>1.6395550198522808</v>
      </c>
      <c r="J186" s="47">
        <v>-0.17239237977857558</v>
      </c>
      <c r="K186" s="48">
        <f t="shared" si="73"/>
        <v>110072.27034273373</v>
      </c>
      <c r="L186" s="48">
        <f t="shared" si="74"/>
        <v>74078.637940659799</v>
      </c>
      <c r="M186" s="49">
        <f t="shared" si="75"/>
        <v>0.57131580970115392</v>
      </c>
      <c r="N186" s="59"/>
      <c r="O186" s="47">
        <v>10.799988951403543</v>
      </c>
      <c r="P186" s="47" t="e">
        <v>#N/A</v>
      </c>
      <c r="Q186" s="56"/>
      <c r="R186">
        <v>85</v>
      </c>
      <c r="S186">
        <v>64</v>
      </c>
      <c r="T186">
        <v>96</v>
      </c>
      <c r="U186">
        <f t="shared" si="71"/>
        <v>32</v>
      </c>
      <c r="W186" t="e">
        <v>#N/A</v>
      </c>
      <c r="Z186" s="2">
        <f t="shared" si="76"/>
        <v>0.28565790485057696</v>
      </c>
      <c r="AA186" s="2">
        <f t="shared" si="77"/>
        <v>1.1428413591479192E-2</v>
      </c>
      <c r="AB186" s="2">
        <f t="shared" si="78"/>
        <v>0.8</v>
      </c>
      <c r="AC186" s="2" t="e">
        <f t="shared" si="79"/>
        <v>#N/A</v>
      </c>
      <c r="AD186" s="2"/>
      <c r="AE186" s="1" t="s">
        <v>65</v>
      </c>
      <c r="AF186" s="1" t="s">
        <v>367</v>
      </c>
      <c r="AG186" s="46">
        <f t="shared" si="72"/>
        <v>0.36569543948068545</v>
      </c>
      <c r="AI186" s="46"/>
      <c r="AJ186" s="46"/>
      <c r="AK186" s="46"/>
    </row>
    <row r="187" spans="1:37">
      <c r="A187" s="1" t="s">
        <v>57</v>
      </c>
      <c r="B187" s="1" t="s">
        <v>368</v>
      </c>
      <c r="C187" s="48">
        <v>72752325</v>
      </c>
      <c r="D187" s="48">
        <f t="shared" si="68"/>
        <v>50635618.200000003</v>
      </c>
      <c r="E187" s="48">
        <f t="shared" si="69"/>
        <v>22116706.800000004</v>
      </c>
      <c r="F187" s="2">
        <v>1.2532974114998303</v>
      </c>
      <c r="G187">
        <v>69.599999999999994</v>
      </c>
      <c r="H187">
        <f t="shared" si="70"/>
        <v>30.400000000000006</v>
      </c>
      <c r="I187" s="47">
        <v>1.9164106961893845</v>
      </c>
      <c r="J187" s="47">
        <v>-0.24852644078405722</v>
      </c>
      <c r="K187" s="48">
        <f t="shared" si="73"/>
        <v>911803.00603094394</v>
      </c>
      <c r="L187" s="48">
        <f t="shared" si="74"/>
        <v>634614.892197537</v>
      </c>
      <c r="M187" s="49">
        <f t="shared" si="75"/>
        <v>0.52909491283158527</v>
      </c>
      <c r="N187" s="59"/>
      <c r="O187" s="47">
        <v>20.785023219090469</v>
      </c>
      <c r="P187" s="47">
        <v>29.155890206945283</v>
      </c>
      <c r="Q187" s="56"/>
      <c r="R187">
        <v>90</v>
      </c>
      <c r="S187">
        <v>75</v>
      </c>
      <c r="T187">
        <v>97</v>
      </c>
      <c r="U187">
        <f t="shared" si="71"/>
        <v>22</v>
      </c>
      <c r="W187">
        <v>13</v>
      </c>
      <c r="Z187" s="2">
        <f t="shared" si="76"/>
        <v>0.26454745641579264</v>
      </c>
      <c r="AA187" s="2">
        <f t="shared" si="77"/>
        <v>0.15407176027272099</v>
      </c>
      <c r="AB187" s="2">
        <f t="shared" si="78"/>
        <v>0.55000000000000004</v>
      </c>
      <c r="AC187" s="2">
        <f t="shared" si="79"/>
        <v>0.18571428571428572</v>
      </c>
      <c r="AD187" s="2"/>
      <c r="AE187" s="1" t="s">
        <v>57</v>
      </c>
      <c r="AF187" s="1" t="s">
        <v>368</v>
      </c>
      <c r="AG187" s="46">
        <f t="shared" si="72"/>
        <v>0.28858337560069985</v>
      </c>
      <c r="AI187" s="46"/>
      <c r="AJ187" s="46"/>
      <c r="AK187" s="46"/>
    </row>
    <row r="188" spans="1:37">
      <c r="A188" s="1" t="s">
        <v>114</v>
      </c>
      <c r="B188" s="1" t="s">
        <v>369</v>
      </c>
      <c r="C188" s="48">
        <v>5041995</v>
      </c>
      <c r="D188" s="48">
        <f t="shared" si="68"/>
        <v>2495787.5249999999</v>
      </c>
      <c r="E188" s="48">
        <f t="shared" si="69"/>
        <v>2546207.4750000001</v>
      </c>
      <c r="F188" s="2">
        <v>1.2437811681610527</v>
      </c>
      <c r="G188">
        <v>49.5</v>
      </c>
      <c r="H188">
        <f t="shared" si="70"/>
        <v>50.5</v>
      </c>
      <c r="I188" s="47">
        <v>2.1366442425911565</v>
      </c>
      <c r="J188" s="47">
        <v>0.37626784116137479</v>
      </c>
      <c r="K188" s="48">
        <f t="shared" si="73"/>
        <v>62711.384309621862</v>
      </c>
      <c r="L188" s="48">
        <f t="shared" si="74"/>
        <v>31042.135233262823</v>
      </c>
      <c r="M188" s="49">
        <f t="shared" si="75"/>
        <v>0.71786186934331386</v>
      </c>
      <c r="N188" s="59"/>
      <c r="O188" s="47">
        <v>26.083951519903476</v>
      </c>
      <c r="P188" s="47" t="e">
        <v>#N/A</v>
      </c>
      <c r="Q188" s="56"/>
      <c r="R188">
        <v>98</v>
      </c>
      <c r="S188">
        <v>97</v>
      </c>
      <c r="T188">
        <v>99</v>
      </c>
      <c r="U188">
        <f t="shared" si="71"/>
        <v>2</v>
      </c>
      <c r="W188">
        <v>0</v>
      </c>
      <c r="Z188" s="2">
        <f t="shared" si="76"/>
        <v>0.35893093467165693</v>
      </c>
      <c r="AA188" s="2">
        <f t="shared" si="77"/>
        <v>0.22977073599862108</v>
      </c>
      <c r="AB188" s="2">
        <f t="shared" si="78"/>
        <v>0.05</v>
      </c>
      <c r="AC188" s="2">
        <f t="shared" si="79"/>
        <v>0</v>
      </c>
      <c r="AD188" s="2"/>
      <c r="AE188" s="1" t="s">
        <v>114</v>
      </c>
      <c r="AF188" s="1" t="s">
        <v>369</v>
      </c>
      <c r="AG188" s="46">
        <f t="shared" si="72"/>
        <v>0.15967541766756951</v>
      </c>
      <c r="AI188" s="46"/>
      <c r="AJ188" s="46"/>
      <c r="AK188" s="46"/>
    </row>
    <row r="189" spans="1:37">
      <c r="A189" s="1" t="s">
        <v>113</v>
      </c>
      <c r="B189" s="1" t="s">
        <v>370</v>
      </c>
      <c r="C189" s="48">
        <v>9827</v>
      </c>
      <c r="D189" s="48">
        <f t="shared" si="68"/>
        <v>4952.808</v>
      </c>
      <c r="E189" s="48">
        <f t="shared" si="69"/>
        <v>4874.192</v>
      </c>
      <c r="F189" s="2">
        <v>0.21392561512484609</v>
      </c>
      <c r="G189">
        <v>50.4</v>
      </c>
      <c r="H189">
        <f t="shared" si="70"/>
        <v>49.6</v>
      </c>
      <c r="I189" s="47" t="e">
        <v>#N/A</v>
      </c>
      <c r="J189" s="47" t="e">
        <v>#N/A</v>
      </c>
      <c r="K189" s="48">
        <f t="shared" si="73"/>
        <v>21.022470198318626</v>
      </c>
      <c r="L189" s="48">
        <f t="shared" si="74"/>
        <v>10.595324979952586</v>
      </c>
      <c r="M189" s="49" t="e">
        <f t="shared" si="75"/>
        <v>#N/A</v>
      </c>
      <c r="N189" s="59"/>
      <c r="O189" s="47" t="e">
        <v>#N/A</v>
      </c>
      <c r="P189" s="47" t="e">
        <v>#N/A</v>
      </c>
      <c r="Q189" s="56"/>
      <c r="R189">
        <v>84</v>
      </c>
      <c r="S189">
        <v>81</v>
      </c>
      <c r="T189">
        <v>88</v>
      </c>
      <c r="U189">
        <f t="shared" si="71"/>
        <v>7</v>
      </c>
      <c r="W189" t="e">
        <v>#N/A</v>
      </c>
      <c r="Z189" s="2" t="e">
        <f t="shared" si="76"/>
        <v>#N/A</v>
      </c>
      <c r="AA189" s="2" t="e">
        <f t="shared" si="77"/>
        <v>#N/A</v>
      </c>
      <c r="AB189" s="2">
        <f t="shared" si="78"/>
        <v>0.17499999999999999</v>
      </c>
      <c r="AC189" s="2" t="e">
        <f t="shared" si="79"/>
        <v>#N/A</v>
      </c>
      <c r="AD189" s="2"/>
      <c r="AE189" s="1" t="s">
        <v>113</v>
      </c>
      <c r="AF189" s="1" t="s">
        <v>370</v>
      </c>
      <c r="AG189" s="46" t="e">
        <f t="shared" si="72"/>
        <v>#N/A</v>
      </c>
      <c r="AI189" s="46"/>
      <c r="AJ189" s="46"/>
      <c r="AK189" s="46"/>
    </row>
    <row r="190" spans="1:37">
      <c r="A190" s="1" t="s">
        <v>188</v>
      </c>
      <c r="B190" s="1" t="s">
        <v>371</v>
      </c>
      <c r="C190" s="48">
        <v>33424682.999999996</v>
      </c>
      <c r="D190" s="48">
        <f t="shared" si="68"/>
        <v>4445482.8389999997</v>
      </c>
      <c r="E190" s="48">
        <f t="shared" si="69"/>
        <v>28979200.160999998</v>
      </c>
      <c r="F190" s="2">
        <v>3.2127170021059483</v>
      </c>
      <c r="G190">
        <v>13.3</v>
      </c>
      <c r="H190">
        <f t="shared" si="70"/>
        <v>86.7</v>
      </c>
      <c r="I190" s="47">
        <v>4.4230192192303326</v>
      </c>
      <c r="J190" s="47">
        <v>3.0283426700879947</v>
      </c>
      <c r="K190" s="48">
        <f t="shared" si="73"/>
        <v>1073840.4736410165</v>
      </c>
      <c r="L190" s="48">
        <f t="shared" si="74"/>
        <v>142820.78299425519</v>
      </c>
      <c r="M190" s="49">
        <f t="shared" si="75"/>
        <v>0.37672232454057625</v>
      </c>
      <c r="N190" s="59"/>
      <c r="O190" s="47">
        <v>35.944711921538925</v>
      </c>
      <c r="P190" s="47">
        <v>4.7806466855646779</v>
      </c>
      <c r="Q190" s="56"/>
      <c r="R190">
        <v>48</v>
      </c>
      <c r="S190">
        <v>49</v>
      </c>
      <c r="T190">
        <v>38</v>
      </c>
      <c r="U190">
        <f t="shared" si="71"/>
        <v>-11</v>
      </c>
      <c r="W190">
        <v>60.1</v>
      </c>
      <c r="Z190" s="2">
        <f t="shared" si="76"/>
        <v>0.18836116227028812</v>
      </c>
      <c r="AA190" s="2">
        <f t="shared" si="77"/>
        <v>0.37063874173627037</v>
      </c>
      <c r="AB190" s="2">
        <f t="shared" si="78"/>
        <v>0</v>
      </c>
      <c r="AC190" s="2">
        <f t="shared" si="79"/>
        <v>0.85857142857142854</v>
      </c>
      <c r="AD190" s="2"/>
      <c r="AE190" s="1" t="s">
        <v>188</v>
      </c>
      <c r="AF190" s="1" t="s">
        <v>371</v>
      </c>
      <c r="AG190" s="46">
        <f t="shared" si="72"/>
        <v>0.35439283314449677</v>
      </c>
      <c r="AI190" s="46"/>
      <c r="AJ190" s="46"/>
      <c r="AK190" s="46"/>
    </row>
    <row r="191" spans="1:37">
      <c r="A191" s="1" t="s">
        <v>60</v>
      </c>
      <c r="B191" s="1" t="s">
        <v>372</v>
      </c>
      <c r="C191" s="48">
        <v>45870700</v>
      </c>
      <c r="D191" s="48">
        <f t="shared" si="68"/>
        <v>31237946.699999996</v>
      </c>
      <c r="E191" s="48">
        <f t="shared" si="69"/>
        <v>14632753.300000003</v>
      </c>
      <c r="F191" s="2">
        <v>-0.39728523600594301</v>
      </c>
      <c r="G191">
        <v>68.099999999999994</v>
      </c>
      <c r="H191">
        <f t="shared" si="70"/>
        <v>31.900000000000006</v>
      </c>
      <c r="I191" s="47">
        <v>-0.30914067322538807</v>
      </c>
      <c r="J191" s="47">
        <v>-0.58519634673337129</v>
      </c>
      <c r="K191" s="48">
        <f t="shared" si="73"/>
        <v>-182237.51875257809</v>
      </c>
      <c r="L191" s="48">
        <f t="shared" si="74"/>
        <v>-124103.75027050565</v>
      </c>
      <c r="M191" s="49">
        <f t="shared" si="75"/>
        <v>-0.22186719966416363</v>
      </c>
      <c r="N191" s="59"/>
      <c r="O191" s="47">
        <v>8.9787623589229071</v>
      </c>
      <c r="P191" s="47">
        <v>13.669806652176661</v>
      </c>
      <c r="Q191" s="56"/>
      <c r="R191">
        <v>95</v>
      </c>
      <c r="S191">
        <v>90</v>
      </c>
      <c r="T191">
        <v>97</v>
      </c>
      <c r="U191">
        <f t="shared" si="71"/>
        <v>7</v>
      </c>
      <c r="W191">
        <v>0</v>
      </c>
      <c r="Z191" s="2">
        <f t="shared" si="76"/>
        <v>0</v>
      </c>
      <c r="AA191" s="2">
        <f t="shared" si="77"/>
        <v>0</v>
      </c>
      <c r="AB191" s="2">
        <f t="shared" si="78"/>
        <v>0.17499999999999999</v>
      </c>
      <c r="AC191" s="2">
        <f t="shared" si="79"/>
        <v>0</v>
      </c>
      <c r="AD191" s="2"/>
      <c r="AE191" s="1" t="s">
        <v>60</v>
      </c>
      <c r="AF191" s="1" t="s">
        <v>372</v>
      </c>
      <c r="AG191" s="46">
        <f t="shared" si="72"/>
        <v>4.3749999999999997E-2</v>
      </c>
      <c r="AI191" s="46"/>
      <c r="AJ191" s="46"/>
      <c r="AK191" s="46"/>
    </row>
    <row r="192" spans="1:37">
      <c r="A192" s="1" t="s">
        <v>33</v>
      </c>
      <c r="B192" s="1" t="s">
        <v>373</v>
      </c>
      <c r="C192" s="48">
        <v>7511690</v>
      </c>
      <c r="D192" s="48">
        <f t="shared" si="68"/>
        <v>5859118.2000000002</v>
      </c>
      <c r="E192" s="48">
        <f t="shared" si="69"/>
        <v>1652571.8</v>
      </c>
      <c r="F192" s="2">
        <v>7.9329463088942509</v>
      </c>
      <c r="G192">
        <v>78</v>
      </c>
      <c r="H192">
        <f t="shared" si="70"/>
        <v>22</v>
      </c>
      <c r="I192" s="47">
        <v>8.0098989867970882</v>
      </c>
      <c r="J192" s="47">
        <v>7.6605902621901949</v>
      </c>
      <c r="K192" s="48">
        <f t="shared" si="73"/>
        <v>595898.33459057857</v>
      </c>
      <c r="L192" s="48">
        <f t="shared" si="74"/>
        <v>464800.70098065131</v>
      </c>
      <c r="M192" s="49">
        <f t="shared" si="75"/>
        <v>9.7003906123201804E-3</v>
      </c>
      <c r="N192" s="59"/>
      <c r="O192" s="47">
        <v>26.742556584709281</v>
      </c>
      <c r="P192" s="47">
        <v>20.859194136073238</v>
      </c>
      <c r="Q192" s="56"/>
      <c r="R192">
        <v>97</v>
      </c>
      <c r="S192">
        <v>95</v>
      </c>
      <c r="T192">
        <v>98</v>
      </c>
      <c r="U192">
        <f t="shared" si="71"/>
        <v>3</v>
      </c>
      <c r="W192">
        <v>0</v>
      </c>
      <c r="Z192" s="2">
        <f t="shared" si="76"/>
        <v>4.8501953061600902E-3</v>
      </c>
      <c r="AA192" s="2">
        <f t="shared" si="77"/>
        <v>0.23917937978156115</v>
      </c>
      <c r="AB192" s="2">
        <f t="shared" si="78"/>
        <v>7.4999999999999997E-2</v>
      </c>
      <c r="AC192" s="2">
        <f t="shared" si="79"/>
        <v>0</v>
      </c>
      <c r="AD192" s="2"/>
      <c r="AE192" s="1" t="s">
        <v>33</v>
      </c>
      <c r="AF192" s="1" t="s">
        <v>373</v>
      </c>
      <c r="AG192" s="46">
        <f t="shared" si="72"/>
        <v>7.9757393771930307E-2</v>
      </c>
      <c r="AI192" s="46"/>
      <c r="AJ192" s="46"/>
      <c r="AK192" s="46"/>
    </row>
    <row r="193" spans="1:37">
      <c r="A193" s="1" t="s">
        <v>14</v>
      </c>
      <c r="B193" s="1" t="s">
        <v>374</v>
      </c>
      <c r="C193" s="48">
        <v>62218761</v>
      </c>
      <c r="D193" s="48">
        <f t="shared" si="68"/>
        <v>56059103.660999991</v>
      </c>
      <c r="E193" s="48">
        <f t="shared" si="69"/>
        <v>6159657.3390000034</v>
      </c>
      <c r="F193" s="2">
        <v>0.67278093883343526</v>
      </c>
      <c r="G193">
        <v>90.1</v>
      </c>
      <c r="H193">
        <f t="shared" si="70"/>
        <v>9.9000000000000057</v>
      </c>
      <c r="I193" s="47">
        <v>0.76161061378399442</v>
      </c>
      <c r="J193" s="47">
        <v>-0.13205237944931991</v>
      </c>
      <c r="K193" s="48">
        <f t="shared" si="73"/>
        <v>418595.96438633127</v>
      </c>
      <c r="L193" s="48">
        <f t="shared" si="74"/>
        <v>377154.96391208441</v>
      </c>
      <c r="M193" s="49">
        <f t="shared" si="75"/>
        <v>0.13203357857400791</v>
      </c>
      <c r="N193" s="59"/>
      <c r="O193" s="47">
        <v>15.396830195850535</v>
      </c>
      <c r="P193" s="47">
        <v>25.559792166224586</v>
      </c>
      <c r="Q193" s="56"/>
      <c r="R193">
        <v>100</v>
      </c>
      <c r="S193">
        <v>100</v>
      </c>
      <c r="T193">
        <v>100</v>
      </c>
      <c r="U193">
        <f t="shared" si="71"/>
        <v>0</v>
      </c>
      <c r="W193">
        <v>0</v>
      </c>
      <c r="Z193" s="2">
        <f t="shared" si="76"/>
        <v>6.6016789287003955E-2</v>
      </c>
      <c r="AA193" s="2">
        <f t="shared" si="77"/>
        <v>7.7097574226436219E-2</v>
      </c>
      <c r="AB193" s="2">
        <f t="shared" si="78"/>
        <v>0</v>
      </c>
      <c r="AC193" s="2">
        <f t="shared" si="79"/>
        <v>0</v>
      </c>
      <c r="AD193" s="2"/>
      <c r="AE193" s="1" t="s">
        <v>14</v>
      </c>
      <c r="AF193" s="1" t="s">
        <v>374</v>
      </c>
      <c r="AG193" s="46">
        <f t="shared" si="72"/>
        <v>3.5778590878360043E-2</v>
      </c>
      <c r="AI193" s="46"/>
      <c r="AJ193" s="46"/>
      <c r="AK193" s="46"/>
    </row>
    <row r="194" spans="1:37">
      <c r="A194" s="1" t="s">
        <v>6</v>
      </c>
      <c r="B194" s="1" t="s">
        <v>375</v>
      </c>
      <c r="C194" s="48">
        <v>309050816</v>
      </c>
      <c r="D194" s="48">
        <f t="shared" si="68"/>
        <v>254348821.56799999</v>
      </c>
      <c r="E194" s="48">
        <f t="shared" si="69"/>
        <v>54701994.432000011</v>
      </c>
      <c r="F194" s="2">
        <v>0.6635167821071537</v>
      </c>
      <c r="G194">
        <v>82.3</v>
      </c>
      <c r="H194">
        <f t="shared" si="70"/>
        <v>17.700000000000003</v>
      </c>
      <c r="I194" s="47">
        <v>1.0287028239842697</v>
      </c>
      <c r="J194" s="47">
        <v>-1.0171950495309441</v>
      </c>
      <c r="K194" s="48">
        <f t="shared" si="73"/>
        <v>2050604.0293991005</v>
      </c>
      <c r="L194" s="48">
        <f t="shared" si="74"/>
        <v>1687647.1161954596</v>
      </c>
      <c r="M194" s="49">
        <f t="shared" si="75"/>
        <v>0.55037951069961155</v>
      </c>
      <c r="N194" s="59"/>
      <c r="O194" s="47">
        <v>7.6371767245663138</v>
      </c>
      <c r="P194" s="47">
        <v>44.745615879558152</v>
      </c>
      <c r="Q194" s="56"/>
      <c r="R194">
        <v>100</v>
      </c>
      <c r="S194">
        <v>99</v>
      </c>
      <c r="T194">
        <v>100</v>
      </c>
      <c r="U194">
        <f t="shared" si="71"/>
        <v>1</v>
      </c>
      <c r="W194">
        <v>0</v>
      </c>
      <c r="Z194" s="2">
        <f t="shared" si="76"/>
        <v>0.27518975534980578</v>
      </c>
      <c r="AA194" s="2">
        <f t="shared" si="77"/>
        <v>0</v>
      </c>
      <c r="AB194" s="2">
        <f t="shared" si="78"/>
        <v>2.5000000000000001E-2</v>
      </c>
      <c r="AC194" s="2">
        <f t="shared" si="79"/>
        <v>0</v>
      </c>
      <c r="AD194" s="2"/>
      <c r="AE194" s="1" t="s">
        <v>6</v>
      </c>
      <c r="AF194" s="1" t="s">
        <v>375</v>
      </c>
      <c r="AG194" s="46">
        <f t="shared" si="72"/>
        <v>7.504743883745145E-2</v>
      </c>
      <c r="AI194" s="46"/>
      <c r="AJ194" s="46"/>
      <c r="AK194" s="46"/>
    </row>
    <row r="195" spans="1:37">
      <c r="A195" s="1" t="s">
        <v>10</v>
      </c>
      <c r="B195" s="1" t="s">
        <v>376</v>
      </c>
      <c r="C195" s="48">
        <v>3356584</v>
      </c>
      <c r="D195" s="48">
        <f t="shared" si="68"/>
        <v>3104840.2</v>
      </c>
      <c r="E195" s="48">
        <f t="shared" si="69"/>
        <v>251743.8</v>
      </c>
      <c r="F195" s="2">
        <v>0.34756318709851114</v>
      </c>
      <c r="G195">
        <v>92.5</v>
      </c>
      <c r="H195">
        <f t="shared" si="70"/>
        <v>7.5</v>
      </c>
      <c r="I195" s="47">
        <v>0.45572977417261834</v>
      </c>
      <c r="J195" s="47">
        <v>-0.97695948790350906</v>
      </c>
      <c r="K195" s="48">
        <f t="shared" si="73"/>
        <v>11666.250328038688</v>
      </c>
      <c r="L195" s="48">
        <f t="shared" si="74"/>
        <v>10791.281553435789</v>
      </c>
      <c r="M195" s="49">
        <f t="shared" si="75"/>
        <v>0.31121416504748839</v>
      </c>
      <c r="N195" s="59"/>
      <c r="O195" s="47">
        <v>52.653563297718186</v>
      </c>
      <c r="P195" s="47">
        <v>48.704546050389325</v>
      </c>
      <c r="Q195" s="56"/>
      <c r="R195">
        <v>100</v>
      </c>
      <c r="S195">
        <v>99</v>
      </c>
      <c r="T195">
        <v>100</v>
      </c>
      <c r="U195">
        <f t="shared" si="71"/>
        <v>1</v>
      </c>
      <c r="W195">
        <v>0</v>
      </c>
      <c r="Z195" s="2">
        <f t="shared" si="76"/>
        <v>0.15560708252374419</v>
      </c>
      <c r="AA195" s="2">
        <f t="shared" si="77"/>
        <v>0.60933661853883125</v>
      </c>
      <c r="AB195" s="2">
        <f t="shared" si="78"/>
        <v>2.5000000000000001E-2</v>
      </c>
      <c r="AC195" s="2">
        <f t="shared" si="79"/>
        <v>0</v>
      </c>
      <c r="AD195" s="2"/>
      <c r="AE195" s="1" t="s">
        <v>10</v>
      </c>
      <c r="AF195" s="1" t="s">
        <v>376</v>
      </c>
      <c r="AG195" s="46">
        <f t="shared" si="72"/>
        <v>0.19748592526564387</v>
      </c>
      <c r="AI195" s="46"/>
      <c r="AJ195" s="46"/>
      <c r="AK195" s="46"/>
    </row>
    <row r="196" spans="1:37">
      <c r="A196" s="1" t="s">
        <v>139</v>
      </c>
      <c r="B196" s="1" t="s">
        <v>377</v>
      </c>
      <c r="C196" s="48">
        <v>28160361.373230297</v>
      </c>
      <c r="D196" s="48">
        <f t="shared" si="68"/>
        <v>10391173.346721979</v>
      </c>
      <c r="E196" s="48">
        <f t="shared" si="69"/>
        <v>17769188.026508316</v>
      </c>
      <c r="F196" s="2">
        <v>1.4063497438282671</v>
      </c>
      <c r="G196">
        <v>36.9</v>
      </c>
      <c r="H196">
        <f t="shared" si="70"/>
        <v>63.1</v>
      </c>
      <c r="I196" s="47">
        <v>1.5148096243086788</v>
      </c>
      <c r="J196" s="47">
        <v>1.3429783855604644</v>
      </c>
      <c r="K196" s="48">
        <f t="shared" si="73"/>
        <v>396033.17003353854</v>
      </c>
      <c r="L196" s="48">
        <f t="shared" si="74"/>
        <v>146136.23974237571</v>
      </c>
      <c r="M196" s="49">
        <f t="shared" si="75"/>
        <v>7.7121555968837283E-2</v>
      </c>
      <c r="N196" s="59"/>
      <c r="O196" s="47">
        <v>21.264653434898761</v>
      </c>
      <c r="P196" s="47">
        <v>7.8466571174776432</v>
      </c>
      <c r="Q196" s="56"/>
      <c r="R196">
        <v>100</v>
      </c>
      <c r="S196">
        <v>100</v>
      </c>
      <c r="T196">
        <v>100</v>
      </c>
      <c r="U196">
        <f t="shared" si="71"/>
        <v>0</v>
      </c>
      <c r="W196" t="e">
        <v>#N/A</v>
      </c>
      <c r="Z196" s="2">
        <f t="shared" si="76"/>
        <v>3.8560777984418641E-2</v>
      </c>
      <c r="AA196" s="2">
        <f t="shared" si="77"/>
        <v>0.16092362049855374</v>
      </c>
      <c r="AB196" s="2">
        <f t="shared" si="78"/>
        <v>0</v>
      </c>
      <c r="AC196" s="2" t="e">
        <f t="shared" si="79"/>
        <v>#N/A</v>
      </c>
      <c r="AD196" s="2"/>
      <c r="AE196" s="1" t="s">
        <v>139</v>
      </c>
      <c r="AF196" s="1" t="s">
        <v>377</v>
      </c>
      <c r="AG196" s="46">
        <f t="shared" si="72"/>
        <v>6.6494799494324131E-2</v>
      </c>
      <c r="AI196" s="46"/>
      <c r="AJ196" s="46"/>
      <c r="AK196" s="46"/>
    </row>
    <row r="197" spans="1:37">
      <c r="A197" s="1" t="s">
        <v>168</v>
      </c>
      <c r="B197" s="1" t="s">
        <v>378</v>
      </c>
      <c r="C197" s="48">
        <v>239651</v>
      </c>
      <c r="D197" s="48">
        <f t="shared" si="68"/>
        <v>61350.656000000003</v>
      </c>
      <c r="E197" s="48">
        <f t="shared" si="69"/>
        <v>178300.34400000001</v>
      </c>
      <c r="F197" s="2">
        <v>2.4760421825285159</v>
      </c>
      <c r="G197">
        <v>25.6</v>
      </c>
      <c r="H197">
        <f t="shared" si="70"/>
        <v>74.400000000000006</v>
      </c>
      <c r="I197" s="47">
        <v>4.1302744694600753</v>
      </c>
      <c r="J197" s="47">
        <v>1.9131134744330955</v>
      </c>
      <c r="K197" s="48">
        <f t="shared" si="73"/>
        <v>5933.8598508514142</v>
      </c>
      <c r="L197" s="48">
        <f t="shared" si="74"/>
        <v>1519.068121817962</v>
      </c>
      <c r="M197" s="49">
        <f t="shared" si="75"/>
        <v>0.66809535742330117</v>
      </c>
      <c r="N197" s="59"/>
      <c r="O197" s="47">
        <v>74.112864980252027</v>
      </c>
      <c r="P197" s="47" t="e">
        <v>#N/A</v>
      </c>
      <c r="Q197" s="56"/>
      <c r="R197">
        <v>52</v>
      </c>
      <c r="S197">
        <v>48</v>
      </c>
      <c r="T197">
        <v>66</v>
      </c>
      <c r="U197">
        <f t="shared" si="71"/>
        <v>18</v>
      </c>
      <c r="W197" t="e">
        <v>#N/A</v>
      </c>
      <c r="Z197" s="2">
        <f t="shared" si="76"/>
        <v>0.33404767871165059</v>
      </c>
      <c r="AA197" s="2">
        <f t="shared" si="77"/>
        <v>0.91589807114645749</v>
      </c>
      <c r="AB197" s="2">
        <f t="shared" si="78"/>
        <v>0.45</v>
      </c>
      <c r="AC197" s="2" t="e">
        <f t="shared" si="79"/>
        <v>#N/A</v>
      </c>
      <c r="AD197" s="2"/>
      <c r="AE197" s="1" t="s">
        <v>168</v>
      </c>
      <c r="AF197" s="1" t="s">
        <v>378</v>
      </c>
      <c r="AG197" s="46">
        <f t="shared" si="72"/>
        <v>0.56664858328603607</v>
      </c>
      <c r="AI197" s="46"/>
      <c r="AJ197" s="46"/>
      <c r="AK197" s="46"/>
    </row>
    <row r="198" spans="1:37">
      <c r="A198" s="1" t="s">
        <v>9</v>
      </c>
      <c r="B198" s="1" t="s">
        <v>379</v>
      </c>
      <c r="C198" s="48">
        <v>28834000</v>
      </c>
      <c r="D198" s="48">
        <f t="shared" si="68"/>
        <v>27103960</v>
      </c>
      <c r="E198" s="48">
        <f t="shared" si="69"/>
        <v>1730040</v>
      </c>
      <c r="F198" s="2">
        <v>1.5729640262543108</v>
      </c>
      <c r="G198">
        <v>94</v>
      </c>
      <c r="H198">
        <f t="shared" si="70"/>
        <v>6</v>
      </c>
      <c r="I198" s="47">
        <v>1.9353218777151349</v>
      </c>
      <c r="J198" s="47">
        <v>-3.9389658958537388</v>
      </c>
      <c r="K198" s="48">
        <f t="shared" si="73"/>
        <v>453548.44733016798</v>
      </c>
      <c r="L198" s="48">
        <f t="shared" si="74"/>
        <v>426335.5404903579</v>
      </c>
      <c r="M198" s="49">
        <f t="shared" si="75"/>
        <v>0.2303662673861045</v>
      </c>
      <c r="N198" s="59"/>
      <c r="O198" s="47">
        <v>11.40041528986908</v>
      </c>
      <c r="P198" s="47">
        <v>32.214201983769165</v>
      </c>
      <c r="Q198" s="56"/>
      <c r="R198">
        <v>91</v>
      </c>
      <c r="S198">
        <v>57</v>
      </c>
      <c r="T198">
        <v>94</v>
      </c>
      <c r="U198">
        <f t="shared" si="71"/>
        <v>37</v>
      </c>
      <c r="W198">
        <v>32</v>
      </c>
      <c r="Z198" s="2">
        <f t="shared" si="76"/>
        <v>0.11518313369305225</v>
      </c>
      <c r="AA198" s="2">
        <f t="shared" si="77"/>
        <v>2.0005932712415436E-2</v>
      </c>
      <c r="AB198" s="2">
        <f t="shared" si="78"/>
        <v>0.92500000000000004</v>
      </c>
      <c r="AC198" s="2">
        <f t="shared" si="79"/>
        <v>0.45714285714285713</v>
      </c>
      <c r="AD198" s="2"/>
      <c r="AE198" s="1" t="s">
        <v>9</v>
      </c>
      <c r="AF198" s="1" t="s">
        <v>379</v>
      </c>
      <c r="AG198" s="46">
        <f t="shared" si="72"/>
        <v>0.37933298088708117</v>
      </c>
      <c r="AI198" s="46"/>
      <c r="AJ198" s="46"/>
      <c r="AK198" s="46"/>
    </row>
    <row r="199" spans="1:37">
      <c r="A199" s="1" t="s">
        <v>160</v>
      </c>
      <c r="B199" s="1" t="s">
        <v>380</v>
      </c>
      <c r="C199" s="48">
        <v>86936464.418372169</v>
      </c>
      <c r="D199" s="48">
        <f t="shared" si="68"/>
        <v>25037701.752491184</v>
      </c>
      <c r="E199" s="48">
        <f t="shared" si="69"/>
        <v>61898762.665880986</v>
      </c>
      <c r="F199" s="2">
        <v>1.0544255956658288</v>
      </c>
      <c r="G199">
        <v>28.8</v>
      </c>
      <c r="H199">
        <f t="shared" si="70"/>
        <v>71.2</v>
      </c>
      <c r="I199" s="47">
        <v>2.7351374273039673</v>
      </c>
      <c r="J199" s="47">
        <v>0.38253057079134123</v>
      </c>
      <c r="K199" s="48">
        <f t="shared" si="73"/>
        <v>916680.33279423206</v>
      </c>
      <c r="L199" s="48">
        <f t="shared" si="74"/>
        <v>264003.93584473879</v>
      </c>
      <c r="M199" s="49">
        <f t="shared" si="75"/>
        <v>1.5939596293438179</v>
      </c>
      <c r="N199" s="59"/>
      <c r="O199" s="47">
        <v>24.631214402042275</v>
      </c>
      <c r="P199" s="47">
        <v>12.59700526501473</v>
      </c>
      <c r="Q199" s="56"/>
      <c r="R199">
        <v>75</v>
      </c>
      <c r="S199">
        <v>67</v>
      </c>
      <c r="T199">
        <v>94</v>
      </c>
      <c r="U199">
        <f t="shared" si="71"/>
        <v>27</v>
      </c>
      <c r="W199">
        <v>35.200000000000003</v>
      </c>
      <c r="Z199" s="2">
        <f t="shared" si="76"/>
        <v>0.79697981467190893</v>
      </c>
      <c r="AA199" s="2">
        <f t="shared" si="77"/>
        <v>0.20901734860060392</v>
      </c>
      <c r="AB199" s="2">
        <f t="shared" si="78"/>
        <v>0.67500000000000004</v>
      </c>
      <c r="AC199" s="2">
        <f t="shared" si="79"/>
        <v>0.50285714285714289</v>
      </c>
      <c r="AD199" s="2"/>
      <c r="AE199" s="1" t="s">
        <v>160</v>
      </c>
      <c r="AF199" s="1" t="s">
        <v>380</v>
      </c>
      <c r="AG199" s="46">
        <f t="shared" si="72"/>
        <v>0.54596357653241401</v>
      </c>
      <c r="AI199" s="46"/>
      <c r="AJ199" s="46"/>
      <c r="AK199" s="46"/>
    </row>
    <row r="200" spans="1:37">
      <c r="A200" s="1" t="s">
        <v>153</v>
      </c>
      <c r="B200" s="1" t="s">
        <v>381</v>
      </c>
      <c r="C200" s="48">
        <v>24052514</v>
      </c>
      <c r="D200" s="48">
        <f t="shared" si="68"/>
        <v>7648699.4520000005</v>
      </c>
      <c r="E200" s="48">
        <f t="shared" si="69"/>
        <v>16403814.548</v>
      </c>
      <c r="F200" s="2">
        <v>3.0575994003641815</v>
      </c>
      <c r="G200">
        <v>31.8</v>
      </c>
      <c r="H200">
        <f t="shared" si="70"/>
        <v>68.2</v>
      </c>
      <c r="I200" s="47">
        <v>4.898336870248718</v>
      </c>
      <c r="J200" s="47">
        <v>2.2107553848937966</v>
      </c>
      <c r="K200" s="48">
        <f t="shared" si="73"/>
        <v>735429.52383651072</v>
      </c>
      <c r="L200" s="48">
        <f t="shared" si="74"/>
        <v>233866.58858001046</v>
      </c>
      <c r="M200" s="49">
        <f t="shared" si="75"/>
        <v>0.60202048367267846</v>
      </c>
      <c r="N200" s="59"/>
      <c r="O200" s="47">
        <v>30.6201467935519</v>
      </c>
      <c r="P200" s="47">
        <v>9.7372066803495052</v>
      </c>
      <c r="Q200" s="56"/>
      <c r="R200">
        <v>52</v>
      </c>
      <c r="S200">
        <v>33</v>
      </c>
      <c r="T200">
        <v>94</v>
      </c>
      <c r="U200">
        <f t="shared" si="71"/>
        <v>61</v>
      </c>
      <c r="W200">
        <v>76.8</v>
      </c>
      <c r="Z200" s="2">
        <f t="shared" si="76"/>
        <v>0.30101024183633923</v>
      </c>
      <c r="AA200" s="2">
        <f t="shared" si="77"/>
        <v>0.29457352562216998</v>
      </c>
      <c r="AB200" s="2">
        <f t="shared" si="78"/>
        <v>1</v>
      </c>
      <c r="AC200" s="2">
        <f t="shared" si="79"/>
        <v>1</v>
      </c>
      <c r="AD200" s="2"/>
      <c r="AE200" s="1" t="s">
        <v>153</v>
      </c>
      <c r="AF200" s="1" t="s">
        <v>381</v>
      </c>
      <c r="AG200" s="46">
        <f t="shared" si="72"/>
        <v>0.64889594186462729</v>
      </c>
      <c r="AI200" s="46"/>
      <c r="AJ200" s="46"/>
      <c r="AK200" s="46"/>
    </row>
    <row r="201" spans="1:37">
      <c r="A201" s="1" t="s">
        <v>145</v>
      </c>
      <c r="B201" s="1" t="s">
        <v>382</v>
      </c>
      <c r="C201" s="48">
        <v>12926409</v>
      </c>
      <c r="D201" s="48">
        <f t="shared" si="68"/>
        <v>4614728.0130000003</v>
      </c>
      <c r="E201" s="48">
        <f t="shared" si="69"/>
        <v>8311680.9869999997</v>
      </c>
      <c r="F201" s="2">
        <v>1.5802416580965608</v>
      </c>
      <c r="G201">
        <v>35.700000000000003</v>
      </c>
      <c r="H201">
        <f t="shared" si="70"/>
        <v>64.3</v>
      </c>
      <c r="I201" s="47">
        <v>1.9731694720855213</v>
      </c>
      <c r="J201" s="47">
        <v>1.3627489515765592</v>
      </c>
      <c r="K201" s="48">
        <f t="shared" si="73"/>
        <v>204268.49991394309</v>
      </c>
      <c r="L201" s="48">
        <f t="shared" si="74"/>
        <v>72923.854469277678</v>
      </c>
      <c r="M201" s="49">
        <f t="shared" si="75"/>
        <v>0.24865045923561555</v>
      </c>
      <c r="N201" s="59"/>
      <c r="O201" s="47">
        <v>31.437584098415204</v>
      </c>
      <c r="P201" s="47">
        <v>11.223217523134227</v>
      </c>
      <c r="Q201" s="56"/>
      <c r="R201">
        <v>49</v>
      </c>
      <c r="S201">
        <v>43</v>
      </c>
      <c r="T201">
        <v>59</v>
      </c>
      <c r="U201">
        <f t="shared" si="71"/>
        <v>16</v>
      </c>
      <c r="W201">
        <v>57.3</v>
      </c>
      <c r="Z201" s="2">
        <f t="shared" si="76"/>
        <v>0.12432522961780777</v>
      </c>
      <c r="AA201" s="2">
        <f t="shared" si="77"/>
        <v>0.30625120140593148</v>
      </c>
      <c r="AB201" s="2">
        <f t="shared" si="78"/>
        <v>0.4</v>
      </c>
      <c r="AC201" s="2">
        <f t="shared" si="79"/>
        <v>0.81857142857142851</v>
      </c>
      <c r="AD201" s="2"/>
      <c r="AE201" s="1" t="s">
        <v>145</v>
      </c>
      <c r="AF201" s="1" t="s">
        <v>382</v>
      </c>
      <c r="AG201" s="46">
        <f t="shared" si="72"/>
        <v>0.41228696489879196</v>
      </c>
      <c r="AI201" s="46"/>
      <c r="AJ201" s="46"/>
      <c r="AK201" s="46"/>
    </row>
    <row r="202" spans="1:37">
      <c r="A202" s="1" t="s">
        <v>138</v>
      </c>
      <c r="B202" s="1" t="s">
        <v>383</v>
      </c>
      <c r="C202" s="48">
        <v>12571454</v>
      </c>
      <c r="D202" s="48">
        <f t="shared" si="68"/>
        <v>4814866.8820000002</v>
      </c>
      <c r="E202" s="48">
        <f t="shared" si="69"/>
        <v>7756587.1180000007</v>
      </c>
      <c r="F202" s="2">
        <v>0.77828513783696907</v>
      </c>
      <c r="G202">
        <v>38.299999999999997</v>
      </c>
      <c r="H202">
        <f t="shared" si="70"/>
        <v>61.7</v>
      </c>
      <c r="I202" s="47">
        <v>2.0394684334658639</v>
      </c>
      <c r="J202" s="47">
        <v>3.3377659103869771E-3</v>
      </c>
      <c r="K202" s="48">
        <f t="shared" si="73"/>
        <v>97841.75809201115</v>
      </c>
      <c r="L202" s="48">
        <f t="shared" si="74"/>
        <v>37473.393349240279</v>
      </c>
      <c r="M202" s="49">
        <f t="shared" si="75"/>
        <v>1.6204643186866055</v>
      </c>
      <c r="N202" s="59"/>
      <c r="O202" s="47">
        <v>33.886585859716817</v>
      </c>
      <c r="P202" s="47">
        <v>12.978562384271541</v>
      </c>
      <c r="Q202" s="56"/>
      <c r="R202">
        <v>44</v>
      </c>
      <c r="S202">
        <v>37</v>
      </c>
      <c r="T202">
        <v>56</v>
      </c>
      <c r="U202">
        <f t="shared" si="71"/>
        <v>19</v>
      </c>
      <c r="W202">
        <v>24.1</v>
      </c>
      <c r="Z202" s="2">
        <f t="shared" si="76"/>
        <v>0.81023215934330273</v>
      </c>
      <c r="AA202" s="2">
        <f t="shared" si="77"/>
        <v>0.34123694085309736</v>
      </c>
      <c r="AB202" s="2">
        <f t="shared" si="78"/>
        <v>0.47499999999999998</v>
      </c>
      <c r="AC202" s="2">
        <f t="shared" si="79"/>
        <v>0.34428571428571431</v>
      </c>
      <c r="AD202" s="2"/>
      <c r="AE202" s="1" t="s">
        <v>138</v>
      </c>
      <c r="AF202" s="1" t="s">
        <v>383</v>
      </c>
      <c r="AG202" s="46">
        <f t="shared" si="72"/>
        <v>0.49268870362052863</v>
      </c>
      <c r="AI202" s="46"/>
      <c r="AJ202" s="46"/>
      <c r="AK202" s="46"/>
    </row>
  </sheetData>
  <mergeCells count="1">
    <mergeCell ref="Z7:AC7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000090"/>
  </sheetPr>
  <dimension ref="A1:M205"/>
  <sheetViews>
    <sheetView workbookViewId="0">
      <selection activeCell="AG179" sqref="AG179"/>
    </sheetView>
  </sheetViews>
  <sheetFormatPr baseColWidth="10" defaultRowHeight="15" x14ac:dyDescent="0"/>
  <cols>
    <col min="6" max="6" width="7.5" customWidth="1"/>
  </cols>
  <sheetData>
    <row r="1" spans="1:13">
      <c r="B1" s="74" t="s">
        <v>388</v>
      </c>
      <c r="C1">
        <f>COUNT(C14:C205)</f>
        <v>122</v>
      </c>
      <c r="D1">
        <f t="shared" ref="D1:I1" si="0">COUNT(D14:D205)</f>
        <v>145</v>
      </c>
      <c r="E1">
        <f t="shared" si="0"/>
        <v>148</v>
      </c>
      <c r="G1">
        <f t="shared" si="0"/>
        <v>122</v>
      </c>
      <c r="H1">
        <f t="shared" si="0"/>
        <v>145</v>
      </c>
      <c r="I1">
        <f t="shared" si="0"/>
        <v>148</v>
      </c>
    </row>
    <row r="2" spans="1:13">
      <c r="B2" s="74" t="s">
        <v>386</v>
      </c>
      <c r="C2" s="77">
        <f>mmean(C14:C205)</f>
        <v>7451.0603593916121</v>
      </c>
      <c r="D2" s="77">
        <f t="shared" ref="D2:I2" si="1">mmean(D14:D205)</f>
        <v>8041.9635085990976</v>
      </c>
      <c r="E2" s="77">
        <f t="shared" si="1"/>
        <v>5840.5506826752826</v>
      </c>
      <c r="F2" s="77"/>
      <c r="G2" s="78">
        <f t="shared" si="1"/>
        <v>0.24653487829285081</v>
      </c>
      <c r="H2" s="78">
        <f t="shared" si="1"/>
        <v>0.23712299065900092</v>
      </c>
      <c r="I2" s="78">
        <f t="shared" si="1"/>
        <v>0.18415520369323218</v>
      </c>
    </row>
    <row r="3" spans="1:13">
      <c r="B3" s="74" t="s">
        <v>474</v>
      </c>
      <c r="C3" s="77">
        <f>mmedian(C14:C205)</f>
        <v>5094.6969898389198</v>
      </c>
      <c r="D3" s="77">
        <f t="shared" ref="D3:I3" si="2">mmedian(D14:D205)</f>
        <v>4976.5585705969197</v>
      </c>
      <c r="E3" s="77">
        <f t="shared" si="2"/>
        <v>4156.2580882788461</v>
      </c>
      <c r="F3" s="77"/>
      <c r="G3" s="78">
        <f t="shared" si="2"/>
        <v>0.14483588280912496</v>
      </c>
      <c r="H3" s="78">
        <f t="shared" si="2"/>
        <v>0.16324163594755481</v>
      </c>
      <c r="I3" s="78">
        <f t="shared" si="2"/>
        <v>0.11008909543186664</v>
      </c>
    </row>
    <row r="4" spans="1:13">
      <c r="B4" s="74" t="s">
        <v>518</v>
      </c>
      <c r="C4" s="77">
        <f>mmin(C14:C205)</f>
        <v>3.1624479452294807</v>
      </c>
      <c r="D4" s="77">
        <f t="shared" ref="D4:I4" si="3">mmin(D14:D205)</f>
        <v>2.3252536224689329</v>
      </c>
      <c r="E4" s="77">
        <f t="shared" si="3"/>
        <v>1.9851518476326344</v>
      </c>
      <c r="F4" s="77"/>
      <c r="G4" s="78">
        <f t="shared" si="3"/>
        <v>1.447601056840659E-5</v>
      </c>
      <c r="H4" s="78">
        <f t="shared" si="3"/>
        <v>8.8864387234386065E-6</v>
      </c>
      <c r="I4" s="78">
        <f t="shared" si="3"/>
        <v>6.5957364285967006E-6</v>
      </c>
    </row>
    <row r="5" spans="1:13">
      <c r="B5" s="74" t="s">
        <v>517</v>
      </c>
      <c r="C5" s="77">
        <f>mmax(C14:C205)</f>
        <v>51737.289208954448</v>
      </c>
      <c r="D5" s="77">
        <f t="shared" ref="D5:I5" si="4">mmax(D14:D205)</f>
        <v>65523.183417265478</v>
      </c>
      <c r="E5" s="77">
        <f t="shared" si="4"/>
        <v>49304.198780615145</v>
      </c>
      <c r="F5" s="77"/>
      <c r="G5" s="78">
        <f t="shared" si="4"/>
        <v>1.6999298155277249</v>
      </c>
      <c r="H5" s="78">
        <f t="shared" si="4"/>
        <v>1.2666688801104802</v>
      </c>
      <c r="I5" s="78">
        <f t="shared" si="4"/>
        <v>1.2298735327486121</v>
      </c>
    </row>
    <row r="6" spans="1:13">
      <c r="B6" s="74" t="s">
        <v>475</v>
      </c>
      <c r="C6" s="77">
        <f>mpercentile(C14:C205,0.05)</f>
        <v>1340.260121394856</v>
      </c>
      <c r="D6" s="77">
        <f t="shared" ref="D6:I6" si="5">mpercentile(D14:D205,0.05)</f>
        <v>1134.0073073544395</v>
      </c>
      <c r="E6" s="77">
        <f t="shared" si="5"/>
        <v>1038.7673374576025</v>
      </c>
      <c r="F6" s="77"/>
      <c r="G6" s="78">
        <f t="shared" si="5"/>
        <v>7.9013193804980467E-3</v>
      </c>
      <c r="H6" s="78">
        <f t="shared" si="5"/>
        <v>1.0100639628969536E-2</v>
      </c>
      <c r="I6" s="78">
        <f t="shared" si="5"/>
        <v>6.7215541533682411E-3</v>
      </c>
    </row>
    <row r="7" spans="1:13">
      <c r="B7" s="74" t="s">
        <v>476</v>
      </c>
      <c r="C7" s="77">
        <f>mpercentile(C14:C205,0.1)</f>
        <v>1742.461294666693</v>
      </c>
      <c r="D7" s="77">
        <f t="shared" ref="D7:I7" si="6">mpercentile(D14:D205,0.1)</f>
        <v>1689.2329295504892</v>
      </c>
      <c r="E7" s="77">
        <f t="shared" si="6"/>
        <v>1255.4863008879684</v>
      </c>
      <c r="F7" s="77"/>
      <c r="G7" s="78">
        <f t="shared" si="6"/>
        <v>1.6297390587429395E-2</v>
      </c>
      <c r="H7" s="78">
        <f t="shared" si="6"/>
        <v>1.6552307361680729E-2</v>
      </c>
      <c r="I7" s="78">
        <f t="shared" si="6"/>
        <v>1.2051840378153782E-2</v>
      </c>
    </row>
    <row r="8" spans="1:13">
      <c r="B8" s="74" t="s">
        <v>477</v>
      </c>
      <c r="C8" s="77">
        <f>mpercentile(C14:C205,0.9)</f>
        <v>16536.291208664945</v>
      </c>
      <c r="D8" s="77">
        <f t="shared" ref="D8:I8" si="7">mpercentile(D14:D205,0.9)</f>
        <v>16339.866813338602</v>
      </c>
      <c r="E8" s="77">
        <f t="shared" si="7"/>
        <v>11304.979791237514</v>
      </c>
      <c r="F8" s="77"/>
      <c r="G8" s="78">
        <f t="shared" si="7"/>
        <v>0.60915446734042722</v>
      </c>
      <c r="H8" s="78">
        <f t="shared" si="7"/>
        <v>0.54192746782286949</v>
      </c>
      <c r="I8" s="78">
        <f t="shared" si="7"/>
        <v>0.47170466945646217</v>
      </c>
    </row>
    <row r="9" spans="1:13">
      <c r="B9" s="74" t="s">
        <v>515</v>
      </c>
      <c r="C9" s="77">
        <f>mpercentile(C14:C205,0.95)</f>
        <v>19859.750479048278</v>
      </c>
      <c r="D9" s="77">
        <f t="shared" ref="D9:I9" si="8">mpercentile(D14:D205,0.95)</f>
        <v>22728.080993548319</v>
      </c>
      <c r="E9" s="77">
        <f t="shared" si="8"/>
        <v>17861.110293550482</v>
      </c>
      <c r="F9" s="77"/>
      <c r="G9" s="78">
        <f t="shared" si="8"/>
        <v>1.0172556952540746</v>
      </c>
      <c r="H9" s="78">
        <f t="shared" si="8"/>
        <v>0.7291570330895969</v>
      </c>
      <c r="I9" s="78">
        <f t="shared" si="8"/>
        <v>0.57872472072026215</v>
      </c>
      <c r="K9" t="s">
        <v>519</v>
      </c>
    </row>
    <row r="10" spans="1:13">
      <c r="C10" s="72"/>
      <c r="K10" s="49">
        <v>0</v>
      </c>
      <c r="L10" s="49">
        <v>0</v>
      </c>
      <c r="M10" s="49">
        <v>0</v>
      </c>
    </row>
    <row r="11" spans="1:13">
      <c r="K11" s="49">
        <v>0.6</v>
      </c>
      <c r="L11" s="49">
        <v>0.6</v>
      </c>
      <c r="M11" s="49">
        <v>0.6</v>
      </c>
    </row>
    <row r="12" spans="1:13">
      <c r="C12">
        <v>1995</v>
      </c>
      <c r="D12">
        <v>2000</v>
      </c>
      <c r="E12">
        <v>2005</v>
      </c>
      <c r="G12">
        <v>1995</v>
      </c>
      <c r="H12">
        <v>2000</v>
      </c>
      <c r="I12">
        <v>2005</v>
      </c>
    </row>
    <row r="13" spans="1:13" s="43" customFormat="1" ht="45">
      <c r="C13" s="76" t="s">
        <v>520</v>
      </c>
      <c r="D13" s="76" t="s">
        <v>520</v>
      </c>
      <c r="E13" s="76" t="s">
        <v>520</v>
      </c>
      <c r="G13" s="76" t="s">
        <v>521</v>
      </c>
      <c r="H13" s="76" t="s">
        <v>521</v>
      </c>
      <c r="I13" s="76" t="s">
        <v>521</v>
      </c>
      <c r="K13" s="43" t="s">
        <v>522</v>
      </c>
      <c r="L13" s="43" t="s">
        <v>523</v>
      </c>
      <c r="M13" s="43" t="s">
        <v>524</v>
      </c>
    </row>
    <row r="14" spans="1:13">
      <c r="A14" s="79" t="s">
        <v>173</v>
      </c>
      <c r="B14" s="79" t="s">
        <v>192</v>
      </c>
      <c r="C14" s="77" t="s">
        <v>525</v>
      </c>
      <c r="D14" s="77" t="s">
        <v>525</v>
      </c>
      <c r="E14" s="77" t="s">
        <v>525</v>
      </c>
      <c r="G14" s="78" t="s">
        <v>525</v>
      </c>
      <c r="H14" s="78" t="s">
        <v>525</v>
      </c>
      <c r="I14" s="78" t="s">
        <v>525</v>
      </c>
      <c r="K14" s="60" t="str">
        <f>IF(ISNUMBER(G14),MIN((G14-K$10)/K$11,1),"")</f>
        <v/>
      </c>
      <c r="L14" s="60" t="str">
        <f t="shared" ref="L14:M29" si="9">IF(ISNUMBER(H14),MIN((H14-L$10)/L$11,1),"")</f>
        <v/>
      </c>
      <c r="M14" s="60" t="str">
        <f t="shared" si="9"/>
        <v/>
      </c>
    </row>
    <row r="15" spans="1:13">
      <c r="A15" s="79" t="s">
        <v>123</v>
      </c>
      <c r="B15" s="79" t="s">
        <v>193</v>
      </c>
      <c r="C15" s="77" t="s">
        <v>525</v>
      </c>
      <c r="D15" s="77">
        <v>7543.7079228833727</v>
      </c>
      <c r="E15" s="77">
        <v>5067.088979201746</v>
      </c>
      <c r="G15" s="78" t="s">
        <v>525</v>
      </c>
      <c r="H15" s="78">
        <v>0.21889727093295924</v>
      </c>
      <c r="I15" s="78">
        <v>9.5433368501457255E-2</v>
      </c>
      <c r="K15" s="60" t="str">
        <f t="shared" ref="K15:M38" si="10">IF(ISNUMBER(G15),MIN((G15-K$10)/K$11,1),"")</f>
        <v/>
      </c>
      <c r="L15" s="60">
        <f t="shared" si="9"/>
        <v>0.36482878488826542</v>
      </c>
      <c r="M15" s="60">
        <f t="shared" si="9"/>
        <v>0.15905561416909544</v>
      </c>
    </row>
    <row r="16" spans="1:13">
      <c r="A16" s="79" t="s">
        <v>74</v>
      </c>
      <c r="B16" s="79" t="s">
        <v>194</v>
      </c>
      <c r="C16" s="77">
        <v>2720.6887369124411</v>
      </c>
      <c r="D16" s="77">
        <v>3289.3839959705197</v>
      </c>
      <c r="E16" s="77">
        <v>2521.9975265467792</v>
      </c>
      <c r="G16" s="78">
        <v>7.5514166612440148E-2</v>
      </c>
      <c r="H16" s="78">
        <v>9.5501219410214347E-2</v>
      </c>
      <c r="I16" s="78">
        <v>8.337453394077525E-2</v>
      </c>
      <c r="K16" s="60">
        <f t="shared" si="10"/>
        <v>0.12585694435406691</v>
      </c>
      <c r="L16" s="60">
        <f t="shared" si="9"/>
        <v>0.15916869901702391</v>
      </c>
      <c r="M16" s="60">
        <f t="shared" si="9"/>
        <v>0.13895755656795875</v>
      </c>
    </row>
    <row r="17" spans="1:13">
      <c r="A17" s="79" t="s">
        <v>17</v>
      </c>
      <c r="B17" s="79" t="s">
        <v>195</v>
      </c>
      <c r="C17" s="77" t="e">
        <v>#N/A</v>
      </c>
      <c r="D17" s="77" t="e">
        <v>#N/A</v>
      </c>
      <c r="E17" s="77" t="e">
        <v>#N/A</v>
      </c>
      <c r="G17" s="78" t="e">
        <v>#N/A</v>
      </c>
      <c r="H17" s="78" t="e">
        <v>#N/A</v>
      </c>
      <c r="I17" s="78" t="e">
        <v>#N/A</v>
      </c>
      <c r="K17" s="60" t="str">
        <f t="shared" si="10"/>
        <v/>
      </c>
      <c r="L17" s="60" t="str">
        <f t="shared" si="9"/>
        <v/>
      </c>
      <c r="M17" s="60" t="str">
        <f t="shared" si="9"/>
        <v/>
      </c>
    </row>
    <row r="18" spans="1:13">
      <c r="A18" s="79" t="s">
        <v>98</v>
      </c>
      <c r="B18" s="79" t="s">
        <v>196</v>
      </c>
      <c r="C18" s="77" t="s">
        <v>525</v>
      </c>
      <c r="D18" s="77" t="s">
        <v>525</v>
      </c>
      <c r="E18" s="77">
        <v>2254.5570612674824</v>
      </c>
      <c r="G18" s="78" t="s">
        <v>525</v>
      </c>
      <c r="H18" s="78" t="s">
        <v>525</v>
      </c>
      <c r="I18" s="78">
        <v>0.16332997041147326</v>
      </c>
      <c r="K18" s="60" t="str">
        <f t="shared" si="10"/>
        <v/>
      </c>
      <c r="L18" s="60" t="str">
        <f t="shared" si="9"/>
        <v/>
      </c>
      <c r="M18" s="60">
        <f t="shared" si="9"/>
        <v>0.27221661735245545</v>
      </c>
    </row>
    <row r="19" spans="1:13">
      <c r="A19" s="79" t="s">
        <v>157</v>
      </c>
      <c r="B19" s="79" t="s">
        <v>197</v>
      </c>
      <c r="C19" s="77" t="s">
        <v>525</v>
      </c>
      <c r="D19" s="77" t="s">
        <v>525</v>
      </c>
      <c r="E19" s="77" t="s">
        <v>525</v>
      </c>
      <c r="G19" s="78" t="s">
        <v>525</v>
      </c>
      <c r="H19" s="78" t="s">
        <v>525</v>
      </c>
      <c r="I19" s="78" t="s">
        <v>525</v>
      </c>
      <c r="K19" s="60" t="str">
        <f t="shared" si="10"/>
        <v/>
      </c>
      <c r="L19" s="60" t="str">
        <f t="shared" si="9"/>
        <v/>
      </c>
      <c r="M19" s="60" t="str">
        <f t="shared" si="9"/>
        <v/>
      </c>
    </row>
    <row r="20" spans="1:13">
      <c r="A20" s="79" t="s">
        <v>13</v>
      </c>
      <c r="B20" s="79" t="s">
        <v>198</v>
      </c>
      <c r="C20" s="77">
        <v>5148.9985926382251</v>
      </c>
      <c r="D20" s="77">
        <v>4632.733540149703</v>
      </c>
      <c r="E20" s="77">
        <v>7539.5907895849577</v>
      </c>
      <c r="G20" s="78">
        <v>6.872965030169545E-2</v>
      </c>
      <c r="H20" s="78">
        <v>6.3139830239583639E-2</v>
      </c>
      <c r="I20" s="78">
        <v>0.10581638522088006</v>
      </c>
      <c r="K20" s="60">
        <f t="shared" si="10"/>
        <v>0.11454941716949242</v>
      </c>
      <c r="L20" s="60">
        <f t="shared" si="9"/>
        <v>0.10523305039930607</v>
      </c>
      <c r="M20" s="60">
        <f t="shared" si="9"/>
        <v>0.17636064203480012</v>
      </c>
    </row>
    <row r="21" spans="1:13">
      <c r="A21" s="79" t="s">
        <v>75</v>
      </c>
      <c r="B21" s="79" t="s">
        <v>199</v>
      </c>
      <c r="C21" s="77" t="s">
        <v>525</v>
      </c>
      <c r="D21" s="77">
        <v>3664.1351038896528</v>
      </c>
      <c r="E21" s="77">
        <v>3022.6846132199539</v>
      </c>
      <c r="G21" s="78" t="s">
        <v>525</v>
      </c>
      <c r="H21" s="78">
        <v>0.19618033181060246</v>
      </c>
      <c r="I21" s="78">
        <v>0.10355088896215711</v>
      </c>
      <c r="K21" s="60" t="str">
        <f t="shared" si="10"/>
        <v/>
      </c>
      <c r="L21" s="60">
        <f t="shared" si="9"/>
        <v>0.32696721968433745</v>
      </c>
      <c r="M21" s="60">
        <f t="shared" si="9"/>
        <v>0.17258481493692854</v>
      </c>
    </row>
    <row r="22" spans="1:13">
      <c r="A22" s="79" t="s">
        <v>16</v>
      </c>
      <c r="B22" s="79" t="s">
        <v>200</v>
      </c>
      <c r="C22" s="77">
        <v>21395.891261929002</v>
      </c>
      <c r="D22" s="77">
        <v>32271.990058467563</v>
      </c>
      <c r="E22" s="77">
        <v>19650.037816431628</v>
      </c>
      <c r="G22" s="78">
        <v>5.1383816550381989E-2</v>
      </c>
      <c r="H22" s="78">
        <v>6.7512884350166627E-2</v>
      </c>
      <c r="I22" s="78">
        <v>3.7875572850757565E-2</v>
      </c>
      <c r="K22" s="60">
        <f t="shared" si="10"/>
        <v>8.5639694250636653E-2</v>
      </c>
      <c r="L22" s="60">
        <f t="shared" si="9"/>
        <v>0.11252147391694438</v>
      </c>
      <c r="M22" s="60">
        <f t="shared" si="9"/>
        <v>6.3125954751262606E-2</v>
      </c>
    </row>
    <row r="23" spans="1:13">
      <c r="A23" s="79" t="s">
        <v>69</v>
      </c>
      <c r="B23" s="79" t="s">
        <v>201</v>
      </c>
      <c r="C23" s="77">
        <v>10727.577318388594</v>
      </c>
      <c r="D23" s="77">
        <v>11562.816546134092</v>
      </c>
      <c r="E23" s="77">
        <v>8498.4602738917001</v>
      </c>
      <c r="G23" s="78">
        <v>2.1633698204319672E-2</v>
      </c>
      <c r="H23" s="78">
        <v>2.1280854387928295E-2</v>
      </c>
      <c r="I23" s="78">
        <v>1.489248587554323E-2</v>
      </c>
      <c r="K23" s="60">
        <f t="shared" si="10"/>
        <v>3.6056163673866125E-2</v>
      </c>
      <c r="L23" s="60">
        <f t="shared" si="9"/>
        <v>3.5468090646547164E-2</v>
      </c>
      <c r="M23" s="60">
        <f t="shared" si="9"/>
        <v>2.4820809792572052E-2</v>
      </c>
    </row>
    <row r="24" spans="1:13">
      <c r="A24" s="79" t="s">
        <v>110</v>
      </c>
      <c r="B24" s="79" t="s">
        <v>202</v>
      </c>
      <c r="C24" s="77" t="s">
        <v>525</v>
      </c>
      <c r="D24" s="77">
        <v>2536.894886139647</v>
      </c>
      <c r="E24" s="77">
        <v>2489.481871878178</v>
      </c>
      <c r="G24" s="78" t="s">
        <v>525</v>
      </c>
      <c r="H24" s="78">
        <v>0.22989846111044554</v>
      </c>
      <c r="I24" s="78">
        <v>0.16272785807936233</v>
      </c>
      <c r="K24" s="60" t="str">
        <f t="shared" si="10"/>
        <v/>
      </c>
      <c r="L24" s="60">
        <f t="shared" si="9"/>
        <v>0.38316410185074257</v>
      </c>
      <c r="M24" s="60">
        <f t="shared" si="9"/>
        <v>0.27121309679893724</v>
      </c>
    </row>
    <row r="25" spans="1:13">
      <c r="A25" s="79" t="s">
        <v>26</v>
      </c>
      <c r="B25" s="79" t="s">
        <v>203</v>
      </c>
      <c r="C25" s="77" t="s">
        <v>525</v>
      </c>
      <c r="D25" s="77" t="s">
        <v>525</v>
      </c>
      <c r="E25" s="77" t="s">
        <v>525</v>
      </c>
      <c r="G25" s="78" t="s">
        <v>525</v>
      </c>
      <c r="H25" s="78" t="s">
        <v>525</v>
      </c>
      <c r="I25" s="78" t="s">
        <v>525</v>
      </c>
      <c r="K25" s="60" t="str">
        <f t="shared" si="10"/>
        <v/>
      </c>
      <c r="L25" s="60" t="str">
        <f t="shared" si="9"/>
        <v/>
      </c>
      <c r="M25" s="60" t="str">
        <f t="shared" si="9"/>
        <v/>
      </c>
    </row>
    <row r="26" spans="1:13">
      <c r="A26" s="79" t="s">
        <v>15</v>
      </c>
      <c r="B26" s="79" t="s">
        <v>204</v>
      </c>
      <c r="C26" s="77">
        <v>1372.559692175327</v>
      </c>
      <c r="D26" s="77">
        <v>932.42427698548431</v>
      </c>
      <c r="E26" s="77">
        <v>739.294494140545</v>
      </c>
      <c r="G26" s="78">
        <v>6.3574381018367864E-3</v>
      </c>
      <c r="H26" s="78">
        <v>4.3434853292507857E-3</v>
      </c>
      <c r="I26" s="78">
        <v>3.6627603561988097E-3</v>
      </c>
      <c r="K26" s="60">
        <f t="shared" si="10"/>
        <v>1.0595730169727978E-2</v>
      </c>
      <c r="L26" s="60">
        <f t="shared" si="9"/>
        <v>7.2391422154179765E-3</v>
      </c>
      <c r="M26" s="60">
        <f t="shared" si="9"/>
        <v>6.1046005936646833E-3</v>
      </c>
    </row>
    <row r="27" spans="1:13">
      <c r="A27" s="79" t="s">
        <v>166</v>
      </c>
      <c r="B27" s="79" t="s">
        <v>205</v>
      </c>
      <c r="C27" s="77">
        <v>1040.7694706939367</v>
      </c>
      <c r="D27" s="77">
        <v>1123.8436038841221</v>
      </c>
      <c r="E27" s="77">
        <v>1204.2447515151423</v>
      </c>
      <c r="G27" s="78">
        <v>0.18865078922872042</v>
      </c>
      <c r="H27" s="78">
        <v>0.18411245507857607</v>
      </c>
      <c r="I27" s="78">
        <v>0.16940415701030906</v>
      </c>
      <c r="K27" s="60">
        <f t="shared" si="10"/>
        <v>0.31441798204786736</v>
      </c>
      <c r="L27" s="60">
        <f t="shared" si="9"/>
        <v>0.30685409179762679</v>
      </c>
      <c r="M27" s="60">
        <f t="shared" si="9"/>
        <v>0.28234026168384846</v>
      </c>
    </row>
    <row r="28" spans="1:13">
      <c r="A28" s="79" t="s">
        <v>133</v>
      </c>
      <c r="B28" s="79" t="s">
        <v>206</v>
      </c>
      <c r="C28" s="77" t="s">
        <v>525</v>
      </c>
      <c r="D28" s="77" t="s">
        <v>525</v>
      </c>
      <c r="E28" s="77" t="s">
        <v>525</v>
      </c>
      <c r="G28" s="78" t="s">
        <v>525</v>
      </c>
      <c r="H28" s="78" t="s">
        <v>525</v>
      </c>
      <c r="I28" s="78" t="s">
        <v>525</v>
      </c>
      <c r="K28" s="60" t="str">
        <f t="shared" si="10"/>
        <v/>
      </c>
      <c r="L28" s="60" t="str">
        <f t="shared" si="9"/>
        <v/>
      </c>
      <c r="M28" s="60" t="str">
        <f t="shared" si="9"/>
        <v/>
      </c>
    </row>
    <row r="29" spans="1:13">
      <c r="A29" s="79" t="s">
        <v>51</v>
      </c>
      <c r="B29" s="79" t="s">
        <v>207</v>
      </c>
      <c r="C29" s="77" t="s">
        <v>525</v>
      </c>
      <c r="D29" s="77">
        <v>9596.8702694960848</v>
      </c>
      <c r="E29" s="77">
        <v>5198.6792973600004</v>
      </c>
      <c r="G29" s="78" t="s">
        <v>525</v>
      </c>
      <c r="H29" s="78">
        <v>0.2775551603023666</v>
      </c>
      <c r="I29" s="78">
        <v>0.10878546307127146</v>
      </c>
      <c r="K29" s="60" t="str">
        <f t="shared" si="10"/>
        <v/>
      </c>
      <c r="L29" s="60">
        <f t="shared" si="9"/>
        <v>0.4625919338372777</v>
      </c>
      <c r="M29" s="60">
        <f t="shared" si="9"/>
        <v>0.18130910511878578</v>
      </c>
    </row>
    <row r="30" spans="1:13">
      <c r="A30" s="79" t="s">
        <v>4</v>
      </c>
      <c r="B30" s="79" t="s">
        <v>208</v>
      </c>
      <c r="C30" s="77">
        <v>3538.0778513235055</v>
      </c>
      <c r="D30" s="77">
        <v>7583.4900523472452</v>
      </c>
      <c r="E30" s="77">
        <v>4932.1990436840233</v>
      </c>
      <c r="G30" s="78">
        <v>7.5394531829673433E-3</v>
      </c>
      <c r="H30" s="78">
        <v>1.4546454085904022E-2</v>
      </c>
      <c r="I30" s="78">
        <v>8.770483677003383E-3</v>
      </c>
      <c r="K30" s="60">
        <f t="shared" si="10"/>
        <v>1.2565755304945572E-2</v>
      </c>
      <c r="L30" s="60">
        <f t="shared" si="10"/>
        <v>2.4244090143173372E-2</v>
      </c>
      <c r="M30" s="60">
        <f t="shared" si="10"/>
        <v>1.4617472795005639E-2</v>
      </c>
    </row>
    <row r="31" spans="1:13">
      <c r="A31" s="79" t="s">
        <v>109</v>
      </c>
      <c r="B31" s="79" t="s">
        <v>209</v>
      </c>
      <c r="C31" s="77">
        <v>22155.931433891103</v>
      </c>
      <c r="D31" s="77">
        <v>22318.0020011866</v>
      </c>
      <c r="E31" s="77">
        <v>23725.865146375745</v>
      </c>
      <c r="G31" s="78">
        <v>0.4420896420998866</v>
      </c>
      <c r="H31" s="78">
        <v>0.37224273109471251</v>
      </c>
      <c r="I31" s="78">
        <v>0.36769111473345023</v>
      </c>
      <c r="K31" s="60">
        <f t="shared" si="10"/>
        <v>0.73681607016647765</v>
      </c>
      <c r="L31" s="60">
        <f t="shared" si="10"/>
        <v>0.62040455182452092</v>
      </c>
      <c r="M31" s="60">
        <f t="shared" si="10"/>
        <v>0.61281852455575037</v>
      </c>
    </row>
    <row r="32" spans="1:13">
      <c r="A32" s="79" t="s">
        <v>132</v>
      </c>
      <c r="B32" s="79" t="s">
        <v>210</v>
      </c>
      <c r="C32" s="77">
        <v>4791.3084372025842</v>
      </c>
      <c r="D32" s="77">
        <v>4937.8203767841096</v>
      </c>
      <c r="E32" s="77">
        <v>2625.1009209477388</v>
      </c>
      <c r="G32" s="78">
        <v>0.55198673140000176</v>
      </c>
      <c r="H32" s="78">
        <v>0.51184447671964994</v>
      </c>
      <c r="I32" s="78">
        <v>0.27561749997160101</v>
      </c>
      <c r="K32" s="60">
        <f t="shared" si="10"/>
        <v>0.9199778856666696</v>
      </c>
      <c r="L32" s="60">
        <f t="shared" si="10"/>
        <v>0.85307412786608328</v>
      </c>
      <c r="M32" s="60">
        <f t="shared" si="10"/>
        <v>0.45936249995266837</v>
      </c>
    </row>
    <row r="33" spans="1:13">
      <c r="A33" s="79" t="s">
        <v>146</v>
      </c>
      <c r="B33" s="79" t="s">
        <v>211</v>
      </c>
      <c r="C33" s="77">
        <v>17802.728365287359</v>
      </c>
      <c r="D33" s="77">
        <v>10797.391853792402</v>
      </c>
      <c r="E33" s="77">
        <v>14004.727008308324</v>
      </c>
      <c r="G33" s="78">
        <v>1.6999298155277249</v>
      </c>
      <c r="H33" s="78">
        <v>0.76259864606273986</v>
      </c>
      <c r="I33" s="78">
        <v>0.85273088748710102</v>
      </c>
      <c r="K33" s="60">
        <f t="shared" si="10"/>
        <v>1</v>
      </c>
      <c r="L33" s="60">
        <f t="shared" si="10"/>
        <v>1</v>
      </c>
      <c r="M33" s="60">
        <f t="shared" si="10"/>
        <v>1</v>
      </c>
    </row>
    <row r="34" spans="1:13">
      <c r="A34" s="79" t="s">
        <v>72</v>
      </c>
      <c r="B34" s="79" t="s">
        <v>212</v>
      </c>
      <c r="C34" s="77">
        <v>7484.1123302430069</v>
      </c>
      <c r="D34" s="77">
        <v>6378.1570863627812</v>
      </c>
      <c r="E34" s="77">
        <v>6114.1052474661574</v>
      </c>
      <c r="G34" s="78">
        <v>0.45818529332258995</v>
      </c>
      <c r="H34" s="78">
        <v>0.37135539212200125</v>
      </c>
      <c r="I34" s="78">
        <v>0.40576074195355949</v>
      </c>
      <c r="K34" s="60">
        <f t="shared" si="10"/>
        <v>0.76364215553764991</v>
      </c>
      <c r="L34" s="60">
        <f t="shared" si="10"/>
        <v>0.61892565353666873</v>
      </c>
      <c r="M34" s="60">
        <f t="shared" si="10"/>
        <v>0.67626790325593256</v>
      </c>
    </row>
    <row r="35" spans="1:13">
      <c r="A35" s="79" t="s">
        <v>122</v>
      </c>
      <c r="B35" s="79" t="s">
        <v>213</v>
      </c>
      <c r="C35" s="77" t="s">
        <v>525</v>
      </c>
      <c r="D35" s="77" t="s">
        <v>525</v>
      </c>
      <c r="E35" s="77" t="s">
        <v>525</v>
      </c>
      <c r="G35" s="78" t="s">
        <v>525</v>
      </c>
      <c r="H35" s="78" t="s">
        <v>525</v>
      </c>
      <c r="I35" s="78" t="s">
        <v>525</v>
      </c>
      <c r="K35" s="60" t="str">
        <f t="shared" si="10"/>
        <v/>
      </c>
      <c r="L35" s="60" t="str">
        <f t="shared" si="10"/>
        <v/>
      </c>
      <c r="M35" s="60" t="str">
        <f t="shared" si="10"/>
        <v/>
      </c>
    </row>
    <row r="36" spans="1:13">
      <c r="A36" s="79" t="s">
        <v>90</v>
      </c>
      <c r="B36" s="79" t="s">
        <v>214</v>
      </c>
      <c r="C36" s="77">
        <v>6318.1710704385696</v>
      </c>
      <c r="D36" s="77">
        <v>4718.4540220183608</v>
      </c>
      <c r="E36" s="77">
        <v>4438.5771814979926</v>
      </c>
      <c r="G36" s="78">
        <v>0.14540367330500087</v>
      </c>
      <c r="H36" s="78">
        <v>9.833399628174809E-2</v>
      </c>
      <c r="I36" s="78">
        <v>7.5363693846184396E-2</v>
      </c>
      <c r="K36" s="60">
        <f t="shared" si="10"/>
        <v>0.2423394555083348</v>
      </c>
      <c r="L36" s="60">
        <f t="shared" si="10"/>
        <v>0.1638899938029135</v>
      </c>
      <c r="M36" s="60">
        <f t="shared" si="10"/>
        <v>0.12560615641030734</v>
      </c>
    </row>
    <row r="37" spans="1:13">
      <c r="A37" s="79" t="s">
        <v>23</v>
      </c>
      <c r="B37" s="79" t="s">
        <v>215</v>
      </c>
      <c r="C37" s="77">
        <v>9879.0080029916626</v>
      </c>
      <c r="D37" s="77">
        <v>12500.958111778513</v>
      </c>
      <c r="E37" s="77">
        <v>12657.314203181422</v>
      </c>
      <c r="G37" s="78">
        <v>0.13662512384274039</v>
      </c>
      <c r="H37" s="78">
        <v>0.16385404271204584</v>
      </c>
      <c r="I37" s="78">
        <v>0.15993237325862497</v>
      </c>
      <c r="K37" s="60">
        <f t="shared" si="10"/>
        <v>0.22770853973790067</v>
      </c>
      <c r="L37" s="60">
        <f t="shared" si="10"/>
        <v>0.27309007118674311</v>
      </c>
      <c r="M37" s="60">
        <f t="shared" si="10"/>
        <v>0.26655395543104166</v>
      </c>
    </row>
    <row r="38" spans="1:13">
      <c r="A38" s="79" t="s">
        <v>43</v>
      </c>
      <c r="B38" s="79" t="s">
        <v>216</v>
      </c>
      <c r="C38" s="77">
        <v>8996.9250031574411</v>
      </c>
      <c r="D38" s="77">
        <v>10248.986293774462</v>
      </c>
      <c r="E38" s="77">
        <v>10059.413459193776</v>
      </c>
      <c r="G38" s="78">
        <v>2.5239889450530142E-2</v>
      </c>
      <c r="H38" s="78">
        <v>3.3211410549435168E-2</v>
      </c>
      <c r="I38" s="78">
        <v>4.3308200927984111E-2</v>
      </c>
      <c r="K38" s="60">
        <f t="shared" si="10"/>
        <v>4.206648241755024E-2</v>
      </c>
      <c r="L38" s="60">
        <f t="shared" si="10"/>
        <v>5.5352350915725282E-2</v>
      </c>
      <c r="M38" s="60">
        <f t="shared" si="10"/>
        <v>7.2180334879973523E-2</v>
      </c>
    </row>
    <row r="39" spans="1:13">
      <c r="A39" s="79" t="s">
        <v>54</v>
      </c>
      <c r="B39" s="79" t="s">
        <v>217</v>
      </c>
      <c r="C39" s="77" t="s">
        <v>525</v>
      </c>
      <c r="D39" s="77">
        <v>9400.2970527327016</v>
      </c>
      <c r="E39" s="77">
        <v>5003.5119579421043</v>
      </c>
      <c r="G39" s="78" t="s">
        <v>525</v>
      </c>
      <c r="H39" s="78">
        <v>0.2004687021792079</v>
      </c>
      <c r="I39" s="78">
        <v>7.8188477215399455E-2</v>
      </c>
      <c r="K39" s="60" t="str">
        <f t="shared" ref="K39:M102" si="11">IF(ISNUMBER(G39),MIN((G39-K$10)/K$11,1),"")</f>
        <v/>
      </c>
      <c r="L39" s="60">
        <f t="shared" si="11"/>
        <v>0.33411450363201317</v>
      </c>
      <c r="M39" s="60">
        <f t="shared" si="11"/>
        <v>0.13031412869233244</v>
      </c>
    </row>
    <row r="40" spans="1:13">
      <c r="A40" s="79" t="s">
        <v>179</v>
      </c>
      <c r="B40" s="79" t="s">
        <v>218</v>
      </c>
      <c r="C40" s="77">
        <v>2212.4179252012004</v>
      </c>
      <c r="D40" s="77">
        <v>3130.464744647611</v>
      </c>
      <c r="E40" s="77">
        <v>1339.2496720547781</v>
      </c>
      <c r="G40" s="78">
        <v>0.39071848545549931</v>
      </c>
      <c r="H40" s="78">
        <v>0.43435381667081197</v>
      </c>
      <c r="I40" s="78">
        <v>0.1546364798640659</v>
      </c>
      <c r="K40" s="60">
        <f t="shared" si="11"/>
        <v>0.65119747575916553</v>
      </c>
      <c r="L40" s="60">
        <f t="shared" si="11"/>
        <v>0.72392302778468665</v>
      </c>
      <c r="M40" s="60">
        <f t="shared" si="11"/>
        <v>0.25772746644010985</v>
      </c>
    </row>
    <row r="41" spans="1:13">
      <c r="A41" s="79" t="s">
        <v>191</v>
      </c>
      <c r="B41" s="79" t="s">
        <v>219</v>
      </c>
      <c r="C41" s="77">
        <v>1490.0631561701437</v>
      </c>
      <c r="D41" s="77">
        <v>1690.1627981198581</v>
      </c>
      <c r="E41" s="77">
        <v>2695.1072949396398</v>
      </c>
      <c r="G41" s="78">
        <v>0.59159973909106289</v>
      </c>
      <c r="H41" s="78">
        <v>0.78552187584881061</v>
      </c>
      <c r="I41" s="78">
        <v>1.2298735327486121</v>
      </c>
      <c r="K41" s="60">
        <f t="shared" si="11"/>
        <v>0.98599956515177156</v>
      </c>
      <c r="L41" s="60">
        <f t="shared" si="11"/>
        <v>1</v>
      </c>
      <c r="M41" s="60">
        <f t="shared" si="11"/>
        <v>1</v>
      </c>
    </row>
    <row r="42" spans="1:13">
      <c r="A42" s="79" t="s">
        <v>177</v>
      </c>
      <c r="B42" s="79" t="s">
        <v>220</v>
      </c>
      <c r="C42" s="77" t="s">
        <v>525</v>
      </c>
      <c r="D42" s="77" t="s">
        <v>525</v>
      </c>
      <c r="E42" s="77" t="s">
        <v>525</v>
      </c>
      <c r="G42" s="78" t="s">
        <v>525</v>
      </c>
      <c r="H42" s="78" t="s">
        <v>525</v>
      </c>
      <c r="I42" s="78" t="s">
        <v>525</v>
      </c>
      <c r="K42" s="60" t="str">
        <f t="shared" si="11"/>
        <v/>
      </c>
      <c r="L42" s="60" t="str">
        <f t="shared" si="11"/>
        <v/>
      </c>
      <c r="M42" s="60" t="str">
        <f t="shared" si="11"/>
        <v/>
      </c>
    </row>
    <row r="43" spans="1:13">
      <c r="A43" s="79" t="s">
        <v>97</v>
      </c>
      <c r="B43" s="79" t="s">
        <v>221</v>
      </c>
      <c r="C43" s="77">
        <v>3911.6803248848032</v>
      </c>
      <c r="D43" s="77">
        <v>4558.6765550140608</v>
      </c>
      <c r="E43" s="77">
        <v>4288.0074819432702</v>
      </c>
      <c r="G43" s="78">
        <v>0.27290158571238321</v>
      </c>
      <c r="H43" s="78">
        <v>0.29213885331341183</v>
      </c>
      <c r="I43" s="78">
        <v>0.24875125207454279</v>
      </c>
      <c r="K43" s="60">
        <f t="shared" si="11"/>
        <v>0.45483597618730537</v>
      </c>
      <c r="L43" s="60">
        <f t="shared" si="11"/>
        <v>0.48689808885568642</v>
      </c>
      <c r="M43" s="60">
        <f t="shared" si="11"/>
        <v>0.41458542012423799</v>
      </c>
    </row>
    <row r="44" spans="1:13">
      <c r="A44" s="79" t="s">
        <v>32</v>
      </c>
      <c r="B44" s="79" t="s">
        <v>222</v>
      </c>
      <c r="C44" s="77">
        <v>27681.265600208611</v>
      </c>
      <c r="D44" s="77">
        <v>32577.592508012251</v>
      </c>
      <c r="E44" s="77">
        <v>24280.348296559008</v>
      </c>
      <c r="G44" s="78">
        <v>6.0962819078511872E-2</v>
      </c>
      <c r="H44" s="78">
        <v>6.4877391573391036E-2</v>
      </c>
      <c r="I44" s="78">
        <v>4.507240102584726E-2</v>
      </c>
      <c r="K44" s="60">
        <f t="shared" si="11"/>
        <v>0.10160469846418646</v>
      </c>
      <c r="L44" s="60">
        <f t="shared" si="11"/>
        <v>0.10812898595565174</v>
      </c>
      <c r="M44" s="60">
        <f t="shared" si="11"/>
        <v>7.5120668376412097E-2</v>
      </c>
    </row>
    <row r="45" spans="1:13">
      <c r="A45" s="79" t="s">
        <v>89</v>
      </c>
      <c r="B45" s="79" t="s">
        <v>223</v>
      </c>
      <c r="C45" s="77" t="s">
        <v>525</v>
      </c>
      <c r="D45" s="77" t="s">
        <v>525</v>
      </c>
      <c r="E45" s="77">
        <v>918.58441058247581</v>
      </c>
      <c r="G45" s="78" t="s">
        <v>525</v>
      </c>
      <c r="H45" s="78" t="s">
        <v>525</v>
      </c>
      <c r="I45" s="78">
        <v>2.2178236384175314E-2</v>
      </c>
      <c r="K45" s="60" t="str">
        <f t="shared" si="11"/>
        <v/>
      </c>
      <c r="L45" s="60" t="str">
        <f t="shared" si="11"/>
        <v/>
      </c>
      <c r="M45" s="60">
        <f t="shared" si="11"/>
        <v>3.6963727306958856E-2</v>
      </c>
    </row>
    <row r="46" spans="1:13">
      <c r="A46" s="79" t="s">
        <v>135</v>
      </c>
      <c r="B46" s="79" t="s">
        <v>224</v>
      </c>
      <c r="C46" s="77">
        <v>7344.1987313570535</v>
      </c>
      <c r="D46" s="77">
        <v>8381.8685702841376</v>
      </c>
      <c r="E46" s="77">
        <v>5861.0210988982053</v>
      </c>
      <c r="G46" s="78">
        <v>1.0731201999743556</v>
      </c>
      <c r="H46" s="78">
        <v>1.1682250751822327</v>
      </c>
      <c r="I46" s="78">
        <v>0.87402237789675097</v>
      </c>
      <c r="K46" s="60">
        <f t="shared" si="11"/>
        <v>1</v>
      </c>
      <c r="L46" s="60">
        <f t="shared" si="11"/>
        <v>1</v>
      </c>
      <c r="M46" s="60">
        <f t="shared" si="11"/>
        <v>1</v>
      </c>
    </row>
    <row r="47" spans="1:13">
      <c r="A47" s="79" t="s">
        <v>165</v>
      </c>
      <c r="B47" s="79" t="s">
        <v>225</v>
      </c>
      <c r="C47" s="77">
        <v>4701.1789172222543</v>
      </c>
      <c r="D47" s="77">
        <v>4976.5585705969197</v>
      </c>
      <c r="E47" s="77">
        <v>2405.8388206340378</v>
      </c>
      <c r="G47" s="78">
        <v>0.65507035281437176</v>
      </c>
      <c r="H47" s="78">
        <v>0.66326534245082813</v>
      </c>
      <c r="I47" s="78">
        <v>0.48177513431220298</v>
      </c>
      <c r="K47" s="60">
        <f t="shared" si="11"/>
        <v>1</v>
      </c>
      <c r="L47" s="60">
        <f t="shared" si="11"/>
        <v>1</v>
      </c>
      <c r="M47" s="60">
        <f t="shared" si="11"/>
        <v>0.80295855718700504</v>
      </c>
    </row>
    <row r="48" spans="1:13">
      <c r="A48" s="79" t="s">
        <v>18</v>
      </c>
      <c r="B48" s="79" t="s">
        <v>226</v>
      </c>
      <c r="C48" s="77">
        <v>6187.3671586413384</v>
      </c>
      <c r="D48" s="77">
        <v>8547.0112337980408</v>
      </c>
      <c r="E48" s="77">
        <v>9307.2940974108915</v>
      </c>
      <c r="G48" s="78">
        <v>7.4555891589057746E-2</v>
      </c>
      <c r="H48" s="78">
        <v>8.6329729701625835E-2</v>
      </c>
      <c r="I48" s="78">
        <v>9.1336409953698044E-2</v>
      </c>
      <c r="K48" s="60">
        <f t="shared" si="11"/>
        <v>0.12425981931509625</v>
      </c>
      <c r="L48" s="60">
        <f t="shared" si="11"/>
        <v>0.14388288283604306</v>
      </c>
      <c r="M48" s="60">
        <f t="shared" si="11"/>
        <v>0.15222734992283007</v>
      </c>
    </row>
    <row r="49" spans="1:13">
      <c r="A49" s="79" t="s">
        <v>111</v>
      </c>
      <c r="B49" s="79" t="s">
        <v>227</v>
      </c>
      <c r="C49" s="77">
        <v>2602.5184044288576</v>
      </c>
      <c r="D49" s="77">
        <v>3415.5097055178871</v>
      </c>
      <c r="E49" s="77">
        <v>3208.7160962826579</v>
      </c>
      <c r="G49" s="78">
        <v>0.26435724435622127</v>
      </c>
      <c r="H49" s="78">
        <v>0.23867191574549426</v>
      </c>
      <c r="I49" s="78">
        <v>0.16682147700597319</v>
      </c>
      <c r="K49" s="60">
        <f t="shared" si="11"/>
        <v>0.44059540726036878</v>
      </c>
      <c r="L49" s="60">
        <f t="shared" si="11"/>
        <v>0.39778652624249045</v>
      </c>
      <c r="M49" s="60">
        <f t="shared" si="11"/>
        <v>0.27803579500995534</v>
      </c>
    </row>
    <row r="50" spans="1:13">
      <c r="A50" s="79" t="s">
        <v>46</v>
      </c>
      <c r="B50" s="79" t="s">
        <v>228</v>
      </c>
      <c r="C50" s="77">
        <v>6331.1040288338772</v>
      </c>
      <c r="D50" s="77">
        <v>9337.38993121356</v>
      </c>
      <c r="E50" s="77">
        <v>6125.8721153660736</v>
      </c>
      <c r="G50" s="78">
        <v>0.12711243247299031</v>
      </c>
      <c r="H50" s="78">
        <v>0.18426586178132648</v>
      </c>
      <c r="I50" s="78">
        <v>0.11220797034476981</v>
      </c>
      <c r="K50" s="60">
        <f t="shared" si="11"/>
        <v>0.21185405412165054</v>
      </c>
      <c r="L50" s="60">
        <f t="shared" si="11"/>
        <v>0.30710976963554415</v>
      </c>
      <c r="M50" s="60">
        <f t="shared" si="11"/>
        <v>0.18701328390794969</v>
      </c>
    </row>
    <row r="51" spans="1:13">
      <c r="A51" s="79" t="s">
        <v>163</v>
      </c>
      <c r="B51" s="79" t="s">
        <v>229</v>
      </c>
      <c r="C51" s="77">
        <v>1953.5152923258324</v>
      </c>
      <c r="D51" s="77">
        <v>2267.6926280539174</v>
      </c>
      <c r="E51" s="77">
        <v>1765.3783252176117</v>
      </c>
      <c r="G51" s="78">
        <v>0.14426809231324905</v>
      </c>
      <c r="H51" s="78">
        <v>0.16527649483592757</v>
      </c>
      <c r="I51" s="78">
        <v>0.12150292011819006</v>
      </c>
      <c r="K51" s="60">
        <f t="shared" si="11"/>
        <v>0.24044682052208177</v>
      </c>
      <c r="L51" s="60">
        <f t="shared" si="11"/>
        <v>0.27546082472654598</v>
      </c>
      <c r="M51" s="60">
        <f t="shared" si="11"/>
        <v>0.2025048668636501</v>
      </c>
    </row>
    <row r="52" spans="1:13">
      <c r="A52" s="79" t="s">
        <v>85</v>
      </c>
      <c r="B52" s="79" t="s">
        <v>230</v>
      </c>
      <c r="C52" s="77">
        <v>6111.206462013979</v>
      </c>
      <c r="D52" s="77">
        <v>4660.9573568356664</v>
      </c>
      <c r="E52" s="77">
        <v>2863.0765594148888</v>
      </c>
      <c r="G52" s="78">
        <v>0.71449259478362448</v>
      </c>
      <c r="H52" s="78">
        <v>0.72201283290182805</v>
      </c>
      <c r="I52" s="78">
        <v>0.4758168672424879</v>
      </c>
      <c r="K52" s="60">
        <f t="shared" si="11"/>
        <v>1</v>
      </c>
      <c r="L52" s="60">
        <f t="shared" si="11"/>
        <v>1</v>
      </c>
      <c r="M52" s="60">
        <f t="shared" si="11"/>
        <v>0.79302811207081314</v>
      </c>
    </row>
    <row r="53" spans="1:13">
      <c r="A53" s="79" t="s">
        <v>148</v>
      </c>
      <c r="B53" s="79" t="s">
        <v>231</v>
      </c>
      <c r="C53" s="77" t="e">
        <v>#N/A</v>
      </c>
      <c r="D53" s="77" t="e">
        <v>#N/A</v>
      </c>
      <c r="E53" s="77" t="e">
        <v>#N/A</v>
      </c>
      <c r="G53" s="78" t="e">
        <v>#N/A</v>
      </c>
      <c r="H53" s="78" t="e">
        <v>#N/A</v>
      </c>
      <c r="I53" s="78" t="e">
        <v>#N/A</v>
      </c>
      <c r="K53" s="60" t="str">
        <f t="shared" si="11"/>
        <v/>
      </c>
      <c r="L53" s="60" t="str">
        <f t="shared" si="11"/>
        <v/>
      </c>
      <c r="M53" s="60" t="str">
        <f t="shared" si="11"/>
        <v/>
      </c>
    </row>
    <row r="54" spans="1:13">
      <c r="A54" s="79" t="s">
        <v>78</v>
      </c>
      <c r="B54" s="79" t="s">
        <v>232</v>
      </c>
      <c r="C54" s="77">
        <v>10737.519013957593</v>
      </c>
      <c r="D54" s="77">
        <v>10605.812309265553</v>
      </c>
      <c r="E54" s="77">
        <v>9436.5821522727438</v>
      </c>
      <c r="G54" s="78">
        <v>0.16486486155425914</v>
      </c>
      <c r="H54" s="78">
        <v>0.15376356966951352</v>
      </c>
      <c r="I54" s="78">
        <v>0.12005147990869727</v>
      </c>
      <c r="K54" s="60">
        <f t="shared" si="11"/>
        <v>0.27477476925709859</v>
      </c>
      <c r="L54" s="60">
        <f t="shared" si="11"/>
        <v>0.25627261611585589</v>
      </c>
      <c r="M54" s="60">
        <f t="shared" si="11"/>
        <v>0.20008579984782879</v>
      </c>
    </row>
    <row r="55" spans="1:13">
      <c r="A55" s="79" t="s">
        <v>116</v>
      </c>
      <c r="B55" s="79" t="s">
        <v>233</v>
      </c>
      <c r="C55" s="77">
        <v>2680.9710418550885</v>
      </c>
      <c r="D55" s="77">
        <v>4739.2127582581261</v>
      </c>
      <c r="E55" s="77">
        <v>3523.0977706782678</v>
      </c>
      <c r="G55" s="78">
        <v>0.17622973059127711</v>
      </c>
      <c r="H55" s="78">
        <v>0.31584452457326184</v>
      </c>
      <c r="I55" s="78">
        <v>0.2435873967552438</v>
      </c>
      <c r="K55" s="60">
        <f t="shared" si="11"/>
        <v>0.29371621765212852</v>
      </c>
      <c r="L55" s="60">
        <f t="shared" si="11"/>
        <v>0.5264075409554364</v>
      </c>
      <c r="M55" s="60">
        <f t="shared" si="11"/>
        <v>0.40597899459207298</v>
      </c>
    </row>
    <row r="56" spans="1:13">
      <c r="A56" s="79" t="s">
        <v>96</v>
      </c>
      <c r="B56" s="79" t="s">
        <v>234</v>
      </c>
      <c r="C56" s="77" t="s">
        <v>525</v>
      </c>
      <c r="D56" s="77">
        <v>8020.8850615657357</v>
      </c>
      <c r="E56" s="77">
        <v>3636.6058645547878</v>
      </c>
      <c r="G56" s="78" t="s">
        <v>525</v>
      </c>
      <c r="H56" s="78">
        <v>5.8292776374134235E-2</v>
      </c>
      <c r="I56" s="78">
        <v>2.1841932980263046E-2</v>
      </c>
      <c r="K56" s="60" t="str">
        <f t="shared" si="11"/>
        <v/>
      </c>
      <c r="L56" s="60">
        <f t="shared" si="11"/>
        <v>9.7154627290223727E-2</v>
      </c>
      <c r="M56" s="60">
        <f t="shared" si="11"/>
        <v>3.6403221633771743E-2</v>
      </c>
    </row>
    <row r="57" spans="1:13">
      <c r="A57" s="79" t="s">
        <v>41</v>
      </c>
      <c r="B57" s="79" t="s">
        <v>235</v>
      </c>
      <c r="C57" s="77" t="s">
        <v>525</v>
      </c>
      <c r="D57" s="77" t="s">
        <v>525</v>
      </c>
      <c r="E57" s="77" t="s">
        <v>525</v>
      </c>
      <c r="G57" s="78" t="s">
        <v>525</v>
      </c>
      <c r="H57" s="78" t="s">
        <v>525</v>
      </c>
      <c r="I57" s="78" t="s">
        <v>525</v>
      </c>
      <c r="K57" s="60" t="str">
        <f t="shared" si="11"/>
        <v/>
      </c>
      <c r="L57" s="60" t="str">
        <f t="shared" si="11"/>
        <v/>
      </c>
      <c r="M57" s="60" t="str">
        <f t="shared" si="11"/>
        <v/>
      </c>
    </row>
    <row r="58" spans="1:13">
      <c r="A58" s="79" t="s">
        <v>56</v>
      </c>
      <c r="B58" s="79" t="s">
        <v>236</v>
      </c>
      <c r="C58" s="77">
        <v>11144.791076988447</v>
      </c>
      <c r="D58" s="77">
        <v>12095.66314330704</v>
      </c>
      <c r="E58" s="77" t="s">
        <v>525</v>
      </c>
      <c r="G58" s="78">
        <v>3.6729187789588884E-2</v>
      </c>
      <c r="H58" s="78">
        <v>3.4796516388572916E-2</v>
      </c>
      <c r="I58" s="78" t="s">
        <v>525</v>
      </c>
      <c r="K58" s="60">
        <f t="shared" si="11"/>
        <v>6.1215312982648144E-2</v>
      </c>
      <c r="L58" s="60">
        <f t="shared" si="11"/>
        <v>5.7994193980954865E-2</v>
      </c>
      <c r="M58" s="60" t="str">
        <f t="shared" si="11"/>
        <v/>
      </c>
    </row>
    <row r="59" spans="1:13">
      <c r="A59" s="79" t="s">
        <v>50</v>
      </c>
      <c r="B59" s="79" t="s">
        <v>237</v>
      </c>
      <c r="C59" s="77" t="s">
        <v>525</v>
      </c>
      <c r="D59" s="77">
        <v>7384.8252941838</v>
      </c>
      <c r="E59" s="77">
        <v>4263.5425430117402</v>
      </c>
      <c r="G59" s="78" t="s">
        <v>525</v>
      </c>
      <c r="H59" s="78">
        <v>4.8285286779847274E-2</v>
      </c>
      <c r="I59" s="78">
        <v>2.3578986989916888E-2</v>
      </c>
      <c r="K59" s="60" t="str">
        <f t="shared" si="11"/>
        <v/>
      </c>
      <c r="L59" s="60">
        <f t="shared" si="11"/>
        <v>8.0475477966412121E-2</v>
      </c>
      <c r="M59" s="60">
        <f t="shared" si="11"/>
        <v>3.929831164986148E-2</v>
      </c>
    </row>
    <row r="60" spans="1:13">
      <c r="A60" s="79" t="s">
        <v>22</v>
      </c>
      <c r="B60" s="79" t="s">
        <v>238</v>
      </c>
      <c r="C60" s="77">
        <v>13425.553311379597</v>
      </c>
      <c r="D60" s="77">
        <v>18802.030679940835</v>
      </c>
      <c r="E60" s="77">
        <v>11080.361745127662</v>
      </c>
      <c r="G60" s="78">
        <v>2.1132947812208275E-2</v>
      </c>
      <c r="H60" s="78">
        <v>2.7330155139512487E-2</v>
      </c>
      <c r="I60" s="78">
        <v>1.4913919163654714E-2</v>
      </c>
      <c r="K60" s="60">
        <f t="shared" si="11"/>
        <v>3.5221579687013796E-2</v>
      </c>
      <c r="L60" s="60">
        <f t="shared" si="11"/>
        <v>4.5550258565854145E-2</v>
      </c>
      <c r="M60" s="60">
        <f t="shared" si="11"/>
        <v>2.4856531939424525E-2</v>
      </c>
    </row>
    <row r="61" spans="1:13">
      <c r="A61" s="79" t="s">
        <v>21</v>
      </c>
      <c r="B61" s="79" t="s">
        <v>239</v>
      </c>
      <c r="C61" s="77" t="s">
        <v>525</v>
      </c>
      <c r="D61" s="77" t="s">
        <v>525</v>
      </c>
      <c r="E61" s="77" t="s">
        <v>525</v>
      </c>
      <c r="G61" s="78" t="s">
        <v>525</v>
      </c>
      <c r="H61" s="78" t="s">
        <v>525</v>
      </c>
      <c r="I61" s="78" t="s">
        <v>525</v>
      </c>
      <c r="K61" s="60" t="str">
        <f t="shared" si="11"/>
        <v/>
      </c>
      <c r="L61" s="60" t="str">
        <f t="shared" si="11"/>
        <v/>
      </c>
      <c r="M61" s="60" t="str">
        <f t="shared" si="11"/>
        <v/>
      </c>
    </row>
    <row r="62" spans="1:13">
      <c r="A62" s="79" t="s">
        <v>45</v>
      </c>
      <c r="B62" s="79" t="s">
        <v>240</v>
      </c>
      <c r="C62" s="77">
        <v>12212.773389846567</v>
      </c>
      <c r="D62" s="77">
        <v>13096.094971803213</v>
      </c>
      <c r="E62" s="77">
        <v>10392.853581363079</v>
      </c>
      <c r="G62" s="78">
        <v>0.19450159769261957</v>
      </c>
      <c r="H62" s="78">
        <v>0.18396949200729545</v>
      </c>
      <c r="I62" s="78">
        <v>0.13659754972994642</v>
      </c>
      <c r="K62" s="60">
        <f t="shared" si="11"/>
        <v>0.32416932948769928</v>
      </c>
      <c r="L62" s="60">
        <f t="shared" si="11"/>
        <v>0.30661582001215909</v>
      </c>
      <c r="M62" s="60">
        <f t="shared" si="11"/>
        <v>0.22766258288324404</v>
      </c>
    </row>
    <row r="63" spans="1:13">
      <c r="A63" s="79" t="s">
        <v>59</v>
      </c>
      <c r="B63" s="79" t="s">
        <v>241</v>
      </c>
      <c r="C63" s="77">
        <v>5453.7014998794884</v>
      </c>
      <c r="D63" s="77">
        <v>4172.8374558517198</v>
      </c>
      <c r="E63" s="77">
        <v>4332.0694683793681</v>
      </c>
      <c r="G63" s="78">
        <v>0.11774800374229265</v>
      </c>
      <c r="H63" s="78">
        <v>7.3131579291579762E-2</v>
      </c>
      <c r="I63" s="78">
        <v>6.4317811533985678E-2</v>
      </c>
      <c r="K63" s="60">
        <f t="shared" si="11"/>
        <v>0.19624667290382108</v>
      </c>
      <c r="L63" s="60">
        <f t="shared" si="11"/>
        <v>0.12188596548596628</v>
      </c>
      <c r="M63" s="60">
        <f t="shared" si="11"/>
        <v>0.1071963525566428</v>
      </c>
    </row>
    <row r="64" spans="1:13">
      <c r="A64" s="79" t="s">
        <v>71</v>
      </c>
      <c r="B64" s="79" t="s">
        <v>242</v>
      </c>
      <c r="C64" s="77">
        <v>10262.638853465116</v>
      </c>
      <c r="D64" s="77">
        <v>22752.130231520448</v>
      </c>
      <c r="E64" s="77">
        <v>16011.910444740961</v>
      </c>
      <c r="G64" s="78">
        <v>0.26390271397423642</v>
      </c>
      <c r="H64" s="78">
        <v>0.58071913860407698</v>
      </c>
      <c r="I64" s="78">
        <v>0.36696116829143305</v>
      </c>
      <c r="K64" s="60">
        <f t="shared" si="11"/>
        <v>0.43983785662372737</v>
      </c>
      <c r="L64" s="60">
        <f t="shared" si="11"/>
        <v>0.967865231006795</v>
      </c>
      <c r="M64" s="60">
        <f t="shared" si="11"/>
        <v>0.61160194715238847</v>
      </c>
    </row>
    <row r="65" spans="1:13">
      <c r="A65" s="79" t="s">
        <v>126</v>
      </c>
      <c r="B65" s="79" t="s">
        <v>243</v>
      </c>
      <c r="C65" s="77">
        <v>2355.3759794318635</v>
      </c>
      <c r="D65" s="77">
        <v>2070.0145570940003</v>
      </c>
      <c r="E65" s="77">
        <v>2680.9867697785103</v>
      </c>
      <c r="G65" s="78">
        <v>0.13720266666138084</v>
      </c>
      <c r="H65" s="78">
        <v>0.10393696709654461</v>
      </c>
      <c r="I65" s="78">
        <v>0.12570340746592737</v>
      </c>
      <c r="K65" s="60">
        <f t="shared" si="11"/>
        <v>0.2286711111023014</v>
      </c>
      <c r="L65" s="60">
        <f t="shared" si="11"/>
        <v>0.17322827849424102</v>
      </c>
      <c r="M65" s="60">
        <f t="shared" si="11"/>
        <v>0.20950567910987897</v>
      </c>
    </row>
    <row r="66" spans="1:13">
      <c r="A66" s="79" t="s">
        <v>84</v>
      </c>
      <c r="B66" s="79" t="s">
        <v>244</v>
      </c>
      <c r="C66" s="77">
        <v>4732.368035674408</v>
      </c>
      <c r="D66" s="77">
        <v>4307.9477843469194</v>
      </c>
      <c r="E66" s="77">
        <v>3941.1916492203686</v>
      </c>
      <c r="G66" s="78">
        <v>0.10423879237675113</v>
      </c>
      <c r="H66" s="78">
        <v>8.8200163738662921E-2</v>
      </c>
      <c r="I66" s="78">
        <v>7.4436786016249173E-2</v>
      </c>
      <c r="K66" s="60">
        <f t="shared" si="11"/>
        <v>0.17373132062791855</v>
      </c>
      <c r="L66" s="60">
        <f t="shared" si="11"/>
        <v>0.14700027289777154</v>
      </c>
      <c r="M66" s="60">
        <f t="shared" si="11"/>
        <v>0.12406131002708196</v>
      </c>
    </row>
    <row r="67" spans="1:13">
      <c r="A67" s="79" t="s">
        <v>134</v>
      </c>
      <c r="B67" s="79" t="s">
        <v>245</v>
      </c>
      <c r="C67" s="77" t="s">
        <v>525</v>
      </c>
      <c r="D67" s="77" t="s">
        <v>525</v>
      </c>
      <c r="E67" s="77" t="s">
        <v>525</v>
      </c>
      <c r="G67" s="78" t="s">
        <v>525</v>
      </c>
      <c r="H67" s="78" t="s">
        <v>525</v>
      </c>
      <c r="I67" s="78" t="s">
        <v>525</v>
      </c>
      <c r="K67" s="60" t="str">
        <f t="shared" si="11"/>
        <v/>
      </c>
      <c r="L67" s="60" t="str">
        <f t="shared" si="11"/>
        <v/>
      </c>
      <c r="M67" s="60" t="str">
        <f t="shared" si="11"/>
        <v/>
      </c>
    </row>
    <row r="68" spans="1:13">
      <c r="A68" s="79" t="s">
        <v>178</v>
      </c>
      <c r="B68" s="79" t="s">
        <v>246</v>
      </c>
      <c r="C68" s="77" t="s">
        <v>525</v>
      </c>
      <c r="D68" s="77" t="s">
        <v>525</v>
      </c>
      <c r="E68" s="77" t="s">
        <v>525</v>
      </c>
      <c r="G68" s="78" t="s">
        <v>525</v>
      </c>
      <c r="H68" s="78" t="s">
        <v>525</v>
      </c>
      <c r="I68" s="78" t="s">
        <v>525</v>
      </c>
      <c r="K68" s="60" t="str">
        <f t="shared" si="11"/>
        <v/>
      </c>
      <c r="L68" s="60" t="str">
        <f t="shared" si="11"/>
        <v/>
      </c>
      <c r="M68" s="60" t="str">
        <f t="shared" si="11"/>
        <v/>
      </c>
    </row>
    <row r="69" spans="1:13">
      <c r="A69" s="79" t="s">
        <v>58</v>
      </c>
      <c r="B69" s="79" t="s">
        <v>247</v>
      </c>
      <c r="C69" s="77" t="s">
        <v>525</v>
      </c>
      <c r="D69" s="77" t="s">
        <v>525</v>
      </c>
      <c r="E69" s="77" t="s">
        <v>525</v>
      </c>
      <c r="G69" s="78" t="s">
        <v>525</v>
      </c>
      <c r="H69" s="78" t="s">
        <v>525</v>
      </c>
      <c r="I69" s="78" t="s">
        <v>525</v>
      </c>
      <c r="K69" s="60" t="str">
        <f t="shared" si="11"/>
        <v/>
      </c>
      <c r="L69" s="60" t="str">
        <f t="shared" si="11"/>
        <v/>
      </c>
      <c r="M69" s="60" t="str">
        <f t="shared" si="11"/>
        <v/>
      </c>
    </row>
    <row r="70" spans="1:13">
      <c r="A70" s="79" t="s">
        <v>184</v>
      </c>
      <c r="B70" s="79" t="s">
        <v>248</v>
      </c>
      <c r="C70" s="77">
        <v>1655.0953864543653</v>
      </c>
      <c r="D70" s="77">
        <v>1215.5140636665503</v>
      </c>
      <c r="E70" s="77">
        <v>1120.2803118723109</v>
      </c>
      <c r="G70" s="78">
        <v>0.67521882363385366</v>
      </c>
      <c r="H70" s="78">
        <v>0.45772119113052562</v>
      </c>
      <c r="I70" s="78">
        <v>0.32574689334515172</v>
      </c>
      <c r="K70" s="60">
        <f t="shared" si="11"/>
        <v>1</v>
      </c>
      <c r="L70" s="60">
        <f t="shared" si="11"/>
        <v>0.76286865188420938</v>
      </c>
      <c r="M70" s="60">
        <f t="shared" si="11"/>
        <v>0.5429114889085862</v>
      </c>
    </row>
    <row r="71" spans="1:13">
      <c r="A71" s="79" t="s">
        <v>108</v>
      </c>
      <c r="B71" s="79" t="s">
        <v>249</v>
      </c>
      <c r="C71" s="77">
        <v>17016.375532608283</v>
      </c>
      <c r="D71" s="77">
        <v>21776.859269779183</v>
      </c>
      <c r="E71" s="77">
        <v>11231.815474293688</v>
      </c>
      <c r="G71" s="78">
        <v>0.34688656674946822</v>
      </c>
      <c r="H71" s="78">
        <v>0.45705060436512668</v>
      </c>
      <c r="I71" s="78">
        <v>0.26118591192729534</v>
      </c>
      <c r="K71" s="60">
        <f t="shared" si="11"/>
        <v>0.57814427791578038</v>
      </c>
      <c r="L71" s="60">
        <f t="shared" si="11"/>
        <v>0.76175100727521117</v>
      </c>
      <c r="M71" s="60">
        <f t="shared" si="11"/>
        <v>0.43530985321215893</v>
      </c>
    </row>
    <row r="72" spans="1:13">
      <c r="A72" s="79" t="s">
        <v>77</v>
      </c>
      <c r="B72" s="79" t="s">
        <v>250</v>
      </c>
      <c r="C72" s="77">
        <v>19121.261395941259</v>
      </c>
      <c r="D72" s="77">
        <v>35390.875555202183</v>
      </c>
      <c r="E72" s="77">
        <v>19088.357855525217</v>
      </c>
      <c r="G72" s="78">
        <v>4.5889532135237152E-2</v>
      </c>
      <c r="H72" s="78">
        <v>7.3444884117691137E-2</v>
      </c>
      <c r="I72" s="78">
        <v>3.3473293961973856E-2</v>
      </c>
      <c r="K72" s="60">
        <f t="shared" si="11"/>
        <v>7.6482553558728586E-2</v>
      </c>
      <c r="L72" s="60">
        <f t="shared" si="11"/>
        <v>0.1224081401961519</v>
      </c>
      <c r="M72" s="60">
        <f t="shared" si="11"/>
        <v>5.5788823269956427E-2</v>
      </c>
    </row>
    <row r="73" spans="1:13">
      <c r="A73" s="79" t="s">
        <v>40</v>
      </c>
      <c r="B73" s="79" t="s">
        <v>251</v>
      </c>
      <c r="C73" s="77">
        <v>8955.5974795634356</v>
      </c>
      <c r="D73" s="77">
        <v>13332.825437578544</v>
      </c>
      <c r="E73" s="77">
        <v>8538.3376054975761</v>
      </c>
      <c r="G73" s="78">
        <v>1.8082055427996083E-2</v>
      </c>
      <c r="H73" s="78">
        <v>2.4617750519110224E-2</v>
      </c>
      <c r="I73" s="78">
        <v>1.4559421560470399E-2</v>
      </c>
      <c r="K73" s="60">
        <f t="shared" si="11"/>
        <v>3.013675904666014E-2</v>
      </c>
      <c r="L73" s="60">
        <f t="shared" si="11"/>
        <v>4.1029584198517044E-2</v>
      </c>
      <c r="M73" s="60">
        <f t="shared" si="11"/>
        <v>2.4265702600783999E-2</v>
      </c>
    </row>
    <row r="74" spans="1:13">
      <c r="A74" s="79" t="s">
        <v>25</v>
      </c>
      <c r="B74" s="79" t="s">
        <v>252</v>
      </c>
      <c r="C74" s="77">
        <v>10978.934167382782</v>
      </c>
      <c r="D74" s="77">
        <v>11218.489690402384</v>
      </c>
      <c r="E74" s="77">
        <v>7454.7060090229816</v>
      </c>
      <c r="G74" s="78">
        <v>0.16768903962048448</v>
      </c>
      <c r="H74" s="78">
        <v>0.16366343548098736</v>
      </c>
      <c r="I74" s="78">
        <v>0.12742296182973284</v>
      </c>
      <c r="K74" s="60">
        <f t="shared" si="11"/>
        <v>0.27948173270080751</v>
      </c>
      <c r="L74" s="60">
        <f t="shared" si="11"/>
        <v>0.27277239246831225</v>
      </c>
      <c r="M74" s="60">
        <f t="shared" si="11"/>
        <v>0.21237160304955474</v>
      </c>
    </row>
    <row r="75" spans="1:13">
      <c r="A75" s="79" t="s">
        <v>95</v>
      </c>
      <c r="B75" s="79" t="s">
        <v>253</v>
      </c>
      <c r="C75" s="77">
        <v>763.82601444101181</v>
      </c>
      <c r="D75" s="77">
        <v>1157.7225939121652</v>
      </c>
      <c r="E75" s="77">
        <v>1230.1933443026885</v>
      </c>
      <c r="G75" s="78">
        <v>0.14287674167561101</v>
      </c>
      <c r="H75" s="78">
        <v>0.22222784598870454</v>
      </c>
      <c r="I75" s="78">
        <v>0.21097659073386449</v>
      </c>
      <c r="K75" s="60">
        <f t="shared" si="11"/>
        <v>0.23812790279268503</v>
      </c>
      <c r="L75" s="60">
        <f t="shared" si="11"/>
        <v>0.37037974331450757</v>
      </c>
      <c r="M75" s="60">
        <f t="shared" si="11"/>
        <v>0.35162765122310752</v>
      </c>
    </row>
    <row r="76" spans="1:13">
      <c r="A76" s="79" t="s">
        <v>105</v>
      </c>
      <c r="B76" s="79" t="s">
        <v>254</v>
      </c>
      <c r="C76" s="77" t="s">
        <v>525</v>
      </c>
      <c r="D76" s="77">
        <v>3253.4782422674944</v>
      </c>
      <c r="E76" s="77">
        <v>3247.0316722750363</v>
      </c>
      <c r="G76" s="78" t="s">
        <v>525</v>
      </c>
      <c r="H76" s="78">
        <v>0.18216433997461445</v>
      </c>
      <c r="I76" s="78">
        <v>0.12203446600586437</v>
      </c>
      <c r="K76" s="60" t="str">
        <f t="shared" si="11"/>
        <v/>
      </c>
      <c r="L76" s="60">
        <f t="shared" si="11"/>
        <v>0.30360723329102413</v>
      </c>
      <c r="M76" s="60">
        <f t="shared" si="11"/>
        <v>0.20339077667644062</v>
      </c>
    </row>
    <row r="77" spans="1:13">
      <c r="A77" s="79" t="s">
        <v>44</v>
      </c>
      <c r="B77" s="79" t="s">
        <v>255</v>
      </c>
      <c r="C77" s="77">
        <v>5324.4853543478685</v>
      </c>
      <c r="D77" s="77">
        <v>8437.9429635263878</v>
      </c>
      <c r="E77" s="77">
        <v>5181.3850565727362</v>
      </c>
      <c r="G77" s="78">
        <v>1.1055456687691584E-2</v>
      </c>
      <c r="H77" s="78">
        <v>1.6031702501403233E-2</v>
      </c>
      <c r="I77" s="78">
        <v>9.4688844457950436E-3</v>
      </c>
      <c r="K77" s="60">
        <f t="shared" si="11"/>
        <v>1.8425761146152641E-2</v>
      </c>
      <c r="L77" s="60">
        <f t="shared" si="11"/>
        <v>2.6719504169005391E-2</v>
      </c>
      <c r="M77" s="60">
        <f t="shared" si="11"/>
        <v>1.5781474076325075E-2</v>
      </c>
    </row>
    <row r="78" spans="1:13">
      <c r="A78" s="79" t="s">
        <v>112</v>
      </c>
      <c r="B78" s="79" t="s">
        <v>256</v>
      </c>
      <c r="C78" s="77">
        <v>2421.4356003314242</v>
      </c>
      <c r="D78" s="77">
        <v>4091.7014826665618</v>
      </c>
      <c r="E78" s="77">
        <v>2653.1284935250774</v>
      </c>
      <c r="G78" s="78">
        <v>0.33540109861521844</v>
      </c>
      <c r="H78" s="78">
        <v>0.50164483350383582</v>
      </c>
      <c r="I78" s="78">
        <v>0.28000156069504156</v>
      </c>
      <c r="K78" s="60">
        <f t="shared" si="11"/>
        <v>0.55900183102536405</v>
      </c>
      <c r="L78" s="60">
        <f t="shared" si="11"/>
        <v>0.83607472250639303</v>
      </c>
      <c r="M78" s="60">
        <f t="shared" si="11"/>
        <v>0.46666926782506929</v>
      </c>
    </row>
    <row r="79" spans="1:13">
      <c r="A79" s="79" t="s">
        <v>83</v>
      </c>
      <c r="B79" s="79" t="s">
        <v>257</v>
      </c>
      <c r="C79" s="77">
        <v>9606.063144110678</v>
      </c>
      <c r="D79" s="77">
        <v>12522.258365953552</v>
      </c>
      <c r="E79" s="77">
        <v>7575.1272433271461</v>
      </c>
      <c r="G79" s="78">
        <v>3.1846957400573736E-2</v>
      </c>
      <c r="H79" s="78">
        <v>3.6629785212982886E-2</v>
      </c>
      <c r="I79" s="78">
        <v>1.9284192082229576E-2</v>
      </c>
      <c r="K79" s="60">
        <f t="shared" si="11"/>
        <v>5.3078262334289562E-2</v>
      </c>
      <c r="L79" s="60">
        <f t="shared" si="11"/>
        <v>6.1049642021638144E-2</v>
      </c>
      <c r="M79" s="60">
        <f t="shared" si="11"/>
        <v>3.2140320137049296E-2</v>
      </c>
    </row>
    <row r="80" spans="1:13">
      <c r="A80" s="79" t="s">
        <v>155</v>
      </c>
      <c r="B80" s="79" t="s">
        <v>258</v>
      </c>
      <c r="C80" s="77">
        <v>2730.8936722288786</v>
      </c>
      <c r="D80" s="77">
        <v>2541.4735754900898</v>
      </c>
      <c r="E80" s="77">
        <v>2083.3823805456359</v>
      </c>
      <c r="G80" s="78">
        <v>4.4996485520036586E-2</v>
      </c>
      <c r="H80" s="78">
        <v>3.4228529591461568E-2</v>
      </c>
      <c r="I80" s="78">
        <v>2.6699886164117996E-2</v>
      </c>
      <c r="K80" s="60">
        <f t="shared" si="11"/>
        <v>7.4994142533394315E-2</v>
      </c>
      <c r="L80" s="60">
        <f t="shared" si="11"/>
        <v>5.7047549319102615E-2</v>
      </c>
      <c r="M80" s="60">
        <f t="shared" si="11"/>
        <v>4.4499810273529998E-2</v>
      </c>
    </row>
    <row r="81" spans="1:13">
      <c r="A81" s="79" t="s">
        <v>115</v>
      </c>
      <c r="B81" s="79" t="s">
        <v>259</v>
      </c>
      <c r="C81" s="77">
        <v>10742.855076675949</v>
      </c>
      <c r="D81" s="77">
        <v>12039.624162441642</v>
      </c>
      <c r="E81" s="77">
        <v>16361.122555888847</v>
      </c>
      <c r="G81" s="78">
        <v>0.29411749874639653</v>
      </c>
      <c r="H81" s="78">
        <v>0.30220533707863872</v>
      </c>
      <c r="I81" s="78">
        <v>0.37626161792561041</v>
      </c>
      <c r="K81" s="60">
        <f t="shared" si="11"/>
        <v>0.49019583124399424</v>
      </c>
      <c r="L81" s="60">
        <f t="shared" si="11"/>
        <v>0.50367556179773121</v>
      </c>
      <c r="M81" s="60">
        <f t="shared" si="11"/>
        <v>0.62710269654268402</v>
      </c>
    </row>
    <row r="82" spans="1:13">
      <c r="A82" s="79" t="s">
        <v>147</v>
      </c>
      <c r="B82" s="79" t="s">
        <v>260</v>
      </c>
      <c r="C82" s="77">
        <v>1614.9283138906571</v>
      </c>
      <c r="D82" s="77">
        <v>2318.5702264698371</v>
      </c>
      <c r="E82" s="77">
        <v>1713.1597147036653</v>
      </c>
      <c r="G82" s="78">
        <v>0.30587010535351739</v>
      </c>
      <c r="H82" s="78">
        <v>0.38669576683751256</v>
      </c>
      <c r="I82" s="78">
        <v>0.27320040701220821</v>
      </c>
      <c r="K82" s="60">
        <f t="shared" si="11"/>
        <v>0.50978350892252899</v>
      </c>
      <c r="L82" s="60">
        <f t="shared" si="11"/>
        <v>0.64449294472918761</v>
      </c>
      <c r="M82" s="60">
        <f t="shared" si="11"/>
        <v>0.45533401168701371</v>
      </c>
    </row>
    <row r="83" spans="1:13">
      <c r="A83" s="79" t="s">
        <v>156</v>
      </c>
      <c r="B83" s="79" t="s">
        <v>261</v>
      </c>
      <c r="C83" s="77">
        <v>2730.9124647134099</v>
      </c>
      <c r="D83" s="77">
        <v>3226.8501684245794</v>
      </c>
      <c r="E83" s="77">
        <v>2077.8655666504515</v>
      </c>
      <c r="G83" s="78">
        <v>0.45477555556870985</v>
      </c>
      <c r="H83" s="78">
        <v>0.67884209213442204</v>
      </c>
      <c r="I83" s="78">
        <v>0.55556416407104225</v>
      </c>
      <c r="K83" s="60">
        <f t="shared" si="11"/>
        <v>0.75795925928118313</v>
      </c>
      <c r="L83" s="60">
        <f t="shared" si="11"/>
        <v>1</v>
      </c>
      <c r="M83" s="60">
        <f t="shared" si="11"/>
        <v>0.92594027345173713</v>
      </c>
    </row>
    <row r="84" spans="1:13">
      <c r="A84" s="79" t="s">
        <v>162</v>
      </c>
      <c r="B84" s="79" t="s">
        <v>262</v>
      </c>
      <c r="C84" s="77">
        <v>19990.073641599258</v>
      </c>
      <c r="D84" s="77">
        <v>22671.966920410054</v>
      </c>
      <c r="E84" s="77">
        <v>21233.167999450347</v>
      </c>
      <c r="G84" s="78">
        <v>1.322980192259323</v>
      </c>
      <c r="H84" s="78">
        <v>1.2666688801104802</v>
      </c>
      <c r="I84" s="78">
        <v>1.1052935206249255</v>
      </c>
      <c r="K84" s="60">
        <f t="shared" si="11"/>
        <v>1</v>
      </c>
      <c r="L84" s="60">
        <f t="shared" si="11"/>
        <v>1</v>
      </c>
      <c r="M84" s="60">
        <f t="shared" si="11"/>
        <v>1</v>
      </c>
    </row>
    <row r="85" spans="1:13">
      <c r="A85" s="79" t="s">
        <v>121</v>
      </c>
      <c r="B85" s="79" t="s">
        <v>263</v>
      </c>
      <c r="C85" s="77">
        <v>2094.3285571563779</v>
      </c>
      <c r="D85" s="77">
        <v>1687.8381244794541</v>
      </c>
      <c r="E85" s="77">
        <v>1258.2966115298677</v>
      </c>
      <c r="G85" s="78">
        <v>0.19006577926368881</v>
      </c>
      <c r="H85" s="78">
        <v>0.16324163594755481</v>
      </c>
      <c r="I85" s="78">
        <v>0.11970321276163802</v>
      </c>
      <c r="K85" s="60">
        <f t="shared" si="11"/>
        <v>0.31677629877281471</v>
      </c>
      <c r="L85" s="60">
        <f t="shared" si="11"/>
        <v>0.27206939324592472</v>
      </c>
      <c r="M85" s="60">
        <f t="shared" si="11"/>
        <v>0.19950535460273003</v>
      </c>
    </row>
    <row r="86" spans="1:13">
      <c r="A86" s="79" t="s">
        <v>119</v>
      </c>
      <c r="B86" s="79" t="s">
        <v>264</v>
      </c>
      <c r="C86" s="77">
        <v>7217.0463203541076</v>
      </c>
      <c r="D86" s="77">
        <v>6166.5230464442848</v>
      </c>
      <c r="E86" s="77">
        <v>11963.525633797821</v>
      </c>
      <c r="G86" s="78">
        <v>0.39649784991479498</v>
      </c>
      <c r="H86" s="78">
        <v>0.29710454982859608</v>
      </c>
      <c r="I86" s="78">
        <v>0.4712478050702521</v>
      </c>
      <c r="K86" s="60">
        <f t="shared" si="11"/>
        <v>0.6608297498579917</v>
      </c>
      <c r="L86" s="60">
        <f t="shared" si="11"/>
        <v>0.49517424971432683</v>
      </c>
      <c r="M86" s="60">
        <f t="shared" si="11"/>
        <v>0.78541300845042017</v>
      </c>
    </row>
    <row r="87" spans="1:13">
      <c r="A87" s="79" t="s">
        <v>64</v>
      </c>
      <c r="B87" s="79" t="s">
        <v>265</v>
      </c>
      <c r="C87" s="77">
        <v>7397.4964543799615</v>
      </c>
      <c r="D87" s="77">
        <v>8246.4508686809659</v>
      </c>
      <c r="E87" s="77">
        <v>5171.6697680670077</v>
      </c>
      <c r="G87" s="78">
        <v>6.3339172223893458E-2</v>
      </c>
      <c r="H87" s="78">
        <v>6.1332162226779528E-2</v>
      </c>
      <c r="I87" s="78">
        <v>2.989281071050898E-2</v>
      </c>
      <c r="K87" s="60">
        <f t="shared" si="11"/>
        <v>0.10556528703982243</v>
      </c>
      <c r="L87" s="60">
        <f t="shared" si="11"/>
        <v>0.10222027037796588</v>
      </c>
      <c r="M87" s="60">
        <f t="shared" si="11"/>
        <v>4.9821351184181635E-2</v>
      </c>
    </row>
    <row r="88" spans="1:13">
      <c r="A88" s="79" t="s">
        <v>12</v>
      </c>
      <c r="B88" s="79" t="s">
        <v>266</v>
      </c>
      <c r="C88" s="77">
        <v>17482.040991372152</v>
      </c>
      <c r="D88" s="77">
        <v>15735.254058853057</v>
      </c>
      <c r="E88" s="77">
        <v>12362.759491206463</v>
      </c>
      <c r="G88" s="78">
        <v>2.6623204171637892E-2</v>
      </c>
      <c r="H88" s="78">
        <v>1.9991107847406625E-2</v>
      </c>
      <c r="I88" s="78">
        <v>1.3691369544834645E-2</v>
      </c>
      <c r="K88" s="60">
        <f t="shared" si="11"/>
        <v>4.4372006952729824E-2</v>
      </c>
      <c r="L88" s="60">
        <f t="shared" si="11"/>
        <v>3.3318513079011042E-2</v>
      </c>
      <c r="M88" s="60">
        <f t="shared" si="11"/>
        <v>2.2818949241391075E-2</v>
      </c>
    </row>
    <row r="89" spans="1:13">
      <c r="A89" s="79" t="s">
        <v>159</v>
      </c>
      <c r="B89" s="79" t="s">
        <v>267</v>
      </c>
      <c r="C89" s="77">
        <v>3228.4341199556434</v>
      </c>
      <c r="D89" s="77">
        <v>3065.1414250389289</v>
      </c>
      <c r="E89" s="77">
        <v>2351.3802350845453</v>
      </c>
      <c r="G89" s="78">
        <v>0.43651365892742972</v>
      </c>
      <c r="H89" s="78">
        <v>0.33957290423886982</v>
      </c>
      <c r="I89" s="78">
        <v>0.22310913614490646</v>
      </c>
      <c r="K89" s="60">
        <f t="shared" si="11"/>
        <v>0.72752276487904954</v>
      </c>
      <c r="L89" s="60">
        <f t="shared" si="11"/>
        <v>0.56595484039811639</v>
      </c>
      <c r="M89" s="60">
        <f t="shared" si="11"/>
        <v>0.37184856024151081</v>
      </c>
    </row>
    <row r="90" spans="1:13">
      <c r="A90" s="79" t="s">
        <v>107</v>
      </c>
      <c r="B90" s="79" t="s">
        <v>268</v>
      </c>
      <c r="C90" s="77">
        <v>2782.025986763424</v>
      </c>
      <c r="D90" s="77">
        <v>5437.601815164996</v>
      </c>
      <c r="E90" s="77">
        <v>3452.4709042424893</v>
      </c>
      <c r="G90" s="78">
        <v>0.17244885264649218</v>
      </c>
      <c r="H90" s="78">
        <v>0.32400970361567122</v>
      </c>
      <c r="I90" s="78">
        <v>0.17463694076210892</v>
      </c>
      <c r="K90" s="60">
        <f t="shared" si="11"/>
        <v>0.28741475441082032</v>
      </c>
      <c r="L90" s="60">
        <f t="shared" si="11"/>
        <v>0.54001617269278535</v>
      </c>
      <c r="M90" s="60">
        <f t="shared" si="11"/>
        <v>0.29106156793684823</v>
      </c>
    </row>
    <row r="91" spans="1:13">
      <c r="A91" s="79" t="s">
        <v>63</v>
      </c>
      <c r="B91" s="79" t="s">
        <v>269</v>
      </c>
      <c r="C91" s="77">
        <v>3917.5157040662984</v>
      </c>
      <c r="D91" s="77">
        <v>6130.2100230707565</v>
      </c>
      <c r="E91" s="77">
        <v>3946.3722856647023</v>
      </c>
      <c r="G91" s="78">
        <v>0.14920841804716728</v>
      </c>
      <c r="H91" s="78">
        <v>0.26711105690485715</v>
      </c>
      <c r="I91" s="78">
        <v>0.11802332625165257</v>
      </c>
      <c r="K91" s="60">
        <f t="shared" si="11"/>
        <v>0.24868069674527882</v>
      </c>
      <c r="L91" s="60">
        <f t="shared" si="11"/>
        <v>0.4451850948414286</v>
      </c>
      <c r="M91" s="60">
        <f t="shared" si="11"/>
        <v>0.19670554375275429</v>
      </c>
    </row>
    <row r="92" spans="1:13">
      <c r="A92" s="79" t="s">
        <v>68</v>
      </c>
      <c r="B92" s="79" t="s">
        <v>270</v>
      </c>
      <c r="C92" s="77" t="s">
        <v>525</v>
      </c>
      <c r="D92" s="77" t="s">
        <v>525</v>
      </c>
      <c r="E92" s="77" t="s">
        <v>525</v>
      </c>
      <c r="G92" s="78" t="s">
        <v>525</v>
      </c>
      <c r="H92" s="78" t="s">
        <v>525</v>
      </c>
      <c r="I92" s="78" t="s">
        <v>525</v>
      </c>
      <c r="K92" s="60" t="str">
        <f t="shared" si="11"/>
        <v/>
      </c>
      <c r="L92" s="60" t="str">
        <f t="shared" si="11"/>
        <v/>
      </c>
      <c r="M92" s="60" t="str">
        <f t="shared" si="11"/>
        <v/>
      </c>
    </row>
    <row r="93" spans="1:13">
      <c r="A93" s="79" t="s">
        <v>82</v>
      </c>
      <c r="B93" s="79" t="s">
        <v>271</v>
      </c>
      <c r="C93" s="77">
        <v>16667.520533726758</v>
      </c>
      <c r="D93" s="77">
        <v>17246.809009565066</v>
      </c>
      <c r="E93" s="77">
        <v>10899.436698846403</v>
      </c>
      <c r="G93" s="78">
        <v>4.1311152354239988E-2</v>
      </c>
      <c r="H93" s="78">
        <v>3.3693952172018919E-2</v>
      </c>
      <c r="I93" s="78">
        <v>1.8192552156176257E-2</v>
      </c>
      <c r="K93" s="60">
        <f t="shared" si="11"/>
        <v>6.885192059039999E-2</v>
      </c>
      <c r="L93" s="60">
        <f t="shared" si="11"/>
        <v>5.6156586953364868E-2</v>
      </c>
      <c r="M93" s="60">
        <f t="shared" si="11"/>
        <v>3.0320920260293763E-2</v>
      </c>
    </row>
    <row r="94" spans="1:13">
      <c r="A94" s="79" t="s">
        <v>11</v>
      </c>
      <c r="B94" s="79" t="s">
        <v>272</v>
      </c>
      <c r="C94" s="77">
        <v>5177.0538690971898</v>
      </c>
      <c r="D94" s="77">
        <v>4477.7128300399118</v>
      </c>
      <c r="E94" s="77">
        <v>4589.09414131418</v>
      </c>
      <c r="G94" s="78">
        <v>1.7308447790192024E-2</v>
      </c>
      <c r="H94" s="78">
        <v>1.4431873451668974E-2</v>
      </c>
      <c r="I94" s="78">
        <v>1.401374717330605E-2</v>
      </c>
      <c r="K94" s="60">
        <f t="shared" si="11"/>
        <v>2.8847412983653373E-2</v>
      </c>
      <c r="L94" s="60">
        <f t="shared" si="11"/>
        <v>2.4053122419448292E-2</v>
      </c>
      <c r="M94" s="60">
        <f t="shared" si="11"/>
        <v>2.3356245288843419E-2</v>
      </c>
    </row>
    <row r="95" spans="1:13">
      <c r="A95" s="79" t="s">
        <v>62</v>
      </c>
      <c r="B95" s="79" t="s">
        <v>273</v>
      </c>
      <c r="C95" s="77">
        <v>7894.6820796978991</v>
      </c>
      <c r="D95" s="77">
        <v>9485.1212456212288</v>
      </c>
      <c r="E95" s="77">
        <v>6976.8723655049689</v>
      </c>
      <c r="G95" s="78">
        <v>1.8286231616523908E-2</v>
      </c>
      <c r="H95" s="78">
        <v>1.983287721705378E-2</v>
      </c>
      <c r="I95" s="78">
        <v>1.4002004512857444E-2</v>
      </c>
      <c r="K95" s="60">
        <f t="shared" si="11"/>
        <v>3.0477052694206516E-2</v>
      </c>
      <c r="L95" s="60">
        <f t="shared" si="11"/>
        <v>3.3054795361756303E-2</v>
      </c>
      <c r="M95" s="60">
        <f t="shared" si="11"/>
        <v>2.3336674188095742E-2</v>
      </c>
    </row>
    <row r="96" spans="1:13">
      <c r="A96" s="79" t="s">
        <v>104</v>
      </c>
      <c r="B96" s="79" t="s">
        <v>274</v>
      </c>
      <c r="C96" s="77">
        <v>8013.6547823950395</v>
      </c>
      <c r="D96" s="77">
        <v>6567.9109061360723</v>
      </c>
      <c r="E96" s="77">
        <v>4393.1283080063995</v>
      </c>
      <c r="G96" s="78">
        <v>0.11693111716450656</v>
      </c>
      <c r="H96" s="78">
        <v>9.2968534837157599E-2</v>
      </c>
      <c r="I96" s="78">
        <v>5.5077132801389816E-2</v>
      </c>
      <c r="K96" s="60">
        <f t="shared" si="11"/>
        <v>0.19488519527417761</v>
      </c>
      <c r="L96" s="60">
        <f t="shared" si="11"/>
        <v>0.15494755806192934</v>
      </c>
      <c r="M96" s="60">
        <f t="shared" si="11"/>
        <v>9.1795221335649699E-2</v>
      </c>
    </row>
    <row r="97" spans="1:13">
      <c r="A97" s="79" t="s">
        <v>70</v>
      </c>
      <c r="B97" s="79" t="s">
        <v>275</v>
      </c>
      <c r="C97" s="77">
        <v>3580.6031545772016</v>
      </c>
      <c r="D97" s="77">
        <v>4611.2038264470593</v>
      </c>
      <c r="E97" s="77">
        <v>2047.5164081048883</v>
      </c>
      <c r="G97" s="78">
        <v>7.6054152497111709E-3</v>
      </c>
      <c r="H97" s="78">
        <v>9.0573426742944513E-3</v>
      </c>
      <c r="I97" s="78">
        <v>3.7312323887860616E-3</v>
      </c>
      <c r="K97" s="60">
        <f t="shared" si="11"/>
        <v>1.2675692082851952E-2</v>
      </c>
      <c r="L97" s="60">
        <f t="shared" si="11"/>
        <v>1.5095571123824087E-2</v>
      </c>
      <c r="M97" s="60">
        <f t="shared" si="11"/>
        <v>6.21872064797677E-3</v>
      </c>
    </row>
    <row r="98" spans="1:13">
      <c r="A98" s="79" t="s">
        <v>35</v>
      </c>
      <c r="B98" s="79" t="s">
        <v>276</v>
      </c>
      <c r="C98" s="77">
        <v>2780.4006897052404</v>
      </c>
      <c r="D98" s="77">
        <v>1991.695305191462</v>
      </c>
      <c r="E98" s="77">
        <v>2616.5583395464027</v>
      </c>
      <c r="G98" s="78">
        <v>7.7321760154222582E-2</v>
      </c>
      <c r="H98" s="78">
        <v>4.8455624269846141E-2</v>
      </c>
      <c r="I98" s="78">
        <v>5.0852653445746201E-2</v>
      </c>
      <c r="K98" s="60">
        <f t="shared" si="11"/>
        <v>0.12886960025703764</v>
      </c>
      <c r="L98" s="60">
        <f t="shared" si="11"/>
        <v>8.0759373783076904E-2</v>
      </c>
      <c r="M98" s="60">
        <f t="shared" si="11"/>
        <v>8.4754422409577007E-2</v>
      </c>
    </row>
    <row r="99" spans="1:13">
      <c r="A99" s="79" t="s">
        <v>92</v>
      </c>
      <c r="B99" s="79" t="s">
        <v>277</v>
      </c>
      <c r="C99" s="77" t="s">
        <v>525</v>
      </c>
      <c r="D99" s="77" t="s">
        <v>525</v>
      </c>
      <c r="E99" s="77" t="s">
        <v>525</v>
      </c>
      <c r="G99" s="78" t="s">
        <v>525</v>
      </c>
      <c r="H99" s="78" t="s">
        <v>525</v>
      </c>
      <c r="I99" s="78" t="s">
        <v>525</v>
      </c>
      <c r="K99" s="60" t="str">
        <f t="shared" si="11"/>
        <v/>
      </c>
      <c r="L99" s="60" t="str">
        <f t="shared" si="11"/>
        <v/>
      </c>
      <c r="M99" s="60" t="str">
        <f t="shared" si="11"/>
        <v/>
      </c>
    </row>
    <row r="100" spans="1:13">
      <c r="A100" s="79" t="s">
        <v>176</v>
      </c>
      <c r="B100" s="79" t="s">
        <v>278</v>
      </c>
      <c r="C100" s="77">
        <v>4062.2754416323946</v>
      </c>
      <c r="D100" s="77">
        <v>3930.4247029672943</v>
      </c>
      <c r="E100" s="77">
        <v>2737.7860786723832</v>
      </c>
      <c r="G100" s="78">
        <v>0.44939199100516453</v>
      </c>
      <c r="H100" s="78">
        <v>0.38794166580267059</v>
      </c>
      <c r="I100" s="78">
        <v>0.25625569396732634</v>
      </c>
      <c r="K100" s="60">
        <f t="shared" si="11"/>
        <v>0.74898665167527423</v>
      </c>
      <c r="L100" s="60">
        <f t="shared" si="11"/>
        <v>0.64656944300445096</v>
      </c>
      <c r="M100" s="60">
        <f t="shared" si="11"/>
        <v>0.42709282327887726</v>
      </c>
    </row>
    <row r="101" spans="1:13">
      <c r="A101" s="79" t="s">
        <v>124</v>
      </c>
      <c r="B101" s="79" t="s">
        <v>279</v>
      </c>
      <c r="C101" s="77" t="s">
        <v>525</v>
      </c>
      <c r="D101" s="77" t="s">
        <v>525</v>
      </c>
      <c r="E101" s="77" t="s">
        <v>525</v>
      </c>
      <c r="G101" s="78" t="s">
        <v>525</v>
      </c>
      <c r="H101" s="78" t="s">
        <v>525</v>
      </c>
      <c r="I101" s="78" t="s">
        <v>525</v>
      </c>
      <c r="K101" s="60" t="str">
        <f t="shared" si="11"/>
        <v/>
      </c>
      <c r="L101" s="60" t="str">
        <f t="shared" si="11"/>
        <v/>
      </c>
      <c r="M101" s="60" t="str">
        <f t="shared" si="11"/>
        <v/>
      </c>
    </row>
    <row r="102" spans="1:13">
      <c r="A102" s="79" t="s">
        <v>76</v>
      </c>
      <c r="B102" s="79" t="s">
        <v>280</v>
      </c>
      <c r="C102" s="77" t="s">
        <v>525</v>
      </c>
      <c r="D102" s="77" t="s">
        <v>525</v>
      </c>
      <c r="E102" s="77" t="s">
        <v>525</v>
      </c>
      <c r="G102" s="78" t="s">
        <v>525</v>
      </c>
      <c r="H102" s="78" t="s">
        <v>525</v>
      </c>
      <c r="I102" s="78" t="s">
        <v>525</v>
      </c>
      <c r="K102" s="60" t="str">
        <f t="shared" si="11"/>
        <v/>
      </c>
      <c r="L102" s="60" t="str">
        <f t="shared" si="11"/>
        <v/>
      </c>
      <c r="M102" s="60" t="str">
        <f t="shared" si="11"/>
        <v/>
      </c>
    </row>
    <row r="103" spans="1:13">
      <c r="A103" s="79" t="s">
        <v>31</v>
      </c>
      <c r="B103" s="79" t="s">
        <v>281</v>
      </c>
      <c r="C103" s="77">
        <v>2835.1555530298951</v>
      </c>
      <c r="D103" s="77">
        <v>2975.5879626341712</v>
      </c>
      <c r="E103" s="77">
        <v>2615.5160577141733</v>
      </c>
      <c r="G103" s="78">
        <v>1.7832825096916798E-2</v>
      </c>
      <c r="H103" s="78">
        <v>1.5224426826237156E-2</v>
      </c>
      <c r="I103" s="78">
        <v>1.0538778268307271E-2</v>
      </c>
      <c r="K103" s="60">
        <f t="shared" ref="K103:M166" si="12">IF(ISNUMBER(G103),MIN((G103-K$10)/K$11,1),"")</f>
        <v>2.9721375161527997E-2</v>
      </c>
      <c r="L103" s="60">
        <f t="shared" si="12"/>
        <v>2.5374044710395262E-2</v>
      </c>
      <c r="M103" s="60">
        <f t="shared" si="12"/>
        <v>1.7564630447178785E-2</v>
      </c>
    </row>
    <row r="104" spans="1:13">
      <c r="A104" s="79" t="s">
        <v>3</v>
      </c>
      <c r="B104" s="79" t="s">
        <v>282</v>
      </c>
      <c r="C104" s="77">
        <v>1351.6754195924705</v>
      </c>
      <c r="D104" s="77">
        <v>1487.9802473937179</v>
      </c>
      <c r="E104" s="77">
        <v>1098.8518359119321</v>
      </c>
      <c r="G104" s="78">
        <v>3.2954345477663248E-3</v>
      </c>
      <c r="H104" s="78">
        <v>3.9173710326920177E-3</v>
      </c>
      <c r="I104" s="78">
        <v>3.367407990438975E-3</v>
      </c>
      <c r="K104" s="60">
        <f t="shared" si="12"/>
        <v>5.4923909129438748E-3</v>
      </c>
      <c r="L104" s="60">
        <f t="shared" si="12"/>
        <v>6.5289517211533634E-3</v>
      </c>
      <c r="M104" s="60">
        <f t="shared" si="12"/>
        <v>5.6123466507316255E-3</v>
      </c>
    </row>
    <row r="105" spans="1:13">
      <c r="A105" s="79" t="s">
        <v>144</v>
      </c>
      <c r="B105" s="79" t="s">
        <v>283</v>
      </c>
      <c r="C105" s="77" t="s">
        <v>525</v>
      </c>
      <c r="D105" s="77">
        <v>3545.6655310208339</v>
      </c>
      <c r="E105" s="77">
        <v>2923.2003761052351</v>
      </c>
      <c r="G105" s="78" t="s">
        <v>525</v>
      </c>
      <c r="H105" s="78">
        <v>0.48880283315207951</v>
      </c>
      <c r="I105" s="78">
        <v>0.27674761006103521</v>
      </c>
      <c r="K105" s="60" t="str">
        <f t="shared" si="12"/>
        <v/>
      </c>
      <c r="L105" s="60">
        <f t="shared" si="12"/>
        <v>0.81467138858679922</v>
      </c>
      <c r="M105" s="60">
        <f t="shared" si="12"/>
        <v>0.46124601676839205</v>
      </c>
    </row>
    <row r="106" spans="1:13">
      <c r="A106" s="79" t="s">
        <v>154</v>
      </c>
      <c r="B106" s="79" t="s">
        <v>284</v>
      </c>
      <c r="C106" s="77" t="s">
        <v>525</v>
      </c>
      <c r="D106" s="77" t="s">
        <v>525</v>
      </c>
      <c r="E106" s="77">
        <v>4444.2722350329495</v>
      </c>
      <c r="G106" s="78" t="s">
        <v>525</v>
      </c>
      <c r="H106" s="78" t="s">
        <v>525</v>
      </c>
      <c r="I106" s="78">
        <v>0.55086740748363594</v>
      </c>
      <c r="K106" s="60" t="str">
        <f t="shared" si="12"/>
        <v/>
      </c>
      <c r="L106" s="60" t="str">
        <f t="shared" si="12"/>
        <v/>
      </c>
      <c r="M106" s="60">
        <f t="shared" si="12"/>
        <v>0.91811234580605994</v>
      </c>
    </row>
    <row r="107" spans="1:13">
      <c r="A107" s="79" t="s">
        <v>61</v>
      </c>
      <c r="B107" s="79" t="s">
        <v>285</v>
      </c>
      <c r="C107" s="77" t="s">
        <v>525</v>
      </c>
      <c r="D107" s="77">
        <v>10173.344441412202</v>
      </c>
      <c r="E107" s="77">
        <v>7346.3320438376759</v>
      </c>
      <c r="G107" s="78" t="s">
        <v>525</v>
      </c>
      <c r="H107" s="78">
        <v>0.1346293071835733</v>
      </c>
      <c r="I107" s="78">
        <v>6.057624595305449E-2</v>
      </c>
      <c r="K107" s="60" t="str">
        <f t="shared" si="12"/>
        <v/>
      </c>
      <c r="L107" s="60">
        <f t="shared" si="12"/>
        <v>0.22438217863928883</v>
      </c>
      <c r="M107" s="60">
        <f t="shared" si="12"/>
        <v>0.10096040992175749</v>
      </c>
    </row>
    <row r="108" spans="1:13">
      <c r="A108" s="79" t="s">
        <v>20</v>
      </c>
      <c r="B108" s="79" t="s">
        <v>286</v>
      </c>
      <c r="C108" s="77" t="s">
        <v>525</v>
      </c>
      <c r="D108" s="77" t="s">
        <v>525</v>
      </c>
      <c r="E108" s="77" t="s">
        <v>525</v>
      </c>
      <c r="G108" s="78" t="s">
        <v>525</v>
      </c>
      <c r="H108" s="78" t="s">
        <v>525</v>
      </c>
      <c r="I108" s="78" t="s">
        <v>525</v>
      </c>
      <c r="K108" s="60" t="str">
        <f t="shared" si="12"/>
        <v/>
      </c>
      <c r="L108" s="60" t="str">
        <f t="shared" si="12"/>
        <v/>
      </c>
      <c r="M108" s="60" t="str">
        <f t="shared" si="12"/>
        <v/>
      </c>
    </row>
    <row r="109" spans="1:13">
      <c r="A109" s="79" t="s">
        <v>172</v>
      </c>
      <c r="B109" s="79" t="s">
        <v>287</v>
      </c>
      <c r="C109" s="77">
        <v>1091.8942251227375</v>
      </c>
      <c r="D109" s="77">
        <v>1092.8527382610005</v>
      </c>
      <c r="E109" s="77">
        <v>324.92939398767061</v>
      </c>
      <c r="G109" s="78">
        <v>6.4387267440325385E-2</v>
      </c>
      <c r="H109" s="78">
        <v>6.2046565371782166E-2</v>
      </c>
      <c r="I109" s="78">
        <v>1.5907859301522401E-2</v>
      </c>
      <c r="K109" s="60">
        <f t="shared" si="12"/>
        <v>0.10731211240054231</v>
      </c>
      <c r="L109" s="60">
        <f t="shared" si="12"/>
        <v>0.10341094228630361</v>
      </c>
      <c r="M109" s="60">
        <f t="shared" si="12"/>
        <v>2.651309883587067E-2</v>
      </c>
    </row>
    <row r="110" spans="1:13">
      <c r="A110" s="79" t="s">
        <v>88</v>
      </c>
      <c r="B110" s="79" t="s">
        <v>288</v>
      </c>
      <c r="C110" s="77" t="s">
        <v>525</v>
      </c>
      <c r="D110" s="77">
        <v>2512.4156859251257</v>
      </c>
      <c r="E110" s="77">
        <v>3200.5208320874449</v>
      </c>
      <c r="G110" s="78" t="s">
        <v>525</v>
      </c>
      <c r="H110" s="78">
        <v>0.73221887766489324</v>
      </c>
      <c r="I110" s="78">
        <v>0.950324352239453</v>
      </c>
      <c r="K110" s="60" t="str">
        <f t="shared" si="12"/>
        <v/>
      </c>
      <c r="L110" s="60">
        <f t="shared" si="12"/>
        <v>1</v>
      </c>
      <c r="M110" s="60">
        <f t="shared" si="12"/>
        <v>1</v>
      </c>
    </row>
    <row r="111" spans="1:13">
      <c r="A111" s="79" t="s">
        <v>34</v>
      </c>
      <c r="B111" s="79" t="s">
        <v>289</v>
      </c>
      <c r="C111" s="77" t="s">
        <v>525</v>
      </c>
      <c r="D111" s="77" t="s">
        <v>525</v>
      </c>
      <c r="E111" s="77" t="s">
        <v>525</v>
      </c>
      <c r="G111" s="78" t="s">
        <v>525</v>
      </c>
      <c r="H111" s="78" t="s">
        <v>525</v>
      </c>
      <c r="I111" s="78" t="s">
        <v>525</v>
      </c>
      <c r="K111" s="60" t="str">
        <f t="shared" si="12"/>
        <v/>
      </c>
      <c r="L111" s="60" t="str">
        <f t="shared" si="12"/>
        <v/>
      </c>
      <c r="M111" s="60" t="str">
        <f t="shared" si="12"/>
        <v/>
      </c>
    </row>
    <row r="112" spans="1:13">
      <c r="A112" s="79" t="s">
        <v>187</v>
      </c>
      <c r="B112" s="79" t="s">
        <v>290</v>
      </c>
      <c r="C112" s="77" t="s">
        <v>525</v>
      </c>
      <c r="D112" s="77" t="s">
        <v>525</v>
      </c>
      <c r="E112" s="77" t="s">
        <v>525</v>
      </c>
      <c r="G112" s="78" t="s">
        <v>525</v>
      </c>
      <c r="H112" s="78" t="s">
        <v>525</v>
      </c>
      <c r="I112" s="78" t="s">
        <v>525</v>
      </c>
      <c r="K112" s="60" t="str">
        <f t="shared" si="12"/>
        <v/>
      </c>
      <c r="L112" s="60" t="str">
        <f t="shared" si="12"/>
        <v/>
      </c>
      <c r="M112" s="60" t="str">
        <f t="shared" si="12"/>
        <v/>
      </c>
    </row>
    <row r="113" spans="1:13">
      <c r="A113" s="79" t="s">
        <v>67</v>
      </c>
      <c r="B113" s="79" t="s">
        <v>291</v>
      </c>
      <c r="C113" s="77" t="s">
        <v>525</v>
      </c>
      <c r="D113" s="77">
        <v>8608.2297356798481</v>
      </c>
      <c r="E113" s="77">
        <v>5667.07236578014</v>
      </c>
      <c r="G113" s="78" t="s">
        <v>525</v>
      </c>
      <c r="H113" s="78">
        <v>9.2128642331842939E-2</v>
      </c>
      <c r="I113" s="78">
        <v>4.2636875755332287E-2</v>
      </c>
      <c r="K113" s="60" t="str">
        <f t="shared" si="12"/>
        <v/>
      </c>
      <c r="L113" s="60">
        <f t="shared" si="12"/>
        <v>0.15354773721973825</v>
      </c>
      <c r="M113" s="60">
        <f t="shared" si="12"/>
        <v>7.1061459592220488E-2</v>
      </c>
    </row>
    <row r="114" spans="1:13">
      <c r="A114" s="79" t="s">
        <v>29</v>
      </c>
      <c r="B114" s="79" t="s">
        <v>292</v>
      </c>
      <c r="C114" s="77">
        <v>11084.26461713925</v>
      </c>
      <c r="D114" s="77">
        <v>11555.158090256185</v>
      </c>
      <c r="E114" s="77">
        <v>6091.9360568028324</v>
      </c>
      <c r="G114" s="78">
        <v>1.5864079964114982E-2</v>
      </c>
      <c r="H114" s="78">
        <v>1.3961220773442704E-2</v>
      </c>
      <c r="I114" s="78">
        <v>6.6394974937098467E-3</v>
      </c>
      <c r="K114" s="60">
        <f t="shared" si="12"/>
        <v>2.6440133273524971E-2</v>
      </c>
      <c r="L114" s="60">
        <f t="shared" si="12"/>
        <v>2.3268701289071173E-2</v>
      </c>
      <c r="M114" s="60">
        <f t="shared" si="12"/>
        <v>1.1065829156183078E-2</v>
      </c>
    </row>
    <row r="115" spans="1:13">
      <c r="A115" s="79" t="s">
        <v>158</v>
      </c>
      <c r="B115" s="79" t="s">
        <v>293</v>
      </c>
      <c r="C115" s="77">
        <v>3236.4247346212728</v>
      </c>
      <c r="D115" s="77">
        <v>2205.8325087102808</v>
      </c>
      <c r="E115" s="77">
        <v>1918.0518894307011</v>
      </c>
      <c r="G115" s="78">
        <v>0.61667803163711932</v>
      </c>
      <c r="H115" s="78">
        <v>0.43421360143329474</v>
      </c>
      <c r="I115" s="78">
        <v>0.549728255512415</v>
      </c>
      <c r="K115" s="60">
        <f t="shared" si="12"/>
        <v>1</v>
      </c>
      <c r="L115" s="60">
        <f t="shared" si="12"/>
        <v>0.72368933572215788</v>
      </c>
      <c r="M115" s="60">
        <f t="shared" si="12"/>
        <v>0.91621375918735837</v>
      </c>
    </row>
    <row r="116" spans="1:13">
      <c r="A116" s="79" t="s">
        <v>180</v>
      </c>
      <c r="B116" s="79" t="s">
        <v>294</v>
      </c>
      <c r="C116" s="77">
        <v>2672.3978665244686</v>
      </c>
      <c r="D116" s="77">
        <v>2214.9130487980033</v>
      </c>
      <c r="E116" s="77">
        <v>1169.8461914423406</v>
      </c>
      <c r="G116" s="78">
        <v>0.64432541640896945</v>
      </c>
      <c r="H116" s="78">
        <v>0.51003234534306729</v>
      </c>
      <c r="I116" s="78">
        <v>0.33706007597130461</v>
      </c>
      <c r="K116" s="60">
        <f t="shared" si="12"/>
        <v>1</v>
      </c>
      <c r="L116" s="60">
        <f t="shared" si="12"/>
        <v>0.85005390890511223</v>
      </c>
      <c r="M116" s="60">
        <f t="shared" si="12"/>
        <v>0.56176679328550772</v>
      </c>
    </row>
    <row r="117" spans="1:13">
      <c r="A117" s="79" t="s">
        <v>55</v>
      </c>
      <c r="B117" s="79" t="s">
        <v>295</v>
      </c>
      <c r="C117" s="77">
        <v>3705.6312028602151</v>
      </c>
      <c r="D117" s="77">
        <v>4243.1926169457402</v>
      </c>
      <c r="E117" s="77">
        <v>2647.7924075972378</v>
      </c>
      <c r="G117" s="78">
        <v>7.1226943814188717E-2</v>
      </c>
      <c r="H117" s="78">
        <v>8.073544650525602E-2</v>
      </c>
      <c r="I117" s="78">
        <v>4.0881932132022278E-2</v>
      </c>
      <c r="K117" s="60">
        <f t="shared" si="12"/>
        <v>0.11871157302364786</v>
      </c>
      <c r="L117" s="60">
        <f t="shared" si="12"/>
        <v>0.13455907750876003</v>
      </c>
      <c r="M117" s="60">
        <f t="shared" si="12"/>
        <v>6.8136553553370463E-2</v>
      </c>
    </row>
    <row r="118" spans="1:13">
      <c r="A118" s="79" t="s">
        <v>137</v>
      </c>
      <c r="B118" s="79" t="s">
        <v>296</v>
      </c>
      <c r="C118" s="77" t="s">
        <v>525</v>
      </c>
      <c r="D118" s="77">
        <v>970.28028626995535</v>
      </c>
      <c r="E118" s="77">
        <v>989.60723644018628</v>
      </c>
      <c r="G118" s="78" t="s">
        <v>525</v>
      </c>
      <c r="H118" s="78">
        <v>4.3929506743728107E-2</v>
      </c>
      <c r="I118" s="78">
        <v>3.7241335330793046E-2</v>
      </c>
      <c r="K118" s="60" t="str">
        <f t="shared" si="12"/>
        <v/>
      </c>
      <c r="L118" s="60">
        <f t="shared" si="12"/>
        <v>7.3215844572880176E-2</v>
      </c>
      <c r="M118" s="60">
        <f t="shared" si="12"/>
        <v>6.2068892217988413E-2</v>
      </c>
    </row>
    <row r="119" spans="1:13">
      <c r="A119" s="79" t="s">
        <v>152</v>
      </c>
      <c r="B119" s="79" t="s">
        <v>297</v>
      </c>
      <c r="C119" s="77">
        <v>2596.2897326436646</v>
      </c>
      <c r="D119" s="77">
        <v>3194.0210228542869</v>
      </c>
      <c r="E119" s="77">
        <v>1906.6113687651621</v>
      </c>
      <c r="G119" s="78">
        <v>0.45424160373054351</v>
      </c>
      <c r="H119" s="78">
        <v>0.49477006388147077</v>
      </c>
      <c r="I119" s="78">
        <v>0.27567344732086346</v>
      </c>
      <c r="K119" s="60">
        <f t="shared" si="12"/>
        <v>0.75706933955090583</v>
      </c>
      <c r="L119" s="60">
        <f t="shared" si="12"/>
        <v>0.82461677313578463</v>
      </c>
      <c r="M119" s="60">
        <f t="shared" si="12"/>
        <v>0.45945574553477248</v>
      </c>
    </row>
    <row r="120" spans="1:13">
      <c r="A120" s="79" t="s">
        <v>8</v>
      </c>
      <c r="B120" s="79" t="s">
        <v>298</v>
      </c>
      <c r="C120" s="77">
        <v>2159.9602469026822</v>
      </c>
      <c r="D120" s="77">
        <v>4698.957294990716</v>
      </c>
      <c r="E120" s="77">
        <v>4283.4979080612975</v>
      </c>
      <c r="G120" s="78">
        <v>1.0610947822782697E-2</v>
      </c>
      <c r="H120" s="78">
        <v>1.9202765932436836E-2</v>
      </c>
      <c r="I120" s="78">
        <v>1.6604777507920134E-2</v>
      </c>
      <c r="K120" s="60">
        <f t="shared" si="12"/>
        <v>1.7684913037971161E-2</v>
      </c>
      <c r="L120" s="60">
        <f t="shared" si="12"/>
        <v>3.200460988739473E-2</v>
      </c>
      <c r="M120" s="60">
        <f t="shared" si="12"/>
        <v>2.7674629179866891E-2</v>
      </c>
    </row>
    <row r="121" spans="1:13">
      <c r="A121" s="79" t="s">
        <v>53</v>
      </c>
      <c r="B121" s="79" t="s">
        <v>299</v>
      </c>
      <c r="C121" s="77" t="s">
        <v>525</v>
      </c>
      <c r="D121" s="77" t="s">
        <v>525</v>
      </c>
      <c r="E121" s="77" t="s">
        <v>525</v>
      </c>
      <c r="G121" s="78" t="s">
        <v>525</v>
      </c>
      <c r="H121" s="78" t="s">
        <v>525</v>
      </c>
      <c r="I121" s="78" t="s">
        <v>525</v>
      </c>
      <c r="K121" s="60" t="str">
        <f t="shared" si="12"/>
        <v/>
      </c>
      <c r="L121" s="60" t="str">
        <f t="shared" si="12"/>
        <v/>
      </c>
      <c r="M121" s="60" t="str">
        <f t="shared" si="12"/>
        <v/>
      </c>
    </row>
    <row r="122" spans="1:13">
      <c r="A122" s="79" t="s">
        <v>131</v>
      </c>
      <c r="B122" s="79" t="s">
        <v>300</v>
      </c>
      <c r="C122" s="77">
        <v>1996.2621230789268</v>
      </c>
      <c r="D122" s="77">
        <v>2753.1045030800633</v>
      </c>
      <c r="E122" s="77">
        <v>2682.9363073049508</v>
      </c>
      <c r="G122" s="78">
        <v>0.19061951279935221</v>
      </c>
      <c r="H122" s="78">
        <v>0.24331683484486688</v>
      </c>
      <c r="I122" s="78">
        <v>0.24389935902265175</v>
      </c>
      <c r="K122" s="60">
        <f t="shared" si="12"/>
        <v>0.31769918799892038</v>
      </c>
      <c r="L122" s="60">
        <f t="shared" si="12"/>
        <v>0.40552805807477815</v>
      </c>
      <c r="M122" s="60">
        <f t="shared" si="12"/>
        <v>0.40649893170441959</v>
      </c>
    </row>
    <row r="123" spans="1:13">
      <c r="A123" s="79" t="s">
        <v>130</v>
      </c>
      <c r="B123" s="79" t="s">
        <v>301</v>
      </c>
      <c r="C123" s="77">
        <v>11312.056766409816</v>
      </c>
      <c r="D123" s="77">
        <v>14880.416640620142</v>
      </c>
      <c r="E123" s="77">
        <v>9378.5131300225294</v>
      </c>
      <c r="G123" s="78">
        <v>0.20175216808811974</v>
      </c>
      <c r="H123" s="78">
        <v>0.22157711505750755</v>
      </c>
      <c r="I123" s="78">
        <v>0.11139272779246182</v>
      </c>
      <c r="K123" s="60">
        <f t="shared" si="12"/>
        <v>0.33625361348019961</v>
      </c>
      <c r="L123" s="60">
        <f t="shared" si="12"/>
        <v>0.36929519176251258</v>
      </c>
      <c r="M123" s="60">
        <f t="shared" si="12"/>
        <v>0.18565454632076969</v>
      </c>
    </row>
    <row r="124" spans="1:13">
      <c r="A124" s="79" t="s">
        <v>39</v>
      </c>
      <c r="B124" s="79" t="s">
        <v>302</v>
      </c>
      <c r="C124" s="77">
        <v>7279.1036365371492</v>
      </c>
      <c r="D124" s="77">
        <v>5192.326354648867</v>
      </c>
      <c r="E124" s="77">
        <v>3116.4603947532987</v>
      </c>
      <c r="G124" s="78">
        <v>6.5493594818189046E-2</v>
      </c>
      <c r="H124" s="78">
        <v>4.1278485322707996E-2</v>
      </c>
      <c r="I124" s="78">
        <v>2.3720053015538273E-2</v>
      </c>
      <c r="K124" s="60">
        <f t="shared" si="12"/>
        <v>0.10915599136364841</v>
      </c>
      <c r="L124" s="60">
        <f t="shared" si="12"/>
        <v>6.8797475537846667E-2</v>
      </c>
      <c r="M124" s="60">
        <f t="shared" si="12"/>
        <v>3.953342169256379E-2</v>
      </c>
    </row>
    <row r="125" spans="1:13">
      <c r="A125" s="79" t="s">
        <v>175</v>
      </c>
      <c r="B125" s="79" t="s">
        <v>303</v>
      </c>
      <c r="C125" s="77" t="s">
        <v>525</v>
      </c>
      <c r="D125" s="77" t="s">
        <v>525</v>
      </c>
      <c r="E125" s="77" t="s">
        <v>525</v>
      </c>
      <c r="G125" s="78" t="s">
        <v>525</v>
      </c>
      <c r="H125" s="78" t="s">
        <v>525</v>
      </c>
      <c r="I125" s="78" t="s">
        <v>525</v>
      </c>
      <c r="K125" s="60" t="str">
        <f t="shared" si="12"/>
        <v/>
      </c>
      <c r="L125" s="60" t="str">
        <f t="shared" si="12"/>
        <v/>
      </c>
      <c r="M125" s="60" t="str">
        <f t="shared" si="12"/>
        <v/>
      </c>
    </row>
    <row r="126" spans="1:13">
      <c r="A126" s="79" t="s">
        <v>129</v>
      </c>
      <c r="B126" s="79" t="s">
        <v>304</v>
      </c>
      <c r="C126" s="77" t="s">
        <v>525</v>
      </c>
      <c r="D126" s="77">
        <v>5466.7202128914914</v>
      </c>
      <c r="E126" s="77">
        <v>4145.1081971614331</v>
      </c>
      <c r="G126" s="78" t="s">
        <v>525</v>
      </c>
      <c r="H126" s="78">
        <v>0.49460389149627726</v>
      </c>
      <c r="I126" s="78">
        <v>0.23793127145133877</v>
      </c>
      <c r="K126" s="60" t="str">
        <f t="shared" si="12"/>
        <v/>
      </c>
      <c r="L126" s="60">
        <f t="shared" si="12"/>
        <v>0.82433981916046217</v>
      </c>
      <c r="M126" s="60">
        <f t="shared" si="12"/>
        <v>0.39655211908556465</v>
      </c>
    </row>
    <row r="127" spans="1:13">
      <c r="A127" s="79" t="s">
        <v>2</v>
      </c>
      <c r="B127" s="79" t="s">
        <v>305</v>
      </c>
      <c r="C127" s="77" t="s">
        <v>525</v>
      </c>
      <c r="D127" s="77" t="s">
        <v>525</v>
      </c>
      <c r="E127" s="77" t="s">
        <v>525</v>
      </c>
      <c r="G127" s="78" t="s">
        <v>525</v>
      </c>
      <c r="H127" s="78" t="s">
        <v>525</v>
      </c>
      <c r="I127" s="78" t="s">
        <v>525</v>
      </c>
      <c r="K127" s="60" t="str">
        <f t="shared" si="12"/>
        <v/>
      </c>
      <c r="L127" s="60" t="str">
        <f t="shared" si="12"/>
        <v/>
      </c>
      <c r="M127" s="60" t="str">
        <f t="shared" si="12"/>
        <v/>
      </c>
    </row>
    <row r="128" spans="1:13">
      <c r="A128" s="79" t="s">
        <v>66</v>
      </c>
      <c r="B128" s="79" t="s">
        <v>306</v>
      </c>
      <c r="C128" s="77" t="s">
        <v>525</v>
      </c>
      <c r="D128" s="77">
        <v>5493.7002904718302</v>
      </c>
      <c r="E128" s="77">
        <v>3642.2078529538553</v>
      </c>
      <c r="G128" s="78" t="s">
        <v>525</v>
      </c>
      <c r="H128" s="78">
        <v>0.10915275671592281</v>
      </c>
      <c r="I128" s="78">
        <v>6.301708584353001E-2</v>
      </c>
      <c r="K128" s="60" t="str">
        <f t="shared" si="12"/>
        <v/>
      </c>
      <c r="L128" s="60">
        <f t="shared" si="12"/>
        <v>0.1819212611932047</v>
      </c>
      <c r="M128" s="60">
        <f t="shared" si="12"/>
        <v>0.10502847640588335</v>
      </c>
    </row>
    <row r="129" spans="1:13">
      <c r="A129" s="79" t="s">
        <v>94</v>
      </c>
      <c r="B129" s="79" t="s">
        <v>307</v>
      </c>
      <c r="C129" s="77">
        <v>11318.720140225618</v>
      </c>
      <c r="D129" s="77">
        <v>7264.5911965573996</v>
      </c>
      <c r="E129" s="77">
        <v>4290.5678200260809</v>
      </c>
      <c r="G129" s="78">
        <v>1.1785488545353258</v>
      </c>
      <c r="H129" s="78">
        <v>0.53987738722661827</v>
      </c>
      <c r="I129" s="78">
        <v>0.32065601039412678</v>
      </c>
      <c r="K129" s="60">
        <f t="shared" si="12"/>
        <v>1</v>
      </c>
      <c r="L129" s="60">
        <f t="shared" si="12"/>
        <v>0.89979564537769718</v>
      </c>
      <c r="M129" s="60">
        <f t="shared" si="12"/>
        <v>0.53442668399021132</v>
      </c>
    </row>
    <row r="130" spans="1:13">
      <c r="A130" s="79" t="s">
        <v>87</v>
      </c>
      <c r="B130" s="79" t="s">
        <v>308</v>
      </c>
      <c r="C130" s="77" t="s">
        <v>525</v>
      </c>
      <c r="D130" s="77" t="s">
        <v>525</v>
      </c>
      <c r="E130" s="77" t="s">
        <v>525</v>
      </c>
      <c r="G130" s="78" t="s">
        <v>525</v>
      </c>
      <c r="H130" s="78" t="s">
        <v>525</v>
      </c>
      <c r="I130" s="78" t="s">
        <v>525</v>
      </c>
      <c r="K130" s="60" t="str">
        <f t="shared" si="12"/>
        <v/>
      </c>
      <c r="L130" s="60" t="str">
        <f t="shared" si="12"/>
        <v/>
      </c>
      <c r="M130" s="60" t="str">
        <f t="shared" si="12"/>
        <v/>
      </c>
    </row>
    <row r="131" spans="1:13">
      <c r="A131" s="79" t="s">
        <v>100</v>
      </c>
      <c r="B131" s="79" t="s">
        <v>309</v>
      </c>
      <c r="C131" s="77">
        <v>2093.3998453991417</v>
      </c>
      <c r="D131" s="77">
        <v>2864.9646208809631</v>
      </c>
      <c r="E131" s="77">
        <v>2376.6874745821324</v>
      </c>
      <c r="G131" s="78">
        <v>7.791149341212425E-2</v>
      </c>
      <c r="H131" s="78">
        <v>0.10538649348022558</v>
      </c>
      <c r="I131" s="78">
        <v>7.5028231059698983E-2</v>
      </c>
      <c r="K131" s="60">
        <f t="shared" si="12"/>
        <v>0.1298524890202071</v>
      </c>
      <c r="L131" s="60">
        <f t="shared" si="12"/>
        <v>0.17564415580037598</v>
      </c>
      <c r="M131" s="60">
        <f t="shared" si="12"/>
        <v>0.12504705176616498</v>
      </c>
    </row>
    <row r="132" spans="1:13">
      <c r="A132" s="79" t="s">
        <v>142</v>
      </c>
      <c r="B132" s="79" t="s">
        <v>310</v>
      </c>
      <c r="C132" s="77">
        <v>1991.4463428393158</v>
      </c>
      <c r="D132" s="77">
        <v>1815.7375623671403</v>
      </c>
      <c r="E132" s="77">
        <v>1129.9694405544681</v>
      </c>
      <c r="G132" s="78">
        <v>0.56727761370391394</v>
      </c>
      <c r="H132" s="78">
        <v>0.41316325948568833</v>
      </c>
      <c r="I132" s="78">
        <v>0.20633521760829607</v>
      </c>
      <c r="K132" s="60">
        <f t="shared" si="12"/>
        <v>0.94546268950652324</v>
      </c>
      <c r="L132" s="60">
        <f t="shared" si="12"/>
        <v>0.68860543247614725</v>
      </c>
      <c r="M132" s="60">
        <f t="shared" si="12"/>
        <v>0.34389202934716012</v>
      </c>
    </row>
    <row r="133" spans="1:13">
      <c r="A133" s="79" t="s">
        <v>150</v>
      </c>
      <c r="B133" s="79" t="s">
        <v>311</v>
      </c>
      <c r="C133" s="77" t="s">
        <v>525</v>
      </c>
      <c r="D133" s="77" t="s">
        <v>525</v>
      </c>
      <c r="E133" s="77" t="s">
        <v>525</v>
      </c>
      <c r="G133" s="78" t="s">
        <v>525</v>
      </c>
      <c r="H133" s="78" t="s">
        <v>525</v>
      </c>
      <c r="I133" s="78" t="s">
        <v>525</v>
      </c>
      <c r="K133" s="60" t="str">
        <f t="shared" si="12"/>
        <v/>
      </c>
      <c r="L133" s="60" t="str">
        <f t="shared" si="12"/>
        <v/>
      </c>
      <c r="M133" s="60" t="str">
        <f t="shared" si="12"/>
        <v/>
      </c>
    </row>
    <row r="134" spans="1:13">
      <c r="A134" s="79" t="s">
        <v>141</v>
      </c>
      <c r="B134" s="79" t="s">
        <v>312</v>
      </c>
      <c r="C134" s="77">
        <v>6093.3317810327189</v>
      </c>
      <c r="D134" s="77">
        <v>4343.1715109164834</v>
      </c>
      <c r="E134" s="77">
        <v>4960.040544432175</v>
      </c>
      <c r="G134" s="78">
        <v>0.11585241719997053</v>
      </c>
      <c r="H134" s="78">
        <v>8.0789367787095515E-2</v>
      </c>
      <c r="I134" s="78">
        <v>8.3282539499745331E-2</v>
      </c>
      <c r="K134" s="60">
        <f t="shared" si="12"/>
        <v>0.19308736199995089</v>
      </c>
      <c r="L134" s="60">
        <f t="shared" si="12"/>
        <v>0.13464894631182586</v>
      </c>
      <c r="M134" s="60">
        <f t="shared" si="12"/>
        <v>0.13880423249957555</v>
      </c>
    </row>
    <row r="135" spans="1:13">
      <c r="A135" s="79" t="s">
        <v>1</v>
      </c>
      <c r="B135" s="79" t="s">
        <v>313</v>
      </c>
      <c r="C135" s="77" t="e">
        <v>#N/A</v>
      </c>
      <c r="D135" s="77" t="e">
        <v>#N/A</v>
      </c>
      <c r="E135" s="77" t="e">
        <v>#N/A</v>
      </c>
      <c r="G135" s="78" t="e">
        <v>#N/A</v>
      </c>
      <c r="H135" s="78" t="e">
        <v>#N/A</v>
      </c>
      <c r="I135" s="78" t="e">
        <v>#N/A</v>
      </c>
      <c r="K135" s="60" t="str">
        <f t="shared" si="12"/>
        <v/>
      </c>
      <c r="L135" s="60" t="str">
        <f t="shared" si="12"/>
        <v/>
      </c>
      <c r="M135" s="60" t="str">
        <f t="shared" si="12"/>
        <v/>
      </c>
    </row>
    <row r="136" spans="1:13">
      <c r="A136" s="79" t="s">
        <v>183</v>
      </c>
      <c r="B136" s="79" t="s">
        <v>314</v>
      </c>
      <c r="C136" s="77">
        <v>2366.4138049393791</v>
      </c>
      <c r="D136" s="77">
        <v>2731.5120504346578</v>
      </c>
      <c r="E136" s="77">
        <v>2462.990952088745</v>
      </c>
      <c r="G136" s="78">
        <v>0.52083976832374257</v>
      </c>
      <c r="H136" s="78">
        <v>0.54500266692280808</v>
      </c>
      <c r="I136" s="78">
        <v>0.44104558640837621</v>
      </c>
      <c r="K136" s="60">
        <f t="shared" si="12"/>
        <v>0.86806628053957102</v>
      </c>
      <c r="L136" s="60">
        <f t="shared" si="12"/>
        <v>0.9083377782046802</v>
      </c>
      <c r="M136" s="60">
        <f t="shared" si="12"/>
        <v>0.73507597734729369</v>
      </c>
    </row>
    <row r="137" spans="1:13">
      <c r="A137" s="79" t="s">
        <v>28</v>
      </c>
      <c r="B137" s="79" t="s">
        <v>315</v>
      </c>
      <c r="C137" s="77">
        <v>9291.4998344851701</v>
      </c>
      <c r="D137" s="77">
        <v>9399.0205643589015</v>
      </c>
      <c r="E137" s="77">
        <v>6132.5156662914687</v>
      </c>
      <c r="G137" s="78">
        <v>1.9297955952099481E-2</v>
      </c>
      <c r="H137" s="78">
        <v>1.6899376716879983E-2</v>
      </c>
      <c r="I137" s="78">
        <v>1.0331985174577845E-2</v>
      </c>
      <c r="K137" s="60">
        <f t="shared" si="12"/>
        <v>3.2163259920165804E-2</v>
      </c>
      <c r="L137" s="60">
        <f t="shared" si="12"/>
        <v>2.816562786146664E-2</v>
      </c>
      <c r="M137" s="60">
        <f t="shared" si="12"/>
        <v>1.7219975290963075E-2</v>
      </c>
    </row>
    <row r="138" spans="1:13">
      <c r="A138" s="79" t="s">
        <v>19</v>
      </c>
      <c r="B138" s="79" t="s">
        <v>316</v>
      </c>
      <c r="C138" s="77">
        <v>51737.289208954448</v>
      </c>
      <c r="D138" s="77">
        <v>65523.183417265478</v>
      </c>
      <c r="E138" s="77">
        <v>49304.198780615145</v>
      </c>
      <c r="G138" s="78">
        <v>0.15346060124200389</v>
      </c>
      <c r="H138" s="78">
        <v>0.1748794015471351</v>
      </c>
      <c r="I138" s="78">
        <v>0.11905990212304245</v>
      </c>
      <c r="K138" s="60">
        <f t="shared" si="12"/>
        <v>0.25576766873667317</v>
      </c>
      <c r="L138" s="60">
        <f t="shared" si="12"/>
        <v>0.29146566924522521</v>
      </c>
      <c r="M138" s="60">
        <f t="shared" si="12"/>
        <v>0.19843317020507076</v>
      </c>
    </row>
    <row r="139" spans="1:13">
      <c r="A139" s="79" t="s">
        <v>93</v>
      </c>
      <c r="B139" s="79" t="s">
        <v>317</v>
      </c>
      <c r="C139" s="77">
        <v>6013.6393076951772</v>
      </c>
      <c r="D139" s="77">
        <v>4962.5810127502264</v>
      </c>
      <c r="E139" s="77">
        <v>4708.5933089318887</v>
      </c>
      <c r="G139" s="78">
        <v>0.48002152839735607</v>
      </c>
      <c r="H139" s="78">
        <v>0.29999704265908905</v>
      </c>
      <c r="I139" s="78">
        <v>0.24032479555871861</v>
      </c>
      <c r="K139" s="60">
        <f t="shared" si="12"/>
        <v>0.80003588066226017</v>
      </c>
      <c r="L139" s="60">
        <f t="shared" si="12"/>
        <v>0.49999507109848179</v>
      </c>
      <c r="M139" s="60">
        <f t="shared" si="12"/>
        <v>0.40054132593119768</v>
      </c>
    </row>
    <row r="140" spans="1:13">
      <c r="A140" s="79" t="s">
        <v>185</v>
      </c>
      <c r="B140" s="79" t="s">
        <v>318</v>
      </c>
      <c r="C140" s="77">
        <v>2038.9739959601425</v>
      </c>
      <c r="D140" s="77">
        <v>2137.3388721929182</v>
      </c>
      <c r="E140" s="77">
        <v>1430.4385279905362</v>
      </c>
      <c r="G140" s="78">
        <v>0.46082693960044724</v>
      </c>
      <c r="H140" s="78">
        <v>0.47825099325449327</v>
      </c>
      <c r="I140" s="78">
        <v>0.3156511252542375</v>
      </c>
      <c r="K140" s="60">
        <f t="shared" si="12"/>
        <v>0.76804489933407871</v>
      </c>
      <c r="L140" s="60">
        <f t="shared" si="12"/>
        <v>0.79708498875748879</v>
      </c>
      <c r="M140" s="60">
        <f t="shared" si="12"/>
        <v>0.52608520875706255</v>
      </c>
    </row>
    <row r="141" spans="1:13">
      <c r="A141" s="79" t="s">
        <v>118</v>
      </c>
      <c r="B141" s="79" t="s">
        <v>319</v>
      </c>
      <c r="C141" s="77">
        <v>5854.9514485897416</v>
      </c>
      <c r="D141" s="77">
        <v>4184.142022316064</v>
      </c>
      <c r="E141" s="77">
        <v>2101.4490052816827</v>
      </c>
      <c r="G141" s="78">
        <v>0.45505863214747405</v>
      </c>
      <c r="H141" s="78">
        <v>0.40519692507180816</v>
      </c>
      <c r="I141" s="78">
        <v>0.1913533789444202</v>
      </c>
      <c r="K141" s="60">
        <f t="shared" si="12"/>
        <v>0.75843105357912344</v>
      </c>
      <c r="L141" s="60">
        <f t="shared" si="12"/>
        <v>0.67532820845301367</v>
      </c>
      <c r="M141" s="60">
        <f t="shared" si="12"/>
        <v>0.31892229824070034</v>
      </c>
    </row>
    <row r="142" spans="1:13">
      <c r="A142" s="79" t="s">
        <v>38</v>
      </c>
      <c r="B142" s="79" t="s">
        <v>320</v>
      </c>
      <c r="C142" s="77">
        <v>18425.09199469156</v>
      </c>
      <c r="D142" s="77">
        <v>26612.310592646132</v>
      </c>
      <c r="E142" s="77">
        <v>10456.020004136619</v>
      </c>
      <c r="G142" s="78">
        <v>2.406608864500602E-2</v>
      </c>
      <c r="H142" s="78">
        <v>3.1967579111937691E-2</v>
      </c>
      <c r="I142" s="78">
        <v>1.2132806148368858E-2</v>
      </c>
      <c r="K142" s="60">
        <f t="shared" si="12"/>
        <v>4.0110147741676705E-2</v>
      </c>
      <c r="L142" s="60">
        <f t="shared" si="12"/>
        <v>5.3279298519896157E-2</v>
      </c>
      <c r="M142" s="60">
        <f t="shared" si="12"/>
        <v>2.0221343580614764E-2</v>
      </c>
    </row>
    <row r="143" spans="1:13">
      <c r="A143" s="79" t="s">
        <v>52</v>
      </c>
      <c r="B143" s="79" t="s">
        <v>321</v>
      </c>
      <c r="C143" s="77">
        <v>6037.9195513633567</v>
      </c>
      <c r="D143" s="77">
        <v>5930.9439310462276</v>
      </c>
      <c r="E143" s="77">
        <v>5503.4671344207482</v>
      </c>
      <c r="G143" s="78">
        <v>4.0889653723482244E-2</v>
      </c>
      <c r="H143" s="78">
        <v>3.9976962359877931E-2</v>
      </c>
      <c r="I143" s="78">
        <v>3.729635228928195E-2</v>
      </c>
      <c r="K143" s="60">
        <f t="shared" si="12"/>
        <v>6.8149422872470417E-2</v>
      </c>
      <c r="L143" s="60">
        <f t="shared" si="12"/>
        <v>6.6628270599796549E-2</v>
      </c>
      <c r="M143" s="60">
        <f t="shared" si="12"/>
        <v>6.2160587148803251E-2</v>
      </c>
    </row>
    <row r="144" spans="1:13">
      <c r="A144" s="79" t="s">
        <v>143</v>
      </c>
      <c r="B144" s="79" t="s">
        <v>322</v>
      </c>
      <c r="C144" s="77">
        <v>3760.1018656464416</v>
      </c>
      <c r="D144" s="77">
        <v>3897.1305084163287</v>
      </c>
      <c r="E144" s="77">
        <v>2888.0303470451759</v>
      </c>
      <c r="G144" s="78">
        <v>0.35872535629945312</v>
      </c>
      <c r="H144" s="78">
        <v>0.36260018946299211</v>
      </c>
      <c r="I144" s="78">
        <v>0.23675349754871952</v>
      </c>
      <c r="K144" s="60">
        <f t="shared" si="12"/>
        <v>0.59787559383242195</v>
      </c>
      <c r="L144" s="60">
        <f t="shared" si="12"/>
        <v>0.60433364910498688</v>
      </c>
      <c r="M144" s="60">
        <f t="shared" si="12"/>
        <v>0.39458916258119919</v>
      </c>
    </row>
    <row r="145" spans="1:13">
      <c r="A145" s="79" t="s">
        <v>30</v>
      </c>
      <c r="B145" s="79" t="s">
        <v>323</v>
      </c>
      <c r="C145" s="77" t="s">
        <v>525</v>
      </c>
      <c r="D145" s="77" t="s">
        <v>525</v>
      </c>
      <c r="E145" s="77" t="s">
        <v>525</v>
      </c>
      <c r="G145" s="78" t="s">
        <v>525</v>
      </c>
      <c r="H145" s="78" t="s">
        <v>525</v>
      </c>
      <c r="I145" s="78" t="s">
        <v>525</v>
      </c>
      <c r="K145" s="60" t="str">
        <f t="shared" si="12"/>
        <v/>
      </c>
      <c r="L145" s="60" t="str">
        <f t="shared" si="12"/>
        <v/>
      </c>
      <c r="M145" s="60" t="str">
        <f t="shared" si="12"/>
        <v/>
      </c>
    </row>
    <row r="146" spans="1:13">
      <c r="A146" s="79" t="s">
        <v>49</v>
      </c>
      <c r="B146" s="79" t="s">
        <v>324</v>
      </c>
      <c r="C146" s="77">
        <v>9298.5610146916242</v>
      </c>
      <c r="D146" s="77">
        <v>7649.6244592776384</v>
      </c>
      <c r="E146" s="77">
        <v>7943.8056319581519</v>
      </c>
      <c r="G146" s="78">
        <v>0.17018212304825781</v>
      </c>
      <c r="H146" s="78">
        <v>0.11632024664438893</v>
      </c>
      <c r="I146" s="78">
        <v>0.10551318022155709</v>
      </c>
      <c r="K146" s="60">
        <f t="shared" si="12"/>
        <v>0.28363687174709634</v>
      </c>
      <c r="L146" s="60">
        <f t="shared" si="12"/>
        <v>0.19386707774064824</v>
      </c>
      <c r="M146" s="60">
        <f t="shared" si="12"/>
        <v>0.17585530036926184</v>
      </c>
    </row>
    <row r="147" spans="1:13">
      <c r="A147" s="79" t="s">
        <v>190</v>
      </c>
      <c r="B147" s="79" t="s">
        <v>325</v>
      </c>
      <c r="C147" s="77">
        <v>5995.8854554112277</v>
      </c>
      <c r="D147" s="77">
        <v>8459.9354808178086</v>
      </c>
      <c r="E147" s="77">
        <v>5950.4617454331055</v>
      </c>
      <c r="G147" s="78">
        <v>0.43050339872188509</v>
      </c>
      <c r="H147" s="78">
        <v>0.69785217151770207</v>
      </c>
      <c r="I147" s="78">
        <v>0.66200447522093986</v>
      </c>
      <c r="K147" s="60">
        <f t="shared" si="12"/>
        <v>0.71750566453647513</v>
      </c>
      <c r="L147" s="60">
        <f t="shared" si="12"/>
        <v>1</v>
      </c>
      <c r="M147" s="60">
        <f t="shared" si="12"/>
        <v>1</v>
      </c>
    </row>
    <row r="148" spans="1:13">
      <c r="A148" s="79" t="s">
        <v>86</v>
      </c>
      <c r="B148" s="79" t="s">
        <v>326</v>
      </c>
      <c r="C148" s="77" t="s">
        <v>525</v>
      </c>
      <c r="D148" s="77" t="s">
        <v>525</v>
      </c>
      <c r="E148" s="77" t="s">
        <v>525</v>
      </c>
      <c r="G148" s="78" t="s">
        <v>525</v>
      </c>
      <c r="H148" s="78" t="s">
        <v>525</v>
      </c>
      <c r="I148" s="78" t="s">
        <v>525</v>
      </c>
      <c r="K148" s="60" t="str">
        <f t="shared" si="12"/>
        <v/>
      </c>
      <c r="L148" s="60" t="str">
        <f t="shared" si="12"/>
        <v/>
      </c>
      <c r="M148" s="60" t="str">
        <f t="shared" si="12"/>
        <v/>
      </c>
    </row>
    <row r="149" spans="1:13">
      <c r="A149" s="79" t="s">
        <v>37</v>
      </c>
      <c r="B149" s="79" t="s">
        <v>327</v>
      </c>
      <c r="C149" s="77">
        <v>3493.49674222671</v>
      </c>
      <c r="D149" s="77">
        <v>4522.7941542005437</v>
      </c>
      <c r="E149" s="77">
        <v>4770.4102767833629</v>
      </c>
      <c r="G149" s="78">
        <v>9.1503599294266033E-2</v>
      </c>
      <c r="H149" s="78">
        <v>0.10913388903428076</v>
      </c>
      <c r="I149" s="78">
        <v>0.10621610785714068</v>
      </c>
      <c r="K149" s="60">
        <f t="shared" si="12"/>
        <v>0.15250599882377672</v>
      </c>
      <c r="L149" s="60">
        <f t="shared" si="12"/>
        <v>0.18188981505713461</v>
      </c>
      <c r="M149" s="60">
        <f t="shared" si="12"/>
        <v>0.17702684642856781</v>
      </c>
    </row>
    <row r="150" spans="1:13">
      <c r="A150" s="79" t="s">
        <v>73</v>
      </c>
      <c r="B150" s="79" t="s">
        <v>328</v>
      </c>
      <c r="C150" s="77">
        <v>2710.8090212129136</v>
      </c>
      <c r="D150" s="77">
        <v>3733.104805313726</v>
      </c>
      <c r="E150" s="77">
        <v>3329.1098382715936</v>
      </c>
      <c r="G150" s="78">
        <v>0.15839543049653132</v>
      </c>
      <c r="H150" s="78">
        <v>0.20779216411624535</v>
      </c>
      <c r="I150" s="78">
        <v>0.1690068204899452</v>
      </c>
      <c r="K150" s="60">
        <f t="shared" si="12"/>
        <v>0.26399238416088555</v>
      </c>
      <c r="L150" s="60">
        <f t="shared" si="12"/>
        <v>0.34632027352707562</v>
      </c>
      <c r="M150" s="60">
        <f t="shared" si="12"/>
        <v>0.28167803414990866</v>
      </c>
    </row>
    <row r="151" spans="1:13">
      <c r="A151" s="79" t="s">
        <v>81</v>
      </c>
      <c r="B151" s="79" t="s">
        <v>329</v>
      </c>
      <c r="C151" s="77" t="s">
        <v>525</v>
      </c>
      <c r="D151" s="77">
        <v>10428.548102566076</v>
      </c>
      <c r="E151" s="77">
        <v>7768.6473555975599</v>
      </c>
      <c r="G151" s="78" t="s">
        <v>525</v>
      </c>
      <c r="H151" s="78">
        <v>9.200316876188272E-2</v>
      </c>
      <c r="I151" s="78">
        <v>5.7147368176238549E-2</v>
      </c>
      <c r="K151" s="60" t="str">
        <f t="shared" si="12"/>
        <v/>
      </c>
      <c r="L151" s="60">
        <f t="shared" si="12"/>
        <v>0.15333861460313788</v>
      </c>
      <c r="M151" s="60">
        <f t="shared" si="12"/>
        <v>9.5245613627064254E-2</v>
      </c>
    </row>
    <row r="152" spans="1:13">
      <c r="A152" s="79" t="s">
        <v>91</v>
      </c>
      <c r="B152" s="79" t="s">
        <v>330</v>
      </c>
      <c r="C152" s="77">
        <v>5863.1906091046785</v>
      </c>
      <c r="D152" s="77">
        <v>6647.5174661967467</v>
      </c>
      <c r="E152" s="77">
        <v>4167.4079793962583</v>
      </c>
      <c r="G152" s="78">
        <v>2.3140663683324649E-2</v>
      </c>
      <c r="H152" s="78">
        <v>2.2630410706362195E-2</v>
      </c>
      <c r="I152" s="78">
        <v>1.3626456540061397E-2</v>
      </c>
      <c r="K152" s="60">
        <f t="shared" si="12"/>
        <v>3.8567772805541085E-2</v>
      </c>
      <c r="L152" s="60">
        <f t="shared" si="12"/>
        <v>3.7717351177270327E-2</v>
      </c>
      <c r="M152" s="60">
        <f t="shared" si="12"/>
        <v>2.2710760900102329E-2</v>
      </c>
    </row>
    <row r="153" spans="1:13">
      <c r="A153" s="79" t="s">
        <v>5</v>
      </c>
      <c r="B153" s="79" t="s">
        <v>331</v>
      </c>
      <c r="C153" s="77" t="s">
        <v>525</v>
      </c>
      <c r="D153" s="77" t="s">
        <v>525</v>
      </c>
      <c r="E153" s="77" t="s">
        <v>525</v>
      </c>
      <c r="G153" s="78" t="s">
        <v>525</v>
      </c>
      <c r="H153" s="78" t="s">
        <v>525</v>
      </c>
      <c r="I153" s="78" t="s">
        <v>525</v>
      </c>
      <c r="K153" s="60" t="str">
        <f t="shared" si="12"/>
        <v/>
      </c>
      <c r="L153" s="60" t="str">
        <f t="shared" si="12"/>
        <v/>
      </c>
      <c r="M153" s="60" t="str">
        <f t="shared" si="12"/>
        <v/>
      </c>
    </row>
    <row r="154" spans="1:13">
      <c r="A154" s="79" t="s">
        <v>103</v>
      </c>
      <c r="B154" s="79" t="s">
        <v>332</v>
      </c>
      <c r="C154" s="77" t="e">
        <v>#N/A</v>
      </c>
      <c r="D154" s="77" t="e">
        <v>#N/A</v>
      </c>
      <c r="E154" s="77" t="e">
        <v>#N/A</v>
      </c>
      <c r="G154" s="78" t="e">
        <v>#N/A</v>
      </c>
      <c r="H154" s="78" t="e">
        <v>#N/A</v>
      </c>
      <c r="I154" s="78" t="e">
        <v>#N/A</v>
      </c>
      <c r="K154" s="60" t="str">
        <f t="shared" si="12"/>
        <v/>
      </c>
      <c r="L154" s="60" t="str">
        <f t="shared" si="12"/>
        <v/>
      </c>
      <c r="M154" s="60" t="str">
        <f t="shared" si="12"/>
        <v/>
      </c>
    </row>
    <row r="155" spans="1:13">
      <c r="A155" s="79" t="s">
        <v>48</v>
      </c>
      <c r="B155" s="79" t="s">
        <v>333</v>
      </c>
      <c r="C155" s="77" t="s">
        <v>525</v>
      </c>
      <c r="D155" s="77">
        <v>14371.567399148926</v>
      </c>
      <c r="E155" s="77">
        <v>7079.2415237877121</v>
      </c>
      <c r="G155" s="78" t="s">
        <v>525</v>
      </c>
      <c r="H155" s="78">
        <v>0.27528080954339623</v>
      </c>
      <c r="I155" s="78">
        <v>9.6755840939746152E-2</v>
      </c>
      <c r="K155" s="60" t="str">
        <f t="shared" si="12"/>
        <v/>
      </c>
      <c r="L155" s="60">
        <f t="shared" si="12"/>
        <v>0.45880134923899374</v>
      </c>
      <c r="M155" s="60">
        <f t="shared" si="12"/>
        <v>0.16125973489957693</v>
      </c>
    </row>
    <row r="156" spans="1:13">
      <c r="A156" s="79" t="s">
        <v>182</v>
      </c>
      <c r="B156" s="79" t="s">
        <v>334</v>
      </c>
      <c r="C156" s="77">
        <v>1946.3148953430805</v>
      </c>
      <c r="D156" s="77">
        <v>2105.5456637806865</v>
      </c>
      <c r="E156" s="77">
        <v>2946.7606917143153</v>
      </c>
      <c r="G156" s="78">
        <v>0.39536754622692716</v>
      </c>
      <c r="H156" s="78">
        <v>0.4656642627914469</v>
      </c>
      <c r="I156" s="78">
        <v>0.55326789331570891</v>
      </c>
      <c r="K156" s="60">
        <f t="shared" si="12"/>
        <v>0.65894591037821193</v>
      </c>
      <c r="L156" s="60">
        <f t="shared" si="12"/>
        <v>0.77610710465241151</v>
      </c>
      <c r="M156" s="60">
        <f t="shared" si="12"/>
        <v>0.92211315552618156</v>
      </c>
    </row>
    <row r="157" spans="1:13">
      <c r="A157" s="79" t="s">
        <v>151</v>
      </c>
      <c r="B157" s="79" t="s">
        <v>335</v>
      </c>
      <c r="C157" s="77">
        <v>12793.2440669107</v>
      </c>
      <c r="D157" s="77">
        <v>15289.345732994238</v>
      </c>
      <c r="E157" s="77">
        <v>4394.5405626487018</v>
      </c>
      <c r="G157" s="78">
        <v>0.11461617047811692</v>
      </c>
      <c r="H157" s="78">
        <v>0.1170629818856893</v>
      </c>
      <c r="I157" s="78">
        <v>3.324322276740746E-2</v>
      </c>
      <c r="K157" s="60">
        <f t="shared" si="12"/>
        <v>0.19102695079686155</v>
      </c>
      <c r="L157" s="60">
        <f t="shared" si="12"/>
        <v>0.19510496980948216</v>
      </c>
      <c r="M157" s="60">
        <f t="shared" si="12"/>
        <v>5.5405371279012433E-2</v>
      </c>
    </row>
    <row r="158" spans="1:13">
      <c r="A158" s="79" t="s">
        <v>161</v>
      </c>
      <c r="B158" s="79" t="s">
        <v>336</v>
      </c>
      <c r="C158" s="77">
        <v>7.5969304611455568</v>
      </c>
      <c r="D158" s="77">
        <v>13.600228293904706</v>
      </c>
      <c r="E158" s="77">
        <v>24.69239928276264</v>
      </c>
      <c r="G158" s="78">
        <v>9.6353170790207881E-5</v>
      </c>
      <c r="H158" s="78">
        <v>1.6453242760499558E-4</v>
      </c>
      <c r="I158" s="78">
        <v>2.6804127354808198E-4</v>
      </c>
      <c r="K158" s="60">
        <f t="shared" si="12"/>
        <v>1.605886179836798E-4</v>
      </c>
      <c r="L158" s="60">
        <f t="shared" si="12"/>
        <v>2.7422071267499263E-4</v>
      </c>
      <c r="M158" s="60">
        <f t="shared" si="12"/>
        <v>4.4673545591346998E-4</v>
      </c>
    </row>
    <row r="159" spans="1:13">
      <c r="A159" s="79" t="s">
        <v>120</v>
      </c>
      <c r="B159" s="79" t="s">
        <v>337</v>
      </c>
      <c r="C159" s="77">
        <v>3520.2249987057162</v>
      </c>
      <c r="D159" s="77">
        <v>3298.8737056670161</v>
      </c>
      <c r="E159" s="77">
        <v>3065.2405277373737</v>
      </c>
      <c r="G159" s="78">
        <v>7.1802105614351561E-2</v>
      </c>
      <c r="H159" s="78">
        <v>6.0781204492620811E-2</v>
      </c>
      <c r="I159" s="78">
        <v>5.1471083689257457E-2</v>
      </c>
      <c r="K159" s="60">
        <f t="shared" si="12"/>
        <v>0.11967017602391927</v>
      </c>
      <c r="L159" s="60">
        <f t="shared" si="12"/>
        <v>0.10130200748770135</v>
      </c>
      <c r="M159" s="60">
        <f t="shared" si="12"/>
        <v>8.5785139482095762E-2</v>
      </c>
    </row>
    <row r="160" spans="1:13">
      <c r="A160" s="79" t="s">
        <v>174</v>
      </c>
      <c r="B160" s="79" t="s">
        <v>338</v>
      </c>
      <c r="C160" s="77" t="s">
        <v>525</v>
      </c>
      <c r="D160" s="77" t="s">
        <v>525</v>
      </c>
      <c r="E160" s="77" t="s">
        <v>525</v>
      </c>
      <c r="G160" s="78" t="s">
        <v>525</v>
      </c>
      <c r="H160" s="78" t="s">
        <v>525</v>
      </c>
      <c r="I160" s="78" t="s">
        <v>525</v>
      </c>
      <c r="K160" s="60" t="str">
        <f t="shared" si="12"/>
        <v/>
      </c>
      <c r="L160" s="60" t="str">
        <f t="shared" si="12"/>
        <v/>
      </c>
      <c r="M160" s="60" t="str">
        <f t="shared" si="12"/>
        <v/>
      </c>
    </row>
    <row r="161" spans="1:13">
      <c r="A161" s="79" t="s">
        <v>7</v>
      </c>
      <c r="B161" s="79" t="s">
        <v>339</v>
      </c>
      <c r="C161" s="77" t="s">
        <v>525</v>
      </c>
      <c r="D161" s="77" t="s">
        <v>525</v>
      </c>
      <c r="E161" s="77" t="s">
        <v>525</v>
      </c>
      <c r="G161" s="78" t="s">
        <v>525</v>
      </c>
      <c r="H161" s="78" t="s">
        <v>525</v>
      </c>
      <c r="I161" s="78" t="s">
        <v>525</v>
      </c>
      <c r="K161" s="60" t="str">
        <f t="shared" si="12"/>
        <v/>
      </c>
      <c r="L161" s="60" t="str">
        <f t="shared" si="12"/>
        <v/>
      </c>
      <c r="M161" s="60" t="str">
        <f t="shared" si="12"/>
        <v/>
      </c>
    </row>
    <row r="162" spans="1:13">
      <c r="A162" s="79" t="s">
        <v>80</v>
      </c>
      <c r="B162" s="79" t="s">
        <v>340</v>
      </c>
      <c r="C162" s="77" t="s">
        <v>525</v>
      </c>
      <c r="D162" s="77" t="s">
        <v>525</v>
      </c>
      <c r="E162" s="77" t="s">
        <v>525</v>
      </c>
      <c r="G162" s="78" t="s">
        <v>525</v>
      </c>
      <c r="H162" s="78" t="s">
        <v>525</v>
      </c>
      <c r="I162" s="78" t="s">
        <v>525</v>
      </c>
      <c r="K162" s="60" t="str">
        <f t="shared" si="12"/>
        <v/>
      </c>
      <c r="L162" s="60" t="str">
        <f t="shared" si="12"/>
        <v/>
      </c>
      <c r="M162" s="60" t="str">
        <f t="shared" si="12"/>
        <v/>
      </c>
    </row>
    <row r="163" spans="1:13">
      <c r="A163" s="79" t="s">
        <v>27</v>
      </c>
      <c r="B163" s="79" t="s">
        <v>341</v>
      </c>
      <c r="C163" s="77">
        <v>14218.495500257664</v>
      </c>
      <c r="D163" s="77">
        <v>12609.370794105746</v>
      </c>
      <c r="E163" s="77">
        <v>10392.069688201816</v>
      </c>
      <c r="G163" s="78">
        <v>8.9576588793869094E-2</v>
      </c>
      <c r="H163" s="78">
        <v>8.03727957948248E-2</v>
      </c>
      <c r="I163" s="78">
        <v>7.1127231773751784E-2</v>
      </c>
      <c r="K163" s="60">
        <f t="shared" si="12"/>
        <v>0.14929431465644849</v>
      </c>
      <c r="L163" s="60">
        <f t="shared" si="12"/>
        <v>0.13395465965804135</v>
      </c>
      <c r="M163" s="60">
        <f t="shared" si="12"/>
        <v>0.11854538628958632</v>
      </c>
    </row>
    <row r="164" spans="1:13">
      <c r="A164" s="79" t="s">
        <v>128</v>
      </c>
      <c r="B164" s="79" t="s">
        <v>342</v>
      </c>
      <c r="C164" s="77">
        <v>2513.8100175513</v>
      </c>
      <c r="D164" s="77">
        <v>2795.5743150608923</v>
      </c>
      <c r="E164" s="77">
        <v>1614.6304953630488</v>
      </c>
      <c r="G164" s="78">
        <v>0.20790133116799556</v>
      </c>
      <c r="H164" s="78">
        <v>0.22361694357173273</v>
      </c>
      <c r="I164" s="78">
        <v>0.11825235284367293</v>
      </c>
      <c r="K164" s="60">
        <f t="shared" si="12"/>
        <v>0.34650221861332592</v>
      </c>
      <c r="L164" s="60">
        <f t="shared" si="12"/>
        <v>0.3726949059528879</v>
      </c>
      <c r="M164" s="60">
        <f t="shared" si="12"/>
        <v>0.19708725473945488</v>
      </c>
    </row>
    <row r="165" spans="1:13">
      <c r="A165" s="79" t="s">
        <v>106</v>
      </c>
      <c r="B165" s="79" t="s">
        <v>343</v>
      </c>
      <c r="C165" s="77" t="s">
        <v>525</v>
      </c>
      <c r="D165" s="77" t="s">
        <v>525</v>
      </c>
      <c r="E165" s="77" t="s">
        <v>525</v>
      </c>
      <c r="G165" s="78" t="s">
        <v>525</v>
      </c>
      <c r="H165" s="78" t="s">
        <v>525</v>
      </c>
      <c r="I165" s="78" t="s">
        <v>525</v>
      </c>
      <c r="K165" s="60" t="str">
        <f t="shared" si="12"/>
        <v/>
      </c>
      <c r="L165" s="60" t="str">
        <f t="shared" si="12"/>
        <v/>
      </c>
      <c r="M165" s="60" t="str">
        <f t="shared" si="12"/>
        <v/>
      </c>
    </row>
    <row r="166" spans="1:13">
      <c r="A166" s="79" t="s">
        <v>102</v>
      </c>
      <c r="B166" s="79" t="s">
        <v>344</v>
      </c>
      <c r="C166" s="77">
        <v>2315.0960591366252</v>
      </c>
      <c r="D166" s="77">
        <v>2253.9840613547176</v>
      </c>
      <c r="E166" s="77">
        <v>1854.3613747635936</v>
      </c>
      <c r="G166" s="78">
        <v>1.5200161418975382E-2</v>
      </c>
      <c r="H166" s="78">
        <v>1.2384371187205451E-2</v>
      </c>
      <c r="I166" s="78">
        <v>1.1323143813293055E-2</v>
      </c>
      <c r="K166" s="60">
        <f t="shared" si="12"/>
        <v>2.5333602364958973E-2</v>
      </c>
      <c r="L166" s="60">
        <f t="shared" si="12"/>
        <v>2.0640618645342418E-2</v>
      </c>
      <c r="M166" s="60">
        <f t="shared" si="12"/>
        <v>1.8871906355488428E-2</v>
      </c>
    </row>
    <row r="167" spans="1:13">
      <c r="A167" s="79" t="s">
        <v>136</v>
      </c>
      <c r="B167" s="79" t="s">
        <v>345</v>
      </c>
      <c r="C167" s="77">
        <v>1401.1438590361656</v>
      </c>
      <c r="D167" s="77">
        <v>1314.9413409436138</v>
      </c>
      <c r="E167" s="77">
        <v>1362.7425426522941</v>
      </c>
      <c r="G167" s="78">
        <v>0.37371257481729214</v>
      </c>
      <c r="H167" s="78">
        <v>0.39528868460619387</v>
      </c>
      <c r="I167" s="78">
        <v>0.33854634010907209</v>
      </c>
      <c r="K167" s="60">
        <f t="shared" ref="K167:M205" si="13">IF(ISNUMBER(G167),MIN((G167-K$10)/K$11,1),"")</f>
        <v>0.62285429136215364</v>
      </c>
      <c r="L167" s="60">
        <f t="shared" si="13"/>
        <v>0.65881447434365648</v>
      </c>
      <c r="M167" s="60">
        <f t="shared" si="13"/>
        <v>0.56424390018178683</v>
      </c>
    </row>
    <row r="168" spans="1:13">
      <c r="A168" s="79" t="s">
        <v>0</v>
      </c>
      <c r="B168" s="79" t="s">
        <v>346</v>
      </c>
      <c r="C168" s="77">
        <v>3.1624479452294807</v>
      </c>
      <c r="D168" s="77">
        <v>2.3252536224689329</v>
      </c>
      <c r="E168" s="77">
        <v>1.9851518476326344</v>
      </c>
      <c r="G168" s="78">
        <v>1.447601056840659E-5</v>
      </c>
      <c r="H168" s="78">
        <v>8.8864387234386065E-6</v>
      </c>
      <c r="I168" s="78">
        <v>6.5957364285967006E-6</v>
      </c>
      <c r="K168" s="60">
        <f t="shared" si="13"/>
        <v>2.4126684280677649E-5</v>
      </c>
      <c r="L168" s="60">
        <f t="shared" si="13"/>
        <v>1.4810731205731011E-5</v>
      </c>
      <c r="M168" s="60">
        <f t="shared" si="13"/>
        <v>1.0992894047661168E-5</v>
      </c>
    </row>
    <row r="169" spans="1:13">
      <c r="A169" s="79" t="s">
        <v>99</v>
      </c>
      <c r="B169" s="79" t="s">
        <v>347</v>
      </c>
      <c r="C169" s="77" t="s">
        <v>525</v>
      </c>
      <c r="D169" s="77">
        <v>7720.7261218238764</v>
      </c>
      <c r="E169" s="77">
        <v>4877.0584528922063</v>
      </c>
      <c r="G169" s="78" t="s">
        <v>525</v>
      </c>
      <c r="H169" s="78">
        <v>6.8646170585211899E-2</v>
      </c>
      <c r="I169" s="78">
        <v>3.4255549010387354E-2</v>
      </c>
      <c r="K169" s="60" t="str">
        <f t="shared" si="13"/>
        <v/>
      </c>
      <c r="L169" s="60">
        <f t="shared" si="13"/>
        <v>0.11441028430868651</v>
      </c>
      <c r="M169" s="60">
        <f t="shared" si="13"/>
        <v>5.7092581683978925E-2</v>
      </c>
    </row>
    <row r="170" spans="1:13">
      <c r="A170" s="79" t="s">
        <v>117</v>
      </c>
      <c r="B170" s="79" t="s">
        <v>348</v>
      </c>
      <c r="C170" s="77" t="s">
        <v>525</v>
      </c>
      <c r="D170" s="77" t="s">
        <v>525</v>
      </c>
      <c r="E170" s="77" t="s">
        <v>525</v>
      </c>
      <c r="G170" s="78" t="s">
        <v>525</v>
      </c>
      <c r="H170" s="78" t="s">
        <v>525</v>
      </c>
      <c r="I170" s="78" t="s">
        <v>525</v>
      </c>
      <c r="K170" s="60" t="str">
        <f t="shared" si="13"/>
        <v/>
      </c>
      <c r="L170" s="60" t="str">
        <f t="shared" si="13"/>
        <v/>
      </c>
      <c r="M170" s="60" t="str">
        <f t="shared" si="13"/>
        <v/>
      </c>
    </row>
    <row r="171" spans="1:13">
      <c r="A171" s="79" t="s">
        <v>181</v>
      </c>
      <c r="B171" s="79" t="s">
        <v>349</v>
      </c>
      <c r="C171" s="77" t="s">
        <v>525</v>
      </c>
      <c r="D171" s="77" t="s">
        <v>525</v>
      </c>
      <c r="E171" s="77" t="s">
        <v>525</v>
      </c>
      <c r="G171" s="78" t="s">
        <v>525</v>
      </c>
      <c r="H171" s="78" t="s">
        <v>525</v>
      </c>
      <c r="I171" s="78" t="s">
        <v>525</v>
      </c>
      <c r="K171" s="60" t="str">
        <f t="shared" si="13"/>
        <v/>
      </c>
      <c r="L171" s="60" t="str">
        <f t="shared" si="13"/>
        <v/>
      </c>
      <c r="M171" s="60" t="str">
        <f t="shared" si="13"/>
        <v/>
      </c>
    </row>
    <row r="172" spans="1:13">
      <c r="A172" s="79" t="s">
        <v>140</v>
      </c>
      <c r="B172" s="79" t="s">
        <v>350</v>
      </c>
      <c r="C172" s="77" t="s">
        <v>525</v>
      </c>
      <c r="D172" s="77" t="s">
        <v>525</v>
      </c>
      <c r="E172" s="77" t="s">
        <v>525</v>
      </c>
      <c r="G172" s="78" t="s">
        <v>525</v>
      </c>
      <c r="H172" s="78" t="s">
        <v>525</v>
      </c>
      <c r="I172" s="78" t="s">
        <v>525</v>
      </c>
      <c r="K172" s="60" t="str">
        <f t="shared" si="13"/>
        <v/>
      </c>
      <c r="L172" s="60" t="str">
        <f t="shared" si="13"/>
        <v/>
      </c>
      <c r="M172" s="60" t="str">
        <f t="shared" si="13"/>
        <v/>
      </c>
    </row>
    <row r="173" spans="1:13">
      <c r="A173" s="79" t="s">
        <v>79</v>
      </c>
      <c r="B173" s="79" t="s">
        <v>351</v>
      </c>
      <c r="C173" s="77">
        <v>12258.958572728508</v>
      </c>
      <c r="D173" s="77">
        <v>8062.8410241957263</v>
      </c>
      <c r="E173" s="77">
        <v>3128.6618288098916</v>
      </c>
      <c r="G173" s="78">
        <v>0.16123493963615523</v>
      </c>
      <c r="H173" s="78">
        <v>0.10549701321424722</v>
      </c>
      <c r="I173" s="78">
        <v>3.6295818714334127E-2</v>
      </c>
      <c r="K173" s="60">
        <f t="shared" si="13"/>
        <v>0.26872489939359206</v>
      </c>
      <c r="L173" s="60">
        <f t="shared" si="13"/>
        <v>0.17582835535707869</v>
      </c>
      <c r="M173" s="60">
        <f t="shared" si="13"/>
        <v>6.0493031190556878E-2</v>
      </c>
    </row>
    <row r="174" spans="1:13">
      <c r="A174" s="79" t="s">
        <v>36</v>
      </c>
      <c r="B174" s="79" t="s">
        <v>352</v>
      </c>
      <c r="C174" s="77">
        <v>7402.5639580363841</v>
      </c>
      <c r="D174" s="77">
        <v>10560.467183924238</v>
      </c>
      <c r="E174" s="77">
        <v>7412.9581343246409</v>
      </c>
      <c r="G174" s="78">
        <v>2.2795402772269633E-2</v>
      </c>
      <c r="H174" s="78">
        <v>2.8143014350776534E-2</v>
      </c>
      <c r="I174" s="78">
        <v>1.8151903213705693E-2</v>
      </c>
      <c r="K174" s="60">
        <f t="shared" si="13"/>
        <v>3.799233795378272E-2</v>
      </c>
      <c r="L174" s="60">
        <f t="shared" si="13"/>
        <v>4.6905023917960892E-2</v>
      </c>
      <c r="M174" s="60">
        <f t="shared" si="13"/>
        <v>3.0253172022842823E-2</v>
      </c>
    </row>
    <row r="175" spans="1:13">
      <c r="A175" s="79" t="s">
        <v>186</v>
      </c>
      <c r="B175" s="79" t="s">
        <v>353</v>
      </c>
      <c r="C175" s="77">
        <v>3428.3373248515909</v>
      </c>
      <c r="D175" s="77">
        <v>2607.9148727544607</v>
      </c>
      <c r="E175" s="77">
        <v>2074.4348938657399</v>
      </c>
      <c r="G175" s="78">
        <v>0.2275182597754225</v>
      </c>
      <c r="H175" s="78">
        <v>0.15139716130631695</v>
      </c>
      <c r="I175" s="78">
        <v>9.5862699586054811E-2</v>
      </c>
      <c r="K175" s="60">
        <f t="shared" si="13"/>
        <v>0.37919709962570419</v>
      </c>
      <c r="L175" s="60">
        <f t="shared" si="13"/>
        <v>0.25232860217719494</v>
      </c>
      <c r="M175" s="60">
        <f t="shared" si="13"/>
        <v>0.15977116597675803</v>
      </c>
    </row>
    <row r="176" spans="1:13">
      <c r="A176" s="79" t="s">
        <v>125</v>
      </c>
      <c r="B176" s="79" t="s">
        <v>354</v>
      </c>
      <c r="C176" s="77">
        <v>10354.881847068884</v>
      </c>
      <c r="D176" s="77">
        <v>7240.3494160526607</v>
      </c>
      <c r="E176" s="77">
        <v>5356.9790711279948</v>
      </c>
      <c r="G176" s="78">
        <v>1.0706851171096321</v>
      </c>
      <c r="H176" s="78">
        <v>0.6849920024718108</v>
      </c>
      <c r="I176" s="78">
        <v>0.44096954961184298</v>
      </c>
      <c r="K176" s="60">
        <f t="shared" si="13"/>
        <v>1</v>
      </c>
      <c r="L176" s="60">
        <f t="shared" si="13"/>
        <v>1</v>
      </c>
      <c r="M176" s="60">
        <f t="shared" si="13"/>
        <v>0.73494924935307171</v>
      </c>
    </row>
    <row r="177" spans="1:13">
      <c r="A177" s="79" t="s">
        <v>42</v>
      </c>
      <c r="B177" s="79" t="s">
        <v>355</v>
      </c>
      <c r="C177" s="77" t="s">
        <v>525</v>
      </c>
      <c r="D177" s="77" t="s">
        <v>525</v>
      </c>
      <c r="E177" s="77" t="s">
        <v>525</v>
      </c>
      <c r="G177" s="78" t="s">
        <v>525</v>
      </c>
      <c r="H177" s="78" t="s">
        <v>525</v>
      </c>
      <c r="I177" s="78" t="s">
        <v>525</v>
      </c>
      <c r="K177" s="60" t="str">
        <f t="shared" si="13"/>
        <v/>
      </c>
      <c r="L177" s="60" t="str">
        <f t="shared" si="13"/>
        <v/>
      </c>
      <c r="M177" s="60" t="str">
        <f t="shared" si="13"/>
        <v/>
      </c>
    </row>
    <row r="178" spans="1:13">
      <c r="A178" s="79" t="s">
        <v>171</v>
      </c>
      <c r="B178" s="79" t="s">
        <v>356</v>
      </c>
      <c r="C178" s="77">
        <v>16230.093899921207</v>
      </c>
      <c r="D178" s="77">
        <v>21131.279090959531</v>
      </c>
      <c r="E178" s="77">
        <v>10580.06435353019</v>
      </c>
      <c r="G178" s="78">
        <v>0.40890165509780746</v>
      </c>
      <c r="H178" s="78">
        <v>0.52227794546063511</v>
      </c>
      <c r="I178" s="78">
        <v>0.2619286105858209</v>
      </c>
      <c r="K178" s="60">
        <f t="shared" si="13"/>
        <v>0.68150275849634578</v>
      </c>
      <c r="L178" s="60">
        <f t="shared" si="13"/>
        <v>0.87046324243439188</v>
      </c>
      <c r="M178" s="60">
        <f t="shared" si="13"/>
        <v>0.43654768430970153</v>
      </c>
    </row>
    <row r="179" spans="1:13">
      <c r="A179" s="79" t="s">
        <v>24</v>
      </c>
      <c r="B179" s="79" t="s">
        <v>357</v>
      </c>
      <c r="C179" s="77">
        <v>15920.450538775125</v>
      </c>
      <c r="D179" s="77">
        <v>20585.588677863314</v>
      </c>
      <c r="E179" s="77">
        <v>15307.121192402694</v>
      </c>
      <c r="G179" s="78">
        <v>3.2186680714683356E-2</v>
      </c>
      <c r="H179" s="78">
        <v>3.6541326802625423E-2</v>
      </c>
      <c r="I179" s="78">
        <v>2.4376339587816657E-2</v>
      </c>
      <c r="K179" s="60">
        <f t="shared" si="13"/>
        <v>5.3644467857805599E-2</v>
      </c>
      <c r="L179" s="60">
        <f t="shared" si="13"/>
        <v>6.0902211337709039E-2</v>
      </c>
      <c r="M179" s="60">
        <f t="shared" si="13"/>
        <v>4.0627232646361096E-2</v>
      </c>
    </row>
    <row r="180" spans="1:13">
      <c r="A180" s="79" t="s">
        <v>47</v>
      </c>
      <c r="B180" s="79" t="s">
        <v>358</v>
      </c>
      <c r="C180" s="77">
        <v>15694.359632118991</v>
      </c>
      <c r="D180" s="77">
        <v>13508.595071143425</v>
      </c>
      <c r="E180" s="77">
        <v>9410.9047149140697</v>
      </c>
      <c r="G180" s="78">
        <v>2.3413837297413767E-2</v>
      </c>
      <c r="H180" s="78">
        <v>1.887704334080163E-2</v>
      </c>
      <c r="I180" s="78">
        <v>1.2772750018916392E-2</v>
      </c>
      <c r="K180" s="60">
        <f t="shared" si="13"/>
        <v>3.9023062162356278E-2</v>
      </c>
      <c r="L180" s="60">
        <f t="shared" si="13"/>
        <v>3.146173890133605E-2</v>
      </c>
      <c r="M180" s="60">
        <f t="shared" si="13"/>
        <v>2.1287916698193989E-2</v>
      </c>
    </row>
    <row r="181" spans="1:13">
      <c r="A181" s="79" t="s">
        <v>101</v>
      </c>
      <c r="B181" s="79" t="s">
        <v>359</v>
      </c>
      <c r="C181" s="77">
        <v>4705.0562422760686</v>
      </c>
      <c r="D181" s="77">
        <v>2905.9549855654227</v>
      </c>
      <c r="E181" s="77">
        <v>3251.7557280598239</v>
      </c>
      <c r="G181" s="78">
        <v>0.23017746688766277</v>
      </c>
      <c r="H181" s="78">
        <v>0.14150508818708518</v>
      </c>
      <c r="I181" s="78">
        <v>0.15964098215875797</v>
      </c>
      <c r="K181" s="60">
        <f t="shared" si="13"/>
        <v>0.38362911147943796</v>
      </c>
      <c r="L181" s="60">
        <f t="shared" si="13"/>
        <v>0.23584181364514198</v>
      </c>
      <c r="M181" s="60">
        <f t="shared" si="13"/>
        <v>0.26606830359792993</v>
      </c>
    </row>
    <row r="182" spans="1:13">
      <c r="A182" s="79" t="s">
        <v>167</v>
      </c>
      <c r="B182" s="79" t="s">
        <v>360</v>
      </c>
      <c r="C182" s="77" t="s">
        <v>525</v>
      </c>
      <c r="D182" s="77">
        <v>2013.6576935091421</v>
      </c>
      <c r="E182" s="77">
        <v>1734.6296179791339</v>
      </c>
      <c r="G182" s="78" t="s">
        <v>525</v>
      </c>
      <c r="H182" s="78">
        <v>0.45889738253778023</v>
      </c>
      <c r="I182" s="78">
        <v>0.25938466734693583</v>
      </c>
      <c r="K182" s="60" t="str">
        <f t="shared" si="13"/>
        <v/>
      </c>
      <c r="L182" s="60">
        <f t="shared" si="13"/>
        <v>0.76482897089630042</v>
      </c>
      <c r="M182" s="60">
        <f t="shared" si="13"/>
        <v>0.43230777891155975</v>
      </c>
    </row>
    <row r="183" spans="1:13">
      <c r="A183" s="79" t="s">
        <v>170</v>
      </c>
      <c r="B183" s="79" t="s">
        <v>361</v>
      </c>
      <c r="C183" s="77" t="s">
        <v>525</v>
      </c>
      <c r="D183" s="77" t="s">
        <v>525</v>
      </c>
      <c r="E183" s="77" t="s">
        <v>525</v>
      </c>
      <c r="G183" s="78" t="s">
        <v>525</v>
      </c>
      <c r="H183" s="78" t="s">
        <v>525</v>
      </c>
      <c r="I183" s="78" t="s">
        <v>525</v>
      </c>
      <c r="K183" s="60" t="str">
        <f t="shared" si="13"/>
        <v/>
      </c>
      <c r="L183" s="60" t="str">
        <f t="shared" si="13"/>
        <v/>
      </c>
      <c r="M183" s="60" t="str">
        <f t="shared" si="13"/>
        <v/>
      </c>
    </row>
    <row r="184" spans="1:13">
      <c r="A184" s="79" t="s">
        <v>149</v>
      </c>
      <c r="B184" s="79" t="s">
        <v>362</v>
      </c>
      <c r="C184" s="77">
        <v>4954.6022094855089</v>
      </c>
      <c r="D184" s="77">
        <v>9107.3962479234215</v>
      </c>
      <c r="E184" s="77">
        <v>7172.1559988311128</v>
      </c>
      <c r="G184" s="78">
        <v>0.1752448535947255</v>
      </c>
      <c r="H184" s="78">
        <v>0.3079817738959203</v>
      </c>
      <c r="I184" s="78">
        <v>0.18991326646407586</v>
      </c>
      <c r="K184" s="60">
        <f t="shared" si="13"/>
        <v>0.29207475599120919</v>
      </c>
      <c r="L184" s="60">
        <f t="shared" si="13"/>
        <v>0.51330295649320057</v>
      </c>
      <c r="M184" s="60">
        <f t="shared" si="13"/>
        <v>0.31652211077345976</v>
      </c>
    </row>
    <row r="185" spans="1:13">
      <c r="A185" s="79" t="s">
        <v>164</v>
      </c>
      <c r="B185" s="79" t="s">
        <v>363</v>
      </c>
      <c r="C185" s="77" t="e">
        <v>#N/A</v>
      </c>
      <c r="D185" s="77" t="e">
        <v>#N/A</v>
      </c>
      <c r="E185" s="77" t="e">
        <v>#N/A</v>
      </c>
      <c r="G185" s="78" t="e">
        <v>#N/A</v>
      </c>
      <c r="H185" s="78" t="e">
        <v>#N/A</v>
      </c>
      <c r="I185" s="78" t="e">
        <v>#N/A</v>
      </c>
      <c r="K185" s="60" t="str">
        <f t="shared" si="13"/>
        <v/>
      </c>
      <c r="L185" s="60" t="str">
        <f t="shared" si="13"/>
        <v/>
      </c>
      <c r="M185" s="60" t="str">
        <f t="shared" si="13"/>
        <v/>
      </c>
    </row>
    <row r="186" spans="1:13">
      <c r="A186" s="79" t="s">
        <v>127</v>
      </c>
      <c r="B186" s="79" t="s">
        <v>364</v>
      </c>
      <c r="C186" s="77">
        <v>2127.7555644525482</v>
      </c>
      <c r="D186" s="77">
        <v>1643.2719049290706</v>
      </c>
      <c r="E186" s="77">
        <v>1105.6043122771141</v>
      </c>
      <c r="G186" s="78">
        <v>0.32943564462578528</v>
      </c>
      <c r="H186" s="78">
        <v>0.24316322547537855</v>
      </c>
      <c r="I186" s="78">
        <v>0.16712183317883533</v>
      </c>
      <c r="K186" s="60">
        <f t="shared" si="13"/>
        <v>0.54905940770964212</v>
      </c>
      <c r="L186" s="60">
        <f t="shared" si="13"/>
        <v>0.40527204245896425</v>
      </c>
      <c r="M186" s="60">
        <f t="shared" si="13"/>
        <v>0.27853638863139224</v>
      </c>
    </row>
    <row r="187" spans="1:13">
      <c r="A187" s="79" t="s">
        <v>169</v>
      </c>
      <c r="B187" s="79" t="s">
        <v>365</v>
      </c>
      <c r="C187" s="77">
        <v>50619.651604915132</v>
      </c>
      <c r="D187" s="77">
        <v>42497.449289467411</v>
      </c>
      <c r="E187" s="77">
        <v>32915.593882942703</v>
      </c>
      <c r="G187" s="78">
        <v>1.1111646565823601</v>
      </c>
      <c r="H187" s="78">
        <v>0.85972241676179861</v>
      </c>
      <c r="I187" s="78">
        <v>0.58908776834375776</v>
      </c>
      <c r="K187" s="60">
        <f t="shared" si="13"/>
        <v>1</v>
      </c>
      <c r="L187" s="60">
        <f t="shared" si="13"/>
        <v>1</v>
      </c>
      <c r="M187" s="60">
        <f t="shared" si="13"/>
        <v>0.98181294723959633</v>
      </c>
    </row>
    <row r="188" spans="1:13">
      <c r="A188" s="79" t="s">
        <v>189</v>
      </c>
      <c r="B188" s="79" t="s">
        <v>366</v>
      </c>
      <c r="C188" s="77">
        <v>4418.9390863095359</v>
      </c>
      <c r="D188" s="77">
        <v>1045.5174364398531</v>
      </c>
      <c r="E188" s="77">
        <v>792.14714505659026</v>
      </c>
      <c r="G188" s="78">
        <v>5.0357089953844573E-2</v>
      </c>
      <c r="H188" s="78">
        <v>9.4014271558575009E-3</v>
      </c>
      <c r="I188" s="78">
        <v>6.8218455103503106E-3</v>
      </c>
      <c r="K188" s="60">
        <f t="shared" si="13"/>
        <v>8.3928483256407629E-2</v>
      </c>
      <c r="L188" s="60">
        <f t="shared" si="13"/>
        <v>1.5669045259762503E-2</v>
      </c>
      <c r="M188" s="60">
        <f t="shared" si="13"/>
        <v>1.1369742517250519E-2</v>
      </c>
    </row>
    <row r="189" spans="1:13">
      <c r="A189" s="79" t="s">
        <v>65</v>
      </c>
      <c r="B189" s="79" t="s">
        <v>367</v>
      </c>
      <c r="C189" s="77">
        <v>2459.0542129049327</v>
      </c>
      <c r="D189" s="77">
        <v>3198.1426108320952</v>
      </c>
      <c r="E189" s="77">
        <v>3361.3756379538372</v>
      </c>
      <c r="G189" s="78">
        <v>7.5292112460179764E-2</v>
      </c>
      <c r="H189" s="78">
        <v>8.2808419313755099E-2</v>
      </c>
      <c r="I189" s="78">
        <v>7.0932043794500368E-2</v>
      </c>
      <c r="K189" s="60">
        <f t="shared" si="13"/>
        <v>0.12548685410029961</v>
      </c>
      <c r="L189" s="60">
        <f t="shared" si="13"/>
        <v>0.13801403218959185</v>
      </c>
      <c r="M189" s="60">
        <f t="shared" si="13"/>
        <v>0.11822007299083395</v>
      </c>
    </row>
    <row r="190" spans="1:13">
      <c r="A190" s="79" t="s">
        <v>57</v>
      </c>
      <c r="B190" s="79" t="s">
        <v>368</v>
      </c>
      <c r="C190" s="77" t="s">
        <v>525</v>
      </c>
      <c r="D190" s="77">
        <v>8250.7675544107733</v>
      </c>
      <c r="E190" s="77">
        <v>5147.5125333119031</v>
      </c>
      <c r="G190" s="78" t="s">
        <v>525</v>
      </c>
      <c r="H190" s="78">
        <v>8.902706600967189E-2</v>
      </c>
      <c r="I190" s="78">
        <v>4.4827281914148566E-2</v>
      </c>
      <c r="K190" s="60" t="str">
        <f t="shared" si="13"/>
        <v/>
      </c>
      <c r="L190" s="60">
        <f t="shared" si="13"/>
        <v>0.14837844334945316</v>
      </c>
      <c r="M190" s="60">
        <f t="shared" si="13"/>
        <v>7.4712136523580941E-2</v>
      </c>
    </row>
    <row r="191" spans="1:13">
      <c r="A191" s="79" t="s">
        <v>114</v>
      </c>
      <c r="B191" s="79" t="s">
        <v>369</v>
      </c>
      <c r="C191" s="77" t="s">
        <v>525</v>
      </c>
      <c r="D191" s="77" t="s">
        <v>525</v>
      </c>
      <c r="E191" s="77" t="s">
        <v>525</v>
      </c>
      <c r="G191" s="78" t="s">
        <v>525</v>
      </c>
      <c r="H191" s="78" t="s">
        <v>525</v>
      </c>
      <c r="I191" s="78" t="s">
        <v>525</v>
      </c>
      <c r="K191" s="60" t="str">
        <f t="shared" si="13"/>
        <v/>
      </c>
      <c r="L191" s="60" t="str">
        <f t="shared" si="13"/>
        <v/>
      </c>
      <c r="M191" s="60" t="str">
        <f t="shared" si="13"/>
        <v/>
      </c>
    </row>
    <row r="192" spans="1:13">
      <c r="A192" s="79" t="s">
        <v>113</v>
      </c>
      <c r="B192" s="79" t="s">
        <v>370</v>
      </c>
      <c r="C192" s="77" t="e">
        <v>#N/A</v>
      </c>
      <c r="D192" s="77" t="e">
        <v>#N/A</v>
      </c>
      <c r="E192" s="77" t="e">
        <v>#N/A</v>
      </c>
      <c r="G192" s="78" t="e">
        <v>#N/A</v>
      </c>
      <c r="H192" s="78" t="e">
        <v>#N/A</v>
      </c>
      <c r="I192" s="78" t="e">
        <v>#N/A</v>
      </c>
      <c r="K192" s="60" t="str">
        <f t="shared" si="13"/>
        <v/>
      </c>
      <c r="L192" s="60" t="str">
        <f t="shared" si="13"/>
        <v/>
      </c>
      <c r="M192" s="60" t="str">
        <f t="shared" si="13"/>
        <v/>
      </c>
    </row>
    <row r="193" spans="1:13">
      <c r="A193" s="79" t="s">
        <v>188</v>
      </c>
      <c r="B193" s="79" t="s">
        <v>371</v>
      </c>
      <c r="C193" s="77">
        <v>2778.4485931219938</v>
      </c>
      <c r="D193" s="77">
        <v>4514.6394347199976</v>
      </c>
      <c r="E193" s="77">
        <v>3372.0812859072566</v>
      </c>
      <c r="G193" s="78">
        <v>0.65037006550091758</v>
      </c>
      <c r="H193" s="78">
        <v>0.88416830183302308</v>
      </c>
      <c r="I193" s="78">
        <v>0.56605861744845376</v>
      </c>
      <c r="K193" s="60">
        <f t="shared" si="13"/>
        <v>1</v>
      </c>
      <c r="L193" s="60">
        <f t="shared" si="13"/>
        <v>1</v>
      </c>
      <c r="M193" s="60">
        <f t="shared" si="13"/>
        <v>0.94343102908075627</v>
      </c>
    </row>
    <row r="194" spans="1:13">
      <c r="A194" s="79" t="s">
        <v>60</v>
      </c>
      <c r="B194" s="79" t="s">
        <v>372</v>
      </c>
      <c r="C194" s="77" t="s">
        <v>525</v>
      </c>
      <c r="D194" s="77">
        <v>6250.3757474464182</v>
      </c>
      <c r="E194" s="77">
        <v>4928.702037911291</v>
      </c>
      <c r="G194" s="78" t="s">
        <v>525</v>
      </c>
      <c r="H194" s="78">
        <v>0.31738438990937096</v>
      </c>
      <c r="I194" s="78">
        <v>0.16808856440659345</v>
      </c>
      <c r="K194" s="60" t="str">
        <f t="shared" si="13"/>
        <v/>
      </c>
      <c r="L194" s="60">
        <f t="shared" si="13"/>
        <v>0.52897398318228495</v>
      </c>
      <c r="M194" s="60">
        <f t="shared" si="13"/>
        <v>0.28014760734432242</v>
      </c>
    </row>
    <row r="195" spans="1:13">
      <c r="A195" s="79" t="s">
        <v>33</v>
      </c>
      <c r="B195" s="79" t="s">
        <v>373</v>
      </c>
      <c r="C195" s="77">
        <v>3889.9176364840519</v>
      </c>
      <c r="D195" s="77">
        <v>4641.9389462804511</v>
      </c>
      <c r="E195" s="77">
        <v>2878.3274449433688</v>
      </c>
      <c r="G195" s="78">
        <v>9.5781082007526091E-3</v>
      </c>
      <c r="H195" s="78">
        <v>1.1732133917740833E-2</v>
      </c>
      <c r="I195" s="78">
        <v>8.2308950828924171E-3</v>
      </c>
      <c r="K195" s="60">
        <f t="shared" si="13"/>
        <v>1.5963513667921016E-2</v>
      </c>
      <c r="L195" s="60">
        <f t="shared" si="13"/>
        <v>1.9553556529568056E-2</v>
      </c>
      <c r="M195" s="60">
        <f t="shared" si="13"/>
        <v>1.3718158471487362E-2</v>
      </c>
    </row>
    <row r="196" spans="1:13">
      <c r="A196" s="79" t="s">
        <v>14</v>
      </c>
      <c r="B196" s="79" t="s">
        <v>374</v>
      </c>
      <c r="C196" s="77">
        <v>5040.3953870396144</v>
      </c>
      <c r="D196" s="77">
        <v>4721.9620876253557</v>
      </c>
      <c r="E196" s="77">
        <v>3177.9032871711452</v>
      </c>
      <c r="G196" s="78">
        <v>1.0032735646803691E-2</v>
      </c>
      <c r="H196" s="78">
        <v>8.1981560791841972E-3</v>
      </c>
      <c r="I196" s="78">
        <v>4.7959367079187165E-3</v>
      </c>
      <c r="K196" s="60">
        <f t="shared" si="13"/>
        <v>1.6721226078006152E-2</v>
      </c>
      <c r="L196" s="60">
        <f t="shared" si="13"/>
        <v>1.3663593465306996E-2</v>
      </c>
      <c r="M196" s="60">
        <f t="shared" si="13"/>
        <v>7.9932278465311944E-3</v>
      </c>
    </row>
    <row r="197" spans="1:13">
      <c r="A197" s="79" t="s">
        <v>6</v>
      </c>
      <c r="B197" s="79" t="s">
        <v>375</v>
      </c>
      <c r="C197" s="77">
        <v>11388.934301020865</v>
      </c>
      <c r="D197" s="77">
        <v>12811.366949484469</v>
      </c>
      <c r="E197" s="77">
        <v>10343.418222143328</v>
      </c>
      <c r="G197" s="78">
        <v>1.9456719782751413E-2</v>
      </c>
      <c r="H197" s="78">
        <v>1.9189427433001695E-2</v>
      </c>
      <c r="I197" s="78">
        <v>1.4088099734792379E-2</v>
      </c>
      <c r="K197" s="60">
        <f t="shared" si="13"/>
        <v>3.242786630458569E-2</v>
      </c>
      <c r="L197" s="60">
        <f t="shared" si="13"/>
        <v>3.1982379055002827E-2</v>
      </c>
      <c r="M197" s="60">
        <f t="shared" si="13"/>
        <v>2.3480166224653966E-2</v>
      </c>
    </row>
    <row r="198" spans="1:13">
      <c r="A198" s="79" t="s">
        <v>10</v>
      </c>
      <c r="B198" s="79" t="s">
        <v>376</v>
      </c>
      <c r="C198" s="77">
        <v>5204.7845519480516</v>
      </c>
      <c r="D198" s="77">
        <v>5770.9300304064709</v>
      </c>
      <c r="E198" s="77">
        <v>8287.9086205878211</v>
      </c>
      <c r="G198" s="78">
        <v>6.2085616468378138E-2</v>
      </c>
      <c r="H198" s="78">
        <v>6.541619380950614E-2</v>
      </c>
      <c r="I198" s="78">
        <v>9.5611080948082197E-2</v>
      </c>
      <c r="K198" s="60">
        <f t="shared" si="13"/>
        <v>0.10347602744729691</v>
      </c>
      <c r="L198" s="60">
        <f t="shared" si="13"/>
        <v>0.10902698968251023</v>
      </c>
      <c r="M198" s="60">
        <f t="shared" si="13"/>
        <v>0.15935180158013701</v>
      </c>
    </row>
    <row r="199" spans="1:13">
      <c r="A199" s="79" t="s">
        <v>139</v>
      </c>
      <c r="B199" s="79" t="s">
        <v>377</v>
      </c>
      <c r="C199" s="77" t="s">
        <v>525</v>
      </c>
      <c r="D199" s="77">
        <v>1543.0515450204496</v>
      </c>
      <c r="E199" s="77">
        <v>2287.0283042692363</v>
      </c>
      <c r="G199" s="78" t="s">
        <v>525</v>
      </c>
      <c r="H199" s="78">
        <v>0.25045766158229565</v>
      </c>
      <c r="I199" s="78">
        <v>0.43023801412257284</v>
      </c>
      <c r="K199" s="60" t="str">
        <f t="shared" si="13"/>
        <v/>
      </c>
      <c r="L199" s="60">
        <f t="shared" si="13"/>
        <v>0.41742943597049276</v>
      </c>
      <c r="M199" s="60">
        <f t="shared" si="13"/>
        <v>0.71706335687095479</v>
      </c>
    </row>
    <row r="200" spans="1:13">
      <c r="A200" s="79" t="s">
        <v>168</v>
      </c>
      <c r="B200" s="79" t="s">
        <v>378</v>
      </c>
      <c r="C200" s="77" t="s">
        <v>525</v>
      </c>
      <c r="D200" s="77">
        <v>14058.528984602224</v>
      </c>
      <c r="E200" s="77">
        <v>6950.7236833900661</v>
      </c>
      <c r="G200" s="78" t="s">
        <v>525</v>
      </c>
      <c r="H200" s="78">
        <v>0.42128319119316016</v>
      </c>
      <c r="I200" s="78">
        <v>0.24050612683427802</v>
      </c>
      <c r="K200" s="60" t="str">
        <f t="shared" si="13"/>
        <v/>
      </c>
      <c r="L200" s="60">
        <f t="shared" si="13"/>
        <v>0.70213865198860026</v>
      </c>
      <c r="M200" s="60">
        <f t="shared" si="13"/>
        <v>0.40084354472379674</v>
      </c>
    </row>
    <row r="201" spans="1:13">
      <c r="A201" s="79" t="s">
        <v>9</v>
      </c>
      <c r="B201" s="79" t="s">
        <v>379</v>
      </c>
      <c r="C201" s="77">
        <v>8518.9032613276104</v>
      </c>
      <c r="D201" s="77">
        <v>6182.7791441875852</v>
      </c>
      <c r="E201" s="77">
        <v>6476.9216273441252</v>
      </c>
      <c r="G201" s="78">
        <v>0.10639469127175921</v>
      </c>
      <c r="H201" s="78">
        <v>8.351389821190966E-2</v>
      </c>
      <c r="I201" s="78">
        <v>9.2798641396126355E-2</v>
      </c>
      <c r="K201" s="60">
        <f t="shared" si="13"/>
        <v>0.17732448545293203</v>
      </c>
      <c r="L201" s="60">
        <f t="shared" si="13"/>
        <v>0.13918983035318278</v>
      </c>
      <c r="M201" s="60">
        <f t="shared" si="13"/>
        <v>0.15466440232687725</v>
      </c>
    </row>
    <row r="202" spans="1:13">
      <c r="A202" s="79" t="s">
        <v>160</v>
      </c>
      <c r="B202" s="79" t="s">
        <v>380</v>
      </c>
      <c r="C202" s="77" t="s">
        <v>525</v>
      </c>
      <c r="D202" s="77" t="s">
        <v>525</v>
      </c>
      <c r="E202" s="77">
        <v>2746.9108333030686</v>
      </c>
      <c r="G202" s="78" t="s">
        <v>525</v>
      </c>
      <c r="H202" s="78" t="s">
        <v>525</v>
      </c>
      <c r="I202" s="78">
        <v>0.29302395526630987</v>
      </c>
      <c r="K202" s="60" t="str">
        <f t="shared" si="13"/>
        <v/>
      </c>
      <c r="L202" s="60" t="str">
        <f t="shared" si="13"/>
        <v/>
      </c>
      <c r="M202" s="60">
        <f t="shared" si="13"/>
        <v>0.48837325877718313</v>
      </c>
    </row>
    <row r="203" spans="1:13">
      <c r="A203" s="79" t="s">
        <v>153</v>
      </c>
      <c r="B203" s="79" t="s">
        <v>381</v>
      </c>
      <c r="C203" s="77" t="s">
        <v>525</v>
      </c>
      <c r="D203" s="77" t="s">
        <v>525</v>
      </c>
      <c r="E203" s="77" t="s">
        <v>525</v>
      </c>
      <c r="G203" s="78" t="s">
        <v>525</v>
      </c>
      <c r="H203" s="78" t="s">
        <v>525</v>
      </c>
      <c r="I203" s="78" t="s">
        <v>525</v>
      </c>
      <c r="K203" s="60" t="str">
        <f t="shared" si="13"/>
        <v/>
      </c>
      <c r="L203" s="60" t="str">
        <f t="shared" si="13"/>
        <v/>
      </c>
      <c r="M203" s="60" t="str">
        <f t="shared" si="13"/>
        <v/>
      </c>
    </row>
    <row r="204" spans="1:13">
      <c r="A204" s="79" t="s">
        <v>145</v>
      </c>
      <c r="B204" s="79" t="s">
        <v>382</v>
      </c>
      <c r="C204" s="77">
        <v>3017.3312010029335</v>
      </c>
      <c r="D204" s="77">
        <v>3676.4786988194987</v>
      </c>
      <c r="E204" s="77">
        <v>1767.6774839047714</v>
      </c>
      <c r="G204" s="78">
        <v>0.31632114564200597</v>
      </c>
      <c r="H204" s="78">
        <v>0.38565574098737299</v>
      </c>
      <c r="I204" s="78">
        <v>0.18265053118024951</v>
      </c>
      <c r="K204" s="60">
        <f t="shared" si="13"/>
        <v>0.52720190940334333</v>
      </c>
      <c r="L204" s="60">
        <f t="shared" si="13"/>
        <v>0.64275956831228831</v>
      </c>
      <c r="M204" s="60">
        <f t="shared" si="13"/>
        <v>0.30441755196708253</v>
      </c>
    </row>
    <row r="205" spans="1:13">
      <c r="A205" s="79" t="s">
        <v>138</v>
      </c>
      <c r="B205" s="79" t="s">
        <v>383</v>
      </c>
      <c r="C205" s="77">
        <v>1338.2456555002627</v>
      </c>
      <c r="D205" s="77">
        <v>1799.0121482233853</v>
      </c>
      <c r="E205" s="77">
        <v>1890.0433786493243</v>
      </c>
      <c r="G205" s="78">
        <v>0.20797281952198238</v>
      </c>
      <c r="H205" s="78">
        <v>0.2781997134987057</v>
      </c>
      <c r="I205" s="78">
        <v>0.37894703096861088</v>
      </c>
      <c r="K205" s="60">
        <f t="shared" si="13"/>
        <v>0.34662136586997067</v>
      </c>
      <c r="L205" s="60">
        <f t="shared" si="13"/>
        <v>0.46366618916450952</v>
      </c>
      <c r="M205" s="60">
        <f t="shared" si="13"/>
        <v>0.63157838494768481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90"/>
  </sheetPr>
  <dimension ref="B1:AC203"/>
  <sheetViews>
    <sheetView workbookViewId="0">
      <pane xSplit="3" ySplit="11" topLeftCell="D31" activePane="bottomRight" state="frozen"/>
      <selection activeCell="AG179" sqref="AG179"/>
      <selection pane="topRight" activeCell="AG179" sqref="AG179"/>
      <selection pane="bottomLeft" activeCell="AG179" sqref="AG179"/>
      <selection pane="bottomRight" activeCell="AG179" sqref="AG179"/>
    </sheetView>
  </sheetViews>
  <sheetFormatPr baseColWidth="10" defaultRowHeight="15" x14ac:dyDescent="0"/>
  <cols>
    <col min="14" max="14" width="4.1640625" customWidth="1"/>
    <col min="15" max="15" width="12.6640625" style="48" customWidth="1"/>
  </cols>
  <sheetData>
    <row r="1" spans="2:29">
      <c r="C1" s="74" t="s">
        <v>388</v>
      </c>
      <c r="D1">
        <f t="shared" ref="D1:M1" si="0">COUNT(D12:D203)</f>
        <v>187</v>
      </c>
      <c r="E1">
        <f t="shared" si="0"/>
        <v>154</v>
      </c>
      <c r="F1">
        <f t="shared" si="0"/>
        <v>155</v>
      </c>
      <c r="G1">
        <f t="shared" si="0"/>
        <v>59</v>
      </c>
      <c r="H1">
        <f t="shared" si="0"/>
        <v>192</v>
      </c>
      <c r="I1">
        <f t="shared" si="0"/>
        <v>192</v>
      </c>
      <c r="J1">
        <f t="shared" si="0"/>
        <v>192</v>
      </c>
      <c r="K1">
        <f t="shared" si="0"/>
        <v>187</v>
      </c>
      <c r="L1">
        <f t="shared" si="0"/>
        <v>154</v>
      </c>
      <c r="M1">
        <f t="shared" si="0"/>
        <v>155</v>
      </c>
      <c r="O1" s="48">
        <f>COUNT(O12:O203)</f>
        <v>192</v>
      </c>
      <c r="P1">
        <f>COUNT(P12:P203)</f>
        <v>192</v>
      </c>
      <c r="Q1">
        <f>COUNT(Q12:Q203)</f>
        <v>192</v>
      </c>
    </row>
    <row r="2" spans="2:29">
      <c r="C2" s="74" t="s">
        <v>386</v>
      </c>
      <c r="D2" s="72">
        <f t="shared" ref="D2:M2" si="1">mmean(D12:D203)</f>
        <v>146.61497326203209</v>
      </c>
      <c r="E2" s="72">
        <f t="shared" si="1"/>
        <v>5153.1233766233763</v>
      </c>
      <c r="F2" s="72">
        <f t="shared" si="1"/>
        <v>244.70967741935485</v>
      </c>
      <c r="G2" s="72">
        <f t="shared" si="1"/>
        <v>891.06779661016947</v>
      </c>
      <c r="H2" s="72">
        <f t="shared" si="1"/>
        <v>15.6875</v>
      </c>
      <c r="I2" s="72">
        <f t="shared" si="1"/>
        <v>54.59375</v>
      </c>
      <c r="J2" s="72">
        <f t="shared" si="1"/>
        <v>15.802083333333334</v>
      </c>
      <c r="K2" s="73">
        <f t="shared" si="1"/>
        <v>0.13268886992040357</v>
      </c>
      <c r="L2" s="73">
        <f t="shared" si="1"/>
        <v>1.1653863623415759E-2</v>
      </c>
      <c r="M2" s="73">
        <f t="shared" si="1"/>
        <v>7.5409228543526496E-2</v>
      </c>
      <c r="N2" s="72"/>
      <c r="O2" s="48">
        <f>mmean(O12:O203)</f>
        <v>672923.75</v>
      </c>
      <c r="P2" s="72">
        <f>mmean(P12:P203)</f>
        <v>11.235325811524001</v>
      </c>
      <c r="Q2" s="72">
        <f>mmean(Q12:Q203)</f>
        <v>1.2674162087975578</v>
      </c>
      <c r="R2" s="72"/>
    </row>
    <row r="3" spans="2:29">
      <c r="C3" s="74" t="s">
        <v>474</v>
      </c>
      <c r="D3">
        <f t="shared" ref="D3:M3" si="2">mmedian(D12:D203)</f>
        <v>110</v>
      </c>
      <c r="E3">
        <f t="shared" si="2"/>
        <v>2898</v>
      </c>
      <c r="F3">
        <f t="shared" si="2"/>
        <v>205</v>
      </c>
      <c r="G3">
        <f t="shared" si="2"/>
        <v>786</v>
      </c>
      <c r="H3">
        <f t="shared" si="2"/>
        <v>9</v>
      </c>
      <c r="I3">
        <f t="shared" si="2"/>
        <v>6</v>
      </c>
      <c r="J3">
        <f t="shared" si="2"/>
        <v>10</v>
      </c>
      <c r="K3" s="73">
        <f t="shared" si="2"/>
        <v>0.10126582278481013</v>
      </c>
      <c r="L3" s="73">
        <f t="shared" si="2"/>
        <v>4.0942028985507251E-3</v>
      </c>
      <c r="M3" s="73">
        <f t="shared" si="2"/>
        <v>5.4298642533936653E-2</v>
      </c>
      <c r="O3" s="48">
        <f>mmedian(O12:O203)</f>
        <v>115940</v>
      </c>
      <c r="P3" s="47">
        <f>mmedian(P12:P203)</f>
        <v>11.660217604880099</v>
      </c>
      <c r="Q3" s="2">
        <f>mmedian(Q12:Q203)</f>
        <v>0.89046034503229166</v>
      </c>
    </row>
    <row r="4" spans="2:29">
      <c r="C4" s="74" t="s">
        <v>518</v>
      </c>
      <c r="D4" s="72">
        <f t="shared" ref="D4:M4" si="3">mmin(D12:D203)</f>
        <v>1</v>
      </c>
      <c r="E4" s="72">
        <f t="shared" si="3"/>
        <v>60</v>
      </c>
      <c r="F4" s="72">
        <f t="shared" si="3"/>
        <v>34</v>
      </c>
      <c r="G4" s="72">
        <f t="shared" si="3"/>
        <v>597</v>
      </c>
      <c r="H4" s="72">
        <f t="shared" si="3"/>
        <v>0</v>
      </c>
      <c r="I4" s="72">
        <f t="shared" si="3"/>
        <v>0</v>
      </c>
      <c r="J4" s="72">
        <f t="shared" si="3"/>
        <v>0</v>
      </c>
      <c r="K4" s="73">
        <f t="shared" si="3"/>
        <v>0</v>
      </c>
      <c r="L4" s="73">
        <f t="shared" si="3"/>
        <v>0</v>
      </c>
      <c r="M4" s="73">
        <f t="shared" si="3"/>
        <v>0</v>
      </c>
      <c r="N4" s="72"/>
      <c r="O4" s="48">
        <f>mmin(O12:O203)</f>
        <v>2</v>
      </c>
      <c r="P4" s="2">
        <f>mmin(P12:P203)</f>
        <v>0.69314718055994529</v>
      </c>
      <c r="Q4" s="2">
        <f>mmin(Q12:Q203)</f>
        <v>0</v>
      </c>
      <c r="R4" s="72"/>
    </row>
    <row r="5" spans="2:29">
      <c r="C5" s="74" t="s">
        <v>517</v>
      </c>
      <c r="D5">
        <f t="shared" ref="D5:M5" si="4">mmax(D12:D203)</f>
        <v>667</v>
      </c>
      <c r="E5">
        <f t="shared" si="4"/>
        <v>55000</v>
      </c>
      <c r="F5">
        <f t="shared" si="4"/>
        <v>1640</v>
      </c>
      <c r="G5">
        <f t="shared" si="4"/>
        <v>1821</v>
      </c>
      <c r="H5">
        <f t="shared" si="4"/>
        <v>185</v>
      </c>
      <c r="I5">
        <f t="shared" si="4"/>
        <v>1835</v>
      </c>
      <c r="J5">
        <f t="shared" si="4"/>
        <v>124</v>
      </c>
      <c r="K5" s="73">
        <f t="shared" si="4"/>
        <v>1</v>
      </c>
      <c r="L5" s="73">
        <f t="shared" si="4"/>
        <v>0.2</v>
      </c>
      <c r="M5" s="73">
        <f t="shared" si="4"/>
        <v>0.36315789473684212</v>
      </c>
      <c r="O5" s="48">
        <f>mmax(O12:O203)</f>
        <v>16377740</v>
      </c>
      <c r="P5" s="2">
        <f>mmax(P12:P203)</f>
        <v>16.611433653732057</v>
      </c>
      <c r="Q5" s="2">
        <f>mmax(Q12:Q203)</f>
        <v>7.9113350693072384</v>
      </c>
    </row>
    <row r="6" spans="2:29">
      <c r="C6" s="74" t="s">
        <v>475</v>
      </c>
      <c r="D6">
        <f t="shared" ref="D6:M6" si="5">mpercentile(D12:D203,0.05)</f>
        <v>8</v>
      </c>
      <c r="E6">
        <f t="shared" si="5"/>
        <v>355</v>
      </c>
      <c r="F6" s="72">
        <f t="shared" si="5"/>
        <v>75.800000190734863</v>
      </c>
      <c r="G6">
        <f t="shared" si="5"/>
        <v>604</v>
      </c>
      <c r="H6" s="47">
        <f t="shared" si="5"/>
        <v>1.6500005722045898</v>
      </c>
      <c r="I6">
        <f t="shared" si="5"/>
        <v>0</v>
      </c>
      <c r="J6">
        <f t="shared" si="5"/>
        <v>1</v>
      </c>
      <c r="K6" s="73">
        <f t="shared" si="5"/>
        <v>2.1994135596535423E-2</v>
      </c>
      <c r="L6" s="73">
        <f t="shared" si="5"/>
        <v>0</v>
      </c>
      <c r="M6" s="73">
        <f t="shared" si="5"/>
        <v>1.0173315586719545E-2</v>
      </c>
      <c r="O6" s="48">
        <f>mpercentile(O12:O203,0.05)</f>
        <v>333.0000114440918</v>
      </c>
      <c r="P6" s="2">
        <f>mpercentile(P12:P203,0.05)</f>
        <v>5.8077270346641416</v>
      </c>
      <c r="Q6" s="2">
        <f>mpercentile(Q12:Q203,0.05)</f>
        <v>0.134382159278327</v>
      </c>
    </row>
    <row r="7" spans="2:29">
      <c r="C7" s="74" t="s">
        <v>476</v>
      </c>
      <c r="D7">
        <f t="shared" ref="D7:M7" si="6">mpercentile(D12:D203,0.1)</f>
        <v>15</v>
      </c>
      <c r="E7">
        <f t="shared" si="6"/>
        <v>818</v>
      </c>
      <c r="F7" s="72">
        <f t="shared" si="6"/>
        <v>111.60000038146973</v>
      </c>
      <c r="G7">
        <f t="shared" si="6"/>
        <v>624</v>
      </c>
      <c r="H7" s="47">
        <f t="shared" si="6"/>
        <v>2</v>
      </c>
      <c r="I7">
        <f t="shared" si="6"/>
        <v>0</v>
      </c>
      <c r="J7">
        <f t="shared" si="6"/>
        <v>2</v>
      </c>
      <c r="K7" s="73">
        <f t="shared" si="6"/>
        <v>3.3525959851872567E-2</v>
      </c>
      <c r="L7" s="73">
        <f t="shared" si="6"/>
        <v>0</v>
      </c>
      <c r="M7" s="73">
        <f t="shared" si="6"/>
        <v>1.522091144823846E-2</v>
      </c>
      <c r="O7" s="48">
        <f>mpercentile(O12:O203,0.1)</f>
        <v>703.0000114440918</v>
      </c>
      <c r="P7" s="2">
        <f>mpercentile(P12:P203,0.1)</f>
        <v>6.5553357417740177</v>
      </c>
      <c r="Q7" s="2">
        <f>mpercentile(Q12:Q203,0.1)</f>
        <v>0.19241583483017002</v>
      </c>
      <c r="T7" t="s">
        <v>386</v>
      </c>
      <c r="U7" s="2">
        <f>mmean(U12:U203)</f>
        <v>0.40014501517278095</v>
      </c>
      <c r="V7" s="2">
        <f>mmean(V12:V203)</f>
        <v>0.27049634231188485</v>
      </c>
      <c r="W7" s="2">
        <f>mmean(W12:W203)</f>
        <v>0.36708221358379722</v>
      </c>
      <c r="X7" s="2">
        <f>mmean(X12:X203)</f>
        <v>0.35194575772047892</v>
      </c>
    </row>
    <row r="8" spans="2:29">
      <c r="C8" s="74" t="s">
        <v>477</v>
      </c>
      <c r="D8" s="72">
        <f t="shared" ref="D8:M8" si="7">mpercentile(D12:D203,0.9)</f>
        <v>324.99995422363281</v>
      </c>
      <c r="E8" s="72">
        <f t="shared" si="7"/>
        <v>11000</v>
      </c>
      <c r="F8" s="72">
        <f t="shared" si="7"/>
        <v>407.99993896484375</v>
      </c>
      <c r="G8" s="72">
        <f t="shared" si="7"/>
        <v>1414</v>
      </c>
      <c r="H8" s="72">
        <f t="shared" si="7"/>
        <v>37</v>
      </c>
      <c r="I8" s="72">
        <f t="shared" si="7"/>
        <v>161.79998779296875</v>
      </c>
      <c r="J8" s="72">
        <f t="shared" si="7"/>
        <v>36</v>
      </c>
      <c r="K8" s="73">
        <f t="shared" si="7"/>
        <v>0.27744460975688912</v>
      </c>
      <c r="L8" s="73">
        <f t="shared" si="7"/>
        <v>2.9527495024168328E-2</v>
      </c>
      <c r="M8" s="73">
        <f t="shared" si="7"/>
        <v>0.16439499763389345</v>
      </c>
      <c r="N8" s="72"/>
      <c r="O8" s="48">
        <f>mpercentile(O12:O203,0.9)</f>
        <v>1276009.9594116211</v>
      </c>
      <c r="P8" s="2">
        <f>mpercentile(P12:P203,0.9)</f>
        <v>14.059237108693013</v>
      </c>
      <c r="Q8" s="2">
        <f>mpercentile(Q12:Q203,0.9)</f>
        <v>2.8015066953513665</v>
      </c>
      <c r="R8" s="72"/>
      <c r="T8" t="s">
        <v>516</v>
      </c>
      <c r="U8" s="2">
        <f>mstDev(U12:U203)</f>
        <v>0.27613403294048139</v>
      </c>
      <c r="V8" s="2">
        <f>mstDev(V12:V203)</f>
        <v>0.32324080032666574</v>
      </c>
      <c r="W8" s="2">
        <f>mstDev(W12:W203)</f>
        <v>0.28663671822778775</v>
      </c>
      <c r="X8" s="2">
        <f>mstDev(X12:X203)</f>
        <v>0.21624879890344578</v>
      </c>
    </row>
    <row r="9" spans="2:29">
      <c r="C9" s="74" t="s">
        <v>515</v>
      </c>
      <c r="D9" s="72">
        <f t="shared" ref="D9:M9" si="8">mpercentile(D12:D203,0.95)</f>
        <v>415.99986267089844</v>
      </c>
      <c r="E9" s="72">
        <f t="shared" si="8"/>
        <v>18687.5</v>
      </c>
      <c r="F9" s="72">
        <f t="shared" si="8"/>
        <v>631.59979248046875</v>
      </c>
      <c r="G9" s="72">
        <f t="shared" si="8"/>
        <v>1712</v>
      </c>
      <c r="H9" s="72">
        <f t="shared" si="8"/>
        <v>54.349990844726562</v>
      </c>
      <c r="I9" s="72">
        <f t="shared" si="8"/>
        <v>277.04997253417969</v>
      </c>
      <c r="J9" s="72">
        <f t="shared" si="8"/>
        <v>67.699981689453125</v>
      </c>
      <c r="K9" s="73">
        <f t="shared" si="8"/>
        <v>0.37454528808593751</v>
      </c>
      <c r="L9" s="73">
        <f t="shared" si="8"/>
        <v>4.7906588592442678E-2</v>
      </c>
      <c r="M9" s="73">
        <f t="shared" si="8"/>
        <v>0.20472616265791302</v>
      </c>
      <c r="N9" s="72"/>
      <c r="O9" s="48">
        <f>mpercentile(O12:O203,0.95)</f>
        <v>2493023.0889892578</v>
      </c>
      <c r="P9" s="2">
        <f>mpercentile(P12:P203,0.95)</f>
        <v>14.727198993678638</v>
      </c>
      <c r="Q9" s="2">
        <f>mpercentile(Q12:Q203,0.95)</f>
        <v>4.7616507433470874</v>
      </c>
      <c r="R9" s="72"/>
      <c r="U9" s="69">
        <v>0</v>
      </c>
      <c r="V9" s="69">
        <v>0</v>
      </c>
      <c r="W9" s="69">
        <v>0</v>
      </c>
    </row>
    <row r="10" spans="2:29">
      <c r="U10" s="71">
        <v>0.3</v>
      </c>
      <c r="V10" s="71">
        <v>0.03</v>
      </c>
      <c r="W10" s="70">
        <v>3</v>
      </c>
    </row>
    <row r="11" spans="2:29" ht="45">
      <c r="D11" s="6" t="s">
        <v>514</v>
      </c>
      <c r="E11" s="6" t="s">
        <v>513</v>
      </c>
      <c r="F11" s="6" t="s">
        <v>512</v>
      </c>
      <c r="G11" s="6" t="s">
        <v>511</v>
      </c>
      <c r="H11" s="6" t="s">
        <v>510</v>
      </c>
      <c r="I11" s="6" t="s">
        <v>509</v>
      </c>
      <c r="J11" s="6" t="s">
        <v>508</v>
      </c>
      <c r="K11" s="75" t="s">
        <v>507</v>
      </c>
      <c r="L11" s="75" t="s">
        <v>506</v>
      </c>
      <c r="M11" s="6" t="s">
        <v>505</v>
      </c>
      <c r="N11" s="6"/>
      <c r="O11" s="68" t="s">
        <v>504</v>
      </c>
      <c r="P11" s="6" t="s">
        <v>503</v>
      </c>
      <c r="Q11" s="75" t="s">
        <v>502</v>
      </c>
      <c r="R11" s="28"/>
      <c r="S11" s="6"/>
      <c r="U11" s="6" t="s">
        <v>501</v>
      </c>
      <c r="V11" s="6" t="s">
        <v>500</v>
      </c>
      <c r="W11" s="6" t="s">
        <v>499</v>
      </c>
      <c r="X11" s="67" t="s">
        <v>398</v>
      </c>
      <c r="AB11" s="6" t="s">
        <v>505</v>
      </c>
      <c r="AC11" s="75" t="s">
        <v>502</v>
      </c>
    </row>
    <row r="12" spans="2:29">
      <c r="B12" s="1" t="s">
        <v>173</v>
      </c>
      <c r="C12" s="1" t="s">
        <v>192</v>
      </c>
      <c r="D12">
        <v>144</v>
      </c>
      <c r="E12">
        <v>3500</v>
      </c>
      <c r="F12">
        <v>181</v>
      </c>
      <c r="G12" t="e">
        <v>#N/A</v>
      </c>
      <c r="H12">
        <v>11</v>
      </c>
      <c r="I12">
        <v>2</v>
      </c>
      <c r="J12">
        <v>13</v>
      </c>
      <c r="K12" s="66">
        <f t="shared" ref="K12:K43" si="9">H12/D12</f>
        <v>7.6388888888888895E-2</v>
      </c>
      <c r="L12" s="66">
        <f t="shared" ref="L12:L43" si="10">I12/E12</f>
        <v>5.7142857142857147E-4</v>
      </c>
      <c r="M12" s="66">
        <f t="shared" ref="M12:M43" si="11">J12/F12</f>
        <v>7.18232044198895E-2</v>
      </c>
      <c r="N12" s="66"/>
      <c r="O12" s="48">
        <v>652230</v>
      </c>
      <c r="P12" s="47">
        <v>13.388152539439547</v>
      </c>
      <c r="Q12" s="2">
        <f t="shared" ref="Q12:Q43" si="12">J12/P12</f>
        <v>0.9710077594129507</v>
      </c>
      <c r="R12" s="47"/>
      <c r="S12" s="1" t="s">
        <v>173</v>
      </c>
      <c r="T12" s="1" t="s">
        <v>192</v>
      </c>
      <c r="U12" s="2">
        <f t="shared" ref="U12:U43" si="13">MIN(1,(K12-U$9)/(U$10-U$9))</f>
        <v>0.25462962962962965</v>
      </c>
      <c r="V12" s="2">
        <f t="shared" ref="V12:V43" si="14">MIN(1,(L12-V$9)/(V$10-V$9))</f>
        <v>1.9047619047619049E-2</v>
      </c>
      <c r="W12" s="2">
        <f t="shared" ref="W12:W43" si="15">MIN(1,(Q12-W$9)/(W$10-W$9))</f>
        <v>0.32366925313765021</v>
      </c>
      <c r="X12" s="2">
        <f t="shared" ref="X12:X43" si="16">IF(COUNT(U12:W12),mmean(U12:W12),NA())</f>
        <v>0.1991155006049663</v>
      </c>
      <c r="AB12" s="66">
        <v>7.18232044198895E-2</v>
      </c>
      <c r="AC12" s="2">
        <v>0.9710077594129507</v>
      </c>
    </row>
    <row r="13" spans="2:29">
      <c r="B13" s="1" t="s">
        <v>123</v>
      </c>
      <c r="C13" s="1" t="s">
        <v>193</v>
      </c>
      <c r="D13">
        <v>73</v>
      </c>
      <c r="E13">
        <v>2965</v>
      </c>
      <c r="F13">
        <v>193</v>
      </c>
      <c r="G13" t="e">
        <v>#N/A</v>
      </c>
      <c r="H13">
        <v>3</v>
      </c>
      <c r="I13">
        <v>0</v>
      </c>
      <c r="J13">
        <v>6</v>
      </c>
      <c r="K13" s="66">
        <f t="shared" si="9"/>
        <v>4.1095890410958902E-2</v>
      </c>
      <c r="L13" s="66">
        <f t="shared" si="10"/>
        <v>0</v>
      </c>
      <c r="M13" s="66">
        <f t="shared" si="11"/>
        <v>3.1088082901554404E-2</v>
      </c>
      <c r="N13" s="66"/>
      <c r="O13" s="48">
        <v>27400</v>
      </c>
      <c r="P13" s="47">
        <v>10.218298292376161</v>
      </c>
      <c r="Q13" s="2">
        <f t="shared" si="12"/>
        <v>0.58718191897730954</v>
      </c>
      <c r="R13" s="47"/>
      <c r="S13" s="1" t="s">
        <v>123</v>
      </c>
      <c r="T13" s="1" t="s">
        <v>193</v>
      </c>
      <c r="U13" s="2">
        <f t="shared" si="13"/>
        <v>0.13698630136986301</v>
      </c>
      <c r="V13" s="2">
        <f t="shared" si="14"/>
        <v>0</v>
      </c>
      <c r="W13" s="2">
        <f t="shared" si="15"/>
        <v>0.19572730632576985</v>
      </c>
      <c r="X13" s="2">
        <f t="shared" si="16"/>
        <v>0.11090453589854428</v>
      </c>
      <c r="AB13" s="66">
        <v>3.1088082901554404E-2</v>
      </c>
      <c r="AC13" s="2">
        <v>0.58718191897730954</v>
      </c>
    </row>
    <row r="14" spans="2:29">
      <c r="B14" s="1" t="s">
        <v>74</v>
      </c>
      <c r="C14" s="1" t="s">
        <v>194</v>
      </c>
      <c r="D14">
        <v>100</v>
      </c>
      <c r="E14">
        <v>3100</v>
      </c>
      <c r="F14">
        <v>183</v>
      </c>
      <c r="G14" t="e">
        <v>#N/A</v>
      </c>
      <c r="H14">
        <v>14</v>
      </c>
      <c r="I14">
        <v>3</v>
      </c>
      <c r="J14">
        <v>11</v>
      </c>
      <c r="K14" s="66">
        <f t="shared" si="9"/>
        <v>0.14000000000000001</v>
      </c>
      <c r="L14" s="66">
        <f t="shared" si="10"/>
        <v>9.6774193548387097E-4</v>
      </c>
      <c r="M14" s="66">
        <f t="shared" si="11"/>
        <v>6.0109289617486336E-2</v>
      </c>
      <c r="N14" s="66"/>
      <c r="O14" s="48">
        <v>2381740</v>
      </c>
      <c r="P14" s="47">
        <v>14.683341870966741</v>
      </c>
      <c r="Q14" s="2">
        <f t="shared" si="12"/>
        <v>0.74914825907242655</v>
      </c>
      <c r="R14" s="47"/>
      <c r="S14" s="1" t="s">
        <v>74</v>
      </c>
      <c r="T14" s="1" t="s">
        <v>194</v>
      </c>
      <c r="U14" s="2">
        <f t="shared" si="13"/>
        <v>0.46666666666666673</v>
      </c>
      <c r="V14" s="2">
        <f t="shared" si="14"/>
        <v>3.2258064516129031E-2</v>
      </c>
      <c r="W14" s="2">
        <f t="shared" si="15"/>
        <v>0.24971608635747553</v>
      </c>
      <c r="X14" s="2">
        <f t="shared" si="16"/>
        <v>0.24954693918009044</v>
      </c>
      <c r="AB14" s="66">
        <v>6.0109289617486336E-2</v>
      </c>
      <c r="AC14" s="2">
        <v>0.74914825907242655</v>
      </c>
    </row>
    <row r="15" spans="2:29">
      <c r="B15" s="1" t="s">
        <v>17</v>
      </c>
      <c r="C15" s="1" t="s">
        <v>195</v>
      </c>
      <c r="D15">
        <v>15</v>
      </c>
      <c r="E15" t="e">
        <v>#N/A</v>
      </c>
      <c r="F15" t="e">
        <v>#N/A</v>
      </c>
      <c r="G15" t="e">
        <v>#N/A</v>
      </c>
      <c r="H15">
        <v>2</v>
      </c>
      <c r="I15">
        <v>0</v>
      </c>
      <c r="J15">
        <v>0</v>
      </c>
      <c r="K15" s="66">
        <f t="shared" si="9"/>
        <v>0.13333333333333333</v>
      </c>
      <c r="L15" s="66" t="e">
        <f t="shared" si="10"/>
        <v>#N/A</v>
      </c>
      <c r="M15" s="66" t="e">
        <f t="shared" si="11"/>
        <v>#N/A</v>
      </c>
      <c r="N15" s="66"/>
      <c r="O15" s="48">
        <v>468</v>
      </c>
      <c r="P15" s="47">
        <v>6.1484682959176471</v>
      </c>
      <c r="Q15" s="2">
        <f t="shared" si="12"/>
        <v>0</v>
      </c>
      <c r="R15" s="47"/>
      <c r="S15" s="1" t="s">
        <v>17</v>
      </c>
      <c r="T15" s="1" t="s">
        <v>195</v>
      </c>
      <c r="U15" s="2">
        <f t="shared" si="13"/>
        <v>0.44444444444444448</v>
      </c>
      <c r="V15" s="2" t="e">
        <f t="shared" si="14"/>
        <v>#N/A</v>
      </c>
      <c r="W15" s="2">
        <f t="shared" si="15"/>
        <v>0</v>
      </c>
      <c r="X15" s="2">
        <f t="shared" si="16"/>
        <v>0.22222222222222224</v>
      </c>
      <c r="AB15" s="66" t="e">
        <v>#N/A</v>
      </c>
      <c r="AC15" s="2">
        <v>0</v>
      </c>
    </row>
    <row r="16" spans="2:29">
      <c r="B16" s="1" t="s">
        <v>98</v>
      </c>
      <c r="C16" s="1" t="s">
        <v>196</v>
      </c>
      <c r="D16">
        <v>296</v>
      </c>
      <c r="E16">
        <v>5000</v>
      </c>
      <c r="F16">
        <v>265</v>
      </c>
      <c r="G16">
        <v>930</v>
      </c>
      <c r="H16">
        <v>14</v>
      </c>
      <c r="I16">
        <v>26</v>
      </c>
      <c r="J16">
        <v>19</v>
      </c>
      <c r="K16" s="66">
        <f t="shared" si="9"/>
        <v>4.72972972972973E-2</v>
      </c>
      <c r="L16" s="66">
        <f t="shared" si="10"/>
        <v>5.1999999999999998E-3</v>
      </c>
      <c r="M16" s="66">
        <f t="shared" si="11"/>
        <v>7.1698113207547168E-2</v>
      </c>
      <c r="N16" s="66"/>
      <c r="O16" s="48">
        <v>1246700</v>
      </c>
      <c r="P16" s="47">
        <v>14.036010618333066</v>
      </c>
      <c r="Q16" s="2">
        <f t="shared" si="12"/>
        <v>1.3536609879151305</v>
      </c>
      <c r="R16" s="47"/>
      <c r="S16" s="1" t="s">
        <v>98</v>
      </c>
      <c r="T16" s="1" t="s">
        <v>196</v>
      </c>
      <c r="U16" s="2">
        <f t="shared" si="13"/>
        <v>0.15765765765765768</v>
      </c>
      <c r="V16" s="2">
        <f t="shared" si="14"/>
        <v>0.17333333333333334</v>
      </c>
      <c r="W16" s="2">
        <f t="shared" si="15"/>
        <v>0.45122032930504347</v>
      </c>
      <c r="X16" s="2">
        <f t="shared" si="16"/>
        <v>0.26073710676534484</v>
      </c>
      <c r="AB16" s="66">
        <v>7.1698113207547168E-2</v>
      </c>
      <c r="AC16" s="2">
        <v>1.3536609879151305</v>
      </c>
    </row>
    <row r="17" spans="2:29">
      <c r="B17" s="1" t="s">
        <v>157</v>
      </c>
      <c r="C17" s="1" t="s">
        <v>197</v>
      </c>
      <c r="D17">
        <v>8</v>
      </c>
      <c r="E17">
        <v>766</v>
      </c>
      <c r="F17" t="e">
        <v>#N/A</v>
      </c>
      <c r="G17" t="e">
        <v>#N/A</v>
      </c>
      <c r="H17">
        <v>2</v>
      </c>
      <c r="I17">
        <v>4</v>
      </c>
      <c r="J17">
        <v>1</v>
      </c>
      <c r="K17" s="66">
        <f t="shared" si="9"/>
        <v>0.25</v>
      </c>
      <c r="L17" s="66">
        <f t="shared" si="10"/>
        <v>5.2219321148825066E-3</v>
      </c>
      <c r="M17" s="66" t="e">
        <f t="shared" si="11"/>
        <v>#N/A</v>
      </c>
      <c r="N17" s="66"/>
      <c r="O17" s="48">
        <v>440</v>
      </c>
      <c r="P17" s="47">
        <v>6.0867747269123065</v>
      </c>
      <c r="Q17" s="2">
        <f t="shared" si="12"/>
        <v>0.16429062103753578</v>
      </c>
      <c r="R17" s="47"/>
      <c r="S17" s="1" t="s">
        <v>157</v>
      </c>
      <c r="T17" s="1" t="s">
        <v>197</v>
      </c>
      <c r="U17" s="2">
        <f t="shared" si="13"/>
        <v>0.83333333333333337</v>
      </c>
      <c r="V17" s="2">
        <f t="shared" si="14"/>
        <v>0.1740644038294169</v>
      </c>
      <c r="W17" s="2">
        <f t="shared" si="15"/>
        <v>5.4763540345845262E-2</v>
      </c>
      <c r="X17" s="2">
        <f t="shared" si="16"/>
        <v>0.35405375916953186</v>
      </c>
      <c r="AB17" s="66" t="e">
        <v>#N/A</v>
      </c>
      <c r="AC17" s="2">
        <v>0.16429062103753578</v>
      </c>
    </row>
    <row r="18" spans="2:29">
      <c r="B18" s="1" t="s">
        <v>13</v>
      </c>
      <c r="C18" s="1" t="s">
        <v>198</v>
      </c>
      <c r="D18">
        <v>375</v>
      </c>
      <c r="E18">
        <v>9000</v>
      </c>
      <c r="F18">
        <v>362</v>
      </c>
      <c r="G18">
        <v>1038</v>
      </c>
      <c r="H18">
        <v>35</v>
      </c>
      <c r="I18">
        <v>44</v>
      </c>
      <c r="J18">
        <v>50</v>
      </c>
      <c r="K18" s="66">
        <f t="shared" si="9"/>
        <v>9.3333333333333338E-2</v>
      </c>
      <c r="L18" s="66">
        <f t="shared" si="10"/>
        <v>4.8888888888888888E-3</v>
      </c>
      <c r="M18" s="66">
        <f t="shared" si="11"/>
        <v>0.13812154696132597</v>
      </c>
      <c r="N18" s="66"/>
      <c r="O18" s="48">
        <v>2736690</v>
      </c>
      <c r="P18" s="47">
        <v>14.822259718911729</v>
      </c>
      <c r="Q18" s="2">
        <f t="shared" si="12"/>
        <v>3.3733048096711578</v>
      </c>
      <c r="R18" s="47"/>
      <c r="S18" s="1" t="s">
        <v>13</v>
      </c>
      <c r="T18" s="1" t="s">
        <v>198</v>
      </c>
      <c r="U18" s="2">
        <f t="shared" si="13"/>
        <v>0.31111111111111112</v>
      </c>
      <c r="V18" s="2">
        <f t="shared" si="14"/>
        <v>0.16296296296296298</v>
      </c>
      <c r="W18" s="2">
        <f t="shared" si="15"/>
        <v>1</v>
      </c>
      <c r="X18" s="2">
        <f t="shared" si="16"/>
        <v>0.49135802469135803</v>
      </c>
      <c r="AB18" s="66">
        <v>0.13812154696132597</v>
      </c>
      <c r="AC18" s="2">
        <v>3.3733048096711578</v>
      </c>
    </row>
    <row r="19" spans="2:29">
      <c r="B19" s="1" t="s">
        <v>75</v>
      </c>
      <c r="C19" s="1" t="s">
        <v>199</v>
      </c>
      <c r="D19">
        <v>78</v>
      </c>
      <c r="E19">
        <v>3300</v>
      </c>
      <c r="F19">
        <v>236</v>
      </c>
      <c r="G19" t="e">
        <v>#N/A</v>
      </c>
      <c r="H19">
        <v>9</v>
      </c>
      <c r="I19">
        <v>1</v>
      </c>
      <c r="J19">
        <v>10</v>
      </c>
      <c r="K19" s="66">
        <f t="shared" si="9"/>
        <v>0.11538461538461539</v>
      </c>
      <c r="L19" s="66">
        <f t="shared" si="10"/>
        <v>3.0303030303030303E-4</v>
      </c>
      <c r="M19" s="66">
        <f t="shared" si="11"/>
        <v>4.2372881355932202E-2</v>
      </c>
      <c r="N19" s="66"/>
      <c r="O19" s="48">
        <v>28200</v>
      </c>
      <c r="P19" s="47">
        <v>10.247077256926206</v>
      </c>
      <c r="Q19" s="2">
        <f t="shared" si="12"/>
        <v>0.97588802633851512</v>
      </c>
      <c r="R19" s="47"/>
      <c r="S19" s="1" t="s">
        <v>75</v>
      </c>
      <c r="T19" s="1" t="s">
        <v>199</v>
      </c>
      <c r="U19" s="2">
        <f t="shared" si="13"/>
        <v>0.38461538461538464</v>
      </c>
      <c r="V19" s="2">
        <f t="shared" si="14"/>
        <v>1.0101010101010102E-2</v>
      </c>
      <c r="W19" s="2">
        <f t="shared" si="15"/>
        <v>0.32529600877950504</v>
      </c>
      <c r="X19" s="2">
        <f t="shared" si="16"/>
        <v>0.24000413449863325</v>
      </c>
      <c r="AB19" s="66">
        <v>4.2372881355932202E-2</v>
      </c>
      <c r="AC19" s="2">
        <v>0.97588802633851512</v>
      </c>
    </row>
    <row r="20" spans="2:29">
      <c r="B20" s="1" t="s">
        <v>16</v>
      </c>
      <c r="C20" s="1" t="s">
        <v>200</v>
      </c>
      <c r="D20">
        <v>376</v>
      </c>
      <c r="E20">
        <v>15000</v>
      </c>
      <c r="F20" s="54">
        <v>760</v>
      </c>
      <c r="G20">
        <v>851</v>
      </c>
      <c r="H20">
        <v>55</v>
      </c>
      <c r="I20">
        <v>55</v>
      </c>
      <c r="J20">
        <v>49</v>
      </c>
      <c r="K20" s="66">
        <f t="shared" si="9"/>
        <v>0.14627659574468085</v>
      </c>
      <c r="L20" s="66">
        <f t="shared" si="10"/>
        <v>3.6666666666666666E-3</v>
      </c>
      <c r="M20" s="66">
        <f t="shared" si="11"/>
        <v>6.4473684210526322E-2</v>
      </c>
      <c r="N20" s="66"/>
      <c r="O20" s="48">
        <v>7682300</v>
      </c>
      <c r="P20" s="47">
        <v>15.854429539455587</v>
      </c>
      <c r="Q20" s="2">
        <f t="shared" si="12"/>
        <v>3.0906189262791082</v>
      </c>
      <c r="R20" s="47"/>
      <c r="S20" s="1" t="s">
        <v>16</v>
      </c>
      <c r="T20" s="1" t="s">
        <v>200</v>
      </c>
      <c r="U20" s="2">
        <f t="shared" si="13"/>
        <v>0.48758865248226951</v>
      </c>
      <c r="V20" s="2">
        <f t="shared" si="14"/>
        <v>0.12222222222222222</v>
      </c>
      <c r="W20" s="2">
        <f t="shared" si="15"/>
        <v>1</v>
      </c>
      <c r="X20" s="2">
        <f t="shared" si="16"/>
        <v>0.53660362490149727</v>
      </c>
      <c r="AB20" s="66">
        <v>6.4473684210526322E-2</v>
      </c>
      <c r="AC20" s="2">
        <v>3.0906189262791082</v>
      </c>
    </row>
    <row r="21" spans="2:29">
      <c r="B21" s="1" t="s">
        <v>69</v>
      </c>
      <c r="C21" s="1" t="s">
        <v>201</v>
      </c>
      <c r="D21">
        <v>101</v>
      </c>
      <c r="E21">
        <v>2950</v>
      </c>
      <c r="F21">
        <v>230</v>
      </c>
      <c r="G21" t="e">
        <v>#N/A</v>
      </c>
      <c r="H21">
        <v>4</v>
      </c>
      <c r="I21">
        <v>4</v>
      </c>
      <c r="J21">
        <v>9</v>
      </c>
      <c r="K21" s="66">
        <f t="shared" si="9"/>
        <v>3.9603960396039604E-2</v>
      </c>
      <c r="L21" s="66">
        <f t="shared" si="10"/>
        <v>1.3559322033898306E-3</v>
      </c>
      <c r="M21" s="66">
        <f t="shared" si="11"/>
        <v>3.9130434782608699E-2</v>
      </c>
      <c r="N21" s="66"/>
      <c r="O21" s="48">
        <v>82450</v>
      </c>
      <c r="P21" s="47">
        <v>11.319947327987745</v>
      </c>
      <c r="Q21" s="2">
        <f t="shared" si="12"/>
        <v>0.79505670293607777</v>
      </c>
      <c r="R21" s="47"/>
      <c r="S21" s="1" t="s">
        <v>69</v>
      </c>
      <c r="T21" s="1" t="s">
        <v>201</v>
      </c>
      <c r="U21" s="2">
        <f t="shared" si="13"/>
        <v>0.13201320132013203</v>
      </c>
      <c r="V21" s="2">
        <f t="shared" si="14"/>
        <v>4.5197740112994357E-2</v>
      </c>
      <c r="W21" s="2">
        <f t="shared" si="15"/>
        <v>0.26501890097869257</v>
      </c>
      <c r="X21" s="2">
        <f t="shared" si="16"/>
        <v>0.14740994747060632</v>
      </c>
      <c r="AB21" s="66">
        <v>3.9130434782608699E-2</v>
      </c>
      <c r="AC21" s="2">
        <v>0.79505670293607777</v>
      </c>
    </row>
    <row r="22" spans="2:29">
      <c r="B22" s="1" t="s">
        <v>110</v>
      </c>
      <c r="C22" s="1" t="s">
        <v>202</v>
      </c>
      <c r="D22">
        <v>82</v>
      </c>
      <c r="E22" t="e">
        <v>#N/A</v>
      </c>
      <c r="F22">
        <v>229</v>
      </c>
      <c r="G22" t="e">
        <v>#N/A</v>
      </c>
      <c r="H22">
        <v>7</v>
      </c>
      <c r="I22">
        <v>0</v>
      </c>
      <c r="J22">
        <v>15</v>
      </c>
      <c r="K22" s="66">
        <f t="shared" si="9"/>
        <v>8.5365853658536592E-2</v>
      </c>
      <c r="L22" s="66" t="e">
        <f t="shared" si="10"/>
        <v>#N/A</v>
      </c>
      <c r="M22" s="66">
        <f t="shared" si="11"/>
        <v>6.5502183406113537E-2</v>
      </c>
      <c r="N22" s="66"/>
      <c r="O22" s="48">
        <v>82629</v>
      </c>
      <c r="P22" s="47">
        <v>11.32211598747992</v>
      </c>
      <c r="Q22" s="2">
        <f t="shared" si="12"/>
        <v>1.3248406937879025</v>
      </c>
      <c r="R22" s="47"/>
      <c r="S22" s="1" t="s">
        <v>110</v>
      </c>
      <c r="T22" s="1" t="s">
        <v>202</v>
      </c>
      <c r="U22" s="2">
        <f t="shared" si="13"/>
        <v>0.28455284552845533</v>
      </c>
      <c r="V22" s="2" t="e">
        <f t="shared" si="14"/>
        <v>#N/A</v>
      </c>
      <c r="W22" s="2">
        <f t="shared" si="15"/>
        <v>0.44161356459596751</v>
      </c>
      <c r="X22" s="2">
        <f t="shared" si="16"/>
        <v>0.36308320506221142</v>
      </c>
      <c r="AB22" s="66">
        <v>6.5502183406113537E-2</v>
      </c>
      <c r="AC22" s="2">
        <v>1.3248406937879025</v>
      </c>
    </row>
    <row r="23" spans="2:29">
      <c r="B23" s="1" t="s">
        <v>26</v>
      </c>
      <c r="C23" s="1" t="s">
        <v>203</v>
      </c>
      <c r="D23">
        <v>31</v>
      </c>
      <c r="E23">
        <v>1172</v>
      </c>
      <c r="F23" t="e">
        <v>#N/A</v>
      </c>
      <c r="G23" t="e">
        <v>#N/A</v>
      </c>
      <c r="H23">
        <v>7</v>
      </c>
      <c r="I23">
        <v>5</v>
      </c>
      <c r="J23">
        <v>5</v>
      </c>
      <c r="K23" s="66">
        <f t="shared" si="9"/>
        <v>0.22580645161290322</v>
      </c>
      <c r="L23" s="66">
        <f t="shared" si="10"/>
        <v>4.2662116040955633E-3</v>
      </c>
      <c r="M23" s="66" t="e">
        <f t="shared" si="11"/>
        <v>#N/A</v>
      </c>
      <c r="N23" s="66"/>
      <c r="O23" s="48">
        <v>10010</v>
      </c>
      <c r="P23" s="47">
        <v>9.2113398723092654</v>
      </c>
      <c r="Q23" s="2">
        <f t="shared" si="12"/>
        <v>0.54280919706706132</v>
      </c>
      <c r="R23" s="47"/>
      <c r="S23" s="1" t="s">
        <v>26</v>
      </c>
      <c r="T23" s="1" t="s">
        <v>203</v>
      </c>
      <c r="U23" s="2">
        <f t="shared" si="13"/>
        <v>0.75268817204301075</v>
      </c>
      <c r="V23" s="2">
        <f t="shared" si="14"/>
        <v>0.1422070534698521</v>
      </c>
      <c r="W23" s="2">
        <f t="shared" si="15"/>
        <v>0.18093639902235378</v>
      </c>
      <c r="X23" s="2">
        <f t="shared" si="16"/>
        <v>0.35861054151173888</v>
      </c>
      <c r="AB23" s="66" t="e">
        <v>#N/A</v>
      </c>
      <c r="AC23" s="2">
        <v>0.54280919706706132</v>
      </c>
    </row>
    <row r="24" spans="2:29">
      <c r="B24" s="1" t="s">
        <v>15</v>
      </c>
      <c r="C24" s="1" t="s">
        <v>204</v>
      </c>
      <c r="D24">
        <v>14</v>
      </c>
      <c r="E24">
        <v>195</v>
      </c>
      <c r="F24" s="54">
        <v>260</v>
      </c>
      <c r="G24" t="e">
        <v>#N/A</v>
      </c>
      <c r="H24">
        <v>3</v>
      </c>
      <c r="I24">
        <v>0</v>
      </c>
      <c r="J24">
        <v>4</v>
      </c>
      <c r="K24" s="66">
        <f t="shared" si="9"/>
        <v>0.21428571428571427</v>
      </c>
      <c r="L24" s="66">
        <f t="shared" si="10"/>
        <v>0</v>
      </c>
      <c r="M24" s="66">
        <f t="shared" si="11"/>
        <v>1.5384615384615385E-2</v>
      </c>
      <c r="N24" s="66"/>
      <c r="O24" s="48">
        <v>710</v>
      </c>
      <c r="P24" s="47">
        <v>6.5652649700353614</v>
      </c>
      <c r="Q24" s="2">
        <f t="shared" si="12"/>
        <v>0.6092671077643429</v>
      </c>
      <c r="R24" s="47"/>
      <c r="S24" s="1" t="s">
        <v>15</v>
      </c>
      <c r="T24" s="1" t="s">
        <v>204</v>
      </c>
      <c r="U24" s="2">
        <f t="shared" si="13"/>
        <v>0.7142857142857143</v>
      </c>
      <c r="V24" s="2">
        <f t="shared" si="14"/>
        <v>0</v>
      </c>
      <c r="W24" s="2">
        <f t="shared" si="15"/>
        <v>0.20308903592144764</v>
      </c>
      <c r="X24" s="2">
        <f t="shared" si="16"/>
        <v>0.30579158340238732</v>
      </c>
      <c r="AB24" s="66">
        <v>1.5384615384615385E-2</v>
      </c>
      <c r="AC24" s="2">
        <v>0.6092671077643429</v>
      </c>
    </row>
    <row r="25" spans="2:29">
      <c r="B25" s="1" t="s">
        <v>166</v>
      </c>
      <c r="C25" s="1" t="s">
        <v>205</v>
      </c>
      <c r="D25">
        <v>131</v>
      </c>
      <c r="E25">
        <v>5000</v>
      </c>
      <c r="F25">
        <v>166</v>
      </c>
      <c r="G25">
        <v>604</v>
      </c>
      <c r="H25">
        <v>34</v>
      </c>
      <c r="I25">
        <v>12</v>
      </c>
      <c r="J25">
        <v>27</v>
      </c>
      <c r="K25" s="66">
        <f t="shared" si="9"/>
        <v>0.25954198473282442</v>
      </c>
      <c r="L25" s="66">
        <f t="shared" si="10"/>
        <v>2.3999999999999998E-3</v>
      </c>
      <c r="M25" s="66">
        <f t="shared" si="11"/>
        <v>0.16265060240963855</v>
      </c>
      <c r="N25" s="66"/>
      <c r="O25" s="48">
        <v>130170</v>
      </c>
      <c r="P25" s="47">
        <v>11.776596567460507</v>
      </c>
      <c r="Q25" s="2">
        <f t="shared" si="12"/>
        <v>2.2926827666494694</v>
      </c>
      <c r="R25" s="47"/>
      <c r="S25" s="1" t="s">
        <v>166</v>
      </c>
      <c r="T25" s="1" t="s">
        <v>205</v>
      </c>
      <c r="U25" s="2">
        <f t="shared" si="13"/>
        <v>0.86513994910941472</v>
      </c>
      <c r="V25" s="2">
        <f t="shared" si="14"/>
        <v>0.08</v>
      </c>
      <c r="W25" s="2">
        <f t="shared" si="15"/>
        <v>0.76422758888315645</v>
      </c>
      <c r="X25" s="2">
        <f t="shared" si="16"/>
        <v>0.56978917933085704</v>
      </c>
      <c r="AB25" s="66">
        <v>0.16265060240963855</v>
      </c>
      <c r="AC25" s="2">
        <v>2.2926827666494694</v>
      </c>
    </row>
    <row r="26" spans="2:29">
      <c r="B26" s="1" t="s">
        <v>133</v>
      </c>
      <c r="C26" s="1" t="s">
        <v>206</v>
      </c>
      <c r="D26">
        <v>13</v>
      </c>
      <c r="E26">
        <v>542</v>
      </c>
      <c r="F26" s="54">
        <v>65</v>
      </c>
      <c r="G26" t="e">
        <v>#N/A</v>
      </c>
      <c r="H26">
        <v>3</v>
      </c>
      <c r="I26">
        <v>2</v>
      </c>
      <c r="J26">
        <v>1</v>
      </c>
      <c r="K26" s="66">
        <f t="shared" si="9"/>
        <v>0.23076923076923078</v>
      </c>
      <c r="L26" s="66">
        <f t="shared" si="10"/>
        <v>3.6900369003690036E-3</v>
      </c>
      <c r="M26" s="66">
        <f t="shared" si="11"/>
        <v>1.5384615384615385E-2</v>
      </c>
      <c r="N26" s="66"/>
      <c r="O26" s="48">
        <v>430</v>
      </c>
      <c r="P26" s="47">
        <v>6.0637852086876078</v>
      </c>
      <c r="Q26" s="2">
        <f t="shared" si="12"/>
        <v>0.16491349307150527</v>
      </c>
      <c r="R26" s="47"/>
      <c r="S26" s="1" t="s">
        <v>133</v>
      </c>
      <c r="T26" s="1" t="s">
        <v>206</v>
      </c>
      <c r="U26" s="2">
        <f t="shared" si="13"/>
        <v>0.76923076923076927</v>
      </c>
      <c r="V26" s="2">
        <f t="shared" si="14"/>
        <v>0.12300123001230012</v>
      </c>
      <c r="W26" s="2">
        <f t="shared" si="15"/>
        <v>5.4971164357168423E-2</v>
      </c>
      <c r="X26" s="2">
        <f t="shared" si="16"/>
        <v>0.31573438786674596</v>
      </c>
      <c r="AB26" s="66">
        <v>1.5384615384615385E-2</v>
      </c>
      <c r="AC26" s="2">
        <v>0.16491349307150527</v>
      </c>
    </row>
    <row r="27" spans="2:29">
      <c r="B27" s="1" t="s">
        <v>51</v>
      </c>
      <c r="C27" s="1" t="s">
        <v>207</v>
      </c>
      <c r="D27">
        <v>71</v>
      </c>
      <c r="E27">
        <v>1590</v>
      </c>
      <c r="F27">
        <v>194</v>
      </c>
      <c r="G27" t="e">
        <v>#N/A</v>
      </c>
      <c r="H27">
        <v>4</v>
      </c>
      <c r="I27">
        <v>0</v>
      </c>
      <c r="J27">
        <v>4</v>
      </c>
      <c r="K27" s="66">
        <f t="shared" si="9"/>
        <v>5.6338028169014086E-2</v>
      </c>
      <c r="L27" s="66">
        <f t="shared" si="10"/>
        <v>0</v>
      </c>
      <c r="M27" s="66">
        <f t="shared" si="11"/>
        <v>2.0618556701030927E-2</v>
      </c>
      <c r="N27" s="66"/>
      <c r="O27" s="48">
        <v>202900</v>
      </c>
      <c r="P27" s="47">
        <v>12.220468525813907</v>
      </c>
      <c r="Q27" s="2">
        <f t="shared" si="12"/>
        <v>0.32731969249383525</v>
      </c>
      <c r="R27" s="47"/>
      <c r="S27" s="1" t="s">
        <v>51</v>
      </c>
      <c r="T27" s="1" t="s">
        <v>207</v>
      </c>
      <c r="U27" s="2">
        <f t="shared" si="13"/>
        <v>0.18779342723004697</v>
      </c>
      <c r="V27" s="2">
        <f t="shared" si="14"/>
        <v>0</v>
      </c>
      <c r="W27" s="2">
        <f t="shared" si="15"/>
        <v>0.10910656416461174</v>
      </c>
      <c r="X27" s="2">
        <f t="shared" si="16"/>
        <v>9.896666379821957E-2</v>
      </c>
      <c r="AB27" s="66">
        <v>2.0618556701030927E-2</v>
      </c>
      <c r="AC27" s="2">
        <v>0.32731969249383525</v>
      </c>
    </row>
    <row r="28" spans="2:29">
      <c r="B28" s="1" t="s">
        <v>4</v>
      </c>
      <c r="C28" s="1" t="s">
        <v>208</v>
      </c>
      <c r="D28">
        <v>92</v>
      </c>
      <c r="E28">
        <v>1400</v>
      </c>
      <c r="F28">
        <v>191</v>
      </c>
      <c r="G28" t="e">
        <v>#N/A</v>
      </c>
      <c r="H28">
        <v>3</v>
      </c>
      <c r="I28">
        <v>1</v>
      </c>
      <c r="J28">
        <v>2</v>
      </c>
      <c r="K28" s="66">
        <f t="shared" si="9"/>
        <v>3.2608695652173912E-2</v>
      </c>
      <c r="L28" s="66">
        <f t="shared" si="10"/>
        <v>7.1428571428571429E-4</v>
      </c>
      <c r="M28" s="66">
        <f t="shared" si="11"/>
        <v>1.0471204188481676E-2</v>
      </c>
      <c r="N28" s="66"/>
      <c r="O28" s="48">
        <v>30280</v>
      </c>
      <c r="P28" s="47">
        <v>10.318242707551384</v>
      </c>
      <c r="Q28" s="2">
        <f t="shared" si="12"/>
        <v>0.19383145528611226</v>
      </c>
      <c r="R28" s="47"/>
      <c r="S28" s="1" t="s">
        <v>4</v>
      </c>
      <c r="T28" s="1" t="s">
        <v>208</v>
      </c>
      <c r="U28" s="2">
        <f t="shared" si="13"/>
        <v>0.10869565217391304</v>
      </c>
      <c r="V28" s="2">
        <f t="shared" si="14"/>
        <v>2.3809523809523812E-2</v>
      </c>
      <c r="W28" s="2">
        <f t="shared" si="15"/>
        <v>6.4610485095370748E-2</v>
      </c>
      <c r="X28" s="2">
        <f t="shared" si="16"/>
        <v>6.5705220359602537E-2</v>
      </c>
      <c r="AB28" s="66">
        <v>1.0471204188481676E-2</v>
      </c>
      <c r="AC28" s="2">
        <v>0.19383145528611226</v>
      </c>
    </row>
    <row r="29" spans="2:29">
      <c r="B29" s="1" t="s">
        <v>109</v>
      </c>
      <c r="C29" s="1" t="s">
        <v>209</v>
      </c>
      <c r="D29">
        <v>147</v>
      </c>
      <c r="E29">
        <v>2750</v>
      </c>
      <c r="F29">
        <v>161</v>
      </c>
      <c r="G29" t="e">
        <v>#N/A</v>
      </c>
      <c r="H29">
        <v>7</v>
      </c>
      <c r="I29">
        <v>30</v>
      </c>
      <c r="J29">
        <v>4</v>
      </c>
      <c r="K29" s="66">
        <f t="shared" si="9"/>
        <v>4.7619047619047616E-2</v>
      </c>
      <c r="L29" s="66">
        <f t="shared" si="10"/>
        <v>1.090909090909091E-2</v>
      </c>
      <c r="M29" s="66">
        <f t="shared" si="11"/>
        <v>2.4844720496894408E-2</v>
      </c>
      <c r="N29" s="66"/>
      <c r="O29" s="48">
        <v>22810</v>
      </c>
      <c r="P29" s="47">
        <v>10.034954315278434</v>
      </c>
      <c r="Q29" s="2">
        <f t="shared" si="12"/>
        <v>0.39860669758206213</v>
      </c>
      <c r="R29" s="47"/>
      <c r="S29" s="1" t="s">
        <v>109</v>
      </c>
      <c r="T29" s="1" t="s">
        <v>209</v>
      </c>
      <c r="U29" s="2">
        <f t="shared" si="13"/>
        <v>0.15873015873015872</v>
      </c>
      <c r="V29" s="2">
        <f t="shared" si="14"/>
        <v>0.3636363636363637</v>
      </c>
      <c r="W29" s="2">
        <f t="shared" si="15"/>
        <v>0.1328688991940207</v>
      </c>
      <c r="X29" s="2">
        <f t="shared" si="16"/>
        <v>0.21841180718684769</v>
      </c>
      <c r="AB29" s="66">
        <v>2.4844720496894408E-2</v>
      </c>
      <c r="AC29" s="2">
        <v>0.39860669758206213</v>
      </c>
    </row>
    <row r="30" spans="2:29">
      <c r="B30" s="1" t="s">
        <v>132</v>
      </c>
      <c r="C30" s="1" t="s">
        <v>210</v>
      </c>
      <c r="D30">
        <v>159</v>
      </c>
      <c r="E30">
        <v>2000</v>
      </c>
      <c r="F30">
        <v>112</v>
      </c>
      <c r="G30" t="e">
        <v>#N/A</v>
      </c>
      <c r="H30">
        <v>10</v>
      </c>
      <c r="I30">
        <v>14</v>
      </c>
      <c r="J30">
        <v>4</v>
      </c>
      <c r="K30" s="66">
        <f t="shared" si="9"/>
        <v>6.2893081761006289E-2</v>
      </c>
      <c r="L30" s="66">
        <f t="shared" si="10"/>
        <v>7.0000000000000001E-3</v>
      </c>
      <c r="M30" s="66">
        <f t="shared" si="11"/>
        <v>3.5714285714285712E-2</v>
      </c>
      <c r="N30" s="66"/>
      <c r="O30" s="48">
        <v>110620</v>
      </c>
      <c r="P30" s="47">
        <v>11.61385618354867</v>
      </c>
      <c r="Q30" s="2">
        <f t="shared" si="12"/>
        <v>0.34441618156647269</v>
      </c>
      <c r="R30" s="47"/>
      <c r="S30" s="1" t="s">
        <v>132</v>
      </c>
      <c r="T30" s="1" t="s">
        <v>210</v>
      </c>
      <c r="U30" s="2">
        <f t="shared" si="13"/>
        <v>0.20964360587002098</v>
      </c>
      <c r="V30" s="2">
        <f t="shared" si="14"/>
        <v>0.23333333333333334</v>
      </c>
      <c r="W30" s="2">
        <f t="shared" si="15"/>
        <v>0.11480539385549089</v>
      </c>
      <c r="X30" s="2">
        <f t="shared" si="16"/>
        <v>0.18592744435294842</v>
      </c>
      <c r="AB30" s="66">
        <v>3.5714285714285712E-2</v>
      </c>
      <c r="AC30" s="2">
        <v>0.34441618156647269</v>
      </c>
    </row>
    <row r="31" spans="2:29">
      <c r="B31" s="1" t="s">
        <v>146</v>
      </c>
      <c r="C31" s="1" t="s">
        <v>211</v>
      </c>
      <c r="D31">
        <v>92</v>
      </c>
      <c r="E31">
        <v>5446</v>
      </c>
      <c r="F31">
        <v>209</v>
      </c>
      <c r="G31">
        <v>625</v>
      </c>
      <c r="H31">
        <v>28</v>
      </c>
      <c r="I31">
        <v>7</v>
      </c>
      <c r="J31">
        <v>16</v>
      </c>
      <c r="K31" s="66">
        <f t="shared" si="9"/>
        <v>0.30434782608695654</v>
      </c>
      <c r="L31" s="66">
        <f t="shared" si="10"/>
        <v>1.2853470437017994E-3</v>
      </c>
      <c r="M31" s="66">
        <f t="shared" si="11"/>
        <v>7.6555023923444973E-2</v>
      </c>
      <c r="N31" s="66"/>
      <c r="O31" s="48">
        <v>38394</v>
      </c>
      <c r="P31" s="47">
        <v>10.555656476367515</v>
      </c>
      <c r="Q31" s="2">
        <f t="shared" si="12"/>
        <v>1.5157749814823482</v>
      </c>
      <c r="R31" s="47"/>
      <c r="S31" s="1" t="s">
        <v>146</v>
      </c>
      <c r="T31" s="1" t="s">
        <v>211</v>
      </c>
      <c r="U31" s="2">
        <f t="shared" si="13"/>
        <v>1</v>
      </c>
      <c r="V31" s="2">
        <f t="shared" si="14"/>
        <v>4.2844901456726647E-2</v>
      </c>
      <c r="W31" s="2">
        <f t="shared" si="15"/>
        <v>0.50525832716078278</v>
      </c>
      <c r="X31" s="2">
        <f t="shared" si="16"/>
        <v>0.5160344095391699</v>
      </c>
      <c r="AB31" s="66">
        <v>7.6555023923444973E-2</v>
      </c>
      <c r="AC31" s="2">
        <v>1.5157749814823482</v>
      </c>
    </row>
    <row r="32" spans="2:29">
      <c r="B32" s="1" t="s">
        <v>72</v>
      </c>
      <c r="C32" s="1" t="s">
        <v>212</v>
      </c>
      <c r="D32">
        <v>361</v>
      </c>
      <c r="E32">
        <v>17000</v>
      </c>
      <c r="F32">
        <v>504</v>
      </c>
      <c r="G32">
        <v>1414</v>
      </c>
      <c r="H32">
        <v>19</v>
      </c>
      <c r="I32">
        <v>72</v>
      </c>
      <c r="J32">
        <v>31</v>
      </c>
      <c r="K32" s="66">
        <f t="shared" si="9"/>
        <v>5.2631578947368418E-2</v>
      </c>
      <c r="L32" s="66">
        <f t="shared" si="10"/>
        <v>4.2352941176470585E-3</v>
      </c>
      <c r="M32" s="66">
        <f t="shared" si="11"/>
        <v>6.1507936507936505E-2</v>
      </c>
      <c r="N32" s="66"/>
      <c r="O32" s="48">
        <v>1083300</v>
      </c>
      <c r="P32" s="47">
        <v>13.895522495933658</v>
      </c>
      <c r="Q32" s="2">
        <f t="shared" si="12"/>
        <v>2.2309344617355511</v>
      </c>
      <c r="R32" s="47"/>
      <c r="S32" s="1" t="s">
        <v>72</v>
      </c>
      <c r="T32" s="1" t="s">
        <v>212</v>
      </c>
      <c r="U32" s="2">
        <f t="shared" si="13"/>
        <v>0.17543859649122806</v>
      </c>
      <c r="V32" s="2">
        <f t="shared" si="14"/>
        <v>0.14117647058823529</v>
      </c>
      <c r="W32" s="2">
        <f t="shared" si="15"/>
        <v>0.743644820578517</v>
      </c>
      <c r="X32" s="2">
        <f t="shared" si="16"/>
        <v>0.35341996255266012</v>
      </c>
      <c r="AB32" s="66">
        <v>6.1507936507936505E-2</v>
      </c>
      <c r="AC32" s="2">
        <v>2.2309344617355511</v>
      </c>
    </row>
    <row r="33" spans="2:29">
      <c r="B33" s="1" t="s">
        <v>122</v>
      </c>
      <c r="C33" s="1" t="s">
        <v>213</v>
      </c>
      <c r="D33">
        <v>78</v>
      </c>
      <c r="E33" t="e">
        <v>#N/A</v>
      </c>
      <c r="F33">
        <v>205</v>
      </c>
      <c r="G33" t="e">
        <v>#N/A</v>
      </c>
      <c r="H33">
        <v>4</v>
      </c>
      <c r="I33">
        <v>1</v>
      </c>
      <c r="J33">
        <v>6</v>
      </c>
      <c r="K33" s="66">
        <f t="shared" si="9"/>
        <v>5.128205128205128E-2</v>
      </c>
      <c r="L33" s="66" t="e">
        <f t="shared" si="10"/>
        <v>#N/A</v>
      </c>
      <c r="M33" s="66">
        <f t="shared" si="11"/>
        <v>2.9268292682926831E-2</v>
      </c>
      <c r="N33" s="66"/>
      <c r="O33" s="48">
        <v>51200</v>
      </c>
      <c r="P33" s="47">
        <v>10.843494811027599</v>
      </c>
      <c r="Q33" s="2">
        <f t="shared" si="12"/>
        <v>0.5533271426383799</v>
      </c>
      <c r="R33" s="47"/>
      <c r="S33" s="1" t="s">
        <v>122</v>
      </c>
      <c r="T33" s="1" t="s">
        <v>213</v>
      </c>
      <c r="U33" s="2">
        <f t="shared" si="13"/>
        <v>0.17094017094017094</v>
      </c>
      <c r="V33" s="2" t="e">
        <f t="shared" si="14"/>
        <v>#N/A</v>
      </c>
      <c r="W33" s="2">
        <f t="shared" si="15"/>
        <v>0.18444238087945997</v>
      </c>
      <c r="X33" s="2">
        <f t="shared" si="16"/>
        <v>0.17769127590981545</v>
      </c>
      <c r="AB33" s="66">
        <v>2.9268292682926831E-2</v>
      </c>
      <c r="AC33" s="2">
        <v>0.5533271426383799</v>
      </c>
    </row>
    <row r="34" spans="2:29">
      <c r="B34" s="1" t="s">
        <v>90</v>
      </c>
      <c r="C34" s="1" t="s">
        <v>214</v>
      </c>
      <c r="D34">
        <v>169</v>
      </c>
      <c r="E34" t="e">
        <v>#N/A</v>
      </c>
      <c r="F34">
        <v>184</v>
      </c>
      <c r="G34" t="e">
        <v>#N/A</v>
      </c>
      <c r="H34">
        <v>6</v>
      </c>
      <c r="I34">
        <v>0</v>
      </c>
      <c r="J34">
        <v>8</v>
      </c>
      <c r="K34" s="66">
        <f t="shared" si="9"/>
        <v>3.5502958579881658E-2</v>
      </c>
      <c r="L34" s="66" t="e">
        <f t="shared" si="10"/>
        <v>#N/A</v>
      </c>
      <c r="M34" s="66">
        <f t="shared" si="11"/>
        <v>4.3478260869565216E-2</v>
      </c>
      <c r="N34" s="66"/>
      <c r="O34" s="48">
        <v>566730</v>
      </c>
      <c r="P34" s="47">
        <v>13.247638278819007</v>
      </c>
      <c r="Q34" s="2">
        <f t="shared" si="12"/>
        <v>0.60388122257163401</v>
      </c>
      <c r="R34" s="47"/>
      <c r="S34" s="1" t="s">
        <v>90</v>
      </c>
      <c r="T34" s="1" t="s">
        <v>214</v>
      </c>
      <c r="U34" s="2">
        <f t="shared" si="13"/>
        <v>0.1183431952662722</v>
      </c>
      <c r="V34" s="2" t="e">
        <f t="shared" si="14"/>
        <v>#N/A</v>
      </c>
      <c r="W34" s="2">
        <f t="shared" si="15"/>
        <v>0.20129374085721133</v>
      </c>
      <c r="X34" s="2">
        <f t="shared" si="16"/>
        <v>0.15981846806174177</v>
      </c>
      <c r="AB34" s="66">
        <v>4.3478260869565216E-2</v>
      </c>
      <c r="AC34" s="2">
        <v>0.60388122257163401</v>
      </c>
    </row>
    <row r="35" spans="2:29">
      <c r="B35" s="1" t="s">
        <v>23</v>
      </c>
      <c r="C35" s="1" t="s">
        <v>215</v>
      </c>
      <c r="D35">
        <v>578</v>
      </c>
      <c r="E35">
        <v>55000</v>
      </c>
      <c r="F35">
        <v>686</v>
      </c>
      <c r="G35">
        <v>1712</v>
      </c>
      <c r="H35">
        <v>82</v>
      </c>
      <c r="I35">
        <v>386</v>
      </c>
      <c r="J35">
        <v>124</v>
      </c>
      <c r="K35" s="66">
        <f t="shared" si="9"/>
        <v>0.14186851211072665</v>
      </c>
      <c r="L35" s="66">
        <f t="shared" si="10"/>
        <v>7.0181818181818184E-3</v>
      </c>
      <c r="M35" s="66">
        <f t="shared" si="11"/>
        <v>0.18075801749271136</v>
      </c>
      <c r="N35" s="66"/>
      <c r="O35" s="48">
        <v>8459420</v>
      </c>
      <c r="P35" s="47">
        <v>15.950791171312583</v>
      </c>
      <c r="Q35" s="2">
        <f t="shared" si="12"/>
        <v>7.7739090599476581</v>
      </c>
      <c r="R35" s="47"/>
      <c r="S35" s="1" t="s">
        <v>23</v>
      </c>
      <c r="T35" s="1" t="s">
        <v>215</v>
      </c>
      <c r="U35" s="2">
        <f t="shared" si="13"/>
        <v>0.47289504036908886</v>
      </c>
      <c r="V35" s="2">
        <f t="shared" si="14"/>
        <v>0.23393939393939395</v>
      </c>
      <c r="W35" s="2">
        <f t="shared" si="15"/>
        <v>1</v>
      </c>
      <c r="X35" s="2">
        <f t="shared" si="16"/>
        <v>0.56894481143616094</v>
      </c>
      <c r="AB35" s="66">
        <v>0.18075801749271136</v>
      </c>
      <c r="AC35" s="2">
        <v>7.7739090599476581</v>
      </c>
    </row>
    <row r="36" spans="2:29">
      <c r="B36" s="1" t="s">
        <v>43</v>
      </c>
      <c r="C36" s="1" t="s">
        <v>216</v>
      </c>
      <c r="D36">
        <v>112</v>
      </c>
      <c r="E36">
        <v>3000</v>
      </c>
      <c r="F36" t="e">
        <v>#N/A</v>
      </c>
      <c r="G36" t="e">
        <v>#N/A</v>
      </c>
      <c r="H36">
        <v>35</v>
      </c>
      <c r="I36">
        <v>99</v>
      </c>
      <c r="J36">
        <v>16</v>
      </c>
      <c r="K36" s="66">
        <f t="shared" si="9"/>
        <v>0.3125</v>
      </c>
      <c r="L36" s="66">
        <f t="shared" si="10"/>
        <v>3.3000000000000002E-2</v>
      </c>
      <c r="M36" s="66" t="e">
        <f t="shared" si="11"/>
        <v>#N/A</v>
      </c>
      <c r="N36" s="66"/>
      <c r="O36" s="48">
        <v>5270</v>
      </c>
      <c r="P36" s="47">
        <v>8.5697856415354074</v>
      </c>
      <c r="Q36" s="2">
        <f t="shared" si="12"/>
        <v>1.8670245288811398</v>
      </c>
      <c r="R36" s="47"/>
      <c r="S36" s="1" t="s">
        <v>43</v>
      </c>
      <c r="T36" s="1" t="s">
        <v>216</v>
      </c>
      <c r="U36" s="2">
        <f t="shared" si="13"/>
        <v>1</v>
      </c>
      <c r="V36" s="2">
        <f t="shared" si="14"/>
        <v>1</v>
      </c>
      <c r="W36" s="2">
        <f t="shared" si="15"/>
        <v>0.6223415096270466</v>
      </c>
      <c r="X36" s="2">
        <f t="shared" si="16"/>
        <v>0.87411383654234898</v>
      </c>
      <c r="AB36" s="66" t="e">
        <v>#N/A</v>
      </c>
      <c r="AC36" s="2">
        <v>1.8670245288811398</v>
      </c>
    </row>
    <row r="37" spans="2:29">
      <c r="B37" s="1" t="s">
        <v>54</v>
      </c>
      <c r="C37" s="1" t="s">
        <v>217</v>
      </c>
      <c r="D37">
        <v>106</v>
      </c>
      <c r="E37">
        <v>3505</v>
      </c>
      <c r="F37">
        <v>248</v>
      </c>
      <c r="G37" t="e">
        <v>#N/A</v>
      </c>
      <c r="H37">
        <v>7</v>
      </c>
      <c r="I37">
        <v>0</v>
      </c>
      <c r="J37">
        <v>12</v>
      </c>
      <c r="K37" s="66">
        <f t="shared" si="9"/>
        <v>6.6037735849056603E-2</v>
      </c>
      <c r="L37" s="66">
        <f t="shared" si="10"/>
        <v>0</v>
      </c>
      <c r="M37" s="66">
        <f t="shared" si="11"/>
        <v>4.8387096774193547E-2</v>
      </c>
      <c r="N37" s="66"/>
      <c r="O37" s="48">
        <v>108610</v>
      </c>
      <c r="P37" s="47">
        <v>11.595518763274082</v>
      </c>
      <c r="Q37" s="2">
        <f t="shared" si="12"/>
        <v>1.0348825477310262</v>
      </c>
      <c r="R37" s="47"/>
      <c r="S37" s="1" t="s">
        <v>54</v>
      </c>
      <c r="T37" s="1" t="s">
        <v>217</v>
      </c>
      <c r="U37" s="2">
        <f t="shared" si="13"/>
        <v>0.22012578616352202</v>
      </c>
      <c r="V37" s="2">
        <f t="shared" si="14"/>
        <v>0</v>
      </c>
      <c r="W37" s="2">
        <f t="shared" si="15"/>
        <v>0.34496084924367537</v>
      </c>
      <c r="X37" s="2">
        <f t="shared" si="16"/>
        <v>0.18836221180239912</v>
      </c>
      <c r="AB37" s="66">
        <v>4.8387096774193547E-2</v>
      </c>
      <c r="AC37" s="2">
        <v>1.0348825477310262</v>
      </c>
    </row>
    <row r="38" spans="2:29">
      <c r="B38" s="1" t="s">
        <v>179</v>
      </c>
      <c r="C38" s="1" t="s">
        <v>218</v>
      </c>
      <c r="D38">
        <v>129</v>
      </c>
      <c r="E38">
        <v>1100</v>
      </c>
      <c r="F38">
        <v>138</v>
      </c>
      <c r="G38" t="e">
        <v>#N/A</v>
      </c>
      <c r="H38">
        <v>8</v>
      </c>
      <c r="I38">
        <v>2</v>
      </c>
      <c r="J38">
        <v>5</v>
      </c>
      <c r="K38" s="66">
        <f t="shared" si="9"/>
        <v>6.2015503875968991E-2</v>
      </c>
      <c r="L38" s="66">
        <f t="shared" si="10"/>
        <v>1.8181818181818182E-3</v>
      </c>
      <c r="M38" s="66">
        <f t="shared" si="11"/>
        <v>3.6231884057971016E-2</v>
      </c>
      <c r="N38" s="66"/>
      <c r="O38" s="48">
        <v>273600</v>
      </c>
      <c r="P38" s="47">
        <v>12.519422464730532</v>
      </c>
      <c r="Q38" s="2">
        <f t="shared" si="12"/>
        <v>0.39937944534469544</v>
      </c>
      <c r="R38" s="47"/>
      <c r="S38" s="1" t="s">
        <v>179</v>
      </c>
      <c r="T38" s="1" t="s">
        <v>218</v>
      </c>
      <c r="U38" s="2">
        <f t="shared" si="13"/>
        <v>0.20671834625322999</v>
      </c>
      <c r="V38" s="2">
        <f t="shared" si="14"/>
        <v>6.0606060606060608E-2</v>
      </c>
      <c r="W38" s="2">
        <f t="shared" si="15"/>
        <v>0.13312648178156514</v>
      </c>
      <c r="X38" s="2">
        <f t="shared" si="16"/>
        <v>0.13348362954695192</v>
      </c>
      <c r="AB38" s="66">
        <v>3.6231884057971016E-2</v>
      </c>
      <c r="AC38" s="2">
        <v>0.39937944534469544</v>
      </c>
    </row>
    <row r="39" spans="2:29">
      <c r="B39" s="1" t="s">
        <v>191</v>
      </c>
      <c r="C39" s="1" t="s">
        <v>219</v>
      </c>
      <c r="D39">
        <v>116</v>
      </c>
      <c r="E39">
        <v>2500</v>
      </c>
      <c r="F39">
        <v>145</v>
      </c>
      <c r="G39">
        <v>597</v>
      </c>
      <c r="H39">
        <v>9</v>
      </c>
      <c r="I39">
        <v>2</v>
      </c>
      <c r="J39">
        <v>9</v>
      </c>
      <c r="K39" s="66">
        <f t="shared" si="9"/>
        <v>7.7586206896551727E-2</v>
      </c>
      <c r="L39" s="66">
        <f t="shared" si="10"/>
        <v>8.0000000000000004E-4</v>
      </c>
      <c r="M39" s="66">
        <f t="shared" si="11"/>
        <v>6.2068965517241378E-2</v>
      </c>
      <c r="N39" s="66"/>
      <c r="O39" s="48">
        <v>25680</v>
      </c>
      <c r="P39" s="47">
        <v>10.153467757803897</v>
      </c>
      <c r="Q39" s="2">
        <f t="shared" si="12"/>
        <v>0.88639666906733927</v>
      </c>
      <c r="R39" s="47"/>
      <c r="S39" s="1" t="s">
        <v>191</v>
      </c>
      <c r="T39" s="1" t="s">
        <v>219</v>
      </c>
      <c r="U39" s="2">
        <f t="shared" si="13"/>
        <v>0.25862068965517243</v>
      </c>
      <c r="V39" s="2">
        <f t="shared" si="14"/>
        <v>2.6666666666666668E-2</v>
      </c>
      <c r="W39" s="2">
        <f t="shared" si="15"/>
        <v>0.29546555635577976</v>
      </c>
      <c r="X39" s="2">
        <f t="shared" si="16"/>
        <v>0.19358430422587294</v>
      </c>
      <c r="AB39" s="66">
        <v>6.2068965517241378E-2</v>
      </c>
      <c r="AC39" s="2">
        <v>0.88639666906733927</v>
      </c>
    </row>
    <row r="40" spans="2:29">
      <c r="B40" s="1" t="s">
        <v>177</v>
      </c>
      <c r="C40" s="1" t="s">
        <v>220</v>
      </c>
      <c r="D40">
        <v>127</v>
      </c>
      <c r="E40" t="e">
        <v>#N/A</v>
      </c>
      <c r="F40">
        <v>183</v>
      </c>
      <c r="G40" t="e">
        <v>#N/A</v>
      </c>
      <c r="H40">
        <v>37</v>
      </c>
      <c r="I40">
        <v>31</v>
      </c>
      <c r="J40">
        <v>23</v>
      </c>
      <c r="K40" s="66">
        <f t="shared" si="9"/>
        <v>0.29133858267716534</v>
      </c>
      <c r="L40" s="66" t="e">
        <f t="shared" si="10"/>
        <v>#N/A</v>
      </c>
      <c r="M40" s="66">
        <f t="shared" si="11"/>
        <v>0.12568306010928962</v>
      </c>
      <c r="N40" s="66"/>
      <c r="O40" s="48">
        <v>176520</v>
      </c>
      <c r="P40" s="47">
        <v>12.081189463383483</v>
      </c>
      <c r="Q40" s="2">
        <f t="shared" si="12"/>
        <v>1.9037860526655934</v>
      </c>
      <c r="R40" s="47"/>
      <c r="S40" s="1" t="s">
        <v>177</v>
      </c>
      <c r="T40" s="1" t="s">
        <v>220</v>
      </c>
      <c r="U40" s="2">
        <f t="shared" si="13"/>
        <v>0.97112860892388453</v>
      </c>
      <c r="V40" s="2" t="e">
        <f t="shared" si="14"/>
        <v>#N/A</v>
      </c>
      <c r="W40" s="2">
        <f t="shared" si="15"/>
        <v>0.63459535088853114</v>
      </c>
      <c r="X40" s="2">
        <f t="shared" si="16"/>
        <v>0.80286197990620778</v>
      </c>
      <c r="AB40" s="66">
        <v>0.12568306010928962</v>
      </c>
      <c r="AC40" s="2">
        <v>1.9037860526655934</v>
      </c>
    </row>
    <row r="41" spans="2:29">
      <c r="B41" s="1" t="s">
        <v>97</v>
      </c>
      <c r="C41" s="1" t="s">
        <v>221</v>
      </c>
      <c r="D41">
        <v>322</v>
      </c>
      <c r="E41">
        <v>8000</v>
      </c>
      <c r="F41">
        <v>165</v>
      </c>
      <c r="G41">
        <v>936</v>
      </c>
      <c r="H41">
        <v>41</v>
      </c>
      <c r="I41">
        <v>354</v>
      </c>
      <c r="J41">
        <v>14</v>
      </c>
      <c r="K41" s="66">
        <f t="shared" si="9"/>
        <v>0.12732919254658384</v>
      </c>
      <c r="L41" s="66">
        <f t="shared" si="10"/>
        <v>4.4249999999999998E-2</v>
      </c>
      <c r="M41" s="66">
        <f t="shared" si="11"/>
        <v>8.4848484848484854E-2</v>
      </c>
      <c r="N41" s="66"/>
      <c r="O41" s="48">
        <v>472710</v>
      </c>
      <c r="P41" s="47">
        <v>13.066237371624201</v>
      </c>
      <c r="Q41" s="2">
        <f t="shared" si="12"/>
        <v>1.0714637735270018</v>
      </c>
      <c r="R41" s="47"/>
      <c r="S41" s="1" t="s">
        <v>97</v>
      </c>
      <c r="T41" s="1" t="s">
        <v>221</v>
      </c>
      <c r="U41" s="2">
        <f t="shared" si="13"/>
        <v>0.42443064182194618</v>
      </c>
      <c r="V41" s="2">
        <f t="shared" si="14"/>
        <v>1</v>
      </c>
      <c r="W41" s="2">
        <f t="shared" si="15"/>
        <v>0.35715459117566728</v>
      </c>
      <c r="X41" s="2">
        <f t="shared" si="16"/>
        <v>0.5938617443325378</v>
      </c>
      <c r="AB41" s="66">
        <v>8.4848484848484854E-2</v>
      </c>
      <c r="AC41" s="2">
        <v>1.0714637735270018</v>
      </c>
    </row>
    <row r="42" spans="2:29">
      <c r="B42" s="1" t="s">
        <v>32</v>
      </c>
      <c r="C42" s="1" t="s">
        <v>222</v>
      </c>
      <c r="D42">
        <v>211</v>
      </c>
      <c r="E42">
        <v>2920</v>
      </c>
      <c r="F42">
        <v>310</v>
      </c>
      <c r="G42" t="e">
        <v>#N/A</v>
      </c>
      <c r="H42">
        <v>12</v>
      </c>
      <c r="I42">
        <v>2</v>
      </c>
      <c r="J42">
        <v>16</v>
      </c>
      <c r="K42" s="66">
        <f t="shared" si="9"/>
        <v>5.6872037914691941E-2</v>
      </c>
      <c r="L42" s="66">
        <f t="shared" si="10"/>
        <v>6.8493150684931507E-4</v>
      </c>
      <c r="M42" s="66">
        <f t="shared" si="11"/>
        <v>5.1612903225806452E-2</v>
      </c>
      <c r="N42" s="66"/>
      <c r="O42" s="48">
        <v>9093510</v>
      </c>
      <c r="P42" s="47">
        <v>16.023071530235196</v>
      </c>
      <c r="Q42" s="2">
        <f t="shared" si="12"/>
        <v>0.99856010564568343</v>
      </c>
      <c r="R42" s="47"/>
      <c r="S42" s="1" t="s">
        <v>32</v>
      </c>
      <c r="T42" s="1" t="s">
        <v>222</v>
      </c>
      <c r="U42" s="2">
        <f t="shared" si="13"/>
        <v>0.1895734597156398</v>
      </c>
      <c r="V42" s="2">
        <f t="shared" si="14"/>
        <v>2.2831050228310504E-2</v>
      </c>
      <c r="W42" s="2">
        <f t="shared" si="15"/>
        <v>0.33285336854856112</v>
      </c>
      <c r="X42" s="2">
        <f t="shared" si="16"/>
        <v>0.18175262616417046</v>
      </c>
      <c r="AB42" s="66">
        <v>5.1612903225806452E-2</v>
      </c>
      <c r="AC42" s="2">
        <v>0.99856010564568343</v>
      </c>
    </row>
    <row r="43" spans="2:29">
      <c r="B43" s="1" t="s">
        <v>89</v>
      </c>
      <c r="C43" s="1" t="s">
        <v>223</v>
      </c>
      <c r="D43">
        <v>26</v>
      </c>
      <c r="E43">
        <v>740</v>
      </c>
      <c r="F43" t="e">
        <v>#N/A</v>
      </c>
      <c r="G43" t="e">
        <v>#N/A</v>
      </c>
      <c r="H43">
        <v>3</v>
      </c>
      <c r="I43">
        <v>2</v>
      </c>
      <c r="J43">
        <v>4</v>
      </c>
      <c r="K43" s="66">
        <f t="shared" si="9"/>
        <v>0.11538461538461539</v>
      </c>
      <c r="L43" s="66">
        <f t="shared" si="10"/>
        <v>2.7027027027027029E-3</v>
      </c>
      <c r="M43" s="66" t="e">
        <f t="shared" si="11"/>
        <v>#N/A</v>
      </c>
      <c r="N43" s="66"/>
      <c r="O43" s="48">
        <v>4030</v>
      </c>
      <c r="P43" s="47">
        <v>8.3015216549407285</v>
      </c>
      <c r="Q43" s="2">
        <f t="shared" si="12"/>
        <v>0.48183937430547596</v>
      </c>
      <c r="R43" s="47"/>
      <c r="S43" s="1" t="s">
        <v>89</v>
      </c>
      <c r="T43" s="1" t="s">
        <v>223</v>
      </c>
      <c r="U43" s="2">
        <f t="shared" si="13"/>
        <v>0.38461538461538464</v>
      </c>
      <c r="V43" s="2">
        <f t="shared" si="14"/>
        <v>9.00900900900901E-2</v>
      </c>
      <c r="W43" s="2">
        <f t="shared" si="15"/>
        <v>0.16061312476849199</v>
      </c>
      <c r="X43" s="2">
        <f t="shared" si="16"/>
        <v>0.21177286649132224</v>
      </c>
      <c r="AB43" s="66" t="e">
        <v>#N/A</v>
      </c>
      <c r="AC43" s="2">
        <v>0.48183937430547596</v>
      </c>
    </row>
    <row r="44" spans="2:29">
      <c r="B44" s="1" t="s">
        <v>135</v>
      </c>
      <c r="C44" s="1" t="s">
        <v>224</v>
      </c>
      <c r="D44">
        <v>187</v>
      </c>
      <c r="E44">
        <v>3600</v>
      </c>
      <c r="F44">
        <v>168</v>
      </c>
      <c r="G44">
        <v>663</v>
      </c>
      <c r="H44">
        <v>7</v>
      </c>
      <c r="I44">
        <v>15</v>
      </c>
      <c r="J44">
        <v>5</v>
      </c>
      <c r="K44" s="66">
        <f t="shared" ref="K44:K75" si="17">H44/D44</f>
        <v>3.7433155080213901E-2</v>
      </c>
      <c r="L44" s="66">
        <f t="shared" ref="L44:L75" si="18">I44/E44</f>
        <v>4.1666666666666666E-3</v>
      </c>
      <c r="M44" s="66">
        <f t="shared" ref="M44:M75" si="19">J44/F44</f>
        <v>2.976190476190476E-2</v>
      </c>
      <c r="N44" s="66"/>
      <c r="O44" s="48">
        <v>623000</v>
      </c>
      <c r="P44" s="47">
        <v>13.34230179776959</v>
      </c>
      <c r="Q44" s="2">
        <f t="shared" ref="Q44:Q75" si="20">J44/P44</f>
        <v>0.37474793148779184</v>
      </c>
      <c r="R44" s="47"/>
      <c r="S44" s="1" t="s">
        <v>135</v>
      </c>
      <c r="T44" s="1" t="s">
        <v>224</v>
      </c>
      <c r="U44" s="2">
        <f t="shared" ref="U44:U75" si="21">MIN(1,(K44-U$9)/(U$10-U$9))</f>
        <v>0.12477718360071301</v>
      </c>
      <c r="V44" s="2">
        <f t="shared" ref="V44:V75" si="22">MIN(1,(L44-V$9)/(V$10-V$9))</f>
        <v>0.1388888888888889</v>
      </c>
      <c r="W44" s="2">
        <f t="shared" ref="W44:W75" si="23">MIN(1,(Q44-W$9)/(W$10-W$9))</f>
        <v>0.12491597716259728</v>
      </c>
      <c r="X44" s="2">
        <f t="shared" ref="X44:X75" si="24">IF(COUNT(U44:W44),mmean(U44:W44),NA())</f>
        <v>0.12952734988406639</v>
      </c>
      <c r="AB44" s="66">
        <v>2.976190476190476E-2</v>
      </c>
      <c r="AC44" s="2">
        <v>0.37474793148779184</v>
      </c>
    </row>
    <row r="45" spans="2:29">
      <c r="B45" s="1" t="s">
        <v>165</v>
      </c>
      <c r="C45" s="1" t="s">
        <v>225</v>
      </c>
      <c r="D45">
        <v>104</v>
      </c>
      <c r="E45">
        <v>1600</v>
      </c>
      <c r="F45">
        <v>141</v>
      </c>
      <c r="G45" t="e">
        <v>#N/A</v>
      </c>
      <c r="H45">
        <v>12</v>
      </c>
      <c r="I45">
        <v>2</v>
      </c>
      <c r="J45">
        <v>7</v>
      </c>
      <c r="K45" s="66">
        <f t="shared" si="17"/>
        <v>0.11538461538461539</v>
      </c>
      <c r="L45" s="66">
        <f t="shared" si="18"/>
        <v>1.25E-3</v>
      </c>
      <c r="M45" s="66">
        <f t="shared" si="19"/>
        <v>4.9645390070921988E-2</v>
      </c>
      <c r="N45" s="66"/>
      <c r="O45" s="48">
        <v>1259200</v>
      </c>
      <c r="P45" s="47">
        <v>14.045987156645277</v>
      </c>
      <c r="Q45" s="2">
        <f t="shared" si="20"/>
        <v>0.49836297883045122</v>
      </c>
      <c r="R45" s="47"/>
      <c r="S45" s="1" t="s">
        <v>165</v>
      </c>
      <c r="T45" s="1" t="s">
        <v>225</v>
      </c>
      <c r="U45" s="2">
        <f t="shared" si="21"/>
        <v>0.38461538461538464</v>
      </c>
      <c r="V45" s="2">
        <f t="shared" si="22"/>
        <v>4.1666666666666671E-2</v>
      </c>
      <c r="W45" s="2">
        <f t="shared" si="23"/>
        <v>0.16612099294348373</v>
      </c>
      <c r="X45" s="2">
        <f t="shared" si="24"/>
        <v>0.19746768140851167</v>
      </c>
      <c r="AB45" s="66">
        <v>4.9645390070921988E-2</v>
      </c>
      <c r="AC45" s="2">
        <v>0.49836297883045122</v>
      </c>
    </row>
    <row r="46" spans="2:29">
      <c r="B46" s="1" t="s">
        <v>18</v>
      </c>
      <c r="C46" s="1" t="s">
        <v>226</v>
      </c>
      <c r="D46">
        <v>159</v>
      </c>
      <c r="E46">
        <v>5125</v>
      </c>
      <c r="F46">
        <v>157</v>
      </c>
      <c r="G46" t="e">
        <v>#N/A</v>
      </c>
      <c r="H46">
        <v>21</v>
      </c>
      <c r="I46">
        <v>40</v>
      </c>
      <c r="J46">
        <v>33</v>
      </c>
      <c r="K46" s="66">
        <f t="shared" si="17"/>
        <v>0.13207547169811321</v>
      </c>
      <c r="L46" s="66">
        <f t="shared" si="18"/>
        <v>7.8048780487804878E-3</v>
      </c>
      <c r="M46" s="66">
        <f t="shared" si="19"/>
        <v>0.21019108280254778</v>
      </c>
      <c r="N46" s="66"/>
      <c r="O46" s="48">
        <v>743800</v>
      </c>
      <c r="P46" s="47">
        <v>13.519527460473107</v>
      </c>
      <c r="Q46" s="2">
        <f t="shared" si="20"/>
        <v>2.4409137151044469</v>
      </c>
      <c r="R46" s="47"/>
      <c r="S46" s="1" t="s">
        <v>18</v>
      </c>
      <c r="T46" s="1" t="s">
        <v>226</v>
      </c>
      <c r="U46" s="2">
        <f t="shared" si="21"/>
        <v>0.44025157232704404</v>
      </c>
      <c r="V46" s="2">
        <f t="shared" si="22"/>
        <v>0.26016260162601629</v>
      </c>
      <c r="W46" s="2">
        <f t="shared" si="23"/>
        <v>0.81363790503481559</v>
      </c>
      <c r="X46" s="2">
        <f t="shared" si="24"/>
        <v>0.50468402632929188</v>
      </c>
      <c r="AB46" s="66">
        <v>0.21019108280254778</v>
      </c>
      <c r="AC46" s="2">
        <v>2.4409137151044469</v>
      </c>
    </row>
    <row r="47" spans="2:29">
      <c r="B47" s="1" t="s">
        <v>111</v>
      </c>
      <c r="C47" s="1" t="s">
        <v>227</v>
      </c>
      <c r="D47">
        <v>502</v>
      </c>
      <c r="E47">
        <v>30000</v>
      </c>
      <c r="F47">
        <v>618</v>
      </c>
      <c r="G47">
        <v>1221</v>
      </c>
      <c r="H47">
        <v>74</v>
      </c>
      <c r="I47">
        <v>446</v>
      </c>
      <c r="J47">
        <v>82</v>
      </c>
      <c r="K47" s="66">
        <f t="shared" si="17"/>
        <v>0.14741035856573706</v>
      </c>
      <c r="L47" s="66">
        <f t="shared" si="18"/>
        <v>1.4866666666666667E-2</v>
      </c>
      <c r="M47" s="66">
        <f t="shared" si="19"/>
        <v>0.13268608414239483</v>
      </c>
      <c r="N47" s="66"/>
      <c r="O47" s="48">
        <v>9327489</v>
      </c>
      <c r="P47" s="47">
        <v>16.048476404768259</v>
      </c>
      <c r="Q47" s="2">
        <f t="shared" si="20"/>
        <v>5.1095193046261072</v>
      </c>
      <c r="R47" s="47"/>
      <c r="S47" s="1" t="s">
        <v>111</v>
      </c>
      <c r="T47" s="1" t="s">
        <v>227</v>
      </c>
      <c r="U47" s="2">
        <f t="shared" si="21"/>
        <v>0.49136786188579024</v>
      </c>
      <c r="V47" s="2">
        <f t="shared" si="22"/>
        <v>0.49555555555555558</v>
      </c>
      <c r="W47" s="2">
        <f t="shared" si="23"/>
        <v>1</v>
      </c>
      <c r="X47" s="2">
        <f t="shared" si="24"/>
        <v>0.66230780581378201</v>
      </c>
      <c r="AB47" s="66">
        <v>0.13268608414239483</v>
      </c>
      <c r="AC47" s="2">
        <v>5.1095193046261072</v>
      </c>
    </row>
    <row r="48" spans="2:29">
      <c r="B48" s="1" t="s">
        <v>46</v>
      </c>
      <c r="C48" s="1" t="s">
        <v>228</v>
      </c>
      <c r="D48">
        <v>467</v>
      </c>
      <c r="E48">
        <v>50000</v>
      </c>
      <c r="F48">
        <v>708</v>
      </c>
      <c r="G48">
        <v>1821</v>
      </c>
      <c r="H48">
        <v>52</v>
      </c>
      <c r="I48">
        <v>223</v>
      </c>
      <c r="J48">
        <v>90</v>
      </c>
      <c r="K48" s="66">
        <f t="shared" si="17"/>
        <v>0.11134903640256959</v>
      </c>
      <c r="L48" s="66">
        <f t="shared" si="18"/>
        <v>4.4600000000000004E-3</v>
      </c>
      <c r="M48" s="66">
        <f t="shared" si="19"/>
        <v>0.1271186440677966</v>
      </c>
      <c r="N48" s="66"/>
      <c r="O48" s="48">
        <v>1109500</v>
      </c>
      <c r="P48" s="47">
        <v>13.919420021354785</v>
      </c>
      <c r="Q48" s="2">
        <f t="shared" si="20"/>
        <v>6.4657866392367289</v>
      </c>
      <c r="R48" s="47"/>
      <c r="S48" s="1" t="s">
        <v>46</v>
      </c>
      <c r="T48" s="1" t="s">
        <v>228</v>
      </c>
      <c r="U48" s="2">
        <f t="shared" si="21"/>
        <v>0.37116345467523199</v>
      </c>
      <c r="V48" s="2">
        <f t="shared" si="22"/>
        <v>0.1486666666666667</v>
      </c>
      <c r="W48" s="2">
        <f t="shared" si="23"/>
        <v>1</v>
      </c>
      <c r="X48" s="2">
        <f t="shared" si="24"/>
        <v>0.50661004044729951</v>
      </c>
      <c r="AB48" s="66">
        <v>0.1271186440677966</v>
      </c>
      <c r="AC48" s="2">
        <v>6.4657866392367289</v>
      </c>
    </row>
    <row r="49" spans="2:29">
      <c r="B49" s="1" t="s">
        <v>163</v>
      </c>
      <c r="C49" s="1" t="s">
        <v>229</v>
      </c>
      <c r="D49">
        <v>15</v>
      </c>
      <c r="E49">
        <v>660</v>
      </c>
      <c r="F49" s="54">
        <v>120</v>
      </c>
      <c r="G49" t="e">
        <v>#N/A</v>
      </c>
      <c r="H49">
        <v>5</v>
      </c>
      <c r="I49">
        <v>5</v>
      </c>
      <c r="J49">
        <v>8</v>
      </c>
      <c r="K49" s="66">
        <f t="shared" si="17"/>
        <v>0.33333333333333331</v>
      </c>
      <c r="L49" s="66">
        <f t="shared" si="18"/>
        <v>7.575757575757576E-3</v>
      </c>
      <c r="M49" s="66">
        <f t="shared" si="19"/>
        <v>6.6666666666666666E-2</v>
      </c>
      <c r="N49" s="66"/>
      <c r="O49" s="48">
        <v>1860</v>
      </c>
      <c r="P49" s="47">
        <v>7.5283317667072467</v>
      </c>
      <c r="Q49" s="2">
        <f t="shared" si="20"/>
        <v>1.0626524239245971</v>
      </c>
      <c r="R49" s="47"/>
      <c r="S49" s="1" t="s">
        <v>163</v>
      </c>
      <c r="T49" s="1" t="s">
        <v>229</v>
      </c>
      <c r="U49" s="2">
        <f t="shared" si="21"/>
        <v>1</v>
      </c>
      <c r="V49" s="2">
        <f t="shared" si="22"/>
        <v>0.25252525252525254</v>
      </c>
      <c r="W49" s="2">
        <f t="shared" si="23"/>
        <v>0.35421747464153236</v>
      </c>
      <c r="X49" s="2">
        <f t="shared" si="24"/>
        <v>0.53558090905559497</v>
      </c>
      <c r="AB49" s="66">
        <v>6.6666666666666666E-2</v>
      </c>
      <c r="AC49" s="2">
        <v>1.0626524239245971</v>
      </c>
    </row>
    <row r="50" spans="2:29">
      <c r="B50" s="1" t="s">
        <v>85</v>
      </c>
      <c r="C50" s="1" t="s">
        <v>230</v>
      </c>
      <c r="D50">
        <v>166</v>
      </c>
      <c r="E50">
        <v>4350</v>
      </c>
      <c r="F50" t="e">
        <v>#N/A</v>
      </c>
      <c r="G50">
        <v>597</v>
      </c>
      <c r="H50">
        <v>11</v>
      </c>
      <c r="I50">
        <v>35</v>
      </c>
      <c r="J50">
        <v>3</v>
      </c>
      <c r="K50" s="66">
        <f t="shared" si="17"/>
        <v>6.6265060240963861E-2</v>
      </c>
      <c r="L50" s="66">
        <f t="shared" si="18"/>
        <v>8.0459770114942528E-3</v>
      </c>
      <c r="M50" s="66" t="e">
        <f t="shared" si="19"/>
        <v>#N/A</v>
      </c>
      <c r="N50" s="66"/>
      <c r="O50" s="48">
        <v>341500</v>
      </c>
      <c r="P50" s="47">
        <v>12.741102957992982</v>
      </c>
      <c r="Q50" s="2">
        <f t="shared" si="20"/>
        <v>0.23545842223321686</v>
      </c>
      <c r="R50" s="47"/>
      <c r="S50" s="1" t="s">
        <v>85</v>
      </c>
      <c r="T50" s="1" t="s">
        <v>230</v>
      </c>
      <c r="U50" s="2">
        <f t="shared" si="21"/>
        <v>0.22088353413654621</v>
      </c>
      <c r="V50" s="2">
        <f t="shared" si="22"/>
        <v>0.26819923371647508</v>
      </c>
      <c r="W50" s="2">
        <f t="shared" si="23"/>
        <v>7.8486140744405616E-2</v>
      </c>
      <c r="X50" s="2">
        <f t="shared" si="24"/>
        <v>0.18918963619914231</v>
      </c>
      <c r="AB50" s="66" t="e">
        <v>#N/A</v>
      </c>
      <c r="AC50" s="2">
        <v>0.23545842223321686</v>
      </c>
    </row>
    <row r="51" spans="2:29">
      <c r="B51" s="1" t="s">
        <v>148</v>
      </c>
      <c r="C51" s="1" t="s">
        <v>231</v>
      </c>
      <c r="D51">
        <v>430</v>
      </c>
      <c r="E51">
        <v>2867</v>
      </c>
      <c r="F51">
        <v>130</v>
      </c>
      <c r="G51">
        <v>1148</v>
      </c>
      <c r="H51">
        <v>29</v>
      </c>
      <c r="I51">
        <v>65</v>
      </c>
      <c r="J51">
        <v>32</v>
      </c>
      <c r="K51" s="66">
        <f t="shared" si="17"/>
        <v>6.7441860465116285E-2</v>
      </c>
      <c r="L51" s="66">
        <f t="shared" si="18"/>
        <v>2.267178235088943E-2</v>
      </c>
      <c r="M51" s="66">
        <f t="shared" si="19"/>
        <v>0.24615384615384617</v>
      </c>
      <c r="N51" s="66"/>
      <c r="O51" s="48">
        <v>2345409</v>
      </c>
      <c r="P51" s="47">
        <v>14.667970358300281</v>
      </c>
      <c r="Q51" s="2">
        <f t="shared" si="20"/>
        <v>2.1816242614569989</v>
      </c>
      <c r="R51" s="47"/>
      <c r="S51" s="1" t="s">
        <v>148</v>
      </c>
      <c r="T51" s="1" t="s">
        <v>231</v>
      </c>
      <c r="U51" s="2">
        <f t="shared" si="21"/>
        <v>0.22480620155038764</v>
      </c>
      <c r="V51" s="2">
        <f t="shared" si="22"/>
        <v>0.755726078362981</v>
      </c>
      <c r="W51" s="2">
        <f t="shared" si="23"/>
        <v>0.72720808715233298</v>
      </c>
      <c r="X51" s="2">
        <f t="shared" si="24"/>
        <v>0.56924678902190051</v>
      </c>
      <c r="AB51" s="66">
        <v>0.24615384615384617</v>
      </c>
      <c r="AC51" s="2">
        <v>2.1816242614569989</v>
      </c>
    </row>
    <row r="52" spans="2:29">
      <c r="B52" s="1" t="s">
        <v>78</v>
      </c>
      <c r="C52" s="1" t="s">
        <v>232</v>
      </c>
      <c r="D52">
        <v>232</v>
      </c>
      <c r="E52">
        <v>11000</v>
      </c>
      <c r="F52">
        <v>279</v>
      </c>
      <c r="G52">
        <v>838</v>
      </c>
      <c r="H52">
        <v>8</v>
      </c>
      <c r="I52">
        <v>111</v>
      </c>
      <c r="J52">
        <v>18</v>
      </c>
      <c r="K52" s="66">
        <f t="shared" si="17"/>
        <v>3.4482758620689655E-2</v>
      </c>
      <c r="L52" s="66">
        <f t="shared" si="18"/>
        <v>1.0090909090909091E-2</v>
      </c>
      <c r="M52" s="66">
        <f t="shared" si="19"/>
        <v>6.4516129032258063E-2</v>
      </c>
      <c r="N52" s="66"/>
      <c r="O52" s="48">
        <v>51060</v>
      </c>
      <c r="P52" s="47">
        <v>10.840756690795475</v>
      </c>
      <c r="Q52" s="2">
        <f t="shared" si="20"/>
        <v>1.66040070019127</v>
      </c>
      <c r="R52" s="47"/>
      <c r="S52" s="1" t="s">
        <v>78</v>
      </c>
      <c r="T52" s="1" t="s">
        <v>232</v>
      </c>
      <c r="U52" s="2">
        <f t="shared" si="21"/>
        <v>0.11494252873563218</v>
      </c>
      <c r="V52" s="2">
        <f t="shared" si="22"/>
        <v>0.33636363636363636</v>
      </c>
      <c r="W52" s="2">
        <f t="shared" si="23"/>
        <v>0.55346690006375665</v>
      </c>
      <c r="X52" s="2">
        <f t="shared" si="24"/>
        <v>0.33492435505434176</v>
      </c>
      <c r="AB52" s="66">
        <v>6.4516129032258063E-2</v>
      </c>
      <c r="AC52" s="2">
        <v>1.66040070019127</v>
      </c>
    </row>
    <row r="53" spans="2:29">
      <c r="B53" s="1" t="s">
        <v>116</v>
      </c>
      <c r="C53" s="1" t="s">
        <v>233</v>
      </c>
      <c r="D53">
        <v>229</v>
      </c>
      <c r="E53">
        <v>3517</v>
      </c>
      <c r="F53">
        <v>252</v>
      </c>
      <c r="G53">
        <v>702</v>
      </c>
      <c r="H53">
        <v>24</v>
      </c>
      <c r="I53">
        <v>105</v>
      </c>
      <c r="J53">
        <v>14</v>
      </c>
      <c r="K53" s="66">
        <f t="shared" si="17"/>
        <v>0.10480349344978165</v>
      </c>
      <c r="L53" s="66">
        <f t="shared" si="18"/>
        <v>2.9854990048336652E-2</v>
      </c>
      <c r="M53" s="66">
        <f t="shared" si="19"/>
        <v>5.5555555555555552E-2</v>
      </c>
      <c r="N53" s="66"/>
      <c r="O53" s="48">
        <v>318000</v>
      </c>
      <c r="P53" s="47">
        <v>12.669806661762314</v>
      </c>
      <c r="Q53" s="2">
        <f t="shared" si="20"/>
        <v>1.1049892373063774</v>
      </c>
      <c r="R53" s="47"/>
      <c r="S53" s="1" t="s">
        <v>116</v>
      </c>
      <c r="T53" s="1" t="s">
        <v>233</v>
      </c>
      <c r="U53" s="2">
        <f t="shared" si="21"/>
        <v>0.34934497816593885</v>
      </c>
      <c r="V53" s="2">
        <f t="shared" si="22"/>
        <v>0.99516633494455509</v>
      </c>
      <c r="W53" s="2">
        <f t="shared" si="23"/>
        <v>0.36832974576879246</v>
      </c>
      <c r="X53" s="2">
        <f t="shared" si="24"/>
        <v>0.5709470196264288</v>
      </c>
      <c r="AB53" s="66">
        <v>5.5555555555555552E-2</v>
      </c>
      <c r="AC53" s="2">
        <v>1.1049892373063774</v>
      </c>
    </row>
    <row r="54" spans="2:29">
      <c r="B54" s="1" t="s">
        <v>96</v>
      </c>
      <c r="C54" s="1" t="s">
        <v>234</v>
      </c>
      <c r="D54">
        <v>96</v>
      </c>
      <c r="E54" t="e">
        <v>#N/A</v>
      </c>
      <c r="F54">
        <v>224</v>
      </c>
      <c r="G54" t="e">
        <v>#N/A</v>
      </c>
      <c r="H54">
        <v>7</v>
      </c>
      <c r="I54">
        <v>1</v>
      </c>
      <c r="J54">
        <v>10</v>
      </c>
      <c r="K54" s="66">
        <f t="shared" si="17"/>
        <v>7.2916666666666671E-2</v>
      </c>
      <c r="L54" s="66" t="e">
        <f t="shared" si="18"/>
        <v>#N/A</v>
      </c>
      <c r="M54" s="66">
        <f t="shared" si="19"/>
        <v>4.4642857142857144E-2</v>
      </c>
      <c r="N54" s="66"/>
      <c r="O54" s="48">
        <v>53910</v>
      </c>
      <c r="P54" s="47">
        <v>10.895071268445715</v>
      </c>
      <c r="Q54" s="2">
        <f t="shared" si="20"/>
        <v>0.9178462218014104</v>
      </c>
      <c r="R54" s="47"/>
      <c r="S54" s="1" t="s">
        <v>96</v>
      </c>
      <c r="T54" s="1" t="s">
        <v>234</v>
      </c>
      <c r="U54" s="2">
        <f t="shared" si="21"/>
        <v>0.24305555555555558</v>
      </c>
      <c r="V54" s="2" t="e">
        <f t="shared" si="22"/>
        <v>#N/A</v>
      </c>
      <c r="W54" s="2">
        <f t="shared" si="23"/>
        <v>0.30594874060047011</v>
      </c>
      <c r="X54" s="2">
        <f t="shared" si="24"/>
        <v>0.27450214807801288</v>
      </c>
      <c r="AB54" s="66">
        <v>4.4642857142857144E-2</v>
      </c>
      <c r="AC54" s="2">
        <v>0.9178462218014104</v>
      </c>
    </row>
    <row r="55" spans="2:29">
      <c r="B55" s="1" t="s">
        <v>41</v>
      </c>
      <c r="C55" s="1" t="s">
        <v>235</v>
      </c>
      <c r="D55">
        <v>65</v>
      </c>
      <c r="E55">
        <v>6004</v>
      </c>
      <c r="F55">
        <v>86</v>
      </c>
      <c r="G55" t="e">
        <v>#N/A</v>
      </c>
      <c r="H55">
        <v>14</v>
      </c>
      <c r="I55">
        <v>163</v>
      </c>
      <c r="J55">
        <v>17</v>
      </c>
      <c r="K55" s="66">
        <f t="shared" si="17"/>
        <v>0.2153846153846154</v>
      </c>
      <c r="L55" s="66">
        <f t="shared" si="18"/>
        <v>2.7148567621585611E-2</v>
      </c>
      <c r="M55" s="66">
        <f t="shared" si="19"/>
        <v>0.19767441860465115</v>
      </c>
      <c r="N55" s="66"/>
      <c r="O55" s="48">
        <v>109820</v>
      </c>
      <c r="P55" s="47">
        <v>11.606597940832863</v>
      </c>
      <c r="Q55" s="2">
        <f t="shared" si="20"/>
        <v>1.4646841466087797</v>
      </c>
      <c r="R55" s="47"/>
      <c r="S55" s="1" t="s">
        <v>41</v>
      </c>
      <c r="T55" s="1" t="s">
        <v>235</v>
      </c>
      <c r="U55" s="2">
        <f t="shared" si="21"/>
        <v>0.71794871794871806</v>
      </c>
      <c r="V55" s="2">
        <f t="shared" si="22"/>
        <v>0.90495225405285373</v>
      </c>
      <c r="W55" s="2">
        <f t="shared" si="23"/>
        <v>0.4882280488695932</v>
      </c>
      <c r="X55" s="2">
        <f t="shared" si="24"/>
        <v>0.70370967362372161</v>
      </c>
      <c r="AB55" s="66">
        <v>0.19767441860465115</v>
      </c>
      <c r="AC55" s="2">
        <v>1.4646841466087797</v>
      </c>
    </row>
    <row r="56" spans="2:29">
      <c r="B56" s="1" t="s">
        <v>56</v>
      </c>
      <c r="C56" s="1" t="s">
        <v>236</v>
      </c>
      <c r="D56">
        <v>21</v>
      </c>
      <c r="E56">
        <v>1650</v>
      </c>
      <c r="F56" t="e">
        <v>#N/A</v>
      </c>
      <c r="G56" t="e">
        <v>#N/A</v>
      </c>
      <c r="H56">
        <v>5</v>
      </c>
      <c r="I56">
        <v>7</v>
      </c>
      <c r="J56">
        <v>5</v>
      </c>
      <c r="K56" s="66">
        <f t="shared" si="17"/>
        <v>0.23809523809523808</v>
      </c>
      <c r="L56" s="66">
        <f t="shared" si="18"/>
        <v>4.2424242424242429E-3</v>
      </c>
      <c r="M56" s="66" t="e">
        <f t="shared" si="19"/>
        <v>#N/A</v>
      </c>
      <c r="N56" s="66"/>
      <c r="O56" s="48">
        <v>9240</v>
      </c>
      <c r="P56" s="47">
        <v>9.131297164635729</v>
      </c>
      <c r="Q56" s="2">
        <f t="shared" si="20"/>
        <v>0.54756732913745476</v>
      </c>
      <c r="R56" s="47"/>
      <c r="S56" s="1" t="s">
        <v>56</v>
      </c>
      <c r="T56" s="1" t="s">
        <v>236</v>
      </c>
      <c r="U56" s="2">
        <f t="shared" si="21"/>
        <v>0.79365079365079361</v>
      </c>
      <c r="V56" s="2">
        <f t="shared" si="22"/>
        <v>0.14141414141414144</v>
      </c>
      <c r="W56" s="2">
        <f t="shared" si="23"/>
        <v>0.18252244304581824</v>
      </c>
      <c r="X56" s="2">
        <f t="shared" si="24"/>
        <v>0.37252912603691773</v>
      </c>
      <c r="AB56" s="66" t="e">
        <v>#N/A</v>
      </c>
      <c r="AC56" s="2">
        <v>0.54756732913745476</v>
      </c>
    </row>
    <row r="57" spans="2:29">
      <c r="B57" s="1" t="s">
        <v>50</v>
      </c>
      <c r="C57" s="1" t="s">
        <v>237</v>
      </c>
      <c r="D57">
        <v>88</v>
      </c>
      <c r="E57" t="e">
        <v>#N/A</v>
      </c>
      <c r="F57">
        <v>205</v>
      </c>
      <c r="G57" t="e">
        <v>#N/A</v>
      </c>
      <c r="H57">
        <v>2</v>
      </c>
      <c r="I57">
        <v>4</v>
      </c>
      <c r="J57">
        <v>6</v>
      </c>
      <c r="K57" s="66">
        <f t="shared" si="17"/>
        <v>2.2727272727272728E-2</v>
      </c>
      <c r="L57" s="66" t="e">
        <f t="shared" si="18"/>
        <v>#N/A</v>
      </c>
      <c r="M57" s="66">
        <f t="shared" si="19"/>
        <v>2.9268292682926831E-2</v>
      </c>
      <c r="N57" s="66"/>
      <c r="O57" s="48">
        <v>77250</v>
      </c>
      <c r="P57" s="47">
        <v>11.254802194759993</v>
      </c>
      <c r="Q57" s="2">
        <f t="shared" si="20"/>
        <v>0.53310577086761046</v>
      </c>
      <c r="R57" s="47"/>
      <c r="S57" s="1" t="s">
        <v>50</v>
      </c>
      <c r="T57" s="1" t="s">
        <v>237</v>
      </c>
      <c r="U57" s="2">
        <f t="shared" si="21"/>
        <v>7.575757575757576E-2</v>
      </c>
      <c r="V57" s="2" t="e">
        <f t="shared" si="22"/>
        <v>#N/A</v>
      </c>
      <c r="W57" s="2">
        <f t="shared" si="23"/>
        <v>0.17770192362253681</v>
      </c>
      <c r="X57" s="2">
        <f t="shared" si="24"/>
        <v>0.12672974969005629</v>
      </c>
      <c r="AB57" s="66">
        <v>2.9268292682926831E-2</v>
      </c>
      <c r="AC57" s="2">
        <v>0.53310577086761046</v>
      </c>
    </row>
    <row r="58" spans="2:29">
      <c r="B58" s="1" t="s">
        <v>22</v>
      </c>
      <c r="C58" s="1" t="s">
        <v>238</v>
      </c>
      <c r="D58">
        <v>81</v>
      </c>
      <c r="E58">
        <v>1200</v>
      </c>
      <c r="F58">
        <v>196</v>
      </c>
      <c r="G58" t="e">
        <v>#N/A</v>
      </c>
      <c r="H58">
        <v>2</v>
      </c>
      <c r="I58">
        <v>3</v>
      </c>
      <c r="J58">
        <v>2</v>
      </c>
      <c r="K58" s="66">
        <f t="shared" si="17"/>
        <v>2.4691358024691357E-2</v>
      </c>
      <c r="L58" s="66">
        <f t="shared" si="18"/>
        <v>2.5000000000000001E-3</v>
      </c>
      <c r="M58" s="66">
        <f t="shared" si="19"/>
        <v>1.020408163265306E-2</v>
      </c>
      <c r="N58" s="66"/>
      <c r="O58" s="48">
        <v>42430</v>
      </c>
      <c r="P58" s="47">
        <v>10.65561093819637</v>
      </c>
      <c r="Q58" s="2">
        <f t="shared" si="20"/>
        <v>0.18769454061341054</v>
      </c>
      <c r="R58" s="47"/>
      <c r="S58" s="1" t="s">
        <v>22</v>
      </c>
      <c r="T58" s="1" t="s">
        <v>238</v>
      </c>
      <c r="U58" s="2">
        <f t="shared" si="21"/>
        <v>8.2304526748971193E-2</v>
      </c>
      <c r="V58" s="2">
        <f t="shared" si="22"/>
        <v>8.3333333333333343E-2</v>
      </c>
      <c r="W58" s="2">
        <f t="shared" si="23"/>
        <v>6.2564846871136851E-2</v>
      </c>
      <c r="X58" s="2">
        <f t="shared" si="24"/>
        <v>7.6067568984480458E-2</v>
      </c>
      <c r="AB58" s="66">
        <v>1.020408163265306E-2</v>
      </c>
      <c r="AC58" s="2">
        <v>0.18769454061341054</v>
      </c>
    </row>
    <row r="59" spans="2:29">
      <c r="B59" s="1" t="s">
        <v>21</v>
      </c>
      <c r="C59" s="1" t="s">
        <v>239</v>
      </c>
      <c r="D59">
        <v>106</v>
      </c>
      <c r="E59">
        <v>635</v>
      </c>
      <c r="F59" t="e">
        <v>#N/A</v>
      </c>
      <c r="G59" t="e">
        <v>#N/A</v>
      </c>
      <c r="H59">
        <v>8</v>
      </c>
      <c r="I59">
        <v>2</v>
      </c>
      <c r="J59">
        <v>6</v>
      </c>
      <c r="K59" s="66">
        <f t="shared" si="17"/>
        <v>7.5471698113207544E-2</v>
      </c>
      <c r="L59" s="66">
        <f t="shared" si="18"/>
        <v>3.1496062992125984E-3</v>
      </c>
      <c r="M59" s="66" t="e">
        <f t="shared" si="19"/>
        <v>#N/A</v>
      </c>
      <c r="N59" s="66"/>
      <c r="O59" s="48">
        <v>23180</v>
      </c>
      <c r="P59" s="47">
        <v>10.051045116893743</v>
      </c>
      <c r="Q59" s="2">
        <f t="shared" si="20"/>
        <v>0.59695284721339392</v>
      </c>
      <c r="R59" s="47"/>
      <c r="S59" s="1" t="s">
        <v>21</v>
      </c>
      <c r="T59" s="1" t="s">
        <v>239</v>
      </c>
      <c r="U59" s="2">
        <f t="shared" si="21"/>
        <v>0.25157232704402516</v>
      </c>
      <c r="V59" s="2">
        <f t="shared" si="22"/>
        <v>0.10498687664041995</v>
      </c>
      <c r="W59" s="2">
        <f t="shared" si="23"/>
        <v>0.19898428240446464</v>
      </c>
      <c r="X59" s="2">
        <f t="shared" si="24"/>
        <v>0.18518116202963655</v>
      </c>
      <c r="AB59" s="66" t="e">
        <v>#N/A</v>
      </c>
      <c r="AC59" s="2">
        <v>0.59695284721339392</v>
      </c>
    </row>
    <row r="60" spans="2:29">
      <c r="B60" s="1" t="s">
        <v>45</v>
      </c>
      <c r="C60" s="1" t="s">
        <v>240</v>
      </c>
      <c r="D60">
        <v>16</v>
      </c>
      <c r="E60">
        <v>1027</v>
      </c>
      <c r="F60" t="e">
        <v>#N/A</v>
      </c>
      <c r="G60" t="e">
        <v>#N/A</v>
      </c>
      <c r="H60">
        <v>3</v>
      </c>
      <c r="I60">
        <v>11</v>
      </c>
      <c r="J60">
        <v>3</v>
      </c>
      <c r="K60" s="66">
        <f t="shared" si="17"/>
        <v>0.1875</v>
      </c>
      <c r="L60" s="66">
        <f t="shared" si="18"/>
        <v>1.0710808179162609E-2</v>
      </c>
      <c r="M60" s="66" t="e">
        <f t="shared" si="19"/>
        <v>#N/A</v>
      </c>
      <c r="N60" s="66"/>
      <c r="O60" s="48">
        <v>750</v>
      </c>
      <c r="P60" s="47">
        <v>6.620073206530356</v>
      </c>
      <c r="Q60" s="2">
        <f t="shared" si="20"/>
        <v>0.45316719413928186</v>
      </c>
      <c r="R60" s="47"/>
      <c r="S60" s="1" t="s">
        <v>45</v>
      </c>
      <c r="T60" s="1" t="s">
        <v>240</v>
      </c>
      <c r="U60" s="2">
        <f t="shared" si="21"/>
        <v>0.625</v>
      </c>
      <c r="V60" s="2">
        <f t="shared" si="22"/>
        <v>0.35702693930542029</v>
      </c>
      <c r="W60" s="2">
        <f t="shared" si="23"/>
        <v>0.15105573137976061</v>
      </c>
      <c r="X60" s="2">
        <f t="shared" si="24"/>
        <v>0.37769422356172694</v>
      </c>
      <c r="AB60" s="66" t="e">
        <v>#N/A</v>
      </c>
      <c r="AC60" s="2">
        <v>0.45316719413928186</v>
      </c>
    </row>
    <row r="61" spans="2:29">
      <c r="B61" s="1" t="s">
        <v>59</v>
      </c>
      <c r="C61" s="1" t="s">
        <v>241</v>
      </c>
      <c r="D61">
        <v>36</v>
      </c>
      <c r="E61">
        <v>5000</v>
      </c>
      <c r="F61" s="54">
        <v>260</v>
      </c>
      <c r="G61" t="e">
        <v>#N/A</v>
      </c>
      <c r="H61">
        <v>6</v>
      </c>
      <c r="I61">
        <v>30</v>
      </c>
      <c r="J61">
        <v>14</v>
      </c>
      <c r="K61" s="66">
        <f t="shared" si="17"/>
        <v>0.16666666666666666</v>
      </c>
      <c r="L61" s="66">
        <f t="shared" si="18"/>
        <v>6.0000000000000001E-3</v>
      </c>
      <c r="M61" s="66">
        <f t="shared" si="19"/>
        <v>5.3846153846153849E-2</v>
      </c>
      <c r="N61" s="66"/>
      <c r="O61" s="48">
        <v>48320</v>
      </c>
      <c r="P61" s="47">
        <v>10.785600832608697</v>
      </c>
      <c r="Q61" s="2">
        <f t="shared" si="20"/>
        <v>1.2980268987586703</v>
      </c>
      <c r="R61" s="47"/>
      <c r="S61" s="1" t="s">
        <v>59</v>
      </c>
      <c r="T61" s="1" t="s">
        <v>241</v>
      </c>
      <c r="U61" s="2">
        <f t="shared" si="21"/>
        <v>0.55555555555555558</v>
      </c>
      <c r="V61" s="2">
        <f t="shared" si="22"/>
        <v>0.2</v>
      </c>
      <c r="W61" s="2">
        <f t="shared" si="23"/>
        <v>0.43267563291955674</v>
      </c>
      <c r="X61" s="2">
        <f t="shared" si="24"/>
        <v>0.39607706282503741</v>
      </c>
      <c r="AB61" s="66">
        <v>5.3846153846153849E-2</v>
      </c>
      <c r="AC61" s="2">
        <v>1.2980268987586703</v>
      </c>
    </row>
    <row r="62" spans="2:29">
      <c r="B62" s="1" t="s">
        <v>71</v>
      </c>
      <c r="C62" s="1" t="s">
        <v>242</v>
      </c>
      <c r="D62">
        <v>341</v>
      </c>
      <c r="E62">
        <v>18250</v>
      </c>
      <c r="F62" s="54">
        <v>1640</v>
      </c>
      <c r="G62">
        <v>1515</v>
      </c>
      <c r="H62">
        <v>43</v>
      </c>
      <c r="I62">
        <v>1835</v>
      </c>
      <c r="J62">
        <v>71</v>
      </c>
      <c r="K62" s="66">
        <f t="shared" si="17"/>
        <v>0.12609970674486803</v>
      </c>
      <c r="L62" s="66">
        <f t="shared" si="18"/>
        <v>0.10054794520547945</v>
      </c>
      <c r="M62" s="66">
        <f t="shared" si="19"/>
        <v>4.3292682926829265E-2</v>
      </c>
      <c r="N62" s="66"/>
      <c r="O62" s="48">
        <v>276840</v>
      </c>
      <c r="P62" s="47">
        <v>12.531195000955799</v>
      </c>
      <c r="Q62" s="2">
        <f t="shared" si="20"/>
        <v>5.6658602786553534</v>
      </c>
      <c r="R62" s="47"/>
      <c r="S62" s="1" t="s">
        <v>71</v>
      </c>
      <c r="T62" s="1" t="s">
        <v>242</v>
      </c>
      <c r="U62" s="2">
        <f t="shared" si="21"/>
        <v>0.4203323558162268</v>
      </c>
      <c r="V62" s="2">
        <f t="shared" si="22"/>
        <v>1</v>
      </c>
      <c r="W62" s="2">
        <f t="shared" si="23"/>
        <v>1</v>
      </c>
      <c r="X62" s="2">
        <f t="shared" si="24"/>
        <v>0.80677745193874228</v>
      </c>
      <c r="AB62" s="66">
        <v>4.3292682926829265E-2</v>
      </c>
      <c r="AC62" s="2">
        <v>5.6658602786553534</v>
      </c>
    </row>
    <row r="63" spans="2:29">
      <c r="B63" s="1" t="s">
        <v>126</v>
      </c>
      <c r="C63" s="1" t="s">
        <v>243</v>
      </c>
      <c r="D63">
        <v>118</v>
      </c>
      <c r="E63">
        <v>2066</v>
      </c>
      <c r="F63">
        <v>123</v>
      </c>
      <c r="G63" t="e">
        <v>#N/A</v>
      </c>
      <c r="H63">
        <v>17</v>
      </c>
      <c r="I63">
        <v>2</v>
      </c>
      <c r="J63">
        <v>10</v>
      </c>
      <c r="K63" s="66">
        <f t="shared" si="17"/>
        <v>0.1440677966101695</v>
      </c>
      <c r="L63" s="66">
        <f t="shared" si="18"/>
        <v>9.6805421103581804E-4</v>
      </c>
      <c r="M63" s="66">
        <f t="shared" si="19"/>
        <v>8.1300813008130079E-2</v>
      </c>
      <c r="N63" s="66"/>
      <c r="O63" s="48">
        <v>995450</v>
      </c>
      <c r="P63" s="47">
        <v>13.810950175207942</v>
      </c>
      <c r="Q63" s="2">
        <f t="shared" si="20"/>
        <v>0.72406314360260415</v>
      </c>
      <c r="R63" s="47"/>
      <c r="S63" s="1" t="s">
        <v>126</v>
      </c>
      <c r="T63" s="1" t="s">
        <v>243</v>
      </c>
      <c r="U63" s="2">
        <f t="shared" si="21"/>
        <v>0.48022598870056499</v>
      </c>
      <c r="V63" s="2">
        <f t="shared" si="22"/>
        <v>3.2268473701193935E-2</v>
      </c>
      <c r="W63" s="2">
        <f t="shared" si="23"/>
        <v>0.24135438120086805</v>
      </c>
      <c r="X63" s="2">
        <f t="shared" si="24"/>
        <v>0.25128294786754229</v>
      </c>
      <c r="AB63" s="66">
        <v>8.1300813008130079E-2</v>
      </c>
      <c r="AC63" s="2">
        <v>0.72406314360260415</v>
      </c>
    </row>
    <row r="64" spans="2:29">
      <c r="B64" s="1" t="s">
        <v>84</v>
      </c>
      <c r="C64" s="1" t="s">
        <v>244</v>
      </c>
      <c r="D64">
        <v>137</v>
      </c>
      <c r="E64">
        <v>2500</v>
      </c>
      <c r="F64">
        <v>141</v>
      </c>
      <c r="G64" t="e">
        <v>#N/A</v>
      </c>
      <c r="H64">
        <v>5</v>
      </c>
      <c r="I64">
        <v>26</v>
      </c>
      <c r="J64">
        <v>4</v>
      </c>
      <c r="K64" s="66">
        <f t="shared" si="17"/>
        <v>3.6496350364963501E-2</v>
      </c>
      <c r="L64" s="66">
        <f t="shared" si="18"/>
        <v>1.04E-2</v>
      </c>
      <c r="M64" s="66">
        <f t="shared" si="19"/>
        <v>2.8368794326241134E-2</v>
      </c>
      <c r="N64" s="66"/>
      <c r="O64" s="48">
        <v>20720</v>
      </c>
      <c r="P64" s="47">
        <v>9.9388546963734186</v>
      </c>
      <c r="Q64" s="2">
        <f t="shared" si="20"/>
        <v>0.40246085914301144</v>
      </c>
      <c r="R64" s="47"/>
      <c r="S64" s="1" t="s">
        <v>84</v>
      </c>
      <c r="T64" s="1" t="s">
        <v>244</v>
      </c>
      <c r="U64" s="2">
        <f t="shared" si="21"/>
        <v>0.121654501216545</v>
      </c>
      <c r="V64" s="2">
        <f t="shared" si="22"/>
        <v>0.34666666666666668</v>
      </c>
      <c r="W64" s="2">
        <f t="shared" si="23"/>
        <v>0.13415361971433715</v>
      </c>
      <c r="X64" s="2">
        <f t="shared" si="24"/>
        <v>0.20082492919918293</v>
      </c>
      <c r="AB64" s="66">
        <v>2.8368794326241134E-2</v>
      </c>
      <c r="AC64" s="2">
        <v>0.40246085914301144</v>
      </c>
    </row>
    <row r="65" spans="2:29">
      <c r="B65" s="1" t="s">
        <v>134</v>
      </c>
      <c r="C65" s="1" t="s">
        <v>245</v>
      </c>
      <c r="D65">
        <v>153</v>
      </c>
      <c r="E65">
        <v>3000</v>
      </c>
      <c r="F65">
        <v>172</v>
      </c>
      <c r="G65" t="e">
        <v>#N/A</v>
      </c>
      <c r="H65">
        <v>18</v>
      </c>
      <c r="I65">
        <v>63</v>
      </c>
      <c r="J65">
        <v>5</v>
      </c>
      <c r="K65" s="66">
        <f t="shared" si="17"/>
        <v>0.11764705882352941</v>
      </c>
      <c r="L65" s="66">
        <f t="shared" si="18"/>
        <v>2.1000000000000001E-2</v>
      </c>
      <c r="M65" s="66">
        <f t="shared" si="19"/>
        <v>2.9069767441860465E-2</v>
      </c>
      <c r="N65" s="66"/>
      <c r="O65" s="48">
        <v>28050</v>
      </c>
      <c r="P65" s="47">
        <v>10.241743910950843</v>
      </c>
      <c r="Q65" s="2">
        <f t="shared" si="20"/>
        <v>0.48819810800520202</v>
      </c>
      <c r="R65" s="47"/>
      <c r="S65" s="1" t="s">
        <v>134</v>
      </c>
      <c r="T65" s="1" t="s">
        <v>245</v>
      </c>
      <c r="U65" s="2">
        <f t="shared" si="21"/>
        <v>0.39215686274509803</v>
      </c>
      <c r="V65" s="2">
        <f t="shared" si="22"/>
        <v>0.70000000000000007</v>
      </c>
      <c r="W65" s="2">
        <f t="shared" si="23"/>
        <v>0.16273270266840067</v>
      </c>
      <c r="X65" s="2">
        <f t="shared" si="24"/>
        <v>0.41829652180449961</v>
      </c>
      <c r="AB65" s="66">
        <v>2.9069767441860465E-2</v>
      </c>
      <c r="AC65" s="2">
        <v>0.48819810800520202</v>
      </c>
    </row>
    <row r="66" spans="2:29">
      <c r="B66" s="1" t="s">
        <v>178</v>
      </c>
      <c r="C66" s="1" t="s">
        <v>246</v>
      </c>
      <c r="D66">
        <v>70</v>
      </c>
      <c r="E66" t="e">
        <v>#N/A</v>
      </c>
      <c r="F66">
        <v>138</v>
      </c>
      <c r="G66" t="e">
        <v>#N/A</v>
      </c>
      <c r="H66">
        <v>9</v>
      </c>
      <c r="I66">
        <v>3</v>
      </c>
      <c r="J66">
        <v>9</v>
      </c>
      <c r="K66" s="66">
        <f t="shared" si="17"/>
        <v>0.12857142857142856</v>
      </c>
      <c r="L66" s="66" t="e">
        <f t="shared" si="18"/>
        <v>#N/A</v>
      </c>
      <c r="M66" s="66">
        <f t="shared" si="19"/>
        <v>6.5217391304347824E-2</v>
      </c>
      <c r="N66" s="66"/>
      <c r="O66" s="48">
        <v>101000</v>
      </c>
      <c r="P66" s="47">
        <v>11.522875795823397</v>
      </c>
      <c r="Q66" s="2">
        <f t="shared" si="20"/>
        <v>0.7810550212874946</v>
      </c>
      <c r="R66" s="47"/>
      <c r="S66" s="1" t="s">
        <v>178</v>
      </c>
      <c r="T66" s="1" t="s">
        <v>246</v>
      </c>
      <c r="U66" s="2">
        <f t="shared" si="21"/>
        <v>0.42857142857142855</v>
      </c>
      <c r="V66" s="2" t="e">
        <f t="shared" si="22"/>
        <v>#N/A</v>
      </c>
      <c r="W66" s="2">
        <f t="shared" si="23"/>
        <v>0.26035167376249818</v>
      </c>
      <c r="X66" s="2">
        <f t="shared" si="24"/>
        <v>0.34446155116696336</v>
      </c>
      <c r="AB66" s="66">
        <v>6.5217391304347824E-2</v>
      </c>
      <c r="AC66" s="2">
        <v>0.7810550212874946</v>
      </c>
    </row>
    <row r="67" spans="2:29">
      <c r="B67" s="1" t="s">
        <v>58</v>
      </c>
      <c r="C67" s="1" t="s">
        <v>247</v>
      </c>
      <c r="D67">
        <v>67</v>
      </c>
      <c r="E67">
        <v>1630</v>
      </c>
      <c r="F67">
        <v>204</v>
      </c>
      <c r="G67" t="e">
        <v>#N/A</v>
      </c>
      <c r="H67">
        <v>1</v>
      </c>
      <c r="I67">
        <v>0</v>
      </c>
      <c r="J67">
        <v>3</v>
      </c>
      <c r="K67" s="66">
        <f t="shared" si="17"/>
        <v>1.4925373134328358E-2</v>
      </c>
      <c r="L67" s="66">
        <f t="shared" si="18"/>
        <v>0</v>
      </c>
      <c r="M67" s="66">
        <f t="shared" si="19"/>
        <v>1.4705882352941176E-2</v>
      </c>
      <c r="N67" s="66"/>
      <c r="O67" s="48">
        <v>42390</v>
      </c>
      <c r="P67" s="47">
        <v>10.654667764346684</v>
      </c>
      <c r="Q67" s="2">
        <f t="shared" si="20"/>
        <v>0.28156673359997086</v>
      </c>
      <c r="R67" s="47"/>
      <c r="S67" s="1" t="s">
        <v>58</v>
      </c>
      <c r="T67" s="1" t="s">
        <v>247</v>
      </c>
      <c r="U67" s="2">
        <f t="shared" si="21"/>
        <v>4.975124378109453E-2</v>
      </c>
      <c r="V67" s="2">
        <f t="shared" si="22"/>
        <v>0</v>
      </c>
      <c r="W67" s="2">
        <f t="shared" si="23"/>
        <v>9.385557786665695E-2</v>
      </c>
      <c r="X67" s="2">
        <f t="shared" si="24"/>
        <v>4.7868940549250498E-2</v>
      </c>
      <c r="AB67" s="66">
        <v>1.4705882352941176E-2</v>
      </c>
      <c r="AC67" s="2">
        <v>0.28156673359997086</v>
      </c>
    </row>
    <row r="68" spans="2:29">
      <c r="B68" s="1" t="s">
        <v>184</v>
      </c>
      <c r="C68" s="1" t="s">
        <v>248</v>
      </c>
      <c r="D68">
        <v>288</v>
      </c>
      <c r="E68">
        <v>6500</v>
      </c>
      <c r="F68">
        <v>262</v>
      </c>
      <c r="G68">
        <v>839</v>
      </c>
      <c r="H68">
        <v>31</v>
      </c>
      <c r="I68">
        <v>21</v>
      </c>
      <c r="J68">
        <v>21</v>
      </c>
      <c r="K68" s="66">
        <f t="shared" si="17"/>
        <v>0.1076388888888889</v>
      </c>
      <c r="L68" s="66">
        <f t="shared" si="18"/>
        <v>3.2307692307692306E-3</v>
      </c>
      <c r="M68" s="66">
        <f t="shared" si="19"/>
        <v>8.0152671755725186E-2</v>
      </c>
      <c r="N68" s="66"/>
      <c r="O68" s="48">
        <v>1000000</v>
      </c>
      <c r="P68" s="47">
        <v>13.815510557964274</v>
      </c>
      <c r="Q68" s="2">
        <f t="shared" si="20"/>
        <v>1.5200306866613815</v>
      </c>
      <c r="R68" s="47"/>
      <c r="S68" s="1" t="s">
        <v>184</v>
      </c>
      <c r="T68" s="1" t="s">
        <v>248</v>
      </c>
      <c r="U68" s="2">
        <f t="shared" si="21"/>
        <v>0.35879629629629634</v>
      </c>
      <c r="V68" s="2">
        <f t="shared" si="22"/>
        <v>0.1076923076923077</v>
      </c>
      <c r="W68" s="2">
        <f t="shared" si="23"/>
        <v>0.5066768955537938</v>
      </c>
      <c r="X68" s="2">
        <f t="shared" si="24"/>
        <v>0.32438849984746593</v>
      </c>
      <c r="AB68" s="66">
        <v>8.0152671755725186E-2</v>
      </c>
      <c r="AC68" s="2">
        <v>1.5200306866613815</v>
      </c>
    </row>
    <row r="69" spans="2:29">
      <c r="B69" s="1" t="s">
        <v>108</v>
      </c>
      <c r="C69" s="1" t="s">
        <v>249</v>
      </c>
      <c r="D69">
        <v>15</v>
      </c>
      <c r="E69">
        <v>1307</v>
      </c>
      <c r="F69">
        <v>47</v>
      </c>
      <c r="G69" t="e">
        <v>#N/A</v>
      </c>
      <c r="H69">
        <v>6</v>
      </c>
      <c r="I69">
        <v>66</v>
      </c>
      <c r="J69">
        <v>10</v>
      </c>
      <c r="K69" s="66">
        <f t="shared" si="17"/>
        <v>0.4</v>
      </c>
      <c r="L69" s="66">
        <f t="shared" si="18"/>
        <v>5.0497322111706197E-2</v>
      </c>
      <c r="M69" s="66">
        <f t="shared" si="19"/>
        <v>0.21276595744680851</v>
      </c>
      <c r="N69" s="66"/>
      <c r="O69" s="48">
        <v>18270</v>
      </c>
      <c r="P69" s="47">
        <v>9.8130156493720531</v>
      </c>
      <c r="Q69" s="2">
        <f t="shared" si="20"/>
        <v>1.0190547286694598</v>
      </c>
      <c r="R69" s="47"/>
      <c r="S69" s="1" t="s">
        <v>108</v>
      </c>
      <c r="T69" s="1" t="s">
        <v>249</v>
      </c>
      <c r="U69" s="2">
        <f t="shared" si="21"/>
        <v>1</v>
      </c>
      <c r="V69" s="2">
        <f t="shared" si="22"/>
        <v>1</v>
      </c>
      <c r="W69" s="2">
        <f t="shared" si="23"/>
        <v>0.33968490955648661</v>
      </c>
      <c r="X69" s="2">
        <f t="shared" si="24"/>
        <v>0.77989496985216222</v>
      </c>
      <c r="AB69" s="66">
        <v>0.21276595744680851</v>
      </c>
      <c r="AC69" s="2">
        <v>1.0190547286694598</v>
      </c>
    </row>
    <row r="70" spans="2:29">
      <c r="B70" s="1" t="s">
        <v>77</v>
      </c>
      <c r="C70" s="1" t="s">
        <v>250</v>
      </c>
      <c r="D70">
        <v>80</v>
      </c>
      <c r="E70">
        <v>1040</v>
      </c>
      <c r="F70">
        <v>243</v>
      </c>
      <c r="G70" t="e">
        <v>#N/A</v>
      </c>
      <c r="H70">
        <v>1</v>
      </c>
      <c r="I70">
        <v>1</v>
      </c>
      <c r="J70">
        <v>4</v>
      </c>
      <c r="K70" s="66">
        <f t="shared" si="17"/>
        <v>1.2500000000000001E-2</v>
      </c>
      <c r="L70" s="66">
        <f t="shared" si="18"/>
        <v>9.6153846153846159E-4</v>
      </c>
      <c r="M70" s="66">
        <f t="shared" si="19"/>
        <v>1.646090534979424E-2</v>
      </c>
      <c r="N70" s="66"/>
      <c r="O70" s="48">
        <v>304090</v>
      </c>
      <c r="P70" s="47">
        <v>12.625078989205004</v>
      </c>
      <c r="Q70" s="2">
        <f t="shared" si="20"/>
        <v>0.31682970090089535</v>
      </c>
      <c r="R70" s="47"/>
      <c r="S70" s="1" t="s">
        <v>77</v>
      </c>
      <c r="T70" s="1" t="s">
        <v>250</v>
      </c>
      <c r="U70" s="2">
        <f t="shared" si="21"/>
        <v>4.1666666666666671E-2</v>
      </c>
      <c r="V70" s="2">
        <f t="shared" si="22"/>
        <v>3.2051282051282055E-2</v>
      </c>
      <c r="W70" s="2">
        <f t="shared" si="23"/>
        <v>0.10560990030029845</v>
      </c>
      <c r="X70" s="2">
        <f t="shared" si="24"/>
        <v>5.9775949672749053E-2</v>
      </c>
      <c r="AB70" s="66">
        <v>1.646090534979424E-2</v>
      </c>
      <c r="AC70" s="2">
        <v>0.31682970090089535</v>
      </c>
    </row>
    <row r="71" spans="2:29">
      <c r="B71" s="1" t="s">
        <v>40</v>
      </c>
      <c r="C71" s="1" t="s">
        <v>251</v>
      </c>
      <c r="D71">
        <v>148</v>
      </c>
      <c r="E71">
        <v>4500</v>
      </c>
      <c r="F71">
        <v>283</v>
      </c>
      <c r="G71" t="e">
        <v>#N/A</v>
      </c>
      <c r="H71">
        <v>9</v>
      </c>
      <c r="I71">
        <v>8</v>
      </c>
      <c r="J71">
        <v>6</v>
      </c>
      <c r="K71" s="66">
        <f t="shared" si="17"/>
        <v>6.0810810810810814E-2</v>
      </c>
      <c r="L71" s="66">
        <f t="shared" si="18"/>
        <v>1.7777777777777779E-3</v>
      </c>
      <c r="M71" s="66">
        <f t="shared" si="19"/>
        <v>2.1201413427561839E-2</v>
      </c>
      <c r="N71" s="66"/>
      <c r="O71" s="48">
        <v>547660</v>
      </c>
      <c r="P71" s="47">
        <v>13.213409935422671</v>
      </c>
      <c r="Q71" s="2">
        <f t="shared" si="20"/>
        <v>0.45408414855238288</v>
      </c>
      <c r="R71" s="47"/>
      <c r="S71" s="1" t="s">
        <v>40</v>
      </c>
      <c r="T71" s="1" t="s">
        <v>251</v>
      </c>
      <c r="U71" s="2">
        <f t="shared" si="21"/>
        <v>0.20270270270270271</v>
      </c>
      <c r="V71" s="2">
        <f t="shared" si="22"/>
        <v>5.9259259259259262E-2</v>
      </c>
      <c r="W71" s="2">
        <f t="shared" si="23"/>
        <v>0.15136138285079428</v>
      </c>
      <c r="X71" s="2">
        <f t="shared" si="24"/>
        <v>0.13777444827091875</v>
      </c>
      <c r="AB71" s="66">
        <v>2.1201413427561839E-2</v>
      </c>
      <c r="AC71" s="2">
        <v>0.45408414855238288</v>
      </c>
    </row>
    <row r="72" spans="2:29">
      <c r="B72" s="1" t="s">
        <v>25</v>
      </c>
      <c r="C72" s="1" t="s">
        <v>252</v>
      </c>
      <c r="D72">
        <v>166</v>
      </c>
      <c r="E72">
        <v>6500</v>
      </c>
      <c r="F72">
        <v>156</v>
      </c>
      <c r="G72">
        <v>632</v>
      </c>
      <c r="H72">
        <v>13</v>
      </c>
      <c r="I72">
        <v>108</v>
      </c>
      <c r="J72">
        <v>5</v>
      </c>
      <c r="K72" s="66">
        <f t="shared" si="17"/>
        <v>7.8313253012048195E-2</v>
      </c>
      <c r="L72" s="66">
        <f t="shared" si="18"/>
        <v>1.6615384615384615E-2</v>
      </c>
      <c r="M72" s="66">
        <f t="shared" si="19"/>
        <v>3.2051282051282048E-2</v>
      </c>
      <c r="N72" s="66"/>
      <c r="O72" s="48">
        <v>257670</v>
      </c>
      <c r="P72" s="47">
        <v>12.45943497542838</v>
      </c>
      <c r="Q72" s="2">
        <f t="shared" si="20"/>
        <v>0.4013023070356439</v>
      </c>
      <c r="R72" s="47"/>
      <c r="S72" s="1" t="s">
        <v>25</v>
      </c>
      <c r="T72" s="1" t="s">
        <v>252</v>
      </c>
      <c r="U72" s="2">
        <f t="shared" si="21"/>
        <v>0.26104417670682734</v>
      </c>
      <c r="V72" s="2">
        <f t="shared" si="22"/>
        <v>0.55384615384615388</v>
      </c>
      <c r="W72" s="2">
        <f t="shared" si="23"/>
        <v>0.13376743567854796</v>
      </c>
      <c r="X72" s="2">
        <f t="shared" si="24"/>
        <v>0.31621925541050971</v>
      </c>
      <c r="AB72" s="66">
        <v>3.2051282051282048E-2</v>
      </c>
      <c r="AC72" s="2">
        <v>0.4013023070356439</v>
      </c>
    </row>
    <row r="73" spans="2:29">
      <c r="B73" s="1" t="s">
        <v>95</v>
      </c>
      <c r="C73" s="1" t="s">
        <v>253</v>
      </c>
      <c r="D73">
        <v>133</v>
      </c>
      <c r="E73">
        <v>966</v>
      </c>
      <c r="F73">
        <v>154</v>
      </c>
      <c r="G73" t="e">
        <v>#N/A</v>
      </c>
      <c r="H73">
        <v>9</v>
      </c>
      <c r="I73">
        <v>4</v>
      </c>
      <c r="J73">
        <v>5</v>
      </c>
      <c r="K73" s="66">
        <f t="shared" si="17"/>
        <v>6.7669172932330823E-2</v>
      </c>
      <c r="L73" s="66">
        <f t="shared" si="18"/>
        <v>4.140786749482402E-3</v>
      </c>
      <c r="M73" s="66">
        <f t="shared" si="19"/>
        <v>3.2467532467532464E-2</v>
      </c>
      <c r="N73" s="66"/>
      <c r="O73" s="48">
        <v>10000</v>
      </c>
      <c r="P73" s="47">
        <v>9.2103403719761836</v>
      </c>
      <c r="Q73" s="2">
        <f t="shared" si="20"/>
        <v>0.54286810237906469</v>
      </c>
      <c r="R73" s="47"/>
      <c r="S73" s="1" t="s">
        <v>95</v>
      </c>
      <c r="T73" s="1" t="s">
        <v>253</v>
      </c>
      <c r="U73" s="2">
        <f t="shared" si="21"/>
        <v>0.22556390977443608</v>
      </c>
      <c r="V73" s="2">
        <f t="shared" si="22"/>
        <v>0.13802622498274675</v>
      </c>
      <c r="W73" s="2">
        <f t="shared" si="23"/>
        <v>0.18095603412635489</v>
      </c>
      <c r="X73" s="2">
        <f t="shared" si="24"/>
        <v>0.18151538962784589</v>
      </c>
      <c r="AB73" s="66">
        <v>3.2467532467532464E-2</v>
      </c>
      <c r="AC73" s="2">
        <v>0.54286810237906469</v>
      </c>
    </row>
    <row r="74" spans="2:29">
      <c r="B74" s="1" t="s">
        <v>105</v>
      </c>
      <c r="C74" s="1" t="s">
        <v>254</v>
      </c>
      <c r="D74">
        <v>98</v>
      </c>
      <c r="E74" t="e">
        <v>#N/A</v>
      </c>
      <c r="F74">
        <v>208</v>
      </c>
      <c r="G74" t="e">
        <v>#N/A</v>
      </c>
      <c r="H74">
        <v>10</v>
      </c>
      <c r="I74">
        <v>0</v>
      </c>
      <c r="J74">
        <v>10</v>
      </c>
      <c r="K74" s="66">
        <f t="shared" si="17"/>
        <v>0.10204081632653061</v>
      </c>
      <c r="L74" s="66" t="e">
        <f t="shared" si="18"/>
        <v>#N/A</v>
      </c>
      <c r="M74" s="66">
        <f t="shared" si="19"/>
        <v>4.807692307692308E-2</v>
      </c>
      <c r="N74" s="66"/>
      <c r="O74" s="48">
        <v>69490</v>
      </c>
      <c r="P74" s="47">
        <v>11.148938136308374</v>
      </c>
      <c r="Q74" s="2">
        <f t="shared" si="20"/>
        <v>0.89694640671054893</v>
      </c>
      <c r="R74" s="47"/>
      <c r="S74" s="1" t="s">
        <v>105</v>
      </c>
      <c r="T74" s="1" t="s">
        <v>254</v>
      </c>
      <c r="U74" s="2">
        <f t="shared" si="21"/>
        <v>0.34013605442176875</v>
      </c>
      <c r="V74" s="2" t="e">
        <f t="shared" si="22"/>
        <v>#N/A</v>
      </c>
      <c r="W74" s="2">
        <f t="shared" si="23"/>
        <v>0.29898213557018299</v>
      </c>
      <c r="X74" s="2">
        <f t="shared" si="24"/>
        <v>0.3195590949959759</v>
      </c>
      <c r="AB74" s="66">
        <v>4.807692307692308E-2</v>
      </c>
      <c r="AC74" s="2">
        <v>0.89694640671054893</v>
      </c>
    </row>
    <row r="75" spans="2:29">
      <c r="B75" s="1" t="s">
        <v>44</v>
      </c>
      <c r="C75" s="1" t="s">
        <v>255</v>
      </c>
      <c r="D75">
        <v>126</v>
      </c>
      <c r="E75">
        <v>2600</v>
      </c>
      <c r="F75">
        <v>247</v>
      </c>
      <c r="G75" t="e">
        <v>#N/A</v>
      </c>
      <c r="H75">
        <v>6</v>
      </c>
      <c r="I75">
        <v>12</v>
      </c>
      <c r="J75">
        <v>6</v>
      </c>
      <c r="K75" s="66">
        <f t="shared" si="17"/>
        <v>4.7619047619047616E-2</v>
      </c>
      <c r="L75" s="66">
        <f t="shared" si="18"/>
        <v>4.6153846153846158E-3</v>
      </c>
      <c r="M75" s="66">
        <f t="shared" si="19"/>
        <v>2.4291497975708502E-2</v>
      </c>
      <c r="N75" s="66"/>
      <c r="O75" s="48">
        <v>348770</v>
      </c>
      <c r="P75" s="47">
        <v>12.762167958143648</v>
      </c>
      <c r="Q75" s="2">
        <f t="shared" si="20"/>
        <v>0.47013955776779676</v>
      </c>
      <c r="R75" s="47"/>
      <c r="S75" s="1" t="s">
        <v>44</v>
      </c>
      <c r="T75" s="1" t="s">
        <v>255</v>
      </c>
      <c r="U75" s="2">
        <f t="shared" si="21"/>
        <v>0.15873015873015872</v>
      </c>
      <c r="V75" s="2">
        <f t="shared" si="22"/>
        <v>0.15384615384615385</v>
      </c>
      <c r="W75" s="2">
        <f t="shared" si="23"/>
        <v>0.15671318592259892</v>
      </c>
      <c r="X75" s="2">
        <f t="shared" si="24"/>
        <v>0.15642983283297049</v>
      </c>
      <c r="AB75" s="66">
        <v>2.4291497975708502E-2</v>
      </c>
      <c r="AC75" s="2">
        <v>0.47013955776779676</v>
      </c>
    </row>
    <row r="76" spans="2:29">
      <c r="B76" s="1" t="s">
        <v>112</v>
      </c>
      <c r="C76" s="1" t="s">
        <v>256</v>
      </c>
      <c r="D76">
        <v>249</v>
      </c>
      <c r="E76">
        <v>3600</v>
      </c>
      <c r="F76">
        <v>206</v>
      </c>
      <c r="G76">
        <v>729</v>
      </c>
      <c r="H76">
        <v>17</v>
      </c>
      <c r="I76">
        <v>117</v>
      </c>
      <c r="J76">
        <v>8</v>
      </c>
      <c r="K76" s="66">
        <f t="shared" ref="K76:K107" si="25">H76/D76</f>
        <v>6.8273092369477914E-2</v>
      </c>
      <c r="L76" s="66">
        <f t="shared" ref="L76:L107" si="26">I76/E76</f>
        <v>3.2500000000000001E-2</v>
      </c>
      <c r="M76" s="66">
        <f t="shared" ref="M76:M107" si="27">J76/F76</f>
        <v>3.8834951456310676E-2</v>
      </c>
      <c r="N76" s="66"/>
      <c r="O76" s="48">
        <v>227540</v>
      </c>
      <c r="P76" s="47">
        <v>12.335081326093707</v>
      </c>
      <c r="Q76" s="2">
        <f t="shared" ref="Q76:Q107" si="28">J76/P76</f>
        <v>0.648556729259397</v>
      </c>
      <c r="R76" s="47"/>
      <c r="S76" s="1" t="s">
        <v>112</v>
      </c>
      <c r="T76" s="1" t="s">
        <v>256</v>
      </c>
      <c r="U76" s="2">
        <f t="shared" ref="U76:U107" si="29">MIN(1,(K76-U$9)/(U$10-U$9))</f>
        <v>0.2275769745649264</v>
      </c>
      <c r="V76" s="2">
        <f t="shared" ref="V76:V107" si="30">MIN(1,(L76-V$9)/(V$10-V$9))</f>
        <v>1</v>
      </c>
      <c r="W76" s="2">
        <f t="shared" ref="W76:W107" si="31">MIN(1,(Q76-W$9)/(W$10-W$9))</f>
        <v>0.21618557641979899</v>
      </c>
      <c r="X76" s="2">
        <f t="shared" ref="X76:X107" si="32">IF(COUNT(U76:W76),mmean(U76:W76),NA())</f>
        <v>0.48125418366157513</v>
      </c>
      <c r="AB76" s="66">
        <v>3.8834951456310676E-2</v>
      </c>
      <c r="AC76" s="2">
        <v>0.648556729259397</v>
      </c>
    </row>
    <row r="77" spans="2:29">
      <c r="B77" s="1" t="s">
        <v>83</v>
      </c>
      <c r="C77" s="1" t="s">
        <v>257</v>
      </c>
      <c r="D77">
        <v>118</v>
      </c>
      <c r="E77">
        <v>4900</v>
      </c>
      <c r="F77">
        <v>255</v>
      </c>
      <c r="G77" t="e">
        <v>#N/A</v>
      </c>
      <c r="H77">
        <v>10</v>
      </c>
      <c r="I77">
        <v>11</v>
      </c>
      <c r="J77">
        <v>11</v>
      </c>
      <c r="K77" s="66">
        <f t="shared" si="25"/>
        <v>8.4745762711864403E-2</v>
      </c>
      <c r="L77" s="66">
        <f t="shared" si="26"/>
        <v>2.2448979591836735E-3</v>
      </c>
      <c r="M77" s="66">
        <f t="shared" si="27"/>
        <v>4.3137254901960784E-2</v>
      </c>
      <c r="N77" s="66"/>
      <c r="O77" s="48">
        <v>128900</v>
      </c>
      <c r="P77" s="47">
        <v>11.766792188927278</v>
      </c>
      <c r="Q77" s="2">
        <f t="shared" si="28"/>
        <v>0.93483422018374385</v>
      </c>
      <c r="R77" s="47"/>
      <c r="S77" s="1" t="s">
        <v>83</v>
      </c>
      <c r="T77" s="1" t="s">
        <v>257</v>
      </c>
      <c r="U77" s="2">
        <f t="shared" si="29"/>
        <v>0.2824858757062147</v>
      </c>
      <c r="V77" s="2">
        <f t="shared" si="30"/>
        <v>7.4829931972789115E-2</v>
      </c>
      <c r="W77" s="2">
        <f t="shared" si="31"/>
        <v>0.3116114067279146</v>
      </c>
      <c r="X77" s="2">
        <f t="shared" si="32"/>
        <v>0.22297573813563951</v>
      </c>
      <c r="AB77" s="66">
        <v>4.3137254901960784E-2</v>
      </c>
      <c r="AC77" s="2">
        <v>0.93483422018374385</v>
      </c>
    </row>
    <row r="78" spans="2:29">
      <c r="B78" s="1" t="s">
        <v>155</v>
      </c>
      <c r="C78" s="1" t="s">
        <v>258</v>
      </c>
      <c r="D78">
        <v>33</v>
      </c>
      <c r="E78">
        <v>919</v>
      </c>
      <c r="F78" t="e">
        <v>#N/A</v>
      </c>
      <c r="G78" t="e">
        <v>#N/A</v>
      </c>
      <c r="H78">
        <v>3</v>
      </c>
      <c r="I78">
        <v>3</v>
      </c>
      <c r="J78">
        <v>1</v>
      </c>
      <c r="K78" s="66">
        <f t="shared" si="25"/>
        <v>9.0909090909090912E-2</v>
      </c>
      <c r="L78" s="66">
        <f t="shared" si="26"/>
        <v>3.2644178454842221E-3</v>
      </c>
      <c r="M78" s="66" t="e">
        <f t="shared" si="27"/>
        <v>#N/A</v>
      </c>
      <c r="N78" s="66"/>
      <c r="O78" s="48">
        <v>340</v>
      </c>
      <c r="P78" s="47">
        <v>5.8289456176102075</v>
      </c>
      <c r="Q78" s="2">
        <f t="shared" si="28"/>
        <v>0.17155761360662464</v>
      </c>
      <c r="R78" s="47"/>
      <c r="S78" s="1" t="s">
        <v>155</v>
      </c>
      <c r="T78" s="1" t="s">
        <v>258</v>
      </c>
      <c r="U78" s="2">
        <f t="shared" si="29"/>
        <v>0.30303030303030304</v>
      </c>
      <c r="V78" s="2">
        <f t="shared" si="30"/>
        <v>0.10881392818280741</v>
      </c>
      <c r="W78" s="2">
        <f t="shared" si="31"/>
        <v>5.7185871202208215E-2</v>
      </c>
      <c r="X78" s="2">
        <f t="shared" si="32"/>
        <v>0.15634336747177288</v>
      </c>
      <c r="AB78" s="66" t="e">
        <v>#N/A</v>
      </c>
      <c r="AC78" s="2">
        <v>0.17155761360662464</v>
      </c>
    </row>
    <row r="79" spans="2:29">
      <c r="B79" s="1" t="s">
        <v>115</v>
      </c>
      <c r="C79" s="1" t="s">
        <v>259</v>
      </c>
      <c r="D79">
        <v>193</v>
      </c>
      <c r="E79">
        <v>8000</v>
      </c>
      <c r="F79">
        <v>221</v>
      </c>
      <c r="G79">
        <v>684</v>
      </c>
      <c r="H79">
        <v>16</v>
      </c>
      <c r="I79">
        <v>83</v>
      </c>
      <c r="J79">
        <v>12</v>
      </c>
      <c r="K79" s="66">
        <f t="shared" si="25"/>
        <v>8.2901554404145081E-2</v>
      </c>
      <c r="L79" s="66">
        <f t="shared" si="26"/>
        <v>1.0375000000000001E-2</v>
      </c>
      <c r="M79" s="66">
        <f t="shared" si="27"/>
        <v>5.4298642533936653E-2</v>
      </c>
      <c r="N79" s="66"/>
      <c r="O79" s="48">
        <v>107160</v>
      </c>
      <c r="P79" s="47">
        <v>11.582078323658545</v>
      </c>
      <c r="Q79" s="2">
        <f t="shared" si="28"/>
        <v>1.0360834786868756</v>
      </c>
      <c r="R79" s="47"/>
      <c r="S79" s="1" t="s">
        <v>115</v>
      </c>
      <c r="T79" s="1" t="s">
        <v>259</v>
      </c>
      <c r="U79" s="2">
        <f t="shared" si="29"/>
        <v>0.27633851468048359</v>
      </c>
      <c r="V79" s="2">
        <f t="shared" si="30"/>
        <v>0.34583333333333338</v>
      </c>
      <c r="W79" s="2">
        <f t="shared" si="31"/>
        <v>0.34536115956229185</v>
      </c>
      <c r="X79" s="2">
        <f t="shared" si="32"/>
        <v>0.32251100252536963</v>
      </c>
      <c r="AB79" s="66">
        <v>5.4298642533936653E-2</v>
      </c>
      <c r="AC79" s="2">
        <v>1.0360834786868756</v>
      </c>
    </row>
    <row r="80" spans="2:29">
      <c r="B80" s="1" t="s">
        <v>147</v>
      </c>
      <c r="C80" s="1" t="s">
        <v>260</v>
      </c>
      <c r="D80">
        <v>215</v>
      </c>
      <c r="E80">
        <v>3000</v>
      </c>
      <c r="F80">
        <v>109</v>
      </c>
      <c r="G80">
        <v>640</v>
      </c>
      <c r="H80">
        <v>22</v>
      </c>
      <c r="I80">
        <v>22</v>
      </c>
      <c r="J80">
        <v>12</v>
      </c>
      <c r="K80" s="66">
        <f t="shared" si="25"/>
        <v>0.10232558139534884</v>
      </c>
      <c r="L80" s="66">
        <f t="shared" si="26"/>
        <v>7.3333333333333332E-3</v>
      </c>
      <c r="M80" s="66">
        <f t="shared" si="27"/>
        <v>0.11009174311926606</v>
      </c>
      <c r="N80" s="66"/>
      <c r="O80" s="48">
        <v>245720</v>
      </c>
      <c r="P80" s="47">
        <v>12.411947955277864</v>
      </c>
      <c r="Q80" s="2">
        <f t="shared" si="28"/>
        <v>0.96681037039776718</v>
      </c>
      <c r="R80" s="47"/>
      <c r="S80" s="1" t="s">
        <v>147</v>
      </c>
      <c r="T80" s="1" t="s">
        <v>260</v>
      </c>
      <c r="U80" s="2">
        <f t="shared" si="29"/>
        <v>0.34108527131782945</v>
      </c>
      <c r="V80" s="2">
        <f t="shared" si="30"/>
        <v>0.24444444444444444</v>
      </c>
      <c r="W80" s="2">
        <f t="shared" si="31"/>
        <v>0.32227012346592238</v>
      </c>
      <c r="X80" s="2">
        <f t="shared" si="32"/>
        <v>0.30259994640939875</v>
      </c>
      <c r="AB80" s="66">
        <v>0.11009174311926606</v>
      </c>
      <c r="AC80" s="2">
        <v>0.96681037039776718</v>
      </c>
    </row>
    <row r="81" spans="2:29">
      <c r="B81" s="1" t="s">
        <v>156</v>
      </c>
      <c r="C81" s="1" t="s">
        <v>261</v>
      </c>
      <c r="D81">
        <v>101</v>
      </c>
      <c r="E81">
        <v>1000</v>
      </c>
      <c r="F81">
        <v>235</v>
      </c>
      <c r="G81" t="e">
        <v>#N/A</v>
      </c>
      <c r="H81">
        <v>11</v>
      </c>
      <c r="I81">
        <v>4</v>
      </c>
      <c r="J81">
        <v>2</v>
      </c>
      <c r="K81" s="66">
        <f t="shared" si="25"/>
        <v>0.10891089108910891</v>
      </c>
      <c r="L81" s="66">
        <f t="shared" si="26"/>
        <v>4.0000000000000001E-3</v>
      </c>
      <c r="M81" s="66">
        <f t="shared" si="27"/>
        <v>8.5106382978723406E-3</v>
      </c>
      <c r="N81" s="66"/>
      <c r="O81" s="48">
        <v>28120</v>
      </c>
      <c r="P81" s="47">
        <v>10.244236345924602</v>
      </c>
      <c r="Q81" s="2">
        <f t="shared" si="28"/>
        <v>0.19523173152829953</v>
      </c>
      <c r="R81" s="47"/>
      <c r="S81" s="1" t="s">
        <v>156</v>
      </c>
      <c r="T81" s="1" t="s">
        <v>261</v>
      </c>
      <c r="U81" s="2">
        <f t="shared" si="29"/>
        <v>0.36303630363036304</v>
      </c>
      <c r="V81" s="2">
        <f t="shared" si="30"/>
        <v>0.13333333333333333</v>
      </c>
      <c r="W81" s="2">
        <f t="shared" si="31"/>
        <v>6.5077243842766516E-2</v>
      </c>
      <c r="X81" s="2">
        <f t="shared" si="32"/>
        <v>0.18714896026882097</v>
      </c>
      <c r="AB81" s="66">
        <v>8.5106382978723406E-3</v>
      </c>
      <c r="AC81" s="2">
        <v>0.19523173152829953</v>
      </c>
    </row>
    <row r="82" spans="2:29">
      <c r="B82" s="1" t="s">
        <v>162</v>
      </c>
      <c r="C82" s="1" t="s">
        <v>262</v>
      </c>
      <c r="D82">
        <v>237</v>
      </c>
      <c r="E82">
        <v>6000</v>
      </c>
      <c r="F82">
        <v>242</v>
      </c>
      <c r="G82">
        <v>786</v>
      </c>
      <c r="H82">
        <v>8</v>
      </c>
      <c r="I82">
        <v>22</v>
      </c>
      <c r="J82">
        <v>3</v>
      </c>
      <c r="K82" s="66">
        <f t="shared" si="25"/>
        <v>3.3755274261603373E-2</v>
      </c>
      <c r="L82" s="66">
        <f t="shared" si="26"/>
        <v>3.6666666666666666E-3</v>
      </c>
      <c r="M82" s="66">
        <f t="shared" si="27"/>
        <v>1.2396694214876033E-2</v>
      </c>
      <c r="N82" s="66"/>
      <c r="O82" s="48">
        <v>196850</v>
      </c>
      <c r="P82" s="47">
        <v>12.190197296371883</v>
      </c>
      <c r="Q82" s="2">
        <f t="shared" si="28"/>
        <v>0.24609938026949552</v>
      </c>
      <c r="R82" s="47"/>
      <c r="S82" s="1" t="s">
        <v>162</v>
      </c>
      <c r="T82" s="1" t="s">
        <v>262</v>
      </c>
      <c r="U82" s="2">
        <f t="shared" si="29"/>
        <v>0.11251758087201125</v>
      </c>
      <c r="V82" s="2">
        <f t="shared" si="30"/>
        <v>0.12222222222222222</v>
      </c>
      <c r="W82" s="2">
        <f t="shared" si="31"/>
        <v>8.2033126756498501E-2</v>
      </c>
      <c r="X82" s="2">
        <f t="shared" si="32"/>
        <v>0.10559097661691065</v>
      </c>
      <c r="AB82" s="66">
        <v>1.2396694214876033E-2</v>
      </c>
      <c r="AC82" s="2">
        <v>0.24609938026949552</v>
      </c>
    </row>
    <row r="83" spans="2:29">
      <c r="B83" s="1" t="s">
        <v>121</v>
      </c>
      <c r="C83" s="1" t="s">
        <v>263</v>
      </c>
      <c r="D83">
        <v>41</v>
      </c>
      <c r="E83">
        <v>4685</v>
      </c>
      <c r="F83">
        <v>62</v>
      </c>
      <c r="G83" t="e">
        <v>#N/A</v>
      </c>
      <c r="H83">
        <v>5</v>
      </c>
      <c r="I83">
        <v>29</v>
      </c>
      <c r="J83">
        <v>13</v>
      </c>
      <c r="K83" s="66">
        <f t="shared" si="25"/>
        <v>0.12195121951219512</v>
      </c>
      <c r="L83" s="66">
        <f t="shared" si="26"/>
        <v>6.1899679829242266E-3</v>
      </c>
      <c r="M83" s="66">
        <f t="shared" si="27"/>
        <v>0.20967741935483872</v>
      </c>
      <c r="N83" s="66"/>
      <c r="O83" s="48">
        <v>27560</v>
      </c>
      <c r="P83" s="47">
        <v>10.224120725127595</v>
      </c>
      <c r="Q83" s="2">
        <f t="shared" si="28"/>
        <v>1.2715029829460238</v>
      </c>
      <c r="R83" s="47"/>
      <c r="S83" s="1" t="s">
        <v>121</v>
      </c>
      <c r="T83" s="1" t="s">
        <v>263</v>
      </c>
      <c r="U83" s="2">
        <f t="shared" si="29"/>
        <v>0.4065040650406504</v>
      </c>
      <c r="V83" s="2">
        <f t="shared" si="30"/>
        <v>0.20633226609747424</v>
      </c>
      <c r="W83" s="2">
        <f t="shared" si="31"/>
        <v>0.42383432764867462</v>
      </c>
      <c r="X83" s="2">
        <f t="shared" si="32"/>
        <v>0.34555688626226644</v>
      </c>
      <c r="AB83" s="66">
        <v>0.20967741935483872</v>
      </c>
      <c r="AC83" s="2">
        <v>1.2715029829460238</v>
      </c>
    </row>
    <row r="84" spans="2:29">
      <c r="B84" s="1" t="s">
        <v>119</v>
      </c>
      <c r="C84" s="1" t="s">
        <v>264</v>
      </c>
      <c r="D84">
        <v>201</v>
      </c>
      <c r="E84">
        <v>5000</v>
      </c>
      <c r="F84">
        <v>232</v>
      </c>
      <c r="G84">
        <v>699</v>
      </c>
      <c r="H84">
        <v>6</v>
      </c>
      <c r="I84">
        <v>110</v>
      </c>
      <c r="J84">
        <v>8</v>
      </c>
      <c r="K84" s="66">
        <f t="shared" si="25"/>
        <v>2.9850746268656716E-2</v>
      </c>
      <c r="L84" s="66">
        <f t="shared" si="26"/>
        <v>2.1999999999999999E-2</v>
      </c>
      <c r="M84" s="66">
        <f t="shared" si="27"/>
        <v>3.4482758620689655E-2</v>
      </c>
      <c r="N84" s="66"/>
      <c r="O84" s="48">
        <v>111890</v>
      </c>
      <c r="P84" s="47">
        <v>11.625271524801766</v>
      </c>
      <c r="Q84" s="2">
        <f t="shared" si="28"/>
        <v>0.68815596977090099</v>
      </c>
      <c r="R84" s="47"/>
      <c r="S84" s="1" t="s">
        <v>119</v>
      </c>
      <c r="T84" s="1" t="s">
        <v>264</v>
      </c>
      <c r="U84" s="2">
        <f t="shared" si="29"/>
        <v>9.950248756218906E-2</v>
      </c>
      <c r="V84" s="2">
        <f t="shared" si="30"/>
        <v>0.73333333333333328</v>
      </c>
      <c r="W84" s="2">
        <f t="shared" si="31"/>
        <v>0.22938532325696701</v>
      </c>
      <c r="X84" s="2">
        <f t="shared" si="32"/>
        <v>0.35407371471749643</v>
      </c>
      <c r="AB84" s="66">
        <v>3.4482758620689655E-2</v>
      </c>
      <c r="AC84" s="2">
        <v>0.68815596977090099</v>
      </c>
    </row>
    <row r="85" spans="2:29">
      <c r="B85" s="1" t="s">
        <v>64</v>
      </c>
      <c r="C85" s="1" t="s">
        <v>265</v>
      </c>
      <c r="D85">
        <v>88</v>
      </c>
      <c r="E85">
        <v>2343</v>
      </c>
      <c r="F85">
        <v>208</v>
      </c>
      <c r="G85" t="e">
        <v>#N/A</v>
      </c>
      <c r="H85">
        <v>2</v>
      </c>
      <c r="I85">
        <v>1</v>
      </c>
      <c r="J85">
        <v>9</v>
      </c>
      <c r="K85" s="66">
        <f t="shared" si="25"/>
        <v>2.2727272727272728E-2</v>
      </c>
      <c r="L85" s="66">
        <f t="shared" si="26"/>
        <v>4.2680324370465217E-4</v>
      </c>
      <c r="M85" s="66">
        <f t="shared" si="27"/>
        <v>4.3269230769230768E-2</v>
      </c>
      <c r="N85" s="66"/>
      <c r="O85" s="48">
        <v>89610</v>
      </c>
      <c r="P85" s="47">
        <v>11.403222199878265</v>
      </c>
      <c r="Q85" s="2">
        <f t="shared" si="28"/>
        <v>0.789250603228277</v>
      </c>
      <c r="R85" s="47"/>
      <c r="S85" s="1" t="s">
        <v>64</v>
      </c>
      <c r="T85" s="1" t="s">
        <v>265</v>
      </c>
      <c r="U85" s="2">
        <f t="shared" si="29"/>
        <v>7.575757575757576E-2</v>
      </c>
      <c r="V85" s="2">
        <f t="shared" si="30"/>
        <v>1.4226774790155073E-2</v>
      </c>
      <c r="W85" s="2">
        <f t="shared" si="31"/>
        <v>0.26308353440942567</v>
      </c>
      <c r="X85" s="2">
        <f t="shared" si="32"/>
        <v>0.11768929498571884</v>
      </c>
      <c r="AB85" s="66">
        <v>4.3269230769230768E-2</v>
      </c>
      <c r="AC85" s="2">
        <v>0.789250603228277</v>
      </c>
    </row>
    <row r="86" spans="2:29">
      <c r="B86" s="1" t="s">
        <v>12</v>
      </c>
      <c r="C86" s="1" t="s">
        <v>266</v>
      </c>
      <c r="D86">
        <v>33</v>
      </c>
      <c r="E86">
        <v>340</v>
      </c>
      <c r="F86">
        <v>93</v>
      </c>
      <c r="G86" t="e">
        <v>#N/A</v>
      </c>
      <c r="H86">
        <v>5</v>
      </c>
      <c r="I86">
        <v>0</v>
      </c>
      <c r="J86">
        <v>0</v>
      </c>
      <c r="K86" s="66">
        <f t="shared" si="25"/>
        <v>0.15151515151515152</v>
      </c>
      <c r="L86" s="66">
        <f t="shared" si="26"/>
        <v>0</v>
      </c>
      <c r="M86" s="66">
        <f t="shared" si="27"/>
        <v>0</v>
      </c>
      <c r="N86" s="66"/>
      <c r="O86" s="48">
        <v>100250</v>
      </c>
      <c r="P86" s="47">
        <v>11.515422345168815</v>
      </c>
      <c r="Q86" s="2">
        <f t="shared" si="28"/>
        <v>0</v>
      </c>
      <c r="R86" s="47"/>
      <c r="S86" s="1" t="s">
        <v>12</v>
      </c>
      <c r="T86" s="1" t="s">
        <v>266</v>
      </c>
      <c r="U86" s="2">
        <f t="shared" si="29"/>
        <v>0.50505050505050508</v>
      </c>
      <c r="V86" s="2">
        <f t="shared" si="30"/>
        <v>0</v>
      </c>
      <c r="W86" s="2">
        <f t="shared" si="31"/>
        <v>0</v>
      </c>
      <c r="X86" s="2">
        <f t="shared" si="32"/>
        <v>0.16835016835016836</v>
      </c>
      <c r="AB86" s="66">
        <v>0</v>
      </c>
      <c r="AC86" s="2">
        <v>0</v>
      </c>
    </row>
    <row r="87" spans="2:29">
      <c r="B87" s="1" t="s">
        <v>159</v>
      </c>
      <c r="C87" s="1" t="s">
        <v>267</v>
      </c>
      <c r="D87">
        <v>422</v>
      </c>
      <c r="E87">
        <v>15000</v>
      </c>
      <c r="F87">
        <v>458</v>
      </c>
      <c r="G87">
        <v>1180</v>
      </c>
      <c r="H87">
        <v>96</v>
      </c>
      <c r="I87">
        <v>247</v>
      </c>
      <c r="J87">
        <v>75</v>
      </c>
      <c r="K87" s="66">
        <f t="shared" si="25"/>
        <v>0.22748815165876776</v>
      </c>
      <c r="L87" s="66">
        <f t="shared" si="26"/>
        <v>1.6466666666666668E-2</v>
      </c>
      <c r="M87" s="66">
        <f t="shared" si="27"/>
        <v>0.16375545851528384</v>
      </c>
      <c r="N87" s="66"/>
      <c r="O87" s="48">
        <v>2973190</v>
      </c>
      <c r="P87" s="47">
        <v>14.905146008448096</v>
      </c>
      <c r="Q87" s="2">
        <f t="shared" si="28"/>
        <v>5.0318192091168186</v>
      </c>
      <c r="R87" s="47"/>
      <c r="S87" s="1" t="s">
        <v>159</v>
      </c>
      <c r="T87" s="1" t="s">
        <v>267</v>
      </c>
      <c r="U87" s="2">
        <f t="shared" si="29"/>
        <v>0.75829383886255919</v>
      </c>
      <c r="V87" s="2">
        <f t="shared" si="30"/>
        <v>0.54888888888888898</v>
      </c>
      <c r="W87" s="2">
        <f t="shared" si="31"/>
        <v>1</v>
      </c>
      <c r="X87" s="2">
        <f t="shared" si="32"/>
        <v>0.76906090925048265</v>
      </c>
      <c r="AB87" s="66">
        <v>0.16375545851528384</v>
      </c>
      <c r="AC87" s="2">
        <v>5.0318192091168186</v>
      </c>
    </row>
    <row r="88" spans="2:29">
      <c r="B88" s="1" t="s">
        <v>107</v>
      </c>
      <c r="C88" s="1" t="s">
        <v>268</v>
      </c>
      <c r="D88">
        <v>667</v>
      </c>
      <c r="E88">
        <v>27500</v>
      </c>
      <c r="F88">
        <v>929</v>
      </c>
      <c r="G88">
        <v>1604</v>
      </c>
      <c r="H88">
        <v>185</v>
      </c>
      <c r="I88">
        <v>386</v>
      </c>
      <c r="J88">
        <v>114</v>
      </c>
      <c r="K88" s="66">
        <f t="shared" si="25"/>
        <v>0.27736131934032981</v>
      </c>
      <c r="L88" s="66">
        <f t="shared" si="26"/>
        <v>1.4036363636363637E-2</v>
      </c>
      <c r="M88" s="66">
        <f t="shared" si="27"/>
        <v>0.12271259418729817</v>
      </c>
      <c r="N88" s="66"/>
      <c r="O88" s="48">
        <v>1811570</v>
      </c>
      <c r="P88" s="47">
        <v>14.409704430580071</v>
      </c>
      <c r="Q88" s="2">
        <f t="shared" si="28"/>
        <v>7.9113350693072384</v>
      </c>
      <c r="R88" s="47"/>
      <c r="S88" s="1" t="s">
        <v>107</v>
      </c>
      <c r="T88" s="1" t="s">
        <v>268</v>
      </c>
      <c r="U88" s="2">
        <f t="shared" si="29"/>
        <v>0.92453773113443272</v>
      </c>
      <c r="V88" s="2">
        <f t="shared" si="30"/>
        <v>0.46787878787878789</v>
      </c>
      <c r="W88" s="2">
        <f t="shared" si="31"/>
        <v>1</v>
      </c>
      <c r="X88" s="2">
        <f t="shared" si="32"/>
        <v>0.79747217300440687</v>
      </c>
      <c r="AB88" s="66">
        <v>0.12271259418729817</v>
      </c>
      <c r="AC88" s="2">
        <v>7.9113350693072384</v>
      </c>
    </row>
    <row r="89" spans="2:29">
      <c r="B89" s="1" t="s">
        <v>63</v>
      </c>
      <c r="C89" s="1" t="s">
        <v>269</v>
      </c>
      <c r="D89">
        <v>158</v>
      </c>
      <c r="E89" t="e">
        <v>#N/A</v>
      </c>
      <c r="F89" t="e">
        <v>#N/A</v>
      </c>
      <c r="G89" t="e">
        <v>#N/A</v>
      </c>
      <c r="H89">
        <v>16</v>
      </c>
      <c r="I89">
        <v>1</v>
      </c>
      <c r="J89">
        <v>20</v>
      </c>
      <c r="K89" s="66">
        <f t="shared" si="25"/>
        <v>0.10126582278481013</v>
      </c>
      <c r="L89" s="66" t="e">
        <f t="shared" si="26"/>
        <v>#N/A</v>
      </c>
      <c r="M89" s="66" t="e">
        <f t="shared" si="27"/>
        <v>#N/A</v>
      </c>
      <c r="N89" s="66"/>
      <c r="O89" s="48">
        <v>1628550</v>
      </c>
      <c r="P89" s="47">
        <v>14.303200606328108</v>
      </c>
      <c r="Q89" s="2">
        <f t="shared" si="28"/>
        <v>1.398288435607306</v>
      </c>
      <c r="R89" s="47"/>
      <c r="S89" s="1" t="s">
        <v>63</v>
      </c>
      <c r="T89" s="1" t="s">
        <v>269</v>
      </c>
      <c r="U89" s="2">
        <f t="shared" si="29"/>
        <v>0.33755274261603374</v>
      </c>
      <c r="V89" s="2" t="e">
        <f t="shared" si="30"/>
        <v>#N/A</v>
      </c>
      <c r="W89" s="2">
        <f t="shared" si="31"/>
        <v>0.46609614520243531</v>
      </c>
      <c r="X89" s="2">
        <f t="shared" si="32"/>
        <v>0.40182444390923455</v>
      </c>
      <c r="AB89" s="66" t="e">
        <v>#N/A</v>
      </c>
      <c r="AC89" s="2">
        <v>1.398288435607306</v>
      </c>
    </row>
    <row r="90" spans="2:29">
      <c r="B90" s="1" t="s">
        <v>68</v>
      </c>
      <c r="C90" s="1" t="s">
        <v>270</v>
      </c>
      <c r="D90">
        <v>102</v>
      </c>
      <c r="E90" t="e">
        <v>#N/A</v>
      </c>
      <c r="F90">
        <v>140</v>
      </c>
      <c r="G90" t="e">
        <v>#N/A</v>
      </c>
      <c r="H90">
        <v>13</v>
      </c>
      <c r="I90">
        <v>0</v>
      </c>
      <c r="J90">
        <v>18</v>
      </c>
      <c r="K90" s="66">
        <f t="shared" si="25"/>
        <v>0.12745098039215685</v>
      </c>
      <c r="L90" s="66" t="e">
        <f t="shared" si="26"/>
        <v>#N/A</v>
      </c>
      <c r="M90" s="66">
        <f t="shared" si="27"/>
        <v>0.12857142857142856</v>
      </c>
      <c r="N90" s="66"/>
      <c r="O90" s="48">
        <v>437370</v>
      </c>
      <c r="P90" s="47">
        <v>12.988534797766977</v>
      </c>
      <c r="Q90" s="2">
        <f t="shared" si="28"/>
        <v>1.3858376083416744</v>
      </c>
      <c r="R90" s="47"/>
      <c r="S90" s="1" t="s">
        <v>68</v>
      </c>
      <c r="T90" s="1" t="s">
        <v>270</v>
      </c>
      <c r="U90" s="2">
        <f t="shared" si="29"/>
        <v>0.42483660130718953</v>
      </c>
      <c r="V90" s="2" t="e">
        <f t="shared" si="30"/>
        <v>#N/A</v>
      </c>
      <c r="W90" s="2">
        <f t="shared" si="31"/>
        <v>0.46194586944722477</v>
      </c>
      <c r="X90" s="2">
        <f t="shared" si="32"/>
        <v>0.44339123537720715</v>
      </c>
      <c r="AB90" s="66">
        <v>0.12857142857142856</v>
      </c>
      <c r="AC90" s="2">
        <v>1.3858376083416744</v>
      </c>
    </row>
    <row r="91" spans="2:29">
      <c r="B91" s="1" t="s">
        <v>82</v>
      </c>
      <c r="C91" s="1" t="s">
        <v>271</v>
      </c>
      <c r="D91">
        <v>63</v>
      </c>
      <c r="E91">
        <v>892</v>
      </c>
      <c r="F91">
        <v>143</v>
      </c>
      <c r="G91" t="e">
        <v>#N/A</v>
      </c>
      <c r="H91">
        <v>5</v>
      </c>
      <c r="I91">
        <v>1</v>
      </c>
      <c r="J91">
        <v>1</v>
      </c>
      <c r="K91" s="66">
        <f t="shared" si="25"/>
        <v>7.9365079365079361E-2</v>
      </c>
      <c r="L91" s="66">
        <f t="shared" si="26"/>
        <v>1.1210762331838565E-3</v>
      </c>
      <c r="M91" s="66">
        <f t="shared" si="27"/>
        <v>6.993006993006993E-3</v>
      </c>
      <c r="N91" s="66"/>
      <c r="O91" s="48">
        <v>68890</v>
      </c>
      <c r="P91" s="47">
        <v>11.140266308587242</v>
      </c>
      <c r="Q91" s="2">
        <f t="shared" si="28"/>
        <v>8.9764460947326805E-2</v>
      </c>
      <c r="R91" s="47"/>
      <c r="S91" s="1" t="s">
        <v>82</v>
      </c>
      <c r="T91" s="1" t="s">
        <v>271</v>
      </c>
      <c r="U91" s="2">
        <f t="shared" si="29"/>
        <v>0.26455026455026454</v>
      </c>
      <c r="V91" s="2">
        <f t="shared" si="30"/>
        <v>3.7369207772795218E-2</v>
      </c>
      <c r="W91" s="2">
        <f t="shared" si="31"/>
        <v>2.9921486982442267E-2</v>
      </c>
      <c r="X91" s="2">
        <f t="shared" si="32"/>
        <v>0.11061365310183402</v>
      </c>
      <c r="AB91" s="66">
        <v>6.993006993006993E-3</v>
      </c>
      <c r="AC91" s="2">
        <v>8.9764460947326805E-2</v>
      </c>
    </row>
    <row r="92" spans="2:29">
      <c r="B92" s="1" t="s">
        <v>11</v>
      </c>
      <c r="C92" s="1" t="s">
        <v>272</v>
      </c>
      <c r="D92">
        <v>115</v>
      </c>
      <c r="E92">
        <v>2780</v>
      </c>
      <c r="F92">
        <v>162</v>
      </c>
      <c r="G92" t="e">
        <v>#N/A</v>
      </c>
      <c r="H92">
        <v>15</v>
      </c>
      <c r="I92">
        <v>0</v>
      </c>
      <c r="J92">
        <v>13</v>
      </c>
      <c r="K92" s="66">
        <f t="shared" si="25"/>
        <v>0.13043478260869565</v>
      </c>
      <c r="L92" s="66">
        <f t="shared" si="26"/>
        <v>0</v>
      </c>
      <c r="M92" s="66">
        <f t="shared" si="27"/>
        <v>8.0246913580246909E-2</v>
      </c>
      <c r="N92" s="66"/>
      <c r="O92" s="48">
        <v>21640</v>
      </c>
      <c r="P92" s="47">
        <v>9.9822987329604178</v>
      </c>
      <c r="Q92" s="2">
        <f t="shared" si="28"/>
        <v>1.3023052452913952</v>
      </c>
      <c r="R92" s="47"/>
      <c r="S92" s="1" t="s">
        <v>11</v>
      </c>
      <c r="T92" s="1" t="s">
        <v>272</v>
      </c>
      <c r="U92" s="2">
        <f t="shared" si="29"/>
        <v>0.43478260869565216</v>
      </c>
      <c r="V92" s="2">
        <f t="shared" si="30"/>
        <v>0</v>
      </c>
      <c r="W92" s="2">
        <f t="shared" si="31"/>
        <v>0.43410174843046506</v>
      </c>
      <c r="X92" s="2">
        <f t="shared" si="32"/>
        <v>0.28962811904203906</v>
      </c>
      <c r="AB92" s="66">
        <v>8.0246913580246909E-2</v>
      </c>
      <c r="AC92" s="2">
        <v>1.3023052452913952</v>
      </c>
    </row>
    <row r="93" spans="2:29">
      <c r="B93" s="1" t="s">
        <v>62</v>
      </c>
      <c r="C93" s="1" t="s">
        <v>273</v>
      </c>
      <c r="D93">
        <v>132</v>
      </c>
      <c r="E93">
        <v>5463</v>
      </c>
      <c r="F93">
        <v>250</v>
      </c>
      <c r="G93" t="e">
        <v>#N/A</v>
      </c>
      <c r="H93">
        <v>7</v>
      </c>
      <c r="I93">
        <v>19</v>
      </c>
      <c r="J93">
        <v>8</v>
      </c>
      <c r="K93" s="66">
        <f t="shared" si="25"/>
        <v>5.3030303030303032E-2</v>
      </c>
      <c r="L93" s="66">
        <f t="shared" si="26"/>
        <v>3.477942522423577E-3</v>
      </c>
      <c r="M93" s="66">
        <f t="shared" si="27"/>
        <v>3.2000000000000001E-2</v>
      </c>
      <c r="N93" s="66"/>
      <c r="O93" s="48">
        <v>294140</v>
      </c>
      <c r="P93" s="47">
        <v>12.591811123454304</v>
      </c>
      <c r="Q93" s="2">
        <f t="shared" si="28"/>
        <v>0.6353335450766644</v>
      </c>
      <c r="R93" s="47"/>
      <c r="S93" s="1" t="s">
        <v>62</v>
      </c>
      <c r="T93" s="1" t="s">
        <v>273</v>
      </c>
      <c r="U93" s="2">
        <f t="shared" si="29"/>
        <v>0.17676767676767677</v>
      </c>
      <c r="V93" s="2">
        <f t="shared" si="30"/>
        <v>0.11593141741411923</v>
      </c>
      <c r="W93" s="2">
        <f t="shared" si="31"/>
        <v>0.21177784835888813</v>
      </c>
      <c r="X93" s="2">
        <f t="shared" si="32"/>
        <v>0.16815898084689471</v>
      </c>
      <c r="AB93" s="66">
        <v>3.2000000000000001E-2</v>
      </c>
      <c r="AC93" s="2">
        <v>0.6353335450766644</v>
      </c>
    </row>
    <row r="94" spans="2:29">
      <c r="B94" s="1" t="s">
        <v>104</v>
      </c>
      <c r="C94" s="1" t="s">
        <v>274</v>
      </c>
      <c r="D94">
        <v>35</v>
      </c>
      <c r="E94">
        <v>2746</v>
      </c>
      <c r="F94">
        <v>75</v>
      </c>
      <c r="G94" t="e">
        <v>#N/A</v>
      </c>
      <c r="H94">
        <v>5</v>
      </c>
      <c r="I94">
        <v>208</v>
      </c>
      <c r="J94">
        <v>10</v>
      </c>
      <c r="K94" s="66">
        <f t="shared" si="25"/>
        <v>0.14285714285714285</v>
      </c>
      <c r="L94" s="66">
        <f t="shared" si="26"/>
        <v>7.5746540422432632E-2</v>
      </c>
      <c r="M94" s="66">
        <f t="shared" si="27"/>
        <v>0.13333333333333333</v>
      </c>
      <c r="N94" s="66"/>
      <c r="O94" s="48">
        <v>10830</v>
      </c>
      <c r="P94" s="47">
        <v>9.2900753399950364</v>
      </c>
      <c r="Q94" s="2">
        <f t="shared" si="28"/>
        <v>1.0764175352753751</v>
      </c>
      <c r="R94" s="47"/>
      <c r="S94" s="1" t="s">
        <v>104</v>
      </c>
      <c r="T94" s="1" t="s">
        <v>274</v>
      </c>
      <c r="U94" s="2">
        <f t="shared" si="29"/>
        <v>0.47619047619047616</v>
      </c>
      <c r="V94" s="2">
        <f t="shared" si="30"/>
        <v>1</v>
      </c>
      <c r="W94" s="2">
        <f t="shared" si="31"/>
        <v>0.3588058450917917</v>
      </c>
      <c r="X94" s="2">
        <f t="shared" si="32"/>
        <v>0.61166544042742266</v>
      </c>
      <c r="AB94" s="66">
        <v>0.13333333333333333</v>
      </c>
      <c r="AC94" s="2">
        <v>1.0764175352753751</v>
      </c>
    </row>
    <row r="95" spans="2:29">
      <c r="B95" s="1" t="s">
        <v>70</v>
      </c>
      <c r="C95" s="1" t="s">
        <v>275</v>
      </c>
      <c r="D95">
        <v>171</v>
      </c>
      <c r="E95">
        <v>4700</v>
      </c>
      <c r="F95">
        <v>210</v>
      </c>
      <c r="G95" t="e">
        <v>#N/A</v>
      </c>
      <c r="H95">
        <v>28</v>
      </c>
      <c r="I95">
        <v>12</v>
      </c>
      <c r="J95">
        <v>39</v>
      </c>
      <c r="K95" s="66">
        <f t="shared" si="25"/>
        <v>0.16374269005847952</v>
      </c>
      <c r="L95" s="66">
        <f t="shared" si="26"/>
        <v>2.553191489361702E-3</v>
      </c>
      <c r="M95" s="66">
        <f t="shared" si="27"/>
        <v>0.18571428571428572</v>
      </c>
      <c r="N95" s="66"/>
      <c r="O95" s="48">
        <v>364500</v>
      </c>
      <c r="P95" s="47">
        <v>12.80628183043085</v>
      </c>
      <c r="Q95" s="2">
        <f t="shared" si="28"/>
        <v>3.0453804247323752</v>
      </c>
      <c r="R95" s="47"/>
      <c r="S95" s="1" t="s">
        <v>70</v>
      </c>
      <c r="T95" s="1" t="s">
        <v>275</v>
      </c>
      <c r="U95" s="2">
        <f t="shared" si="29"/>
        <v>0.54580896686159841</v>
      </c>
      <c r="V95" s="2">
        <f t="shared" si="30"/>
        <v>8.5106382978723402E-2</v>
      </c>
      <c r="W95" s="2">
        <f t="shared" si="31"/>
        <v>1</v>
      </c>
      <c r="X95" s="2">
        <f t="shared" si="32"/>
        <v>0.54363844994677402</v>
      </c>
      <c r="AB95" s="66">
        <v>0.18571428571428572</v>
      </c>
      <c r="AC95" s="2">
        <v>3.0453804247323752</v>
      </c>
    </row>
    <row r="96" spans="2:29">
      <c r="B96" s="1" t="s">
        <v>35</v>
      </c>
      <c r="C96" s="1" t="s">
        <v>276</v>
      </c>
      <c r="D96">
        <v>93</v>
      </c>
      <c r="E96">
        <v>2200</v>
      </c>
      <c r="F96">
        <v>117</v>
      </c>
      <c r="G96" t="e">
        <v>#N/A</v>
      </c>
      <c r="H96">
        <v>13</v>
      </c>
      <c r="I96">
        <v>0</v>
      </c>
      <c r="J96">
        <v>8</v>
      </c>
      <c r="K96" s="66">
        <f t="shared" si="25"/>
        <v>0.13978494623655913</v>
      </c>
      <c r="L96" s="66">
        <f t="shared" si="26"/>
        <v>0</v>
      </c>
      <c r="M96" s="66">
        <f t="shared" si="27"/>
        <v>6.8376068376068383E-2</v>
      </c>
      <c r="N96" s="66"/>
      <c r="O96" s="48">
        <v>88240</v>
      </c>
      <c r="P96" s="47">
        <v>11.387815653927385</v>
      </c>
      <c r="Q96" s="2">
        <f t="shared" si="28"/>
        <v>0.70250522515623892</v>
      </c>
      <c r="R96" s="47"/>
      <c r="S96" s="1" t="s">
        <v>35</v>
      </c>
      <c r="T96" s="1" t="s">
        <v>276</v>
      </c>
      <c r="U96" s="2">
        <f t="shared" si="29"/>
        <v>0.46594982078853042</v>
      </c>
      <c r="V96" s="2">
        <f t="shared" si="30"/>
        <v>0</v>
      </c>
      <c r="W96" s="2">
        <f t="shared" si="31"/>
        <v>0.23416840838541297</v>
      </c>
      <c r="X96" s="2">
        <f t="shared" si="32"/>
        <v>0.23337274305798114</v>
      </c>
      <c r="AB96" s="66">
        <v>6.8376068376068383E-2</v>
      </c>
      <c r="AC96" s="2">
        <v>0.70250522515623892</v>
      </c>
    </row>
    <row r="97" spans="2:29">
      <c r="B97" s="1" t="s">
        <v>92</v>
      </c>
      <c r="C97" s="1" t="s">
        <v>277</v>
      </c>
      <c r="D97">
        <v>145</v>
      </c>
      <c r="E97" t="e">
        <v>#N/A</v>
      </c>
      <c r="F97">
        <v>379</v>
      </c>
      <c r="G97" t="e">
        <v>#N/A</v>
      </c>
      <c r="H97">
        <v>16</v>
      </c>
      <c r="I97">
        <v>16</v>
      </c>
      <c r="J97">
        <v>21</v>
      </c>
      <c r="K97" s="66">
        <f t="shared" si="25"/>
        <v>0.1103448275862069</v>
      </c>
      <c r="L97" s="66" t="e">
        <f t="shared" si="26"/>
        <v>#N/A</v>
      </c>
      <c r="M97" s="66">
        <f t="shared" si="27"/>
        <v>5.5408970976253295E-2</v>
      </c>
      <c r="N97" s="66"/>
      <c r="O97" s="48">
        <v>2699700</v>
      </c>
      <c r="P97" s="47">
        <v>14.808651213690149</v>
      </c>
      <c r="Q97" s="2">
        <f t="shared" si="28"/>
        <v>1.4180899865199159</v>
      </c>
      <c r="R97" s="47"/>
      <c r="S97" s="1" t="s">
        <v>92</v>
      </c>
      <c r="T97" s="1" t="s">
        <v>277</v>
      </c>
      <c r="U97" s="2">
        <f t="shared" si="29"/>
        <v>0.36781609195402298</v>
      </c>
      <c r="V97" s="2" t="e">
        <f t="shared" si="30"/>
        <v>#N/A</v>
      </c>
      <c r="W97" s="2">
        <f t="shared" si="31"/>
        <v>0.4726966621733053</v>
      </c>
      <c r="X97" s="2">
        <f t="shared" si="32"/>
        <v>0.42025637706366414</v>
      </c>
      <c r="AB97" s="66">
        <v>5.5408970976253295E-2</v>
      </c>
      <c r="AC97" s="2">
        <v>1.4180899865199159</v>
      </c>
    </row>
    <row r="98" spans="2:29">
      <c r="B98" s="1" t="s">
        <v>176</v>
      </c>
      <c r="C98" s="1" t="s">
        <v>278</v>
      </c>
      <c r="D98">
        <v>407</v>
      </c>
      <c r="E98">
        <v>6000</v>
      </c>
      <c r="F98">
        <v>344</v>
      </c>
      <c r="G98">
        <v>1103</v>
      </c>
      <c r="H98">
        <v>27</v>
      </c>
      <c r="I98">
        <v>120</v>
      </c>
      <c r="J98">
        <v>28</v>
      </c>
      <c r="K98" s="66">
        <f t="shared" si="25"/>
        <v>6.6339066339066333E-2</v>
      </c>
      <c r="L98" s="66">
        <f t="shared" si="26"/>
        <v>0.02</v>
      </c>
      <c r="M98" s="66">
        <f t="shared" si="27"/>
        <v>8.1395348837209308E-2</v>
      </c>
      <c r="N98" s="66"/>
      <c r="O98" s="48">
        <v>569140</v>
      </c>
      <c r="P98" s="47">
        <v>13.251881728538391</v>
      </c>
      <c r="Q98" s="2">
        <f t="shared" si="28"/>
        <v>2.112907477864145</v>
      </c>
      <c r="R98" s="47"/>
      <c r="S98" s="1" t="s">
        <v>176</v>
      </c>
      <c r="T98" s="1" t="s">
        <v>278</v>
      </c>
      <c r="U98" s="2">
        <f t="shared" si="29"/>
        <v>0.22113022113022113</v>
      </c>
      <c r="V98" s="2">
        <f t="shared" si="30"/>
        <v>0.66666666666666674</v>
      </c>
      <c r="W98" s="2">
        <f t="shared" si="31"/>
        <v>0.70430249262138167</v>
      </c>
      <c r="X98" s="2">
        <f t="shared" si="32"/>
        <v>0.53069979347275653</v>
      </c>
      <c r="AB98" s="66">
        <v>8.1395348837209308E-2</v>
      </c>
      <c r="AC98" s="2">
        <v>2.112907477864145</v>
      </c>
    </row>
    <row r="99" spans="2:29">
      <c r="B99" s="1" t="s">
        <v>124</v>
      </c>
      <c r="C99" s="1" t="s">
        <v>279</v>
      </c>
      <c r="D99">
        <v>1</v>
      </c>
      <c r="E99">
        <v>60</v>
      </c>
      <c r="F99" t="e">
        <v>#N/A</v>
      </c>
      <c r="G99" t="e">
        <v>#N/A</v>
      </c>
      <c r="H99">
        <v>1</v>
      </c>
      <c r="I99">
        <v>0</v>
      </c>
      <c r="J99">
        <v>6</v>
      </c>
      <c r="K99" s="66">
        <f t="shared" si="25"/>
        <v>1</v>
      </c>
      <c r="L99" s="66">
        <f t="shared" si="26"/>
        <v>0</v>
      </c>
      <c r="M99" s="66" t="e">
        <f t="shared" si="27"/>
        <v>#N/A</v>
      </c>
      <c r="N99" s="66"/>
      <c r="O99" s="48">
        <v>810</v>
      </c>
      <c r="P99" s="47">
        <v>6.6970342476664841</v>
      </c>
      <c r="Q99" s="2">
        <f t="shared" si="28"/>
        <v>0.8959189662335445</v>
      </c>
      <c r="R99" s="47"/>
      <c r="S99" s="1" t="s">
        <v>124</v>
      </c>
      <c r="T99" s="1" t="s">
        <v>279</v>
      </c>
      <c r="U99" s="2">
        <f t="shared" si="29"/>
        <v>1</v>
      </c>
      <c r="V99" s="2">
        <f t="shared" si="30"/>
        <v>0</v>
      </c>
      <c r="W99" s="2">
        <f t="shared" si="31"/>
        <v>0.29863965541118148</v>
      </c>
      <c r="X99" s="2">
        <f t="shared" si="32"/>
        <v>0.43287988513706049</v>
      </c>
      <c r="AB99" s="66" t="e">
        <v>#N/A</v>
      </c>
      <c r="AC99" s="2">
        <v>0.8959189662335445</v>
      </c>
    </row>
    <row r="100" spans="2:29">
      <c r="B100" s="1" t="s">
        <v>76</v>
      </c>
      <c r="C100" s="1" t="s">
        <v>280</v>
      </c>
      <c r="D100">
        <v>105</v>
      </c>
      <c r="E100">
        <v>2898</v>
      </c>
      <c r="F100">
        <v>150</v>
      </c>
      <c r="G100" t="e">
        <v>#N/A</v>
      </c>
      <c r="H100">
        <v>9</v>
      </c>
      <c r="I100">
        <v>3</v>
      </c>
      <c r="J100">
        <v>20</v>
      </c>
      <c r="K100" s="66">
        <f t="shared" si="25"/>
        <v>8.5714285714285715E-2</v>
      </c>
      <c r="L100" s="66">
        <f t="shared" si="26"/>
        <v>1.0351966873706005E-3</v>
      </c>
      <c r="M100" s="66">
        <f t="shared" si="27"/>
        <v>0.13333333333333333</v>
      </c>
      <c r="N100" s="66"/>
      <c r="O100" s="48">
        <v>120410</v>
      </c>
      <c r="P100" s="47">
        <v>11.698657864886265</v>
      </c>
      <c r="Q100" s="2">
        <f t="shared" si="28"/>
        <v>1.709597821475775</v>
      </c>
      <c r="R100" s="47"/>
      <c r="S100" s="1" t="s">
        <v>76</v>
      </c>
      <c r="T100" s="1" t="s">
        <v>280</v>
      </c>
      <c r="U100" s="2">
        <f t="shared" si="29"/>
        <v>0.28571428571428575</v>
      </c>
      <c r="V100" s="2">
        <f t="shared" si="30"/>
        <v>3.4506556245686687E-2</v>
      </c>
      <c r="W100" s="2">
        <f t="shared" si="31"/>
        <v>0.56986594049192496</v>
      </c>
      <c r="X100" s="2">
        <f t="shared" si="32"/>
        <v>0.29669559415063246</v>
      </c>
      <c r="AB100" s="66">
        <v>0.13333333333333333</v>
      </c>
      <c r="AC100" s="2">
        <v>1.709597821475775</v>
      </c>
    </row>
    <row r="101" spans="2:29">
      <c r="B101" s="1" t="s">
        <v>31</v>
      </c>
      <c r="C101" s="1" t="s">
        <v>281</v>
      </c>
      <c r="D101">
        <v>89</v>
      </c>
      <c r="E101">
        <v>2898</v>
      </c>
      <c r="F101" t="e">
        <v>#N/A</v>
      </c>
      <c r="G101" t="e">
        <v>#N/A</v>
      </c>
      <c r="H101">
        <v>9</v>
      </c>
      <c r="I101">
        <v>0</v>
      </c>
      <c r="J101">
        <v>28</v>
      </c>
      <c r="K101" s="66">
        <f t="shared" si="25"/>
        <v>0.10112359550561797</v>
      </c>
      <c r="L101" s="66">
        <f t="shared" si="26"/>
        <v>0</v>
      </c>
      <c r="M101" s="66" t="e">
        <f t="shared" si="27"/>
        <v>#N/A</v>
      </c>
      <c r="N101" s="66"/>
      <c r="O101" s="48">
        <v>96920</v>
      </c>
      <c r="P101" s="47">
        <v>11.481641174930463</v>
      </c>
      <c r="Q101" s="2">
        <f t="shared" si="28"/>
        <v>2.4386757584043361</v>
      </c>
      <c r="R101" s="47"/>
      <c r="S101" s="1" t="s">
        <v>31</v>
      </c>
      <c r="T101" s="1" t="s">
        <v>281</v>
      </c>
      <c r="U101" s="2">
        <f t="shared" si="29"/>
        <v>0.33707865168539325</v>
      </c>
      <c r="V101" s="2">
        <f t="shared" si="30"/>
        <v>0</v>
      </c>
      <c r="W101" s="2">
        <f t="shared" si="31"/>
        <v>0.81289191946811201</v>
      </c>
      <c r="X101" s="2">
        <f t="shared" si="32"/>
        <v>0.38332352371783512</v>
      </c>
      <c r="AB101" s="66" t="e">
        <v>#N/A</v>
      </c>
      <c r="AC101" s="2">
        <v>2.4386757584043361</v>
      </c>
    </row>
    <row r="102" spans="2:29">
      <c r="B102" s="1" t="s">
        <v>3</v>
      </c>
      <c r="C102" s="1" t="s">
        <v>282</v>
      </c>
      <c r="D102">
        <v>23</v>
      </c>
      <c r="E102">
        <v>234</v>
      </c>
      <c r="F102">
        <v>35</v>
      </c>
      <c r="G102" t="e">
        <v>#N/A</v>
      </c>
      <c r="H102">
        <v>6</v>
      </c>
      <c r="I102">
        <v>0</v>
      </c>
      <c r="J102">
        <v>8</v>
      </c>
      <c r="K102" s="66">
        <f t="shared" si="25"/>
        <v>0.2608695652173913</v>
      </c>
      <c r="L102" s="66">
        <f t="shared" si="26"/>
        <v>0</v>
      </c>
      <c r="M102" s="66">
        <f t="shared" si="27"/>
        <v>0.22857142857142856</v>
      </c>
      <c r="N102" s="66"/>
      <c r="O102" s="48">
        <v>17820</v>
      </c>
      <c r="P102" s="47">
        <v>9.7880767010248011</v>
      </c>
      <c r="Q102" s="2">
        <f t="shared" si="28"/>
        <v>0.81732093488421564</v>
      </c>
      <c r="R102" s="47"/>
      <c r="S102" s="1" t="s">
        <v>3</v>
      </c>
      <c r="T102" s="1" t="s">
        <v>282</v>
      </c>
      <c r="U102" s="2">
        <f t="shared" si="29"/>
        <v>0.86956521739130432</v>
      </c>
      <c r="V102" s="2">
        <f t="shared" si="30"/>
        <v>0</v>
      </c>
      <c r="W102" s="2">
        <f t="shared" si="31"/>
        <v>0.27244031162807186</v>
      </c>
      <c r="X102" s="2">
        <f t="shared" si="32"/>
        <v>0.38066850967312543</v>
      </c>
      <c r="AB102" s="66">
        <v>0.22857142857142856</v>
      </c>
      <c r="AC102" s="2">
        <v>0.81732093488421564</v>
      </c>
    </row>
    <row r="103" spans="2:29">
      <c r="B103" s="1" t="s">
        <v>144</v>
      </c>
      <c r="C103" s="1" t="s">
        <v>283</v>
      </c>
      <c r="D103">
        <v>58</v>
      </c>
      <c r="E103">
        <v>70</v>
      </c>
      <c r="F103">
        <v>168</v>
      </c>
      <c r="G103" t="e">
        <v>#N/A</v>
      </c>
      <c r="H103">
        <v>6</v>
      </c>
      <c r="I103">
        <v>14</v>
      </c>
      <c r="J103">
        <v>12</v>
      </c>
      <c r="K103" s="66">
        <f t="shared" si="25"/>
        <v>0.10344827586206896</v>
      </c>
      <c r="L103" s="66">
        <f t="shared" si="26"/>
        <v>0.2</v>
      </c>
      <c r="M103" s="66">
        <f t="shared" si="27"/>
        <v>7.1428571428571425E-2</v>
      </c>
      <c r="N103" s="66"/>
      <c r="O103" s="48">
        <v>191800</v>
      </c>
      <c r="P103" s="47">
        <v>12.164208441431475</v>
      </c>
      <c r="Q103" s="2">
        <f t="shared" si="28"/>
        <v>0.98650068829204052</v>
      </c>
      <c r="R103" s="47"/>
      <c r="S103" s="1" t="s">
        <v>144</v>
      </c>
      <c r="T103" s="1" t="s">
        <v>283</v>
      </c>
      <c r="U103" s="2">
        <f t="shared" si="29"/>
        <v>0.34482758620689657</v>
      </c>
      <c r="V103" s="2">
        <f t="shared" si="30"/>
        <v>1</v>
      </c>
      <c r="W103" s="2">
        <f t="shared" si="31"/>
        <v>0.32883356276401349</v>
      </c>
      <c r="X103" s="2">
        <f t="shared" si="32"/>
        <v>0.55788704965697</v>
      </c>
      <c r="AB103" s="66">
        <v>7.1428571428571425E-2</v>
      </c>
      <c r="AC103" s="2">
        <v>0.98650068829204052</v>
      </c>
    </row>
    <row r="104" spans="2:29">
      <c r="B104" s="1" t="s">
        <v>154</v>
      </c>
      <c r="C104" s="1" t="s">
        <v>284</v>
      </c>
      <c r="D104">
        <v>215</v>
      </c>
      <c r="E104" t="e">
        <v>#N/A</v>
      </c>
      <c r="F104">
        <v>212</v>
      </c>
      <c r="G104">
        <v>704</v>
      </c>
      <c r="H104">
        <v>46</v>
      </c>
      <c r="I104">
        <v>21</v>
      </c>
      <c r="J104">
        <v>21</v>
      </c>
      <c r="K104" s="66">
        <f t="shared" si="25"/>
        <v>0.21395348837209302</v>
      </c>
      <c r="L104" s="66" t="e">
        <f t="shared" si="26"/>
        <v>#N/A</v>
      </c>
      <c r="M104" s="66">
        <f t="shared" si="27"/>
        <v>9.9056603773584911E-2</v>
      </c>
      <c r="N104" s="66"/>
      <c r="O104" s="48">
        <v>230800</v>
      </c>
      <c r="P104" s="47">
        <v>12.349306813616082</v>
      </c>
      <c r="Q104" s="2">
        <f t="shared" si="28"/>
        <v>1.7005003047495628</v>
      </c>
      <c r="R104" s="47"/>
      <c r="S104" s="1" t="s">
        <v>154</v>
      </c>
      <c r="T104" s="1" t="s">
        <v>284</v>
      </c>
      <c r="U104" s="2">
        <f t="shared" si="29"/>
        <v>0.71317829457364346</v>
      </c>
      <c r="V104" s="2" t="e">
        <f t="shared" si="30"/>
        <v>#N/A</v>
      </c>
      <c r="W104" s="2">
        <f t="shared" si="31"/>
        <v>0.56683343491652094</v>
      </c>
      <c r="X104" s="2">
        <f t="shared" si="32"/>
        <v>0.64000586474508214</v>
      </c>
      <c r="AB104" s="66">
        <v>9.9056603773584911E-2</v>
      </c>
      <c r="AC104" s="2">
        <v>1.7005003047495628</v>
      </c>
    </row>
    <row r="105" spans="2:29">
      <c r="B105" s="1" t="s">
        <v>61</v>
      </c>
      <c r="C105" s="1" t="s">
        <v>285</v>
      </c>
      <c r="D105">
        <v>68</v>
      </c>
      <c r="E105">
        <v>1153</v>
      </c>
      <c r="F105">
        <v>216</v>
      </c>
      <c r="G105" t="e">
        <v>#N/A</v>
      </c>
      <c r="H105">
        <v>1</v>
      </c>
      <c r="I105">
        <v>0</v>
      </c>
      <c r="J105">
        <v>3</v>
      </c>
      <c r="K105" s="66">
        <f t="shared" si="25"/>
        <v>1.4705882352941176E-2</v>
      </c>
      <c r="L105" s="66">
        <f t="shared" si="26"/>
        <v>0</v>
      </c>
      <c r="M105" s="66">
        <f t="shared" si="27"/>
        <v>1.3888888888888888E-2</v>
      </c>
      <c r="N105" s="66"/>
      <c r="O105" s="48">
        <v>62250</v>
      </c>
      <c r="P105" s="47">
        <v>11.038913814326953</v>
      </c>
      <c r="Q105" s="2">
        <f t="shared" si="28"/>
        <v>0.2717658684957231</v>
      </c>
      <c r="R105" s="47"/>
      <c r="S105" s="1" t="s">
        <v>61</v>
      </c>
      <c r="T105" s="1" t="s">
        <v>285</v>
      </c>
      <c r="U105" s="2">
        <f t="shared" si="29"/>
        <v>4.9019607843137254E-2</v>
      </c>
      <c r="V105" s="2">
        <f t="shared" si="30"/>
        <v>0</v>
      </c>
      <c r="W105" s="2">
        <f t="shared" si="31"/>
        <v>9.0588622831907703E-2</v>
      </c>
      <c r="X105" s="2">
        <f t="shared" si="32"/>
        <v>4.6536076891681655E-2</v>
      </c>
      <c r="AB105" s="66">
        <v>1.3888888888888888E-2</v>
      </c>
      <c r="AC105" s="2">
        <v>0.2717658684957231</v>
      </c>
    </row>
    <row r="106" spans="2:29">
      <c r="B106" s="1" t="s">
        <v>20</v>
      </c>
      <c r="C106" s="1" t="s">
        <v>286</v>
      </c>
      <c r="D106">
        <v>70</v>
      </c>
      <c r="E106">
        <v>2863</v>
      </c>
      <c r="F106">
        <v>116</v>
      </c>
      <c r="G106" t="e">
        <v>#N/A</v>
      </c>
      <c r="H106">
        <v>10</v>
      </c>
      <c r="I106">
        <v>0</v>
      </c>
      <c r="J106">
        <v>6</v>
      </c>
      <c r="K106" s="66">
        <f t="shared" si="25"/>
        <v>0.14285714285714285</v>
      </c>
      <c r="L106" s="66">
        <f t="shared" si="26"/>
        <v>0</v>
      </c>
      <c r="M106" s="66">
        <f t="shared" si="27"/>
        <v>5.1724137931034482E-2</v>
      </c>
      <c r="N106" s="66"/>
      <c r="O106" s="48">
        <v>10230</v>
      </c>
      <c r="P106" s="47">
        <v>9.233079858945672</v>
      </c>
      <c r="Q106" s="2">
        <f t="shared" si="28"/>
        <v>0.64983733398414922</v>
      </c>
      <c r="R106" s="47"/>
      <c r="S106" s="1" t="s">
        <v>20</v>
      </c>
      <c r="T106" s="1" t="s">
        <v>286</v>
      </c>
      <c r="U106" s="2">
        <f t="shared" si="29"/>
        <v>0.47619047619047616</v>
      </c>
      <c r="V106" s="2">
        <f t="shared" si="30"/>
        <v>0</v>
      </c>
      <c r="W106" s="2">
        <f t="shared" si="31"/>
        <v>0.21661244466138307</v>
      </c>
      <c r="X106" s="2">
        <f t="shared" si="32"/>
        <v>0.23093430695061976</v>
      </c>
      <c r="AB106" s="66">
        <v>5.1724137931034482E-2</v>
      </c>
      <c r="AC106" s="2">
        <v>0.64983733398414922</v>
      </c>
    </row>
    <row r="107" spans="2:29">
      <c r="B107" s="1" t="s">
        <v>172</v>
      </c>
      <c r="C107" s="1" t="s">
        <v>287</v>
      </c>
      <c r="D107">
        <v>59</v>
      </c>
      <c r="E107">
        <v>1576</v>
      </c>
      <c r="F107">
        <v>123</v>
      </c>
      <c r="G107" t="e">
        <v>#N/A</v>
      </c>
      <c r="H107">
        <v>2</v>
      </c>
      <c r="I107">
        <v>1</v>
      </c>
      <c r="J107">
        <v>5</v>
      </c>
      <c r="K107" s="66">
        <f t="shared" si="25"/>
        <v>3.3898305084745763E-2</v>
      </c>
      <c r="L107" s="66">
        <f t="shared" si="26"/>
        <v>6.3451776649746188E-4</v>
      </c>
      <c r="M107" s="66">
        <f t="shared" si="27"/>
        <v>4.065040650406504E-2</v>
      </c>
      <c r="N107" s="66"/>
      <c r="O107" s="48">
        <v>30350</v>
      </c>
      <c r="P107" s="47">
        <v>10.320551796487644</v>
      </c>
      <c r="Q107" s="2">
        <f t="shared" si="28"/>
        <v>0.48447022006145368</v>
      </c>
      <c r="R107" s="47"/>
      <c r="S107" s="1" t="s">
        <v>172</v>
      </c>
      <c r="T107" s="1" t="s">
        <v>287</v>
      </c>
      <c r="U107" s="2">
        <f t="shared" si="29"/>
        <v>0.11299435028248588</v>
      </c>
      <c r="V107" s="2">
        <f t="shared" si="30"/>
        <v>2.1150592216582064E-2</v>
      </c>
      <c r="W107" s="2">
        <f t="shared" si="31"/>
        <v>0.1614900733538179</v>
      </c>
      <c r="X107" s="2">
        <f t="shared" si="32"/>
        <v>9.8545005284295287E-2</v>
      </c>
      <c r="AB107" s="66">
        <v>4.065040650406504E-2</v>
      </c>
      <c r="AC107" s="2">
        <v>0.48447022006145368</v>
      </c>
    </row>
    <row r="108" spans="2:29">
      <c r="B108" s="1" t="s">
        <v>88</v>
      </c>
      <c r="C108" s="1" t="s">
        <v>288</v>
      </c>
      <c r="D108">
        <v>183</v>
      </c>
      <c r="E108">
        <v>2200</v>
      </c>
      <c r="F108">
        <v>146</v>
      </c>
      <c r="G108" t="e">
        <v>#N/A</v>
      </c>
      <c r="H108">
        <v>20</v>
      </c>
      <c r="I108">
        <v>46</v>
      </c>
      <c r="J108">
        <v>11</v>
      </c>
      <c r="K108" s="66">
        <f t="shared" ref="K108:K139" si="33">H108/D108</f>
        <v>0.10928961748633879</v>
      </c>
      <c r="L108" s="66">
        <f t="shared" ref="L108:L139" si="34">I108/E108</f>
        <v>2.0909090909090908E-2</v>
      </c>
      <c r="M108" s="66">
        <f t="shared" ref="M108:M139" si="35">J108/F108</f>
        <v>7.5342465753424653E-2</v>
      </c>
      <c r="N108" s="66"/>
      <c r="O108" s="48">
        <v>96320</v>
      </c>
      <c r="P108" s="47">
        <v>11.475431260542647</v>
      </c>
      <c r="Q108" s="2">
        <f t="shared" ref="Q108:Q139" si="36">J108/P108</f>
        <v>0.95856963893135938</v>
      </c>
      <c r="R108" s="47"/>
      <c r="S108" s="1" t="s">
        <v>88</v>
      </c>
      <c r="T108" s="1" t="s">
        <v>288</v>
      </c>
      <c r="U108" s="2">
        <f t="shared" ref="U108:U139" si="37">MIN(1,(K108-U$9)/(U$10-U$9))</f>
        <v>0.36429872495446264</v>
      </c>
      <c r="V108" s="2">
        <f t="shared" ref="V108:V139" si="38">MIN(1,(L108-V$9)/(V$10-V$9))</f>
        <v>0.69696969696969702</v>
      </c>
      <c r="W108" s="2">
        <f t="shared" ref="W108:W139" si="39">MIN(1,(Q108-W$9)/(W$10-W$9))</f>
        <v>0.31952321297711977</v>
      </c>
      <c r="X108" s="2">
        <f t="shared" ref="X108:X127" si="40">IF(COUNT(U108:W108),mmean(U108:W108),NA())</f>
        <v>0.46026387830042648</v>
      </c>
      <c r="AB108" s="66">
        <v>7.5342465753424653E-2</v>
      </c>
      <c r="AC108" s="2">
        <v>0.95856963893135938</v>
      </c>
    </row>
    <row r="109" spans="2:29">
      <c r="B109" s="1" t="s">
        <v>34</v>
      </c>
      <c r="C109" s="1" t="s">
        <v>289</v>
      </c>
      <c r="D109">
        <v>87</v>
      </c>
      <c r="E109">
        <v>1800</v>
      </c>
      <c r="F109">
        <v>76</v>
      </c>
      <c r="G109" t="e">
        <v>#N/A</v>
      </c>
      <c r="H109">
        <v>12</v>
      </c>
      <c r="I109">
        <v>1</v>
      </c>
      <c r="J109">
        <v>4</v>
      </c>
      <c r="K109" s="66">
        <f t="shared" si="33"/>
        <v>0.13793103448275862</v>
      </c>
      <c r="L109" s="66">
        <f t="shared" si="34"/>
        <v>5.5555555555555556E-4</v>
      </c>
      <c r="M109" s="66">
        <f t="shared" si="35"/>
        <v>5.2631578947368418E-2</v>
      </c>
      <c r="N109" s="66"/>
      <c r="O109" s="48">
        <v>1759540</v>
      </c>
      <c r="P109" s="47">
        <v>14.380562969216543</v>
      </c>
      <c r="Q109" s="2">
        <f t="shared" si="36"/>
        <v>0.27815322728063691</v>
      </c>
      <c r="R109" s="47"/>
      <c r="S109" s="1" t="s">
        <v>34</v>
      </c>
      <c r="T109" s="1" t="s">
        <v>289</v>
      </c>
      <c r="U109" s="2">
        <f t="shared" si="37"/>
        <v>0.45977011494252873</v>
      </c>
      <c r="V109" s="2">
        <f t="shared" si="38"/>
        <v>1.8518518518518517E-2</v>
      </c>
      <c r="W109" s="2">
        <f t="shared" si="39"/>
        <v>9.2717742426878968E-2</v>
      </c>
      <c r="X109" s="2">
        <f t="shared" si="40"/>
        <v>0.19033545862930876</v>
      </c>
      <c r="AB109" s="66">
        <v>5.2631578947368418E-2</v>
      </c>
      <c r="AC109" s="2">
        <v>0.27815322728063691</v>
      </c>
    </row>
    <row r="110" spans="2:29">
      <c r="B110" s="1" t="s">
        <v>187</v>
      </c>
      <c r="C110" s="1" t="s">
        <v>290</v>
      </c>
      <c r="D110">
        <v>56</v>
      </c>
      <c r="E110" t="e">
        <v>#N/A</v>
      </c>
      <c r="F110" t="e">
        <v>#N/A</v>
      </c>
      <c r="G110" t="e">
        <v>#N/A</v>
      </c>
      <c r="H110">
        <v>0</v>
      </c>
      <c r="I110">
        <v>0</v>
      </c>
      <c r="J110">
        <v>0</v>
      </c>
      <c r="K110" s="66">
        <f t="shared" si="33"/>
        <v>0</v>
      </c>
      <c r="L110" s="66" t="e">
        <f t="shared" si="34"/>
        <v>#N/A</v>
      </c>
      <c r="M110" s="66" t="e">
        <f t="shared" si="35"/>
        <v>#N/A</v>
      </c>
      <c r="N110" s="66"/>
      <c r="O110" s="48">
        <v>160</v>
      </c>
      <c r="P110" s="47">
        <v>5.0751738152338266</v>
      </c>
      <c r="Q110" s="2">
        <f t="shared" si="36"/>
        <v>0</v>
      </c>
      <c r="R110" s="47"/>
      <c r="S110" s="1" t="s">
        <v>187</v>
      </c>
      <c r="T110" s="1" t="s">
        <v>290</v>
      </c>
      <c r="U110" s="2">
        <f t="shared" si="37"/>
        <v>0</v>
      </c>
      <c r="V110" s="2" t="e">
        <f t="shared" si="38"/>
        <v>#N/A</v>
      </c>
      <c r="W110" s="2">
        <f t="shared" si="39"/>
        <v>0</v>
      </c>
      <c r="X110" s="2">
        <f t="shared" si="40"/>
        <v>0</v>
      </c>
      <c r="AB110" s="66" t="e">
        <v>#N/A</v>
      </c>
      <c r="AC110" s="2">
        <v>0</v>
      </c>
    </row>
    <row r="111" spans="2:29">
      <c r="B111" s="1" t="s">
        <v>67</v>
      </c>
      <c r="C111" s="1" t="s">
        <v>291</v>
      </c>
      <c r="D111">
        <v>71</v>
      </c>
      <c r="E111">
        <v>1328</v>
      </c>
      <c r="F111">
        <v>201</v>
      </c>
      <c r="G111" t="e">
        <v>#N/A</v>
      </c>
      <c r="H111">
        <v>3</v>
      </c>
      <c r="I111">
        <v>0</v>
      </c>
      <c r="J111">
        <v>4</v>
      </c>
      <c r="K111" s="66">
        <f t="shared" si="33"/>
        <v>4.2253521126760563E-2</v>
      </c>
      <c r="L111" s="66">
        <f t="shared" si="34"/>
        <v>0</v>
      </c>
      <c r="M111" s="66">
        <f t="shared" si="35"/>
        <v>1.9900497512437811E-2</v>
      </c>
      <c r="N111" s="66"/>
      <c r="O111" s="48">
        <v>62680</v>
      </c>
      <c r="P111" s="47">
        <v>11.045797696469958</v>
      </c>
      <c r="Q111" s="2">
        <f t="shared" si="36"/>
        <v>0.3621286673825585</v>
      </c>
      <c r="R111" s="47"/>
      <c r="S111" s="1" t="s">
        <v>67</v>
      </c>
      <c r="T111" s="1" t="s">
        <v>291</v>
      </c>
      <c r="U111" s="2">
        <f t="shared" si="37"/>
        <v>0.14084507042253522</v>
      </c>
      <c r="V111" s="2">
        <f t="shared" si="38"/>
        <v>0</v>
      </c>
      <c r="W111" s="2">
        <f t="shared" si="39"/>
        <v>0.12070955579418617</v>
      </c>
      <c r="X111" s="2">
        <f t="shared" si="40"/>
        <v>8.7184875405573792E-2</v>
      </c>
      <c r="AB111" s="66">
        <v>1.9900497512437811E-2</v>
      </c>
      <c r="AC111" s="2">
        <v>0.3621286673825585</v>
      </c>
    </row>
    <row r="112" spans="2:29">
      <c r="B112" s="1" t="s">
        <v>29</v>
      </c>
      <c r="C112" s="1" t="s">
        <v>292</v>
      </c>
      <c r="D112">
        <v>66</v>
      </c>
      <c r="E112">
        <v>1200</v>
      </c>
      <c r="F112" t="e">
        <v>#N/A</v>
      </c>
      <c r="G112" t="e">
        <v>#N/A</v>
      </c>
      <c r="H112">
        <v>0</v>
      </c>
      <c r="I112">
        <v>0</v>
      </c>
      <c r="J112">
        <v>0</v>
      </c>
      <c r="K112" s="66">
        <f t="shared" si="33"/>
        <v>0</v>
      </c>
      <c r="L112" s="66">
        <f t="shared" si="34"/>
        <v>0</v>
      </c>
      <c r="M112" s="66" t="e">
        <f t="shared" si="35"/>
        <v>#N/A</v>
      </c>
      <c r="N112" s="66"/>
      <c r="O112" s="48">
        <v>2590</v>
      </c>
      <c r="P112" s="47">
        <v>7.8594131546935833</v>
      </c>
      <c r="Q112" s="2">
        <f t="shared" si="36"/>
        <v>0</v>
      </c>
      <c r="R112" s="47"/>
      <c r="S112" s="1" t="s">
        <v>29</v>
      </c>
      <c r="T112" s="1" t="s">
        <v>292</v>
      </c>
      <c r="U112" s="2">
        <f t="shared" si="37"/>
        <v>0</v>
      </c>
      <c r="V112" s="2">
        <f t="shared" si="38"/>
        <v>0</v>
      </c>
      <c r="W112" s="2">
        <f t="shared" si="39"/>
        <v>0</v>
      </c>
      <c r="X112" s="2">
        <f t="shared" si="40"/>
        <v>0</v>
      </c>
      <c r="AB112" s="66" t="e">
        <v>#N/A</v>
      </c>
      <c r="AC112" s="2">
        <v>0</v>
      </c>
    </row>
    <row r="113" spans="2:29">
      <c r="B113" s="1" t="s">
        <v>158</v>
      </c>
      <c r="C113" s="1" t="s">
        <v>293</v>
      </c>
      <c r="D113">
        <v>165</v>
      </c>
      <c r="E113">
        <v>9000</v>
      </c>
      <c r="F113">
        <v>172</v>
      </c>
      <c r="G113" t="e">
        <v>#N/A</v>
      </c>
      <c r="H113">
        <v>63</v>
      </c>
      <c r="I113">
        <v>279</v>
      </c>
      <c r="J113">
        <v>35</v>
      </c>
      <c r="K113" s="66">
        <f t="shared" si="33"/>
        <v>0.38181818181818183</v>
      </c>
      <c r="L113" s="66">
        <f t="shared" si="34"/>
        <v>3.1E-2</v>
      </c>
      <c r="M113" s="66">
        <f t="shared" si="35"/>
        <v>0.20348837209302326</v>
      </c>
      <c r="N113" s="66"/>
      <c r="O113" s="48">
        <v>581540</v>
      </c>
      <c r="P113" s="47">
        <v>13.273435036193325</v>
      </c>
      <c r="Q113" s="2">
        <f t="shared" si="36"/>
        <v>2.6368456925101746</v>
      </c>
      <c r="R113" s="47"/>
      <c r="S113" s="1" t="s">
        <v>158</v>
      </c>
      <c r="T113" s="1" t="s">
        <v>293</v>
      </c>
      <c r="U113" s="2">
        <f t="shared" si="37"/>
        <v>1</v>
      </c>
      <c r="V113" s="2">
        <f t="shared" si="38"/>
        <v>1</v>
      </c>
      <c r="W113" s="2">
        <f t="shared" si="39"/>
        <v>0.87894856417005818</v>
      </c>
      <c r="X113" s="2">
        <f t="shared" si="40"/>
        <v>0.95964952139001936</v>
      </c>
      <c r="AB113" s="66">
        <v>0.20348837209302326</v>
      </c>
      <c r="AC113" s="2">
        <v>2.6368456925101746</v>
      </c>
    </row>
    <row r="114" spans="2:29">
      <c r="B114" s="1" t="s">
        <v>180</v>
      </c>
      <c r="C114" s="1" t="s">
        <v>294</v>
      </c>
      <c r="D114">
        <v>207</v>
      </c>
      <c r="E114">
        <v>3600</v>
      </c>
      <c r="F114">
        <v>219</v>
      </c>
      <c r="G114">
        <v>658</v>
      </c>
      <c r="H114">
        <v>6</v>
      </c>
      <c r="I114">
        <v>14</v>
      </c>
      <c r="J114">
        <v>13</v>
      </c>
      <c r="K114" s="66">
        <f t="shared" si="33"/>
        <v>2.8985507246376812E-2</v>
      </c>
      <c r="L114" s="66">
        <f t="shared" si="34"/>
        <v>3.8888888888888888E-3</v>
      </c>
      <c r="M114" s="66">
        <f t="shared" si="35"/>
        <v>5.9360730593607303E-2</v>
      </c>
      <c r="N114" s="66"/>
      <c r="O114" s="48">
        <v>94080</v>
      </c>
      <c r="P114" s="47">
        <v>11.451900763132453</v>
      </c>
      <c r="Q114" s="2">
        <f t="shared" si="36"/>
        <v>1.1351827324465997</v>
      </c>
      <c r="R114" s="47"/>
      <c r="S114" s="1" t="s">
        <v>180</v>
      </c>
      <c r="T114" s="1" t="s">
        <v>294</v>
      </c>
      <c r="U114" s="2">
        <f t="shared" si="37"/>
        <v>9.6618357487922704E-2</v>
      </c>
      <c r="V114" s="2">
        <f t="shared" si="38"/>
        <v>0.12962962962962962</v>
      </c>
      <c r="W114" s="2">
        <f t="shared" si="39"/>
        <v>0.37839424414886658</v>
      </c>
      <c r="X114" s="2">
        <f t="shared" si="40"/>
        <v>0.20154741042213964</v>
      </c>
      <c r="AB114" s="66">
        <v>5.9360730593607303E-2</v>
      </c>
      <c r="AC114" s="2">
        <v>1.1351827324465997</v>
      </c>
    </row>
    <row r="115" spans="2:29">
      <c r="B115" s="1" t="s">
        <v>55</v>
      </c>
      <c r="C115" s="1" t="s">
        <v>295</v>
      </c>
      <c r="D115">
        <v>337</v>
      </c>
      <c r="E115">
        <v>12500</v>
      </c>
      <c r="F115">
        <v>254</v>
      </c>
      <c r="G115">
        <v>746</v>
      </c>
      <c r="H115">
        <v>70</v>
      </c>
      <c r="I115">
        <v>685</v>
      </c>
      <c r="J115">
        <v>42</v>
      </c>
      <c r="K115" s="66">
        <f t="shared" si="33"/>
        <v>0.20771513353115728</v>
      </c>
      <c r="L115" s="66">
        <f t="shared" si="34"/>
        <v>5.4800000000000001E-2</v>
      </c>
      <c r="M115" s="66">
        <f t="shared" si="35"/>
        <v>0.16535433070866143</v>
      </c>
      <c r="N115" s="66"/>
      <c r="O115" s="48">
        <v>328550</v>
      </c>
      <c r="P115" s="47">
        <v>12.702444312326014</v>
      </c>
      <c r="Q115" s="2">
        <f t="shared" si="36"/>
        <v>3.3064502364513144</v>
      </c>
      <c r="R115" s="47"/>
      <c r="S115" s="1" t="s">
        <v>55</v>
      </c>
      <c r="T115" s="1" t="s">
        <v>295</v>
      </c>
      <c r="U115" s="2">
        <f t="shared" si="37"/>
        <v>0.69238377843719101</v>
      </c>
      <c r="V115" s="2">
        <f t="shared" si="38"/>
        <v>1</v>
      </c>
      <c r="W115" s="2">
        <f t="shared" si="39"/>
        <v>1</v>
      </c>
      <c r="X115" s="2">
        <f t="shared" si="40"/>
        <v>0.89746125947906374</v>
      </c>
      <c r="AB115" s="66">
        <v>0.16535433070866143</v>
      </c>
      <c r="AC115" s="2">
        <v>3.3064502364513144</v>
      </c>
    </row>
    <row r="116" spans="2:29">
      <c r="B116" s="1" t="s">
        <v>137</v>
      </c>
      <c r="C116" s="1" t="s">
        <v>296</v>
      </c>
      <c r="D116">
        <v>15</v>
      </c>
      <c r="E116" t="e">
        <v>#N/A</v>
      </c>
      <c r="F116" t="e">
        <v>#N/A</v>
      </c>
      <c r="G116" t="e">
        <v>#N/A</v>
      </c>
      <c r="H116">
        <v>2</v>
      </c>
      <c r="I116">
        <v>0</v>
      </c>
      <c r="J116">
        <v>0</v>
      </c>
      <c r="K116" s="66">
        <f t="shared" si="33"/>
        <v>0.13333333333333333</v>
      </c>
      <c r="L116" s="66" t="e">
        <f t="shared" si="34"/>
        <v>#N/A</v>
      </c>
      <c r="M116" s="66" t="e">
        <f t="shared" si="35"/>
        <v>#N/A</v>
      </c>
      <c r="N116" s="66"/>
      <c r="O116" s="48">
        <v>300</v>
      </c>
      <c r="P116" s="47">
        <v>5.7037824746562009</v>
      </c>
      <c r="Q116" s="2">
        <f t="shared" si="36"/>
        <v>0</v>
      </c>
      <c r="R116" s="47"/>
      <c r="S116" s="1" t="s">
        <v>137</v>
      </c>
      <c r="T116" s="1" t="s">
        <v>296</v>
      </c>
      <c r="U116" s="2">
        <f t="shared" si="37"/>
        <v>0.44444444444444448</v>
      </c>
      <c r="V116" s="2" t="e">
        <f t="shared" si="38"/>
        <v>#N/A</v>
      </c>
      <c r="W116" s="2">
        <f t="shared" si="39"/>
        <v>0</v>
      </c>
      <c r="X116" s="2">
        <f t="shared" si="40"/>
        <v>0.22222222222222224</v>
      </c>
      <c r="AB116" s="66" t="e">
        <v>#N/A</v>
      </c>
      <c r="AC116" s="2">
        <v>0</v>
      </c>
    </row>
    <row r="117" spans="2:29">
      <c r="B117" s="1" t="s">
        <v>152</v>
      </c>
      <c r="C117" s="1" t="s">
        <v>297</v>
      </c>
      <c r="D117">
        <v>134</v>
      </c>
      <c r="E117">
        <v>1741</v>
      </c>
      <c r="F117">
        <v>191</v>
      </c>
      <c r="G117">
        <v>624</v>
      </c>
      <c r="H117">
        <v>11</v>
      </c>
      <c r="I117">
        <v>6</v>
      </c>
      <c r="J117">
        <v>6</v>
      </c>
      <c r="K117" s="66">
        <f t="shared" si="33"/>
        <v>8.2089552238805971E-2</v>
      </c>
      <c r="L117" s="66">
        <f t="shared" si="34"/>
        <v>3.4462952326249283E-3</v>
      </c>
      <c r="M117" s="66">
        <f t="shared" si="35"/>
        <v>3.1413612565445025E-2</v>
      </c>
      <c r="N117" s="66"/>
      <c r="O117" s="48">
        <v>1220190</v>
      </c>
      <c r="P117" s="47">
        <v>14.014517142288501</v>
      </c>
      <c r="Q117" s="2">
        <f t="shared" si="36"/>
        <v>0.4281274865971037</v>
      </c>
      <c r="R117" s="47"/>
      <c r="S117" s="1" t="s">
        <v>152</v>
      </c>
      <c r="T117" s="1" t="s">
        <v>297</v>
      </c>
      <c r="U117" s="2">
        <f t="shared" si="37"/>
        <v>0.27363184079601993</v>
      </c>
      <c r="V117" s="2">
        <f t="shared" si="38"/>
        <v>0.11487650775416428</v>
      </c>
      <c r="W117" s="2">
        <f t="shared" si="39"/>
        <v>0.14270916219903457</v>
      </c>
      <c r="X117" s="2">
        <f t="shared" si="40"/>
        <v>0.17707250358307292</v>
      </c>
      <c r="AB117" s="66">
        <v>3.1413612565445025E-2</v>
      </c>
      <c r="AC117" s="2">
        <v>0.4281274865971037</v>
      </c>
    </row>
    <row r="118" spans="2:29">
      <c r="B118" s="1" t="s">
        <v>8</v>
      </c>
      <c r="C118" s="1" t="s">
        <v>298</v>
      </c>
      <c r="D118">
        <v>34</v>
      </c>
      <c r="E118">
        <v>900</v>
      </c>
      <c r="F118" t="e">
        <v>#N/A</v>
      </c>
      <c r="G118" t="e">
        <v>#N/A</v>
      </c>
      <c r="H118">
        <v>3</v>
      </c>
      <c r="I118">
        <v>3</v>
      </c>
      <c r="J118">
        <v>3</v>
      </c>
      <c r="K118" s="66">
        <f t="shared" si="33"/>
        <v>8.8235294117647065E-2</v>
      </c>
      <c r="L118" s="66">
        <f t="shared" si="34"/>
        <v>3.3333333333333335E-3</v>
      </c>
      <c r="M118" s="66" t="e">
        <f t="shared" si="35"/>
        <v>#N/A</v>
      </c>
      <c r="N118" s="66"/>
      <c r="O118" s="48">
        <v>320</v>
      </c>
      <c r="P118" s="47">
        <v>5.768320995793772</v>
      </c>
      <c r="Q118" s="2">
        <f t="shared" si="36"/>
        <v>0.52008201384555119</v>
      </c>
      <c r="R118" s="47"/>
      <c r="S118" s="1" t="s">
        <v>8</v>
      </c>
      <c r="T118" s="1" t="s">
        <v>298</v>
      </c>
      <c r="U118" s="2">
        <f t="shared" si="37"/>
        <v>0.29411764705882354</v>
      </c>
      <c r="V118" s="2">
        <f t="shared" si="38"/>
        <v>0.11111111111111112</v>
      </c>
      <c r="W118" s="2">
        <f t="shared" si="39"/>
        <v>0.1733606712818504</v>
      </c>
      <c r="X118" s="2">
        <f t="shared" si="40"/>
        <v>0.19286314315059502</v>
      </c>
      <c r="AB118" s="66" t="e">
        <v>#N/A</v>
      </c>
      <c r="AC118" s="2">
        <v>0.52008201384555119</v>
      </c>
    </row>
    <row r="119" spans="2:29">
      <c r="B119" s="1" t="s">
        <v>53</v>
      </c>
      <c r="C119" s="1" t="s">
        <v>299</v>
      </c>
      <c r="D119">
        <v>4</v>
      </c>
      <c r="E119">
        <v>100</v>
      </c>
      <c r="F119" t="e">
        <v>#N/A</v>
      </c>
      <c r="G119" t="e">
        <v>#N/A</v>
      </c>
      <c r="H119">
        <v>2</v>
      </c>
      <c r="I119">
        <v>0</v>
      </c>
      <c r="J119">
        <v>5</v>
      </c>
      <c r="K119" s="66">
        <f t="shared" si="33"/>
        <v>0.5</v>
      </c>
      <c r="L119" s="66">
        <f t="shared" si="34"/>
        <v>0</v>
      </c>
      <c r="M119" s="66" t="e">
        <f t="shared" si="35"/>
        <v>#N/A</v>
      </c>
      <c r="N119" s="66"/>
      <c r="O119" s="48">
        <v>180</v>
      </c>
      <c r="P119" s="47">
        <v>5.1929568508902104</v>
      </c>
      <c r="Q119" s="2">
        <f t="shared" si="36"/>
        <v>0.96284258536499634</v>
      </c>
      <c r="R119" s="47"/>
      <c r="S119" s="1" t="s">
        <v>53</v>
      </c>
      <c r="T119" s="1" t="s">
        <v>299</v>
      </c>
      <c r="U119" s="2">
        <f t="shared" si="37"/>
        <v>1</v>
      </c>
      <c r="V119" s="2">
        <f t="shared" si="38"/>
        <v>0</v>
      </c>
      <c r="W119" s="2">
        <f t="shared" si="39"/>
        <v>0.3209475284549988</v>
      </c>
      <c r="X119" s="2">
        <f t="shared" si="40"/>
        <v>0.44031584281833291</v>
      </c>
      <c r="AB119" s="66" t="e">
        <v>#N/A</v>
      </c>
      <c r="AC119" s="2">
        <v>0.96284258536499634</v>
      </c>
    </row>
    <row r="120" spans="2:29">
      <c r="B120" s="1" t="s">
        <v>131</v>
      </c>
      <c r="C120" s="1" t="s">
        <v>300</v>
      </c>
      <c r="D120">
        <v>94</v>
      </c>
      <c r="E120">
        <v>1100</v>
      </c>
      <c r="F120">
        <v>172</v>
      </c>
      <c r="G120" t="e">
        <v>#N/A</v>
      </c>
      <c r="H120">
        <v>14</v>
      </c>
      <c r="I120">
        <v>0</v>
      </c>
      <c r="J120">
        <v>8</v>
      </c>
      <c r="K120" s="66">
        <f t="shared" si="33"/>
        <v>0.14893617021276595</v>
      </c>
      <c r="L120" s="66">
        <f t="shared" si="34"/>
        <v>0</v>
      </c>
      <c r="M120" s="66">
        <f t="shared" si="35"/>
        <v>4.6511627906976744E-2</v>
      </c>
      <c r="N120" s="66"/>
      <c r="O120" s="48">
        <v>1030700</v>
      </c>
      <c r="P120" s="47">
        <v>13.845748741024885</v>
      </c>
      <c r="Q120" s="2">
        <f t="shared" si="36"/>
        <v>0.57779468265923672</v>
      </c>
      <c r="R120" s="47"/>
      <c r="S120" s="1" t="s">
        <v>131</v>
      </c>
      <c r="T120" s="1" t="s">
        <v>300</v>
      </c>
      <c r="U120" s="2">
        <f t="shared" si="37"/>
        <v>0.49645390070921985</v>
      </c>
      <c r="V120" s="2">
        <f t="shared" si="38"/>
        <v>0</v>
      </c>
      <c r="W120" s="2">
        <f t="shared" si="39"/>
        <v>0.1925982275530789</v>
      </c>
      <c r="X120" s="2">
        <f t="shared" si="40"/>
        <v>0.22968404275409959</v>
      </c>
      <c r="AB120" s="66">
        <v>4.6511627906976744E-2</v>
      </c>
      <c r="AC120" s="2">
        <v>0.57779468265923672</v>
      </c>
    </row>
    <row r="121" spans="2:29">
      <c r="B121" s="1" t="s">
        <v>130</v>
      </c>
      <c r="C121" s="1" t="s">
        <v>301</v>
      </c>
      <c r="D121">
        <v>14</v>
      </c>
      <c r="E121">
        <v>700</v>
      </c>
      <c r="F121" t="e">
        <v>#N/A</v>
      </c>
      <c r="G121" t="e">
        <v>#N/A</v>
      </c>
      <c r="H121">
        <v>6</v>
      </c>
      <c r="I121">
        <v>88</v>
      </c>
      <c r="J121">
        <v>11</v>
      </c>
      <c r="K121" s="66">
        <f t="shared" si="33"/>
        <v>0.42857142857142855</v>
      </c>
      <c r="L121" s="66">
        <f t="shared" si="34"/>
        <v>0.12571428571428572</v>
      </c>
      <c r="M121" s="66" t="e">
        <f t="shared" si="35"/>
        <v>#N/A</v>
      </c>
      <c r="N121" s="66"/>
      <c r="O121" s="48">
        <v>2030</v>
      </c>
      <c r="P121" s="47">
        <v>7.6157910720358331</v>
      </c>
      <c r="Q121" s="2">
        <f t="shared" si="36"/>
        <v>1.4443673540875523</v>
      </c>
      <c r="R121" s="47"/>
      <c r="S121" s="1" t="s">
        <v>130</v>
      </c>
      <c r="T121" s="1" t="s">
        <v>301</v>
      </c>
      <c r="U121" s="2">
        <f t="shared" si="37"/>
        <v>1</v>
      </c>
      <c r="V121" s="2">
        <f t="shared" si="38"/>
        <v>1</v>
      </c>
      <c r="W121" s="2">
        <f t="shared" si="39"/>
        <v>0.48145578469585076</v>
      </c>
      <c r="X121" s="2">
        <f t="shared" si="40"/>
        <v>0.82715192823195027</v>
      </c>
      <c r="AB121" s="66" t="e">
        <v>#N/A</v>
      </c>
      <c r="AC121" s="2">
        <v>1.4443673540875523</v>
      </c>
    </row>
    <row r="122" spans="2:29">
      <c r="B122" s="1" t="s">
        <v>39</v>
      </c>
      <c r="C122" s="1" t="s">
        <v>302</v>
      </c>
      <c r="D122">
        <v>544</v>
      </c>
      <c r="E122">
        <v>25000</v>
      </c>
      <c r="F122">
        <v>440</v>
      </c>
      <c r="G122">
        <v>1026</v>
      </c>
      <c r="H122">
        <v>101</v>
      </c>
      <c r="I122">
        <v>248</v>
      </c>
      <c r="J122">
        <v>55</v>
      </c>
      <c r="K122" s="66">
        <f t="shared" si="33"/>
        <v>0.18566176470588236</v>
      </c>
      <c r="L122" s="66">
        <f t="shared" si="34"/>
        <v>9.92E-3</v>
      </c>
      <c r="M122" s="66">
        <f t="shared" si="35"/>
        <v>0.125</v>
      </c>
      <c r="N122" s="66"/>
      <c r="O122" s="48">
        <v>1943950</v>
      </c>
      <c r="P122" s="47">
        <v>14.480232543507142</v>
      </c>
      <c r="Q122" s="2">
        <f t="shared" si="36"/>
        <v>3.7982815424232741</v>
      </c>
      <c r="R122" s="47"/>
      <c r="S122" s="1" t="s">
        <v>39</v>
      </c>
      <c r="T122" s="1" t="s">
        <v>302</v>
      </c>
      <c r="U122" s="2">
        <f t="shared" si="37"/>
        <v>0.61887254901960786</v>
      </c>
      <c r="V122" s="2">
        <f t="shared" si="38"/>
        <v>0.33066666666666666</v>
      </c>
      <c r="W122" s="2">
        <f t="shared" si="39"/>
        <v>1</v>
      </c>
      <c r="X122" s="2">
        <f t="shared" si="40"/>
        <v>0.64984640522875814</v>
      </c>
      <c r="AB122" s="66">
        <v>0.125</v>
      </c>
      <c r="AC122" s="2">
        <v>3.7982815424232741</v>
      </c>
    </row>
    <row r="123" spans="2:29">
      <c r="B123" s="1" t="s">
        <v>175</v>
      </c>
      <c r="C123" s="1" t="s">
        <v>303</v>
      </c>
      <c r="D123">
        <v>8</v>
      </c>
      <c r="E123" t="e">
        <v>#N/A</v>
      </c>
      <c r="F123" t="e">
        <v>#N/A</v>
      </c>
      <c r="G123" t="e">
        <v>#N/A</v>
      </c>
      <c r="H123">
        <v>6</v>
      </c>
      <c r="I123">
        <v>5</v>
      </c>
      <c r="J123">
        <v>9</v>
      </c>
      <c r="K123" s="66">
        <f t="shared" si="33"/>
        <v>0.75</v>
      </c>
      <c r="L123" s="66" t="e">
        <f t="shared" si="34"/>
        <v>#N/A</v>
      </c>
      <c r="M123" s="66" t="e">
        <f t="shared" si="35"/>
        <v>#N/A</v>
      </c>
      <c r="N123" s="66"/>
      <c r="O123" s="48">
        <v>700</v>
      </c>
      <c r="P123" s="47">
        <v>6.5510803350434044</v>
      </c>
      <c r="Q123" s="2">
        <f t="shared" si="36"/>
        <v>1.3738192083917362</v>
      </c>
      <c r="R123" s="47"/>
      <c r="S123" s="1" t="s">
        <v>175</v>
      </c>
      <c r="T123" s="1" t="s">
        <v>303</v>
      </c>
      <c r="U123" s="2">
        <f t="shared" si="37"/>
        <v>1</v>
      </c>
      <c r="V123" s="2" t="e">
        <f t="shared" si="38"/>
        <v>#N/A</v>
      </c>
      <c r="W123" s="2">
        <f t="shared" si="39"/>
        <v>0.45793973613057876</v>
      </c>
      <c r="X123" s="2">
        <f t="shared" si="40"/>
        <v>0.72896986806528941</v>
      </c>
      <c r="AB123" s="66" t="e">
        <v>#N/A</v>
      </c>
      <c r="AC123" s="2">
        <v>1.3738192083917362</v>
      </c>
    </row>
    <row r="124" spans="2:29">
      <c r="B124" s="1" t="s">
        <v>129</v>
      </c>
      <c r="C124" s="1" t="s">
        <v>304</v>
      </c>
      <c r="D124">
        <v>50</v>
      </c>
      <c r="E124" t="e">
        <v>#N/A</v>
      </c>
      <c r="F124" t="e">
        <v>#N/A</v>
      </c>
      <c r="G124" t="e">
        <v>#N/A</v>
      </c>
      <c r="H124">
        <v>4</v>
      </c>
      <c r="I124">
        <v>0</v>
      </c>
      <c r="J124">
        <v>9</v>
      </c>
      <c r="K124" s="66">
        <f t="shared" si="33"/>
        <v>0.08</v>
      </c>
      <c r="L124" s="66" t="e">
        <f t="shared" si="34"/>
        <v>#N/A</v>
      </c>
      <c r="M124" s="66" t="e">
        <f t="shared" si="35"/>
        <v>#N/A</v>
      </c>
      <c r="N124" s="66"/>
      <c r="O124" s="48">
        <v>32890</v>
      </c>
      <c r="P124" s="47">
        <v>10.400923939183103</v>
      </c>
      <c r="Q124" s="2">
        <f t="shared" si="36"/>
        <v>0.86530774118004627</v>
      </c>
      <c r="R124" s="47"/>
      <c r="S124" s="1" t="s">
        <v>129</v>
      </c>
      <c r="T124" s="1" t="s">
        <v>304</v>
      </c>
      <c r="U124" s="2">
        <f t="shared" si="37"/>
        <v>0.26666666666666666</v>
      </c>
      <c r="V124" s="2" t="e">
        <f t="shared" si="38"/>
        <v>#N/A</v>
      </c>
      <c r="W124" s="2">
        <f t="shared" si="39"/>
        <v>0.28843591372668209</v>
      </c>
      <c r="X124" s="2">
        <f t="shared" si="40"/>
        <v>0.27755129019667435</v>
      </c>
      <c r="AB124" s="66" t="e">
        <v>#N/A</v>
      </c>
      <c r="AC124" s="2">
        <v>0.86530774118004627</v>
      </c>
    </row>
    <row r="125" spans="2:29">
      <c r="B125" s="1" t="s">
        <v>2</v>
      </c>
      <c r="C125" s="1" t="s">
        <v>305</v>
      </c>
      <c r="D125">
        <v>4</v>
      </c>
      <c r="E125" t="e">
        <v>#N/A</v>
      </c>
      <c r="F125" t="e">
        <v>#N/A</v>
      </c>
      <c r="G125" t="e">
        <v>#N/A</v>
      </c>
      <c r="H125">
        <v>2</v>
      </c>
      <c r="I125">
        <v>0</v>
      </c>
      <c r="J125">
        <v>0</v>
      </c>
      <c r="K125" s="66">
        <f t="shared" si="33"/>
        <v>0.5</v>
      </c>
      <c r="L125" s="66" t="e">
        <f t="shared" si="34"/>
        <v>#N/A</v>
      </c>
      <c r="M125" s="66" t="e">
        <f t="shared" si="35"/>
        <v>#N/A</v>
      </c>
      <c r="N125" s="66"/>
      <c r="O125" s="48">
        <v>2</v>
      </c>
      <c r="P125" s="47">
        <v>0.69314718055994529</v>
      </c>
      <c r="Q125" s="2">
        <f t="shared" si="36"/>
        <v>0</v>
      </c>
      <c r="R125" s="47"/>
      <c r="S125" s="1" t="s">
        <v>2</v>
      </c>
      <c r="T125" s="1" t="s">
        <v>305</v>
      </c>
      <c r="U125" s="2">
        <f t="shared" si="37"/>
        <v>1</v>
      </c>
      <c r="V125" s="2" t="e">
        <f t="shared" si="38"/>
        <v>#N/A</v>
      </c>
      <c r="W125" s="2">
        <f t="shared" si="39"/>
        <v>0</v>
      </c>
      <c r="X125" s="2">
        <f t="shared" si="40"/>
        <v>0.5</v>
      </c>
      <c r="AB125" s="66" t="e">
        <v>#N/A</v>
      </c>
      <c r="AC125" s="2">
        <v>0</v>
      </c>
    </row>
    <row r="126" spans="2:29">
      <c r="B126" s="1" t="s">
        <v>66</v>
      </c>
      <c r="C126" s="1" t="s">
        <v>306</v>
      </c>
      <c r="D126">
        <v>89</v>
      </c>
      <c r="E126" t="e">
        <v>#N/A</v>
      </c>
      <c r="F126">
        <v>199</v>
      </c>
      <c r="G126" t="e">
        <v>#N/A</v>
      </c>
      <c r="H126">
        <v>5</v>
      </c>
      <c r="I126">
        <v>0</v>
      </c>
      <c r="J126">
        <v>10</v>
      </c>
      <c r="K126" s="66">
        <f t="shared" si="33"/>
        <v>5.6179775280898875E-2</v>
      </c>
      <c r="L126" s="66" t="e">
        <f t="shared" si="34"/>
        <v>#N/A</v>
      </c>
      <c r="M126" s="66">
        <f t="shared" si="35"/>
        <v>5.0251256281407038E-2</v>
      </c>
      <c r="N126" s="66"/>
      <c r="O126" s="48">
        <v>25430</v>
      </c>
      <c r="P126" s="47">
        <v>10.143684858416165</v>
      </c>
      <c r="Q126" s="2">
        <f t="shared" si="36"/>
        <v>0.98583504314046677</v>
      </c>
      <c r="R126" s="47"/>
      <c r="S126" s="1" t="s">
        <v>66</v>
      </c>
      <c r="T126" s="1" t="s">
        <v>306</v>
      </c>
      <c r="U126" s="2">
        <f t="shared" si="37"/>
        <v>0.18726591760299627</v>
      </c>
      <c r="V126" s="2" t="e">
        <f t="shared" si="38"/>
        <v>#N/A</v>
      </c>
      <c r="W126" s="2">
        <f t="shared" si="39"/>
        <v>0.32861168104682226</v>
      </c>
      <c r="X126" s="2">
        <f t="shared" si="40"/>
        <v>0.25793879932490926</v>
      </c>
      <c r="AB126" s="66">
        <v>5.0251256281407038E-2</v>
      </c>
      <c r="AC126" s="2">
        <v>0.98583504314046677</v>
      </c>
    </row>
    <row r="127" spans="2:29">
      <c r="B127" s="1" t="s">
        <v>94</v>
      </c>
      <c r="C127" s="1" t="s">
        <v>307</v>
      </c>
      <c r="D127">
        <v>140</v>
      </c>
      <c r="E127">
        <v>2272</v>
      </c>
      <c r="F127">
        <v>274</v>
      </c>
      <c r="G127" t="e">
        <v>#N/A</v>
      </c>
      <c r="H127">
        <v>11</v>
      </c>
      <c r="I127">
        <v>0</v>
      </c>
      <c r="J127">
        <v>20</v>
      </c>
      <c r="K127" s="66">
        <f t="shared" si="33"/>
        <v>7.857142857142857E-2</v>
      </c>
      <c r="L127" s="66">
        <f t="shared" si="34"/>
        <v>0</v>
      </c>
      <c r="M127" s="66">
        <f t="shared" si="35"/>
        <v>7.2992700729927001E-2</v>
      </c>
      <c r="N127" s="66"/>
      <c r="O127" s="48">
        <v>1553560</v>
      </c>
      <c r="P127" s="47">
        <v>14.256059629534812</v>
      </c>
      <c r="Q127" s="2">
        <f t="shared" si="36"/>
        <v>1.4029122015290432</v>
      </c>
      <c r="R127" s="47"/>
      <c r="S127" s="1" t="s">
        <v>94</v>
      </c>
      <c r="T127" s="1" t="s">
        <v>307</v>
      </c>
      <c r="U127" s="2">
        <f t="shared" si="37"/>
        <v>0.26190476190476192</v>
      </c>
      <c r="V127" s="2">
        <f t="shared" si="38"/>
        <v>0</v>
      </c>
      <c r="W127" s="2">
        <f t="shared" si="39"/>
        <v>0.46763740050968106</v>
      </c>
      <c r="X127" s="2">
        <f t="shared" si="40"/>
        <v>0.24318072080481432</v>
      </c>
      <c r="AB127" s="66">
        <v>7.2992700729927001E-2</v>
      </c>
      <c r="AC127" s="2">
        <v>1.4029122015290432</v>
      </c>
    </row>
    <row r="128" spans="2:29">
      <c r="B128" s="1" t="s">
        <v>87</v>
      </c>
      <c r="C128" s="1" t="s">
        <v>308</v>
      </c>
      <c r="D128" t="e">
        <v>#N/A</v>
      </c>
      <c r="E128" t="e">
        <v>#N/A</v>
      </c>
      <c r="F128" t="e">
        <v>#N/A</v>
      </c>
      <c r="G128" t="e">
        <v>#N/A</v>
      </c>
      <c r="H128">
        <v>6</v>
      </c>
      <c r="I128">
        <v>0</v>
      </c>
      <c r="J128">
        <v>11</v>
      </c>
      <c r="K128" s="66" t="e">
        <f t="shared" si="33"/>
        <v>#N/A</v>
      </c>
      <c r="L128" s="66" t="e">
        <f t="shared" si="34"/>
        <v>#N/A</v>
      </c>
      <c r="M128" s="66" t="e">
        <f t="shared" si="35"/>
        <v>#N/A</v>
      </c>
      <c r="N128" s="66"/>
      <c r="O128" s="48">
        <v>13450</v>
      </c>
      <c r="P128" s="47">
        <v>9.5067343850299846</v>
      </c>
      <c r="Q128" s="2">
        <f t="shared" si="36"/>
        <v>1.1570745068171278</v>
      </c>
      <c r="R128" s="47"/>
      <c r="S128" s="1" t="s">
        <v>87</v>
      </c>
      <c r="T128" s="1" t="s">
        <v>308</v>
      </c>
      <c r="U128" s="2" t="e">
        <f t="shared" si="37"/>
        <v>#N/A</v>
      </c>
      <c r="V128" s="2" t="e">
        <f t="shared" si="38"/>
        <v>#N/A</v>
      </c>
      <c r="W128" s="2">
        <f t="shared" si="39"/>
        <v>0.38569150227237592</v>
      </c>
      <c r="X128" s="2" t="e">
        <f>MIN(1,(N128-X$9)/(X$10-X$9))</f>
        <v>#DIV/0!</v>
      </c>
      <c r="AB128" s="66" t="e">
        <v>#N/A</v>
      </c>
      <c r="AC128" s="2">
        <v>1.1570745068171278</v>
      </c>
    </row>
    <row r="129" spans="2:29">
      <c r="B129" s="1" t="s">
        <v>100</v>
      </c>
      <c r="C129" s="1" t="s">
        <v>309</v>
      </c>
      <c r="D129">
        <v>129</v>
      </c>
      <c r="E129">
        <v>3600</v>
      </c>
      <c r="F129">
        <v>206</v>
      </c>
      <c r="G129" t="e">
        <v>#N/A</v>
      </c>
      <c r="H129">
        <v>18</v>
      </c>
      <c r="I129">
        <v>2</v>
      </c>
      <c r="J129">
        <v>10</v>
      </c>
      <c r="K129" s="66">
        <f t="shared" si="33"/>
        <v>0.13953488372093023</v>
      </c>
      <c r="L129" s="66">
        <f t="shared" si="34"/>
        <v>5.5555555555555556E-4</v>
      </c>
      <c r="M129" s="66">
        <f t="shared" si="35"/>
        <v>4.8543689320388349E-2</v>
      </c>
      <c r="N129" s="66"/>
      <c r="O129" s="48">
        <v>446300</v>
      </c>
      <c r="P129" s="47">
        <v>13.008746650617361</v>
      </c>
      <c r="Q129" s="2">
        <f t="shared" si="36"/>
        <v>0.76871356392550128</v>
      </c>
      <c r="R129" s="47"/>
      <c r="S129" s="1" t="s">
        <v>100</v>
      </c>
      <c r="T129" s="1" t="s">
        <v>309</v>
      </c>
      <c r="U129" s="2">
        <f t="shared" si="37"/>
        <v>0.46511627906976744</v>
      </c>
      <c r="V129" s="2">
        <f t="shared" si="38"/>
        <v>1.8518518518518517E-2</v>
      </c>
      <c r="W129" s="2">
        <f t="shared" si="39"/>
        <v>0.25623785464183374</v>
      </c>
      <c r="X129" s="2">
        <f>IF(COUNT(U129:W129),mmean(U129:W129),NA())</f>
        <v>0.24662421741003993</v>
      </c>
      <c r="AB129" s="66">
        <v>4.8543689320388349E-2</v>
      </c>
      <c r="AC129" s="2">
        <v>0.76871356392550128</v>
      </c>
    </row>
    <row r="130" spans="2:29">
      <c r="B130" s="1" t="s">
        <v>142</v>
      </c>
      <c r="C130" s="1" t="s">
        <v>310</v>
      </c>
      <c r="D130">
        <v>228</v>
      </c>
      <c r="E130">
        <v>5500</v>
      </c>
      <c r="F130">
        <v>144</v>
      </c>
      <c r="G130">
        <v>685</v>
      </c>
      <c r="H130">
        <v>11</v>
      </c>
      <c r="I130">
        <v>50</v>
      </c>
      <c r="J130">
        <v>22</v>
      </c>
      <c r="K130" s="66">
        <f t="shared" si="33"/>
        <v>4.8245614035087717E-2</v>
      </c>
      <c r="L130" s="66">
        <f t="shared" si="34"/>
        <v>9.0909090909090905E-3</v>
      </c>
      <c r="M130" s="66">
        <f t="shared" si="35"/>
        <v>0.15277777777777779</v>
      </c>
      <c r="N130" s="66"/>
      <c r="O130" s="48">
        <v>786380</v>
      </c>
      <c r="P130" s="47">
        <v>13.575195415141737</v>
      </c>
      <c r="Q130" s="2">
        <f t="shared" si="36"/>
        <v>1.6206028220751252</v>
      </c>
      <c r="R130" s="47"/>
      <c r="S130" s="1" t="s">
        <v>142</v>
      </c>
      <c r="T130" s="1" t="s">
        <v>310</v>
      </c>
      <c r="U130" s="2">
        <f t="shared" si="37"/>
        <v>0.16081871345029239</v>
      </c>
      <c r="V130" s="2">
        <f t="shared" si="38"/>
        <v>0.30303030303030304</v>
      </c>
      <c r="W130" s="2">
        <f t="shared" si="39"/>
        <v>0.54020094069170843</v>
      </c>
      <c r="X130" s="2">
        <f>IF(COUNT(U130:W130),mmean(U130:W130),NA())</f>
        <v>0.33468331905743459</v>
      </c>
      <c r="AB130" s="66">
        <v>0.15277777777777779</v>
      </c>
      <c r="AC130" s="2">
        <v>1.6206028220751252</v>
      </c>
    </row>
    <row r="131" spans="2:29">
      <c r="B131" s="1" t="s">
        <v>150</v>
      </c>
      <c r="C131" s="1" t="s">
        <v>311</v>
      </c>
      <c r="D131">
        <v>288</v>
      </c>
      <c r="E131">
        <v>7000</v>
      </c>
      <c r="F131">
        <v>310</v>
      </c>
      <c r="G131">
        <v>1047</v>
      </c>
      <c r="H131">
        <v>45</v>
      </c>
      <c r="I131">
        <v>38</v>
      </c>
      <c r="J131">
        <v>39</v>
      </c>
      <c r="K131" s="66">
        <f t="shared" si="33"/>
        <v>0.15625</v>
      </c>
      <c r="L131" s="66">
        <f t="shared" si="34"/>
        <v>5.4285714285714284E-3</v>
      </c>
      <c r="M131" s="66">
        <f t="shared" si="35"/>
        <v>0.12580645161290321</v>
      </c>
      <c r="N131" s="66"/>
      <c r="O131" s="48">
        <v>653520</v>
      </c>
      <c r="P131" s="47">
        <v>13.390128416015751</v>
      </c>
      <c r="Q131" s="2">
        <f t="shared" si="36"/>
        <v>2.9125934261655497</v>
      </c>
      <c r="R131" s="47"/>
      <c r="S131" s="1" t="s">
        <v>150</v>
      </c>
      <c r="T131" s="1" t="s">
        <v>311</v>
      </c>
      <c r="U131" s="2">
        <f t="shared" si="37"/>
        <v>0.52083333333333337</v>
      </c>
      <c r="V131" s="2">
        <f t="shared" si="38"/>
        <v>0.18095238095238095</v>
      </c>
      <c r="W131" s="2">
        <f t="shared" si="39"/>
        <v>0.97086447538851661</v>
      </c>
      <c r="X131" s="2">
        <f>IF(COUNT(U131:W131),mmean(U131:W131),NA())</f>
        <v>0.55755006322474365</v>
      </c>
      <c r="AB131" s="66">
        <v>0.12580645161290321</v>
      </c>
      <c r="AC131" s="2">
        <v>2.9125934261655497</v>
      </c>
    </row>
    <row r="132" spans="2:29">
      <c r="B132" s="1" t="s">
        <v>141</v>
      </c>
      <c r="C132" s="1" t="s">
        <v>312</v>
      </c>
      <c r="D132">
        <v>192</v>
      </c>
      <c r="E132">
        <v>3978</v>
      </c>
      <c r="F132">
        <v>201</v>
      </c>
      <c r="G132">
        <v>619</v>
      </c>
      <c r="H132">
        <v>11</v>
      </c>
      <c r="I132">
        <v>24</v>
      </c>
      <c r="J132">
        <v>22</v>
      </c>
      <c r="K132" s="66">
        <f t="shared" si="33"/>
        <v>5.7291666666666664E-2</v>
      </c>
      <c r="L132" s="66">
        <f t="shared" si="34"/>
        <v>6.0331825037707393E-3</v>
      </c>
      <c r="M132" s="66">
        <f t="shared" si="35"/>
        <v>0.10945273631840796</v>
      </c>
      <c r="N132" s="66"/>
      <c r="O132" s="48">
        <v>823290</v>
      </c>
      <c r="P132" s="47">
        <v>13.621063786972012</v>
      </c>
      <c r="Q132" s="2">
        <f t="shared" si="36"/>
        <v>1.615145508755498</v>
      </c>
      <c r="R132" s="47"/>
      <c r="S132" s="1" t="s">
        <v>141</v>
      </c>
      <c r="T132" s="1" t="s">
        <v>312</v>
      </c>
      <c r="U132" s="2">
        <f t="shared" si="37"/>
        <v>0.19097222222222221</v>
      </c>
      <c r="V132" s="2">
        <f t="shared" si="38"/>
        <v>0.20110608345902464</v>
      </c>
      <c r="W132" s="2">
        <f t="shared" si="39"/>
        <v>0.53838183625183267</v>
      </c>
      <c r="X132" s="2">
        <f>IF(COUNT(U132:W132),mmean(U132:W132),NA())</f>
        <v>0.31015338064435988</v>
      </c>
      <c r="AB132" s="66">
        <v>0.10945273631840796</v>
      </c>
      <c r="AC132" s="2">
        <v>1.615145508755498</v>
      </c>
    </row>
    <row r="133" spans="2:29">
      <c r="B133" s="1" t="s">
        <v>1</v>
      </c>
      <c r="C133" s="1" t="s">
        <v>313</v>
      </c>
      <c r="D133" t="e">
        <v>#N/A</v>
      </c>
      <c r="E133" t="e">
        <v>#N/A</v>
      </c>
      <c r="F133" t="e">
        <v>#N/A</v>
      </c>
      <c r="G133" t="e">
        <v>#N/A</v>
      </c>
      <c r="H133">
        <v>1</v>
      </c>
      <c r="I133">
        <v>0</v>
      </c>
      <c r="J133">
        <v>2</v>
      </c>
      <c r="K133" s="66" t="e">
        <f t="shared" si="33"/>
        <v>#N/A</v>
      </c>
      <c r="L133" s="66" t="e">
        <f t="shared" si="34"/>
        <v>#N/A</v>
      </c>
      <c r="M133" s="66" t="e">
        <f t="shared" si="35"/>
        <v>#N/A</v>
      </c>
      <c r="N133" s="66"/>
      <c r="O133" s="48">
        <v>21</v>
      </c>
      <c r="P133" s="47">
        <v>3.044522437723423</v>
      </c>
      <c r="Q133" s="2">
        <f t="shared" si="36"/>
        <v>0.65691747750610219</v>
      </c>
      <c r="R133" s="47"/>
      <c r="S133" s="1" t="s">
        <v>1</v>
      </c>
      <c r="T133" s="1" t="s">
        <v>313</v>
      </c>
      <c r="U133" s="2" t="e">
        <f t="shared" si="37"/>
        <v>#N/A</v>
      </c>
      <c r="V133" s="2" t="e">
        <f t="shared" si="38"/>
        <v>#N/A</v>
      </c>
      <c r="W133" s="2">
        <f t="shared" si="39"/>
        <v>0.21897249250203407</v>
      </c>
      <c r="X133" s="2" t="e">
        <f>MIN(1,(N133-X$9)/(X$10-X$9))</f>
        <v>#DIV/0!</v>
      </c>
      <c r="AB133" s="66" t="e">
        <v>#N/A</v>
      </c>
      <c r="AC133" s="2">
        <v>0.65691747750610219</v>
      </c>
    </row>
    <row r="134" spans="2:29">
      <c r="B134" s="1" t="s">
        <v>183</v>
      </c>
      <c r="C134" s="1" t="s">
        <v>314</v>
      </c>
      <c r="D134">
        <v>203</v>
      </c>
      <c r="E134">
        <v>5160</v>
      </c>
      <c r="F134">
        <v>274</v>
      </c>
      <c r="G134">
        <v>864</v>
      </c>
      <c r="H134">
        <v>32</v>
      </c>
      <c r="I134">
        <v>7</v>
      </c>
      <c r="J134">
        <v>32</v>
      </c>
      <c r="K134" s="66">
        <f t="shared" si="33"/>
        <v>0.15763546798029557</v>
      </c>
      <c r="L134" s="66">
        <f t="shared" si="34"/>
        <v>1.3565891472868217E-3</v>
      </c>
      <c r="M134" s="66">
        <f t="shared" si="35"/>
        <v>0.11678832116788321</v>
      </c>
      <c r="N134" s="66"/>
      <c r="O134" s="48">
        <v>143350</v>
      </c>
      <c r="P134" s="47">
        <v>11.873044471311516</v>
      </c>
      <c r="Q134" s="2">
        <f t="shared" si="36"/>
        <v>2.6951806739476676</v>
      </c>
      <c r="R134" s="47"/>
      <c r="S134" s="1" t="s">
        <v>183</v>
      </c>
      <c r="T134" s="1" t="s">
        <v>314</v>
      </c>
      <c r="U134" s="2">
        <f t="shared" si="37"/>
        <v>0.52545155993431858</v>
      </c>
      <c r="V134" s="2">
        <f t="shared" si="38"/>
        <v>4.5219638242894059E-2</v>
      </c>
      <c r="W134" s="2">
        <f t="shared" si="39"/>
        <v>0.89839355798255582</v>
      </c>
      <c r="X134" s="2">
        <f>IF(COUNT(U134:W134),mmean(U134:W134),NA())</f>
        <v>0.48968825205325617</v>
      </c>
      <c r="AB134" s="66">
        <v>0.11678832116788321</v>
      </c>
      <c r="AC134" s="2">
        <v>2.6951806739476676</v>
      </c>
    </row>
    <row r="135" spans="2:29">
      <c r="B135" s="1" t="s">
        <v>28</v>
      </c>
      <c r="C135" s="1" t="s">
        <v>315</v>
      </c>
      <c r="D135">
        <v>95</v>
      </c>
      <c r="E135">
        <v>1170</v>
      </c>
      <c r="F135">
        <v>192</v>
      </c>
      <c r="G135" t="e">
        <v>#N/A</v>
      </c>
      <c r="H135">
        <v>4</v>
      </c>
      <c r="I135">
        <v>0</v>
      </c>
      <c r="J135">
        <v>2</v>
      </c>
      <c r="K135" s="66">
        <f t="shared" si="33"/>
        <v>4.2105263157894736E-2</v>
      </c>
      <c r="L135" s="66">
        <f t="shared" si="34"/>
        <v>0</v>
      </c>
      <c r="M135" s="66">
        <f t="shared" si="35"/>
        <v>1.0416666666666666E-2</v>
      </c>
      <c r="N135" s="66"/>
      <c r="O135" s="48">
        <v>33760</v>
      </c>
      <c r="P135" s="47">
        <v>10.427031948709894</v>
      </c>
      <c r="Q135" s="2">
        <f t="shared" si="36"/>
        <v>0.19180913704282399</v>
      </c>
      <c r="R135" s="47"/>
      <c r="S135" s="1" t="s">
        <v>28</v>
      </c>
      <c r="T135" s="1" t="s">
        <v>315</v>
      </c>
      <c r="U135" s="2">
        <f t="shared" si="37"/>
        <v>0.14035087719298245</v>
      </c>
      <c r="V135" s="2">
        <f t="shared" si="38"/>
        <v>0</v>
      </c>
      <c r="W135" s="2">
        <f t="shared" si="39"/>
        <v>6.3936379014274666E-2</v>
      </c>
      <c r="X135" s="2">
        <f t="shared" ref="X135:X162" si="41">mmean(U135:W135)</f>
        <v>6.8095752069085705E-2</v>
      </c>
      <c r="AB135" s="66">
        <v>1.0416666666666666E-2</v>
      </c>
      <c r="AC135" s="2">
        <v>0.19180913704282399</v>
      </c>
    </row>
    <row r="136" spans="2:29">
      <c r="B136" s="1" t="s">
        <v>19</v>
      </c>
      <c r="C136" s="1" t="s">
        <v>316</v>
      </c>
      <c r="D136">
        <v>73</v>
      </c>
      <c r="E136">
        <v>2160</v>
      </c>
      <c r="F136">
        <v>190</v>
      </c>
      <c r="G136" t="e">
        <v>#N/A</v>
      </c>
      <c r="H136">
        <v>9</v>
      </c>
      <c r="I136">
        <v>21</v>
      </c>
      <c r="J136">
        <v>69</v>
      </c>
      <c r="K136" s="66">
        <f t="shared" si="33"/>
        <v>0.12328767123287671</v>
      </c>
      <c r="L136" s="66">
        <f t="shared" si="34"/>
        <v>9.7222222222222224E-3</v>
      </c>
      <c r="M136" s="66">
        <f t="shared" si="35"/>
        <v>0.36315789473684212</v>
      </c>
      <c r="N136" s="66"/>
      <c r="O136" s="48">
        <v>267710</v>
      </c>
      <c r="P136" s="47">
        <v>12.497659584059166</v>
      </c>
      <c r="Q136" s="2">
        <f t="shared" si="36"/>
        <v>5.5210337212264831</v>
      </c>
      <c r="R136" s="47"/>
      <c r="S136" s="1" t="s">
        <v>19</v>
      </c>
      <c r="T136" s="1" t="s">
        <v>316</v>
      </c>
      <c r="U136" s="2">
        <f t="shared" si="37"/>
        <v>0.41095890410958902</v>
      </c>
      <c r="V136" s="2">
        <f t="shared" si="38"/>
        <v>0.32407407407407407</v>
      </c>
      <c r="W136" s="2">
        <f t="shared" si="39"/>
        <v>1</v>
      </c>
      <c r="X136" s="2">
        <f t="shared" si="41"/>
        <v>0.57834432606122099</v>
      </c>
      <c r="AB136" s="66">
        <v>0.36315789473684212</v>
      </c>
      <c r="AC136" s="2">
        <v>5.5210337212264831</v>
      </c>
    </row>
    <row r="137" spans="2:29">
      <c r="B137" s="1" t="s">
        <v>93</v>
      </c>
      <c r="C137" s="1" t="s">
        <v>317</v>
      </c>
      <c r="D137">
        <v>181</v>
      </c>
      <c r="E137">
        <v>7000</v>
      </c>
      <c r="F137">
        <v>215</v>
      </c>
      <c r="G137">
        <v>632</v>
      </c>
      <c r="H137">
        <v>5</v>
      </c>
      <c r="I137">
        <v>39</v>
      </c>
      <c r="J137">
        <v>10</v>
      </c>
      <c r="K137" s="66">
        <f t="shared" si="33"/>
        <v>2.7624309392265192E-2</v>
      </c>
      <c r="L137" s="66">
        <f t="shared" si="34"/>
        <v>5.5714285714285718E-3</v>
      </c>
      <c r="M137" s="66">
        <f t="shared" si="35"/>
        <v>4.6511627906976744E-2</v>
      </c>
      <c r="N137" s="66"/>
      <c r="O137" s="48">
        <v>119990</v>
      </c>
      <c r="P137" s="47">
        <v>11.695163684958434</v>
      </c>
      <c r="Q137" s="2">
        <f t="shared" si="36"/>
        <v>0.8550543001686548</v>
      </c>
      <c r="R137" s="47"/>
      <c r="S137" s="1" t="s">
        <v>93</v>
      </c>
      <c r="T137" s="1" t="s">
        <v>317</v>
      </c>
      <c r="U137" s="2">
        <f t="shared" si="37"/>
        <v>9.2081031307550645E-2</v>
      </c>
      <c r="V137" s="2">
        <f t="shared" si="38"/>
        <v>0.18571428571428572</v>
      </c>
      <c r="W137" s="2">
        <f t="shared" si="39"/>
        <v>0.28501810005621825</v>
      </c>
      <c r="X137" s="2">
        <f t="shared" si="41"/>
        <v>0.18760447235935152</v>
      </c>
      <c r="AB137" s="66">
        <v>4.6511627906976744E-2</v>
      </c>
      <c r="AC137" s="2">
        <v>0.8550543001686548</v>
      </c>
    </row>
    <row r="138" spans="2:29">
      <c r="B138" s="1" t="s">
        <v>185</v>
      </c>
      <c r="C138" s="1" t="s">
        <v>318</v>
      </c>
      <c r="D138">
        <v>123</v>
      </c>
      <c r="E138">
        <v>1170</v>
      </c>
      <c r="F138">
        <v>125</v>
      </c>
      <c r="G138" t="e">
        <v>#N/A</v>
      </c>
      <c r="H138">
        <v>11</v>
      </c>
      <c r="I138">
        <v>2</v>
      </c>
      <c r="J138">
        <v>5</v>
      </c>
      <c r="K138" s="66">
        <f t="shared" si="33"/>
        <v>8.943089430894309E-2</v>
      </c>
      <c r="L138" s="66">
        <f t="shared" si="34"/>
        <v>1.7094017094017094E-3</v>
      </c>
      <c r="M138" s="66">
        <f t="shared" si="35"/>
        <v>0.04</v>
      </c>
      <c r="N138" s="66"/>
      <c r="O138" s="48">
        <v>1266700</v>
      </c>
      <c r="P138" s="47">
        <v>14.051925651471723</v>
      </c>
      <c r="Q138" s="2">
        <f t="shared" si="36"/>
        <v>0.35582311805615957</v>
      </c>
      <c r="R138" s="47"/>
      <c r="S138" s="1" t="s">
        <v>185</v>
      </c>
      <c r="T138" s="1" t="s">
        <v>318</v>
      </c>
      <c r="U138" s="2">
        <f t="shared" si="37"/>
        <v>0.29810298102981031</v>
      </c>
      <c r="V138" s="2">
        <f t="shared" si="38"/>
        <v>5.6980056980056981E-2</v>
      </c>
      <c r="W138" s="2">
        <f t="shared" si="39"/>
        <v>0.11860770601871985</v>
      </c>
      <c r="X138" s="2">
        <f t="shared" si="41"/>
        <v>0.15789691467619571</v>
      </c>
      <c r="AB138" s="66">
        <v>0.04</v>
      </c>
      <c r="AC138" s="2">
        <v>0.35582311805615957</v>
      </c>
    </row>
    <row r="139" spans="2:29">
      <c r="B139" s="1" t="s">
        <v>118</v>
      </c>
      <c r="C139" s="1" t="s">
        <v>319</v>
      </c>
      <c r="D139">
        <v>290</v>
      </c>
      <c r="E139">
        <v>4614</v>
      </c>
      <c r="F139">
        <v>286</v>
      </c>
      <c r="G139">
        <v>899</v>
      </c>
      <c r="H139">
        <v>27</v>
      </c>
      <c r="I139">
        <v>171</v>
      </c>
      <c r="J139">
        <v>12</v>
      </c>
      <c r="K139" s="66">
        <f t="shared" si="33"/>
        <v>9.3103448275862075E-2</v>
      </c>
      <c r="L139" s="66">
        <f t="shared" si="34"/>
        <v>3.7061118335500652E-2</v>
      </c>
      <c r="M139" s="66">
        <f t="shared" si="35"/>
        <v>4.195804195804196E-2</v>
      </c>
      <c r="N139" s="66"/>
      <c r="O139" s="48">
        <v>910770</v>
      </c>
      <c r="P139" s="47">
        <v>13.722045674552835</v>
      </c>
      <c r="Q139" s="2">
        <f t="shared" si="36"/>
        <v>0.87450517835352193</v>
      </c>
      <c r="R139" s="47"/>
      <c r="S139" s="1" t="s">
        <v>118</v>
      </c>
      <c r="T139" s="1" t="s">
        <v>319</v>
      </c>
      <c r="U139" s="2">
        <f t="shared" si="37"/>
        <v>0.31034482758620691</v>
      </c>
      <c r="V139" s="2">
        <f t="shared" si="38"/>
        <v>1</v>
      </c>
      <c r="W139" s="2">
        <f t="shared" si="39"/>
        <v>0.29150172611784064</v>
      </c>
      <c r="X139" s="2">
        <f t="shared" si="41"/>
        <v>0.5339488512346825</v>
      </c>
      <c r="AB139" s="66">
        <v>4.195804195804196E-2</v>
      </c>
      <c r="AC139" s="2">
        <v>0.87450517835352193</v>
      </c>
    </row>
    <row r="140" spans="2:29">
      <c r="B140" s="1" t="s">
        <v>38</v>
      </c>
      <c r="C140" s="1" t="s">
        <v>320</v>
      </c>
      <c r="D140">
        <v>83</v>
      </c>
      <c r="E140">
        <v>1650</v>
      </c>
      <c r="F140">
        <v>241</v>
      </c>
      <c r="G140" t="e">
        <v>#N/A</v>
      </c>
      <c r="H140">
        <v>7</v>
      </c>
      <c r="I140">
        <v>2</v>
      </c>
      <c r="J140">
        <v>2</v>
      </c>
      <c r="K140" s="66">
        <f t="shared" ref="K140:K171" si="42">H140/D140</f>
        <v>8.4337349397590355E-2</v>
      </c>
      <c r="L140" s="66">
        <f t="shared" ref="L140:L171" si="43">I140/E140</f>
        <v>1.2121212121212121E-3</v>
      </c>
      <c r="M140" s="66">
        <f t="shared" ref="M140:M171" si="44">J140/F140</f>
        <v>8.2987551867219917E-3</v>
      </c>
      <c r="N140" s="66"/>
      <c r="O140" s="48">
        <v>304280</v>
      </c>
      <c r="P140" s="47">
        <v>12.625703609111238</v>
      </c>
      <c r="Q140" s="2">
        <f t="shared" ref="Q140:Q171" si="45">J140/P140</f>
        <v>0.15840701333719859</v>
      </c>
      <c r="R140" s="47"/>
      <c r="S140" s="1" t="s">
        <v>38</v>
      </c>
      <c r="T140" s="1" t="s">
        <v>320</v>
      </c>
      <c r="U140" s="2">
        <f t="shared" ref="U140:U171" si="46">MIN(1,(K140-U$9)/(U$10-U$9))</f>
        <v>0.28112449799196787</v>
      </c>
      <c r="V140" s="2">
        <f t="shared" ref="V140:V171" si="47">MIN(1,(L140-V$9)/(V$10-V$9))</f>
        <v>4.0404040404040407E-2</v>
      </c>
      <c r="W140" s="2">
        <f t="shared" ref="W140:W171" si="48">MIN(1,(Q140-W$9)/(W$10-W$9))</f>
        <v>5.2802337779066198E-2</v>
      </c>
      <c r="X140" s="2">
        <f t="shared" si="41"/>
        <v>0.12477695872502481</v>
      </c>
      <c r="AB140" s="66">
        <v>8.2987551867219917E-3</v>
      </c>
      <c r="AC140" s="2">
        <v>0.15840701333719859</v>
      </c>
    </row>
    <row r="141" spans="2:29">
      <c r="B141" s="1" t="s">
        <v>52</v>
      </c>
      <c r="C141" s="1" t="s">
        <v>321</v>
      </c>
      <c r="D141">
        <v>74</v>
      </c>
      <c r="E141">
        <v>1182</v>
      </c>
      <c r="F141">
        <v>109</v>
      </c>
      <c r="G141" t="e">
        <v>#N/A</v>
      </c>
      <c r="H141">
        <v>9</v>
      </c>
      <c r="I141">
        <v>6</v>
      </c>
      <c r="J141">
        <v>9</v>
      </c>
      <c r="K141" s="66">
        <f t="shared" si="42"/>
        <v>0.12162162162162163</v>
      </c>
      <c r="L141" s="66">
        <f t="shared" si="43"/>
        <v>5.076142131979695E-3</v>
      </c>
      <c r="M141" s="66">
        <f t="shared" si="44"/>
        <v>8.2568807339449546E-2</v>
      </c>
      <c r="N141" s="66"/>
      <c r="O141" s="48">
        <v>309500</v>
      </c>
      <c r="P141" s="47">
        <v>12.642713371106789</v>
      </c>
      <c r="Q141" s="2">
        <f t="shared" si="45"/>
        <v>0.71187250203490993</v>
      </c>
      <c r="R141" s="47"/>
      <c r="S141" s="1" t="s">
        <v>52</v>
      </c>
      <c r="T141" s="1" t="s">
        <v>321</v>
      </c>
      <c r="U141" s="2">
        <f t="shared" si="46"/>
        <v>0.40540540540540543</v>
      </c>
      <c r="V141" s="2">
        <f t="shared" si="47"/>
        <v>0.16920473773265651</v>
      </c>
      <c r="W141" s="2">
        <f t="shared" si="48"/>
        <v>0.23729083401163664</v>
      </c>
      <c r="X141" s="2">
        <f t="shared" si="41"/>
        <v>0.2706336590498995</v>
      </c>
      <c r="AB141" s="66">
        <v>8.2568807339449546E-2</v>
      </c>
      <c r="AC141" s="2">
        <v>0.71187250203490993</v>
      </c>
    </row>
    <row r="142" spans="2:29">
      <c r="B142" s="1" t="s">
        <v>143</v>
      </c>
      <c r="C142" s="1" t="s">
        <v>322</v>
      </c>
      <c r="D142">
        <v>195</v>
      </c>
      <c r="E142">
        <v>4929</v>
      </c>
      <c r="F142">
        <v>237</v>
      </c>
      <c r="G142">
        <v>625</v>
      </c>
      <c r="H142">
        <v>23</v>
      </c>
      <c r="I142">
        <v>2</v>
      </c>
      <c r="J142">
        <v>25</v>
      </c>
      <c r="K142" s="66">
        <f t="shared" si="42"/>
        <v>0.11794871794871795</v>
      </c>
      <c r="L142" s="66">
        <f t="shared" si="43"/>
        <v>4.0576181781294381E-4</v>
      </c>
      <c r="M142" s="66">
        <f t="shared" si="44"/>
        <v>0.10548523206751055</v>
      </c>
      <c r="N142" s="66"/>
      <c r="O142" s="48">
        <v>770880</v>
      </c>
      <c r="P142" s="47">
        <v>13.555287998408643</v>
      </c>
      <c r="Q142" s="2">
        <f t="shared" si="45"/>
        <v>1.8442986975219515</v>
      </c>
      <c r="R142" s="47"/>
      <c r="S142" s="1" t="s">
        <v>143</v>
      </c>
      <c r="T142" s="1" t="s">
        <v>322</v>
      </c>
      <c r="U142" s="2">
        <f t="shared" si="46"/>
        <v>0.39316239316239315</v>
      </c>
      <c r="V142" s="2">
        <f t="shared" si="47"/>
        <v>1.3525393927098128E-2</v>
      </c>
      <c r="W142" s="2">
        <f t="shared" si="48"/>
        <v>0.61476623250731721</v>
      </c>
      <c r="X142" s="2">
        <f t="shared" si="41"/>
        <v>0.34048467319893616</v>
      </c>
      <c r="AB142" s="66">
        <v>0.10548523206751055</v>
      </c>
      <c r="AC142" s="2">
        <v>1.8442986975219515</v>
      </c>
    </row>
    <row r="143" spans="2:29">
      <c r="B143" s="1" t="s">
        <v>30</v>
      </c>
      <c r="C143" s="1" t="s">
        <v>323</v>
      </c>
      <c r="D143">
        <v>8</v>
      </c>
      <c r="E143" t="e">
        <v>#N/A</v>
      </c>
      <c r="F143" t="e">
        <v>#N/A</v>
      </c>
      <c r="G143" t="e">
        <v>#N/A</v>
      </c>
      <c r="H143">
        <v>4</v>
      </c>
      <c r="I143">
        <v>4</v>
      </c>
      <c r="J143">
        <v>2</v>
      </c>
      <c r="K143" s="66">
        <f t="shared" si="42"/>
        <v>0.5</v>
      </c>
      <c r="L143" s="66" t="e">
        <f t="shared" si="43"/>
        <v>#N/A</v>
      </c>
      <c r="M143" s="66" t="e">
        <f t="shared" si="44"/>
        <v>#N/A</v>
      </c>
      <c r="N143" s="66"/>
      <c r="O143" s="48">
        <v>460</v>
      </c>
      <c r="P143" s="47">
        <v>6.131226489483141</v>
      </c>
      <c r="Q143" s="2">
        <f t="shared" si="45"/>
        <v>0.32619900821321623</v>
      </c>
      <c r="R143" s="47"/>
      <c r="S143" s="1" t="s">
        <v>30</v>
      </c>
      <c r="T143" s="1" t="s">
        <v>323</v>
      </c>
      <c r="U143" s="2">
        <f t="shared" si="46"/>
        <v>1</v>
      </c>
      <c r="V143" s="2" t="e">
        <f t="shared" si="47"/>
        <v>#N/A</v>
      </c>
      <c r="W143" s="2">
        <f t="shared" si="48"/>
        <v>0.10873300273773874</v>
      </c>
      <c r="X143" s="65">
        <f t="shared" si="41"/>
        <v>0.55436650136886934</v>
      </c>
      <c r="AB143" s="66" t="e">
        <v>#N/A</v>
      </c>
      <c r="AC143" s="2">
        <v>0.32619900821321623</v>
      </c>
    </row>
    <row r="144" spans="2:29">
      <c r="B144" s="1" t="s">
        <v>49</v>
      </c>
      <c r="C144" s="1" t="s">
        <v>324</v>
      </c>
      <c r="D144">
        <v>241</v>
      </c>
      <c r="E144">
        <v>9000</v>
      </c>
      <c r="F144">
        <v>302</v>
      </c>
      <c r="G144">
        <v>904</v>
      </c>
      <c r="H144">
        <v>14</v>
      </c>
      <c r="I144">
        <v>194</v>
      </c>
      <c r="J144">
        <v>18</v>
      </c>
      <c r="K144" s="66">
        <f t="shared" si="42"/>
        <v>5.8091286307053944E-2</v>
      </c>
      <c r="L144" s="66">
        <f t="shared" si="43"/>
        <v>2.1555555555555557E-2</v>
      </c>
      <c r="M144" s="66">
        <f t="shared" si="44"/>
        <v>5.9602649006622516E-2</v>
      </c>
      <c r="N144" s="66"/>
      <c r="O144" s="48">
        <v>74340</v>
      </c>
      <c r="P144" s="47">
        <v>11.216404443851243</v>
      </c>
      <c r="Q144" s="2">
        <f t="shared" si="45"/>
        <v>1.6047923458989997</v>
      </c>
      <c r="R144" s="47"/>
      <c r="S144" s="1" t="s">
        <v>49</v>
      </c>
      <c r="T144" s="1" t="s">
        <v>324</v>
      </c>
      <c r="U144" s="2">
        <f t="shared" si="46"/>
        <v>0.19363762102351315</v>
      </c>
      <c r="V144" s="2">
        <f t="shared" si="47"/>
        <v>0.71851851851851856</v>
      </c>
      <c r="W144" s="2">
        <f t="shared" si="48"/>
        <v>0.53493078196633326</v>
      </c>
      <c r="X144" s="2">
        <f t="shared" si="41"/>
        <v>0.48236230716945494</v>
      </c>
      <c r="AB144" s="66">
        <v>5.9602649006622516E-2</v>
      </c>
      <c r="AC144" s="2">
        <v>1.6047923458989997</v>
      </c>
    </row>
    <row r="145" spans="2:29">
      <c r="B145" s="1" t="s">
        <v>190</v>
      </c>
      <c r="C145" s="1" t="s">
        <v>325</v>
      </c>
      <c r="D145">
        <v>260</v>
      </c>
      <c r="E145">
        <v>10000</v>
      </c>
      <c r="F145">
        <v>414</v>
      </c>
      <c r="G145">
        <v>720</v>
      </c>
      <c r="H145">
        <v>41</v>
      </c>
      <c r="I145">
        <v>142</v>
      </c>
      <c r="J145">
        <v>35</v>
      </c>
      <c r="K145" s="66">
        <f t="shared" si="42"/>
        <v>0.15769230769230769</v>
      </c>
      <c r="L145" s="66">
        <f t="shared" si="43"/>
        <v>1.4200000000000001E-2</v>
      </c>
      <c r="M145" s="66">
        <f t="shared" si="44"/>
        <v>8.4541062801932368E-2</v>
      </c>
      <c r="N145" s="66"/>
      <c r="O145" s="48">
        <v>452860</v>
      </c>
      <c r="P145" s="47">
        <v>13.023338305926513</v>
      </c>
      <c r="Q145" s="2">
        <f t="shared" si="45"/>
        <v>2.6874829769316979</v>
      </c>
      <c r="R145" s="47"/>
      <c r="S145" s="1" t="s">
        <v>190</v>
      </c>
      <c r="T145" s="1" t="s">
        <v>325</v>
      </c>
      <c r="U145" s="2">
        <f t="shared" si="46"/>
        <v>0.52564102564102566</v>
      </c>
      <c r="V145" s="2">
        <f t="shared" si="47"/>
        <v>0.47333333333333338</v>
      </c>
      <c r="W145" s="2">
        <f t="shared" si="48"/>
        <v>0.8958276589772326</v>
      </c>
      <c r="X145" s="2">
        <f t="shared" si="41"/>
        <v>0.63160067265053055</v>
      </c>
      <c r="AB145" s="66">
        <v>8.4541062801932368E-2</v>
      </c>
      <c r="AC145" s="2">
        <v>2.6874829769316979</v>
      </c>
    </row>
    <row r="146" spans="2:29">
      <c r="B146" s="1" t="s">
        <v>86</v>
      </c>
      <c r="C146" s="1" t="s">
        <v>326</v>
      </c>
      <c r="D146">
        <v>168</v>
      </c>
      <c r="E146">
        <v>7500</v>
      </c>
      <c r="F146">
        <v>233</v>
      </c>
      <c r="G146">
        <v>696</v>
      </c>
      <c r="H146">
        <v>7</v>
      </c>
      <c r="I146">
        <v>10</v>
      </c>
      <c r="J146">
        <v>27</v>
      </c>
      <c r="K146" s="66">
        <f t="shared" si="42"/>
        <v>4.1666666666666664E-2</v>
      </c>
      <c r="L146" s="66">
        <f t="shared" si="43"/>
        <v>1.3333333333333333E-3</v>
      </c>
      <c r="M146" s="66">
        <f t="shared" si="44"/>
        <v>0.11587982832618025</v>
      </c>
      <c r="N146" s="66"/>
      <c r="O146" s="48">
        <v>397300</v>
      </c>
      <c r="P146" s="47">
        <v>12.892446941802691</v>
      </c>
      <c r="Q146" s="2">
        <f t="shared" si="45"/>
        <v>2.0942494564359802</v>
      </c>
      <c r="R146" s="47"/>
      <c r="S146" s="1" t="s">
        <v>86</v>
      </c>
      <c r="T146" s="1" t="s">
        <v>326</v>
      </c>
      <c r="U146" s="2">
        <f t="shared" si="46"/>
        <v>0.1388888888888889</v>
      </c>
      <c r="V146" s="2">
        <f t="shared" si="47"/>
        <v>4.4444444444444446E-2</v>
      </c>
      <c r="W146" s="2">
        <f t="shared" si="48"/>
        <v>0.69808315214532668</v>
      </c>
      <c r="X146" s="2">
        <f t="shared" si="41"/>
        <v>0.29380549515955334</v>
      </c>
      <c r="AB146" s="66">
        <v>0.11587982832618025</v>
      </c>
      <c r="AC146" s="2">
        <v>2.0942494564359802</v>
      </c>
    </row>
    <row r="147" spans="2:29">
      <c r="B147" s="1" t="s">
        <v>37</v>
      </c>
      <c r="C147" s="1" t="s">
        <v>327</v>
      </c>
      <c r="D147">
        <v>441</v>
      </c>
      <c r="E147">
        <v>17121</v>
      </c>
      <c r="F147">
        <v>695</v>
      </c>
      <c r="G147">
        <v>1781</v>
      </c>
      <c r="H147">
        <v>53</v>
      </c>
      <c r="I147">
        <v>276</v>
      </c>
      <c r="J147">
        <v>94</v>
      </c>
      <c r="K147" s="66">
        <f t="shared" si="42"/>
        <v>0.12018140589569161</v>
      </c>
      <c r="L147" s="66">
        <f t="shared" si="43"/>
        <v>1.6120553705975118E-2</v>
      </c>
      <c r="M147" s="66">
        <f t="shared" si="44"/>
        <v>0.13525179856115108</v>
      </c>
      <c r="N147" s="66"/>
      <c r="O147" s="48">
        <v>1280000</v>
      </c>
      <c r="P147" s="47">
        <v>14.0623706358958</v>
      </c>
      <c r="Q147" s="2">
        <f t="shared" si="45"/>
        <v>6.6845059367198241</v>
      </c>
      <c r="R147" s="47"/>
      <c r="S147" s="1" t="s">
        <v>37</v>
      </c>
      <c r="T147" s="1" t="s">
        <v>327</v>
      </c>
      <c r="U147" s="2">
        <f t="shared" si="46"/>
        <v>0.40060468631897206</v>
      </c>
      <c r="V147" s="2">
        <f t="shared" si="47"/>
        <v>0.53735179019917056</v>
      </c>
      <c r="W147" s="2">
        <f t="shared" si="48"/>
        <v>1</v>
      </c>
      <c r="X147" s="2">
        <f t="shared" si="41"/>
        <v>0.64598549217271417</v>
      </c>
      <c r="AB147" s="66">
        <v>0.13525179856115108</v>
      </c>
      <c r="AC147" s="2">
        <v>6.6845059367198241</v>
      </c>
    </row>
    <row r="148" spans="2:29">
      <c r="B148" s="1" t="s">
        <v>73</v>
      </c>
      <c r="C148" s="1" t="s">
        <v>328</v>
      </c>
      <c r="D148">
        <v>222</v>
      </c>
      <c r="E148">
        <v>8000</v>
      </c>
      <c r="F148">
        <v>404</v>
      </c>
      <c r="G148" t="e">
        <v>#N/A</v>
      </c>
      <c r="H148">
        <v>39</v>
      </c>
      <c r="I148">
        <v>217</v>
      </c>
      <c r="J148">
        <v>67</v>
      </c>
      <c r="K148" s="66">
        <f t="shared" si="42"/>
        <v>0.17567567567567569</v>
      </c>
      <c r="L148" s="66">
        <f t="shared" si="43"/>
        <v>2.7125E-2</v>
      </c>
      <c r="M148" s="66">
        <f t="shared" si="44"/>
        <v>0.16584158415841585</v>
      </c>
      <c r="N148" s="66"/>
      <c r="O148" s="48">
        <v>298170</v>
      </c>
      <c r="P148" s="47">
        <v>12.605419072630161</v>
      </c>
      <c r="Q148" s="2">
        <f t="shared" si="45"/>
        <v>5.3151743400166254</v>
      </c>
      <c r="R148" s="47"/>
      <c r="S148" s="1" t="s">
        <v>73</v>
      </c>
      <c r="T148" s="1" t="s">
        <v>328</v>
      </c>
      <c r="U148" s="2">
        <f t="shared" si="46"/>
        <v>0.5855855855855856</v>
      </c>
      <c r="V148" s="2">
        <f t="shared" si="47"/>
        <v>0.90416666666666667</v>
      </c>
      <c r="W148" s="2">
        <f t="shared" si="48"/>
        <v>1</v>
      </c>
      <c r="X148" s="2">
        <f t="shared" si="41"/>
        <v>0.82991741741741742</v>
      </c>
      <c r="AB148" s="66">
        <v>0.16584158415841585</v>
      </c>
      <c r="AC148" s="2">
        <v>5.3151743400166254</v>
      </c>
    </row>
    <row r="149" spans="2:29">
      <c r="B149" s="1" t="s">
        <v>81</v>
      </c>
      <c r="C149" s="1" t="s">
        <v>329</v>
      </c>
      <c r="D149">
        <v>110</v>
      </c>
      <c r="E149">
        <v>2300</v>
      </c>
      <c r="F149">
        <v>233</v>
      </c>
      <c r="G149" t="e">
        <v>#N/A</v>
      </c>
      <c r="H149">
        <v>5</v>
      </c>
      <c r="I149">
        <v>4</v>
      </c>
      <c r="J149">
        <v>6</v>
      </c>
      <c r="K149" s="66">
        <f t="shared" si="42"/>
        <v>4.5454545454545456E-2</v>
      </c>
      <c r="L149" s="66">
        <f t="shared" si="43"/>
        <v>1.7391304347826088E-3</v>
      </c>
      <c r="M149" s="66">
        <f t="shared" si="44"/>
        <v>2.575107296137339E-2</v>
      </c>
      <c r="N149" s="66"/>
      <c r="O149" s="48">
        <v>304250</v>
      </c>
      <c r="P149" s="47">
        <v>12.625605010849773</v>
      </c>
      <c r="Q149" s="2">
        <f t="shared" si="45"/>
        <v>0.47522475119757979</v>
      </c>
      <c r="R149" s="47"/>
      <c r="S149" s="1" t="s">
        <v>81</v>
      </c>
      <c r="T149" s="1" t="s">
        <v>329</v>
      </c>
      <c r="U149" s="2">
        <f t="shared" si="46"/>
        <v>0.15151515151515152</v>
      </c>
      <c r="V149" s="2">
        <f t="shared" si="47"/>
        <v>5.7971014492753631E-2</v>
      </c>
      <c r="W149" s="2">
        <f t="shared" si="48"/>
        <v>0.15840825039919326</v>
      </c>
      <c r="X149" s="2">
        <f t="shared" si="41"/>
        <v>0.12263147213569947</v>
      </c>
      <c r="AB149" s="66">
        <v>2.575107296137339E-2</v>
      </c>
      <c r="AC149" s="2">
        <v>0.47522475119757979</v>
      </c>
    </row>
    <row r="150" spans="2:29">
      <c r="B150" s="1" t="s">
        <v>91</v>
      </c>
      <c r="C150" s="1" t="s">
        <v>330</v>
      </c>
      <c r="D150">
        <v>105</v>
      </c>
      <c r="E150">
        <v>2500</v>
      </c>
      <c r="F150">
        <v>235</v>
      </c>
      <c r="G150" t="e">
        <v>#N/A</v>
      </c>
      <c r="H150">
        <v>11</v>
      </c>
      <c r="I150">
        <v>16</v>
      </c>
      <c r="J150">
        <v>8</v>
      </c>
      <c r="K150" s="66">
        <f t="shared" si="42"/>
        <v>0.10476190476190476</v>
      </c>
      <c r="L150" s="66">
        <f t="shared" si="43"/>
        <v>6.4000000000000003E-3</v>
      </c>
      <c r="M150" s="66">
        <f t="shared" si="44"/>
        <v>3.4042553191489362E-2</v>
      </c>
      <c r="N150" s="66"/>
      <c r="O150" s="48">
        <v>91500</v>
      </c>
      <c r="P150" s="47">
        <v>11.424094251263613</v>
      </c>
      <c r="Q150" s="2">
        <f t="shared" si="45"/>
        <v>0.70027433458150301</v>
      </c>
      <c r="R150" s="47"/>
      <c r="S150" s="1" t="s">
        <v>91</v>
      </c>
      <c r="T150" s="1" t="s">
        <v>330</v>
      </c>
      <c r="U150" s="2">
        <f t="shared" si="46"/>
        <v>0.34920634920634924</v>
      </c>
      <c r="V150" s="2">
        <f t="shared" si="47"/>
        <v>0.21333333333333335</v>
      </c>
      <c r="W150" s="2">
        <f t="shared" si="48"/>
        <v>0.23342477819383434</v>
      </c>
      <c r="X150" s="2">
        <f t="shared" si="41"/>
        <v>0.2653214869111723</v>
      </c>
      <c r="AB150" s="66">
        <v>3.4042553191489362E-2</v>
      </c>
      <c r="AC150" s="2">
        <v>0.70027433458150301</v>
      </c>
    </row>
    <row r="151" spans="2:29">
      <c r="B151" s="1" t="s">
        <v>5</v>
      </c>
      <c r="C151" s="1" t="s">
        <v>331</v>
      </c>
      <c r="D151">
        <v>8</v>
      </c>
      <c r="E151">
        <v>220</v>
      </c>
      <c r="F151" t="e">
        <v>#N/A</v>
      </c>
      <c r="G151" t="e">
        <v>#N/A</v>
      </c>
      <c r="H151">
        <v>2</v>
      </c>
      <c r="I151">
        <v>0</v>
      </c>
      <c r="J151">
        <v>4</v>
      </c>
      <c r="K151" s="66">
        <f t="shared" si="42"/>
        <v>0.25</v>
      </c>
      <c r="L151" s="66">
        <f t="shared" si="43"/>
        <v>0</v>
      </c>
      <c r="M151" s="66" t="e">
        <f t="shared" si="44"/>
        <v>#N/A</v>
      </c>
      <c r="N151" s="66"/>
      <c r="O151" s="48">
        <v>11590</v>
      </c>
      <c r="P151" s="47">
        <v>9.3578979363337975</v>
      </c>
      <c r="Q151" s="2">
        <f t="shared" si="45"/>
        <v>0.42744642303366531</v>
      </c>
      <c r="R151" s="47"/>
      <c r="S151" s="1" t="s">
        <v>5</v>
      </c>
      <c r="T151" s="1" t="s">
        <v>331</v>
      </c>
      <c r="U151" s="2">
        <f t="shared" si="46"/>
        <v>0.83333333333333337</v>
      </c>
      <c r="V151" s="2">
        <f t="shared" si="47"/>
        <v>0</v>
      </c>
      <c r="W151" s="2">
        <f t="shared" si="48"/>
        <v>0.14248214101122178</v>
      </c>
      <c r="X151" s="2">
        <f t="shared" si="41"/>
        <v>0.32527182478151839</v>
      </c>
      <c r="AB151" s="66" t="e">
        <v>#N/A</v>
      </c>
      <c r="AC151" s="2">
        <v>0.42744642303366531</v>
      </c>
    </row>
    <row r="152" spans="2:29">
      <c r="B152" s="1" t="s">
        <v>103</v>
      </c>
      <c r="C152" s="1" t="s">
        <v>332</v>
      </c>
      <c r="D152">
        <v>101</v>
      </c>
      <c r="E152">
        <v>3175</v>
      </c>
      <c r="F152">
        <v>257</v>
      </c>
      <c r="G152" t="e">
        <v>#N/A</v>
      </c>
      <c r="H152">
        <v>7</v>
      </c>
      <c r="I152">
        <v>1</v>
      </c>
      <c r="J152">
        <v>12</v>
      </c>
      <c r="K152" s="66">
        <f t="shared" si="42"/>
        <v>6.9306930693069313E-2</v>
      </c>
      <c r="L152" s="66">
        <f t="shared" si="43"/>
        <v>3.1496062992125983E-4</v>
      </c>
      <c r="M152" s="66">
        <f t="shared" si="44"/>
        <v>4.6692607003891051E-2</v>
      </c>
      <c r="N152" s="66"/>
      <c r="O152" s="48">
        <v>238391</v>
      </c>
      <c r="P152" s="47">
        <v>12.381667461782866</v>
      </c>
      <c r="Q152" s="2">
        <f t="shared" si="45"/>
        <v>0.96917479305909993</v>
      </c>
      <c r="R152" s="47"/>
      <c r="S152" s="1" t="s">
        <v>103</v>
      </c>
      <c r="T152" s="1" t="s">
        <v>332</v>
      </c>
      <c r="U152" s="2">
        <f t="shared" si="46"/>
        <v>0.23102310231023104</v>
      </c>
      <c r="V152" s="2">
        <f t="shared" si="47"/>
        <v>1.0498687664041995E-2</v>
      </c>
      <c r="W152" s="2">
        <f t="shared" si="48"/>
        <v>0.32305826435303331</v>
      </c>
      <c r="X152" s="2">
        <f t="shared" si="41"/>
        <v>0.18819335144243543</v>
      </c>
      <c r="AB152" s="66">
        <v>4.6692607003891051E-2</v>
      </c>
      <c r="AC152" s="2">
        <v>0.96917479305909993</v>
      </c>
    </row>
    <row r="153" spans="2:29">
      <c r="B153" s="1" t="s">
        <v>48</v>
      </c>
      <c r="C153" s="1" t="s">
        <v>333</v>
      </c>
      <c r="D153">
        <v>296</v>
      </c>
      <c r="E153" t="e">
        <v>#N/A</v>
      </c>
      <c r="F153">
        <v>528</v>
      </c>
      <c r="G153">
        <v>645</v>
      </c>
      <c r="H153">
        <v>33</v>
      </c>
      <c r="I153">
        <v>7</v>
      </c>
      <c r="J153">
        <v>8</v>
      </c>
      <c r="K153" s="66">
        <f t="shared" si="42"/>
        <v>0.11148648648648649</v>
      </c>
      <c r="L153" s="66" t="e">
        <f t="shared" si="43"/>
        <v>#N/A</v>
      </c>
      <c r="M153" s="66">
        <f t="shared" si="44"/>
        <v>1.5151515151515152E-2</v>
      </c>
      <c r="N153" s="66"/>
      <c r="O153" s="48">
        <v>16377740</v>
      </c>
      <c r="P153" s="47">
        <v>16.611433653732057</v>
      </c>
      <c r="Q153" s="2">
        <f t="shared" si="45"/>
        <v>0.48159599988545576</v>
      </c>
      <c r="R153" s="47"/>
      <c r="S153" s="1" t="s">
        <v>48</v>
      </c>
      <c r="T153" s="1" t="s">
        <v>333</v>
      </c>
      <c r="U153" s="2">
        <f t="shared" si="46"/>
        <v>0.37162162162162166</v>
      </c>
      <c r="V153" s="2" t="e">
        <f t="shared" si="47"/>
        <v>#N/A</v>
      </c>
      <c r="W153" s="2">
        <f t="shared" si="48"/>
        <v>0.16053199996181858</v>
      </c>
      <c r="X153" s="2">
        <f t="shared" si="41"/>
        <v>0.26607681079172013</v>
      </c>
      <c r="AB153" s="66">
        <v>1.5151515151515152E-2</v>
      </c>
      <c r="AC153" s="2">
        <v>0.48159599988545576</v>
      </c>
    </row>
    <row r="154" spans="2:29">
      <c r="B154" s="1" t="s">
        <v>182</v>
      </c>
      <c r="C154" s="1" t="s">
        <v>334</v>
      </c>
      <c r="D154">
        <v>206</v>
      </c>
      <c r="E154">
        <v>2288</v>
      </c>
      <c r="F154">
        <v>200</v>
      </c>
      <c r="G154">
        <v>665</v>
      </c>
      <c r="H154">
        <v>19</v>
      </c>
      <c r="I154">
        <v>3</v>
      </c>
      <c r="J154">
        <v>11</v>
      </c>
      <c r="K154" s="66">
        <f t="shared" si="42"/>
        <v>9.2233009708737865E-2</v>
      </c>
      <c r="L154" s="66">
        <f t="shared" si="43"/>
        <v>1.3111888111888112E-3</v>
      </c>
      <c r="M154" s="66">
        <f t="shared" si="44"/>
        <v>5.5E-2</v>
      </c>
      <c r="N154" s="66"/>
      <c r="O154" s="48">
        <v>24670</v>
      </c>
      <c r="P154" s="47">
        <v>10.113343209523402</v>
      </c>
      <c r="Q154" s="2">
        <f t="shared" si="45"/>
        <v>1.0876719767249334</v>
      </c>
      <c r="R154" s="47"/>
      <c r="S154" s="1" t="s">
        <v>182</v>
      </c>
      <c r="T154" s="1" t="s">
        <v>334</v>
      </c>
      <c r="U154" s="2">
        <f t="shared" si="46"/>
        <v>0.30744336569579289</v>
      </c>
      <c r="V154" s="2">
        <f t="shared" si="47"/>
        <v>4.3706293706293711E-2</v>
      </c>
      <c r="W154" s="2">
        <f t="shared" si="48"/>
        <v>0.36255732557497783</v>
      </c>
      <c r="X154" s="2">
        <f t="shared" si="41"/>
        <v>0.23790232832568814</v>
      </c>
      <c r="AB154" s="66">
        <v>5.5E-2</v>
      </c>
      <c r="AC154" s="2">
        <v>1.0876719767249334</v>
      </c>
    </row>
    <row r="155" spans="2:29">
      <c r="B155" s="1" t="s">
        <v>151</v>
      </c>
      <c r="C155" s="1" t="s">
        <v>335</v>
      </c>
      <c r="D155">
        <v>7</v>
      </c>
      <c r="E155" t="e">
        <v>#N/A</v>
      </c>
      <c r="F155" t="e">
        <v>#N/A</v>
      </c>
      <c r="G155" t="e">
        <v>#N/A</v>
      </c>
      <c r="H155">
        <v>2</v>
      </c>
      <c r="I155">
        <v>2</v>
      </c>
      <c r="J155">
        <v>1</v>
      </c>
      <c r="K155" s="66">
        <f t="shared" si="42"/>
        <v>0.2857142857142857</v>
      </c>
      <c r="L155" s="66" t="e">
        <f t="shared" si="43"/>
        <v>#N/A</v>
      </c>
      <c r="M155" s="66" t="e">
        <f t="shared" si="44"/>
        <v>#N/A</v>
      </c>
      <c r="N155" s="66"/>
      <c r="O155" s="48">
        <v>260</v>
      </c>
      <c r="P155" s="47">
        <v>5.5606816310155276</v>
      </c>
      <c r="Q155" s="2">
        <f t="shared" si="45"/>
        <v>0.17983406825924927</v>
      </c>
      <c r="R155" s="47"/>
      <c r="S155" s="1" t="s">
        <v>151</v>
      </c>
      <c r="T155" s="1" t="s">
        <v>335</v>
      </c>
      <c r="U155" s="2">
        <f t="shared" si="46"/>
        <v>0.95238095238095233</v>
      </c>
      <c r="V155" s="2" t="e">
        <f t="shared" si="47"/>
        <v>#N/A</v>
      </c>
      <c r="W155" s="2">
        <f t="shared" si="48"/>
        <v>5.9944689419749758E-2</v>
      </c>
      <c r="X155" s="2">
        <f t="shared" si="41"/>
        <v>0.50616282090035103</v>
      </c>
      <c r="AB155" s="66" t="e">
        <v>#N/A</v>
      </c>
      <c r="AC155" s="2">
        <v>0.17983406825924927</v>
      </c>
    </row>
    <row r="156" spans="2:29">
      <c r="B156" s="1" t="s">
        <v>161</v>
      </c>
      <c r="C156" s="1" t="s">
        <v>336</v>
      </c>
      <c r="D156">
        <v>13</v>
      </c>
      <c r="E156">
        <v>909</v>
      </c>
      <c r="F156" t="e">
        <v>#N/A</v>
      </c>
      <c r="G156" t="e">
        <v>#N/A</v>
      </c>
      <c r="H156">
        <v>2</v>
      </c>
      <c r="I156">
        <v>6</v>
      </c>
      <c r="J156">
        <v>5</v>
      </c>
      <c r="K156" s="66">
        <f t="shared" si="42"/>
        <v>0.15384615384615385</v>
      </c>
      <c r="L156" s="66">
        <f t="shared" si="43"/>
        <v>6.6006600660066007E-3</v>
      </c>
      <c r="M156" s="66" t="e">
        <f t="shared" si="44"/>
        <v>#N/A</v>
      </c>
      <c r="N156" s="66"/>
      <c r="O156" s="48">
        <v>610</v>
      </c>
      <c r="P156" s="47">
        <v>6.4134589571673573</v>
      </c>
      <c r="Q156" s="2">
        <f t="shared" si="45"/>
        <v>0.77961050868069448</v>
      </c>
      <c r="R156" s="47"/>
      <c r="S156" s="1" t="s">
        <v>161</v>
      </c>
      <c r="T156" s="1" t="s">
        <v>336</v>
      </c>
      <c r="U156" s="2">
        <f t="shared" si="46"/>
        <v>0.51282051282051289</v>
      </c>
      <c r="V156" s="2">
        <f t="shared" si="47"/>
        <v>0.22002200220022003</v>
      </c>
      <c r="W156" s="2">
        <f t="shared" si="48"/>
        <v>0.25987016956023151</v>
      </c>
      <c r="X156" s="2">
        <f t="shared" si="41"/>
        <v>0.33090422819365478</v>
      </c>
      <c r="AB156" s="66" t="e">
        <v>#N/A</v>
      </c>
      <c r="AC156" s="2">
        <v>0.77961050868069448</v>
      </c>
    </row>
    <row r="157" spans="2:29">
      <c r="B157" s="1" t="s">
        <v>120</v>
      </c>
      <c r="C157" s="1" t="s">
        <v>337</v>
      </c>
      <c r="D157">
        <v>32</v>
      </c>
      <c r="E157">
        <v>1000</v>
      </c>
      <c r="F157" t="e">
        <v>#N/A</v>
      </c>
      <c r="G157" t="e">
        <v>#N/A</v>
      </c>
      <c r="H157">
        <v>2</v>
      </c>
      <c r="I157">
        <v>4</v>
      </c>
      <c r="J157">
        <v>2</v>
      </c>
      <c r="K157" s="66">
        <f t="shared" si="42"/>
        <v>6.25E-2</v>
      </c>
      <c r="L157" s="66">
        <f t="shared" si="43"/>
        <v>4.0000000000000001E-3</v>
      </c>
      <c r="M157" s="66" t="e">
        <f t="shared" si="44"/>
        <v>#N/A</v>
      </c>
      <c r="N157" s="66"/>
      <c r="O157" s="48">
        <v>390</v>
      </c>
      <c r="P157" s="47">
        <v>5.9661467391236922</v>
      </c>
      <c r="Q157" s="2">
        <f t="shared" si="45"/>
        <v>0.33522474177256995</v>
      </c>
      <c r="R157" s="47"/>
      <c r="S157" s="1" t="s">
        <v>120</v>
      </c>
      <c r="T157" s="1" t="s">
        <v>337</v>
      </c>
      <c r="U157" s="2">
        <f t="shared" si="46"/>
        <v>0.20833333333333334</v>
      </c>
      <c r="V157" s="2">
        <f t="shared" si="47"/>
        <v>0.13333333333333333</v>
      </c>
      <c r="W157" s="2">
        <f t="shared" si="48"/>
        <v>0.11174158059085665</v>
      </c>
      <c r="X157" s="2">
        <f t="shared" si="41"/>
        <v>0.15113608241917445</v>
      </c>
      <c r="AB157" s="66" t="e">
        <v>#N/A</v>
      </c>
      <c r="AC157" s="2">
        <v>0.33522474177256995</v>
      </c>
    </row>
    <row r="158" spans="2:29">
      <c r="B158" s="1" t="s">
        <v>174</v>
      </c>
      <c r="C158" s="1" t="s">
        <v>338</v>
      </c>
      <c r="D158">
        <v>6</v>
      </c>
      <c r="E158" t="e">
        <v>#N/A</v>
      </c>
      <c r="F158" s="54">
        <v>60</v>
      </c>
      <c r="G158" t="e">
        <v>#N/A</v>
      </c>
      <c r="H158">
        <v>2</v>
      </c>
      <c r="I158">
        <v>2</v>
      </c>
      <c r="J158">
        <v>7</v>
      </c>
      <c r="K158" s="66">
        <f t="shared" si="42"/>
        <v>0.33333333333333331</v>
      </c>
      <c r="L158" s="66" t="e">
        <f t="shared" si="43"/>
        <v>#N/A</v>
      </c>
      <c r="M158" s="66">
        <f t="shared" si="44"/>
        <v>0.11666666666666667</v>
      </c>
      <c r="N158" s="66"/>
      <c r="O158" s="48">
        <v>2830</v>
      </c>
      <c r="P158" s="47">
        <v>7.9480319906372836</v>
      </c>
      <c r="Q158" s="2">
        <f t="shared" si="45"/>
        <v>0.8807211657232813</v>
      </c>
      <c r="R158" s="47"/>
      <c r="S158" s="1" t="s">
        <v>174</v>
      </c>
      <c r="T158" s="1" t="s">
        <v>338</v>
      </c>
      <c r="U158" s="2">
        <f t="shared" si="46"/>
        <v>1</v>
      </c>
      <c r="V158" s="2" t="e">
        <f t="shared" si="47"/>
        <v>#N/A</v>
      </c>
      <c r="W158" s="2">
        <f t="shared" si="48"/>
        <v>0.29357372190776043</v>
      </c>
      <c r="X158" s="65">
        <f t="shared" si="41"/>
        <v>0.64678686095388027</v>
      </c>
      <c r="AB158" s="66">
        <v>0.11666666666666667</v>
      </c>
      <c r="AC158" s="2">
        <v>0.8807211657232813</v>
      </c>
    </row>
    <row r="159" spans="2:29">
      <c r="B159" s="1" t="s">
        <v>7</v>
      </c>
      <c r="C159" s="1" t="s">
        <v>339</v>
      </c>
      <c r="D159">
        <v>3</v>
      </c>
      <c r="E159" t="e">
        <v>#N/A</v>
      </c>
      <c r="F159" t="e">
        <v>#N/A</v>
      </c>
      <c r="G159" t="e">
        <v>#N/A</v>
      </c>
      <c r="H159">
        <v>0</v>
      </c>
      <c r="I159">
        <v>0</v>
      </c>
      <c r="J159">
        <v>0</v>
      </c>
      <c r="K159" s="66">
        <f t="shared" si="42"/>
        <v>0</v>
      </c>
      <c r="L159" s="66" t="e">
        <f t="shared" si="43"/>
        <v>#N/A</v>
      </c>
      <c r="M159" s="66" t="e">
        <f t="shared" si="44"/>
        <v>#N/A</v>
      </c>
      <c r="N159" s="66"/>
      <c r="O159" s="48">
        <v>60</v>
      </c>
      <c r="P159" s="47">
        <v>4.0943445622221004</v>
      </c>
      <c r="Q159" s="2">
        <f t="shared" si="45"/>
        <v>0</v>
      </c>
      <c r="R159" s="47"/>
      <c r="S159" s="1" t="s">
        <v>7</v>
      </c>
      <c r="T159" s="1" t="s">
        <v>339</v>
      </c>
      <c r="U159" s="2">
        <f t="shared" si="46"/>
        <v>0</v>
      </c>
      <c r="V159" s="2" t="e">
        <f t="shared" si="47"/>
        <v>#N/A</v>
      </c>
      <c r="W159" s="2">
        <f t="shared" si="48"/>
        <v>0</v>
      </c>
      <c r="X159" s="65">
        <f t="shared" si="41"/>
        <v>0</v>
      </c>
      <c r="AB159" s="66" t="e">
        <v>#N/A</v>
      </c>
      <c r="AC159" s="2">
        <v>0</v>
      </c>
    </row>
    <row r="160" spans="2:29">
      <c r="B160" s="1" t="s">
        <v>80</v>
      </c>
      <c r="C160" s="1" t="s">
        <v>340</v>
      </c>
      <c r="D160">
        <v>14</v>
      </c>
      <c r="E160">
        <v>744</v>
      </c>
      <c r="F160" t="e">
        <v>#N/A</v>
      </c>
      <c r="G160" t="e">
        <v>#N/A</v>
      </c>
      <c r="H160">
        <v>5</v>
      </c>
      <c r="I160">
        <v>35</v>
      </c>
      <c r="J160">
        <v>10</v>
      </c>
      <c r="K160" s="66">
        <f t="shared" si="42"/>
        <v>0.35714285714285715</v>
      </c>
      <c r="L160" s="66">
        <f t="shared" si="43"/>
        <v>4.7043010752688172E-2</v>
      </c>
      <c r="M160" s="66" t="e">
        <f t="shared" si="44"/>
        <v>#N/A</v>
      </c>
      <c r="N160" s="66"/>
      <c r="O160" s="48">
        <v>960</v>
      </c>
      <c r="P160" s="47">
        <v>6.866933284461882</v>
      </c>
      <c r="Q160" s="2">
        <f t="shared" si="45"/>
        <v>1.4562541364174091</v>
      </c>
      <c r="R160" s="47"/>
      <c r="S160" s="1" t="s">
        <v>80</v>
      </c>
      <c r="T160" s="1" t="s">
        <v>340</v>
      </c>
      <c r="U160" s="2">
        <f t="shared" si="46"/>
        <v>1</v>
      </c>
      <c r="V160" s="2">
        <f t="shared" si="47"/>
        <v>1</v>
      </c>
      <c r="W160" s="2">
        <f t="shared" si="48"/>
        <v>0.48541804547246969</v>
      </c>
      <c r="X160" s="2">
        <f t="shared" si="41"/>
        <v>0.82847268182415645</v>
      </c>
      <c r="AB160" s="66" t="e">
        <v>#N/A</v>
      </c>
      <c r="AC160" s="2">
        <v>1.4562541364174091</v>
      </c>
    </row>
    <row r="161" spans="2:29">
      <c r="B161" s="1" t="s">
        <v>27</v>
      </c>
      <c r="C161" s="1" t="s">
        <v>341</v>
      </c>
      <c r="D161">
        <v>94</v>
      </c>
      <c r="E161">
        <v>1729</v>
      </c>
      <c r="F161">
        <v>125</v>
      </c>
      <c r="G161" t="e">
        <v>#N/A</v>
      </c>
      <c r="H161">
        <v>9</v>
      </c>
      <c r="I161">
        <v>3</v>
      </c>
      <c r="J161">
        <v>14</v>
      </c>
      <c r="K161" s="66">
        <f t="shared" si="42"/>
        <v>9.5744680851063829E-2</v>
      </c>
      <c r="L161" s="66">
        <f t="shared" si="43"/>
        <v>1.735106998264893E-3</v>
      </c>
      <c r="M161" s="66">
        <f t="shared" si="44"/>
        <v>0.112</v>
      </c>
      <c r="N161" s="66"/>
      <c r="O161" s="48">
        <v>2000000</v>
      </c>
      <c r="P161" s="47">
        <v>14.508657738524219</v>
      </c>
      <c r="Q161" s="2">
        <f t="shared" si="45"/>
        <v>0.96494108912821053</v>
      </c>
      <c r="R161" s="47"/>
      <c r="S161" s="1" t="s">
        <v>27</v>
      </c>
      <c r="T161" s="1" t="s">
        <v>341</v>
      </c>
      <c r="U161" s="2">
        <f t="shared" si="46"/>
        <v>0.31914893617021278</v>
      </c>
      <c r="V161" s="2">
        <f t="shared" si="47"/>
        <v>5.7836899942163102E-2</v>
      </c>
      <c r="W161" s="2">
        <f t="shared" si="48"/>
        <v>0.32164702970940351</v>
      </c>
      <c r="X161" s="2">
        <f t="shared" si="41"/>
        <v>0.23287762194059314</v>
      </c>
      <c r="AB161" s="66">
        <v>0.112</v>
      </c>
      <c r="AC161" s="2">
        <v>0.96494108912821053</v>
      </c>
    </row>
    <row r="162" spans="2:29">
      <c r="B162" s="1" t="s">
        <v>128</v>
      </c>
      <c r="C162" s="1" t="s">
        <v>342</v>
      </c>
      <c r="D162">
        <v>191</v>
      </c>
      <c r="E162">
        <v>2062</v>
      </c>
      <c r="F162">
        <v>175</v>
      </c>
      <c r="G162">
        <v>612</v>
      </c>
      <c r="H162">
        <v>15</v>
      </c>
      <c r="I162">
        <v>7</v>
      </c>
      <c r="J162">
        <v>8</v>
      </c>
      <c r="K162" s="66">
        <f t="shared" si="42"/>
        <v>7.8534031413612565E-2</v>
      </c>
      <c r="L162" s="66">
        <f t="shared" si="43"/>
        <v>3.3947623666343357E-3</v>
      </c>
      <c r="M162" s="66">
        <f t="shared" si="44"/>
        <v>4.5714285714285714E-2</v>
      </c>
      <c r="N162" s="66"/>
      <c r="O162" s="48">
        <v>192530</v>
      </c>
      <c r="P162" s="47">
        <v>12.16800726472338</v>
      </c>
      <c r="Q162" s="2">
        <f t="shared" si="45"/>
        <v>0.65746180339594551</v>
      </c>
      <c r="R162" s="47"/>
      <c r="S162" s="1" t="s">
        <v>128</v>
      </c>
      <c r="T162" s="1" t="s">
        <v>342</v>
      </c>
      <c r="U162" s="2">
        <f t="shared" si="46"/>
        <v>0.26178010471204188</v>
      </c>
      <c r="V162" s="2">
        <f t="shared" si="47"/>
        <v>0.11315874555447786</v>
      </c>
      <c r="W162" s="2">
        <f t="shared" si="48"/>
        <v>0.21915393446531517</v>
      </c>
      <c r="X162" s="2">
        <f t="shared" si="41"/>
        <v>0.19803092824394497</v>
      </c>
      <c r="AB162" s="66">
        <v>4.5714285714285714E-2</v>
      </c>
      <c r="AC162" s="2">
        <v>0.65746180339594551</v>
      </c>
    </row>
    <row r="163" spans="2:29">
      <c r="B163" s="1" t="s">
        <v>106</v>
      </c>
      <c r="C163" s="1" t="s">
        <v>343</v>
      </c>
      <c r="D163" t="e">
        <v>#N/A</v>
      </c>
      <c r="E163" t="e">
        <v>#N/A</v>
      </c>
      <c r="F163" t="e">
        <v>#N/A</v>
      </c>
      <c r="G163" t="e">
        <v>#N/A</v>
      </c>
      <c r="H163">
        <v>6</v>
      </c>
      <c r="I163">
        <v>1</v>
      </c>
      <c r="J163">
        <v>11</v>
      </c>
      <c r="K163" s="66" t="e">
        <f t="shared" si="42"/>
        <v>#N/A</v>
      </c>
      <c r="L163" s="66" t="e">
        <f t="shared" si="43"/>
        <v>#N/A</v>
      </c>
      <c r="M163" s="66" t="e">
        <f t="shared" si="44"/>
        <v>#N/A</v>
      </c>
      <c r="N163" s="66"/>
      <c r="O163" s="48">
        <v>88360</v>
      </c>
      <c r="P163" s="47">
        <v>11.389174657534053</v>
      </c>
      <c r="Q163" s="2">
        <f t="shared" si="45"/>
        <v>0.96582942405957317</v>
      </c>
      <c r="R163" s="47"/>
      <c r="S163" s="1" t="s">
        <v>106</v>
      </c>
      <c r="T163" s="1" t="s">
        <v>343</v>
      </c>
      <c r="U163" s="2" t="e">
        <f t="shared" si="46"/>
        <v>#N/A</v>
      </c>
      <c r="V163" s="2" t="e">
        <f t="shared" si="47"/>
        <v>#N/A</v>
      </c>
      <c r="W163" s="2">
        <f t="shared" si="48"/>
        <v>0.32194314135319108</v>
      </c>
      <c r="X163" s="2" t="e">
        <f>NA()</f>
        <v>#N/A</v>
      </c>
      <c r="AB163" s="66" t="e">
        <v>#N/A</v>
      </c>
      <c r="AC163" s="2">
        <v>0.96582942405957317</v>
      </c>
    </row>
    <row r="164" spans="2:29">
      <c r="B164" s="1" t="s">
        <v>102</v>
      </c>
      <c r="C164" s="1" t="s">
        <v>344</v>
      </c>
      <c r="D164">
        <v>25</v>
      </c>
      <c r="E164">
        <v>1139</v>
      </c>
      <c r="F164" t="e">
        <v>#N/A</v>
      </c>
      <c r="G164" t="e">
        <v>#N/A</v>
      </c>
      <c r="H164">
        <v>5</v>
      </c>
      <c r="I164">
        <v>45</v>
      </c>
      <c r="J164">
        <v>10</v>
      </c>
      <c r="K164" s="66">
        <f t="shared" si="42"/>
        <v>0.2</v>
      </c>
      <c r="L164" s="66">
        <f t="shared" si="43"/>
        <v>3.9508340649692712E-2</v>
      </c>
      <c r="M164" s="66" t="e">
        <f t="shared" si="44"/>
        <v>#N/A</v>
      </c>
      <c r="N164" s="66"/>
      <c r="O164" s="48">
        <v>460</v>
      </c>
      <c r="P164" s="47">
        <v>6.131226489483141</v>
      </c>
      <c r="Q164" s="2">
        <f t="shared" si="45"/>
        <v>1.6309950410660812</v>
      </c>
      <c r="R164" s="47"/>
      <c r="S164" s="1" t="s">
        <v>102</v>
      </c>
      <c r="T164" s="1" t="s">
        <v>344</v>
      </c>
      <c r="U164" s="2">
        <f t="shared" si="46"/>
        <v>0.66666666666666674</v>
      </c>
      <c r="V164" s="2">
        <f t="shared" si="47"/>
        <v>1</v>
      </c>
      <c r="W164" s="2">
        <f t="shared" si="48"/>
        <v>0.54366501368869369</v>
      </c>
      <c r="X164" s="2">
        <f t="shared" ref="X164:X182" si="49">mmean(U164:W164)</f>
        <v>0.73677722678512014</v>
      </c>
      <c r="AB164" s="66" t="e">
        <v>#N/A</v>
      </c>
      <c r="AC164" s="2">
        <v>1.6309950410660812</v>
      </c>
    </row>
    <row r="165" spans="2:29">
      <c r="B165" s="1" t="s">
        <v>136</v>
      </c>
      <c r="C165" s="1" t="s">
        <v>345</v>
      </c>
      <c r="D165">
        <v>197</v>
      </c>
      <c r="E165">
        <v>2090</v>
      </c>
      <c r="F165">
        <v>172</v>
      </c>
      <c r="G165">
        <v>626</v>
      </c>
      <c r="H165">
        <v>16</v>
      </c>
      <c r="I165">
        <v>47</v>
      </c>
      <c r="J165">
        <v>10</v>
      </c>
      <c r="K165" s="66">
        <f t="shared" si="42"/>
        <v>8.1218274111675121E-2</v>
      </c>
      <c r="L165" s="66">
        <f t="shared" si="43"/>
        <v>2.2488038277511963E-2</v>
      </c>
      <c r="M165" s="66">
        <f t="shared" si="44"/>
        <v>5.8139534883720929E-2</v>
      </c>
      <c r="N165" s="66"/>
      <c r="O165" s="48">
        <v>71620</v>
      </c>
      <c r="P165" s="47">
        <v>11.179129643552423</v>
      </c>
      <c r="Q165" s="2">
        <f t="shared" si="45"/>
        <v>0.89452402099724393</v>
      </c>
      <c r="R165" s="47"/>
      <c r="S165" s="1" t="s">
        <v>136</v>
      </c>
      <c r="T165" s="1" t="s">
        <v>345</v>
      </c>
      <c r="U165" s="2">
        <f t="shared" si="46"/>
        <v>0.27072758037225042</v>
      </c>
      <c r="V165" s="2">
        <f t="shared" si="47"/>
        <v>0.74960127591706549</v>
      </c>
      <c r="W165" s="2">
        <f t="shared" si="48"/>
        <v>0.29817467366574796</v>
      </c>
      <c r="X165" s="2">
        <f t="shared" si="49"/>
        <v>0.43950117665168803</v>
      </c>
      <c r="AB165" s="66">
        <v>5.8139534883720929E-2</v>
      </c>
      <c r="AC165" s="2">
        <v>0.89452402099724393</v>
      </c>
    </row>
    <row r="166" spans="2:29">
      <c r="B166" s="1" t="s">
        <v>0</v>
      </c>
      <c r="C166" s="1" t="s">
        <v>346</v>
      </c>
      <c r="D166">
        <v>73</v>
      </c>
      <c r="E166">
        <v>2000</v>
      </c>
      <c r="F166">
        <v>142</v>
      </c>
      <c r="G166" t="e">
        <v>#N/A</v>
      </c>
      <c r="H166">
        <v>12</v>
      </c>
      <c r="I166">
        <v>54</v>
      </c>
      <c r="J166">
        <v>14</v>
      </c>
      <c r="K166" s="66">
        <f t="shared" si="42"/>
        <v>0.16438356164383561</v>
      </c>
      <c r="L166" s="66">
        <f t="shared" si="43"/>
        <v>2.7E-2</v>
      </c>
      <c r="M166" s="66">
        <f t="shared" si="44"/>
        <v>9.8591549295774641E-2</v>
      </c>
      <c r="N166" s="66"/>
      <c r="O166" s="48">
        <v>697</v>
      </c>
      <c r="P166" s="47">
        <v>6.5467854107605241</v>
      </c>
      <c r="Q166" s="2">
        <f t="shared" si="45"/>
        <v>2.1384540841966673</v>
      </c>
      <c r="R166" s="47"/>
      <c r="S166" s="1" t="s">
        <v>0</v>
      </c>
      <c r="T166" s="1" t="s">
        <v>346</v>
      </c>
      <c r="U166" s="2">
        <f t="shared" si="46"/>
        <v>0.54794520547945202</v>
      </c>
      <c r="V166" s="2">
        <f t="shared" si="47"/>
        <v>0.9</v>
      </c>
      <c r="W166" s="2">
        <f t="shared" si="48"/>
        <v>0.71281802806555572</v>
      </c>
      <c r="X166" s="2">
        <f t="shared" si="49"/>
        <v>0.72025441118166922</v>
      </c>
      <c r="AB166" s="66">
        <v>9.8591549295774641E-2</v>
      </c>
      <c r="AC166" s="2">
        <v>2.1384540841966673</v>
      </c>
    </row>
    <row r="167" spans="2:29">
      <c r="B167" s="1" t="s">
        <v>99</v>
      </c>
      <c r="C167" s="1" t="s">
        <v>347</v>
      </c>
      <c r="D167">
        <v>87</v>
      </c>
      <c r="E167" t="e">
        <v>#N/A</v>
      </c>
      <c r="F167">
        <v>199</v>
      </c>
      <c r="G167" t="e">
        <v>#N/A</v>
      </c>
      <c r="H167">
        <v>3</v>
      </c>
      <c r="I167">
        <v>2</v>
      </c>
      <c r="J167">
        <v>7</v>
      </c>
      <c r="K167" s="66">
        <f t="shared" si="42"/>
        <v>3.4482758620689655E-2</v>
      </c>
      <c r="L167" s="66" t="e">
        <f t="shared" si="43"/>
        <v>#N/A</v>
      </c>
      <c r="M167" s="66">
        <f t="shared" si="44"/>
        <v>3.5175879396984924E-2</v>
      </c>
      <c r="N167" s="66"/>
      <c r="O167" s="48">
        <v>48100</v>
      </c>
      <c r="P167" s="47">
        <v>10.781037456093852</v>
      </c>
      <c r="Q167" s="2">
        <f t="shared" si="45"/>
        <v>0.64928816252682009</v>
      </c>
      <c r="R167" s="47"/>
      <c r="S167" s="1" t="s">
        <v>99</v>
      </c>
      <c r="T167" s="1" t="s">
        <v>347</v>
      </c>
      <c r="U167" s="2">
        <f t="shared" si="46"/>
        <v>0.11494252873563218</v>
      </c>
      <c r="V167" s="2" t="e">
        <f t="shared" si="47"/>
        <v>#N/A</v>
      </c>
      <c r="W167" s="2">
        <f t="shared" si="48"/>
        <v>0.21642938750894003</v>
      </c>
      <c r="X167" s="2">
        <f t="shared" si="49"/>
        <v>0.16568595812228609</v>
      </c>
      <c r="AB167" s="66">
        <v>3.5175879396984924E-2</v>
      </c>
      <c r="AC167" s="2">
        <v>0.64928816252682009</v>
      </c>
    </row>
    <row r="168" spans="2:29">
      <c r="B168" s="1" t="s">
        <v>117</v>
      </c>
      <c r="C168" s="1" t="s">
        <v>348</v>
      </c>
      <c r="D168">
        <v>87</v>
      </c>
      <c r="E168" t="e">
        <v>#N/A</v>
      </c>
      <c r="F168">
        <v>201</v>
      </c>
      <c r="G168" t="e">
        <v>#N/A</v>
      </c>
      <c r="H168">
        <v>4</v>
      </c>
      <c r="I168">
        <v>0</v>
      </c>
      <c r="J168">
        <v>4</v>
      </c>
      <c r="K168" s="66">
        <f t="shared" si="42"/>
        <v>4.5977011494252873E-2</v>
      </c>
      <c r="L168" s="66" t="e">
        <f t="shared" si="43"/>
        <v>#N/A</v>
      </c>
      <c r="M168" s="66">
        <f t="shared" si="44"/>
        <v>1.9900497512437811E-2</v>
      </c>
      <c r="N168" s="66"/>
      <c r="O168" s="48">
        <v>20140</v>
      </c>
      <c r="P168" s="47">
        <v>9.9104631662725531</v>
      </c>
      <c r="Q168" s="2">
        <f t="shared" si="45"/>
        <v>0.40361383044264409</v>
      </c>
      <c r="R168" s="47"/>
      <c r="S168" s="1" t="s">
        <v>117</v>
      </c>
      <c r="T168" s="1" t="s">
        <v>348</v>
      </c>
      <c r="U168" s="2">
        <f t="shared" si="46"/>
        <v>0.15325670498084293</v>
      </c>
      <c r="V168" s="2" t="e">
        <f t="shared" si="47"/>
        <v>#N/A</v>
      </c>
      <c r="W168" s="2">
        <f t="shared" si="48"/>
        <v>0.13453794348088136</v>
      </c>
      <c r="X168" s="2">
        <f t="shared" si="49"/>
        <v>0.14389732423086216</v>
      </c>
      <c r="AB168" s="66">
        <v>1.9900497512437811E-2</v>
      </c>
      <c r="AC168" s="2">
        <v>0.40361383044264409</v>
      </c>
    </row>
    <row r="169" spans="2:29">
      <c r="B169" s="1" t="s">
        <v>181</v>
      </c>
      <c r="C169" s="1" t="s">
        <v>349</v>
      </c>
      <c r="D169">
        <v>72</v>
      </c>
      <c r="E169">
        <v>2780</v>
      </c>
      <c r="F169">
        <v>111</v>
      </c>
      <c r="G169" t="e">
        <v>#N/A</v>
      </c>
      <c r="H169">
        <v>20</v>
      </c>
      <c r="I169">
        <v>16</v>
      </c>
      <c r="J169">
        <v>20</v>
      </c>
      <c r="K169" s="66">
        <f t="shared" si="42"/>
        <v>0.27777777777777779</v>
      </c>
      <c r="L169" s="66">
        <f t="shared" si="43"/>
        <v>5.7553956834532375E-3</v>
      </c>
      <c r="M169" s="66">
        <f t="shared" si="44"/>
        <v>0.18018018018018017</v>
      </c>
      <c r="N169" s="66"/>
      <c r="O169" s="48">
        <v>27990</v>
      </c>
      <c r="P169" s="47">
        <v>10.2396025825095</v>
      </c>
      <c r="Q169" s="2">
        <f t="shared" si="45"/>
        <v>1.9532008043127045</v>
      </c>
      <c r="R169" s="47"/>
      <c r="S169" s="1" t="s">
        <v>181</v>
      </c>
      <c r="T169" s="1" t="s">
        <v>349</v>
      </c>
      <c r="U169" s="2">
        <f t="shared" si="46"/>
        <v>0.92592592592592604</v>
      </c>
      <c r="V169" s="2">
        <f t="shared" si="47"/>
        <v>0.19184652278177458</v>
      </c>
      <c r="W169" s="2">
        <f t="shared" si="48"/>
        <v>0.6510669347709015</v>
      </c>
      <c r="X169" s="2">
        <f t="shared" si="49"/>
        <v>0.58961312782620068</v>
      </c>
      <c r="AB169" s="66">
        <v>0.18018018018018017</v>
      </c>
      <c r="AC169" s="2">
        <v>1.9532008043127045</v>
      </c>
    </row>
    <row r="170" spans="2:29">
      <c r="B170" s="1" t="s">
        <v>140</v>
      </c>
      <c r="C170" s="1" t="s">
        <v>350</v>
      </c>
      <c r="D170">
        <v>182</v>
      </c>
      <c r="E170">
        <v>3000</v>
      </c>
      <c r="F170">
        <v>179</v>
      </c>
      <c r="G170">
        <v>642</v>
      </c>
      <c r="H170">
        <v>14</v>
      </c>
      <c r="I170">
        <v>17</v>
      </c>
      <c r="J170">
        <v>11</v>
      </c>
      <c r="K170" s="66">
        <f t="shared" si="42"/>
        <v>7.6923076923076927E-2</v>
      </c>
      <c r="L170" s="66">
        <f t="shared" si="43"/>
        <v>5.6666666666666671E-3</v>
      </c>
      <c r="M170" s="66">
        <f t="shared" si="44"/>
        <v>6.1452513966480445E-2</v>
      </c>
      <c r="N170" s="66"/>
      <c r="O170" s="48">
        <v>627340</v>
      </c>
      <c r="P170" s="47">
        <v>13.349243937395448</v>
      </c>
      <c r="Q170" s="2">
        <f t="shared" si="45"/>
        <v>0.8240167047352791</v>
      </c>
      <c r="R170" s="47"/>
      <c r="S170" s="1" t="s">
        <v>140</v>
      </c>
      <c r="T170" s="1" t="s">
        <v>350</v>
      </c>
      <c r="U170" s="2">
        <f t="shared" si="46"/>
        <v>0.25641025641025644</v>
      </c>
      <c r="V170" s="2">
        <f t="shared" si="47"/>
        <v>0.18888888888888891</v>
      </c>
      <c r="W170" s="2">
        <f t="shared" si="48"/>
        <v>0.27467223491175968</v>
      </c>
      <c r="X170" s="2">
        <f t="shared" si="49"/>
        <v>0.2399904600703017</v>
      </c>
      <c r="AB170" s="66">
        <v>6.1452513966480445E-2</v>
      </c>
      <c r="AC170" s="2">
        <v>0.8240167047352791</v>
      </c>
    </row>
    <row r="171" spans="2:29">
      <c r="B171" s="1" t="s">
        <v>79</v>
      </c>
      <c r="C171" s="1" t="s">
        <v>351</v>
      </c>
      <c r="D171">
        <v>320</v>
      </c>
      <c r="E171">
        <v>23000</v>
      </c>
      <c r="F171">
        <v>304</v>
      </c>
      <c r="G171">
        <v>829</v>
      </c>
      <c r="H171">
        <v>23</v>
      </c>
      <c r="I171">
        <v>74</v>
      </c>
      <c r="J171">
        <v>36</v>
      </c>
      <c r="K171" s="66">
        <f t="shared" si="42"/>
        <v>7.1874999999999994E-2</v>
      </c>
      <c r="L171" s="66">
        <f t="shared" si="43"/>
        <v>3.217391304347826E-3</v>
      </c>
      <c r="M171" s="66">
        <f t="shared" si="44"/>
        <v>0.11842105263157894</v>
      </c>
      <c r="N171" s="66"/>
      <c r="O171" s="48">
        <v>1214470</v>
      </c>
      <c r="P171" s="47">
        <v>14.009818325596015</v>
      </c>
      <c r="Q171" s="2">
        <f t="shared" si="45"/>
        <v>2.569626469333139</v>
      </c>
      <c r="R171" s="47"/>
      <c r="S171" s="1" t="s">
        <v>79</v>
      </c>
      <c r="T171" s="1" t="s">
        <v>351</v>
      </c>
      <c r="U171" s="2">
        <f t="shared" si="46"/>
        <v>0.23958333333333331</v>
      </c>
      <c r="V171" s="2">
        <f t="shared" si="47"/>
        <v>0.1072463768115942</v>
      </c>
      <c r="W171" s="2">
        <f t="shared" si="48"/>
        <v>0.8565421564443797</v>
      </c>
      <c r="X171" s="2">
        <f t="shared" si="49"/>
        <v>0.40112395552976904</v>
      </c>
      <c r="AB171" s="66">
        <v>0.11842105263157894</v>
      </c>
      <c r="AC171" s="2">
        <v>2.569626469333139</v>
      </c>
    </row>
    <row r="172" spans="2:29">
      <c r="B172" s="1" t="s">
        <v>36</v>
      </c>
      <c r="C172" s="1" t="s">
        <v>352</v>
      </c>
      <c r="D172">
        <v>132</v>
      </c>
      <c r="E172">
        <v>4916</v>
      </c>
      <c r="F172">
        <v>281</v>
      </c>
      <c r="G172" t="e">
        <v>#N/A</v>
      </c>
      <c r="H172">
        <v>16</v>
      </c>
      <c r="I172">
        <v>49</v>
      </c>
      <c r="J172">
        <v>15</v>
      </c>
      <c r="K172" s="66">
        <f t="shared" ref="K172:K203" si="50">H172/D172</f>
        <v>0.12121212121212122</v>
      </c>
      <c r="L172" s="66">
        <f t="shared" ref="L172:L203" si="51">I172/E172</f>
        <v>9.9674532139951179E-3</v>
      </c>
      <c r="M172" s="66">
        <f t="shared" ref="M172:M203" si="52">J172/F172</f>
        <v>5.3380782918149468E-2</v>
      </c>
      <c r="N172" s="66"/>
      <c r="O172" s="48">
        <v>498980</v>
      </c>
      <c r="P172" s="47">
        <v>13.120321293770104</v>
      </c>
      <c r="Q172" s="2">
        <f t="shared" ref="Q172:Q203" si="53">J172/P172</f>
        <v>1.1432646856843682</v>
      </c>
      <c r="R172" s="47"/>
      <c r="S172" s="1" t="s">
        <v>36</v>
      </c>
      <c r="T172" s="1" t="s">
        <v>352</v>
      </c>
      <c r="U172" s="2">
        <f t="shared" ref="U172:U203" si="54">MIN(1,(K172-U$9)/(U$10-U$9))</f>
        <v>0.40404040404040409</v>
      </c>
      <c r="V172" s="2">
        <f t="shared" ref="V172:V203" si="55">MIN(1,(L172-V$9)/(V$10-V$9))</f>
        <v>0.33224844046650392</v>
      </c>
      <c r="W172" s="2">
        <f t="shared" ref="W172:W203" si="56">MIN(1,(Q172-W$9)/(W$10-W$9))</f>
        <v>0.38108822856145608</v>
      </c>
      <c r="X172" s="2">
        <f t="shared" si="49"/>
        <v>0.37245902435612138</v>
      </c>
      <c r="AB172" s="66">
        <v>5.3380782918149468E-2</v>
      </c>
      <c r="AC172" s="2">
        <v>1.1432646856843682</v>
      </c>
    </row>
    <row r="173" spans="2:29">
      <c r="B173" s="1" t="s">
        <v>186</v>
      </c>
      <c r="C173" s="1" t="s">
        <v>353</v>
      </c>
      <c r="D173">
        <v>123</v>
      </c>
      <c r="E173">
        <v>3000</v>
      </c>
      <c r="F173">
        <v>126</v>
      </c>
      <c r="G173" t="e">
        <v>#N/A</v>
      </c>
      <c r="H173">
        <v>30</v>
      </c>
      <c r="I173">
        <v>280</v>
      </c>
      <c r="J173">
        <v>13</v>
      </c>
      <c r="K173" s="66">
        <f t="shared" si="50"/>
        <v>0.24390243902439024</v>
      </c>
      <c r="L173" s="66">
        <f t="shared" si="51"/>
        <v>9.3333333333333338E-2</v>
      </c>
      <c r="M173" s="66">
        <f t="shared" si="52"/>
        <v>0.10317460317460317</v>
      </c>
      <c r="N173" s="66"/>
      <c r="O173" s="48">
        <v>64630</v>
      </c>
      <c r="P173" s="47">
        <v>11.076433978256942</v>
      </c>
      <c r="Q173" s="2">
        <f t="shared" si="53"/>
        <v>1.173662933893618</v>
      </c>
      <c r="R173" s="47"/>
      <c r="S173" s="1" t="s">
        <v>186</v>
      </c>
      <c r="T173" s="1" t="s">
        <v>353</v>
      </c>
      <c r="U173" s="2">
        <f t="shared" si="54"/>
        <v>0.81300813008130079</v>
      </c>
      <c r="V173" s="2">
        <f t="shared" si="55"/>
        <v>1</v>
      </c>
      <c r="W173" s="2">
        <f t="shared" si="56"/>
        <v>0.39122097796453931</v>
      </c>
      <c r="X173" s="2">
        <f t="shared" si="49"/>
        <v>0.73474303601528002</v>
      </c>
      <c r="AB173" s="66">
        <v>0.10317460317460317</v>
      </c>
      <c r="AC173" s="2">
        <v>1.173662933893618</v>
      </c>
    </row>
    <row r="174" spans="2:29">
      <c r="B174" s="1" t="s">
        <v>125</v>
      </c>
      <c r="C174" s="1" t="s">
        <v>354</v>
      </c>
      <c r="D174">
        <v>302</v>
      </c>
      <c r="E174">
        <v>3132</v>
      </c>
      <c r="F174">
        <v>280</v>
      </c>
      <c r="G174">
        <v>952</v>
      </c>
      <c r="H174">
        <v>14</v>
      </c>
      <c r="I174">
        <v>17</v>
      </c>
      <c r="J174">
        <v>13</v>
      </c>
      <c r="K174" s="66">
        <f t="shared" si="50"/>
        <v>4.6357615894039736E-2</v>
      </c>
      <c r="L174" s="66">
        <f t="shared" si="51"/>
        <v>5.4278416347381866E-3</v>
      </c>
      <c r="M174" s="66">
        <f t="shared" si="52"/>
        <v>4.642857142857143E-2</v>
      </c>
      <c r="N174" s="66"/>
      <c r="O174" s="48">
        <v>2376000</v>
      </c>
      <c r="P174" s="47">
        <v>14.680928959464673</v>
      </c>
      <c r="Q174" s="2">
        <f t="shared" si="53"/>
        <v>0.88550254795824812</v>
      </c>
      <c r="R174" s="47"/>
      <c r="S174" s="1" t="s">
        <v>125</v>
      </c>
      <c r="T174" s="1" t="s">
        <v>354</v>
      </c>
      <c r="U174" s="2">
        <f t="shared" si="54"/>
        <v>0.1545253863134658</v>
      </c>
      <c r="V174" s="2">
        <f t="shared" si="55"/>
        <v>0.18092805449127289</v>
      </c>
      <c r="W174" s="2">
        <f t="shared" si="56"/>
        <v>0.29516751598608271</v>
      </c>
      <c r="X174" s="2">
        <f t="shared" si="49"/>
        <v>0.21020698559694048</v>
      </c>
      <c r="AB174" s="66">
        <v>4.642857142857143E-2</v>
      </c>
      <c r="AC174" s="2">
        <v>0.88550254795824812</v>
      </c>
    </row>
    <row r="175" spans="2:29">
      <c r="B175" s="1" t="s">
        <v>42</v>
      </c>
      <c r="C175" s="1" t="s">
        <v>355</v>
      </c>
      <c r="D175">
        <v>203</v>
      </c>
      <c r="E175">
        <v>4700</v>
      </c>
      <c r="F175">
        <v>235</v>
      </c>
      <c r="G175">
        <v>674</v>
      </c>
      <c r="H175">
        <v>7</v>
      </c>
      <c r="I175">
        <v>26</v>
      </c>
      <c r="J175">
        <v>0</v>
      </c>
      <c r="K175" s="66">
        <f t="shared" si="50"/>
        <v>3.4482758620689655E-2</v>
      </c>
      <c r="L175" s="66">
        <f t="shared" si="51"/>
        <v>5.5319148936170213E-3</v>
      </c>
      <c r="M175" s="66">
        <f t="shared" si="52"/>
        <v>0</v>
      </c>
      <c r="N175" s="66"/>
      <c r="O175" s="48">
        <v>156000</v>
      </c>
      <c r="P175" s="47">
        <v>11.957611286231675</v>
      </c>
      <c r="Q175" s="2">
        <f t="shared" si="53"/>
        <v>0</v>
      </c>
      <c r="R175" s="47"/>
      <c r="S175" s="1" t="s">
        <v>42</v>
      </c>
      <c r="T175" s="1" t="s">
        <v>355</v>
      </c>
      <c r="U175" s="2">
        <f t="shared" si="54"/>
        <v>0.11494252873563218</v>
      </c>
      <c r="V175" s="2">
        <f t="shared" si="55"/>
        <v>0.18439716312056739</v>
      </c>
      <c r="W175" s="2">
        <f t="shared" si="56"/>
        <v>0</v>
      </c>
      <c r="X175" s="2">
        <f t="shared" si="49"/>
        <v>9.9779897285399863E-2</v>
      </c>
      <c r="AB175" s="66">
        <v>0</v>
      </c>
      <c r="AC175" s="2">
        <v>0</v>
      </c>
    </row>
    <row r="176" spans="2:29">
      <c r="B176" s="1" t="s">
        <v>171</v>
      </c>
      <c r="C176" s="1" t="s">
        <v>356</v>
      </c>
      <c r="D176">
        <v>124</v>
      </c>
      <c r="E176">
        <v>2636</v>
      </c>
      <c r="F176" t="e">
        <v>#N/A</v>
      </c>
      <c r="G176" t="e">
        <v>#N/A</v>
      </c>
      <c r="H176">
        <v>4</v>
      </c>
      <c r="I176">
        <v>11</v>
      </c>
      <c r="J176">
        <v>8</v>
      </c>
      <c r="K176" s="66">
        <f t="shared" si="50"/>
        <v>3.2258064516129031E-2</v>
      </c>
      <c r="L176" s="66">
        <f t="shared" si="51"/>
        <v>4.1729893778452197E-3</v>
      </c>
      <c r="M176" s="66" t="e">
        <f t="shared" si="52"/>
        <v>#N/A</v>
      </c>
      <c r="N176" s="66"/>
      <c r="O176" s="48">
        <v>17200</v>
      </c>
      <c r="P176" s="47">
        <v>9.7526646628015445</v>
      </c>
      <c r="Q176" s="2">
        <f t="shared" si="53"/>
        <v>0.82028863665470531</v>
      </c>
      <c r="R176" s="47"/>
      <c r="S176" s="1" t="s">
        <v>171</v>
      </c>
      <c r="T176" s="1" t="s">
        <v>356</v>
      </c>
      <c r="U176" s="2">
        <f t="shared" si="54"/>
        <v>0.10752688172043011</v>
      </c>
      <c r="V176" s="2">
        <f t="shared" si="55"/>
        <v>0.139099645928174</v>
      </c>
      <c r="W176" s="2">
        <f t="shared" si="56"/>
        <v>0.27342954555156845</v>
      </c>
      <c r="X176" s="2">
        <f t="shared" si="49"/>
        <v>0.17335202440005751</v>
      </c>
      <c r="AB176" s="66" t="e">
        <v>#N/A</v>
      </c>
      <c r="AC176" s="2">
        <v>0.82028863665470531</v>
      </c>
    </row>
    <row r="177" spans="2:29">
      <c r="B177" s="1" t="s">
        <v>24</v>
      </c>
      <c r="C177" s="1" t="s">
        <v>357</v>
      </c>
      <c r="D177">
        <v>85</v>
      </c>
      <c r="E177">
        <v>1650</v>
      </c>
      <c r="F177">
        <v>259</v>
      </c>
      <c r="G177" t="e">
        <v>#N/A</v>
      </c>
      <c r="H177">
        <v>1</v>
      </c>
      <c r="I177">
        <v>3</v>
      </c>
      <c r="J177">
        <v>3</v>
      </c>
      <c r="K177" s="66">
        <f t="shared" si="50"/>
        <v>1.1764705882352941E-2</v>
      </c>
      <c r="L177" s="66">
        <f t="shared" si="51"/>
        <v>1.8181818181818182E-3</v>
      </c>
      <c r="M177" s="66">
        <f t="shared" si="52"/>
        <v>1.1583011583011582E-2</v>
      </c>
      <c r="N177" s="66"/>
      <c r="O177" s="48">
        <v>410330</v>
      </c>
      <c r="P177" s="47">
        <v>12.924716992988637</v>
      </c>
      <c r="Q177" s="2">
        <f t="shared" si="53"/>
        <v>0.23211339959145189</v>
      </c>
      <c r="R177" s="47"/>
      <c r="S177" s="1" t="s">
        <v>24</v>
      </c>
      <c r="T177" s="1" t="s">
        <v>357</v>
      </c>
      <c r="U177" s="2">
        <f t="shared" si="54"/>
        <v>3.9215686274509803E-2</v>
      </c>
      <c r="V177" s="2">
        <f t="shared" si="55"/>
        <v>6.0606060606060608E-2</v>
      </c>
      <c r="W177" s="2">
        <f t="shared" si="56"/>
        <v>7.7371133197150624E-2</v>
      </c>
      <c r="X177" s="2">
        <f t="shared" si="49"/>
        <v>5.906429335924035E-2</v>
      </c>
      <c r="AB177" s="66">
        <v>1.1583011583011582E-2</v>
      </c>
      <c r="AC177" s="2">
        <v>0.23211339959145189</v>
      </c>
    </row>
    <row r="178" spans="2:29">
      <c r="B178" s="1" t="s">
        <v>47</v>
      </c>
      <c r="C178" s="1" t="s">
        <v>358</v>
      </c>
      <c r="D178">
        <v>93</v>
      </c>
      <c r="E178">
        <v>2927</v>
      </c>
      <c r="F178">
        <v>199</v>
      </c>
      <c r="G178" t="e">
        <v>#N/A</v>
      </c>
      <c r="H178">
        <v>2</v>
      </c>
      <c r="I178">
        <v>3</v>
      </c>
      <c r="J178">
        <v>2</v>
      </c>
      <c r="K178" s="66">
        <f t="shared" si="50"/>
        <v>2.1505376344086023E-2</v>
      </c>
      <c r="L178" s="66">
        <f t="shared" si="51"/>
        <v>1.0249402118209772E-3</v>
      </c>
      <c r="M178" s="66">
        <f t="shared" si="52"/>
        <v>1.0050251256281407E-2</v>
      </c>
      <c r="N178" s="66"/>
      <c r="O178" s="48">
        <v>40000</v>
      </c>
      <c r="P178" s="47">
        <v>10.596634733096073</v>
      </c>
      <c r="Q178" s="2">
        <f t="shared" si="53"/>
        <v>0.18873916581775485</v>
      </c>
      <c r="R178" s="47"/>
      <c r="S178" s="1" t="s">
        <v>47</v>
      </c>
      <c r="T178" s="1" t="s">
        <v>358</v>
      </c>
      <c r="U178" s="2">
        <f t="shared" si="54"/>
        <v>7.1684587813620082E-2</v>
      </c>
      <c r="V178" s="2">
        <f t="shared" si="55"/>
        <v>3.416467372736591E-2</v>
      </c>
      <c r="W178" s="2">
        <f t="shared" si="56"/>
        <v>6.291305527258495E-2</v>
      </c>
      <c r="X178" s="2">
        <f t="shared" si="49"/>
        <v>5.6254105604523652E-2</v>
      </c>
      <c r="AB178" s="66">
        <v>1.0050251256281407E-2</v>
      </c>
      <c r="AC178" s="2">
        <v>0.18873916581775485</v>
      </c>
    </row>
    <row r="179" spans="2:29">
      <c r="B179" s="1" t="s">
        <v>101</v>
      </c>
      <c r="C179" s="1" t="s">
        <v>359</v>
      </c>
      <c r="D179">
        <v>82</v>
      </c>
      <c r="E179" t="e">
        <v>#N/A</v>
      </c>
      <c r="F179" s="54">
        <v>380</v>
      </c>
      <c r="G179" t="e">
        <v>#N/A</v>
      </c>
      <c r="H179">
        <v>16</v>
      </c>
      <c r="I179">
        <v>0</v>
      </c>
      <c r="J179">
        <v>13</v>
      </c>
      <c r="K179" s="66">
        <f t="shared" si="50"/>
        <v>0.1951219512195122</v>
      </c>
      <c r="L179" s="66" t="e">
        <f t="shared" si="51"/>
        <v>#N/A</v>
      </c>
      <c r="M179" s="66">
        <f t="shared" si="52"/>
        <v>3.4210526315789476E-2</v>
      </c>
      <c r="N179" s="66"/>
      <c r="O179" s="48">
        <v>183630</v>
      </c>
      <c r="P179" s="47">
        <v>12.120678142513226</v>
      </c>
      <c r="Q179" s="2">
        <f t="shared" si="53"/>
        <v>1.0725472491842314</v>
      </c>
      <c r="R179" s="47"/>
      <c r="S179" s="1" t="s">
        <v>101</v>
      </c>
      <c r="T179" s="1" t="s">
        <v>359</v>
      </c>
      <c r="U179" s="2">
        <f t="shared" si="54"/>
        <v>0.65040650406504075</v>
      </c>
      <c r="V179" s="2" t="e">
        <f t="shared" si="55"/>
        <v>#N/A</v>
      </c>
      <c r="W179" s="2">
        <f t="shared" si="56"/>
        <v>0.35751574972807715</v>
      </c>
      <c r="X179" s="65">
        <f t="shared" si="49"/>
        <v>0.50396112689655892</v>
      </c>
      <c r="AB179" s="66">
        <v>3.4210526315789476E-2</v>
      </c>
      <c r="AC179" s="2">
        <v>1.0725472491842314</v>
      </c>
    </row>
    <row r="180" spans="2:29">
      <c r="B180" s="1" t="s">
        <v>167</v>
      </c>
      <c r="C180" s="1" t="s">
        <v>360</v>
      </c>
      <c r="D180">
        <v>76</v>
      </c>
      <c r="E180" t="e">
        <v>#N/A</v>
      </c>
      <c r="F180">
        <v>210</v>
      </c>
      <c r="G180" t="e">
        <v>#N/A</v>
      </c>
      <c r="H180">
        <v>8</v>
      </c>
      <c r="I180">
        <v>14</v>
      </c>
      <c r="J180">
        <v>9</v>
      </c>
      <c r="K180" s="66">
        <f t="shared" si="50"/>
        <v>0.10526315789473684</v>
      </c>
      <c r="L180" s="66" t="e">
        <f t="shared" si="51"/>
        <v>#N/A</v>
      </c>
      <c r="M180" s="66">
        <f t="shared" si="52"/>
        <v>4.2857142857142858E-2</v>
      </c>
      <c r="N180" s="66"/>
      <c r="O180" s="48">
        <v>139960</v>
      </c>
      <c r="P180" s="47">
        <v>11.849111946481624</v>
      </c>
      <c r="Q180" s="2">
        <f t="shared" si="53"/>
        <v>0.75955059253806645</v>
      </c>
      <c r="R180" s="47"/>
      <c r="S180" s="1" t="s">
        <v>167</v>
      </c>
      <c r="T180" s="1" t="s">
        <v>360</v>
      </c>
      <c r="U180" s="2">
        <f t="shared" si="54"/>
        <v>0.35087719298245612</v>
      </c>
      <c r="V180" s="2" t="e">
        <f t="shared" si="55"/>
        <v>#N/A</v>
      </c>
      <c r="W180" s="2">
        <f t="shared" si="56"/>
        <v>0.25318353084602213</v>
      </c>
      <c r="X180" s="2">
        <f t="shared" si="49"/>
        <v>0.30203036191423915</v>
      </c>
      <c r="AB180" s="66">
        <v>4.2857142857142858E-2</v>
      </c>
      <c r="AC180" s="2">
        <v>0.75955059253806645</v>
      </c>
    </row>
    <row r="181" spans="2:29">
      <c r="B181" s="1" t="s">
        <v>170</v>
      </c>
      <c r="C181" s="1" t="s">
        <v>361</v>
      </c>
      <c r="D181">
        <v>375</v>
      </c>
      <c r="E181">
        <v>10000</v>
      </c>
      <c r="F181" s="54">
        <v>1060</v>
      </c>
      <c r="G181">
        <v>1056</v>
      </c>
      <c r="H181">
        <v>34</v>
      </c>
      <c r="I181">
        <v>292</v>
      </c>
      <c r="J181">
        <v>41</v>
      </c>
      <c r="K181" s="66">
        <f t="shared" si="50"/>
        <v>9.0666666666666673E-2</v>
      </c>
      <c r="L181" s="66">
        <f t="shared" si="51"/>
        <v>2.92E-2</v>
      </c>
      <c r="M181" s="66">
        <f t="shared" si="52"/>
        <v>3.8679245283018866E-2</v>
      </c>
      <c r="N181" s="66"/>
      <c r="O181" s="48">
        <v>885800</v>
      </c>
      <c r="P181" s="47">
        <v>13.694246470471235</v>
      </c>
      <c r="Q181" s="2">
        <f t="shared" si="53"/>
        <v>2.9939580895091882</v>
      </c>
      <c r="R181" s="47"/>
      <c r="S181" s="1" t="s">
        <v>170</v>
      </c>
      <c r="T181" s="1" t="s">
        <v>361</v>
      </c>
      <c r="U181" s="2">
        <f t="shared" si="54"/>
        <v>0.30222222222222228</v>
      </c>
      <c r="V181" s="2">
        <f t="shared" si="55"/>
        <v>0.97333333333333338</v>
      </c>
      <c r="W181" s="2">
        <f t="shared" si="56"/>
        <v>0.99798602983639606</v>
      </c>
      <c r="X181" s="2">
        <f t="shared" si="49"/>
        <v>0.75784719513065057</v>
      </c>
      <c r="AB181" s="66">
        <v>3.8679245283018866E-2</v>
      </c>
      <c r="AC181" s="2">
        <v>2.9939580895091882</v>
      </c>
    </row>
    <row r="182" spans="2:29">
      <c r="B182" s="1" t="s">
        <v>149</v>
      </c>
      <c r="C182" s="1" t="s">
        <v>362</v>
      </c>
      <c r="D182">
        <v>300</v>
      </c>
      <c r="E182">
        <v>11000</v>
      </c>
      <c r="F182">
        <v>285</v>
      </c>
      <c r="G182">
        <v>971</v>
      </c>
      <c r="H182">
        <v>57</v>
      </c>
      <c r="I182">
        <v>86</v>
      </c>
      <c r="J182">
        <v>42</v>
      </c>
      <c r="K182" s="66">
        <f t="shared" si="50"/>
        <v>0.19</v>
      </c>
      <c r="L182" s="66">
        <f t="shared" si="51"/>
        <v>7.8181818181818179E-3</v>
      </c>
      <c r="M182" s="66">
        <f t="shared" si="52"/>
        <v>0.14736842105263157</v>
      </c>
      <c r="N182" s="66"/>
      <c r="O182" s="48">
        <v>510890</v>
      </c>
      <c r="P182" s="47">
        <v>13.143909581825314</v>
      </c>
      <c r="Q182" s="2">
        <f t="shared" si="53"/>
        <v>3.1953962965536009</v>
      </c>
      <c r="R182" s="47"/>
      <c r="S182" s="1" t="s">
        <v>149</v>
      </c>
      <c r="T182" s="1" t="s">
        <v>362</v>
      </c>
      <c r="U182" s="2">
        <f t="shared" si="54"/>
        <v>0.63333333333333341</v>
      </c>
      <c r="V182" s="2">
        <f t="shared" si="55"/>
        <v>0.26060606060606062</v>
      </c>
      <c r="W182" s="2">
        <f t="shared" si="56"/>
        <v>1</v>
      </c>
      <c r="X182" s="2">
        <f t="shared" si="49"/>
        <v>0.63131313131313138</v>
      </c>
      <c r="AB182" s="66">
        <v>0.14736842105263157</v>
      </c>
      <c r="AC182" s="2">
        <v>3.1953962965536009</v>
      </c>
    </row>
    <row r="183" spans="2:29">
      <c r="B183" s="1" t="s">
        <v>164</v>
      </c>
      <c r="C183" s="1" t="s">
        <v>363</v>
      </c>
      <c r="D183" t="e">
        <v>#N/A</v>
      </c>
      <c r="E183" t="e">
        <v>#N/A</v>
      </c>
      <c r="F183" t="e">
        <v>#N/A</v>
      </c>
      <c r="G183" t="e">
        <v>#N/A</v>
      </c>
      <c r="H183">
        <v>4</v>
      </c>
      <c r="I183">
        <v>0</v>
      </c>
      <c r="J183">
        <v>5</v>
      </c>
      <c r="K183" s="66" t="e">
        <f t="shared" si="50"/>
        <v>#N/A</v>
      </c>
      <c r="L183" s="66" t="e">
        <f t="shared" si="51"/>
        <v>#N/A</v>
      </c>
      <c r="M183" s="66" t="e">
        <f t="shared" si="52"/>
        <v>#N/A</v>
      </c>
      <c r="N183" s="66"/>
      <c r="O183" s="48">
        <v>14874</v>
      </c>
      <c r="P183" s="47">
        <v>9.607370001263245</v>
      </c>
      <c r="Q183" s="2">
        <f t="shared" si="53"/>
        <v>0.52043379190585604</v>
      </c>
      <c r="R183" s="47"/>
      <c r="S183" s="1" t="s">
        <v>164</v>
      </c>
      <c r="T183" s="1" t="s">
        <v>363</v>
      </c>
      <c r="U183" s="2" t="e">
        <f t="shared" si="54"/>
        <v>#N/A</v>
      </c>
      <c r="V183" s="2" t="e">
        <f t="shared" si="55"/>
        <v>#N/A</v>
      </c>
      <c r="W183" s="2">
        <f t="shared" si="56"/>
        <v>0.17347793063528535</v>
      </c>
      <c r="X183" s="65" t="e">
        <f>NA()</f>
        <v>#N/A</v>
      </c>
      <c r="AB183" s="66" t="e">
        <v>#N/A</v>
      </c>
      <c r="AC183" s="2">
        <v>0.52043379190585604</v>
      </c>
    </row>
    <row r="184" spans="2:29">
      <c r="B184" s="1" t="s">
        <v>127</v>
      </c>
      <c r="C184" s="1" t="s">
        <v>364</v>
      </c>
      <c r="D184">
        <v>175</v>
      </c>
      <c r="E184">
        <v>2484</v>
      </c>
      <c r="F184">
        <v>117</v>
      </c>
      <c r="G184" t="e">
        <v>#N/A</v>
      </c>
      <c r="H184">
        <v>10</v>
      </c>
      <c r="I184">
        <v>10</v>
      </c>
      <c r="J184">
        <v>2</v>
      </c>
      <c r="K184" s="66">
        <f t="shared" si="50"/>
        <v>5.7142857142857141E-2</v>
      </c>
      <c r="L184" s="66">
        <f t="shared" si="51"/>
        <v>4.0257648953301124E-3</v>
      </c>
      <c r="M184" s="66">
        <f t="shared" si="52"/>
        <v>1.7094017094017096E-2</v>
      </c>
      <c r="N184" s="66"/>
      <c r="O184" s="48">
        <v>54390</v>
      </c>
      <c r="P184" s="47">
        <v>10.903935592417007</v>
      </c>
      <c r="Q184" s="2">
        <f t="shared" si="53"/>
        <v>0.18342001225602184</v>
      </c>
      <c r="R184" s="47"/>
      <c r="S184" s="1" t="s">
        <v>127</v>
      </c>
      <c r="T184" s="1" t="s">
        <v>364</v>
      </c>
      <c r="U184" s="2">
        <f t="shared" si="54"/>
        <v>0.19047619047619047</v>
      </c>
      <c r="V184" s="2">
        <f t="shared" si="55"/>
        <v>0.13419216317767041</v>
      </c>
      <c r="W184" s="2">
        <f t="shared" si="56"/>
        <v>6.1140004085340614E-2</v>
      </c>
      <c r="X184" s="2">
        <f t="shared" ref="X184:X189" si="57">mmean(U184:W184)</f>
        <v>0.12860278591306715</v>
      </c>
      <c r="AB184" s="66">
        <v>1.7094017094017096E-2</v>
      </c>
      <c r="AC184" s="2">
        <v>0.18342001225602184</v>
      </c>
    </row>
    <row r="185" spans="2:29">
      <c r="B185" s="1" t="s">
        <v>169</v>
      </c>
      <c r="C185" s="1" t="s">
        <v>365</v>
      </c>
      <c r="D185">
        <v>5</v>
      </c>
      <c r="E185">
        <v>360</v>
      </c>
      <c r="F185" t="e">
        <v>#N/A</v>
      </c>
      <c r="G185" t="e">
        <v>#N/A</v>
      </c>
      <c r="H185">
        <v>2</v>
      </c>
      <c r="I185">
        <v>4</v>
      </c>
      <c r="J185">
        <v>4</v>
      </c>
      <c r="K185" s="66">
        <f t="shared" si="50"/>
        <v>0.4</v>
      </c>
      <c r="L185" s="66">
        <f t="shared" si="51"/>
        <v>1.1111111111111112E-2</v>
      </c>
      <c r="M185" s="66" t="e">
        <f t="shared" si="52"/>
        <v>#N/A</v>
      </c>
      <c r="N185" s="66"/>
      <c r="O185" s="48">
        <v>720</v>
      </c>
      <c r="P185" s="47">
        <v>6.5792512120101012</v>
      </c>
      <c r="Q185" s="2">
        <f t="shared" si="53"/>
        <v>0.60797192128766808</v>
      </c>
      <c r="R185" s="47"/>
      <c r="S185" s="1" t="s">
        <v>169</v>
      </c>
      <c r="T185" s="1" t="s">
        <v>365</v>
      </c>
      <c r="U185" s="2">
        <f t="shared" si="54"/>
        <v>1</v>
      </c>
      <c r="V185" s="2">
        <f t="shared" si="55"/>
        <v>0.37037037037037041</v>
      </c>
      <c r="W185" s="2">
        <f t="shared" si="56"/>
        <v>0.20265730709588936</v>
      </c>
      <c r="X185" s="2">
        <f t="shared" si="57"/>
        <v>0.52434255915541994</v>
      </c>
      <c r="AB185" s="66" t="e">
        <v>#N/A</v>
      </c>
      <c r="AC185" s="2">
        <v>0.60797192128766808</v>
      </c>
    </row>
    <row r="186" spans="2:29">
      <c r="B186" s="1" t="s">
        <v>189</v>
      </c>
      <c r="C186" s="1" t="s">
        <v>366</v>
      </c>
      <c r="D186">
        <v>116</v>
      </c>
      <c r="E186">
        <v>1982</v>
      </c>
      <c r="F186">
        <v>131</v>
      </c>
      <c r="G186" t="e">
        <v>#N/A</v>
      </c>
      <c r="H186">
        <v>2</v>
      </c>
      <c r="I186">
        <v>1</v>
      </c>
      <c r="J186">
        <v>2</v>
      </c>
      <c r="K186" s="66">
        <f t="shared" si="50"/>
        <v>1.7241379310344827E-2</v>
      </c>
      <c r="L186" s="66">
        <f t="shared" si="51"/>
        <v>5.0454086781029264E-4</v>
      </c>
      <c r="M186" s="66">
        <f t="shared" si="52"/>
        <v>1.5267175572519083E-2</v>
      </c>
      <c r="N186" s="66"/>
      <c r="O186" s="48">
        <v>5130</v>
      </c>
      <c r="P186" s="47">
        <v>8.5428609381648144</v>
      </c>
      <c r="Q186" s="2">
        <f t="shared" si="53"/>
        <v>0.23411360836568199</v>
      </c>
      <c r="R186" s="47"/>
      <c r="S186" s="1" t="s">
        <v>189</v>
      </c>
      <c r="T186" s="1" t="s">
        <v>366</v>
      </c>
      <c r="U186" s="2">
        <f t="shared" si="54"/>
        <v>5.7471264367816091E-2</v>
      </c>
      <c r="V186" s="2">
        <f t="shared" si="55"/>
        <v>1.6818028927009756E-2</v>
      </c>
      <c r="W186" s="2">
        <f t="shared" si="56"/>
        <v>7.8037869455227324E-2</v>
      </c>
      <c r="X186" s="2">
        <f t="shared" si="57"/>
        <v>5.0775720916684391E-2</v>
      </c>
      <c r="AB186" s="66">
        <v>1.5267175572519083E-2</v>
      </c>
      <c r="AC186" s="2">
        <v>0.23411360836568199</v>
      </c>
    </row>
    <row r="187" spans="2:29">
      <c r="B187" s="1" t="s">
        <v>65</v>
      </c>
      <c r="C187" s="1" t="s">
        <v>367</v>
      </c>
      <c r="D187">
        <v>78</v>
      </c>
      <c r="E187">
        <v>2150</v>
      </c>
      <c r="F187">
        <v>165</v>
      </c>
      <c r="G187" t="e">
        <v>#N/A</v>
      </c>
      <c r="H187">
        <v>14</v>
      </c>
      <c r="I187">
        <v>0</v>
      </c>
      <c r="J187">
        <v>8</v>
      </c>
      <c r="K187" s="66">
        <f t="shared" si="50"/>
        <v>0.17948717948717949</v>
      </c>
      <c r="L187" s="66">
        <f t="shared" si="51"/>
        <v>0</v>
      </c>
      <c r="M187" s="66">
        <f t="shared" si="52"/>
        <v>4.8484848484848485E-2</v>
      </c>
      <c r="N187" s="66"/>
      <c r="O187" s="48">
        <v>155360</v>
      </c>
      <c r="P187" s="47">
        <v>11.953500283525152</v>
      </c>
      <c r="Q187" s="2">
        <f t="shared" si="53"/>
        <v>0.66926003348374508</v>
      </c>
      <c r="R187" s="47"/>
      <c r="S187" s="1" t="s">
        <v>65</v>
      </c>
      <c r="T187" s="1" t="s">
        <v>367</v>
      </c>
      <c r="U187" s="2">
        <f t="shared" si="54"/>
        <v>0.59829059829059827</v>
      </c>
      <c r="V187" s="2">
        <f t="shared" si="55"/>
        <v>0</v>
      </c>
      <c r="W187" s="2">
        <f t="shared" si="56"/>
        <v>0.22308667782791503</v>
      </c>
      <c r="X187" s="2">
        <f t="shared" si="57"/>
        <v>0.27379242537283777</v>
      </c>
      <c r="AB187" s="66">
        <v>4.8484848484848485E-2</v>
      </c>
      <c r="AC187" s="2">
        <v>0.66926003348374508</v>
      </c>
    </row>
    <row r="188" spans="2:29">
      <c r="B188" s="1" t="s">
        <v>57</v>
      </c>
      <c r="C188" s="1" t="s">
        <v>368</v>
      </c>
      <c r="D188">
        <v>145</v>
      </c>
      <c r="E188">
        <v>8472</v>
      </c>
      <c r="F188">
        <v>278</v>
      </c>
      <c r="G188" t="e">
        <v>#N/A</v>
      </c>
      <c r="H188">
        <v>17</v>
      </c>
      <c r="I188">
        <v>3</v>
      </c>
      <c r="J188">
        <v>15</v>
      </c>
      <c r="K188" s="66">
        <f t="shared" si="50"/>
        <v>0.11724137931034483</v>
      </c>
      <c r="L188" s="66">
        <f t="shared" si="51"/>
        <v>3.5410764872521248E-4</v>
      </c>
      <c r="M188" s="66">
        <f t="shared" si="52"/>
        <v>5.3956834532374098E-2</v>
      </c>
      <c r="N188" s="66"/>
      <c r="O188" s="48">
        <v>769630</v>
      </c>
      <c r="P188" s="47">
        <v>13.553665158862865</v>
      </c>
      <c r="Q188" s="2">
        <f t="shared" si="53"/>
        <v>1.1067117140776761</v>
      </c>
      <c r="R188" s="47"/>
      <c r="S188" s="1" t="s">
        <v>57</v>
      </c>
      <c r="T188" s="1" t="s">
        <v>368</v>
      </c>
      <c r="U188" s="2">
        <f t="shared" si="54"/>
        <v>0.39080459770114945</v>
      </c>
      <c r="V188" s="2">
        <f t="shared" si="55"/>
        <v>1.1803588290840416E-2</v>
      </c>
      <c r="W188" s="2">
        <f t="shared" si="56"/>
        <v>0.36890390469255868</v>
      </c>
      <c r="X188" s="2">
        <f t="shared" si="57"/>
        <v>0.2571706968948495</v>
      </c>
      <c r="AB188" s="66">
        <v>5.3956834532374098E-2</v>
      </c>
      <c r="AC188" s="2">
        <v>1.1067117140776761</v>
      </c>
    </row>
    <row r="189" spans="2:29">
      <c r="B189" s="1" t="s">
        <v>114</v>
      </c>
      <c r="C189" s="1" t="s">
        <v>369</v>
      </c>
      <c r="D189">
        <v>103</v>
      </c>
      <c r="E189" t="e">
        <v>#N/A</v>
      </c>
      <c r="F189">
        <v>204</v>
      </c>
      <c r="G189" t="e">
        <v>#N/A</v>
      </c>
      <c r="H189">
        <v>9</v>
      </c>
      <c r="I189">
        <v>3</v>
      </c>
      <c r="J189">
        <v>15</v>
      </c>
      <c r="K189" s="66">
        <f t="shared" si="50"/>
        <v>8.7378640776699032E-2</v>
      </c>
      <c r="L189" s="66" t="e">
        <f t="shared" si="51"/>
        <v>#N/A</v>
      </c>
      <c r="M189" s="66">
        <f t="shared" si="52"/>
        <v>7.3529411764705885E-2</v>
      </c>
      <c r="N189" s="66"/>
      <c r="O189" s="48">
        <v>469930</v>
      </c>
      <c r="P189" s="47">
        <v>13.060339026423936</v>
      </c>
      <c r="Q189" s="2">
        <f t="shared" si="53"/>
        <v>1.1485153616343116</v>
      </c>
      <c r="R189" s="47"/>
      <c r="S189" s="1" t="s">
        <v>114</v>
      </c>
      <c r="T189" s="1" t="s">
        <v>369</v>
      </c>
      <c r="U189" s="2">
        <f t="shared" si="54"/>
        <v>0.29126213592233013</v>
      </c>
      <c r="V189" s="2" t="e">
        <f t="shared" si="55"/>
        <v>#N/A</v>
      </c>
      <c r="W189" s="2">
        <f t="shared" si="56"/>
        <v>0.38283845387810383</v>
      </c>
      <c r="X189" s="2">
        <f t="shared" si="57"/>
        <v>0.33705029490021698</v>
      </c>
      <c r="AB189" s="66">
        <v>7.3529411764705885E-2</v>
      </c>
      <c r="AC189" s="2">
        <v>1.1485153616343116</v>
      </c>
    </row>
    <row r="190" spans="2:29">
      <c r="B190" s="1" t="s">
        <v>113</v>
      </c>
      <c r="C190" s="1" t="s">
        <v>370</v>
      </c>
      <c r="D190" t="e">
        <v>#N/A</v>
      </c>
      <c r="E190" t="e">
        <v>#N/A</v>
      </c>
      <c r="F190" t="e">
        <v>#N/A</v>
      </c>
      <c r="G190" t="e">
        <v>#N/A</v>
      </c>
      <c r="H190">
        <v>2</v>
      </c>
      <c r="I190">
        <v>0</v>
      </c>
      <c r="J190">
        <v>1</v>
      </c>
      <c r="K190" s="66" t="e">
        <f t="shared" si="50"/>
        <v>#N/A</v>
      </c>
      <c r="L190" s="66" t="e">
        <f t="shared" si="51"/>
        <v>#N/A</v>
      </c>
      <c r="M190" s="66" t="e">
        <f t="shared" si="52"/>
        <v>#N/A</v>
      </c>
      <c r="N190" s="66"/>
      <c r="O190" s="48">
        <v>26</v>
      </c>
      <c r="P190" s="47">
        <v>3.2580965380214821</v>
      </c>
      <c r="Q190" s="2">
        <f t="shared" si="53"/>
        <v>0.30692767643013485</v>
      </c>
      <c r="R190" s="47"/>
      <c r="S190" s="1" t="s">
        <v>113</v>
      </c>
      <c r="T190" s="1" t="s">
        <v>370</v>
      </c>
      <c r="U190" s="2" t="e">
        <f t="shared" si="54"/>
        <v>#N/A</v>
      </c>
      <c r="V190" s="2" t="e">
        <f t="shared" si="55"/>
        <v>#N/A</v>
      </c>
      <c r="W190" s="2">
        <f t="shared" si="56"/>
        <v>0.10230922547671162</v>
      </c>
      <c r="X190" s="65" t="e">
        <f>NA()</f>
        <v>#N/A</v>
      </c>
      <c r="AB190" s="66" t="e">
        <v>#N/A</v>
      </c>
      <c r="AC190" s="2">
        <v>0.30692767643013485</v>
      </c>
    </row>
    <row r="191" spans="2:29">
      <c r="B191" s="1" t="s">
        <v>188</v>
      </c>
      <c r="C191" s="1" t="s">
        <v>371</v>
      </c>
      <c r="D191">
        <v>360</v>
      </c>
      <c r="E191">
        <v>5000</v>
      </c>
      <c r="F191">
        <v>243</v>
      </c>
      <c r="G191">
        <v>1015</v>
      </c>
      <c r="H191">
        <v>21</v>
      </c>
      <c r="I191">
        <v>38</v>
      </c>
      <c r="J191">
        <v>18</v>
      </c>
      <c r="K191" s="66">
        <f t="shared" si="50"/>
        <v>5.8333333333333334E-2</v>
      </c>
      <c r="L191" s="66">
        <f t="shared" si="51"/>
        <v>7.6E-3</v>
      </c>
      <c r="M191" s="66">
        <f t="shared" si="52"/>
        <v>7.407407407407407E-2</v>
      </c>
      <c r="N191" s="66"/>
      <c r="O191" s="48">
        <v>197100</v>
      </c>
      <c r="P191" s="47">
        <v>12.191466493140812</v>
      </c>
      <c r="Q191" s="2">
        <f t="shared" si="53"/>
        <v>1.4764425600584801</v>
      </c>
      <c r="R191" s="47"/>
      <c r="S191" s="1" t="s">
        <v>188</v>
      </c>
      <c r="T191" s="1" t="s">
        <v>371</v>
      </c>
      <c r="U191" s="2">
        <f t="shared" si="54"/>
        <v>0.19444444444444445</v>
      </c>
      <c r="V191" s="2">
        <f t="shared" si="55"/>
        <v>0.25333333333333335</v>
      </c>
      <c r="W191" s="2">
        <f t="shared" si="56"/>
        <v>0.49214752001949336</v>
      </c>
      <c r="X191" s="2">
        <f t="shared" ref="X191:X203" si="58">mmean(U191:W191)</f>
        <v>0.31330843259909041</v>
      </c>
      <c r="AB191" s="66">
        <v>7.407407407407407E-2</v>
      </c>
      <c r="AC191" s="2">
        <v>1.4764425600584801</v>
      </c>
    </row>
    <row r="192" spans="2:29">
      <c r="B192" s="1" t="s">
        <v>60</v>
      </c>
      <c r="C192" s="1" t="s">
        <v>372</v>
      </c>
      <c r="D192">
        <v>120</v>
      </c>
      <c r="E192" t="e">
        <v>#N/A</v>
      </c>
      <c r="F192">
        <v>245</v>
      </c>
      <c r="G192" t="e">
        <v>#N/A</v>
      </c>
      <c r="H192">
        <v>11</v>
      </c>
      <c r="I192">
        <v>1</v>
      </c>
      <c r="J192">
        <v>12</v>
      </c>
      <c r="K192" s="66">
        <f t="shared" si="50"/>
        <v>9.166666666666666E-2</v>
      </c>
      <c r="L192" s="66" t="e">
        <f t="shared" si="51"/>
        <v>#N/A</v>
      </c>
      <c r="M192" s="66">
        <f t="shared" si="52"/>
        <v>4.8979591836734691E-2</v>
      </c>
      <c r="N192" s="66"/>
      <c r="O192" s="48">
        <v>579330</v>
      </c>
      <c r="P192" s="47">
        <v>13.269627542382882</v>
      </c>
      <c r="Q192" s="2">
        <f t="shared" si="53"/>
        <v>0.9043207853176195</v>
      </c>
      <c r="R192" s="47"/>
      <c r="S192" s="1" t="s">
        <v>60</v>
      </c>
      <c r="T192" s="1" t="s">
        <v>372</v>
      </c>
      <c r="U192" s="2">
        <f t="shared" si="54"/>
        <v>0.30555555555555552</v>
      </c>
      <c r="V192" s="2" t="e">
        <f t="shared" si="55"/>
        <v>#N/A</v>
      </c>
      <c r="W192" s="2">
        <f t="shared" si="56"/>
        <v>0.30144026177253985</v>
      </c>
      <c r="X192" s="2">
        <f t="shared" si="58"/>
        <v>0.30349790866404769</v>
      </c>
      <c r="AB192" s="66">
        <v>4.8979591836734691E-2</v>
      </c>
      <c r="AC192" s="2">
        <v>0.9043207853176195</v>
      </c>
    </row>
    <row r="193" spans="2:29">
      <c r="B193" s="1" t="s">
        <v>33</v>
      </c>
      <c r="C193" s="1" t="s">
        <v>373</v>
      </c>
      <c r="D193">
        <v>30</v>
      </c>
      <c r="E193" t="e">
        <v>#N/A</v>
      </c>
      <c r="F193">
        <v>34</v>
      </c>
      <c r="G193" t="e">
        <v>#N/A</v>
      </c>
      <c r="H193">
        <v>7</v>
      </c>
      <c r="I193">
        <v>0</v>
      </c>
      <c r="J193">
        <v>8</v>
      </c>
      <c r="K193" s="66">
        <f t="shared" si="50"/>
        <v>0.23333333333333334</v>
      </c>
      <c r="L193" s="66" t="e">
        <f t="shared" si="51"/>
        <v>#N/A</v>
      </c>
      <c r="M193" s="66">
        <f t="shared" si="52"/>
        <v>0.23529411764705882</v>
      </c>
      <c r="N193" s="66"/>
      <c r="O193" s="48">
        <v>83600</v>
      </c>
      <c r="P193" s="47">
        <v>11.333798799072794</v>
      </c>
      <c r="Q193" s="2">
        <f t="shared" si="53"/>
        <v>0.70585336318609004</v>
      </c>
      <c r="R193" s="47"/>
      <c r="S193" s="1" t="s">
        <v>33</v>
      </c>
      <c r="T193" s="1" t="s">
        <v>373</v>
      </c>
      <c r="U193" s="2">
        <f t="shared" si="54"/>
        <v>0.77777777777777779</v>
      </c>
      <c r="V193" s="2" t="e">
        <f t="shared" si="55"/>
        <v>#N/A</v>
      </c>
      <c r="W193" s="2">
        <f t="shared" si="56"/>
        <v>0.23528445439536336</v>
      </c>
      <c r="X193" s="2">
        <f t="shared" si="58"/>
        <v>0.50653111608657053</v>
      </c>
      <c r="AB193" s="66">
        <v>0.23529411764705882</v>
      </c>
      <c r="AC193" s="2">
        <v>0.70585336318609004</v>
      </c>
    </row>
    <row r="194" spans="2:29">
      <c r="B194" s="1" t="s">
        <v>14</v>
      </c>
      <c r="C194" s="1" t="s">
        <v>374</v>
      </c>
      <c r="D194">
        <v>103</v>
      </c>
      <c r="E194">
        <v>1550</v>
      </c>
      <c r="F194">
        <v>229</v>
      </c>
      <c r="G194" t="e">
        <v>#N/A</v>
      </c>
      <c r="H194">
        <v>5</v>
      </c>
      <c r="I194">
        <v>14</v>
      </c>
      <c r="J194">
        <v>2</v>
      </c>
      <c r="K194" s="66">
        <f t="shared" si="50"/>
        <v>4.8543689320388349E-2</v>
      </c>
      <c r="L194" s="66">
        <f t="shared" si="51"/>
        <v>9.0322580645161299E-3</v>
      </c>
      <c r="M194" s="66">
        <f t="shared" si="52"/>
        <v>8.7336244541484712E-3</v>
      </c>
      <c r="N194" s="66"/>
      <c r="O194" s="48">
        <v>241930</v>
      </c>
      <c r="P194" s="47">
        <v>12.396403707097834</v>
      </c>
      <c r="Q194" s="2">
        <f t="shared" si="53"/>
        <v>0.16133711415471699</v>
      </c>
      <c r="R194" s="47"/>
      <c r="S194" s="1" t="s">
        <v>14</v>
      </c>
      <c r="T194" s="1" t="s">
        <v>374</v>
      </c>
      <c r="U194" s="2">
        <f t="shared" si="54"/>
        <v>0.16181229773462782</v>
      </c>
      <c r="V194" s="2">
        <f t="shared" si="55"/>
        <v>0.30107526881720437</v>
      </c>
      <c r="W194" s="2">
        <f t="shared" si="56"/>
        <v>5.3779038051572331E-2</v>
      </c>
      <c r="X194" s="2">
        <f t="shared" si="58"/>
        <v>0.17222220153446818</v>
      </c>
      <c r="AB194" s="66">
        <v>8.7336244541484712E-3</v>
      </c>
      <c r="AC194" s="2">
        <v>0.16133711415471699</v>
      </c>
    </row>
    <row r="195" spans="2:29">
      <c r="B195" s="1" t="s">
        <v>6</v>
      </c>
      <c r="C195" s="1" t="s">
        <v>375</v>
      </c>
      <c r="D195">
        <v>468</v>
      </c>
      <c r="E195">
        <v>16302</v>
      </c>
      <c r="F195">
        <v>508</v>
      </c>
      <c r="G195">
        <v>888</v>
      </c>
      <c r="H195">
        <v>37</v>
      </c>
      <c r="I195">
        <v>244</v>
      </c>
      <c r="J195">
        <v>74</v>
      </c>
      <c r="K195" s="66">
        <f t="shared" si="50"/>
        <v>7.9059829059829057E-2</v>
      </c>
      <c r="L195" s="66">
        <f t="shared" si="51"/>
        <v>1.4967488651699178E-2</v>
      </c>
      <c r="M195" s="66">
        <f t="shared" si="52"/>
        <v>0.14566929133858267</v>
      </c>
      <c r="N195" s="66"/>
      <c r="O195" s="48">
        <v>9161920</v>
      </c>
      <c r="P195" s="47">
        <v>16.030566321672737</v>
      </c>
      <c r="Q195" s="2">
        <f t="shared" si="53"/>
        <v>4.6161812699002853</v>
      </c>
      <c r="R195" s="47"/>
      <c r="S195" s="1" t="s">
        <v>6</v>
      </c>
      <c r="T195" s="1" t="s">
        <v>375</v>
      </c>
      <c r="U195" s="2">
        <f t="shared" si="54"/>
        <v>0.26353276353276356</v>
      </c>
      <c r="V195" s="2">
        <f t="shared" si="55"/>
        <v>0.49891628838997265</v>
      </c>
      <c r="W195" s="2">
        <f t="shared" si="56"/>
        <v>1</v>
      </c>
      <c r="X195" s="2">
        <f t="shared" si="58"/>
        <v>0.58748301730757879</v>
      </c>
      <c r="AB195" s="66">
        <v>0.14566929133858267</v>
      </c>
      <c r="AC195" s="2">
        <v>4.6161812699002853</v>
      </c>
    </row>
    <row r="196" spans="2:29">
      <c r="B196" s="1" t="s">
        <v>10</v>
      </c>
      <c r="C196" s="1" t="s">
        <v>376</v>
      </c>
      <c r="D196">
        <v>118</v>
      </c>
      <c r="E196">
        <v>2184</v>
      </c>
      <c r="F196">
        <v>115</v>
      </c>
      <c r="G196" t="e">
        <v>#N/A</v>
      </c>
      <c r="H196">
        <v>10</v>
      </c>
      <c r="I196">
        <v>1</v>
      </c>
      <c r="J196">
        <v>23</v>
      </c>
      <c r="K196" s="66">
        <f t="shared" si="50"/>
        <v>8.4745762711864403E-2</v>
      </c>
      <c r="L196" s="66">
        <f t="shared" si="51"/>
        <v>4.5787545787545788E-4</v>
      </c>
      <c r="M196" s="66">
        <f t="shared" si="52"/>
        <v>0.2</v>
      </c>
      <c r="N196" s="66"/>
      <c r="O196" s="48">
        <v>175020</v>
      </c>
      <c r="P196" s="47">
        <v>12.072655532089822</v>
      </c>
      <c r="Q196" s="2">
        <f t="shared" si="53"/>
        <v>1.9051318029297415</v>
      </c>
      <c r="R196" s="47"/>
      <c r="S196" s="1" t="s">
        <v>10</v>
      </c>
      <c r="T196" s="1" t="s">
        <v>376</v>
      </c>
      <c r="U196" s="2">
        <f t="shared" si="54"/>
        <v>0.2824858757062147</v>
      </c>
      <c r="V196" s="2">
        <f t="shared" si="55"/>
        <v>1.5262515262515264E-2</v>
      </c>
      <c r="W196" s="2">
        <f t="shared" si="56"/>
        <v>0.63504393430991379</v>
      </c>
      <c r="X196" s="2">
        <f t="shared" si="58"/>
        <v>0.31093077509288125</v>
      </c>
      <c r="AB196" s="66">
        <v>0.2</v>
      </c>
      <c r="AC196" s="2">
        <v>1.9051318029297415</v>
      </c>
    </row>
    <row r="197" spans="2:29">
      <c r="B197" s="1" t="s">
        <v>139</v>
      </c>
      <c r="C197" s="1" t="s">
        <v>377</v>
      </c>
      <c r="D197">
        <v>91</v>
      </c>
      <c r="E197" t="e">
        <v>#N/A</v>
      </c>
      <c r="F197">
        <v>203</v>
      </c>
      <c r="G197" t="e">
        <v>#N/A</v>
      </c>
      <c r="H197">
        <v>11</v>
      </c>
      <c r="I197">
        <v>15</v>
      </c>
      <c r="J197">
        <v>15</v>
      </c>
      <c r="K197" s="66">
        <f t="shared" si="50"/>
        <v>0.12087912087912088</v>
      </c>
      <c r="L197" s="66" t="e">
        <f t="shared" si="51"/>
        <v>#N/A</v>
      </c>
      <c r="M197" s="66">
        <f t="shared" si="52"/>
        <v>7.3891625615763554E-2</v>
      </c>
      <c r="N197" s="66"/>
      <c r="O197" s="48">
        <v>425400</v>
      </c>
      <c r="P197" s="47">
        <v>12.960785181748275</v>
      </c>
      <c r="Q197" s="2">
        <f t="shared" si="53"/>
        <v>1.1573372901144447</v>
      </c>
      <c r="R197" s="47"/>
      <c r="S197" s="1" t="s">
        <v>139</v>
      </c>
      <c r="T197" s="1" t="s">
        <v>377</v>
      </c>
      <c r="U197" s="2">
        <f t="shared" si="54"/>
        <v>0.40293040293040294</v>
      </c>
      <c r="V197" s="2" t="e">
        <f t="shared" si="55"/>
        <v>#N/A</v>
      </c>
      <c r="W197" s="2">
        <f t="shared" si="56"/>
        <v>0.38577909670481492</v>
      </c>
      <c r="X197" s="2">
        <f t="shared" si="58"/>
        <v>0.39435474981760893</v>
      </c>
      <c r="AB197" s="66">
        <v>7.3891625615763554E-2</v>
      </c>
      <c r="AC197" s="2">
        <v>1.1573372901144447</v>
      </c>
    </row>
    <row r="198" spans="2:29">
      <c r="B198" s="1" t="s">
        <v>168</v>
      </c>
      <c r="C198" s="1" t="s">
        <v>378</v>
      </c>
      <c r="D198">
        <v>22</v>
      </c>
      <c r="E198">
        <v>870</v>
      </c>
      <c r="F198" s="54">
        <v>100</v>
      </c>
      <c r="G198" t="e">
        <v>#N/A</v>
      </c>
      <c r="H198">
        <v>8</v>
      </c>
      <c r="I198">
        <v>10</v>
      </c>
      <c r="J198">
        <v>7</v>
      </c>
      <c r="K198" s="66">
        <f t="shared" si="50"/>
        <v>0.36363636363636365</v>
      </c>
      <c r="L198" s="66">
        <f t="shared" si="51"/>
        <v>1.1494252873563218E-2</v>
      </c>
      <c r="M198" s="66">
        <f t="shared" si="52"/>
        <v>7.0000000000000007E-2</v>
      </c>
      <c r="N198" s="66"/>
      <c r="O198" s="48">
        <v>12190</v>
      </c>
      <c r="P198" s="47">
        <v>9.4083712224753171</v>
      </c>
      <c r="Q198" s="2">
        <f t="shared" si="53"/>
        <v>0.74401826144763017</v>
      </c>
      <c r="R198" s="47"/>
      <c r="S198" s="1" t="s">
        <v>168</v>
      </c>
      <c r="T198" s="1" t="s">
        <v>378</v>
      </c>
      <c r="U198" s="2">
        <f t="shared" si="54"/>
        <v>1</v>
      </c>
      <c r="V198" s="2">
        <f t="shared" si="55"/>
        <v>0.38314176245210729</v>
      </c>
      <c r="W198" s="2">
        <f t="shared" si="56"/>
        <v>0.24800608714921005</v>
      </c>
      <c r="X198" s="2">
        <f t="shared" si="58"/>
        <v>0.54371594986710581</v>
      </c>
      <c r="AB198" s="66">
        <v>7.0000000000000007E-2</v>
      </c>
      <c r="AC198" s="2">
        <v>0.74401826144763017</v>
      </c>
    </row>
    <row r="199" spans="2:29">
      <c r="B199" s="1" t="s">
        <v>9</v>
      </c>
      <c r="C199" s="1" t="s">
        <v>379</v>
      </c>
      <c r="D199">
        <v>353</v>
      </c>
      <c r="E199">
        <v>20000</v>
      </c>
      <c r="F199">
        <v>547</v>
      </c>
      <c r="G199">
        <v>1392</v>
      </c>
      <c r="H199">
        <v>32</v>
      </c>
      <c r="I199">
        <v>69</v>
      </c>
      <c r="J199">
        <v>26</v>
      </c>
      <c r="K199" s="66">
        <f t="shared" si="50"/>
        <v>9.0651558073654395E-2</v>
      </c>
      <c r="L199" s="66">
        <f t="shared" si="51"/>
        <v>3.4499999999999999E-3</v>
      </c>
      <c r="M199" s="66">
        <f t="shared" si="52"/>
        <v>4.7531992687385741E-2</v>
      </c>
      <c r="N199" s="66"/>
      <c r="O199" s="48">
        <v>882050</v>
      </c>
      <c r="P199" s="47">
        <v>13.690004022724551</v>
      </c>
      <c r="Q199" s="2">
        <f t="shared" si="53"/>
        <v>1.8991959357237314</v>
      </c>
      <c r="R199" s="47"/>
      <c r="S199" s="1" t="s">
        <v>9</v>
      </c>
      <c r="T199" s="1" t="s">
        <v>379</v>
      </c>
      <c r="U199" s="2">
        <f t="shared" si="54"/>
        <v>0.30217186024551468</v>
      </c>
      <c r="V199" s="2">
        <f t="shared" si="55"/>
        <v>0.115</v>
      </c>
      <c r="W199" s="2">
        <f t="shared" si="56"/>
        <v>0.63306531190791049</v>
      </c>
      <c r="X199" s="2">
        <f t="shared" si="58"/>
        <v>0.35007905738447503</v>
      </c>
      <c r="AB199" s="66">
        <v>4.7531992687385741E-2</v>
      </c>
      <c r="AC199" s="2">
        <v>1.8991959357237314</v>
      </c>
    </row>
    <row r="200" spans="2:29">
      <c r="B200" s="1" t="s">
        <v>160</v>
      </c>
      <c r="C200" s="1" t="s">
        <v>380</v>
      </c>
      <c r="D200">
        <v>279</v>
      </c>
      <c r="E200">
        <v>7000</v>
      </c>
      <c r="F200">
        <v>262</v>
      </c>
      <c r="G200">
        <v>837</v>
      </c>
      <c r="H200">
        <v>54</v>
      </c>
      <c r="I200">
        <v>147</v>
      </c>
      <c r="J200">
        <v>36</v>
      </c>
      <c r="K200" s="66">
        <f t="shared" si="50"/>
        <v>0.19354838709677419</v>
      </c>
      <c r="L200" s="66">
        <f t="shared" si="51"/>
        <v>2.1000000000000001E-2</v>
      </c>
      <c r="M200" s="66">
        <f t="shared" si="52"/>
        <v>0.13740458015267176</v>
      </c>
      <c r="N200" s="66"/>
      <c r="O200" s="48">
        <v>310070</v>
      </c>
      <c r="P200" s="47">
        <v>12.644553357422502</v>
      </c>
      <c r="Q200" s="2">
        <f t="shared" si="53"/>
        <v>2.8470756524482197</v>
      </c>
      <c r="R200" s="47"/>
      <c r="S200" s="1" t="s">
        <v>160</v>
      </c>
      <c r="T200" s="1" t="s">
        <v>380</v>
      </c>
      <c r="U200" s="2">
        <f t="shared" si="54"/>
        <v>0.64516129032258063</v>
      </c>
      <c r="V200" s="2">
        <f t="shared" si="55"/>
        <v>0.70000000000000007</v>
      </c>
      <c r="W200" s="2">
        <f t="shared" si="56"/>
        <v>0.94902521748273994</v>
      </c>
      <c r="X200" s="2">
        <f t="shared" si="58"/>
        <v>0.76472883593510688</v>
      </c>
      <c r="AB200" s="66">
        <v>0.13740458015267176</v>
      </c>
      <c r="AC200" s="2">
        <v>2.8470756524482197</v>
      </c>
    </row>
    <row r="201" spans="2:29">
      <c r="B201" s="1" t="s">
        <v>153</v>
      </c>
      <c r="C201" s="1" t="s">
        <v>381</v>
      </c>
      <c r="D201" s="17">
        <v>74</v>
      </c>
      <c r="E201" t="e">
        <v>#N/A</v>
      </c>
      <c r="F201">
        <v>93</v>
      </c>
      <c r="G201" t="e">
        <v>#N/A</v>
      </c>
      <c r="H201">
        <v>9</v>
      </c>
      <c r="I201">
        <v>159</v>
      </c>
      <c r="J201">
        <v>13</v>
      </c>
      <c r="K201" s="66">
        <f t="shared" si="50"/>
        <v>0.12162162162162163</v>
      </c>
      <c r="L201" s="66" t="e">
        <f t="shared" si="51"/>
        <v>#N/A</v>
      </c>
      <c r="M201" s="66">
        <f t="shared" si="52"/>
        <v>0.13978494623655913</v>
      </c>
      <c r="N201" s="66"/>
      <c r="O201" s="48">
        <v>527970</v>
      </c>
      <c r="P201" s="47">
        <v>13.176794742892366</v>
      </c>
      <c r="Q201" s="2">
        <f t="shared" si="53"/>
        <v>0.9865828719091394</v>
      </c>
      <c r="R201" s="47"/>
      <c r="S201" s="1" t="s">
        <v>153</v>
      </c>
      <c r="T201" s="1" t="s">
        <v>381</v>
      </c>
      <c r="U201" s="2">
        <f t="shared" si="54"/>
        <v>0.40540540540540543</v>
      </c>
      <c r="V201" s="2" t="e">
        <f t="shared" si="55"/>
        <v>#N/A</v>
      </c>
      <c r="W201" s="2">
        <f t="shared" si="56"/>
        <v>0.32886095730304649</v>
      </c>
      <c r="X201" s="2">
        <f t="shared" si="58"/>
        <v>0.36713318135422596</v>
      </c>
      <c r="AB201" s="66">
        <v>0.13978494623655913</v>
      </c>
      <c r="AC201" s="2">
        <v>0.9865828719091394</v>
      </c>
    </row>
    <row r="202" spans="2:29">
      <c r="B202" s="1" t="s">
        <v>145</v>
      </c>
      <c r="C202" s="1" t="s">
        <v>382</v>
      </c>
      <c r="D202" s="17">
        <v>255</v>
      </c>
      <c r="E202">
        <v>4600</v>
      </c>
      <c r="F202">
        <v>252</v>
      </c>
      <c r="G202">
        <v>770</v>
      </c>
      <c r="H202">
        <v>8</v>
      </c>
      <c r="I202">
        <v>8</v>
      </c>
      <c r="J202">
        <v>13</v>
      </c>
      <c r="K202" s="66">
        <f t="shared" si="50"/>
        <v>3.1372549019607843E-2</v>
      </c>
      <c r="L202" s="66">
        <f t="shared" si="51"/>
        <v>1.7391304347826088E-3</v>
      </c>
      <c r="M202" s="66">
        <f t="shared" si="52"/>
        <v>5.1587301587301584E-2</v>
      </c>
      <c r="N202" s="66"/>
      <c r="O202" s="48">
        <v>743390</v>
      </c>
      <c r="P202" s="47">
        <v>13.518976085046447</v>
      </c>
      <c r="Q202" s="2">
        <f t="shared" si="53"/>
        <v>0.96161128758704628</v>
      </c>
      <c r="R202" s="47"/>
      <c r="S202" s="1" t="s">
        <v>145</v>
      </c>
      <c r="T202" s="1" t="s">
        <v>382</v>
      </c>
      <c r="U202" s="2">
        <f t="shared" si="54"/>
        <v>0.10457516339869281</v>
      </c>
      <c r="V202" s="2">
        <f t="shared" si="55"/>
        <v>5.7971014492753631E-2</v>
      </c>
      <c r="W202" s="2">
        <f t="shared" si="56"/>
        <v>0.32053709586234874</v>
      </c>
      <c r="X202" s="2">
        <f t="shared" si="58"/>
        <v>0.16102775791793172</v>
      </c>
      <c r="AB202" s="66">
        <v>5.1587301587301584E-2</v>
      </c>
      <c r="AC202" s="2">
        <v>0.96161128758704628</v>
      </c>
    </row>
    <row r="203" spans="2:29">
      <c r="B203" s="1" t="s">
        <v>138</v>
      </c>
      <c r="C203" s="1" t="s">
        <v>383</v>
      </c>
      <c r="D203" s="17">
        <v>222</v>
      </c>
      <c r="E203">
        <v>4200</v>
      </c>
      <c r="F203">
        <v>229</v>
      </c>
      <c r="G203">
        <v>661</v>
      </c>
      <c r="H203">
        <v>8</v>
      </c>
      <c r="I203">
        <v>17</v>
      </c>
      <c r="J203">
        <v>12</v>
      </c>
      <c r="K203" s="66">
        <f t="shared" si="50"/>
        <v>3.6036036036036036E-2</v>
      </c>
      <c r="L203" s="66">
        <f t="shared" si="51"/>
        <v>4.0476190476190473E-3</v>
      </c>
      <c r="M203" s="66">
        <f t="shared" si="52"/>
        <v>5.2401746724890827E-2</v>
      </c>
      <c r="N203" s="66"/>
      <c r="O203" s="48">
        <v>386850</v>
      </c>
      <c r="P203" s="47">
        <v>12.865792299977601</v>
      </c>
      <c r="Q203" s="2">
        <f t="shared" si="53"/>
        <v>0.93270586996969407</v>
      </c>
      <c r="R203" s="47"/>
      <c r="S203" s="1" t="s">
        <v>138</v>
      </c>
      <c r="T203" s="1" t="s">
        <v>383</v>
      </c>
      <c r="U203" s="2">
        <f t="shared" si="54"/>
        <v>0.12012012012012012</v>
      </c>
      <c r="V203" s="2">
        <f t="shared" si="55"/>
        <v>0.13492063492063491</v>
      </c>
      <c r="W203" s="2">
        <f t="shared" si="56"/>
        <v>0.31090195665656467</v>
      </c>
      <c r="X203" s="2">
        <f t="shared" si="58"/>
        <v>0.18864757056577322</v>
      </c>
      <c r="AB203" s="66">
        <v>5.2401746724890827E-2</v>
      </c>
      <c r="AC203" s="2">
        <v>0.93270586996969407</v>
      </c>
    </row>
  </sheetData>
  <pageMargins left="0.75" right="0.75" top="1" bottom="1" header="0.5" footer="0.5"/>
  <pageSetup orientation="portrait" horizontalDpi="4294967292" verticalDpi="429496729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2" tint="-0.749992370372631"/>
  </sheetPr>
  <dimension ref="A1:AS198"/>
  <sheetViews>
    <sheetView workbookViewId="0">
      <pane xSplit="2" ySplit="6" topLeftCell="C166" activePane="bottomRight" state="frozen"/>
      <selection activeCell="I190" sqref="I190"/>
      <selection pane="topRight" activeCell="I190" sqref="I190"/>
      <selection pane="bottomLeft" activeCell="I190" sqref="I190"/>
      <selection pane="bottomRight" activeCell="I190" sqref="I190"/>
    </sheetView>
  </sheetViews>
  <sheetFormatPr baseColWidth="10" defaultRowHeight="15" x14ac:dyDescent="0"/>
  <cols>
    <col min="1" max="2" width="21.6640625" customWidth="1"/>
  </cols>
  <sheetData>
    <row r="1" spans="1:45">
      <c r="C1" s="17"/>
      <c r="D1" s="17"/>
      <c r="E1" s="17"/>
      <c r="F1" s="17"/>
    </row>
    <row r="2" spans="1:45">
      <c r="C2" s="17"/>
      <c r="D2" s="17"/>
      <c r="E2" s="17"/>
      <c r="F2" s="17"/>
    </row>
    <row r="3" spans="1:45">
      <c r="C3" s="17"/>
      <c r="D3" s="17"/>
      <c r="E3" s="17"/>
      <c r="F3" s="17"/>
    </row>
    <row r="4" spans="1:45">
      <c r="C4" s="17"/>
      <c r="D4" s="17"/>
      <c r="E4" s="17"/>
      <c r="F4" s="17"/>
    </row>
    <row r="5" spans="1:45">
      <c r="A5" s="12"/>
      <c r="B5" s="12"/>
      <c r="C5" s="17"/>
      <c r="D5" s="17"/>
      <c r="E5" s="17"/>
      <c r="F5" s="17"/>
      <c r="G5" s="12">
        <v>1</v>
      </c>
      <c r="H5" s="12">
        <v>1</v>
      </c>
      <c r="I5" s="12">
        <v>1</v>
      </c>
      <c r="J5" s="12">
        <v>1</v>
      </c>
      <c r="K5" s="12">
        <v>1</v>
      </c>
      <c r="L5" s="12">
        <v>1</v>
      </c>
      <c r="M5" s="12">
        <v>1</v>
      </c>
      <c r="N5" s="12">
        <v>1</v>
      </c>
      <c r="O5" s="12">
        <v>1</v>
      </c>
      <c r="P5" s="12">
        <v>1</v>
      </c>
      <c r="Q5" s="12">
        <v>1</v>
      </c>
      <c r="R5" s="12">
        <v>1</v>
      </c>
      <c r="S5" s="12">
        <v>1</v>
      </c>
      <c r="T5" s="12">
        <v>1</v>
      </c>
      <c r="U5" s="12">
        <v>1</v>
      </c>
      <c r="V5" s="12">
        <v>1</v>
      </c>
      <c r="W5" s="12">
        <v>1</v>
      </c>
      <c r="X5" s="12">
        <v>1</v>
      </c>
      <c r="Y5" s="12">
        <v>1</v>
      </c>
      <c r="Z5" s="12">
        <v>1</v>
      </c>
      <c r="AA5" s="12">
        <v>1</v>
      </c>
      <c r="AB5" s="12">
        <v>1</v>
      </c>
      <c r="AC5" s="12">
        <v>1</v>
      </c>
      <c r="AD5" s="12">
        <v>1</v>
      </c>
      <c r="AE5" s="12"/>
      <c r="AF5" s="12">
        <v>5.7099999999999998E-2</v>
      </c>
      <c r="AG5" s="12">
        <v>5.7099999999999998E-2</v>
      </c>
      <c r="AH5" s="12">
        <v>5.7099999999999998E-2</v>
      </c>
      <c r="AI5" s="12">
        <v>5.7099999999999998E-2</v>
      </c>
      <c r="AJ5" s="12">
        <v>5.7099999999999998E-2</v>
      </c>
      <c r="AK5" s="12">
        <v>5.7099999999999998E-2</v>
      </c>
      <c r="AL5" s="12">
        <v>5.7099999999999998E-2</v>
      </c>
      <c r="AM5" s="12">
        <v>0.1</v>
      </c>
      <c r="AN5" s="12">
        <v>0.1</v>
      </c>
      <c r="AO5" s="12">
        <v>0.1</v>
      </c>
      <c r="AP5" s="12">
        <v>0.05</v>
      </c>
      <c r="AQ5" s="12">
        <v>0.1</v>
      </c>
      <c r="AR5" s="12">
        <v>0.1</v>
      </c>
      <c r="AS5" s="12">
        <v>0.05</v>
      </c>
    </row>
    <row r="6" spans="1:45" s="6" customFormat="1" ht="45">
      <c r="C6" s="24" t="s">
        <v>461</v>
      </c>
      <c r="D6" s="18" t="s">
        <v>457</v>
      </c>
      <c r="E6" s="18" t="s">
        <v>458</v>
      </c>
      <c r="F6" s="19" t="s">
        <v>459</v>
      </c>
      <c r="G6" s="6" t="s">
        <v>401</v>
      </c>
      <c r="H6" s="6" t="s">
        <v>402</v>
      </c>
      <c r="I6" s="6" t="s">
        <v>403</v>
      </c>
      <c r="J6" s="6" t="s">
        <v>404</v>
      </c>
      <c r="K6" s="6" t="s">
        <v>405</v>
      </c>
      <c r="L6" s="6" t="s">
        <v>406</v>
      </c>
      <c r="M6" s="6" t="s">
        <v>407</v>
      </c>
      <c r="N6" s="6" t="s">
        <v>408</v>
      </c>
      <c r="O6" s="6" t="s">
        <v>409</v>
      </c>
      <c r="P6" s="6" t="s">
        <v>410</v>
      </c>
      <c r="Q6" s="6" t="s">
        <v>411</v>
      </c>
      <c r="R6" s="6" t="s">
        <v>412</v>
      </c>
      <c r="S6" s="6" t="s">
        <v>413</v>
      </c>
      <c r="T6" s="6" t="s">
        <v>414</v>
      </c>
      <c r="U6" s="6" t="s">
        <v>415</v>
      </c>
      <c r="V6" s="6" t="s">
        <v>416</v>
      </c>
      <c r="W6" s="6" t="s">
        <v>417</v>
      </c>
      <c r="X6" s="6" t="s">
        <v>418</v>
      </c>
      <c r="Y6" s="6" t="s">
        <v>419</v>
      </c>
      <c r="Z6" s="6" t="s">
        <v>420</v>
      </c>
      <c r="AA6" s="6" t="s">
        <v>421</v>
      </c>
      <c r="AB6" s="6" t="s">
        <v>422</v>
      </c>
      <c r="AC6" s="6" t="s">
        <v>423</v>
      </c>
      <c r="AD6" s="6" t="s">
        <v>424</v>
      </c>
      <c r="AE6" s="25" t="s">
        <v>456</v>
      </c>
      <c r="AF6" s="6" t="s">
        <v>425</v>
      </c>
      <c r="AG6" s="6" t="s">
        <v>426</v>
      </c>
      <c r="AH6" s="6" t="s">
        <v>427</v>
      </c>
      <c r="AI6" s="6" t="s">
        <v>428</v>
      </c>
      <c r="AJ6" s="6" t="s">
        <v>429</v>
      </c>
      <c r="AK6" s="6" t="s">
        <v>430</v>
      </c>
      <c r="AL6" s="6" t="s">
        <v>431</v>
      </c>
      <c r="AM6" s="6" t="s">
        <v>432</v>
      </c>
      <c r="AN6" s="6" t="s">
        <v>433</v>
      </c>
      <c r="AO6" s="6" t="s">
        <v>434</v>
      </c>
      <c r="AP6" s="6" t="s">
        <v>435</v>
      </c>
      <c r="AQ6" s="6" t="s">
        <v>436</v>
      </c>
      <c r="AR6" s="6" t="s">
        <v>437</v>
      </c>
      <c r="AS6" s="6" t="s">
        <v>438</v>
      </c>
    </row>
    <row r="7" spans="1:45">
      <c r="A7" s="13" t="s">
        <v>192</v>
      </c>
      <c r="B7" s="14" t="s">
        <v>173</v>
      </c>
      <c r="C7" s="20" t="e">
        <v>#N/A</v>
      </c>
      <c r="D7" s="21">
        <v>1321</v>
      </c>
      <c r="E7" s="22">
        <v>7.19</v>
      </c>
      <c r="F7" s="23">
        <v>0.35</v>
      </c>
      <c r="G7" s="2">
        <v>0.72079762845849804</v>
      </c>
      <c r="H7" s="2">
        <v>0.35570000000000002</v>
      </c>
      <c r="I7" s="2">
        <v>0.53919999957084652</v>
      </c>
      <c r="J7" s="2">
        <v>0.7</v>
      </c>
      <c r="K7" s="2">
        <v>0.93666666666666665</v>
      </c>
      <c r="L7" s="2">
        <v>0.64479999966919421</v>
      </c>
      <c r="M7" s="2">
        <v>0.50916666666666666</v>
      </c>
      <c r="N7" s="2">
        <v>0.76335799983106556</v>
      </c>
      <c r="O7" s="2">
        <v>0.93686692848183339</v>
      </c>
      <c r="P7" s="2">
        <v>0.95348838248433332</v>
      </c>
      <c r="Q7" s="2">
        <v>0.44</v>
      </c>
      <c r="R7" s="2">
        <v>1</v>
      </c>
      <c r="S7" s="2">
        <v>0.78249999999999997</v>
      </c>
      <c r="T7" s="2">
        <v>0.96320000000000006</v>
      </c>
      <c r="U7" s="2">
        <v>0.85623258458003448</v>
      </c>
      <c r="V7" s="2">
        <v>0.72056594200000001</v>
      </c>
      <c r="W7" s="2">
        <v>0.17691429857984808</v>
      </c>
      <c r="X7" s="2">
        <v>1</v>
      </c>
      <c r="Y7" s="2">
        <v>0</v>
      </c>
      <c r="Z7" s="2">
        <v>0</v>
      </c>
      <c r="AA7" s="2">
        <v>0.85599999999999998</v>
      </c>
      <c r="AB7" s="2">
        <v>0.58499999999999996</v>
      </c>
      <c r="AC7" s="2">
        <v>7.3593670944298792E-2</v>
      </c>
      <c r="AD7" s="2">
        <v>0.73043999947607519</v>
      </c>
      <c r="AE7" s="16">
        <f>mmean(G7:AD7)</f>
        <v>0.63518711530872352</v>
      </c>
      <c r="AF7" s="2" t="e">
        <v>#N/A</v>
      </c>
      <c r="AG7" s="2" t="e">
        <v>#N/A</v>
      </c>
      <c r="AH7" s="2" t="e">
        <v>#N/A</v>
      </c>
      <c r="AI7" s="2" t="e">
        <v>#N/A</v>
      </c>
      <c r="AJ7" s="2" t="e">
        <v>#N/A</v>
      </c>
      <c r="AK7" s="2" t="e">
        <v>#N/A</v>
      </c>
      <c r="AL7" s="2" t="e">
        <v>#N/A</v>
      </c>
      <c r="AM7" s="2">
        <v>0</v>
      </c>
      <c r="AN7" s="2">
        <v>0.22558544482222903</v>
      </c>
      <c r="AO7" s="2">
        <v>0.18910096309120988</v>
      </c>
      <c r="AP7" s="2">
        <v>0.44291253005190162</v>
      </c>
      <c r="AQ7" s="2">
        <v>5.0936772868643114E-2</v>
      </c>
      <c r="AR7" s="2">
        <v>9.5138524130479671E-2</v>
      </c>
      <c r="AS7" s="2" t="e">
        <v>#N/A</v>
      </c>
    </row>
    <row r="8" spans="1:45">
      <c r="A8" s="13" t="s">
        <v>193</v>
      </c>
      <c r="B8" s="14" t="s">
        <v>123</v>
      </c>
      <c r="C8" s="20">
        <v>64.7</v>
      </c>
      <c r="D8" s="21">
        <v>8716</v>
      </c>
      <c r="E8" s="22">
        <v>9.07</v>
      </c>
      <c r="F8" s="23">
        <v>0.82</v>
      </c>
      <c r="G8" s="2">
        <v>0.67574999999999996</v>
      </c>
      <c r="H8" s="2">
        <v>4.4080000000000001E-2</v>
      </c>
      <c r="I8" s="2">
        <v>6.8799999132752365E-2</v>
      </c>
      <c r="J8" s="2">
        <v>0.52500000000000002</v>
      </c>
      <c r="K8" s="2">
        <v>3.3333333333333333E-2</v>
      </c>
      <c r="L8" s="2">
        <v>5.9199999123811686E-2</v>
      </c>
      <c r="M8" s="2">
        <v>0.28591666666666671</v>
      </c>
      <c r="N8" s="2">
        <v>0.53166399988234048</v>
      </c>
      <c r="O8" s="2">
        <v>0.83609287072641369</v>
      </c>
      <c r="P8" s="2">
        <v>0.34</v>
      </c>
      <c r="Q8" s="2">
        <v>0.56179999928921465</v>
      </c>
      <c r="R8" s="2">
        <v>0.13199999973177909</v>
      </c>
      <c r="S8" s="2">
        <v>7.4999999999999997E-2</v>
      </c>
      <c r="T8" s="2">
        <v>0.74712000000000001</v>
      </c>
      <c r="U8" s="2">
        <v>0.22863281814187897</v>
      </c>
      <c r="V8" s="2">
        <v>0.11386138599999999</v>
      </c>
      <c r="W8" s="2">
        <v>2.6807414893567402E-2</v>
      </c>
      <c r="X8" s="2">
        <v>1.5390022686769469E-2</v>
      </c>
      <c r="Y8" s="2">
        <v>6.0117243360477038E-2</v>
      </c>
      <c r="Z8" s="2">
        <v>0.101428297547159</v>
      </c>
      <c r="AA8" s="2">
        <v>0</v>
      </c>
      <c r="AB8" s="2">
        <v>1</v>
      </c>
      <c r="AC8" s="2">
        <v>0.32846715328467158</v>
      </c>
      <c r="AD8" s="2">
        <v>0.67239999860525135</v>
      </c>
      <c r="AE8" s="16">
        <f t="shared" ref="AE8:AE71" si="0">mmean(G8:AD8)</f>
        <v>0.31095255010025358</v>
      </c>
      <c r="AF8" s="2">
        <v>0.68</v>
      </c>
      <c r="AG8" s="2">
        <v>0.7</v>
      </c>
      <c r="AH8" s="2">
        <v>0.92599999999999993</v>
      </c>
      <c r="AI8" s="2">
        <v>0.74199999999999999</v>
      </c>
      <c r="AJ8" s="2">
        <v>0.7</v>
      </c>
      <c r="AK8" s="2">
        <v>0.78700000000000003</v>
      </c>
      <c r="AL8" s="2">
        <v>0.85799999999999998</v>
      </c>
      <c r="AM8" s="2">
        <v>0.48595287141135773</v>
      </c>
      <c r="AN8" s="2">
        <v>0.5312012075853958</v>
      </c>
      <c r="AO8" s="2">
        <v>0.42135370421137103</v>
      </c>
      <c r="AP8" s="2">
        <v>1</v>
      </c>
      <c r="AQ8" s="2">
        <v>0.24220353216679932</v>
      </c>
      <c r="AR8" s="2">
        <v>0.39793031084894342</v>
      </c>
      <c r="AS8" s="2">
        <v>0.52100000000000002</v>
      </c>
    </row>
    <row r="9" spans="1:45">
      <c r="A9" s="13" t="s">
        <v>194</v>
      </c>
      <c r="B9" s="14" t="s">
        <v>74</v>
      </c>
      <c r="C9" s="20">
        <v>60.9</v>
      </c>
      <c r="D9" s="21">
        <v>8172</v>
      </c>
      <c r="E9" s="22">
        <v>9.01</v>
      </c>
      <c r="F9" s="23">
        <v>0.75</v>
      </c>
      <c r="G9" s="2">
        <v>0.42351724137931035</v>
      </c>
      <c r="H9" s="2">
        <v>0.52649999999999997</v>
      </c>
      <c r="I9" s="2">
        <v>0.2031999992579222</v>
      </c>
      <c r="J9" s="2">
        <v>0.57499999999999996</v>
      </c>
      <c r="K9" s="2">
        <v>6.7333333333333328E-2</v>
      </c>
      <c r="L9" s="2">
        <v>8.7999999150633834E-2</v>
      </c>
      <c r="M9" s="2">
        <v>0.66583333333333339</v>
      </c>
      <c r="N9" s="2">
        <v>0.34481399992369122</v>
      </c>
      <c r="O9" s="2">
        <v>0.9679067287719495</v>
      </c>
      <c r="P9" s="2">
        <v>0.08</v>
      </c>
      <c r="Q9" s="2">
        <v>0.71019999910146003</v>
      </c>
      <c r="R9" s="2">
        <v>6.4799999892711638E-2</v>
      </c>
      <c r="S9" s="2">
        <v>0.20749999999999999</v>
      </c>
      <c r="T9" s="2">
        <v>0.82543999999999995</v>
      </c>
      <c r="U9" s="2">
        <v>0.3101302621202171</v>
      </c>
      <c r="V9" s="2">
        <v>0.52331606200000003</v>
      </c>
      <c r="W9" s="2">
        <v>3.6429246601938048E-4</v>
      </c>
      <c r="X9" s="2">
        <v>7.6096982714580763E-2</v>
      </c>
      <c r="Y9" s="2">
        <v>1.0060310681844005E-3</v>
      </c>
      <c r="Z9" s="2">
        <v>3.96350430218027E-2</v>
      </c>
      <c r="AA9" s="2">
        <v>7.0000000000000062E-3</v>
      </c>
      <c r="AB9" s="2">
        <v>0</v>
      </c>
      <c r="AC9" s="2">
        <v>1.4485208293096644E-2</v>
      </c>
      <c r="AD9" s="2">
        <v>0.29478399934321642</v>
      </c>
      <c r="AE9" s="16">
        <f t="shared" si="0"/>
        <v>0.29236927146547759</v>
      </c>
      <c r="AF9" s="2">
        <v>0.71200000000000008</v>
      </c>
      <c r="AG9" s="2">
        <v>0.3</v>
      </c>
      <c r="AH9" s="2">
        <v>0.83499999999999996</v>
      </c>
      <c r="AI9" s="2">
        <v>0.7340000000000001</v>
      </c>
      <c r="AJ9" s="2">
        <v>0.45</v>
      </c>
      <c r="AK9" s="2">
        <v>0.77200000000000002</v>
      </c>
      <c r="AL9" s="2">
        <v>0.70700000000000007</v>
      </c>
      <c r="AM9" s="2">
        <v>0.26295143870776844</v>
      </c>
      <c r="AN9" s="2">
        <v>0.29330459519904278</v>
      </c>
      <c r="AO9" s="2">
        <v>0.40286887240132463</v>
      </c>
      <c r="AP9" s="2">
        <v>1</v>
      </c>
      <c r="AQ9" s="2">
        <v>0.43301383724062092</v>
      </c>
      <c r="AR9" s="2">
        <v>0.35515104102282147</v>
      </c>
      <c r="AS9" s="2">
        <v>0.56399999999999995</v>
      </c>
    </row>
    <row r="10" spans="1:45">
      <c r="A10" s="13" t="s">
        <v>195</v>
      </c>
      <c r="B10" s="14" t="s">
        <v>17</v>
      </c>
      <c r="C10" s="20" t="e">
        <v>#N/A</v>
      </c>
      <c r="D10" s="21">
        <v>44900</v>
      </c>
      <c r="E10" s="22">
        <v>10.71</v>
      </c>
      <c r="F10" s="23">
        <v>0.93</v>
      </c>
      <c r="G10" s="2">
        <v>0.39662449799196786</v>
      </c>
      <c r="H10" s="2">
        <v>0.52649999999999997</v>
      </c>
      <c r="I10" s="2">
        <v>0</v>
      </c>
      <c r="J10" s="2">
        <v>0.55000000000000004</v>
      </c>
      <c r="K10" s="2">
        <v>0</v>
      </c>
      <c r="L10" s="2">
        <v>0</v>
      </c>
      <c r="M10" s="2">
        <v>0.66583333333333339</v>
      </c>
      <c r="N10" s="2">
        <v>0.1165539999742061</v>
      </c>
      <c r="O10" s="2">
        <v>1</v>
      </c>
      <c r="P10" s="2">
        <v>0.32</v>
      </c>
      <c r="Q10" s="2">
        <v>0.71019999910146003</v>
      </c>
      <c r="R10" s="2">
        <v>0</v>
      </c>
      <c r="S10" s="2">
        <v>6.7499999999999991E-2</v>
      </c>
      <c r="T10" s="2">
        <v>0.53552</v>
      </c>
      <c r="U10" s="2">
        <v>0.3101302621202171</v>
      </c>
      <c r="V10" s="2">
        <v>8.3989501999999994E-2</v>
      </c>
      <c r="W10" s="2">
        <v>0</v>
      </c>
      <c r="X10" s="2">
        <v>7.6096982714580763E-2</v>
      </c>
      <c r="Y10" s="2">
        <v>0</v>
      </c>
      <c r="Z10" s="2">
        <v>0</v>
      </c>
      <c r="AA10" s="2">
        <v>0</v>
      </c>
      <c r="AB10" s="2">
        <v>0</v>
      </c>
      <c r="AC10" s="2">
        <v>1.4485208293096644E-2</v>
      </c>
      <c r="AD10" s="2">
        <v>0</v>
      </c>
      <c r="AE10" s="16">
        <f t="shared" si="0"/>
        <v>0.2238930743970359</v>
      </c>
      <c r="AF10" s="2" t="e">
        <v>#N/A</v>
      </c>
      <c r="AG10" s="2" t="e">
        <v>#N/A</v>
      </c>
      <c r="AH10" s="2" t="e">
        <v>#N/A</v>
      </c>
      <c r="AI10" s="2" t="e">
        <v>#N/A</v>
      </c>
      <c r="AJ10" s="2" t="e">
        <v>#N/A</v>
      </c>
      <c r="AK10" s="2" t="e">
        <v>#N/A</v>
      </c>
      <c r="AL10" s="2" t="e">
        <v>#N/A</v>
      </c>
      <c r="AM10" s="2">
        <v>0.76255019762189513</v>
      </c>
      <c r="AN10" s="2">
        <v>0.77162951967828775</v>
      </c>
      <c r="AO10" s="2">
        <v>0.76851503651085529</v>
      </c>
      <c r="AP10" s="2">
        <v>0.81710684695965674</v>
      </c>
      <c r="AQ10" s="2">
        <v>0.14177609156061069</v>
      </c>
      <c r="AR10" s="2">
        <v>0.74542285539150466</v>
      </c>
      <c r="AS10" s="2" t="e">
        <v>#N/A</v>
      </c>
    </row>
    <row r="11" spans="1:45">
      <c r="A11" s="13" t="s">
        <v>196</v>
      </c>
      <c r="B11" s="14" t="s">
        <v>98</v>
      </c>
      <c r="C11" s="20">
        <v>42.7</v>
      </c>
      <c r="D11" s="21">
        <v>5812</v>
      </c>
      <c r="E11" s="22">
        <v>8.67</v>
      </c>
      <c r="F11" s="23">
        <v>0.56000000000000005</v>
      </c>
      <c r="G11" s="2">
        <v>0.33537626176218988</v>
      </c>
      <c r="H11" s="2">
        <v>4.3270000000000001E-3</v>
      </c>
      <c r="I11" s="2">
        <v>0.51999999955296516</v>
      </c>
      <c r="J11" s="2">
        <v>0.35</v>
      </c>
      <c r="K11" s="2">
        <v>0.84399999999999997</v>
      </c>
      <c r="L11" s="2">
        <v>0.4527999994903803</v>
      </c>
      <c r="M11" s="2">
        <v>0.52441666666666664</v>
      </c>
      <c r="N11" s="2">
        <v>0.42823999990522865</v>
      </c>
      <c r="O11" s="2">
        <v>0.98623529411766664</v>
      </c>
      <c r="P11" s="2">
        <v>1</v>
      </c>
      <c r="Q11" s="2">
        <v>0.58299999926239254</v>
      </c>
      <c r="R11" s="2">
        <v>0.84000000000000008</v>
      </c>
      <c r="S11" s="2">
        <v>0.20749999999999999</v>
      </c>
      <c r="T11" s="2">
        <v>0.93959999999999999</v>
      </c>
      <c r="U11" s="2">
        <v>0.79687555037841329</v>
      </c>
      <c r="V11" s="2">
        <v>0.92385786800000003</v>
      </c>
      <c r="W11" s="2">
        <v>2.7604677270290964E-2</v>
      </c>
      <c r="X11" s="2">
        <v>0.90992258083775568</v>
      </c>
      <c r="Y11" s="2">
        <v>2.8238353245001592E-3</v>
      </c>
      <c r="Z11" s="2">
        <v>5.2795712771018903E-2</v>
      </c>
      <c r="AA11" s="2">
        <v>0.73799999999999999</v>
      </c>
      <c r="AB11" s="2">
        <v>0.64</v>
      </c>
      <c r="AC11" s="2">
        <v>1.8047645784872061E-2</v>
      </c>
      <c r="AD11" s="2">
        <v>0.91472000269757547</v>
      </c>
      <c r="AE11" s="16">
        <f t="shared" si="0"/>
        <v>0.54333929557591321</v>
      </c>
      <c r="AF11" s="2">
        <v>0.434</v>
      </c>
      <c r="AG11" s="2">
        <v>0.4</v>
      </c>
      <c r="AH11" s="2">
        <v>0.85099999999999998</v>
      </c>
      <c r="AI11" s="2">
        <v>0.628</v>
      </c>
      <c r="AJ11" s="2">
        <v>0.35</v>
      </c>
      <c r="AK11" s="2">
        <v>0.626</v>
      </c>
      <c r="AL11" s="2">
        <v>0.70400000000000007</v>
      </c>
      <c r="AM11" s="2">
        <v>0.45229970171283157</v>
      </c>
      <c r="AN11" s="2">
        <v>0.27392429019300557</v>
      </c>
      <c r="AO11" s="2">
        <v>0.23534805866497618</v>
      </c>
      <c r="AP11" s="2">
        <v>0.48224351646816138</v>
      </c>
      <c r="AQ11" s="2">
        <v>3.6642680071219805E-2</v>
      </c>
      <c r="AR11" s="2">
        <v>0.26364930530479852</v>
      </c>
      <c r="AS11" s="2">
        <v>0.45200000000000001</v>
      </c>
    </row>
    <row r="12" spans="1:45">
      <c r="A12" s="13" t="s">
        <v>197</v>
      </c>
      <c r="B12" s="14" t="s">
        <v>157</v>
      </c>
      <c r="C12" s="20" t="e">
        <v>#N/A</v>
      </c>
      <c r="D12" s="21">
        <v>18778</v>
      </c>
      <c r="E12" s="22">
        <v>9.84</v>
      </c>
      <c r="F12" s="23">
        <v>0.87</v>
      </c>
      <c r="G12" s="2">
        <v>0.5</v>
      </c>
      <c r="H12" s="2">
        <v>0.5</v>
      </c>
      <c r="I12" s="2">
        <v>0.19919999755918982</v>
      </c>
      <c r="J12" s="2">
        <v>0.17500000000000004</v>
      </c>
      <c r="K12" s="2">
        <v>0</v>
      </c>
      <c r="L12" s="2">
        <v>0.16399999745190141</v>
      </c>
      <c r="M12" s="2">
        <v>0.71158333333333335</v>
      </c>
      <c r="N12" s="2">
        <v>0.70316199984438721</v>
      </c>
      <c r="O12" s="2">
        <v>0.99729166666666669</v>
      </c>
      <c r="P12" s="2">
        <v>0.46</v>
      </c>
      <c r="Q12" s="2">
        <v>0.98579999875277291</v>
      </c>
      <c r="R12" s="2">
        <v>0</v>
      </c>
      <c r="S12" s="2">
        <v>0.3175</v>
      </c>
      <c r="T12" s="2">
        <v>0.85519999999999996</v>
      </c>
      <c r="U12" s="2">
        <v>0.43528779949356944</v>
      </c>
      <c r="V12" s="2">
        <v>0.25294117599999999</v>
      </c>
      <c r="W12" s="2">
        <v>0</v>
      </c>
      <c r="X12" s="2">
        <v>5.0000000000000001E-3</v>
      </c>
      <c r="Y12" s="2">
        <v>0.40674142063787289</v>
      </c>
      <c r="Z12" s="2">
        <v>0.31135530638454401</v>
      </c>
      <c r="AA12" s="2">
        <v>5.0000000000000044E-2</v>
      </c>
      <c r="AB12" s="2">
        <v>0</v>
      </c>
      <c r="AC12" s="2">
        <v>0</v>
      </c>
      <c r="AD12" s="2">
        <v>0.67040000919999998</v>
      </c>
      <c r="AE12" s="16">
        <f t="shared" si="0"/>
        <v>0.36251927938850992</v>
      </c>
      <c r="AF12" s="2" t="e">
        <v>#N/A</v>
      </c>
      <c r="AG12" s="2" t="e">
        <v>#N/A</v>
      </c>
      <c r="AH12" s="2" t="e">
        <v>#N/A</v>
      </c>
      <c r="AI12" s="2" t="e">
        <v>#N/A</v>
      </c>
      <c r="AJ12" s="2" t="e">
        <v>#N/A</v>
      </c>
      <c r="AK12" s="2" t="e">
        <v>#N/A</v>
      </c>
      <c r="AL12" s="2" t="e">
        <v>#N/A</v>
      </c>
      <c r="AM12" s="2">
        <v>0.64898105686399365</v>
      </c>
      <c r="AN12" s="2">
        <v>0.60052982470950489</v>
      </c>
      <c r="AO12" s="2">
        <v>0.76851503651085529</v>
      </c>
      <c r="AP12" s="2">
        <v>1</v>
      </c>
      <c r="AQ12" s="2">
        <v>0.21025099999999999</v>
      </c>
      <c r="AR12" s="2">
        <v>0.69496892869132576</v>
      </c>
      <c r="AS12" s="2" t="e">
        <v>#N/A</v>
      </c>
    </row>
    <row r="13" spans="1:45">
      <c r="A13" s="13" t="s">
        <v>198</v>
      </c>
      <c r="B13" s="14" t="s">
        <v>13</v>
      </c>
      <c r="C13" s="20">
        <v>70.3</v>
      </c>
      <c r="D13" s="21">
        <v>14538</v>
      </c>
      <c r="E13" s="22">
        <v>9.58</v>
      </c>
      <c r="F13" s="23">
        <v>0.87</v>
      </c>
      <c r="G13" s="2">
        <v>0.20756588419405322</v>
      </c>
      <c r="H13" s="2">
        <v>4.8011999821141363E-2</v>
      </c>
      <c r="I13" s="2">
        <v>6.8799999132752365E-2</v>
      </c>
      <c r="J13" s="2">
        <v>0.19999999999999996</v>
      </c>
      <c r="K13" s="2">
        <v>2E-3</v>
      </c>
      <c r="L13" s="2">
        <v>0.13599999919533734</v>
      </c>
      <c r="M13" s="2">
        <v>0.32058333333333333</v>
      </c>
      <c r="N13" s="2">
        <v>7.8779999982565643E-2</v>
      </c>
      <c r="O13" s="2">
        <v>0.92481438249048975</v>
      </c>
      <c r="P13" s="2">
        <v>0.08</v>
      </c>
      <c r="Q13" s="2">
        <v>0</v>
      </c>
      <c r="R13" s="2">
        <v>0.12</v>
      </c>
      <c r="S13" s="2">
        <v>0.3175</v>
      </c>
      <c r="T13" s="2">
        <v>0.72840000000000005</v>
      </c>
      <c r="U13" s="2">
        <v>0.25358766694560642</v>
      </c>
      <c r="V13" s="2">
        <v>0.27358490600000002</v>
      </c>
      <c r="W13" s="2">
        <v>0</v>
      </c>
      <c r="X13" s="2">
        <v>4.3189066662871124E-2</v>
      </c>
      <c r="Y13" s="2">
        <v>1.8841976410093067E-2</v>
      </c>
      <c r="Z13" s="2">
        <v>0.109338425914286</v>
      </c>
      <c r="AA13" s="2">
        <v>2.8000000000000025E-2</v>
      </c>
      <c r="AB13" s="2">
        <v>0.19</v>
      </c>
      <c r="AC13" s="2">
        <v>1.1510255089177072E-2</v>
      </c>
      <c r="AD13" s="2">
        <v>0.74199999906122682</v>
      </c>
      <c r="AE13" s="16">
        <f t="shared" si="0"/>
        <v>0.20427116225970554</v>
      </c>
      <c r="AF13" s="2">
        <v>0.621</v>
      </c>
      <c r="AG13" s="2">
        <v>0.3</v>
      </c>
      <c r="AH13" s="2">
        <v>0.69499999999999995</v>
      </c>
      <c r="AI13" s="2">
        <v>0.75599999999999989</v>
      </c>
      <c r="AJ13" s="2">
        <v>0.45</v>
      </c>
      <c r="AK13" s="2">
        <v>0.61199999999999999</v>
      </c>
      <c r="AL13" s="2">
        <v>0.69499999999999995</v>
      </c>
      <c r="AM13" s="2">
        <v>0.4968185249329885</v>
      </c>
      <c r="AN13" s="2">
        <v>0.54949827327755718</v>
      </c>
      <c r="AO13" s="2">
        <v>0.40365139180743836</v>
      </c>
      <c r="AP13" s="2">
        <v>1</v>
      </c>
      <c r="AQ13" s="2">
        <v>0.90956414415482434</v>
      </c>
      <c r="AR13" s="2">
        <v>0.36865172272332786</v>
      </c>
      <c r="AS13" s="2">
        <v>0.501</v>
      </c>
    </row>
    <row r="14" spans="1:45">
      <c r="A14" s="13" t="s">
        <v>199</v>
      </c>
      <c r="B14" s="14" t="s">
        <v>75</v>
      </c>
      <c r="C14" s="20">
        <v>69.7</v>
      </c>
      <c r="D14" s="21">
        <v>5279</v>
      </c>
      <c r="E14" s="22">
        <v>8.57</v>
      </c>
      <c r="F14" s="23">
        <v>0.8</v>
      </c>
      <c r="G14" s="2">
        <v>0.62183219653179189</v>
      </c>
      <c r="H14" s="2">
        <v>0.40028999918662012</v>
      </c>
      <c r="I14" s="2">
        <v>7.8399999141693155E-2</v>
      </c>
      <c r="J14" s="2">
        <v>0.67500000000000004</v>
      </c>
      <c r="K14" s="2">
        <v>4.3333333333333335E-2</v>
      </c>
      <c r="L14" s="2">
        <v>0.13599999919533734</v>
      </c>
      <c r="M14" s="2">
        <v>0.27966666666666667</v>
      </c>
      <c r="N14" s="2">
        <v>0.36582199991904196</v>
      </c>
      <c r="O14" s="2">
        <v>0.88119770910725392</v>
      </c>
      <c r="P14" s="2">
        <v>0.14000000000000001</v>
      </c>
      <c r="Q14" s="2">
        <v>0.8691999989002942</v>
      </c>
      <c r="R14" s="2">
        <v>1.0999999977648259E-2</v>
      </c>
      <c r="S14" s="2">
        <v>7.4999999999999997E-2</v>
      </c>
      <c r="T14" s="2">
        <v>0.50944</v>
      </c>
      <c r="U14" s="2">
        <v>0.28808210600212303</v>
      </c>
      <c r="V14" s="2">
        <v>0.144249512</v>
      </c>
      <c r="W14" s="2">
        <v>8.5198686826045145E-2</v>
      </c>
      <c r="X14" s="2">
        <v>1.3915217148037333E-2</v>
      </c>
      <c r="Y14" s="2">
        <v>0</v>
      </c>
      <c r="Z14" s="2">
        <v>0</v>
      </c>
      <c r="AA14" s="2">
        <v>0</v>
      </c>
      <c r="AB14" s="2">
        <v>0.82</v>
      </c>
      <c r="AC14" s="2">
        <v>0.15957446808510639</v>
      </c>
      <c r="AD14" s="2">
        <v>0.13100799919068817</v>
      </c>
      <c r="AE14" s="16">
        <f t="shared" si="0"/>
        <v>0.28034207880048673</v>
      </c>
      <c r="AF14" s="2">
        <v>0.83400000000000007</v>
      </c>
      <c r="AG14" s="2">
        <v>0.7</v>
      </c>
      <c r="AH14" s="2">
        <v>0.89300000000000002</v>
      </c>
      <c r="AI14" s="2">
        <v>0.90900000000000003</v>
      </c>
      <c r="AJ14" s="2">
        <v>0.75</v>
      </c>
      <c r="AK14" s="2">
        <v>0.72900000000000009</v>
      </c>
      <c r="AL14" s="2">
        <v>0.80500000000000005</v>
      </c>
      <c r="AM14" s="2">
        <v>0.51781823804118376</v>
      </c>
      <c r="AN14" s="2">
        <v>0.33679196889784435</v>
      </c>
      <c r="AO14" s="2">
        <v>0.3830538259853945</v>
      </c>
      <c r="AP14" s="2">
        <v>0.93481862042266795</v>
      </c>
      <c r="AQ14" s="2">
        <v>0.7092273730172689</v>
      </c>
      <c r="AR14" s="2">
        <v>0.42112885334491984</v>
      </c>
      <c r="AS14" s="2">
        <v>0.70599999999999996</v>
      </c>
    </row>
    <row r="15" spans="1:45">
      <c r="A15" s="13" t="s">
        <v>200</v>
      </c>
      <c r="B15" s="14" t="s">
        <v>16</v>
      </c>
      <c r="C15" s="20">
        <v>82</v>
      </c>
      <c r="D15" s="21">
        <v>39539</v>
      </c>
      <c r="E15" s="22">
        <v>10.59</v>
      </c>
      <c r="F15" s="23">
        <v>0.97</v>
      </c>
      <c r="G15" s="2">
        <v>0.29015336206896547</v>
      </c>
      <c r="H15" s="2">
        <v>5.4995999795123936E-2</v>
      </c>
      <c r="I15" s="2">
        <v>3.9999999105930328E-2</v>
      </c>
      <c r="J15" s="2">
        <v>0.27500000000000002</v>
      </c>
      <c r="K15" s="2">
        <v>0</v>
      </c>
      <c r="L15" s="2">
        <v>3.9999999105930328E-2</v>
      </c>
      <c r="M15" s="2">
        <v>0.49116666666666664</v>
      </c>
      <c r="N15" s="2">
        <v>0.11190799997523428</v>
      </c>
      <c r="O15" s="2">
        <v>0.93914510234079085</v>
      </c>
      <c r="P15" s="2">
        <v>0.32</v>
      </c>
      <c r="Q15" s="2">
        <v>3.1799999959766866E-2</v>
      </c>
      <c r="R15" s="2">
        <v>0</v>
      </c>
      <c r="S15" s="2">
        <v>0.85</v>
      </c>
      <c r="T15" s="2">
        <v>0.37712000000000001</v>
      </c>
      <c r="U15" s="2">
        <v>0.13721365708112754</v>
      </c>
      <c r="V15" s="2">
        <v>9.5238095999999994E-2</v>
      </c>
      <c r="W15" s="2">
        <v>0</v>
      </c>
      <c r="X15" s="2">
        <v>3.5177518969758508E-3</v>
      </c>
      <c r="Y15" s="2">
        <v>1.604261631696664E-2</v>
      </c>
      <c r="Z15" s="2">
        <v>0.121074922878081</v>
      </c>
      <c r="AA15" s="2">
        <v>0</v>
      </c>
      <c r="AB15" s="2">
        <v>0</v>
      </c>
      <c r="AC15" s="2">
        <v>4.6860966116918116E-3</v>
      </c>
      <c r="AD15" s="2">
        <v>0.70587999214797015</v>
      </c>
      <c r="AE15" s="16">
        <f t="shared" si="0"/>
        <v>0.20437259424796761</v>
      </c>
      <c r="AF15" s="2">
        <v>0.90300000000000002</v>
      </c>
      <c r="AG15" s="2">
        <v>0.9</v>
      </c>
      <c r="AH15" s="2">
        <v>0.61399999999999999</v>
      </c>
      <c r="AI15" s="2">
        <v>0.64900000000000002</v>
      </c>
      <c r="AJ15" s="2">
        <v>0.8</v>
      </c>
      <c r="AK15" s="2">
        <v>0.82700000000000007</v>
      </c>
      <c r="AL15" s="2">
        <v>0.85099999999999998</v>
      </c>
      <c r="AM15" s="2">
        <v>0.66529548297940422</v>
      </c>
      <c r="AN15" s="2">
        <v>0.77581390451848464</v>
      </c>
      <c r="AO15" s="2">
        <v>0.90197378217071</v>
      </c>
      <c r="AP15" s="2">
        <v>1</v>
      </c>
      <c r="AQ15" s="2">
        <v>1</v>
      </c>
      <c r="AR15" s="2">
        <v>0.84194773032917547</v>
      </c>
      <c r="AS15" s="2">
        <v>0.94900000000000007</v>
      </c>
    </row>
    <row r="16" spans="1:45">
      <c r="A16" s="13" t="s">
        <v>201</v>
      </c>
      <c r="B16" s="14" t="s">
        <v>69</v>
      </c>
      <c r="C16" s="20">
        <v>79.5</v>
      </c>
      <c r="D16" s="21">
        <v>38818</v>
      </c>
      <c r="E16" s="22">
        <v>10.57</v>
      </c>
      <c r="F16" s="23">
        <v>0.96</v>
      </c>
      <c r="G16" s="2">
        <v>0.43509673913043473</v>
      </c>
      <c r="H16" s="2">
        <v>5.6447999789714806E-2</v>
      </c>
      <c r="I16" s="2">
        <v>3.9999999105930328E-2</v>
      </c>
      <c r="J16" s="2">
        <v>0.57499999999999996</v>
      </c>
      <c r="K16" s="2">
        <v>0</v>
      </c>
      <c r="L16" s="2">
        <v>3.9999999105930328E-2</v>
      </c>
      <c r="M16" s="2">
        <v>0.23600000000000002</v>
      </c>
      <c r="N16" s="2">
        <v>0.32946199992708858</v>
      </c>
      <c r="O16" s="2">
        <v>0.80367836541058646</v>
      </c>
      <c r="P16" s="2">
        <v>0.42</v>
      </c>
      <c r="Q16" s="2">
        <v>0.28619999963790183</v>
      </c>
      <c r="R16" s="2">
        <v>0</v>
      </c>
      <c r="S16" s="2">
        <v>6.7499999999999991E-2</v>
      </c>
      <c r="T16" s="2">
        <v>0.30647999999999997</v>
      </c>
      <c r="U16" s="2">
        <v>0.1554068278297791</v>
      </c>
      <c r="V16" s="2">
        <v>6.6508313999999999E-2</v>
      </c>
      <c r="W16" s="2">
        <v>0</v>
      </c>
      <c r="X16" s="2">
        <v>1.8236082784322761E-3</v>
      </c>
      <c r="Y16" s="2">
        <v>0</v>
      </c>
      <c r="Z16" s="2">
        <v>0</v>
      </c>
      <c r="AA16" s="2">
        <v>0</v>
      </c>
      <c r="AB16" s="2">
        <v>0.86</v>
      </c>
      <c r="AC16" s="2">
        <v>7.2771376591873868E-2</v>
      </c>
      <c r="AD16" s="2">
        <v>3.9999999105930328E-2</v>
      </c>
      <c r="AE16" s="16">
        <f t="shared" si="0"/>
        <v>0.19968230116306676</v>
      </c>
      <c r="AF16" s="2">
        <v>0.73599999999999999</v>
      </c>
      <c r="AG16" s="2">
        <v>0.7</v>
      </c>
      <c r="AH16" s="2">
        <v>0.51200000000000001</v>
      </c>
      <c r="AI16" s="2">
        <v>0.28800000000000003</v>
      </c>
      <c r="AJ16" s="2">
        <v>0.75</v>
      </c>
      <c r="AK16" s="2">
        <v>0.79299999999999993</v>
      </c>
      <c r="AL16" s="2">
        <v>0.875</v>
      </c>
      <c r="AM16" s="2">
        <v>0.72331404306213398</v>
      </c>
      <c r="AN16" s="2">
        <v>0.77209766651353884</v>
      </c>
      <c r="AO16" s="2">
        <v>0.8471252707934529</v>
      </c>
      <c r="AP16" s="2">
        <v>1</v>
      </c>
      <c r="AQ16" s="2">
        <v>0.75037275498455336</v>
      </c>
      <c r="AR16" s="2">
        <v>0.84816526468637865</v>
      </c>
      <c r="AS16" s="2">
        <v>0.79099999999999993</v>
      </c>
    </row>
    <row r="17" spans="1:45">
      <c r="A17" s="13" t="s">
        <v>202</v>
      </c>
      <c r="B17" s="14" t="s">
        <v>110</v>
      </c>
      <c r="C17" s="20">
        <v>63.5</v>
      </c>
      <c r="D17" s="21">
        <v>9638</v>
      </c>
      <c r="E17" s="22">
        <v>9.17</v>
      </c>
      <c r="F17" s="23">
        <v>0.79</v>
      </c>
      <c r="G17" s="2">
        <v>0.48637371428571419</v>
      </c>
      <c r="H17" s="2">
        <v>0.38730999921299519</v>
      </c>
      <c r="I17" s="2">
        <v>0.23199999928474424</v>
      </c>
      <c r="J17" s="2">
        <v>0.625</v>
      </c>
      <c r="K17" s="2">
        <v>0.17933333333333334</v>
      </c>
      <c r="L17" s="2">
        <v>0.56799999959766867</v>
      </c>
      <c r="M17" s="2">
        <v>0.29150000000000004</v>
      </c>
      <c r="N17" s="2">
        <v>0.48419399989284573</v>
      </c>
      <c r="O17" s="2">
        <v>0.66468664936567667</v>
      </c>
      <c r="P17" s="2">
        <v>0.12</v>
      </c>
      <c r="Q17" s="2">
        <v>0.49819999936968085</v>
      </c>
      <c r="R17" s="2">
        <v>0.16199999973177909</v>
      </c>
      <c r="S17" s="2">
        <v>7.4999999999999997E-2</v>
      </c>
      <c r="T17" s="2">
        <v>0.35968</v>
      </c>
      <c r="U17" s="2">
        <v>0.3525884865500043</v>
      </c>
      <c r="V17" s="2">
        <v>0.19012115600000001</v>
      </c>
      <c r="W17" s="2">
        <v>5.9961190944730338E-3</v>
      </c>
      <c r="X17" s="2">
        <v>2.1693354261350602E-2</v>
      </c>
      <c r="Y17" s="2">
        <v>0</v>
      </c>
      <c r="Z17" s="2">
        <v>0</v>
      </c>
      <c r="AA17" s="2">
        <v>0</v>
      </c>
      <c r="AB17" s="2">
        <v>0</v>
      </c>
      <c r="AC17" s="2">
        <v>9.076716407072577E-2</v>
      </c>
      <c r="AD17" s="2">
        <v>0.53445657423915605</v>
      </c>
      <c r="AE17" s="16">
        <f t="shared" si="0"/>
        <v>0.26370418951208952</v>
      </c>
      <c r="AF17" s="2">
        <v>0.746</v>
      </c>
      <c r="AG17" s="2">
        <v>0.4</v>
      </c>
      <c r="AH17" s="2">
        <v>0.79500000000000004</v>
      </c>
      <c r="AI17" s="2">
        <v>0.77500000000000002</v>
      </c>
      <c r="AJ17" s="2">
        <v>0.55000000000000004</v>
      </c>
      <c r="AK17" s="2">
        <v>0.627</v>
      </c>
      <c r="AL17" s="2">
        <v>0.77099999999999991</v>
      </c>
      <c r="AM17" s="2">
        <v>0.42262266631384671</v>
      </c>
      <c r="AN17" s="2">
        <v>0.26208665187661195</v>
      </c>
      <c r="AO17" s="2">
        <v>0.28227952977403509</v>
      </c>
      <c r="AP17" s="2">
        <v>0.97172700480879448</v>
      </c>
      <c r="AQ17" s="2">
        <v>0.26953047006085329</v>
      </c>
      <c r="AR17" s="2">
        <v>0.33909036314348745</v>
      </c>
      <c r="AS17" s="2">
        <v>0.82499999999999996</v>
      </c>
    </row>
    <row r="18" spans="1:45">
      <c r="A18" s="13" t="s">
        <v>203</v>
      </c>
      <c r="B18" s="14" t="s">
        <v>26</v>
      </c>
      <c r="C18" s="20">
        <v>66.7</v>
      </c>
      <c r="D18" s="21">
        <v>25894</v>
      </c>
      <c r="E18" s="22">
        <v>10.16</v>
      </c>
      <c r="F18" s="23">
        <v>0.86</v>
      </c>
      <c r="G18" s="2">
        <v>0.54228291457286426</v>
      </c>
      <c r="H18" s="2">
        <v>0.5</v>
      </c>
      <c r="I18" s="2">
        <v>0.14639999739825726</v>
      </c>
      <c r="J18" s="2">
        <v>0.15000000000000002</v>
      </c>
      <c r="K18" s="2">
        <v>1.3333333333333333E-3</v>
      </c>
      <c r="L18" s="2">
        <v>3.9999999105930328E-2</v>
      </c>
      <c r="M18" s="2">
        <v>0.71158333333333335</v>
      </c>
      <c r="N18" s="2">
        <v>0.16260999996401371</v>
      </c>
      <c r="O18" s="2">
        <v>1</v>
      </c>
      <c r="P18" s="2">
        <v>0.24</v>
      </c>
      <c r="Q18" s="2">
        <v>1</v>
      </c>
      <c r="R18" s="2">
        <v>0</v>
      </c>
      <c r="S18" s="2">
        <v>0.3175</v>
      </c>
      <c r="T18" s="2">
        <v>0.73719999999999997</v>
      </c>
      <c r="U18" s="2">
        <v>0.28907910112500279</v>
      </c>
      <c r="V18" s="2">
        <v>0.30232558199999998</v>
      </c>
      <c r="W18" s="2">
        <v>0</v>
      </c>
      <c r="X18" s="2">
        <v>2.5923890177713689E-2</v>
      </c>
      <c r="Y18" s="2">
        <v>0.93182496652727775</v>
      </c>
      <c r="Z18" s="2">
        <v>0.87632329726901204</v>
      </c>
      <c r="AA18" s="2">
        <v>6.0000000000000053E-2</v>
      </c>
      <c r="AB18" s="2">
        <v>0</v>
      </c>
      <c r="AC18" s="2">
        <v>0</v>
      </c>
      <c r="AD18" s="2">
        <v>0.52931998514461798</v>
      </c>
      <c r="AE18" s="16">
        <f t="shared" si="0"/>
        <v>0.35682109999797312</v>
      </c>
      <c r="AF18" s="2">
        <v>0.7340000000000001</v>
      </c>
      <c r="AG18" s="2">
        <v>0.7</v>
      </c>
      <c r="AH18" s="2">
        <v>0.95200000000000007</v>
      </c>
      <c r="AI18" s="2">
        <v>0.83599999999999997</v>
      </c>
      <c r="AJ18" s="2">
        <v>0.3</v>
      </c>
      <c r="AK18" s="2">
        <v>0.72699999999999998</v>
      </c>
      <c r="AL18" s="2">
        <v>0.42200000000000004</v>
      </c>
      <c r="AM18" s="2">
        <v>0.67483168073107025</v>
      </c>
      <c r="AN18" s="2">
        <v>0.69645015121661757</v>
      </c>
      <c r="AO18" s="2">
        <v>0.77241002591022878</v>
      </c>
      <c r="AP18" s="2">
        <v>1</v>
      </c>
      <c r="AQ18" s="2">
        <v>0.21383214285714286</v>
      </c>
      <c r="AR18" s="2">
        <v>0.658041968136308</v>
      </c>
      <c r="AS18" s="2">
        <v>0.81</v>
      </c>
    </row>
    <row r="19" spans="1:45">
      <c r="A19" s="13" t="s">
        <v>204</v>
      </c>
      <c r="B19" s="14" t="s">
        <v>15</v>
      </c>
      <c r="C19" s="20">
        <v>65.900000000000006</v>
      </c>
      <c r="D19" s="21">
        <v>35174</v>
      </c>
      <c r="E19" s="22">
        <v>10.47</v>
      </c>
      <c r="F19" s="23">
        <v>0.9</v>
      </c>
      <c r="G19" s="2">
        <v>1</v>
      </c>
      <c r="H19" s="2">
        <v>1</v>
      </c>
      <c r="I19" s="2">
        <v>0</v>
      </c>
      <c r="J19" s="2">
        <v>0.52500000000000002</v>
      </c>
      <c r="K19" s="2">
        <v>0</v>
      </c>
      <c r="L19" s="2">
        <v>0</v>
      </c>
      <c r="M19" s="2">
        <v>0.54108333333333336</v>
      </c>
      <c r="N19" s="2">
        <v>0.1155439999744296</v>
      </c>
      <c r="O19" s="2">
        <v>1</v>
      </c>
      <c r="P19" s="2">
        <v>0.1</v>
      </c>
      <c r="Q19" s="2">
        <v>1</v>
      </c>
      <c r="R19" s="2">
        <v>0.18</v>
      </c>
      <c r="S19" s="2">
        <v>7.4999999999999997E-2</v>
      </c>
      <c r="T19" s="2">
        <v>0.73543999999999998</v>
      </c>
      <c r="U19" s="2">
        <v>0.24249943278893904</v>
      </c>
      <c r="V19" s="2">
        <v>0.18367347000000001</v>
      </c>
      <c r="W19" s="2">
        <v>0</v>
      </c>
      <c r="X19" s="2">
        <v>1.1733990829912494E-2</v>
      </c>
      <c r="Y19" s="2">
        <v>0.52112770970668865</v>
      </c>
      <c r="Z19" s="2">
        <v>0.77416756354415095</v>
      </c>
      <c r="AA19" s="2">
        <v>5.9999999999998943E-3</v>
      </c>
      <c r="AB19" s="2">
        <v>0</v>
      </c>
      <c r="AC19" s="2">
        <v>0</v>
      </c>
      <c r="AD19" s="2">
        <v>0.21777777706349877</v>
      </c>
      <c r="AE19" s="16">
        <f t="shared" si="0"/>
        <v>0.34287696988503963</v>
      </c>
      <c r="AF19" s="2">
        <v>0.77800000000000002</v>
      </c>
      <c r="AG19" s="2">
        <v>0.8</v>
      </c>
      <c r="AH19" s="2">
        <v>0.99900000000000011</v>
      </c>
      <c r="AI19" s="2">
        <v>0.80799999999999994</v>
      </c>
      <c r="AJ19" s="2">
        <v>0.65</v>
      </c>
      <c r="AK19" s="2">
        <v>0.7340000000000001</v>
      </c>
      <c r="AL19" s="2">
        <v>0.82900000000000007</v>
      </c>
      <c r="AM19" s="2">
        <v>0.48241327451690907</v>
      </c>
      <c r="AN19" s="2">
        <v>0.33654049910333539</v>
      </c>
      <c r="AO19" s="2">
        <v>0.55884861276012676</v>
      </c>
      <c r="AP19" s="2">
        <v>1</v>
      </c>
      <c r="AQ19" s="2">
        <v>0.24252618152896691</v>
      </c>
      <c r="AR19" s="2">
        <v>0.60050225291057646</v>
      </c>
      <c r="AS19" s="2">
        <v>0.89400000000000002</v>
      </c>
    </row>
    <row r="20" spans="1:45">
      <c r="A20" s="13" t="s">
        <v>384</v>
      </c>
      <c r="B20" s="14" t="s">
        <v>166</v>
      </c>
      <c r="C20" s="20">
        <v>49.4</v>
      </c>
      <c r="D20" s="21">
        <v>1416</v>
      </c>
      <c r="E20" s="22">
        <v>7.26</v>
      </c>
      <c r="F20" s="23">
        <v>0.54</v>
      </c>
      <c r="G20" s="2">
        <v>0.21798074210879784</v>
      </c>
      <c r="H20" s="2">
        <v>2.9229999999999999E-2</v>
      </c>
      <c r="I20" s="2">
        <v>0.23199999928474424</v>
      </c>
      <c r="J20" s="2">
        <v>0.27500000000000002</v>
      </c>
      <c r="K20" s="2">
        <v>0.22266666666666668</v>
      </c>
      <c r="L20" s="2">
        <v>0.49119999952614313</v>
      </c>
      <c r="M20" s="2">
        <v>0.46758333333333335</v>
      </c>
      <c r="N20" s="2">
        <v>0.73103799983821804</v>
      </c>
      <c r="O20" s="2">
        <v>0.22578902953583335</v>
      </c>
      <c r="P20" s="2">
        <v>1</v>
      </c>
      <c r="Q20" s="2">
        <v>0.1165999998524785</v>
      </c>
      <c r="R20" s="2">
        <v>1</v>
      </c>
      <c r="S20" s="2">
        <v>0.44999999999999996</v>
      </c>
      <c r="T20" s="2">
        <v>0.96560000000000001</v>
      </c>
      <c r="U20" s="2">
        <v>0.4300159988172354</v>
      </c>
      <c r="V20" s="2">
        <v>0.60510114400000004</v>
      </c>
      <c r="W20" s="2">
        <v>8.0815764153015127E-2</v>
      </c>
      <c r="X20" s="2">
        <v>0.2302348004420712</v>
      </c>
      <c r="Y20" s="2">
        <v>0.39954954747682664</v>
      </c>
      <c r="Z20" s="2">
        <v>0.455607547870235</v>
      </c>
      <c r="AA20" s="2">
        <v>0.59000000000000008</v>
      </c>
      <c r="AB20" s="2">
        <v>0.2</v>
      </c>
      <c r="AC20" s="2">
        <v>0.34570177460244295</v>
      </c>
      <c r="AD20" s="2">
        <v>0.9182999997027218</v>
      </c>
      <c r="AE20" s="16">
        <f t="shared" si="0"/>
        <v>0.44500059780044837</v>
      </c>
      <c r="AF20" s="2">
        <v>0.59399999999999997</v>
      </c>
      <c r="AG20" s="2">
        <v>0.2</v>
      </c>
      <c r="AH20" s="2">
        <v>0.72799999999999998</v>
      </c>
      <c r="AI20" s="2">
        <v>0.93900000000000006</v>
      </c>
      <c r="AJ20" s="2">
        <v>0.45</v>
      </c>
      <c r="AK20" s="2">
        <v>0.66599999999999993</v>
      </c>
      <c r="AL20" s="2">
        <v>0.57999999999999996</v>
      </c>
      <c r="AM20" s="2">
        <v>0.19360548135508737</v>
      </c>
      <c r="AN20" s="2">
        <v>0.42651581643717018</v>
      </c>
      <c r="AO20" s="2">
        <v>0.30967062399350498</v>
      </c>
      <c r="AP20" s="2">
        <v>0.34175650101136235</v>
      </c>
      <c r="AQ20" s="2">
        <v>0.1111540885965244</v>
      </c>
      <c r="AR20" s="2">
        <v>0.35704614250600836</v>
      </c>
      <c r="AS20" s="2">
        <v>0.53799999999999992</v>
      </c>
    </row>
    <row r="21" spans="1:45">
      <c r="A21" s="13" t="s">
        <v>206</v>
      </c>
      <c r="B21" s="14" t="s">
        <v>133</v>
      </c>
      <c r="C21" s="20" t="e">
        <v>#N/A</v>
      </c>
      <c r="D21" s="21">
        <v>19189</v>
      </c>
      <c r="E21" s="22">
        <v>9.86</v>
      </c>
      <c r="F21" s="23">
        <v>0.9</v>
      </c>
      <c r="G21" s="2">
        <v>0.70687246341463417</v>
      </c>
      <c r="H21" s="2">
        <v>0.7612000000000001</v>
      </c>
      <c r="I21" s="2">
        <v>3.9999999105930328E-2</v>
      </c>
      <c r="J21" s="2">
        <v>0.125</v>
      </c>
      <c r="K21" s="2">
        <v>0</v>
      </c>
      <c r="L21" s="2">
        <v>3.9999999105930328E-2</v>
      </c>
      <c r="M21" s="2">
        <v>0.71158333333333335</v>
      </c>
      <c r="N21" s="2">
        <v>0.60276799986660479</v>
      </c>
      <c r="O21" s="2">
        <v>0.81729166666666664</v>
      </c>
      <c r="P21" s="2">
        <v>0.08</v>
      </c>
      <c r="Q21" s="2">
        <v>1</v>
      </c>
      <c r="R21" s="2">
        <v>0</v>
      </c>
      <c r="S21" s="2">
        <v>0.3175</v>
      </c>
      <c r="T21" s="2">
        <v>0.66071999999999997</v>
      </c>
      <c r="U21" s="2">
        <v>0.22142907179370697</v>
      </c>
      <c r="V21" s="2">
        <v>0.28429752000000003</v>
      </c>
      <c r="W21" s="2">
        <v>1.8951080011406045E-2</v>
      </c>
      <c r="X21" s="2">
        <v>2.3760326179573663E-2</v>
      </c>
      <c r="Y21" s="2">
        <v>4.3447176195445289E-2</v>
      </c>
      <c r="Z21" s="2">
        <v>4.3447321860959502E-2</v>
      </c>
      <c r="AA21" s="2">
        <v>0</v>
      </c>
      <c r="AB21" s="2">
        <v>0</v>
      </c>
      <c r="AC21" s="2">
        <v>0</v>
      </c>
      <c r="AD21" s="2">
        <v>0.11999999731779099</v>
      </c>
      <c r="AE21" s="16">
        <f t="shared" si="0"/>
        <v>0.27576116478549922</v>
      </c>
      <c r="AF21" s="2">
        <v>0.9</v>
      </c>
      <c r="AG21" s="2">
        <v>0.6</v>
      </c>
      <c r="AH21" s="2">
        <v>0.70099999999999996</v>
      </c>
      <c r="AI21" s="2">
        <v>0.54600000000000004</v>
      </c>
      <c r="AJ21" s="2">
        <v>0.45</v>
      </c>
      <c r="AK21" s="2">
        <v>0.73099999999999998</v>
      </c>
      <c r="AL21" s="2">
        <v>0.60499999999999998</v>
      </c>
      <c r="AM21" s="2">
        <v>0.71668084540897781</v>
      </c>
      <c r="AN21" s="2">
        <v>0.72470513294565442</v>
      </c>
      <c r="AO21" s="2">
        <v>0.76524731667182322</v>
      </c>
      <c r="AP21" s="2">
        <v>1</v>
      </c>
      <c r="AQ21" s="2" t="e">
        <v>#N/A</v>
      </c>
      <c r="AR21" s="2">
        <v>0.69263096496675725</v>
      </c>
      <c r="AS21" s="2">
        <v>0.8</v>
      </c>
    </row>
    <row r="22" spans="1:45">
      <c r="A22" s="13" t="s">
        <v>207</v>
      </c>
      <c r="B22" s="14" t="s">
        <v>51</v>
      </c>
      <c r="C22" s="20">
        <v>66.900000000000006</v>
      </c>
      <c r="D22" s="21">
        <v>13040</v>
      </c>
      <c r="E22" s="22">
        <v>9.48</v>
      </c>
      <c r="F22" s="23">
        <v>0.83</v>
      </c>
      <c r="G22" s="2">
        <v>0.56517705977382882</v>
      </c>
      <c r="H22" s="2">
        <v>7.4789999999999995E-2</v>
      </c>
      <c r="I22" s="2">
        <v>3.9999999105930328E-2</v>
      </c>
      <c r="J22" s="2">
        <v>0.75</v>
      </c>
      <c r="K22" s="2">
        <v>6.6666666666666664E-4</v>
      </c>
      <c r="L22" s="2">
        <v>0.10719999916851519</v>
      </c>
      <c r="M22" s="2">
        <v>0.27966666666666667</v>
      </c>
      <c r="N22" s="2">
        <v>0.26381199994161725</v>
      </c>
      <c r="O22" s="2">
        <v>0.59757391433783347</v>
      </c>
      <c r="P22" s="2">
        <v>0.04</v>
      </c>
      <c r="Q22" s="2">
        <v>0.10599999986588955</v>
      </c>
      <c r="R22" s="2">
        <v>0.01</v>
      </c>
      <c r="S22" s="2">
        <v>0.87499999999999989</v>
      </c>
      <c r="T22" s="2">
        <v>0.10807999999999995</v>
      </c>
      <c r="U22" s="2">
        <v>0.34384874020040035</v>
      </c>
      <c r="V22" s="2">
        <v>6.6371682000000001E-2</v>
      </c>
      <c r="W22" s="2">
        <v>2.4430074419593516E-3</v>
      </c>
      <c r="X22" s="2">
        <v>5.0996046356159598E-3</v>
      </c>
      <c r="Y22" s="2">
        <v>0</v>
      </c>
      <c r="Z22" s="2">
        <v>0</v>
      </c>
      <c r="AA22" s="2">
        <v>0</v>
      </c>
      <c r="AB22" s="2">
        <v>0.86</v>
      </c>
      <c r="AC22" s="2">
        <v>2.2178413011335635E-2</v>
      </c>
      <c r="AD22" s="2">
        <v>0.20224000350874161</v>
      </c>
      <c r="AE22" s="16">
        <f t="shared" si="0"/>
        <v>0.22167282318020834</v>
      </c>
      <c r="AF22" s="2">
        <v>0.72099999999999997</v>
      </c>
      <c r="AG22" s="2">
        <v>0.1</v>
      </c>
      <c r="AH22" s="2">
        <v>0.85199999999999998</v>
      </c>
      <c r="AI22" s="2">
        <v>0.32</v>
      </c>
      <c r="AJ22" s="2">
        <v>0.2</v>
      </c>
      <c r="AK22" s="2">
        <v>0.626</v>
      </c>
      <c r="AL22" s="2">
        <v>0.80299999999999994</v>
      </c>
      <c r="AM22" s="2">
        <v>0.57256202869457451</v>
      </c>
      <c r="AN22" s="2">
        <v>0.19430019372068955</v>
      </c>
      <c r="AO22" s="2">
        <v>0.34533189268999653</v>
      </c>
      <c r="AP22" s="2">
        <v>1</v>
      </c>
      <c r="AQ22" s="2">
        <v>1</v>
      </c>
      <c r="AR22" s="2">
        <v>0.31484291475348536</v>
      </c>
      <c r="AS22" s="2">
        <v>0.84799999999999998</v>
      </c>
    </row>
    <row r="23" spans="1:45">
      <c r="A23" s="13" t="s">
        <v>208</v>
      </c>
      <c r="B23" s="14" t="s">
        <v>4</v>
      </c>
      <c r="C23" s="20">
        <v>75</v>
      </c>
      <c r="D23" s="21">
        <v>36313</v>
      </c>
      <c r="E23" s="22">
        <v>10.5</v>
      </c>
      <c r="F23" s="23">
        <v>0.95</v>
      </c>
      <c r="G23" s="2">
        <v>0.2099123475609756</v>
      </c>
      <c r="H23" s="2">
        <v>0.37366999924071131</v>
      </c>
      <c r="I23" s="2">
        <v>3.9999999105930328E-2</v>
      </c>
      <c r="J23" s="2">
        <v>0.44999999999999996</v>
      </c>
      <c r="K23" s="2">
        <v>0</v>
      </c>
      <c r="L23" s="2">
        <v>3.9999999105930328E-2</v>
      </c>
      <c r="M23" s="2">
        <v>0.25958333333333333</v>
      </c>
      <c r="N23" s="2">
        <v>2.6461999994143844E-2</v>
      </c>
      <c r="O23" s="2">
        <v>0.9832116788321168</v>
      </c>
      <c r="P23" s="2">
        <v>0.36</v>
      </c>
      <c r="Q23" s="2">
        <v>1</v>
      </c>
      <c r="R23" s="2">
        <v>0</v>
      </c>
      <c r="S23" s="2">
        <v>6.7499999999999991E-2</v>
      </c>
      <c r="T23" s="2">
        <v>0.74903999999999993</v>
      </c>
      <c r="U23" s="2">
        <v>0.16189642783582314</v>
      </c>
      <c r="V23" s="2">
        <v>0.14932126600000001</v>
      </c>
      <c r="W23" s="2">
        <v>0</v>
      </c>
      <c r="X23" s="2">
        <v>2.37456309795863E-3</v>
      </c>
      <c r="Y23" s="2">
        <v>0.14447460360993447</v>
      </c>
      <c r="Z23" s="2">
        <v>0.229527806512104</v>
      </c>
      <c r="AA23" s="2">
        <v>0</v>
      </c>
      <c r="AB23" s="2">
        <v>0.72</v>
      </c>
      <c r="AC23" s="2">
        <v>0.49537648612945839</v>
      </c>
      <c r="AD23" s="2">
        <v>0.24927999930083744</v>
      </c>
      <c r="AE23" s="16">
        <f t="shared" si="0"/>
        <v>0.27965127123580241</v>
      </c>
      <c r="AF23" s="2">
        <v>0.92900000000000005</v>
      </c>
      <c r="AG23" s="2">
        <v>0.7</v>
      </c>
      <c r="AH23" s="2">
        <v>0.42200000000000004</v>
      </c>
      <c r="AI23" s="2">
        <v>0.3</v>
      </c>
      <c r="AJ23" s="2">
        <v>0.8</v>
      </c>
      <c r="AK23" s="2">
        <v>0.77900000000000003</v>
      </c>
      <c r="AL23" s="2">
        <v>0.875</v>
      </c>
      <c r="AM23" s="2">
        <v>0.65555473284442767</v>
      </c>
      <c r="AN23" s="2">
        <v>0.77593766767002303</v>
      </c>
      <c r="AO23" s="2">
        <v>0.78412150177998674</v>
      </c>
      <c r="AP23" s="2">
        <v>1</v>
      </c>
      <c r="AQ23" s="2">
        <v>0.8635988579471463</v>
      </c>
      <c r="AR23" s="2">
        <v>0.77154084320553995</v>
      </c>
      <c r="AS23" s="2">
        <v>0.67099999999999993</v>
      </c>
    </row>
    <row r="24" spans="1:45">
      <c r="A24" s="13" t="s">
        <v>209</v>
      </c>
      <c r="B24" s="14" t="s">
        <v>109</v>
      </c>
      <c r="C24" s="20">
        <v>62.6</v>
      </c>
      <c r="D24" s="21">
        <v>6628</v>
      </c>
      <c r="E24" s="22">
        <v>8.8000000000000007</v>
      </c>
      <c r="F24" s="23">
        <v>0.77</v>
      </c>
      <c r="G24" s="2">
        <v>1</v>
      </c>
      <c r="H24" s="2">
        <v>9.7031999638527641E-3</v>
      </c>
      <c r="I24" s="2">
        <v>4.9599999114871007E-2</v>
      </c>
      <c r="J24" s="2">
        <v>0.30000000000000004</v>
      </c>
      <c r="K24" s="2">
        <v>1.7333333333333333E-2</v>
      </c>
      <c r="L24" s="2">
        <v>0.13599999919533734</v>
      </c>
      <c r="M24" s="2">
        <v>0.49525000000000002</v>
      </c>
      <c r="N24" s="2">
        <v>0.48277999989315867</v>
      </c>
      <c r="O24" s="2">
        <v>0.91707142857150004</v>
      </c>
      <c r="P24" s="2">
        <v>0.06</v>
      </c>
      <c r="Q24" s="2">
        <v>0.33919999957084657</v>
      </c>
      <c r="R24" s="2">
        <v>6.9999999999999993E-2</v>
      </c>
      <c r="S24" s="2">
        <v>0.3175</v>
      </c>
      <c r="T24" s="2">
        <v>0.85536000000000001</v>
      </c>
      <c r="U24" s="2">
        <v>0.23459277912303866</v>
      </c>
      <c r="V24" s="2">
        <v>0.33615819200000002</v>
      </c>
      <c r="W24" s="2">
        <v>7.5806153458223766E-3</v>
      </c>
      <c r="X24" s="2">
        <v>7.9420718971723411E-2</v>
      </c>
      <c r="Y24" s="2">
        <v>0.1559046237035541</v>
      </c>
      <c r="Z24" s="2">
        <v>0.40332035678730699</v>
      </c>
      <c r="AA24" s="2">
        <v>8.2999999999999963E-2</v>
      </c>
      <c r="AB24" s="2">
        <v>0.4</v>
      </c>
      <c r="AC24" s="2">
        <v>6.5760631302060502E-2</v>
      </c>
      <c r="AD24" s="2">
        <v>0.8605999993160367</v>
      </c>
      <c r="AE24" s="16">
        <f t="shared" si="0"/>
        <v>0.31983899484135186</v>
      </c>
      <c r="AF24" s="2">
        <v>0.74099999999999999</v>
      </c>
      <c r="AG24" s="2">
        <v>0.5</v>
      </c>
      <c r="AH24" s="2">
        <v>0.68299999999999994</v>
      </c>
      <c r="AI24" s="2">
        <v>0.74900000000000011</v>
      </c>
      <c r="AJ24" s="2">
        <v>0.5</v>
      </c>
      <c r="AK24" s="2">
        <v>0.75599999999999989</v>
      </c>
      <c r="AL24" s="2">
        <v>0.71499999999999997</v>
      </c>
      <c r="AM24" s="2">
        <v>0.51526604506892071</v>
      </c>
      <c r="AN24" s="2">
        <v>0.64738695923946743</v>
      </c>
      <c r="AO24" s="2">
        <v>0.48726139396574314</v>
      </c>
      <c r="AP24" s="2">
        <v>0.5340975391361924</v>
      </c>
      <c r="AQ24" s="2">
        <v>0.15863915575010248</v>
      </c>
      <c r="AR24" s="2">
        <v>0.42431193268545331</v>
      </c>
      <c r="AS24" s="2">
        <v>0.81700000000000006</v>
      </c>
    </row>
    <row r="25" spans="1:45">
      <c r="A25" s="13" t="s">
        <v>210</v>
      </c>
      <c r="B25" s="14" t="s">
        <v>132</v>
      </c>
      <c r="C25" s="20">
        <v>51.5</v>
      </c>
      <c r="D25" s="21">
        <v>1508</v>
      </c>
      <c r="E25" s="22">
        <v>7.32</v>
      </c>
      <c r="F25" s="23">
        <v>0.49</v>
      </c>
      <c r="G25" s="2">
        <v>1</v>
      </c>
      <c r="H25" s="2">
        <v>4.9259999999999998E-3</v>
      </c>
      <c r="I25" s="2">
        <v>0.27999999932944775</v>
      </c>
      <c r="J25" s="2">
        <v>0.32499999999999996</v>
      </c>
      <c r="K25" s="2">
        <v>0.34533333333333333</v>
      </c>
      <c r="L25" s="2">
        <v>0.88479999989271163</v>
      </c>
      <c r="M25" s="2">
        <v>0.62008333333333332</v>
      </c>
      <c r="N25" s="2">
        <v>0.58983999986946589</v>
      </c>
      <c r="O25" s="2">
        <v>1</v>
      </c>
      <c r="P25" s="2">
        <v>0.26</v>
      </c>
      <c r="Q25" s="2">
        <v>0.19079999975860118</v>
      </c>
      <c r="R25" s="2">
        <v>0.50759999915957454</v>
      </c>
      <c r="S25" s="2">
        <v>0.20749999999999999</v>
      </c>
      <c r="T25" s="2">
        <v>0.96448</v>
      </c>
      <c r="U25" s="2">
        <v>0.52154286719516108</v>
      </c>
      <c r="V25" s="2">
        <v>0.81908548800000003</v>
      </c>
      <c r="W25" s="2">
        <v>0.22860650479040842</v>
      </c>
      <c r="X25" s="2">
        <v>0.599284210984806</v>
      </c>
      <c r="Y25" s="2">
        <v>1.6341815777022133E-2</v>
      </c>
      <c r="Z25" s="2">
        <v>0.209514596205015</v>
      </c>
      <c r="AA25" s="2">
        <v>0.752</v>
      </c>
      <c r="AB25" s="2">
        <v>0.39</v>
      </c>
      <c r="AC25" s="2">
        <v>8.1359609473874522E-2</v>
      </c>
      <c r="AD25" s="2">
        <v>0.91639999974519015</v>
      </c>
      <c r="AE25" s="16">
        <f t="shared" si="0"/>
        <v>0.48810407320199767</v>
      </c>
      <c r="AF25" s="2">
        <v>0.42299999999999999</v>
      </c>
      <c r="AG25" s="2">
        <v>0.5</v>
      </c>
      <c r="AH25" s="2">
        <v>0.75900000000000001</v>
      </c>
      <c r="AI25" s="2">
        <v>0.85199999999999998</v>
      </c>
      <c r="AJ25" s="2">
        <v>0.6</v>
      </c>
      <c r="AK25" s="2">
        <v>0.746</v>
      </c>
      <c r="AL25" s="2">
        <v>0.56999999999999995</v>
      </c>
      <c r="AM25" s="2">
        <v>0.5876629073427807</v>
      </c>
      <c r="AN25" s="2">
        <v>0.56097039439641783</v>
      </c>
      <c r="AO25" s="2">
        <v>0.37174555169768758</v>
      </c>
      <c r="AP25" s="2">
        <v>0.61966348026885831</v>
      </c>
      <c r="AQ25" s="2">
        <v>7.6845760149359704E-2</v>
      </c>
      <c r="AR25" s="2">
        <v>0.36381534726382159</v>
      </c>
      <c r="AS25" s="2">
        <v>0.47799999999999998</v>
      </c>
    </row>
    <row r="26" spans="1:45">
      <c r="A26" s="13" t="s">
        <v>211</v>
      </c>
      <c r="B26" s="14" t="s">
        <v>146</v>
      </c>
      <c r="C26" s="20">
        <v>56.3</v>
      </c>
      <c r="D26" s="21">
        <v>5113</v>
      </c>
      <c r="E26" s="22">
        <v>8.5399999999999991</v>
      </c>
      <c r="F26" s="23">
        <v>0.62</v>
      </c>
      <c r="G26" s="2">
        <v>0.35093883702839357</v>
      </c>
      <c r="H26" s="2">
        <v>4.333E-3</v>
      </c>
      <c r="I26" s="2">
        <v>0.11679999917745587</v>
      </c>
      <c r="J26" s="2">
        <v>0.42500000000000004</v>
      </c>
      <c r="K26" s="2">
        <v>0.216</v>
      </c>
      <c r="L26" s="2">
        <v>0.37599999941885476</v>
      </c>
      <c r="M26" s="2">
        <v>0.45650000000000002</v>
      </c>
      <c r="N26" s="2">
        <v>0.65003599985614413</v>
      </c>
      <c r="O26" s="2">
        <v>0.91724111247034401</v>
      </c>
      <c r="P26" s="2">
        <v>0.14000000000000001</v>
      </c>
      <c r="Q26" s="2">
        <v>1</v>
      </c>
      <c r="R26" s="2">
        <v>0.31</v>
      </c>
      <c r="S26" s="2">
        <v>0.44999999999999996</v>
      </c>
      <c r="T26" s="2">
        <v>0.98536000000000001</v>
      </c>
      <c r="U26" s="2">
        <v>0.43023562808573357</v>
      </c>
      <c r="V26" s="2">
        <v>0.59883235999999995</v>
      </c>
      <c r="W26" s="2">
        <v>7.6644830177938161E-2</v>
      </c>
      <c r="X26" s="2">
        <v>0.15016319331090733</v>
      </c>
      <c r="Y26" s="2">
        <v>0</v>
      </c>
      <c r="Z26" s="2">
        <v>0</v>
      </c>
      <c r="AA26" s="2">
        <v>0.31499999999999995</v>
      </c>
      <c r="AB26" s="2">
        <v>1</v>
      </c>
      <c r="AC26" s="2">
        <v>0.15627441787779339</v>
      </c>
      <c r="AD26" s="2">
        <v>0.46679999805986883</v>
      </c>
      <c r="AE26" s="16">
        <f t="shared" si="0"/>
        <v>0.39967330731097633</v>
      </c>
      <c r="AF26" s="2">
        <v>0.60499999999999998</v>
      </c>
      <c r="AG26" s="2">
        <v>0.3</v>
      </c>
      <c r="AH26" s="2">
        <v>0.84099999999999997</v>
      </c>
      <c r="AI26" s="2">
        <v>0.58299999999999996</v>
      </c>
      <c r="AJ26" s="2">
        <v>0.15</v>
      </c>
      <c r="AK26" s="2">
        <v>0.7340000000000001</v>
      </c>
      <c r="AL26" s="2">
        <v>0.52</v>
      </c>
      <c r="AM26" s="2">
        <v>0.63568667363427778</v>
      </c>
      <c r="AN26" s="2">
        <v>0.37438833376859965</v>
      </c>
      <c r="AO26" s="2">
        <v>0.66569721956497607</v>
      </c>
      <c r="AP26" s="2">
        <v>0.51590297357973458</v>
      </c>
      <c r="AQ26" s="2">
        <v>9.0072137226743357E-2</v>
      </c>
      <c r="AR26" s="2">
        <v>0.53242397809566755</v>
      </c>
      <c r="AS26" s="2">
        <v>0.85099999999999998</v>
      </c>
    </row>
    <row r="27" spans="1:45">
      <c r="A27" s="13" t="s">
        <v>391</v>
      </c>
      <c r="B27" s="14" t="s">
        <v>72</v>
      </c>
      <c r="C27" s="20">
        <v>58.3</v>
      </c>
      <c r="D27" s="21">
        <v>4419</v>
      </c>
      <c r="E27" s="22">
        <v>8.39</v>
      </c>
      <c r="F27" s="23">
        <v>0.73</v>
      </c>
      <c r="G27" s="2">
        <v>0.45756889605157136</v>
      </c>
      <c r="H27" s="2">
        <v>3.2560000000000002E-3</v>
      </c>
      <c r="I27" s="2">
        <v>0.17439999923110006</v>
      </c>
      <c r="J27" s="2">
        <v>0.4</v>
      </c>
      <c r="K27" s="2">
        <v>0.16333333333333333</v>
      </c>
      <c r="L27" s="2">
        <v>0.75999999977648258</v>
      </c>
      <c r="M27" s="2">
        <v>0.76291666666666669</v>
      </c>
      <c r="N27" s="2">
        <v>0.34299599992409346</v>
      </c>
      <c r="O27" s="2">
        <v>0.99090925925933337</v>
      </c>
      <c r="P27" s="2">
        <v>0.38</v>
      </c>
      <c r="Q27" s="2">
        <v>0.26499999966472387</v>
      </c>
      <c r="R27" s="2">
        <v>8.3199999928474433E-2</v>
      </c>
      <c r="S27" s="2">
        <v>0.22499999999999998</v>
      </c>
      <c r="T27" s="2">
        <v>0.81719999999999993</v>
      </c>
      <c r="U27" s="2">
        <v>0.43887141345963043</v>
      </c>
      <c r="V27" s="2">
        <v>0.52653486000000005</v>
      </c>
      <c r="W27" s="2">
        <v>7.5184845736761263E-2</v>
      </c>
      <c r="X27" s="2">
        <v>0.17315199003114429</v>
      </c>
      <c r="Y27" s="2">
        <v>0</v>
      </c>
      <c r="Z27" s="2">
        <v>0</v>
      </c>
      <c r="AA27" s="2">
        <v>0.22499999999999998</v>
      </c>
      <c r="AB27" s="2">
        <v>0</v>
      </c>
      <c r="AC27" s="2">
        <v>1.3846579894765992E-2</v>
      </c>
      <c r="AD27" s="2">
        <v>0.93839999981224542</v>
      </c>
      <c r="AE27" s="16">
        <f t="shared" si="0"/>
        <v>0.34236541011543026</v>
      </c>
      <c r="AF27" s="2">
        <v>0.57299999999999995</v>
      </c>
      <c r="AG27" s="2">
        <v>0.5</v>
      </c>
      <c r="AH27" s="2">
        <v>0.84299999999999997</v>
      </c>
      <c r="AI27" s="2">
        <v>0.67500000000000004</v>
      </c>
      <c r="AJ27" s="2">
        <v>0.15</v>
      </c>
      <c r="AK27" s="2">
        <v>0.63200000000000001</v>
      </c>
      <c r="AL27" s="2">
        <v>0.76900000000000002</v>
      </c>
      <c r="AM27" s="2">
        <v>0.33700914080961936</v>
      </c>
      <c r="AN27" s="2">
        <v>0.4834855914305809</v>
      </c>
      <c r="AO27" s="2">
        <v>0.35985442289813441</v>
      </c>
      <c r="AP27" s="2">
        <v>0.79725759077745473</v>
      </c>
      <c r="AQ27" s="2">
        <v>0.51463549787709117</v>
      </c>
      <c r="AR27" s="2">
        <v>0.25783711359891293</v>
      </c>
      <c r="AS27" s="2">
        <v>0.39399999999999996</v>
      </c>
    </row>
    <row r="28" spans="1:45">
      <c r="A28" s="13" t="s">
        <v>439</v>
      </c>
      <c r="B28" s="14" t="s">
        <v>122</v>
      </c>
      <c r="C28" s="20">
        <v>68.8</v>
      </c>
      <c r="D28" s="21">
        <v>8578</v>
      </c>
      <c r="E28" s="22">
        <v>9.06</v>
      </c>
      <c r="F28" s="23">
        <v>0.81</v>
      </c>
      <c r="G28" s="2">
        <v>0.5</v>
      </c>
      <c r="H28" s="2">
        <v>0</v>
      </c>
      <c r="I28" s="2">
        <v>4.9599999114871007E-2</v>
      </c>
      <c r="J28" s="2">
        <v>0.47499999999999998</v>
      </c>
      <c r="K28" s="2">
        <v>1.3333333333333333E-3</v>
      </c>
      <c r="L28" s="2">
        <v>8.7999999150633834E-2</v>
      </c>
      <c r="M28" s="2">
        <v>0.28591666666666671</v>
      </c>
      <c r="N28" s="2">
        <v>0.52499799988381557</v>
      </c>
      <c r="O28" s="2">
        <v>0.9802166005291667</v>
      </c>
      <c r="P28" s="2">
        <v>0.16</v>
      </c>
      <c r="Q28" s="2">
        <v>0.48759999938309195</v>
      </c>
      <c r="R28" s="2">
        <v>4.3999999910593036E-2</v>
      </c>
      <c r="S28" s="2">
        <v>7.4999999999999997E-2</v>
      </c>
      <c r="T28" s="2">
        <v>0.69896800000000003</v>
      </c>
      <c r="U28" s="2">
        <v>0.25795871085211697</v>
      </c>
      <c r="V28" s="2">
        <v>6.9291337999999994E-2</v>
      </c>
      <c r="W28" s="2">
        <v>1.039129936990036E-2</v>
      </c>
      <c r="X28" s="2">
        <v>2.7889357576024007E-3</v>
      </c>
      <c r="Y28" s="2">
        <v>2.7250118542791936E-4</v>
      </c>
      <c r="Z28" s="2">
        <v>1.7602833475632599E-4</v>
      </c>
      <c r="AA28" s="2">
        <v>0</v>
      </c>
      <c r="AB28" s="2">
        <v>0.52</v>
      </c>
      <c r="AC28" s="2">
        <v>0.146484375</v>
      </c>
      <c r="AD28" s="2">
        <v>0.52930000567100399</v>
      </c>
      <c r="AE28" s="16">
        <f t="shared" si="0"/>
        <v>0.24613732467262425</v>
      </c>
      <c r="AF28" s="2">
        <v>0.61299999999999999</v>
      </c>
      <c r="AG28" s="2">
        <v>0.6</v>
      </c>
      <c r="AH28" s="2">
        <v>0.83200000000000007</v>
      </c>
      <c r="AI28" s="2">
        <v>0.28800000000000003</v>
      </c>
      <c r="AJ28" s="2">
        <v>0.7</v>
      </c>
      <c r="AK28" s="2">
        <v>0.747</v>
      </c>
      <c r="AL28" s="2">
        <v>0.80799999999999994</v>
      </c>
      <c r="AM28" s="2">
        <v>0.38679346110792978</v>
      </c>
      <c r="AN28" s="2">
        <v>0.49046661607713371</v>
      </c>
      <c r="AO28" s="2">
        <v>0.43960164189407697</v>
      </c>
      <c r="AP28" s="2">
        <v>0.95125122845131971</v>
      </c>
      <c r="AQ28" s="2">
        <v>0.52333111297529811</v>
      </c>
      <c r="AR28" s="2">
        <v>0.42294502228207775</v>
      </c>
      <c r="AS28" s="2">
        <v>0.61199999999999999</v>
      </c>
    </row>
    <row r="29" spans="1:45">
      <c r="A29" s="13" t="s">
        <v>214</v>
      </c>
      <c r="B29" s="14" t="s">
        <v>90</v>
      </c>
      <c r="C29" s="20">
        <v>60.4</v>
      </c>
      <c r="D29" s="21">
        <v>13384</v>
      </c>
      <c r="E29" s="22">
        <v>9.5</v>
      </c>
      <c r="F29" s="23">
        <v>0.69</v>
      </c>
      <c r="G29" s="2">
        <v>0.78532292659675873</v>
      </c>
      <c r="H29" s="2">
        <v>1.9019999929144979E-2</v>
      </c>
      <c r="I29" s="2">
        <v>8.7999999150633834E-2</v>
      </c>
      <c r="J29" s="2">
        <v>0.44999999999999996</v>
      </c>
      <c r="K29" s="2">
        <v>0.22733333333333333</v>
      </c>
      <c r="L29" s="2">
        <v>0.42399999946355815</v>
      </c>
      <c r="M29" s="2">
        <v>0.81700000000000006</v>
      </c>
      <c r="N29" s="2">
        <v>0.400565999911353</v>
      </c>
      <c r="O29" s="2">
        <v>0.99992260511193232</v>
      </c>
      <c r="P29" s="2">
        <v>0.3</v>
      </c>
      <c r="Q29" s="2">
        <v>0.8691999989002942</v>
      </c>
      <c r="R29" s="2">
        <v>0.28799999892711636</v>
      </c>
      <c r="S29" s="2">
        <v>0.40749999999999997</v>
      </c>
      <c r="T29" s="2">
        <v>0.85952000000000006</v>
      </c>
      <c r="U29" s="2">
        <v>0.65857233073741206</v>
      </c>
      <c r="V29" s="2">
        <v>1</v>
      </c>
      <c r="W29" s="2">
        <v>0.18976884450900328</v>
      </c>
      <c r="X29" s="2">
        <v>0.14255909031744446</v>
      </c>
      <c r="Y29" s="2">
        <v>0</v>
      </c>
      <c r="Z29" s="2">
        <v>0</v>
      </c>
      <c r="AA29" s="2">
        <v>0.54600000000000004</v>
      </c>
      <c r="AB29" s="2">
        <v>0.53</v>
      </c>
      <c r="AC29" s="2">
        <v>1.0587052035360754E-2</v>
      </c>
      <c r="AD29" s="2">
        <v>0.70660001304133324</v>
      </c>
      <c r="AE29" s="16">
        <f t="shared" si="0"/>
        <v>0.44664467466519486</v>
      </c>
      <c r="AF29" s="2">
        <v>0.70499999999999996</v>
      </c>
      <c r="AG29" s="2">
        <v>0.7</v>
      </c>
      <c r="AH29" s="2">
        <v>0.74099999999999999</v>
      </c>
      <c r="AI29" s="2">
        <v>0.67099999999999993</v>
      </c>
      <c r="AJ29" s="2">
        <v>0.8</v>
      </c>
      <c r="AK29" s="2">
        <v>0.68799999999999994</v>
      </c>
      <c r="AL29" s="2">
        <v>0.7390000000000001</v>
      </c>
      <c r="AM29" s="2">
        <v>0.67951541845383223</v>
      </c>
      <c r="AN29" s="2">
        <v>0.58105687687513341</v>
      </c>
      <c r="AO29" s="2">
        <v>0.66974029817083713</v>
      </c>
      <c r="AP29" s="2">
        <v>1</v>
      </c>
      <c r="AQ29" s="2">
        <v>9.9596703050721963E-2</v>
      </c>
      <c r="AR29" s="2">
        <v>0.62684839949154958</v>
      </c>
      <c r="AS29" s="2">
        <v>0.70799999999999996</v>
      </c>
    </row>
    <row r="30" spans="1:45">
      <c r="A30" s="13" t="s">
        <v>215</v>
      </c>
      <c r="B30" s="14" t="s">
        <v>23</v>
      </c>
      <c r="C30" s="20">
        <v>65.900000000000006</v>
      </c>
      <c r="D30" s="21">
        <v>10367</v>
      </c>
      <c r="E30" s="22">
        <v>9.25</v>
      </c>
      <c r="F30" s="23">
        <v>0.81</v>
      </c>
      <c r="G30" s="2">
        <v>0.29277539608574094</v>
      </c>
      <c r="H30" s="2">
        <v>7.7582999842353171E-3</v>
      </c>
      <c r="I30" s="2">
        <v>6.8799999132752365E-2</v>
      </c>
      <c r="J30" s="2">
        <v>0.32499999999999996</v>
      </c>
      <c r="K30" s="2">
        <v>8.2000000000000003E-2</v>
      </c>
      <c r="L30" s="2">
        <v>0.23199999928474424</v>
      </c>
      <c r="M30" s="2">
        <v>0.4356666666666667</v>
      </c>
      <c r="N30" s="2">
        <v>0.14099599996879697</v>
      </c>
      <c r="O30" s="2">
        <v>0.72380797814199993</v>
      </c>
      <c r="P30" s="2">
        <v>1</v>
      </c>
      <c r="Q30" s="2">
        <v>0.16959999978542328</v>
      </c>
      <c r="R30" s="2">
        <v>0.06</v>
      </c>
      <c r="S30" s="2">
        <v>0.3175</v>
      </c>
      <c r="T30" s="2">
        <v>0.60240000000000005</v>
      </c>
      <c r="U30" s="2">
        <v>0.30987925724193477</v>
      </c>
      <c r="V30" s="2">
        <v>0.27439886800000002</v>
      </c>
      <c r="W30" s="2">
        <v>1.4208339626855631E-4</v>
      </c>
      <c r="X30" s="2">
        <v>3.019828107403907E-2</v>
      </c>
      <c r="Y30" s="2">
        <v>1.4378442478146191E-2</v>
      </c>
      <c r="Z30" s="2">
        <v>6.6733880428496498E-2</v>
      </c>
      <c r="AA30" s="2">
        <v>2.200000000000002E-2</v>
      </c>
      <c r="AB30" s="2">
        <v>0.81</v>
      </c>
      <c r="AC30" s="2">
        <v>5.6741478730220271E-3</v>
      </c>
      <c r="AD30" s="2">
        <v>0.95599999975413086</v>
      </c>
      <c r="AE30" s="16">
        <f t="shared" si="0"/>
        <v>0.28948788747068327</v>
      </c>
      <c r="AF30" s="2">
        <v>0.54500000000000004</v>
      </c>
      <c r="AG30" s="2">
        <v>0.5</v>
      </c>
      <c r="AH30" s="2">
        <v>0.68400000000000005</v>
      </c>
      <c r="AI30" s="2">
        <v>0.503</v>
      </c>
      <c r="AJ30" s="2">
        <v>0.45</v>
      </c>
      <c r="AK30" s="2">
        <v>0.75800000000000001</v>
      </c>
      <c r="AL30" s="2">
        <v>0.69200000000000006</v>
      </c>
      <c r="AM30" s="2">
        <v>0.55702180270909574</v>
      </c>
      <c r="AN30" s="2">
        <v>0.60065632427729976</v>
      </c>
      <c r="AO30" s="2">
        <v>0.4871047738451777</v>
      </c>
      <c r="AP30" s="2">
        <v>0.98772284950699174</v>
      </c>
      <c r="AQ30" s="2">
        <v>0.53133038435610402</v>
      </c>
      <c r="AR30" s="2">
        <v>0.46397164435349403</v>
      </c>
      <c r="AS30" s="2">
        <v>0.57499999999999996</v>
      </c>
    </row>
    <row r="31" spans="1:45">
      <c r="A31" s="13" t="s">
        <v>216</v>
      </c>
      <c r="B31" s="14" t="s">
        <v>43</v>
      </c>
      <c r="C31" s="20" t="e">
        <v>#N/A</v>
      </c>
      <c r="D31" s="21">
        <v>51205</v>
      </c>
      <c r="E31" s="22">
        <v>10.84</v>
      </c>
      <c r="F31" s="23">
        <v>0.92</v>
      </c>
      <c r="G31" s="2">
        <v>0.16650760295670536</v>
      </c>
      <c r="H31" s="2">
        <v>1.0820000000000001E-2</v>
      </c>
      <c r="I31" s="2">
        <v>1.0000000000000009E-2</v>
      </c>
      <c r="J31" s="2">
        <v>0.125</v>
      </c>
      <c r="K31" s="2">
        <v>0</v>
      </c>
      <c r="L31" s="2">
        <v>0</v>
      </c>
      <c r="M31" s="2">
        <v>0.49116666666666664</v>
      </c>
      <c r="N31" s="2">
        <v>0.24987399994470177</v>
      </c>
      <c r="O31" s="2">
        <v>0.83611111111116665</v>
      </c>
      <c r="P31" s="2">
        <v>0.12</v>
      </c>
      <c r="Q31" s="2">
        <v>1</v>
      </c>
      <c r="R31" s="2">
        <v>0</v>
      </c>
      <c r="S31" s="2">
        <v>0.85</v>
      </c>
      <c r="T31" s="2">
        <v>0.69144000000000005</v>
      </c>
      <c r="U31" s="2">
        <v>0.21460932544589073</v>
      </c>
      <c r="V31" s="2">
        <v>0.18363939800000001</v>
      </c>
      <c r="W31" s="2">
        <v>0</v>
      </c>
      <c r="X31" s="2">
        <v>1.2899355548910651E-2</v>
      </c>
      <c r="Y31" s="2">
        <v>5.4343307561017108E-2</v>
      </c>
      <c r="Z31" s="2">
        <v>9.4738862994147605E-2</v>
      </c>
      <c r="AA31" s="2">
        <v>3.0000000000000027E-3</v>
      </c>
      <c r="AB31" s="2">
        <v>0</v>
      </c>
      <c r="AC31" s="2">
        <v>0</v>
      </c>
      <c r="AD31" s="2">
        <v>0.30492996803377492</v>
      </c>
      <c r="AE31" s="16">
        <f t="shared" si="0"/>
        <v>0.22579498326095759</v>
      </c>
      <c r="AF31" s="2" t="e">
        <v>#N/A</v>
      </c>
      <c r="AG31" s="2" t="e">
        <v>#N/A</v>
      </c>
      <c r="AH31" s="2" t="e">
        <v>#N/A</v>
      </c>
      <c r="AI31" s="2" t="e">
        <v>#N/A</v>
      </c>
      <c r="AJ31" s="2" t="e">
        <v>#N/A</v>
      </c>
      <c r="AK31" s="2" t="e">
        <v>#N/A</v>
      </c>
      <c r="AL31" s="2" t="e">
        <v>#N/A</v>
      </c>
      <c r="AM31" s="2">
        <v>0.76722005874011856</v>
      </c>
      <c r="AN31" s="2">
        <v>0.34345094613003618</v>
      </c>
      <c r="AO31" s="2">
        <v>0.68930433276134628</v>
      </c>
      <c r="AP31" s="2">
        <v>1</v>
      </c>
      <c r="AQ31" s="2">
        <v>0.24251139005475306</v>
      </c>
      <c r="AR31" s="2">
        <v>0.65690093413613726</v>
      </c>
      <c r="AS31" s="2" t="e">
        <v>#N/A</v>
      </c>
    </row>
    <row r="32" spans="1:45">
      <c r="A32" s="13" t="s">
        <v>217</v>
      </c>
      <c r="B32" s="14" t="s">
        <v>54</v>
      </c>
      <c r="C32" s="20">
        <v>73.3</v>
      </c>
      <c r="D32" s="21">
        <v>13870</v>
      </c>
      <c r="E32" s="22">
        <v>9.5399999999999991</v>
      </c>
      <c r="F32" s="23">
        <v>0.84</v>
      </c>
      <c r="G32" s="2">
        <v>0.91680882352941173</v>
      </c>
      <c r="H32" s="2">
        <v>0</v>
      </c>
      <c r="I32" s="2">
        <v>3.9999999105930328E-2</v>
      </c>
      <c r="J32" s="2">
        <v>0.6</v>
      </c>
      <c r="K32" s="2">
        <v>1.3333333333333333E-3</v>
      </c>
      <c r="L32" s="2">
        <v>3.9999999105930328E-2</v>
      </c>
      <c r="M32" s="2">
        <v>0.28591666666666671</v>
      </c>
      <c r="N32" s="2">
        <v>0.28885999993607403</v>
      </c>
      <c r="O32" s="2">
        <v>0.849486348597569</v>
      </c>
      <c r="P32" s="2">
        <v>0.68</v>
      </c>
      <c r="Q32" s="2">
        <v>0.1165999998524785</v>
      </c>
      <c r="R32" s="2">
        <v>0</v>
      </c>
      <c r="S32" s="2">
        <v>7.4999999999999997E-2</v>
      </c>
      <c r="T32" s="2">
        <v>0.52040000000000008</v>
      </c>
      <c r="U32" s="2">
        <v>0.29232155966460827</v>
      </c>
      <c r="V32" s="2">
        <v>8.0939947999999998E-2</v>
      </c>
      <c r="W32" s="2">
        <v>0</v>
      </c>
      <c r="X32" s="2">
        <v>4.5186780561153718E-3</v>
      </c>
      <c r="Y32" s="2">
        <v>4.462614037092162E-3</v>
      </c>
      <c r="Z32" s="2">
        <v>1.5294866726029499E-2</v>
      </c>
      <c r="AA32" s="2">
        <v>0</v>
      </c>
      <c r="AB32" s="2">
        <v>0.51</v>
      </c>
      <c r="AC32" s="2">
        <v>9.6676180830494438E-2</v>
      </c>
      <c r="AD32" s="2">
        <v>0.11439998403058871</v>
      </c>
      <c r="AE32" s="16">
        <f t="shared" si="0"/>
        <v>0.2305424583946801</v>
      </c>
      <c r="AF32" s="2">
        <v>0.77800000000000002</v>
      </c>
      <c r="AG32" s="2">
        <v>0.6</v>
      </c>
      <c r="AH32" s="2">
        <v>0.86299999999999999</v>
      </c>
      <c r="AI32" s="2">
        <v>0.48299999999999998</v>
      </c>
      <c r="AJ32" s="2">
        <v>0.5</v>
      </c>
      <c r="AK32" s="2">
        <v>0.69499999999999995</v>
      </c>
      <c r="AL32" s="2">
        <v>0.87400000000000011</v>
      </c>
      <c r="AM32" s="2">
        <v>0.5932214891610943</v>
      </c>
      <c r="AN32" s="2">
        <v>0.60640502867313073</v>
      </c>
      <c r="AO32" s="2">
        <v>0.47710215103261361</v>
      </c>
      <c r="AP32" s="2">
        <v>1</v>
      </c>
      <c r="AQ32" s="2">
        <v>0.69981846922318536</v>
      </c>
      <c r="AR32" s="2">
        <v>0.49103673286092719</v>
      </c>
      <c r="AS32" s="2">
        <v>0.78099999999999992</v>
      </c>
    </row>
    <row r="33" spans="1:45">
      <c r="A33" s="13" t="s">
        <v>218</v>
      </c>
      <c r="B33" s="14" t="s">
        <v>179</v>
      </c>
      <c r="C33" s="20">
        <v>49.4</v>
      </c>
      <c r="D33" s="21">
        <v>1187</v>
      </c>
      <c r="E33" s="22">
        <v>7.08</v>
      </c>
      <c r="F33" s="23">
        <v>0.39</v>
      </c>
      <c r="G33" s="2">
        <v>0.48413735691987514</v>
      </c>
      <c r="H33" s="2">
        <v>7.8799999999999995E-2</v>
      </c>
      <c r="I33" s="2">
        <v>0.27039999932050707</v>
      </c>
      <c r="J33" s="2">
        <v>0.35</v>
      </c>
      <c r="K33" s="2">
        <v>0.52400000000000002</v>
      </c>
      <c r="L33" s="2">
        <v>0.89439999990165231</v>
      </c>
      <c r="M33" s="2">
        <v>0.50358333333333338</v>
      </c>
      <c r="N33" s="2">
        <v>0.80820199982114138</v>
      </c>
      <c r="O33" s="2">
        <v>0.99350714285716668</v>
      </c>
      <c r="P33" s="2">
        <v>0.38</v>
      </c>
      <c r="Q33" s="2">
        <v>7.4199999906122693E-2</v>
      </c>
      <c r="R33" s="2">
        <v>1</v>
      </c>
      <c r="S33" s="2">
        <v>0.20749999999999999</v>
      </c>
      <c r="T33" s="2">
        <v>0.96567999999999998</v>
      </c>
      <c r="U33" s="2">
        <v>0.68263648685738576</v>
      </c>
      <c r="V33" s="2">
        <v>0.93193717200000004</v>
      </c>
      <c r="W33" s="2">
        <v>0.22143490172099548</v>
      </c>
      <c r="X33" s="2">
        <v>0.92567525542421336</v>
      </c>
      <c r="Y33" s="2">
        <v>0</v>
      </c>
      <c r="Z33" s="2">
        <v>0</v>
      </c>
      <c r="AA33" s="2">
        <v>0.9</v>
      </c>
      <c r="AB33" s="2">
        <v>0.26</v>
      </c>
      <c r="AC33" s="2">
        <v>1.6447368421052631E-2</v>
      </c>
      <c r="AD33" s="2">
        <v>0.96330399921935184</v>
      </c>
      <c r="AE33" s="16">
        <f t="shared" si="0"/>
        <v>0.5181602089876165</v>
      </c>
      <c r="AF33" s="2">
        <v>0.6</v>
      </c>
      <c r="AG33" s="2">
        <v>0.5</v>
      </c>
      <c r="AH33" s="2">
        <v>0.80400000000000005</v>
      </c>
      <c r="AI33" s="2">
        <v>0.8</v>
      </c>
      <c r="AJ33" s="2">
        <v>0.5</v>
      </c>
      <c r="AK33" s="2">
        <v>0.73</v>
      </c>
      <c r="AL33" s="2">
        <v>0.71299999999999997</v>
      </c>
      <c r="AM33" s="2">
        <v>0.47719847431580054</v>
      </c>
      <c r="AN33" s="2">
        <v>0.4504318756576044</v>
      </c>
      <c r="AO33" s="2">
        <v>0.41256865601592879</v>
      </c>
      <c r="AP33" s="2">
        <v>0.23030505890008335</v>
      </c>
      <c r="AQ33" s="2">
        <v>4.8175945725162643E-2</v>
      </c>
      <c r="AR33" s="2">
        <v>0.44409147973800345</v>
      </c>
      <c r="AS33" s="2">
        <v>0.64400000000000002</v>
      </c>
    </row>
    <row r="34" spans="1:45">
      <c r="A34" s="13" t="s">
        <v>219</v>
      </c>
      <c r="B34" s="14" t="s">
        <v>191</v>
      </c>
      <c r="C34" s="20">
        <v>38.200000000000003</v>
      </c>
      <c r="D34" s="21">
        <v>392</v>
      </c>
      <c r="E34" s="22">
        <v>5.97</v>
      </c>
      <c r="F34" s="23">
        <v>0.39</v>
      </c>
      <c r="G34" s="2">
        <v>0.99825260180995468</v>
      </c>
      <c r="H34" s="2">
        <v>2.2970000000000001E-2</v>
      </c>
      <c r="I34" s="2">
        <v>0.30879999935626978</v>
      </c>
      <c r="J34" s="2">
        <v>0.30000000000000004</v>
      </c>
      <c r="K34" s="2">
        <v>0.72533333333333339</v>
      </c>
      <c r="L34" s="2">
        <v>0.55839999958872788</v>
      </c>
      <c r="M34" s="2">
        <v>0.71575</v>
      </c>
      <c r="N34" s="2">
        <v>0.90192999980039901</v>
      </c>
      <c r="O34" s="2">
        <v>0.99638703703700005</v>
      </c>
      <c r="P34" s="2">
        <v>0.18</v>
      </c>
      <c r="Q34" s="2">
        <v>0.33919999957084657</v>
      </c>
      <c r="R34" s="2">
        <v>1</v>
      </c>
      <c r="S34" s="2">
        <v>0.40749999999999997</v>
      </c>
      <c r="T34" s="2">
        <v>0.99</v>
      </c>
      <c r="U34" s="2">
        <v>0.73167375519573818</v>
      </c>
      <c r="V34" s="2">
        <v>0.98950682000000001</v>
      </c>
      <c r="W34" s="2">
        <v>0.45674144896392116</v>
      </c>
      <c r="X34" s="2">
        <v>1</v>
      </c>
      <c r="Y34" s="2">
        <v>0</v>
      </c>
      <c r="Z34" s="2">
        <v>0</v>
      </c>
      <c r="AA34" s="2">
        <v>0.97199999999999998</v>
      </c>
      <c r="AB34" s="2">
        <v>0.99</v>
      </c>
      <c r="AC34" s="2">
        <v>0.35046728971962615</v>
      </c>
      <c r="AD34" s="2">
        <v>0.90812800341597744</v>
      </c>
      <c r="AE34" s="16">
        <f t="shared" si="0"/>
        <v>0.61846001199132472</v>
      </c>
      <c r="AF34" s="2">
        <v>0.37799999999999995</v>
      </c>
      <c r="AG34" s="2">
        <v>0.3</v>
      </c>
      <c r="AH34" s="2">
        <v>0.72199999999999998</v>
      </c>
      <c r="AI34" s="2">
        <v>0.42700000000000005</v>
      </c>
      <c r="AJ34" s="2">
        <v>0.5</v>
      </c>
      <c r="AK34" s="2">
        <v>0.627</v>
      </c>
      <c r="AL34" s="2">
        <v>0.68599999999999994</v>
      </c>
      <c r="AM34" s="2">
        <v>0.21791769594131843</v>
      </c>
      <c r="AN34" s="2">
        <v>0.35622395130434314</v>
      </c>
      <c r="AO34" s="2">
        <v>0.27777917250636008</v>
      </c>
      <c r="AP34" s="2">
        <v>0.11107054642031837</v>
      </c>
      <c r="AQ34" s="2">
        <v>3.7914312865702966E-2</v>
      </c>
      <c r="AR34" s="2">
        <v>0.26223029566009648</v>
      </c>
      <c r="AS34" s="2">
        <v>0.66900000000000004</v>
      </c>
    </row>
    <row r="35" spans="1:45">
      <c r="A35" s="13" t="s">
        <v>220</v>
      </c>
      <c r="B35" s="14" t="s">
        <v>177</v>
      </c>
      <c r="C35" s="20">
        <v>50.1</v>
      </c>
      <c r="D35" s="21">
        <v>1915</v>
      </c>
      <c r="E35" s="22">
        <v>7.56</v>
      </c>
      <c r="F35" s="23">
        <v>0.59</v>
      </c>
      <c r="G35" s="2">
        <v>0.51401978609625665</v>
      </c>
      <c r="H35" s="2">
        <v>4.5869999999999999E-3</v>
      </c>
      <c r="I35" s="2">
        <v>0.41439999945461747</v>
      </c>
      <c r="J35" s="2">
        <v>0.25</v>
      </c>
      <c r="K35" s="2">
        <v>0.39733333333333332</v>
      </c>
      <c r="L35" s="2">
        <v>0.72159999974071987</v>
      </c>
      <c r="M35" s="2">
        <v>0.54241666666666666</v>
      </c>
      <c r="N35" s="2">
        <v>0.78598199982605876</v>
      </c>
      <c r="O35" s="2">
        <v>0.96221581196583328</v>
      </c>
      <c r="P35" s="2">
        <v>0.08</v>
      </c>
      <c r="Q35" s="2">
        <v>2.119999997317791E-2</v>
      </c>
      <c r="R35" s="2">
        <v>0.75899999845772981</v>
      </c>
      <c r="S35" s="2">
        <v>0.76749999999999996</v>
      </c>
      <c r="T35" s="2">
        <v>0.95023999999999997</v>
      </c>
      <c r="U35" s="2">
        <v>0.52940456476345743</v>
      </c>
      <c r="V35" s="2">
        <v>0.74051123200000002</v>
      </c>
      <c r="W35" s="2">
        <v>9.1819454540179951E-2</v>
      </c>
      <c r="X35" s="2">
        <v>0.23067866828168962</v>
      </c>
      <c r="Y35" s="2">
        <v>7.4136725619909305E-2</v>
      </c>
      <c r="Z35" s="2">
        <v>0.238716185799286</v>
      </c>
      <c r="AA35" s="2">
        <v>0.76</v>
      </c>
      <c r="AB35" s="2">
        <v>0.33</v>
      </c>
      <c r="AC35" s="2">
        <v>7.6478585995921139E-2</v>
      </c>
      <c r="AD35" s="2">
        <v>0.94464800016568906</v>
      </c>
      <c r="AE35" s="16">
        <f t="shared" si="0"/>
        <v>0.46612033386168866</v>
      </c>
      <c r="AF35" s="2">
        <v>0.39899999999999997</v>
      </c>
      <c r="AG35" s="2">
        <v>0.5</v>
      </c>
      <c r="AH35" s="2">
        <v>0.91</v>
      </c>
      <c r="AI35" s="2">
        <v>0.92900000000000005</v>
      </c>
      <c r="AJ35" s="2">
        <v>0.6</v>
      </c>
      <c r="AK35" s="2">
        <v>0.70499999999999996</v>
      </c>
      <c r="AL35" s="2">
        <v>0.7</v>
      </c>
      <c r="AM35" s="2">
        <v>0.37611042994634603</v>
      </c>
      <c r="AN35" s="2">
        <v>0.32546384228513736</v>
      </c>
      <c r="AO35" s="2">
        <v>0.26552613927335295</v>
      </c>
      <c r="AP35" s="2">
        <v>0.41554550733518436</v>
      </c>
      <c r="AQ35" s="2">
        <v>0.1414285714605025</v>
      </c>
      <c r="AR35" s="2">
        <v>0.29289778619645268</v>
      </c>
      <c r="AS35" s="2">
        <v>0.436</v>
      </c>
    </row>
    <row r="36" spans="1:45">
      <c r="A36" s="13" t="s">
        <v>221</v>
      </c>
      <c r="B36" s="14" t="s">
        <v>97</v>
      </c>
      <c r="C36" s="20">
        <v>48.6</v>
      </c>
      <c r="D36" s="21">
        <v>2205</v>
      </c>
      <c r="E36" s="22">
        <v>7.7</v>
      </c>
      <c r="F36" s="23">
        <v>0.52</v>
      </c>
      <c r="G36" s="2">
        <v>1</v>
      </c>
      <c r="H36" s="2">
        <v>3.3600000000000001E-3</v>
      </c>
      <c r="I36" s="2">
        <v>0.28959999933838843</v>
      </c>
      <c r="J36" s="2">
        <v>0.27500000000000002</v>
      </c>
      <c r="K36" s="2">
        <v>0.33133333333333331</v>
      </c>
      <c r="L36" s="2">
        <v>0.5487999995797872</v>
      </c>
      <c r="M36" s="2">
        <v>0.44400000000000001</v>
      </c>
      <c r="N36" s="2">
        <v>0.42844199990518389</v>
      </c>
      <c r="O36" s="2">
        <v>0.98570965397733334</v>
      </c>
      <c r="P36" s="2">
        <v>0.14000000000000001</v>
      </c>
      <c r="Q36" s="2">
        <v>0.28619999963790183</v>
      </c>
      <c r="R36" s="2">
        <v>0.56159999907016755</v>
      </c>
      <c r="S36" s="2">
        <v>0.20749999999999999</v>
      </c>
      <c r="T36" s="2">
        <v>0.92080000000000006</v>
      </c>
      <c r="U36" s="2">
        <v>0.71956417469665479</v>
      </c>
      <c r="V36" s="2">
        <v>0.930307942</v>
      </c>
      <c r="W36" s="2">
        <v>8.2065578542638531E-2</v>
      </c>
      <c r="X36" s="2">
        <v>0.7415437992425078</v>
      </c>
      <c r="Y36" s="2">
        <v>1.8746089557963445E-3</v>
      </c>
      <c r="Z36" s="2">
        <v>2.8944314952209001E-2</v>
      </c>
      <c r="AA36" s="2">
        <v>0.70599999999999996</v>
      </c>
      <c r="AB36" s="2">
        <v>0.66</v>
      </c>
      <c r="AC36" s="2">
        <v>1.5865964333312176E-2</v>
      </c>
      <c r="AD36" s="2">
        <v>0.92634400077869916</v>
      </c>
      <c r="AE36" s="16">
        <f t="shared" si="0"/>
        <v>0.46811897368099631</v>
      </c>
      <c r="AF36" s="2">
        <v>0.37200000000000005</v>
      </c>
      <c r="AG36" s="2">
        <v>0.5</v>
      </c>
      <c r="AH36" s="2">
        <v>0.71799999999999997</v>
      </c>
      <c r="AI36" s="2">
        <v>0.92700000000000005</v>
      </c>
      <c r="AJ36" s="2">
        <v>0.35</v>
      </c>
      <c r="AK36" s="2">
        <v>0.71900000000000008</v>
      </c>
      <c r="AL36" s="2">
        <v>0.59699999999999998</v>
      </c>
      <c r="AM36" s="2">
        <v>0.41898744151628531</v>
      </c>
      <c r="AN36" s="2">
        <v>0.2965453061718451</v>
      </c>
      <c r="AO36" s="2">
        <v>0.31793831394211269</v>
      </c>
      <c r="AP36" s="2">
        <v>0.41681297359096003</v>
      </c>
      <c r="AQ36" s="2">
        <v>0.12763730574310306</v>
      </c>
      <c r="AR36" s="2">
        <v>0.28830362753290539</v>
      </c>
      <c r="AS36" s="2">
        <v>0.52200000000000002</v>
      </c>
    </row>
    <row r="37" spans="1:45">
      <c r="A37" s="13" t="s">
        <v>222</v>
      </c>
      <c r="B37" s="14" t="s">
        <v>32</v>
      </c>
      <c r="C37" s="20">
        <v>78.2</v>
      </c>
      <c r="D37" s="21">
        <v>37808</v>
      </c>
      <c r="E37" s="22">
        <v>10.54</v>
      </c>
      <c r="F37" s="23">
        <v>0.97</v>
      </c>
      <c r="G37" s="2">
        <v>1</v>
      </c>
      <c r="H37" s="2">
        <v>1.584E-2</v>
      </c>
      <c r="I37" s="2">
        <v>3.9999999105930328E-2</v>
      </c>
      <c r="J37" s="2">
        <v>0.875</v>
      </c>
      <c r="K37" s="2">
        <v>0</v>
      </c>
      <c r="L37" s="2">
        <v>3.9999999105930328E-2</v>
      </c>
      <c r="M37" s="2">
        <v>0.19575000000000001</v>
      </c>
      <c r="N37" s="2">
        <v>0.1969499999564141</v>
      </c>
      <c r="O37" s="2">
        <v>0.90510088691799995</v>
      </c>
      <c r="P37" s="2">
        <v>0.36</v>
      </c>
      <c r="Q37" s="2">
        <v>0.13779999982565641</v>
      </c>
      <c r="R37" s="2">
        <v>0</v>
      </c>
      <c r="S37" s="2">
        <v>0.92499999999999993</v>
      </c>
      <c r="T37" s="2">
        <v>0.44494400000000001</v>
      </c>
      <c r="U37" s="2">
        <v>0.14547434001564941</v>
      </c>
      <c r="V37" s="2">
        <v>0.11471321600000001</v>
      </c>
      <c r="W37" s="2">
        <v>0</v>
      </c>
      <c r="X37" s="2">
        <v>4.6281658760212478E-3</v>
      </c>
      <c r="Y37" s="2">
        <v>2.7718634934874982E-2</v>
      </c>
      <c r="Z37" s="2">
        <v>4.2564618421112303E-2</v>
      </c>
      <c r="AA37" s="2">
        <v>0</v>
      </c>
      <c r="AB37" s="2">
        <v>0.37</v>
      </c>
      <c r="AC37" s="2">
        <v>2.3093392980268346E-3</v>
      </c>
      <c r="AD37" s="2">
        <v>0.64914400834660335</v>
      </c>
      <c r="AE37" s="16">
        <f t="shared" si="0"/>
        <v>0.27053905032517583</v>
      </c>
      <c r="AF37" s="2">
        <v>0.96499999999999997</v>
      </c>
      <c r="AG37" s="2">
        <v>0.8</v>
      </c>
      <c r="AH37" s="2">
        <v>0.76700000000000002</v>
      </c>
      <c r="AI37" s="2">
        <v>0.54100000000000004</v>
      </c>
      <c r="AJ37" s="2">
        <v>0.75</v>
      </c>
      <c r="AK37" s="2">
        <v>0.754</v>
      </c>
      <c r="AL37" s="2">
        <v>0.88099999999999989</v>
      </c>
      <c r="AM37" s="2">
        <v>0.70106129152128849</v>
      </c>
      <c r="AN37" s="2">
        <v>0.78513610234486875</v>
      </c>
      <c r="AO37" s="2">
        <v>0.90319955881949121</v>
      </c>
      <c r="AP37" s="2">
        <v>0.75249482084215535</v>
      </c>
      <c r="AQ37" s="2">
        <v>0.78281116810026652</v>
      </c>
      <c r="AR37" s="2">
        <v>0.85229003056031449</v>
      </c>
      <c r="AS37" s="2">
        <v>0.81499999999999995</v>
      </c>
    </row>
    <row r="38" spans="1:45">
      <c r="A38" s="13" t="s">
        <v>223</v>
      </c>
      <c r="B38" s="14" t="s">
        <v>89</v>
      </c>
      <c r="C38" s="20">
        <v>65.900000000000006</v>
      </c>
      <c r="D38" s="21">
        <v>3644</v>
      </c>
      <c r="E38" s="22">
        <v>8.1999999999999993</v>
      </c>
      <c r="F38" s="23">
        <v>0.71</v>
      </c>
      <c r="G38" s="2">
        <v>0.12519287790697678</v>
      </c>
      <c r="H38" s="2">
        <v>6.7670000000000008E-2</v>
      </c>
      <c r="I38" s="2">
        <v>0.19359999924898152</v>
      </c>
      <c r="J38" s="2">
        <v>0.19999999999999996</v>
      </c>
      <c r="K38" s="2">
        <v>6.2E-2</v>
      </c>
      <c r="L38" s="2">
        <v>0.48159999951720234</v>
      </c>
      <c r="M38" s="2">
        <v>0.62008333333333332</v>
      </c>
      <c r="N38" s="2">
        <v>0.40036399991139776</v>
      </c>
      <c r="O38" s="2">
        <v>1</v>
      </c>
      <c r="P38" s="2">
        <v>0.16</v>
      </c>
      <c r="Q38" s="2">
        <v>0.8691999989002942</v>
      </c>
      <c r="R38" s="2">
        <v>0.16</v>
      </c>
      <c r="S38" s="2">
        <v>0.20749999999999999</v>
      </c>
      <c r="T38" s="2">
        <v>0.90144000000000002</v>
      </c>
      <c r="U38" s="2">
        <v>0.33602497433945611</v>
      </c>
      <c r="V38" s="2">
        <v>0.51824817599999995</v>
      </c>
      <c r="W38" s="2">
        <v>7.4237911217670829E-2</v>
      </c>
      <c r="X38" s="2">
        <v>7.5019346415507185E-2</v>
      </c>
      <c r="Y38" s="2">
        <v>0.10878458276764212</v>
      </c>
      <c r="Z38" s="2">
        <v>0.126841776144479</v>
      </c>
      <c r="AA38" s="2">
        <v>0.29599999999999993</v>
      </c>
      <c r="AB38" s="2">
        <v>0</v>
      </c>
      <c r="AC38" s="2">
        <v>0</v>
      </c>
      <c r="AD38" s="2">
        <v>0.43387198967830432</v>
      </c>
      <c r="AE38" s="16">
        <f t="shared" si="0"/>
        <v>0.30906995689088529</v>
      </c>
      <c r="AF38" s="2">
        <v>0.63300000000000001</v>
      </c>
      <c r="AG38" s="2">
        <v>0.6</v>
      </c>
      <c r="AH38" s="2">
        <v>0.65599999999999992</v>
      </c>
      <c r="AI38" s="2">
        <v>0.65300000000000002</v>
      </c>
      <c r="AJ38" s="2">
        <v>0.6</v>
      </c>
      <c r="AK38" s="2">
        <v>0.745</v>
      </c>
      <c r="AL38" s="2">
        <v>0.65500000000000003</v>
      </c>
      <c r="AM38" s="2">
        <v>0.66160925951789884</v>
      </c>
      <c r="AN38" s="2">
        <v>0.66777132156381136</v>
      </c>
      <c r="AO38" s="2">
        <v>0.6384522474270995</v>
      </c>
      <c r="AP38" s="2">
        <v>0.85283798075448947</v>
      </c>
      <c r="AQ38" s="2">
        <v>0.2109255814761932</v>
      </c>
      <c r="AR38" s="2">
        <v>0.59375154704757971</v>
      </c>
      <c r="AS38" s="2">
        <v>0.48100000000000004</v>
      </c>
    </row>
    <row r="39" spans="1:45">
      <c r="A39" s="13" t="s">
        <v>440</v>
      </c>
      <c r="B39" s="14" t="s">
        <v>135</v>
      </c>
      <c r="C39" s="20">
        <v>37.6</v>
      </c>
      <c r="D39" s="21">
        <v>757</v>
      </c>
      <c r="E39" s="22">
        <v>6.63</v>
      </c>
      <c r="F39" s="23">
        <v>0.37</v>
      </c>
      <c r="G39" s="2">
        <v>1</v>
      </c>
      <c r="H39" s="2">
        <v>4.6300000000000003E-4</v>
      </c>
      <c r="I39" s="2">
        <v>0.35679999940097329</v>
      </c>
      <c r="J39" s="2">
        <v>0.30000000000000004</v>
      </c>
      <c r="K39" s="2">
        <v>0.34066666666666667</v>
      </c>
      <c r="L39" s="2">
        <v>0.67359999969601625</v>
      </c>
      <c r="M39" s="2">
        <v>1</v>
      </c>
      <c r="N39" s="2">
        <v>0.61872599986307319</v>
      </c>
      <c r="O39" s="2">
        <v>1</v>
      </c>
      <c r="P39" s="2">
        <v>1</v>
      </c>
      <c r="Q39" s="2">
        <v>0.233199999704957</v>
      </c>
      <c r="R39" s="2">
        <v>0.89639999851584451</v>
      </c>
      <c r="S39" s="2">
        <v>0.40749999999999997</v>
      </c>
      <c r="T39" s="2">
        <v>0.97719999999999996</v>
      </c>
      <c r="U39" s="2">
        <v>0.79839469184324252</v>
      </c>
      <c r="V39" s="2">
        <v>1</v>
      </c>
      <c r="W39" s="2">
        <v>0.40835046795063024</v>
      </c>
      <c r="X39" s="2">
        <v>0.9692629369267417</v>
      </c>
      <c r="Y39" s="2">
        <v>0</v>
      </c>
      <c r="Z39" s="2">
        <v>0</v>
      </c>
      <c r="AA39" s="2">
        <v>0.94899999999999995</v>
      </c>
      <c r="AB39" s="2">
        <v>0.81</v>
      </c>
      <c r="AC39" s="2">
        <v>1.4446227929373995E-2</v>
      </c>
      <c r="AD39" s="2">
        <v>0.97947999949036069</v>
      </c>
      <c r="AE39" s="16">
        <f t="shared" si="0"/>
        <v>0.61389541616616161</v>
      </c>
      <c r="AF39" s="2">
        <v>0.375</v>
      </c>
      <c r="AG39" s="2">
        <v>0.3</v>
      </c>
      <c r="AH39" s="2">
        <v>0.65500000000000003</v>
      </c>
      <c r="AI39" s="2">
        <v>0.94099999999999995</v>
      </c>
      <c r="AJ39" s="2">
        <v>0.4</v>
      </c>
      <c r="AK39" s="2">
        <v>0.68299999999999994</v>
      </c>
      <c r="AL39" s="2">
        <v>0.58099999999999996</v>
      </c>
      <c r="AM39" s="2">
        <v>9.787269099734637E-2</v>
      </c>
      <c r="AN39" s="2">
        <v>0.30542268041711773</v>
      </c>
      <c r="AO39" s="2">
        <v>0.33666389091641552</v>
      </c>
      <c r="AP39" s="2">
        <v>4.1787293190033215E-2</v>
      </c>
      <c r="AQ39" s="2">
        <v>3.4766820007849489E-2</v>
      </c>
      <c r="AR39" s="2">
        <v>0.23885535983770262</v>
      </c>
      <c r="AS39" s="2">
        <v>0.50700000000000001</v>
      </c>
    </row>
    <row r="40" spans="1:45">
      <c r="A40" s="13" t="s">
        <v>225</v>
      </c>
      <c r="B40" s="14" t="s">
        <v>165</v>
      </c>
      <c r="C40" s="20">
        <v>38.4</v>
      </c>
      <c r="D40" s="21">
        <v>1300</v>
      </c>
      <c r="E40" s="22">
        <v>7.17</v>
      </c>
      <c r="F40" s="23">
        <v>0.39</v>
      </c>
      <c r="G40" s="2">
        <v>0.78847685840707959</v>
      </c>
      <c r="H40" s="2">
        <v>8.5350000000000009E-3</v>
      </c>
      <c r="I40" s="2">
        <v>0.51999999955296516</v>
      </c>
      <c r="J40" s="2">
        <v>0.375</v>
      </c>
      <c r="K40" s="2">
        <v>0.41199999999999998</v>
      </c>
      <c r="L40" s="2">
        <v>0.91359999991953367</v>
      </c>
      <c r="M40" s="2">
        <v>0.63950000000000007</v>
      </c>
      <c r="N40" s="2">
        <v>0.7358859998371452</v>
      </c>
      <c r="O40" s="2">
        <v>1</v>
      </c>
      <c r="P40" s="2">
        <v>0.08</v>
      </c>
      <c r="Q40" s="2">
        <v>8.4799999892711642E-2</v>
      </c>
      <c r="R40" s="2">
        <v>1</v>
      </c>
      <c r="S40" s="2">
        <v>0.20749999999999999</v>
      </c>
      <c r="T40" s="2">
        <v>0.98560000000000003</v>
      </c>
      <c r="U40" s="2">
        <v>0.76437229181155675</v>
      </c>
      <c r="V40" s="2">
        <v>1</v>
      </c>
      <c r="W40" s="2">
        <v>6.9494770842820491E-2</v>
      </c>
      <c r="X40" s="2">
        <v>1</v>
      </c>
      <c r="Y40" s="2">
        <v>0</v>
      </c>
      <c r="Z40" s="2">
        <v>0</v>
      </c>
      <c r="AA40" s="2">
        <v>0.96499999999999997</v>
      </c>
      <c r="AB40" s="2">
        <v>1</v>
      </c>
      <c r="AC40" s="2">
        <v>4.7649301143583237E-3</v>
      </c>
      <c r="AD40" s="2">
        <v>0.99359999986823722</v>
      </c>
      <c r="AE40" s="16">
        <f t="shared" si="0"/>
        <v>0.5645054104269337</v>
      </c>
      <c r="AF40" s="2">
        <v>0.32700000000000001</v>
      </c>
      <c r="AG40" s="2">
        <v>0.4</v>
      </c>
      <c r="AH40" s="2">
        <v>0.505</v>
      </c>
      <c r="AI40" s="2">
        <v>0.89200000000000002</v>
      </c>
      <c r="AJ40" s="2">
        <v>0.45</v>
      </c>
      <c r="AK40" s="2">
        <v>0.76700000000000002</v>
      </c>
      <c r="AL40" s="2">
        <v>0.58399999999999996</v>
      </c>
      <c r="AM40" s="2">
        <v>0.15319697546013558</v>
      </c>
      <c r="AN40" s="2">
        <v>0.2222876301812092</v>
      </c>
      <c r="AO40" s="2">
        <v>0.22565483616473075</v>
      </c>
      <c r="AP40" s="2">
        <v>0.2636587475046811</v>
      </c>
      <c r="AQ40" s="2">
        <v>2.8303251434961603E-2</v>
      </c>
      <c r="AR40" s="2">
        <v>0.19747986229892284</v>
      </c>
      <c r="AS40" s="2">
        <v>0.46899999999999997</v>
      </c>
    </row>
    <row r="41" spans="1:45">
      <c r="A41" s="13" t="s">
        <v>226</v>
      </c>
      <c r="B41" s="14" t="s">
        <v>18</v>
      </c>
      <c r="C41" s="20">
        <v>77.7</v>
      </c>
      <c r="D41" s="21">
        <v>14311</v>
      </c>
      <c r="E41" s="22">
        <v>9.57</v>
      </c>
      <c r="F41" s="23">
        <v>0.88</v>
      </c>
      <c r="G41" s="2">
        <v>9.0088050314465415E-2</v>
      </c>
      <c r="H41" s="2">
        <v>1.23E-2</v>
      </c>
      <c r="I41" s="2">
        <v>7.8399999141693155E-2</v>
      </c>
      <c r="J41" s="2">
        <v>0.15000000000000002</v>
      </c>
      <c r="K41" s="2">
        <v>6.6666666666666664E-4</v>
      </c>
      <c r="L41" s="2">
        <v>7.8399999141693155E-2</v>
      </c>
      <c r="M41" s="2">
        <v>0.505</v>
      </c>
      <c r="N41" s="2">
        <v>0.11392799997478723</v>
      </c>
      <c r="O41" s="2">
        <v>0.44369598373157093</v>
      </c>
      <c r="P41" s="2">
        <v>0.22</v>
      </c>
      <c r="Q41" s="2">
        <v>0.61479999922215933</v>
      </c>
      <c r="R41" s="2">
        <v>0</v>
      </c>
      <c r="S41" s="2">
        <v>0.3175</v>
      </c>
      <c r="T41" s="2">
        <v>0.88759999999999994</v>
      </c>
      <c r="U41" s="2">
        <v>0.1906121351796386</v>
      </c>
      <c r="V41" s="2">
        <v>0.16962524600000001</v>
      </c>
      <c r="W41" s="2">
        <v>2.3388176094824096E-4</v>
      </c>
      <c r="X41" s="2">
        <v>1.2929487728884746E-2</v>
      </c>
      <c r="Y41" s="2">
        <v>2.4630565365612207E-2</v>
      </c>
      <c r="Z41" s="2">
        <v>2.21323952882077E-2</v>
      </c>
      <c r="AA41" s="2">
        <v>1.5000000000000013E-2</v>
      </c>
      <c r="AB41" s="2">
        <v>0.83</v>
      </c>
      <c r="AC41" s="2">
        <v>3.0250067222371606E-2</v>
      </c>
      <c r="AD41" s="2">
        <v>0.83435999295529062</v>
      </c>
      <c r="AE41" s="16">
        <f t="shared" si="0"/>
        <v>0.23508968623724955</v>
      </c>
      <c r="AF41" s="2">
        <v>0.64800000000000002</v>
      </c>
      <c r="AG41" s="2">
        <v>0.7</v>
      </c>
      <c r="AH41" s="2">
        <v>0.77500000000000002</v>
      </c>
      <c r="AI41" s="2">
        <v>0.89599999999999991</v>
      </c>
      <c r="AJ41" s="2">
        <v>0.8</v>
      </c>
      <c r="AK41" s="2">
        <v>0.73</v>
      </c>
      <c r="AL41" s="2">
        <v>0.88</v>
      </c>
      <c r="AM41" s="2">
        <v>0.62439848879948978</v>
      </c>
      <c r="AN41" s="2">
        <v>0.69061900223125738</v>
      </c>
      <c r="AO41" s="2">
        <v>0.77145071420237177</v>
      </c>
      <c r="AP41" s="2">
        <v>1</v>
      </c>
      <c r="AQ41" s="2">
        <v>0.75146578355699989</v>
      </c>
      <c r="AR41" s="2">
        <v>0.747604066889207</v>
      </c>
      <c r="AS41" s="2">
        <v>0.754</v>
      </c>
    </row>
    <row r="42" spans="1:45">
      <c r="A42" s="13" t="s">
        <v>227</v>
      </c>
      <c r="B42" s="14" t="s">
        <v>111</v>
      </c>
      <c r="C42" s="20">
        <v>60.3</v>
      </c>
      <c r="D42" s="21">
        <v>6828</v>
      </c>
      <c r="E42" s="22">
        <v>8.83</v>
      </c>
      <c r="F42" s="23">
        <v>0.77</v>
      </c>
      <c r="G42" s="2">
        <v>1</v>
      </c>
      <c r="H42" s="2">
        <v>0.21460999956391752</v>
      </c>
      <c r="I42" s="2">
        <v>0.14559999920427802</v>
      </c>
      <c r="J42" s="2">
        <v>0.625</v>
      </c>
      <c r="K42" s="2">
        <v>3.7333333333333336E-2</v>
      </c>
      <c r="L42" s="2">
        <v>0.47199999950826166</v>
      </c>
      <c r="M42" s="2">
        <v>0.20825000000000002</v>
      </c>
      <c r="N42" s="2">
        <v>0.56559999987483023</v>
      </c>
      <c r="O42" s="2">
        <v>0.39848461559326898</v>
      </c>
      <c r="P42" s="2">
        <v>0.12</v>
      </c>
      <c r="Q42" s="2">
        <v>2.119999997317791E-2</v>
      </c>
      <c r="R42" s="2">
        <v>0.12</v>
      </c>
      <c r="S42" s="2">
        <v>0.76749999999999996</v>
      </c>
      <c r="T42" s="2">
        <v>0.83160000000000001</v>
      </c>
      <c r="U42" s="2">
        <v>0.29600842796072468</v>
      </c>
      <c r="V42" s="2">
        <v>0.158469946</v>
      </c>
      <c r="W42" s="2">
        <v>0</v>
      </c>
      <c r="X42" s="2">
        <v>1.7002356265383375E-2</v>
      </c>
      <c r="Y42" s="2">
        <v>1.9791169039169651E-2</v>
      </c>
      <c r="Z42" s="2">
        <v>0.11397905071265001</v>
      </c>
      <c r="AA42" s="2">
        <v>5.9999999999998943E-3</v>
      </c>
      <c r="AB42" s="2">
        <v>0.22</v>
      </c>
      <c r="AC42" s="2">
        <v>1.2865198768929132E-2</v>
      </c>
      <c r="AD42" s="2">
        <v>0.48639999952167268</v>
      </c>
      <c r="AE42" s="16">
        <f t="shared" si="0"/>
        <v>0.2857372539716499</v>
      </c>
      <c r="AF42" s="2">
        <v>0.49700000000000005</v>
      </c>
      <c r="AG42" s="2">
        <v>0.3</v>
      </c>
      <c r="AH42" s="2">
        <v>0.70200000000000007</v>
      </c>
      <c r="AI42" s="2">
        <v>0.88099999999999989</v>
      </c>
      <c r="AJ42" s="2">
        <v>0.2</v>
      </c>
      <c r="AK42" s="2">
        <v>0.70599999999999996</v>
      </c>
      <c r="AL42" s="2">
        <v>0.72199999999999998</v>
      </c>
      <c r="AM42" s="2">
        <v>0.41302304259828426</v>
      </c>
      <c r="AN42" s="2">
        <v>0.17266158490423161</v>
      </c>
      <c r="AO42" s="2">
        <v>0.39543473521900141</v>
      </c>
      <c r="AP42" s="2">
        <v>0.61714208476823917</v>
      </c>
      <c r="AQ42" s="2">
        <v>0.34695624864976271</v>
      </c>
      <c r="AR42" s="2">
        <v>0.43110770026772693</v>
      </c>
      <c r="AS42" s="2">
        <v>0.53200000000000003</v>
      </c>
    </row>
    <row r="43" spans="1:45">
      <c r="A43" s="13" t="s">
        <v>228</v>
      </c>
      <c r="B43" s="14" t="s">
        <v>46</v>
      </c>
      <c r="C43" s="20">
        <v>65.400000000000006</v>
      </c>
      <c r="D43" s="21">
        <v>8959</v>
      </c>
      <c r="E43" s="22">
        <v>9.1</v>
      </c>
      <c r="F43" s="23">
        <v>0.81</v>
      </c>
      <c r="G43" s="2">
        <v>1</v>
      </c>
      <c r="H43" s="2">
        <v>7.1195999734774244E-3</v>
      </c>
      <c r="I43" s="2">
        <v>0.11679999917745587</v>
      </c>
      <c r="J43" s="2">
        <v>0.27500000000000002</v>
      </c>
      <c r="K43" s="2">
        <v>2.1999999999999999E-2</v>
      </c>
      <c r="L43" s="2">
        <v>0.28959999933838843</v>
      </c>
      <c r="M43" s="2">
        <v>0.48833333333333334</v>
      </c>
      <c r="N43" s="2">
        <v>0.25451999994367364</v>
      </c>
      <c r="O43" s="2">
        <v>0.5</v>
      </c>
      <c r="P43" s="2">
        <v>0.06</v>
      </c>
      <c r="Q43" s="2">
        <v>0.64659999918192623</v>
      </c>
      <c r="R43" s="2">
        <v>6.5999999865889544E-2</v>
      </c>
      <c r="S43" s="2">
        <v>0.3175</v>
      </c>
      <c r="T43" s="2">
        <v>0.87</v>
      </c>
      <c r="U43" s="2">
        <v>0.29877463284134964</v>
      </c>
      <c r="V43" s="2">
        <v>0.22654867200000001</v>
      </c>
      <c r="W43" s="2">
        <v>5.3652469558126471E-4</v>
      </c>
      <c r="X43" s="2">
        <v>5.711278529090115E-2</v>
      </c>
      <c r="Y43" s="2">
        <v>1.4399118745604797E-2</v>
      </c>
      <c r="Z43" s="2">
        <v>3.5307722344131397E-2</v>
      </c>
      <c r="AA43" s="2">
        <v>6.4000000000000057E-2</v>
      </c>
      <c r="AB43" s="2">
        <v>0.48</v>
      </c>
      <c r="AC43" s="2">
        <v>3.7854889589905363E-2</v>
      </c>
      <c r="AD43" s="2">
        <v>0.88768000225589683</v>
      </c>
      <c r="AE43" s="16">
        <f t="shared" si="0"/>
        <v>0.29232030327406311</v>
      </c>
      <c r="AF43" s="2">
        <v>0.83599999999999997</v>
      </c>
      <c r="AG43" s="2">
        <v>0.6</v>
      </c>
      <c r="AH43" s="2">
        <v>0.74299999999999999</v>
      </c>
      <c r="AI43" s="2">
        <v>0.748</v>
      </c>
      <c r="AJ43" s="2">
        <v>0.55000000000000004</v>
      </c>
      <c r="AK43" s="2">
        <v>0.74</v>
      </c>
      <c r="AL43" s="2">
        <v>0.72499999999999998</v>
      </c>
      <c r="AM43" s="2">
        <v>0.1693740416413359</v>
      </c>
      <c r="AN43" s="2">
        <v>0.45796696356710892</v>
      </c>
      <c r="AO43" s="2">
        <v>0.44221330301972628</v>
      </c>
      <c r="AP43" s="2">
        <v>1</v>
      </c>
      <c r="AQ43" s="2">
        <v>0.52302902154665831</v>
      </c>
      <c r="AR43" s="2">
        <v>0.41281604294412844</v>
      </c>
      <c r="AS43" s="2">
        <v>0.72699999999999998</v>
      </c>
    </row>
    <row r="44" spans="1:45">
      <c r="A44" s="13" t="s">
        <v>229</v>
      </c>
      <c r="B44" s="14" t="s">
        <v>163</v>
      </c>
      <c r="C44" s="20">
        <v>47.6</v>
      </c>
      <c r="D44" s="21">
        <v>1183</v>
      </c>
      <c r="E44" s="22">
        <v>7.08</v>
      </c>
      <c r="F44" s="23">
        <v>0.57999999999999996</v>
      </c>
      <c r="G44" s="2">
        <v>0.11008845200540784</v>
      </c>
      <c r="H44" s="2">
        <v>8.3330000000000001E-3</v>
      </c>
      <c r="I44" s="2">
        <v>8.7999999150633834E-2</v>
      </c>
      <c r="J44" s="2">
        <v>0.125</v>
      </c>
      <c r="K44" s="2">
        <v>0.11799999999999999</v>
      </c>
      <c r="L44" s="2">
        <v>0.65439999967813489</v>
      </c>
      <c r="M44" s="2">
        <v>0.44466666666666665</v>
      </c>
      <c r="N44" s="2">
        <v>0.7257859998393803</v>
      </c>
      <c r="O44" s="2">
        <v>1</v>
      </c>
      <c r="P44" s="2">
        <v>0.06</v>
      </c>
      <c r="Q44" s="2">
        <v>0.79499999899417162</v>
      </c>
      <c r="R44" s="2">
        <v>1</v>
      </c>
      <c r="S44" s="2">
        <v>0.20749999999999999</v>
      </c>
      <c r="T44" s="2">
        <v>0.95840000000000003</v>
      </c>
      <c r="U44" s="2">
        <v>0.44536195005104096</v>
      </c>
      <c r="V44" s="2">
        <v>0.70605834000000001</v>
      </c>
      <c r="W44" s="2">
        <v>0.1545912350537883</v>
      </c>
      <c r="X44" s="2">
        <v>0.36714934562436818</v>
      </c>
      <c r="Y44" s="2">
        <v>0.10385718663663485</v>
      </c>
      <c r="Z44" s="2">
        <v>0.14288783379352599</v>
      </c>
      <c r="AA44" s="2">
        <v>0.59899999999999998</v>
      </c>
      <c r="AB44" s="2">
        <v>0.5</v>
      </c>
      <c r="AC44" s="2">
        <v>0.80645161290322576</v>
      </c>
      <c r="AD44" s="2">
        <v>0.37269999692216516</v>
      </c>
      <c r="AE44" s="16">
        <f t="shared" si="0"/>
        <v>0.43721798405496437</v>
      </c>
      <c r="AF44" s="2">
        <v>0.43700000000000006</v>
      </c>
      <c r="AG44" s="2">
        <v>0.2</v>
      </c>
      <c r="AH44" s="2">
        <v>0.65</v>
      </c>
      <c r="AI44" s="2">
        <v>0.85099999999999998</v>
      </c>
      <c r="AJ44" s="2">
        <v>0.1</v>
      </c>
      <c r="AK44" s="2">
        <v>0.76400000000000001</v>
      </c>
      <c r="AL44" s="2">
        <v>0.624</v>
      </c>
      <c r="AM44" s="2">
        <v>0.2996401997304261</v>
      </c>
      <c r="AN44" s="2">
        <v>0.44181178669012855</v>
      </c>
      <c r="AO44" s="2">
        <v>0.35099373528479372</v>
      </c>
      <c r="AP44" s="2">
        <v>0.16689466734934419</v>
      </c>
      <c r="AQ44" s="2">
        <v>7.3313177159409451E-2</v>
      </c>
      <c r="AR44" s="2">
        <v>0.28491637779742884</v>
      </c>
      <c r="AS44" s="2">
        <v>0.314</v>
      </c>
    </row>
    <row r="45" spans="1:45">
      <c r="A45" s="13" t="s">
        <v>230</v>
      </c>
      <c r="B45" s="14" t="s">
        <v>85</v>
      </c>
      <c r="C45" s="20">
        <v>47.3</v>
      </c>
      <c r="D45" s="21">
        <v>4238</v>
      </c>
      <c r="E45" s="22">
        <v>8.35</v>
      </c>
      <c r="F45" s="23">
        <v>0.6</v>
      </c>
      <c r="G45" s="2">
        <v>0.36947381742738594</v>
      </c>
      <c r="H45" s="2">
        <v>5.4999999999999995E-5</v>
      </c>
      <c r="I45" s="2">
        <v>0.31839999936521057</v>
      </c>
      <c r="J45" s="2">
        <v>0.25</v>
      </c>
      <c r="K45" s="2">
        <v>0.14666666666666667</v>
      </c>
      <c r="L45" s="2">
        <v>0.71199999973177908</v>
      </c>
      <c r="M45" s="2">
        <v>1</v>
      </c>
      <c r="N45" s="2">
        <v>0.38662799991443753</v>
      </c>
      <c r="O45" s="2">
        <v>0.99815986394550005</v>
      </c>
      <c r="P45" s="2">
        <v>0.02</v>
      </c>
      <c r="Q45" s="2">
        <v>0.89039999887347221</v>
      </c>
      <c r="R45" s="2">
        <v>0.29699999939650301</v>
      </c>
      <c r="S45" s="2">
        <v>0.40749999999999997</v>
      </c>
      <c r="T45" s="2">
        <v>0.95960000000000001</v>
      </c>
      <c r="U45" s="2">
        <v>0.67180394050583403</v>
      </c>
      <c r="V45" s="2">
        <v>0.84236153400000002</v>
      </c>
      <c r="W45" s="2">
        <v>7.2331323542392759E-2</v>
      </c>
      <c r="X45" s="2">
        <v>0.67257017016180332</v>
      </c>
      <c r="Y45" s="2">
        <v>5.2343314521500583E-4</v>
      </c>
      <c r="Z45" s="2">
        <v>2.9502723996677201E-2</v>
      </c>
      <c r="AA45" s="2">
        <v>0.7</v>
      </c>
      <c r="AB45" s="2">
        <v>0</v>
      </c>
      <c r="AC45" s="2">
        <v>1.7569546120058562E-2</v>
      </c>
      <c r="AD45" s="2">
        <v>0.93440941163451618</v>
      </c>
      <c r="AE45" s="16">
        <f t="shared" si="0"/>
        <v>0.44570647618447712</v>
      </c>
      <c r="AF45" s="2">
        <v>0.33500000000000002</v>
      </c>
      <c r="AG45" s="2">
        <v>0.2</v>
      </c>
      <c r="AH45" s="2">
        <v>0.74</v>
      </c>
      <c r="AI45" s="2">
        <v>0.90500000000000003</v>
      </c>
      <c r="AJ45" s="2">
        <v>0.15</v>
      </c>
      <c r="AK45" s="2">
        <v>0.58700000000000008</v>
      </c>
      <c r="AL45" s="2">
        <v>0.61699999999999999</v>
      </c>
      <c r="AM45" s="2">
        <v>0.41860965905357495</v>
      </c>
      <c r="AN45" s="2">
        <v>0.29473414571591394</v>
      </c>
      <c r="AO45" s="2">
        <v>0.25899868351406974</v>
      </c>
      <c r="AP45" s="2">
        <v>0.64837958062869971</v>
      </c>
      <c r="AQ45" s="2">
        <v>9.1145057163435433E-2</v>
      </c>
      <c r="AR45" s="2">
        <v>0.26451411395487312</v>
      </c>
      <c r="AS45" s="2">
        <v>0.33399999999999996</v>
      </c>
    </row>
    <row r="46" spans="1:45">
      <c r="A46" s="13" t="s">
        <v>441</v>
      </c>
      <c r="B46" s="14" t="s">
        <v>148</v>
      </c>
      <c r="C46" s="20" t="e">
        <v>#N/A</v>
      </c>
      <c r="D46" s="21">
        <v>319</v>
      </c>
      <c r="E46" s="22">
        <v>5.77</v>
      </c>
      <c r="F46" s="23">
        <v>0.39</v>
      </c>
      <c r="G46" s="2">
        <v>0.60429571788413083</v>
      </c>
      <c r="H46" s="2">
        <v>4.8500000000000003E-4</v>
      </c>
      <c r="I46" s="2">
        <v>0.75</v>
      </c>
      <c r="J46" s="2">
        <v>0.30000000000000004</v>
      </c>
      <c r="K46" s="2">
        <v>0.52400000000000002</v>
      </c>
      <c r="L46" s="2">
        <v>0.75</v>
      </c>
      <c r="M46" s="2">
        <v>1</v>
      </c>
      <c r="N46" s="2">
        <v>0.9</v>
      </c>
      <c r="O46" s="2">
        <v>1</v>
      </c>
      <c r="P46" s="2">
        <v>0.1</v>
      </c>
      <c r="Q46" s="2">
        <v>0.29679999962449077</v>
      </c>
      <c r="R46" s="2">
        <v>0.8585999989137052</v>
      </c>
      <c r="S46" s="2">
        <v>0.40749999999999997</v>
      </c>
      <c r="T46" s="2">
        <v>0.97</v>
      </c>
      <c r="U46" s="2">
        <v>0.67180394050583403</v>
      </c>
      <c r="V46" s="2">
        <v>0.968814968</v>
      </c>
      <c r="W46" s="2">
        <v>0.36154580717798834</v>
      </c>
      <c r="X46" s="2">
        <v>1</v>
      </c>
      <c r="Y46" s="2">
        <v>2.5902310534874307E-4</v>
      </c>
      <c r="Z46" s="2">
        <v>3.69403006291977E-4</v>
      </c>
      <c r="AA46" s="2">
        <v>0.7</v>
      </c>
      <c r="AB46" s="2">
        <v>0</v>
      </c>
      <c r="AC46" s="2">
        <v>1.7569546120058562E-2</v>
      </c>
      <c r="AD46" s="2">
        <v>0.98179999947999996</v>
      </c>
      <c r="AE46" s="16">
        <f t="shared" si="0"/>
        <v>0.54849347515907698</v>
      </c>
      <c r="AF46" s="2">
        <v>0.48700000000000004</v>
      </c>
      <c r="AG46" s="2">
        <v>0.3</v>
      </c>
      <c r="AH46" s="2">
        <v>0.60299999999999998</v>
      </c>
      <c r="AI46" s="2">
        <v>0.69299999999999995</v>
      </c>
      <c r="AJ46" s="2">
        <v>0.15</v>
      </c>
      <c r="AK46" s="2">
        <v>0.70799999999999996</v>
      </c>
      <c r="AL46" s="2">
        <v>0.61</v>
      </c>
      <c r="AM46" s="2">
        <v>7.8212531084525597E-2</v>
      </c>
      <c r="AN46" s="2">
        <v>0.21387509585849154</v>
      </c>
      <c r="AO46" s="2">
        <v>0.2194968595279044</v>
      </c>
      <c r="AP46" s="2">
        <v>0.16933759912602891</v>
      </c>
      <c r="AQ46" s="2">
        <v>8.5383540019277476E-2</v>
      </c>
      <c r="AR46" s="2">
        <v>0.16323330540380168</v>
      </c>
      <c r="AS46" s="2">
        <v>0.48100000000000004</v>
      </c>
    </row>
    <row r="47" spans="1:45">
      <c r="A47" s="13" t="s">
        <v>232</v>
      </c>
      <c r="B47" s="14" t="s">
        <v>78</v>
      </c>
      <c r="C47" s="20">
        <v>66.3</v>
      </c>
      <c r="D47" s="21">
        <v>11106</v>
      </c>
      <c r="E47" s="22">
        <v>9.32</v>
      </c>
      <c r="F47" s="23">
        <v>0.85</v>
      </c>
      <c r="G47" s="2">
        <v>0.10794467213114751</v>
      </c>
      <c r="H47" s="2">
        <v>2.8607999893426894E-2</v>
      </c>
      <c r="I47" s="2">
        <v>6.8799999132752365E-2</v>
      </c>
      <c r="J47" s="2">
        <v>0.22499999999999998</v>
      </c>
      <c r="K47" s="2">
        <v>2.6666666666666666E-3</v>
      </c>
      <c r="L47" s="2">
        <v>8.7999999150633834E-2</v>
      </c>
      <c r="M47" s="2">
        <v>0.49525000000000002</v>
      </c>
      <c r="N47" s="2">
        <v>0.36582199991904196</v>
      </c>
      <c r="O47" s="2">
        <v>0.5</v>
      </c>
      <c r="P47" s="2">
        <v>1</v>
      </c>
      <c r="Q47" s="2">
        <v>1</v>
      </c>
      <c r="R47" s="2">
        <v>0.04</v>
      </c>
      <c r="S47" s="2">
        <v>0.3175</v>
      </c>
      <c r="T47" s="2">
        <v>0.85719999999999996</v>
      </c>
      <c r="U47" s="2">
        <v>0.18477393029615286</v>
      </c>
      <c r="V47" s="2">
        <v>0.128772636</v>
      </c>
      <c r="W47" s="2">
        <v>1.5741417818516358E-3</v>
      </c>
      <c r="X47" s="2">
        <v>2.4489166498947095E-2</v>
      </c>
      <c r="Y47" s="2">
        <v>3.509733604268795E-2</v>
      </c>
      <c r="Z47" s="2">
        <v>2.3556027702306501E-2</v>
      </c>
      <c r="AA47" s="2">
        <v>9.000000000000008E-3</v>
      </c>
      <c r="AB47" s="2">
        <v>0.88</v>
      </c>
      <c r="AC47" s="2">
        <v>0.41128084606345483</v>
      </c>
      <c r="AD47" s="2">
        <v>0.75731199977397923</v>
      </c>
      <c r="AE47" s="16">
        <f t="shared" si="0"/>
        <v>0.31469364254387705</v>
      </c>
      <c r="AF47" s="2">
        <v>0.59299999999999997</v>
      </c>
      <c r="AG47" s="2">
        <v>0.5</v>
      </c>
      <c r="AH47" s="2">
        <v>0.82400000000000007</v>
      </c>
      <c r="AI47" s="2">
        <v>0.87</v>
      </c>
      <c r="AJ47" s="2">
        <v>0.7</v>
      </c>
      <c r="AK47" s="2">
        <v>0.67799999999999994</v>
      </c>
      <c r="AL47" s="2">
        <v>0.82499999999999996</v>
      </c>
      <c r="AM47" s="2">
        <v>0.62890604859166011</v>
      </c>
      <c r="AN47" s="2">
        <v>0.69203283702402296</v>
      </c>
      <c r="AO47" s="2">
        <v>0.63791108712100653</v>
      </c>
      <c r="AP47" s="2">
        <v>0.46852491141177016</v>
      </c>
      <c r="AQ47" s="2">
        <v>0.32577081509477485</v>
      </c>
      <c r="AR47" s="2">
        <v>0.61138485400163523</v>
      </c>
      <c r="AS47" s="2">
        <v>0.59</v>
      </c>
    </row>
    <row r="48" spans="1:45">
      <c r="A48" s="13" t="s">
        <v>233</v>
      </c>
      <c r="B48" s="14" t="s">
        <v>116</v>
      </c>
      <c r="C48" s="20">
        <v>49.3</v>
      </c>
      <c r="D48" s="21">
        <v>1701</v>
      </c>
      <c r="E48" s="22">
        <v>7.44</v>
      </c>
      <c r="F48" s="23">
        <v>0.48</v>
      </c>
      <c r="G48" s="2">
        <v>0.82539500670241284</v>
      </c>
      <c r="H48" s="2">
        <v>2.0843999922350052E-2</v>
      </c>
      <c r="I48" s="2">
        <v>0.23199999928474424</v>
      </c>
      <c r="J48" s="2">
        <v>0.27500000000000002</v>
      </c>
      <c r="K48" s="2">
        <v>0.374</v>
      </c>
      <c r="L48" s="2">
        <v>0.77919999979436394</v>
      </c>
      <c r="M48" s="2">
        <v>0.36491666666666667</v>
      </c>
      <c r="N48" s="2">
        <v>0.51065599988698962</v>
      </c>
      <c r="O48" s="2">
        <v>0.96856369047616664</v>
      </c>
      <c r="P48" s="2">
        <v>0.16</v>
      </c>
      <c r="Q48" s="2">
        <v>0.56179999928921465</v>
      </c>
      <c r="R48" s="2">
        <v>0.46439999923110004</v>
      </c>
      <c r="S48" s="2">
        <v>0.40749999999999997</v>
      </c>
      <c r="T48" s="2">
        <v>0.96928000000000003</v>
      </c>
      <c r="U48" s="2">
        <v>0.5971051697045574</v>
      </c>
      <c r="V48" s="2">
        <v>0.89593657000000004</v>
      </c>
      <c r="W48" s="2">
        <v>0.10738127703723606</v>
      </c>
      <c r="X48" s="2">
        <v>0.58465209531738482</v>
      </c>
      <c r="Y48" s="2">
        <v>3.4615097838185433E-3</v>
      </c>
      <c r="Z48" s="2">
        <v>6.3369439124179597E-2</v>
      </c>
      <c r="AA48" s="2">
        <v>0.52700000000000002</v>
      </c>
      <c r="AB48" s="2">
        <v>0.25</v>
      </c>
      <c r="AC48" s="2">
        <v>4.7169811320754715E-3</v>
      </c>
      <c r="AD48" s="2">
        <v>0.92546124190665502</v>
      </c>
      <c r="AE48" s="16">
        <f t="shared" si="0"/>
        <v>0.45302665188582975</v>
      </c>
      <c r="AF48" s="2">
        <v>0.43700000000000006</v>
      </c>
      <c r="AG48" s="2">
        <v>0.5</v>
      </c>
      <c r="AH48" s="2">
        <v>0.78299999999999992</v>
      </c>
      <c r="AI48" s="2">
        <v>0.871</v>
      </c>
      <c r="AJ48" s="2">
        <v>0.35</v>
      </c>
      <c r="AK48" s="2">
        <v>0.76</v>
      </c>
      <c r="AL48" s="2">
        <v>0.64300000000000002</v>
      </c>
      <c r="AM48" s="2">
        <v>0.19731061650160181</v>
      </c>
      <c r="AN48" s="2">
        <v>0.27012659221199031</v>
      </c>
      <c r="AO48" s="2">
        <v>0.26969246161477933</v>
      </c>
      <c r="AP48" s="2">
        <v>0.69658230308381719</v>
      </c>
      <c r="AQ48" s="2">
        <v>0.11242131444610656</v>
      </c>
      <c r="AR48" s="2">
        <v>0.23623382108753416</v>
      </c>
      <c r="AS48" s="2">
        <v>0.56100000000000005</v>
      </c>
    </row>
    <row r="49" spans="1:45">
      <c r="A49" s="13" t="s">
        <v>234</v>
      </c>
      <c r="B49" s="14" t="s">
        <v>96</v>
      </c>
      <c r="C49" s="20">
        <v>73.7</v>
      </c>
      <c r="D49" s="21">
        <v>19986</v>
      </c>
      <c r="E49" s="22">
        <v>9.9</v>
      </c>
      <c r="F49" s="23">
        <v>0.87</v>
      </c>
      <c r="G49" s="2">
        <v>0.14696972814107276</v>
      </c>
      <c r="H49" s="2">
        <v>5.9809999999999993E-3</v>
      </c>
      <c r="I49" s="2">
        <v>4.9599999114871007E-2</v>
      </c>
      <c r="J49" s="2">
        <v>0.57499999999999996</v>
      </c>
      <c r="K49" s="2">
        <v>0</v>
      </c>
      <c r="L49" s="2">
        <v>4.9599999114871007E-2</v>
      </c>
      <c r="M49" s="2">
        <v>0.28591666666666671</v>
      </c>
      <c r="N49" s="2">
        <v>0.42884599990509448</v>
      </c>
      <c r="O49" s="2">
        <v>0.49334442595673877</v>
      </c>
      <c r="P49" s="2">
        <v>0.32</v>
      </c>
      <c r="Q49" s="2">
        <v>0.1165999998524785</v>
      </c>
      <c r="R49" s="2">
        <v>0</v>
      </c>
      <c r="S49" s="2">
        <v>6.7499999999999991E-2</v>
      </c>
      <c r="T49" s="2">
        <v>0.5696</v>
      </c>
      <c r="U49" s="2">
        <v>0.2424858523011213</v>
      </c>
      <c r="V49" s="2">
        <v>6.3694267999999998E-2</v>
      </c>
      <c r="W49" s="2">
        <v>0</v>
      </c>
      <c r="X49" s="2">
        <v>5.0000168357015734E-3</v>
      </c>
      <c r="Y49" s="2">
        <v>2.2483917506110417E-2</v>
      </c>
      <c r="Z49" s="2">
        <v>3.0071427716422398E-2</v>
      </c>
      <c r="AA49" s="2">
        <v>0</v>
      </c>
      <c r="AB49" s="2">
        <v>0.75</v>
      </c>
      <c r="AC49" s="2">
        <v>8.347245409015025E-2</v>
      </c>
      <c r="AD49" s="2">
        <v>0.16595199922323234</v>
      </c>
      <c r="AE49" s="16">
        <f t="shared" si="0"/>
        <v>0.18633823976768879</v>
      </c>
      <c r="AF49" s="2">
        <v>0.61499999999999999</v>
      </c>
      <c r="AG49" s="2">
        <v>0.6</v>
      </c>
      <c r="AH49" s="2">
        <v>0.70299999999999996</v>
      </c>
      <c r="AI49" s="2">
        <v>0.47100000000000003</v>
      </c>
      <c r="AJ49" s="2">
        <v>0.65</v>
      </c>
      <c r="AK49" s="2">
        <v>0.75800000000000001</v>
      </c>
      <c r="AL49" s="2">
        <v>0.878</v>
      </c>
      <c r="AM49" s="2">
        <v>0.61859775958347107</v>
      </c>
      <c r="AN49" s="2">
        <v>0.6106462987074126</v>
      </c>
      <c r="AO49" s="2">
        <v>0.50690732311518094</v>
      </c>
      <c r="AP49" s="2">
        <v>1</v>
      </c>
      <c r="AQ49" s="2">
        <v>0.71560122107369351</v>
      </c>
      <c r="AR49" s="2">
        <v>0.54284737966307639</v>
      </c>
      <c r="AS49" s="2">
        <v>0.40799999999999997</v>
      </c>
    </row>
    <row r="50" spans="1:45">
      <c r="A50" s="13" t="s">
        <v>235</v>
      </c>
      <c r="B50" s="14" t="s">
        <v>41</v>
      </c>
      <c r="C50" s="20">
        <v>56.7</v>
      </c>
      <c r="D50" s="21">
        <v>9700</v>
      </c>
      <c r="E50" s="22">
        <v>9.18</v>
      </c>
      <c r="F50" s="23">
        <v>0.86</v>
      </c>
      <c r="G50" s="2">
        <v>0.42513732186732189</v>
      </c>
      <c r="H50" s="2">
        <v>0.23759999911487104</v>
      </c>
      <c r="I50" s="2">
        <v>9.7599999159574513E-2</v>
      </c>
      <c r="J50" s="2">
        <v>0.15000000000000002</v>
      </c>
      <c r="K50" s="2">
        <v>6.6666666666666664E-4</v>
      </c>
      <c r="L50" s="2">
        <v>0.12639999918639655</v>
      </c>
      <c r="M50" s="2">
        <v>0.71158333333333335</v>
      </c>
      <c r="N50" s="2">
        <v>0.24563199994564058</v>
      </c>
      <c r="O50" s="2">
        <v>0.93384033613450002</v>
      </c>
      <c r="P50" s="2">
        <v>0.26</v>
      </c>
      <c r="Q50" s="2">
        <v>0.79499999899417162</v>
      </c>
      <c r="R50" s="2">
        <v>0.04</v>
      </c>
      <c r="S50" s="2">
        <v>0.92499999999999993</v>
      </c>
      <c r="T50" s="2">
        <v>0.14247999999999994</v>
      </c>
      <c r="U50" s="2">
        <v>0.18855024249479246</v>
      </c>
      <c r="V50" s="2">
        <v>0.16696269999999999</v>
      </c>
      <c r="W50" s="2">
        <v>1.1468873803461887E-3</v>
      </c>
      <c r="X50" s="2">
        <v>1.883066222381161E-2</v>
      </c>
      <c r="Y50" s="2">
        <v>0.21099075596255706</v>
      </c>
      <c r="Z50" s="2">
        <v>0.133394075491963</v>
      </c>
      <c r="AA50" s="2">
        <v>3.0000000000000027E-2</v>
      </c>
      <c r="AB50" s="2">
        <v>0.57999999999999996</v>
      </c>
      <c r="AC50" s="2">
        <v>0.13658714259697688</v>
      </c>
      <c r="AD50" s="2">
        <v>0.59819999802857637</v>
      </c>
      <c r="AE50" s="16">
        <f t="shared" si="0"/>
        <v>0.29815008827422912</v>
      </c>
      <c r="AF50" s="2">
        <v>0.1</v>
      </c>
      <c r="AG50" s="2">
        <v>0.1</v>
      </c>
      <c r="AH50" s="2">
        <v>0.45899999999999996</v>
      </c>
      <c r="AI50" s="2">
        <v>9.4000000134110445E-2</v>
      </c>
      <c r="AJ50" s="2">
        <v>9.9000000022351736E-2</v>
      </c>
      <c r="AK50" s="2">
        <v>0.66700000000000004</v>
      </c>
      <c r="AL50" s="2">
        <v>0.61699999999999999</v>
      </c>
      <c r="AM50" s="2">
        <v>0.5050996664168188</v>
      </c>
      <c r="AN50" s="2">
        <v>0.16063817444416731</v>
      </c>
      <c r="AO50" s="2">
        <v>0.55761707673875582</v>
      </c>
      <c r="AP50" s="2">
        <v>4.3492696485599107E-2</v>
      </c>
      <c r="AQ50" s="2">
        <v>1</v>
      </c>
      <c r="AR50" s="2">
        <v>0.37176684658735448</v>
      </c>
      <c r="AS50" s="2">
        <v>0.2</v>
      </c>
    </row>
    <row r="51" spans="1:45">
      <c r="A51" s="13" t="s">
        <v>236</v>
      </c>
      <c r="B51" s="14" t="s">
        <v>56</v>
      </c>
      <c r="C51" s="20">
        <v>73.7</v>
      </c>
      <c r="D51" s="21">
        <v>30848</v>
      </c>
      <c r="E51" s="22">
        <v>10.34</v>
      </c>
      <c r="F51" s="23">
        <v>0.91</v>
      </c>
      <c r="G51" s="2">
        <v>0.70532148562300312</v>
      </c>
      <c r="H51" s="2">
        <v>0</v>
      </c>
      <c r="I51" s="2">
        <v>3.9999999105930328E-2</v>
      </c>
      <c r="J51" s="2">
        <v>0.4</v>
      </c>
      <c r="K51" s="2">
        <v>9.3333333333333341E-3</v>
      </c>
      <c r="L51" s="2">
        <v>3.9999999105930328E-2</v>
      </c>
      <c r="M51" s="2">
        <v>0.23600000000000002</v>
      </c>
      <c r="N51" s="2">
        <v>0.30198999993316827</v>
      </c>
      <c r="O51" s="2">
        <v>0.59970954972509505</v>
      </c>
      <c r="P51" s="2">
        <v>0.3</v>
      </c>
      <c r="Q51" s="2">
        <v>1</v>
      </c>
      <c r="R51" s="2">
        <v>0</v>
      </c>
      <c r="S51" s="2">
        <v>6.7499999999999991E-2</v>
      </c>
      <c r="T51" s="2">
        <v>0.65680000000000005</v>
      </c>
      <c r="U51" s="2">
        <v>0.17049943272188384</v>
      </c>
      <c r="V51" s="2">
        <v>8.1145584000000007E-2</v>
      </c>
      <c r="W51" s="2">
        <v>0</v>
      </c>
      <c r="X51" s="2">
        <v>3.9249326966258047E-3</v>
      </c>
      <c r="Y51" s="2">
        <v>5.8787831093118748E-2</v>
      </c>
      <c r="Z51" s="2">
        <v>8.1660770395557095E-2</v>
      </c>
      <c r="AA51" s="2">
        <v>0</v>
      </c>
      <c r="AB51" s="2">
        <v>0.97</v>
      </c>
      <c r="AC51" s="2">
        <v>0.16233766233766234</v>
      </c>
      <c r="AD51" s="2">
        <v>0.3797439994223416</v>
      </c>
      <c r="AE51" s="16">
        <f t="shared" si="0"/>
        <v>0.26103144081223534</v>
      </c>
      <c r="AF51" s="2">
        <v>0.80299999999999994</v>
      </c>
      <c r="AG51" s="2">
        <v>0.7</v>
      </c>
      <c r="AH51" s="2">
        <v>0.72699999999999998</v>
      </c>
      <c r="AI51" s="2">
        <v>0.44799999999999995</v>
      </c>
      <c r="AJ51" s="2">
        <v>0.7</v>
      </c>
      <c r="AK51" s="2">
        <v>0.82900000000000007</v>
      </c>
      <c r="AL51" s="2">
        <v>0.82499999999999996</v>
      </c>
      <c r="AM51" s="2">
        <v>0.57336745918526399</v>
      </c>
      <c r="AN51" s="2">
        <v>0.71028166059100106</v>
      </c>
      <c r="AO51" s="2">
        <v>0.69753756299122716</v>
      </c>
      <c r="AP51" s="2">
        <v>1</v>
      </c>
      <c r="AQ51" s="2">
        <v>0.58447542911576378</v>
      </c>
      <c r="AR51" s="2">
        <v>0.73021254698735105</v>
      </c>
      <c r="AS51" s="2">
        <v>0.61499999999999999</v>
      </c>
    </row>
    <row r="52" spans="1:45">
      <c r="A52" s="13" t="s">
        <v>237</v>
      </c>
      <c r="B52" s="14" t="s">
        <v>50</v>
      </c>
      <c r="C52" s="20">
        <v>79.7</v>
      </c>
      <c r="D52" s="21">
        <v>25581</v>
      </c>
      <c r="E52" s="22">
        <v>10.15</v>
      </c>
      <c r="F52" s="23">
        <v>0.9</v>
      </c>
      <c r="G52" s="2">
        <v>0.38817651245551604</v>
      </c>
      <c r="H52" s="2">
        <v>0</v>
      </c>
      <c r="I52" s="2">
        <v>3.9999999105930328E-2</v>
      </c>
      <c r="J52" s="2">
        <v>0.55000000000000004</v>
      </c>
      <c r="K52" s="2">
        <v>6.6666666666666664E-4</v>
      </c>
      <c r="L52" s="2">
        <v>5.9199999123811686E-2</v>
      </c>
      <c r="M52" s="2">
        <v>0.23600000000000002</v>
      </c>
      <c r="N52" s="2">
        <v>0.26764999994076788</v>
      </c>
      <c r="O52" s="2">
        <v>0.7725231153326042</v>
      </c>
      <c r="P52" s="2">
        <v>0.56000000000000005</v>
      </c>
      <c r="Q52" s="2">
        <v>0.12719999983906746</v>
      </c>
      <c r="R52" s="2">
        <v>0</v>
      </c>
      <c r="S52" s="2">
        <v>6.7499999999999991E-2</v>
      </c>
      <c r="T52" s="2">
        <v>0.36799999999999999</v>
      </c>
      <c r="U52" s="2">
        <v>0.21754458398520993</v>
      </c>
      <c r="V52" s="2">
        <v>8.8652482000000005E-2</v>
      </c>
      <c r="W52" s="2">
        <v>0</v>
      </c>
      <c r="X52" s="2">
        <v>3.0579382573711444E-3</v>
      </c>
      <c r="Y52" s="2">
        <v>0</v>
      </c>
      <c r="Z52" s="2">
        <v>0</v>
      </c>
      <c r="AA52" s="2">
        <v>0</v>
      </c>
      <c r="AB52" s="2">
        <v>0.3</v>
      </c>
      <c r="AC52" s="2">
        <v>3.8834951456310683E-2</v>
      </c>
      <c r="AD52" s="2">
        <v>0.11999999731779099</v>
      </c>
      <c r="AE52" s="16">
        <f t="shared" si="0"/>
        <v>0.17520859356171026</v>
      </c>
      <c r="AF52" s="2">
        <v>0.65500000000000003</v>
      </c>
      <c r="AG52" s="2">
        <v>0.8</v>
      </c>
      <c r="AH52" s="2">
        <v>0.80099999999999993</v>
      </c>
      <c r="AI52" s="2">
        <v>0.45600000000000002</v>
      </c>
      <c r="AJ52" s="2">
        <v>0.7</v>
      </c>
      <c r="AK52" s="2">
        <v>0.75599999999999989</v>
      </c>
      <c r="AL52" s="2">
        <v>0.875</v>
      </c>
      <c r="AM52" s="2">
        <v>0.68202669453998832</v>
      </c>
      <c r="AN52" s="2">
        <v>0.7095477033546379</v>
      </c>
      <c r="AO52" s="2">
        <v>0.59105232790306972</v>
      </c>
      <c r="AP52" s="2">
        <v>1</v>
      </c>
      <c r="AQ52" s="2">
        <v>0.79910194360136455</v>
      </c>
      <c r="AR52" s="2">
        <v>0.69076726432408675</v>
      </c>
      <c r="AS52" s="2">
        <v>0.76400000000000001</v>
      </c>
    </row>
    <row r="53" spans="1:45">
      <c r="A53" s="13" t="s">
        <v>238</v>
      </c>
      <c r="B53" s="14" t="s">
        <v>22</v>
      </c>
      <c r="C53" s="20">
        <v>85.4</v>
      </c>
      <c r="D53" s="21">
        <v>37720</v>
      </c>
      <c r="E53" s="22">
        <v>10.54</v>
      </c>
      <c r="F53" s="23">
        <v>0.96</v>
      </c>
      <c r="G53" s="2">
        <v>0.67252222914072235</v>
      </c>
      <c r="H53" s="2">
        <v>0</v>
      </c>
      <c r="I53" s="2">
        <v>3.9999999105930328E-2</v>
      </c>
      <c r="J53" s="2">
        <v>0.47499999999999998</v>
      </c>
      <c r="K53" s="2">
        <v>6.6666666666666664E-4</v>
      </c>
      <c r="L53" s="2">
        <v>3.9999999105930328E-2</v>
      </c>
      <c r="M53" s="2">
        <v>1.5499999999999995E-2</v>
      </c>
      <c r="N53" s="2">
        <v>0.13190599997080862</v>
      </c>
      <c r="O53" s="2">
        <v>0.69095801786606703</v>
      </c>
      <c r="P53" s="2">
        <v>0.16</v>
      </c>
      <c r="Q53" s="2">
        <v>0.14839999981224539</v>
      </c>
      <c r="R53" s="2">
        <v>0</v>
      </c>
      <c r="S53" s="2">
        <v>6.7499999999999991E-2</v>
      </c>
      <c r="T53" s="2">
        <v>0.14488000000000001</v>
      </c>
      <c r="U53" s="2">
        <v>0.18895063273906798</v>
      </c>
      <c r="V53" s="2">
        <v>0.108</v>
      </c>
      <c r="W53" s="2">
        <v>0</v>
      </c>
      <c r="X53" s="2">
        <v>2.3787948579549923E-3</v>
      </c>
      <c r="Y53" s="2">
        <v>0.26090374567946506</v>
      </c>
      <c r="Z53" s="2">
        <v>0.27046939186906199</v>
      </c>
      <c r="AA53" s="2">
        <v>0</v>
      </c>
      <c r="AB53" s="2">
        <v>0</v>
      </c>
      <c r="AC53" s="2">
        <v>0</v>
      </c>
      <c r="AD53" s="2">
        <v>3.9999999105930328E-2</v>
      </c>
      <c r="AE53" s="16">
        <f t="shared" si="0"/>
        <v>0.14408481149666047</v>
      </c>
      <c r="AF53" s="2">
        <v>0.97900000000000009</v>
      </c>
      <c r="AG53" s="2">
        <v>0.9</v>
      </c>
      <c r="AH53" s="2">
        <v>0.35899999999999999</v>
      </c>
      <c r="AI53" s="2">
        <v>0.22</v>
      </c>
      <c r="AJ53" s="2">
        <v>0.9</v>
      </c>
      <c r="AK53" s="2">
        <v>0.79299999999999993</v>
      </c>
      <c r="AL53" s="2">
        <v>0.875</v>
      </c>
      <c r="AM53" s="2">
        <v>0.70505317106573839</v>
      </c>
      <c r="AN53" s="2">
        <v>0.80891019669505904</v>
      </c>
      <c r="AO53" s="2">
        <v>0.97941259552071036</v>
      </c>
      <c r="AP53" s="2">
        <v>1</v>
      </c>
      <c r="AQ53" s="2">
        <v>1</v>
      </c>
      <c r="AR53" s="2">
        <v>0.87062352636307738</v>
      </c>
      <c r="AS53" s="2">
        <v>0.93700000000000006</v>
      </c>
    </row>
    <row r="54" spans="1:45">
      <c r="A54" s="13" t="s">
        <v>239</v>
      </c>
      <c r="B54" s="14" t="s">
        <v>21</v>
      </c>
      <c r="C54" s="20">
        <v>50.4</v>
      </c>
      <c r="D54" s="21">
        <v>2319</v>
      </c>
      <c r="E54" s="22">
        <v>7.75</v>
      </c>
      <c r="F54" s="23">
        <v>0.52</v>
      </c>
      <c r="G54" s="2">
        <v>0.31926553846153854</v>
      </c>
      <c r="H54" s="2">
        <v>6.3E-2</v>
      </c>
      <c r="I54" s="2">
        <v>0.11679999917745587</v>
      </c>
      <c r="J54" s="2">
        <v>0.35</v>
      </c>
      <c r="K54" s="2">
        <v>0.30266666666666664</v>
      </c>
      <c r="L54" s="2">
        <v>0.46239999949932098</v>
      </c>
      <c r="M54" s="2">
        <v>0.39683333333333337</v>
      </c>
      <c r="N54" s="2">
        <v>0.12422999997250736</v>
      </c>
      <c r="O54" s="2">
        <v>1</v>
      </c>
      <c r="P54" s="2">
        <v>0.14000000000000001</v>
      </c>
      <c r="Q54" s="2">
        <v>1</v>
      </c>
      <c r="R54" s="2">
        <v>0.8585999989137052</v>
      </c>
      <c r="S54" s="2">
        <v>0.78249999999999997</v>
      </c>
      <c r="T54" s="2">
        <v>0.94967999999999997</v>
      </c>
      <c r="U54" s="2">
        <v>0.63652651608273425</v>
      </c>
      <c r="V54" s="2">
        <v>0.69168506200000002</v>
      </c>
      <c r="W54" s="2">
        <v>0.30532022930043135</v>
      </c>
      <c r="X54" s="2">
        <v>0.27954640091967892</v>
      </c>
      <c r="Y54" s="2">
        <v>1.8642547827821387E-2</v>
      </c>
      <c r="Z54" s="2">
        <v>0.40578297067453101</v>
      </c>
      <c r="AA54" s="2">
        <v>0.50299999999999989</v>
      </c>
      <c r="AB54" s="2">
        <v>0.5</v>
      </c>
      <c r="AC54" s="2">
        <v>0.25884383088869717</v>
      </c>
      <c r="AD54" s="2">
        <v>0.63099999818950891</v>
      </c>
      <c r="AE54" s="16">
        <f t="shared" si="0"/>
        <v>0.46234679549616381</v>
      </c>
      <c r="AF54" s="2">
        <v>0.35700000000000004</v>
      </c>
      <c r="AG54" s="2">
        <v>0.6</v>
      </c>
      <c r="AH54" s="2">
        <v>0.78200000000000003</v>
      </c>
      <c r="AI54" s="2">
        <v>0.58899999999999997</v>
      </c>
      <c r="AJ54" s="2">
        <v>0.6</v>
      </c>
      <c r="AK54" s="2">
        <v>0.70499999999999996</v>
      </c>
      <c r="AL54" s="2">
        <v>0.31900000000000001</v>
      </c>
      <c r="AM54" s="2">
        <v>0.59407542796888779</v>
      </c>
      <c r="AN54" s="2">
        <v>0.28111834266032265</v>
      </c>
      <c r="AO54" s="2">
        <v>0.44857950463415569</v>
      </c>
      <c r="AP54" s="2">
        <v>0.16391260380325612</v>
      </c>
      <c r="AQ54" s="2">
        <v>4.9050115725360013E-2</v>
      </c>
      <c r="AR54" s="2">
        <v>0.37150289613564841</v>
      </c>
      <c r="AS54" s="2">
        <v>0.55299999999999994</v>
      </c>
    </row>
    <row r="55" spans="1:45">
      <c r="A55" s="13" t="s">
        <v>240</v>
      </c>
      <c r="B55" s="14" t="s">
        <v>45</v>
      </c>
      <c r="C55" s="20">
        <v>60.5</v>
      </c>
      <c r="D55" s="21">
        <v>8883</v>
      </c>
      <c r="E55" s="22">
        <v>9.09</v>
      </c>
      <c r="F55" s="23">
        <v>0.81</v>
      </c>
      <c r="G55" s="2">
        <v>0.76711554941915816</v>
      </c>
      <c r="H55" s="2">
        <v>0.5</v>
      </c>
      <c r="I55" s="2">
        <v>0.14499999787658457</v>
      </c>
      <c r="J55" s="2">
        <v>0.125</v>
      </c>
      <c r="K55" s="2">
        <v>0</v>
      </c>
      <c r="L55" s="2">
        <v>0.27099999818950893</v>
      </c>
      <c r="M55" s="2">
        <v>0.71158333333333335</v>
      </c>
      <c r="N55" s="2">
        <v>0.25997399994246662</v>
      </c>
      <c r="O55" s="2">
        <v>0.92600000000000005</v>
      </c>
      <c r="P55" s="2">
        <v>0.08</v>
      </c>
      <c r="Q55" s="2">
        <v>1</v>
      </c>
      <c r="R55" s="2">
        <v>0.3</v>
      </c>
      <c r="S55" s="2">
        <v>0.3175</v>
      </c>
      <c r="T55" s="2">
        <v>0.79320000000000002</v>
      </c>
      <c r="U55" s="2">
        <v>0.41316097013107256</v>
      </c>
      <c r="V55" s="2">
        <v>0.20995962400000001</v>
      </c>
      <c r="W55" s="2">
        <v>4.661490227568392E-3</v>
      </c>
      <c r="X55" s="2">
        <v>0.5</v>
      </c>
      <c r="Y55" s="2">
        <v>4.5390711380742771E-2</v>
      </c>
      <c r="Z55" s="2">
        <v>6.7322767800189906E-2</v>
      </c>
      <c r="AA55" s="2">
        <v>1.0000000000000009E-2</v>
      </c>
      <c r="AB55" s="2">
        <v>1</v>
      </c>
      <c r="AC55" s="2">
        <v>1</v>
      </c>
      <c r="AD55" s="2">
        <v>0.58671998542624992</v>
      </c>
      <c r="AE55" s="16">
        <f t="shared" si="0"/>
        <v>0.41806618448861971</v>
      </c>
      <c r="AF55" s="2">
        <v>0.754</v>
      </c>
      <c r="AG55" s="2">
        <v>0.3</v>
      </c>
      <c r="AH55" s="2">
        <v>0.67700000000000005</v>
      </c>
      <c r="AI55" s="2">
        <v>0.498</v>
      </c>
      <c r="AJ55" s="2">
        <v>0.65</v>
      </c>
      <c r="AK55" s="2">
        <v>0.8</v>
      </c>
      <c r="AL55" s="2">
        <v>0.74299999999999999</v>
      </c>
      <c r="AM55" s="2">
        <v>0.64862971613243192</v>
      </c>
      <c r="AN55" s="2">
        <v>0.69515766102081011</v>
      </c>
      <c r="AO55" s="2">
        <v>0.65290632741081756</v>
      </c>
      <c r="AP55" s="2">
        <v>1</v>
      </c>
      <c r="AQ55" s="2">
        <v>4.9477142857142858E-2</v>
      </c>
      <c r="AR55" s="2">
        <v>0.63647791183334612</v>
      </c>
      <c r="AS55" s="2">
        <v>0.65200000000000002</v>
      </c>
    </row>
    <row r="56" spans="1:45">
      <c r="A56" s="13" t="s">
        <v>442</v>
      </c>
      <c r="B56" s="14" t="s">
        <v>59</v>
      </c>
      <c r="C56" s="20">
        <v>64.3</v>
      </c>
      <c r="D56" s="21">
        <v>8433</v>
      </c>
      <c r="E56" s="22">
        <v>9.0399999999999991</v>
      </c>
      <c r="F56" s="23">
        <v>0.78</v>
      </c>
      <c r="G56" s="2">
        <v>9.3121022019110947E-2</v>
      </c>
      <c r="H56" s="2">
        <v>0.1991999992579222</v>
      </c>
      <c r="I56" s="2">
        <v>0.17439999923110006</v>
      </c>
      <c r="J56" s="2">
        <v>0.15000000000000002</v>
      </c>
      <c r="K56" s="2">
        <v>4.8666666666666664E-2</v>
      </c>
      <c r="L56" s="2">
        <v>0.2031999992579222</v>
      </c>
      <c r="M56" s="2">
        <v>0.71158333333333335</v>
      </c>
      <c r="N56" s="2">
        <v>0.30542399993240832</v>
      </c>
      <c r="O56" s="2">
        <v>0.91140246324990071</v>
      </c>
      <c r="P56" s="2">
        <v>0.06</v>
      </c>
      <c r="Q56" s="2">
        <v>0.85859999891370542</v>
      </c>
      <c r="R56" s="2">
        <v>3.1799999959766859E-2</v>
      </c>
      <c r="S56" s="2">
        <v>0.3175</v>
      </c>
      <c r="T56" s="2">
        <v>0.77600000000000002</v>
      </c>
      <c r="U56" s="2">
        <v>0.30664148162916438</v>
      </c>
      <c r="V56" s="2">
        <v>0.37309644600000003</v>
      </c>
      <c r="W56" s="2">
        <v>1.3940989879714798E-2</v>
      </c>
      <c r="X56" s="2">
        <v>8.039243335088804E-2</v>
      </c>
      <c r="Y56" s="2">
        <v>4.7492985867917337E-2</v>
      </c>
      <c r="Z56" s="2">
        <v>3.2537844220995198E-2</v>
      </c>
      <c r="AA56" s="2">
        <v>4.0999999999999925E-2</v>
      </c>
      <c r="AB56" s="2">
        <v>0.82</v>
      </c>
      <c r="AC56" s="2">
        <v>0.18625827814569537</v>
      </c>
      <c r="AD56" s="2">
        <v>0.59491998546648306</v>
      </c>
      <c r="AE56" s="16">
        <f t="shared" si="0"/>
        <v>0.30571574693261222</v>
      </c>
      <c r="AF56" s="2">
        <v>0.624</v>
      </c>
      <c r="AG56" s="2">
        <v>0.4</v>
      </c>
      <c r="AH56" s="2">
        <v>0.85299999999999998</v>
      </c>
      <c r="AI56" s="2">
        <v>0.90200000000000002</v>
      </c>
      <c r="AJ56" s="2">
        <v>0.55000000000000004</v>
      </c>
      <c r="AK56" s="2">
        <v>0.70799999999999996</v>
      </c>
      <c r="AL56" s="2">
        <v>0.8</v>
      </c>
      <c r="AM56" s="2">
        <v>0.5244780309355257</v>
      </c>
      <c r="AN56" s="2">
        <v>0.52284582950422198</v>
      </c>
      <c r="AO56" s="2">
        <v>0.36629366613916964</v>
      </c>
      <c r="AP56" s="2">
        <v>0.940798259822201</v>
      </c>
      <c r="AQ56" s="2">
        <v>0.41801998984553879</v>
      </c>
      <c r="AR56" s="2">
        <v>0.35742485747914021</v>
      </c>
      <c r="AS56" s="2">
        <v>0.59599999999999997</v>
      </c>
    </row>
    <row r="57" spans="1:45">
      <c r="A57" s="13" t="s">
        <v>242</v>
      </c>
      <c r="B57" s="14" t="s">
        <v>71</v>
      </c>
      <c r="C57" s="20">
        <v>63.4</v>
      </c>
      <c r="D57" s="21">
        <v>8268</v>
      </c>
      <c r="E57" s="22">
        <v>9.02</v>
      </c>
      <c r="F57" s="23">
        <v>0.81</v>
      </c>
      <c r="G57" s="2">
        <v>0.21469053635280091</v>
      </c>
      <c r="H57" s="2">
        <v>4.311599983938038E-2</v>
      </c>
      <c r="I57" s="2">
        <v>9.7599999159574513E-2</v>
      </c>
      <c r="J57" s="2">
        <v>0.19999999999999996</v>
      </c>
      <c r="K57" s="2">
        <v>4.2000000000000003E-2</v>
      </c>
      <c r="L57" s="2">
        <v>0.11679999917745587</v>
      </c>
      <c r="M57" s="2">
        <v>0.56600000000000006</v>
      </c>
      <c r="N57" s="2">
        <v>0.34097599992454053</v>
      </c>
      <c r="O57" s="2">
        <v>0.54132316418938897</v>
      </c>
      <c r="P57" s="2">
        <v>0.12</v>
      </c>
      <c r="Q57" s="2">
        <v>0.39219999950379131</v>
      </c>
      <c r="R57" s="2">
        <v>0.14559999965131282</v>
      </c>
      <c r="S57" s="2">
        <v>0.22499999999999998</v>
      </c>
      <c r="T57" s="2">
        <v>0.81520000000000004</v>
      </c>
      <c r="U57" s="2">
        <v>0.25741502304673336</v>
      </c>
      <c r="V57" s="2">
        <v>0.35836177400000002</v>
      </c>
      <c r="W57" s="2">
        <v>8.9940190112095843E-3</v>
      </c>
      <c r="X57" s="2">
        <v>9.7770543435948376E-2</v>
      </c>
      <c r="Y57" s="2">
        <v>3.1503549813468812E-2</v>
      </c>
      <c r="Z57" s="2">
        <v>0.14018808640081201</v>
      </c>
      <c r="AA57" s="2">
        <v>7.7999999999999958E-2</v>
      </c>
      <c r="AB57" s="2">
        <v>0</v>
      </c>
      <c r="AC57" s="2">
        <v>4.3346337234503679E-2</v>
      </c>
      <c r="AD57" s="2">
        <v>0.86073276825930645</v>
      </c>
      <c r="AE57" s="16">
        <f t="shared" si="0"/>
        <v>0.23903407495834286</v>
      </c>
      <c r="AF57" s="2">
        <v>0.52900000000000003</v>
      </c>
      <c r="AG57" s="2">
        <v>0.4</v>
      </c>
      <c r="AH57" s="2">
        <v>0.79299999999999993</v>
      </c>
      <c r="AI57" s="2">
        <v>0.77500000000000002</v>
      </c>
      <c r="AJ57" s="2">
        <v>0.25</v>
      </c>
      <c r="AK57" s="2">
        <v>0.63900000000000001</v>
      </c>
      <c r="AL57" s="2">
        <v>0.71799999999999997</v>
      </c>
      <c r="AM57" s="2">
        <v>0.35174311724946661</v>
      </c>
      <c r="AN57" s="2">
        <v>0.44801705060026598</v>
      </c>
      <c r="AO57" s="2">
        <v>0.31701248156369322</v>
      </c>
      <c r="AP57" s="2">
        <v>1</v>
      </c>
      <c r="AQ57" s="2">
        <v>0.58164164625598169</v>
      </c>
      <c r="AR57" s="2">
        <v>0.24596656330365207</v>
      </c>
      <c r="AS57" s="2">
        <v>0.42200000000000004</v>
      </c>
    </row>
    <row r="58" spans="1:45">
      <c r="A58" s="13" t="s">
        <v>243</v>
      </c>
      <c r="B58" s="14" t="s">
        <v>126</v>
      </c>
      <c r="C58" s="20">
        <v>64.8</v>
      </c>
      <c r="D58" s="21">
        <v>5673</v>
      </c>
      <c r="E58" s="22">
        <v>8.64</v>
      </c>
      <c r="F58" s="23">
        <v>0.7</v>
      </c>
      <c r="G58" s="2">
        <v>0.19544250000000005</v>
      </c>
      <c r="H58" s="2">
        <v>1</v>
      </c>
      <c r="I58" s="2">
        <v>4.9599999114871007E-2</v>
      </c>
      <c r="J58" s="2">
        <v>0.5</v>
      </c>
      <c r="K58" s="2">
        <v>5.7333333333333333E-2</v>
      </c>
      <c r="L58" s="2">
        <v>9.7599999159574513E-2</v>
      </c>
      <c r="M58" s="2">
        <v>9.9999999999999933E-3</v>
      </c>
      <c r="N58" s="2">
        <v>0.57812399987205865</v>
      </c>
      <c r="O58" s="2">
        <v>0.5</v>
      </c>
      <c r="P58" s="2">
        <v>0.16</v>
      </c>
      <c r="Q58" s="2">
        <v>0.39219999950379131</v>
      </c>
      <c r="R58" s="2">
        <v>0.13519999988377093</v>
      </c>
      <c r="S58" s="2">
        <v>0.78249999999999997</v>
      </c>
      <c r="T58" s="2">
        <v>0.63280000000000003</v>
      </c>
      <c r="U58" s="2">
        <v>0.35334571581900176</v>
      </c>
      <c r="V58" s="2">
        <v>0.176949942</v>
      </c>
      <c r="W58" s="2">
        <v>1.4741637635037609E-2</v>
      </c>
      <c r="X58" s="2">
        <v>6.8097975081457374E-2</v>
      </c>
      <c r="Y58" s="2">
        <v>2.5178027340616502E-2</v>
      </c>
      <c r="Z58" s="2">
        <v>0.38190865236555699</v>
      </c>
      <c r="AA58" s="2">
        <v>5.9999999999998943E-3</v>
      </c>
      <c r="AB58" s="2">
        <v>0</v>
      </c>
      <c r="AC58" s="2">
        <v>6.0274247827615656E-3</v>
      </c>
      <c r="AD58" s="2">
        <v>0.16585599922314287</v>
      </c>
      <c r="AE58" s="16">
        <f t="shared" si="0"/>
        <v>0.26203771687979066</v>
      </c>
      <c r="AF58" s="2">
        <v>0.65</v>
      </c>
      <c r="AG58" s="2">
        <v>0.5</v>
      </c>
      <c r="AH58" s="2">
        <v>0.89700000000000002</v>
      </c>
      <c r="AI58" s="2">
        <v>0.7340000000000001</v>
      </c>
      <c r="AJ58" s="2">
        <v>0.5</v>
      </c>
      <c r="AK58" s="2">
        <v>0.64200000000000002</v>
      </c>
      <c r="AL58" s="2">
        <v>0.74</v>
      </c>
      <c r="AM58" s="2">
        <v>0.37548384375252014</v>
      </c>
      <c r="AN58" s="2">
        <v>0.27868710896603216</v>
      </c>
      <c r="AO58" s="2">
        <v>0.41815591484009279</v>
      </c>
      <c r="AP58" s="2">
        <v>0.73358916267913998</v>
      </c>
      <c r="AQ58" s="2">
        <v>0.39020818322055256</v>
      </c>
      <c r="AR58" s="2">
        <v>0.49484974221670353</v>
      </c>
      <c r="AS58" s="2">
        <v>0.55600000000000005</v>
      </c>
    </row>
    <row r="59" spans="1:45">
      <c r="A59" s="13" t="s">
        <v>244</v>
      </c>
      <c r="B59" s="14" t="s">
        <v>84</v>
      </c>
      <c r="C59" s="20">
        <v>65.599999999999994</v>
      </c>
      <c r="D59" s="21">
        <v>6629</v>
      </c>
      <c r="E59" s="22">
        <v>8.8000000000000007</v>
      </c>
      <c r="F59" s="23">
        <v>0.75</v>
      </c>
      <c r="G59" s="2">
        <v>0.36271567919075143</v>
      </c>
      <c r="H59" s="2">
        <v>5.4539999999999998E-2</v>
      </c>
      <c r="I59" s="2">
        <v>0.16479999922215938</v>
      </c>
      <c r="J59" s="2">
        <v>0.27500000000000002</v>
      </c>
      <c r="K59" s="2">
        <v>5.4666666666666669E-2</v>
      </c>
      <c r="L59" s="2">
        <v>0.16479999922215938</v>
      </c>
      <c r="M59" s="2">
        <v>0.49525000000000002</v>
      </c>
      <c r="N59" s="2">
        <v>0.3938999999128282</v>
      </c>
      <c r="O59" s="2">
        <v>0.78218870520827122</v>
      </c>
      <c r="P59" s="2">
        <v>0.08</v>
      </c>
      <c r="Q59" s="2">
        <v>0.61479999922215933</v>
      </c>
      <c r="R59" s="2">
        <v>6.8399999812245371E-2</v>
      </c>
      <c r="S59" s="2">
        <v>0.3175</v>
      </c>
      <c r="T59" s="2">
        <v>0.85592000000000001</v>
      </c>
      <c r="U59" s="2">
        <v>0.33179816457942224</v>
      </c>
      <c r="V59" s="2">
        <v>0.32944228199999998</v>
      </c>
      <c r="W59" s="2">
        <v>8.0229289402444906E-2</v>
      </c>
      <c r="X59" s="2">
        <v>7.439926721604026E-2</v>
      </c>
      <c r="Y59" s="2">
        <v>4.3472853616803676E-2</v>
      </c>
      <c r="Z59" s="2">
        <v>2.62202474048286E-2</v>
      </c>
      <c r="AA59" s="2">
        <v>0.1359999999999999</v>
      </c>
      <c r="AB59" s="2">
        <v>0.59</v>
      </c>
      <c r="AC59" s="2">
        <v>0.36196911196911197</v>
      </c>
      <c r="AD59" s="2">
        <v>0.83764000543538397</v>
      </c>
      <c r="AE59" s="16">
        <f t="shared" si="0"/>
        <v>0.31231884458671982</v>
      </c>
      <c r="AF59" s="2">
        <v>0.67400000000000004</v>
      </c>
      <c r="AG59" s="2">
        <v>0.7</v>
      </c>
      <c r="AH59" s="2">
        <v>0.85699999999999998</v>
      </c>
      <c r="AI59" s="2">
        <v>0.89200000000000002</v>
      </c>
      <c r="AJ59" s="2">
        <v>0.75</v>
      </c>
      <c r="AK59" s="2">
        <v>0.74099999999999999</v>
      </c>
      <c r="AL59" s="2">
        <v>0.83799999999999997</v>
      </c>
      <c r="AM59" s="2">
        <v>0.50594730347095973</v>
      </c>
      <c r="AN59" s="2">
        <v>0.51547876284467642</v>
      </c>
      <c r="AO59" s="2">
        <v>0.46584761811130565</v>
      </c>
      <c r="AP59" s="2">
        <v>1</v>
      </c>
      <c r="AQ59" s="2">
        <v>0.33686907459944804</v>
      </c>
      <c r="AR59" s="2">
        <v>0.34497209999310574</v>
      </c>
      <c r="AS59" s="2">
        <v>0.64500000000000002</v>
      </c>
    </row>
    <row r="60" spans="1:45">
      <c r="A60" s="13" t="s">
        <v>245</v>
      </c>
      <c r="B60" s="14" t="s">
        <v>134</v>
      </c>
      <c r="C60" s="20">
        <v>47.3</v>
      </c>
      <c r="D60" s="21">
        <v>31779</v>
      </c>
      <c r="E60" s="22">
        <v>10.37</v>
      </c>
      <c r="F60" s="23">
        <v>0.72</v>
      </c>
      <c r="G60" s="2">
        <v>0.5170630843263061</v>
      </c>
      <c r="H60" s="2">
        <v>6.69E-4</v>
      </c>
      <c r="I60" s="2">
        <v>0.61299999903887503</v>
      </c>
      <c r="J60" s="2">
        <v>0.19999999999999996</v>
      </c>
      <c r="K60" s="2">
        <v>0.33733333333333332</v>
      </c>
      <c r="L60" s="2">
        <v>0.54099999886006112</v>
      </c>
      <c r="M60" s="2">
        <v>1</v>
      </c>
      <c r="N60" s="2">
        <v>0.61064599986486134</v>
      </c>
      <c r="O60" s="2">
        <v>1</v>
      </c>
      <c r="P60" s="2">
        <v>0.18</v>
      </c>
      <c r="Q60" s="2">
        <v>1</v>
      </c>
      <c r="R60" s="2">
        <v>0.43</v>
      </c>
      <c r="S60" s="2">
        <v>0.20749999999999999</v>
      </c>
      <c r="T60" s="2">
        <v>0.95479999999999998</v>
      </c>
      <c r="U60" s="2">
        <v>0.73563223324820481</v>
      </c>
      <c r="V60" s="2">
        <v>0.85156712000000001</v>
      </c>
      <c r="W60" s="2">
        <v>3.2716447556159704E-2</v>
      </c>
      <c r="X60" s="2">
        <v>0.35682552303324339</v>
      </c>
      <c r="Y60" s="2">
        <v>8.5895172234649406E-3</v>
      </c>
      <c r="Z60" s="2">
        <v>6.3768804303994703E-2</v>
      </c>
      <c r="AA60" s="2">
        <v>0.73</v>
      </c>
      <c r="AB60" s="2">
        <v>0</v>
      </c>
      <c r="AC60" s="2">
        <v>0</v>
      </c>
      <c r="AD60" s="2">
        <v>0.5</v>
      </c>
      <c r="AE60" s="16">
        <f t="shared" si="0"/>
        <v>0.45296296086618776</v>
      </c>
      <c r="AF60" s="2">
        <v>0.44799999999999995</v>
      </c>
      <c r="AG60" s="2">
        <v>0.4</v>
      </c>
      <c r="AH60" s="2">
        <v>0.755</v>
      </c>
      <c r="AI60" s="2">
        <v>0.83900000000000008</v>
      </c>
      <c r="AJ60" s="2">
        <v>0.2</v>
      </c>
      <c r="AK60" s="2">
        <v>0.80900000000000005</v>
      </c>
      <c r="AL60" s="2">
        <v>0.58899999999999997</v>
      </c>
      <c r="AM60" s="2">
        <v>0.49518408945026832</v>
      </c>
      <c r="AN60" s="2">
        <v>0.13886399765517435</v>
      </c>
      <c r="AO60" s="2">
        <v>0.18629221151674269</v>
      </c>
      <c r="AP60" s="2">
        <v>0.7238201142297821</v>
      </c>
      <c r="AQ60" s="2">
        <v>4.6556142857142858E-2</v>
      </c>
      <c r="AR60" s="2">
        <v>0.24827761463543582</v>
      </c>
      <c r="AS60" s="2">
        <v>0.44799999999999995</v>
      </c>
    </row>
    <row r="61" spans="1:45">
      <c r="A61" s="13" t="s">
        <v>246</v>
      </c>
      <c r="B61" s="14" t="s">
        <v>178</v>
      </c>
      <c r="C61" s="20">
        <v>41.8</v>
      </c>
      <c r="D61" s="21">
        <v>581</v>
      </c>
      <c r="E61" s="22">
        <v>6.36</v>
      </c>
      <c r="F61" s="23">
        <v>0.47</v>
      </c>
      <c r="G61" s="2">
        <v>0.27111204188481675</v>
      </c>
      <c r="H61" s="2">
        <v>0.1016179997935146</v>
      </c>
      <c r="I61" s="2">
        <v>0.41439999945461747</v>
      </c>
      <c r="J61" s="2">
        <v>0.35</v>
      </c>
      <c r="K61" s="2">
        <v>0.25266666666666665</v>
      </c>
      <c r="L61" s="2">
        <v>0.86559999987483027</v>
      </c>
      <c r="M61" s="2">
        <v>0.45091666666666669</v>
      </c>
      <c r="N61" s="2">
        <v>0.79628399982377884</v>
      </c>
      <c r="O61" s="2">
        <v>1</v>
      </c>
      <c r="P61" s="2">
        <v>0.32</v>
      </c>
      <c r="Q61" s="2">
        <v>0.29679999962449077</v>
      </c>
      <c r="R61" s="2">
        <v>1</v>
      </c>
      <c r="S61" s="2">
        <v>0.40749999999999997</v>
      </c>
      <c r="T61" s="2">
        <v>0.9728</v>
      </c>
      <c r="U61" s="2">
        <v>0.55851738430276554</v>
      </c>
      <c r="V61" s="2">
        <v>0.56901408399999998</v>
      </c>
      <c r="W61" s="2">
        <v>0.66268936964234404</v>
      </c>
      <c r="X61" s="2">
        <v>0.36025806565029245</v>
      </c>
      <c r="Y61" s="2">
        <v>2.7702704181438453E-2</v>
      </c>
      <c r="Z61" s="2">
        <v>1.6661373158518102E-2</v>
      </c>
      <c r="AA61" s="2">
        <v>0.67999999999999994</v>
      </c>
      <c r="AB61" s="2">
        <v>0.2</v>
      </c>
      <c r="AC61" s="2">
        <v>1.4851485148514851E-2</v>
      </c>
      <c r="AD61" s="2">
        <v>0.8212400053549177</v>
      </c>
      <c r="AE61" s="16">
        <f t="shared" si="0"/>
        <v>0.47544299355117386</v>
      </c>
      <c r="AF61" s="2">
        <v>0.18</v>
      </c>
      <c r="AG61" s="2">
        <v>0.2</v>
      </c>
      <c r="AH61" s="2">
        <v>0.73</v>
      </c>
      <c r="AI61" s="2">
        <v>6.9000000000000006E-2</v>
      </c>
      <c r="AJ61" s="2">
        <v>0.1</v>
      </c>
      <c r="AK61" s="2">
        <v>0.59</v>
      </c>
      <c r="AL61" s="2">
        <v>0.69099999999999995</v>
      </c>
      <c r="AM61" s="2">
        <v>0.34189910986728539</v>
      </c>
      <c r="AN61" s="2">
        <v>7.2419854913889997E-2</v>
      </c>
      <c r="AO61" s="2">
        <v>0.4341502315455778</v>
      </c>
      <c r="AP61" s="2">
        <v>3.0600130612775327E-2</v>
      </c>
      <c r="AQ61" s="2">
        <v>2.8171722863503331E-2</v>
      </c>
      <c r="AR61" s="2">
        <v>0.2536664757093246</v>
      </c>
      <c r="AS61" s="2">
        <v>0.70799999999999996</v>
      </c>
    </row>
    <row r="62" spans="1:45">
      <c r="A62" s="13" t="s">
        <v>247</v>
      </c>
      <c r="B62" s="14" t="s">
        <v>58</v>
      </c>
      <c r="C62" s="20">
        <v>75.2</v>
      </c>
      <c r="D62" s="21">
        <v>19693</v>
      </c>
      <c r="E62" s="22">
        <v>9.89</v>
      </c>
      <c r="F62" s="23">
        <v>0.88</v>
      </c>
      <c r="G62" s="2">
        <v>0.50653302433371972</v>
      </c>
      <c r="H62" s="2">
        <v>0.15421999968662858</v>
      </c>
      <c r="I62" s="2">
        <v>5.9199999123811686E-2</v>
      </c>
      <c r="J62" s="2">
        <v>0.77499999999999991</v>
      </c>
      <c r="K62" s="2">
        <v>0</v>
      </c>
      <c r="L62" s="2">
        <v>8.7999999150633834E-2</v>
      </c>
      <c r="M62" s="2">
        <v>0.27966666666666667</v>
      </c>
      <c r="N62" s="2">
        <v>0.30825199993178248</v>
      </c>
      <c r="O62" s="2">
        <v>0.83278428093650003</v>
      </c>
      <c r="P62" s="2">
        <v>0.9</v>
      </c>
      <c r="Q62" s="2">
        <v>0.15899999979883431</v>
      </c>
      <c r="R62" s="2">
        <v>0</v>
      </c>
      <c r="S62" s="2">
        <v>0.87499999999999989</v>
      </c>
      <c r="T62" s="2">
        <v>0.45448</v>
      </c>
      <c r="U62" s="2">
        <v>0.27971512062847637</v>
      </c>
      <c r="V62" s="2">
        <v>6.0869566E-2</v>
      </c>
      <c r="W62" s="2">
        <v>3.9249541866813904E-2</v>
      </c>
      <c r="X62" s="2">
        <v>4.925837795765344E-3</v>
      </c>
      <c r="Y62" s="2">
        <v>5.5642862298984942E-2</v>
      </c>
      <c r="Z62" s="2">
        <v>0.116181230255992</v>
      </c>
      <c r="AA62" s="2">
        <v>0</v>
      </c>
      <c r="AB62" s="2">
        <v>0.22</v>
      </c>
      <c r="AC62" s="2">
        <v>0</v>
      </c>
      <c r="AD62" s="2">
        <v>0.72376468943873584</v>
      </c>
      <c r="AE62" s="16">
        <f t="shared" si="0"/>
        <v>0.28718686741305605</v>
      </c>
      <c r="AF62" s="2">
        <v>0.83099999999999996</v>
      </c>
      <c r="AG62" s="2">
        <v>0.8</v>
      </c>
      <c r="AH62" s="2">
        <v>0.80200000000000005</v>
      </c>
      <c r="AI62" s="2">
        <v>0.622</v>
      </c>
      <c r="AJ62" s="2">
        <v>0.9</v>
      </c>
      <c r="AK62" s="2">
        <v>0.71099999999999997</v>
      </c>
      <c r="AL62" s="2">
        <v>0.875</v>
      </c>
      <c r="AM62" s="2">
        <v>0.61587980736678005</v>
      </c>
      <c r="AN62" s="2">
        <v>0.71947627614071141</v>
      </c>
      <c r="AO62" s="2">
        <v>0.69871505123095756</v>
      </c>
      <c r="AP62" s="2">
        <v>1</v>
      </c>
      <c r="AQ62" s="2">
        <v>0.87369092652797375</v>
      </c>
      <c r="AR62" s="2">
        <v>0.72371794659695343</v>
      </c>
      <c r="AS62" s="2">
        <v>0.47</v>
      </c>
    </row>
    <row r="63" spans="1:45">
      <c r="A63" s="13" t="s">
        <v>248</v>
      </c>
      <c r="B63" s="14" t="s">
        <v>184</v>
      </c>
      <c r="C63" s="20">
        <v>40.4</v>
      </c>
      <c r="D63" s="21">
        <v>934</v>
      </c>
      <c r="E63" s="22">
        <v>6.84</v>
      </c>
      <c r="F63" s="23">
        <v>0.41</v>
      </c>
      <c r="G63" s="2">
        <v>1</v>
      </c>
      <c r="H63" s="2">
        <v>4.5560000000000003E-2</v>
      </c>
      <c r="I63" s="2">
        <v>0.63519999966025353</v>
      </c>
      <c r="J63" s="2">
        <v>0.30000000000000004</v>
      </c>
      <c r="K63" s="2">
        <v>0.47</v>
      </c>
      <c r="L63" s="2">
        <v>0.88479999989271163</v>
      </c>
      <c r="M63" s="2">
        <v>0.60066666666666668</v>
      </c>
      <c r="N63" s="2">
        <v>0.83526999981515104</v>
      </c>
      <c r="O63" s="2">
        <v>0.98249934749080781</v>
      </c>
      <c r="P63" s="2">
        <v>0.32</v>
      </c>
      <c r="Q63" s="2">
        <v>6.3599999919533731E-2</v>
      </c>
      <c r="R63" s="2">
        <v>1</v>
      </c>
      <c r="S63" s="2">
        <v>0.40749999999999997</v>
      </c>
      <c r="T63" s="2">
        <v>0.98863999999999996</v>
      </c>
      <c r="U63" s="2">
        <v>0.64025599901303654</v>
      </c>
      <c r="V63" s="2">
        <v>0.81792399400000004</v>
      </c>
      <c r="W63" s="2">
        <v>0.39868966776576825</v>
      </c>
      <c r="X63" s="2">
        <v>0.65156662267985965</v>
      </c>
      <c r="Y63" s="2">
        <v>0</v>
      </c>
      <c r="Z63" s="2">
        <v>0</v>
      </c>
      <c r="AA63" s="2">
        <v>0.84699999999999998</v>
      </c>
      <c r="AB63" s="2">
        <v>0.88</v>
      </c>
      <c r="AC63" s="2">
        <v>0.03</v>
      </c>
      <c r="AD63" s="2">
        <v>0.8714569758846068</v>
      </c>
      <c r="AE63" s="16">
        <f t="shared" si="0"/>
        <v>0.56960955303284988</v>
      </c>
      <c r="AF63" s="2">
        <v>0.66299999999999992</v>
      </c>
      <c r="AG63" s="2">
        <v>0.2</v>
      </c>
      <c r="AH63" s="2">
        <v>0.77700000000000002</v>
      </c>
      <c r="AI63" s="2">
        <v>0.82900000000000007</v>
      </c>
      <c r="AJ63" s="2">
        <v>0.25</v>
      </c>
      <c r="AK63" s="2">
        <v>0.60399999999999998</v>
      </c>
      <c r="AL63" s="2">
        <v>0.61899999999999999</v>
      </c>
      <c r="AM63" s="2">
        <v>0.15667350730681071</v>
      </c>
      <c r="AN63" s="2">
        <v>0.25013297349212776</v>
      </c>
      <c r="AO63" s="2">
        <v>0.35848830555415445</v>
      </c>
      <c r="AP63" s="2">
        <v>5.3810899152758544E-2</v>
      </c>
      <c r="AQ63" s="2">
        <v>4.934578290309969E-2</v>
      </c>
      <c r="AR63" s="2">
        <v>0.34692062111579275</v>
      </c>
      <c r="AS63" s="2">
        <v>0.61499999999999999</v>
      </c>
    </row>
    <row r="64" spans="1:45">
      <c r="A64" s="13" t="s">
        <v>249</v>
      </c>
      <c r="B64" s="14" t="s">
        <v>108</v>
      </c>
      <c r="C64" s="20">
        <v>59.5</v>
      </c>
      <c r="D64" s="21">
        <v>4526</v>
      </c>
      <c r="E64" s="22">
        <v>8.42</v>
      </c>
      <c r="F64" s="23">
        <v>0.74</v>
      </c>
      <c r="G64" s="2">
        <v>0.67049507853403123</v>
      </c>
      <c r="H64" s="2">
        <v>2.862E-3</v>
      </c>
      <c r="I64" s="2">
        <v>0.36</v>
      </c>
      <c r="J64" s="2">
        <v>7.5000000000000011E-2</v>
      </c>
      <c r="K64" s="2">
        <v>7.3333333333333332E-3</v>
      </c>
      <c r="L64" s="2">
        <v>0.13</v>
      </c>
      <c r="M64" s="2">
        <v>0.44466666666666665</v>
      </c>
      <c r="N64" s="2">
        <v>0.47591199989467853</v>
      </c>
      <c r="O64" s="2">
        <v>0.92227450980399994</v>
      </c>
      <c r="P64" s="2">
        <v>0.2</v>
      </c>
      <c r="Q64" s="2">
        <v>1</v>
      </c>
      <c r="R64" s="2">
        <v>0.3</v>
      </c>
      <c r="S64" s="2">
        <v>0.76749999999999996</v>
      </c>
      <c r="T64" s="2">
        <v>0.88456800000000002</v>
      </c>
      <c r="U64" s="2">
        <v>0.37777794998809844</v>
      </c>
      <c r="V64" s="2">
        <v>0.34837355800000003</v>
      </c>
      <c r="W64" s="2">
        <v>3.3638712047555606E-2</v>
      </c>
      <c r="X64" s="2">
        <v>1.9477713563255353E-2</v>
      </c>
      <c r="Y64" s="2">
        <v>0.10631031837790682</v>
      </c>
      <c r="Z64" s="2">
        <v>0.175616459497798</v>
      </c>
      <c r="AA64" s="2">
        <v>0.4</v>
      </c>
      <c r="AB64" s="2">
        <v>0</v>
      </c>
      <c r="AC64" s="2">
        <v>0.16420361247947454</v>
      </c>
      <c r="AD64" s="2">
        <v>0.59655999178852981</v>
      </c>
      <c r="AE64" s="16">
        <f t="shared" si="0"/>
        <v>0.35260707933230545</v>
      </c>
      <c r="AF64" s="2">
        <v>0.63500000000000001</v>
      </c>
      <c r="AG64" s="2">
        <v>0.6</v>
      </c>
      <c r="AH64" s="2">
        <v>0.75700000000000001</v>
      </c>
      <c r="AI64" s="2">
        <v>0.80599999999999994</v>
      </c>
      <c r="AJ64" s="2">
        <v>0.25</v>
      </c>
      <c r="AK64" s="2">
        <v>0.73599999999999999</v>
      </c>
      <c r="AL64" s="2">
        <v>0.71</v>
      </c>
      <c r="AM64" s="2">
        <v>0.45637526565943698</v>
      </c>
      <c r="AN64" s="2">
        <v>0.35765390290888982</v>
      </c>
      <c r="AO64" s="2">
        <v>0.35412994150000515</v>
      </c>
      <c r="AP64" s="2">
        <v>0.82899797243928597</v>
      </c>
      <c r="AQ64" s="2">
        <v>0.19815582906355389</v>
      </c>
      <c r="AR64" s="2">
        <v>0.35042716010836256</v>
      </c>
      <c r="AS64" s="2">
        <v>0.84</v>
      </c>
    </row>
    <row r="65" spans="1:45">
      <c r="A65" s="13" t="s">
        <v>250</v>
      </c>
      <c r="B65" s="14" t="s">
        <v>77</v>
      </c>
      <c r="C65" s="20">
        <v>81.7</v>
      </c>
      <c r="D65" s="21">
        <v>35265</v>
      </c>
      <c r="E65" s="22">
        <v>10.47</v>
      </c>
      <c r="F65" s="23">
        <v>0.96</v>
      </c>
      <c r="G65" s="2">
        <v>1</v>
      </c>
      <c r="H65" s="2">
        <v>1.6334999966807665E-2</v>
      </c>
      <c r="I65" s="2">
        <v>3.9999999105930328E-2</v>
      </c>
      <c r="J65" s="2">
        <v>0.82499999999999996</v>
      </c>
      <c r="K65" s="2">
        <v>0</v>
      </c>
      <c r="L65" s="2">
        <v>3.9999999105930328E-2</v>
      </c>
      <c r="M65" s="2">
        <v>1.5499999999999995E-2</v>
      </c>
      <c r="N65" s="2">
        <v>0.36763999991863971</v>
      </c>
      <c r="O65" s="2">
        <v>0.74816108849146656</v>
      </c>
      <c r="P65" s="2">
        <v>0.38</v>
      </c>
      <c r="Q65" s="2">
        <v>8.4799999892711642E-2</v>
      </c>
      <c r="R65" s="2">
        <v>0</v>
      </c>
      <c r="S65" s="2">
        <v>6.7499999999999991E-2</v>
      </c>
      <c r="T65" s="2">
        <v>0.1604000000000001</v>
      </c>
      <c r="U65" s="2">
        <v>0.16799453515857432</v>
      </c>
      <c r="V65" s="2">
        <v>4.9327353999999997E-2</v>
      </c>
      <c r="W65" s="2">
        <v>0</v>
      </c>
      <c r="X65" s="2">
        <v>3.4423271970406922E-3</v>
      </c>
      <c r="Y65" s="2">
        <v>1.4548119865928784E-2</v>
      </c>
      <c r="Z65" s="2">
        <v>4.2678871958731997E-2</v>
      </c>
      <c r="AA65" s="2">
        <v>0</v>
      </c>
      <c r="AB65" s="2">
        <v>0.59</v>
      </c>
      <c r="AC65" s="2">
        <v>0</v>
      </c>
      <c r="AD65" s="2">
        <v>0.3714879994146526</v>
      </c>
      <c r="AE65" s="16">
        <f t="shared" si="0"/>
        <v>0.20770063725318391</v>
      </c>
      <c r="AF65" s="2">
        <v>0.95</v>
      </c>
      <c r="AG65" s="2">
        <v>0.8</v>
      </c>
      <c r="AH65" s="2">
        <v>0.65400000000000003</v>
      </c>
      <c r="AI65" s="2">
        <v>0.32899999999999996</v>
      </c>
      <c r="AJ65" s="2">
        <v>0.75</v>
      </c>
      <c r="AK65" s="2">
        <v>0.78900000000000003</v>
      </c>
      <c r="AL65" s="2">
        <v>0.875</v>
      </c>
      <c r="AM65" s="2">
        <v>0.7687162647436272</v>
      </c>
      <c r="AN65" s="2">
        <v>0.80289221647182707</v>
      </c>
      <c r="AO65" s="2">
        <v>0.93979144181023722</v>
      </c>
      <c r="AP65" s="2">
        <v>1</v>
      </c>
      <c r="AQ65" s="2">
        <v>1</v>
      </c>
      <c r="AR65" s="2">
        <v>0.88351606027368468</v>
      </c>
      <c r="AS65" s="2">
        <v>0.43799999999999994</v>
      </c>
    </row>
    <row r="66" spans="1:45">
      <c r="A66" s="13" t="s">
        <v>251</v>
      </c>
      <c r="B66" s="14" t="s">
        <v>40</v>
      </c>
      <c r="C66" s="20">
        <v>78.7</v>
      </c>
      <c r="D66" s="21">
        <v>33674</v>
      </c>
      <c r="E66" s="22">
        <v>10.42</v>
      </c>
      <c r="F66" s="23">
        <v>0.96</v>
      </c>
      <c r="G66" s="2">
        <v>0.16682081497797357</v>
      </c>
      <c r="H66" s="2">
        <v>0.16477999966517093</v>
      </c>
      <c r="I66" s="2">
        <v>3.9999999105930328E-2</v>
      </c>
      <c r="J66" s="2">
        <v>0.47499999999999998</v>
      </c>
      <c r="K66" s="2">
        <v>0</v>
      </c>
      <c r="L66" s="2">
        <v>3.9999999105930328E-2</v>
      </c>
      <c r="M66" s="2">
        <v>0.25958333333333333</v>
      </c>
      <c r="N66" s="2">
        <v>0.2264419999498874</v>
      </c>
      <c r="O66" s="2">
        <v>0.70256013269770889</v>
      </c>
      <c r="P66" s="2">
        <v>0.22</v>
      </c>
      <c r="Q66" s="2">
        <v>0.1165999998524785</v>
      </c>
      <c r="R66" s="2">
        <v>0</v>
      </c>
      <c r="S66" s="2">
        <v>6.7499999999999991E-2</v>
      </c>
      <c r="T66" s="2">
        <v>0.36264000000000007</v>
      </c>
      <c r="U66" s="2">
        <v>0.13480663268864246</v>
      </c>
      <c r="V66" s="2">
        <v>0.115869018</v>
      </c>
      <c r="W66" s="2">
        <v>0</v>
      </c>
      <c r="X66" s="2">
        <v>3.9672627765894143E-3</v>
      </c>
      <c r="Y66" s="2">
        <v>2.4862700279103735E-2</v>
      </c>
      <c r="Z66" s="2">
        <v>4.7248629961730002E-2</v>
      </c>
      <c r="AA66" s="2">
        <v>0</v>
      </c>
      <c r="AB66" s="2">
        <v>0.54</v>
      </c>
      <c r="AC66" s="2">
        <v>6.8473140269510277E-2</v>
      </c>
      <c r="AD66" s="2">
        <v>3.9999999105930328E-2</v>
      </c>
      <c r="AE66" s="16">
        <f t="shared" si="0"/>
        <v>0.15904806924041334</v>
      </c>
      <c r="AF66" s="2">
        <v>0.86299999999999999</v>
      </c>
      <c r="AG66" s="2">
        <v>0.7</v>
      </c>
      <c r="AH66" s="2">
        <v>0.51900000000000002</v>
      </c>
      <c r="AI66" s="2">
        <v>0.17899999999999999</v>
      </c>
      <c r="AJ66" s="2">
        <v>0.5</v>
      </c>
      <c r="AK66" s="2">
        <v>0.79700000000000004</v>
      </c>
      <c r="AL66" s="2">
        <v>0.82499999999999996</v>
      </c>
      <c r="AM66" s="2">
        <v>0.60821703484086265</v>
      </c>
      <c r="AN66" s="2">
        <v>0.74957389642861094</v>
      </c>
      <c r="AO66" s="2">
        <v>0.77914856189908976</v>
      </c>
      <c r="AP66" s="2">
        <v>1</v>
      </c>
      <c r="AQ66" s="2">
        <v>0.74850363498281258</v>
      </c>
      <c r="AR66" s="2">
        <v>0.78222352012773055</v>
      </c>
      <c r="AS66" s="2">
        <v>0.54700000000000004</v>
      </c>
    </row>
    <row r="67" spans="1:45">
      <c r="A67" s="13" t="s">
        <v>252</v>
      </c>
      <c r="B67" s="14" t="s">
        <v>25</v>
      </c>
      <c r="C67" s="20">
        <v>56.2</v>
      </c>
      <c r="D67" s="21">
        <v>14419</v>
      </c>
      <c r="E67" s="22">
        <v>9.58</v>
      </c>
      <c r="F67" s="23">
        <v>0.76</v>
      </c>
      <c r="G67" s="2">
        <v>0.21115623417721519</v>
      </c>
      <c r="H67" s="2">
        <v>7.9299999999999998E-4</v>
      </c>
      <c r="I67" s="2">
        <v>0.16479999922215938</v>
      </c>
      <c r="J67" s="2">
        <v>0.22499999999999998</v>
      </c>
      <c r="K67" s="2">
        <v>6.8000000000000005E-2</v>
      </c>
      <c r="L67" s="2">
        <v>0.68319999970495693</v>
      </c>
      <c r="M67" s="2">
        <v>1</v>
      </c>
      <c r="N67" s="2">
        <v>0.14624799996763468</v>
      </c>
      <c r="O67" s="2">
        <v>0.9765641025641667</v>
      </c>
      <c r="P67" s="2">
        <v>0.12</v>
      </c>
      <c r="Q67" s="2">
        <v>0.77379999902099372</v>
      </c>
      <c r="R67" s="2">
        <v>0.21000000000000002</v>
      </c>
      <c r="S67" s="2">
        <v>0.20749999999999999</v>
      </c>
      <c r="T67" s="2">
        <v>0.77600000000000002</v>
      </c>
      <c r="U67" s="2">
        <v>0.53947660379722706</v>
      </c>
      <c r="V67" s="2">
        <v>0.84693084600000001</v>
      </c>
      <c r="W67" s="2">
        <v>1.7296911243172116E-2</v>
      </c>
      <c r="X67" s="2">
        <v>0.23266934033997827</v>
      </c>
      <c r="Y67" s="2">
        <v>7.5199763091118562E-3</v>
      </c>
      <c r="Z67" s="2">
        <v>0.14052803853743301</v>
      </c>
      <c r="AA67" s="2">
        <v>0.63300000000000001</v>
      </c>
      <c r="AB67" s="2">
        <v>0</v>
      </c>
      <c r="AC67" s="2">
        <v>0</v>
      </c>
      <c r="AD67" s="2">
        <v>0.91015199937414648</v>
      </c>
      <c r="AE67" s="16">
        <f t="shared" si="0"/>
        <v>0.3704431270940915</v>
      </c>
      <c r="AF67" s="2">
        <v>0.58799999999999997</v>
      </c>
      <c r="AG67" s="2">
        <v>0.4</v>
      </c>
      <c r="AH67" s="2">
        <v>0.61499999999999999</v>
      </c>
      <c r="AI67" s="2">
        <v>0.8640000000000001</v>
      </c>
      <c r="AJ67" s="2">
        <v>0.45</v>
      </c>
      <c r="AK67" s="2">
        <v>0.71400000000000008</v>
      </c>
      <c r="AL67" s="2">
        <v>0.621</v>
      </c>
      <c r="AM67" s="2">
        <v>0.52284200723022345</v>
      </c>
      <c r="AN67" s="2">
        <v>0.29133955624294899</v>
      </c>
      <c r="AO67" s="2">
        <v>0.31710903999068546</v>
      </c>
      <c r="AP67" s="2">
        <v>1</v>
      </c>
      <c r="AQ67" s="2">
        <v>0.100797</v>
      </c>
      <c r="AR67" s="2">
        <v>0.40854135490125093</v>
      </c>
      <c r="AS67" s="2">
        <v>0.57399999999999995</v>
      </c>
    </row>
    <row r="68" spans="1:45">
      <c r="A68" s="13" t="s">
        <v>253</v>
      </c>
      <c r="B68" s="14" t="s">
        <v>95</v>
      </c>
      <c r="C68" s="20">
        <v>53.7</v>
      </c>
      <c r="D68" s="21">
        <v>1415</v>
      </c>
      <c r="E68" s="22">
        <v>7.25</v>
      </c>
      <c r="F68" s="23">
        <v>0.46</v>
      </c>
      <c r="G68" s="2">
        <v>0.16863569257490227</v>
      </c>
      <c r="H68" s="2">
        <v>8.9119999999999998E-3</v>
      </c>
      <c r="I68" s="2">
        <v>0.11679999917745587</v>
      </c>
      <c r="J68" s="2">
        <v>0.30000000000000004</v>
      </c>
      <c r="K68" s="2">
        <v>0.19066666666666668</v>
      </c>
      <c r="L68" s="2">
        <v>0.35679999940097329</v>
      </c>
      <c r="M68" s="2">
        <v>0.62008333333333332</v>
      </c>
      <c r="N68" s="2">
        <v>0.4316739999044687</v>
      </c>
      <c r="O68" s="2">
        <v>0.99573076923083337</v>
      </c>
      <c r="P68" s="2">
        <v>0.18</v>
      </c>
      <c r="Q68" s="2">
        <v>0.50879999935626985</v>
      </c>
      <c r="R68" s="2">
        <v>0.42119999930262564</v>
      </c>
      <c r="S68" s="2">
        <v>0.20749999999999999</v>
      </c>
      <c r="T68" s="2">
        <v>0.97416000000000003</v>
      </c>
      <c r="U68" s="2">
        <v>0.62609810631692497</v>
      </c>
      <c r="V68" s="2">
        <v>0.78828828799999995</v>
      </c>
      <c r="W68" s="2">
        <v>0.26541790428426187</v>
      </c>
      <c r="X68" s="2">
        <v>0.53599427185921511</v>
      </c>
      <c r="Y68" s="2">
        <v>0.26353320917090606</v>
      </c>
      <c r="Z68" s="2">
        <v>0.37547217491297002</v>
      </c>
      <c r="AA68" s="2">
        <v>0.91700000000000004</v>
      </c>
      <c r="AB68" s="2">
        <v>0</v>
      </c>
      <c r="AC68" s="2">
        <v>0.45</v>
      </c>
      <c r="AD68" s="2">
        <v>0.82998400220979718</v>
      </c>
      <c r="AE68" s="16">
        <f t="shared" si="0"/>
        <v>0.43886460065423344</v>
      </c>
      <c r="AF68" s="2">
        <v>0.58499999999999996</v>
      </c>
      <c r="AG68" s="2">
        <v>0.5</v>
      </c>
      <c r="AH68" s="2">
        <v>0.71900000000000008</v>
      </c>
      <c r="AI68" s="2">
        <v>0.753</v>
      </c>
      <c r="AJ68" s="2">
        <v>0.55000000000000004</v>
      </c>
      <c r="AK68" s="2">
        <v>0.71599999999999997</v>
      </c>
      <c r="AL68" s="2">
        <v>0.60599999999999998</v>
      </c>
      <c r="AM68" s="2">
        <v>0.55207107399916711</v>
      </c>
      <c r="AN68" s="2">
        <v>0.29180802214499729</v>
      </c>
      <c r="AO68" s="2">
        <v>0.39003702099538973</v>
      </c>
      <c r="AP68" s="2">
        <v>0.92440118903449497</v>
      </c>
      <c r="AQ68" s="2">
        <v>6.3126994344505888E-2</v>
      </c>
      <c r="AR68" s="2">
        <v>0.41489323588089189</v>
      </c>
      <c r="AS68" s="2">
        <v>0.63800000000000001</v>
      </c>
    </row>
    <row r="69" spans="1:45">
      <c r="A69" s="13" t="s">
        <v>254</v>
      </c>
      <c r="B69" s="14" t="s">
        <v>105</v>
      </c>
      <c r="C69" s="20">
        <v>66.900000000000006</v>
      </c>
      <c r="D69" s="21">
        <v>4774</v>
      </c>
      <c r="E69" s="22">
        <v>8.4700000000000006</v>
      </c>
      <c r="F69" s="23">
        <v>0.78</v>
      </c>
      <c r="G69" s="2">
        <v>0.93013021276595753</v>
      </c>
      <c r="H69" s="2">
        <v>2.5600000000000001E-2</v>
      </c>
      <c r="I69" s="2">
        <v>5.9199999123811686E-2</v>
      </c>
      <c r="J69" s="2">
        <v>0.6</v>
      </c>
      <c r="K69" s="2">
        <v>0.11266666666666666</v>
      </c>
      <c r="L69" s="2">
        <v>8.7999999150633834E-2</v>
      </c>
      <c r="M69" s="2">
        <v>0.27966666666666667</v>
      </c>
      <c r="N69" s="2">
        <v>0.47651799989454446</v>
      </c>
      <c r="O69" s="2">
        <v>0.89817341992137756</v>
      </c>
      <c r="P69" s="2">
        <v>0.24</v>
      </c>
      <c r="Q69" s="2">
        <v>0.78439999900758262</v>
      </c>
      <c r="R69" s="2">
        <v>3.2999999932944772E-2</v>
      </c>
      <c r="S69" s="2">
        <v>7.4999999999999997E-2</v>
      </c>
      <c r="T69" s="2">
        <v>0.48136000000000001</v>
      </c>
      <c r="U69" s="2">
        <v>0.32627605725720543</v>
      </c>
      <c r="V69" s="2">
        <v>0.18274111600000001</v>
      </c>
      <c r="W69" s="2">
        <v>5.8292932282599519E-2</v>
      </c>
      <c r="X69" s="2">
        <v>1.959568882315393E-2</v>
      </c>
      <c r="Y69" s="2">
        <v>2.2428939057860257E-2</v>
      </c>
      <c r="Z69" s="2">
        <v>6.2409597162269403E-2</v>
      </c>
      <c r="AA69" s="2">
        <v>0</v>
      </c>
      <c r="AB69" s="2">
        <v>0.95</v>
      </c>
      <c r="AC69" s="2">
        <v>4.3171679378327818E-2</v>
      </c>
      <c r="AD69" s="2">
        <v>0.11576466994045542</v>
      </c>
      <c r="AE69" s="16">
        <f t="shared" si="0"/>
        <v>0.28601648512633576</v>
      </c>
      <c r="AF69" s="2">
        <v>0.879</v>
      </c>
      <c r="AG69" s="2">
        <v>0.6</v>
      </c>
      <c r="AH69" s="2">
        <v>0.8909999999999999</v>
      </c>
      <c r="AI69" s="2">
        <v>0.65300000000000002</v>
      </c>
      <c r="AJ69" s="2">
        <v>0.7</v>
      </c>
      <c r="AK69" s="2">
        <v>0.70200000000000007</v>
      </c>
      <c r="AL69" s="2">
        <v>0.8909999999999999</v>
      </c>
      <c r="AM69" s="2">
        <v>0.30374683956898618</v>
      </c>
      <c r="AN69" s="2">
        <v>0.46528985416629592</v>
      </c>
      <c r="AO69" s="2">
        <v>0.4549834820700821</v>
      </c>
      <c r="AP69" s="2">
        <v>0.7325014266970622</v>
      </c>
      <c r="AQ69" s="2">
        <v>0.36064130150999529</v>
      </c>
      <c r="AR69" s="2">
        <v>0.465509312844826</v>
      </c>
      <c r="AS69" s="2">
        <v>0.93700000000000006</v>
      </c>
    </row>
    <row r="70" spans="1:45">
      <c r="A70" s="13" t="s">
        <v>255</v>
      </c>
      <c r="B70" s="14" t="s">
        <v>44</v>
      </c>
      <c r="C70" s="20">
        <v>80</v>
      </c>
      <c r="D70" s="21">
        <v>36338</v>
      </c>
      <c r="E70" s="22">
        <v>10.5</v>
      </c>
      <c r="F70" s="23">
        <v>0.95</v>
      </c>
      <c r="G70" s="2">
        <v>0.26133119612068972</v>
      </c>
      <c r="H70" s="2">
        <v>0.23066999953128395</v>
      </c>
      <c r="I70" s="2">
        <v>3.9999999105930328E-2</v>
      </c>
      <c r="J70" s="2">
        <v>0.5</v>
      </c>
      <c r="K70" s="2">
        <v>0</v>
      </c>
      <c r="L70" s="2">
        <v>3.9999999105930328E-2</v>
      </c>
      <c r="M70" s="2">
        <v>0.20691666666666667</v>
      </c>
      <c r="N70" s="2">
        <v>0.26542799994125965</v>
      </c>
      <c r="O70" s="2">
        <v>0.73265440375433333</v>
      </c>
      <c r="P70" s="2">
        <v>0.28000000000000003</v>
      </c>
      <c r="Q70" s="2">
        <v>0.233199999704957</v>
      </c>
      <c r="R70" s="2">
        <v>0</v>
      </c>
      <c r="S70" s="2">
        <v>6.7499999999999991E-2</v>
      </c>
      <c r="T70" s="2">
        <v>0.28471999999999997</v>
      </c>
      <c r="U70" s="2">
        <v>0.16230009612888208</v>
      </c>
      <c r="V70" s="2">
        <v>9.5454546000000001E-2</v>
      </c>
      <c r="W70" s="2">
        <v>0</v>
      </c>
      <c r="X70" s="2">
        <v>2.344620197984371E-3</v>
      </c>
      <c r="Y70" s="2">
        <v>6.4755094715215372E-2</v>
      </c>
      <c r="Z70" s="2">
        <v>5.6247942458081603E-2</v>
      </c>
      <c r="AA70" s="2">
        <v>0</v>
      </c>
      <c r="AB70" s="2">
        <v>0.61</v>
      </c>
      <c r="AC70" s="2">
        <v>3.0105800384207355E-2</v>
      </c>
      <c r="AD70" s="2">
        <v>0.13999999687075615</v>
      </c>
      <c r="AE70" s="16">
        <f t="shared" si="0"/>
        <v>0.1793178483619241</v>
      </c>
      <c r="AF70" s="2">
        <v>0.89599999999999991</v>
      </c>
      <c r="AG70" s="2">
        <v>0.6</v>
      </c>
      <c r="AH70" s="2">
        <v>0.58299999999999996</v>
      </c>
      <c r="AI70" s="2">
        <v>0.41399999999999998</v>
      </c>
      <c r="AJ70" s="2">
        <v>0.85</v>
      </c>
      <c r="AK70" s="2">
        <v>0.79900000000000004</v>
      </c>
      <c r="AL70" s="2">
        <v>0.875</v>
      </c>
      <c r="AM70" s="2">
        <v>0.66927654153289873</v>
      </c>
      <c r="AN70" s="2">
        <v>0.77467835093140502</v>
      </c>
      <c r="AO70" s="2">
        <v>0.83737246277359978</v>
      </c>
      <c r="AP70" s="2">
        <v>1</v>
      </c>
      <c r="AQ70" s="2">
        <v>0.49863282963020611</v>
      </c>
      <c r="AR70" s="2">
        <v>0.82354599999044997</v>
      </c>
      <c r="AS70" s="2">
        <v>0.39899999999999997</v>
      </c>
    </row>
    <row r="71" spans="1:45">
      <c r="A71" s="13" t="s">
        <v>256</v>
      </c>
      <c r="B71" s="14" t="s">
        <v>112</v>
      </c>
      <c r="C71" s="20">
        <v>55.8</v>
      </c>
      <c r="D71" s="21">
        <v>1552</v>
      </c>
      <c r="E71" s="22">
        <v>7.35</v>
      </c>
      <c r="F71" s="23">
        <v>0.53</v>
      </c>
      <c r="G71" s="2">
        <v>0.81698090211132424</v>
      </c>
      <c r="H71" s="2">
        <v>1.8460000000000001E-2</v>
      </c>
      <c r="I71" s="2">
        <v>0.21279999926686288</v>
      </c>
      <c r="J71" s="2">
        <v>0.30000000000000004</v>
      </c>
      <c r="K71" s="2">
        <v>0.15066666666666667</v>
      </c>
      <c r="L71" s="2">
        <v>0.87519999988377095</v>
      </c>
      <c r="M71" s="2">
        <v>0.36075000000000002</v>
      </c>
      <c r="N71" s="2">
        <v>0.49732399988994003</v>
      </c>
      <c r="O71" s="2">
        <v>0.98927878787883339</v>
      </c>
      <c r="P71" s="2">
        <v>0.14000000000000001</v>
      </c>
      <c r="Q71" s="2">
        <v>0.34979999955743551</v>
      </c>
      <c r="R71" s="2">
        <v>0.34559999942779546</v>
      </c>
      <c r="S71" s="2">
        <v>0.20749999999999999</v>
      </c>
      <c r="T71" s="2">
        <v>0.95120000000000005</v>
      </c>
      <c r="U71" s="2">
        <v>0.61295453557297574</v>
      </c>
      <c r="V71" s="2">
        <v>0.86241134799999997</v>
      </c>
      <c r="W71" s="2">
        <v>0.16956295086047496</v>
      </c>
      <c r="X71" s="2">
        <v>0.39254123160253923</v>
      </c>
      <c r="Y71" s="2">
        <v>9.535094905076584E-3</v>
      </c>
      <c r="Z71" s="2">
        <v>3.67696197318437E-2</v>
      </c>
      <c r="AA71" s="2">
        <v>0.45999999999999996</v>
      </c>
      <c r="AB71" s="2">
        <v>0.81</v>
      </c>
      <c r="AC71" s="2">
        <v>3.2961237584600511E-2</v>
      </c>
      <c r="AD71" s="2">
        <v>0.86562736194628198</v>
      </c>
      <c r="AE71" s="16">
        <f t="shared" si="0"/>
        <v>0.43616348895360096</v>
      </c>
      <c r="AF71" s="2">
        <v>0.56799999999999995</v>
      </c>
      <c r="AG71" s="2">
        <v>0.6</v>
      </c>
      <c r="AH71" s="2">
        <v>0.83499999999999996</v>
      </c>
      <c r="AI71" s="2">
        <v>0.58899999999999997</v>
      </c>
      <c r="AJ71" s="2">
        <v>0.65</v>
      </c>
      <c r="AK71" s="2">
        <v>0.65900000000000003</v>
      </c>
      <c r="AL71" s="2">
        <v>0.65300000000000002</v>
      </c>
      <c r="AM71" s="2">
        <v>0.53213295526975701</v>
      </c>
      <c r="AN71" s="2">
        <v>0.59806255458008351</v>
      </c>
      <c r="AO71" s="2">
        <v>0.51241236018268632</v>
      </c>
      <c r="AP71" s="2">
        <v>0.69721968491901598</v>
      </c>
      <c r="AQ71" s="2">
        <v>0.12204522002755479</v>
      </c>
      <c r="AR71" s="2">
        <v>0.47903648724536946</v>
      </c>
      <c r="AS71" s="2">
        <v>0.57399999999999995</v>
      </c>
    </row>
    <row r="72" spans="1:45">
      <c r="A72" s="13" t="s">
        <v>257</v>
      </c>
      <c r="B72" s="14" t="s">
        <v>83</v>
      </c>
      <c r="C72" s="20">
        <v>74</v>
      </c>
      <c r="D72" s="21">
        <v>29617</v>
      </c>
      <c r="E72" s="22">
        <v>10.3</v>
      </c>
      <c r="F72" s="23">
        <v>0.94</v>
      </c>
      <c r="G72" s="2">
        <v>1</v>
      </c>
      <c r="H72" s="2">
        <v>0.14013999971523883</v>
      </c>
      <c r="I72" s="2">
        <v>3.9999999105930328E-2</v>
      </c>
      <c r="J72" s="2">
        <v>0.44999999999999996</v>
      </c>
      <c r="K72" s="2">
        <v>0</v>
      </c>
      <c r="L72" s="2">
        <v>5.9199999123811686E-2</v>
      </c>
      <c r="M72" s="2">
        <v>0.27483333333333337</v>
      </c>
      <c r="N72" s="2">
        <v>0.39187999991327521</v>
      </c>
      <c r="O72" s="2">
        <v>0.48669736662625029</v>
      </c>
      <c r="P72" s="2">
        <v>0.12</v>
      </c>
      <c r="Q72" s="2">
        <v>0.39219999950379131</v>
      </c>
      <c r="R72" s="2">
        <v>0</v>
      </c>
      <c r="S72" s="2">
        <v>6.7499999999999991E-2</v>
      </c>
      <c r="T72" s="2">
        <v>0.37015999999999993</v>
      </c>
      <c r="U72" s="2">
        <v>0.16470712052136693</v>
      </c>
      <c r="V72" s="2">
        <v>0.11312217199999999</v>
      </c>
      <c r="W72" s="2">
        <v>0</v>
      </c>
      <c r="X72" s="2">
        <v>8.1728009929739863E-4</v>
      </c>
      <c r="Y72" s="2">
        <v>5.7487527822710896E-2</v>
      </c>
      <c r="Z72" s="2">
        <v>8.6387275857641999E-2</v>
      </c>
      <c r="AA72" s="2">
        <v>0</v>
      </c>
      <c r="AB72" s="2">
        <v>0.69</v>
      </c>
      <c r="AC72" s="2">
        <v>0.15128006206361522</v>
      </c>
      <c r="AD72" s="2">
        <v>0.26559997149622006</v>
      </c>
      <c r="AE72" s="16">
        <f t="shared" ref="AE72:AE135" si="1">mmean(G72:AD72)</f>
        <v>0.2217505044659368</v>
      </c>
      <c r="AF72" s="2">
        <v>0.77400000000000002</v>
      </c>
      <c r="AG72" s="2">
        <v>0.6</v>
      </c>
      <c r="AH72" s="2">
        <v>0.65900000000000003</v>
      </c>
      <c r="AI72" s="2">
        <v>0.41899999999999998</v>
      </c>
      <c r="AJ72" s="2">
        <v>0.6</v>
      </c>
      <c r="AK72" s="2">
        <v>0.77599999999999991</v>
      </c>
      <c r="AL72" s="2">
        <v>0.82499999999999996</v>
      </c>
      <c r="AM72" s="2">
        <v>0.48717944478452402</v>
      </c>
      <c r="AN72" s="2">
        <v>0.67456238521244072</v>
      </c>
      <c r="AO72" s="2">
        <v>0.52348030343911955</v>
      </c>
      <c r="AP72" s="2">
        <v>1</v>
      </c>
      <c r="AQ72" s="2">
        <v>1</v>
      </c>
      <c r="AR72" s="2">
        <v>0.62636755071639461</v>
      </c>
      <c r="AS72" s="2">
        <v>0.55100000000000005</v>
      </c>
    </row>
    <row r="73" spans="1:45">
      <c r="A73" s="13" t="s">
        <v>258</v>
      </c>
      <c r="B73" s="14" t="s">
        <v>155</v>
      </c>
      <c r="C73" s="20" t="e">
        <v>#N/A</v>
      </c>
      <c r="D73" s="21">
        <v>8362</v>
      </c>
      <c r="E73" s="22">
        <v>9.0299999999999994</v>
      </c>
      <c r="F73" s="23">
        <v>0.81</v>
      </c>
      <c r="G73" s="2">
        <v>0.66502776048152767</v>
      </c>
      <c r="H73" s="2">
        <v>0.5</v>
      </c>
      <c r="I73" s="2">
        <v>0.16399999745190141</v>
      </c>
      <c r="J73" s="2">
        <v>0.15000000000000002</v>
      </c>
      <c r="K73" s="2">
        <v>3.3333333333333335E-3</v>
      </c>
      <c r="L73" s="2">
        <v>6.8799999132752365E-2</v>
      </c>
      <c r="M73" s="2">
        <v>0.71158333333333335</v>
      </c>
      <c r="N73" s="2">
        <v>0.69770799984559417</v>
      </c>
      <c r="O73" s="2">
        <v>1</v>
      </c>
      <c r="P73" s="2">
        <v>0.08</v>
      </c>
      <c r="Q73" s="2">
        <v>1</v>
      </c>
      <c r="R73" s="2">
        <v>0.3</v>
      </c>
      <c r="S73" s="2">
        <v>0.3175</v>
      </c>
      <c r="T73" s="2">
        <v>0.76275199999999999</v>
      </c>
      <c r="U73" s="2">
        <v>0.25382181328728937</v>
      </c>
      <c r="V73" s="2">
        <v>0.24259520400000001</v>
      </c>
      <c r="W73" s="2">
        <v>8.0606361065161461E-3</v>
      </c>
      <c r="X73" s="2">
        <v>0.5</v>
      </c>
      <c r="Y73" s="2">
        <v>6.468703783605248E-2</v>
      </c>
      <c r="Z73" s="2">
        <v>6.4317113546627294E-2</v>
      </c>
      <c r="AA73" s="2">
        <v>5.0000000000000044E-3</v>
      </c>
      <c r="AB73" s="2">
        <v>0</v>
      </c>
      <c r="AC73" s="2">
        <v>0</v>
      </c>
      <c r="AD73" s="2">
        <v>0.50012800509138811</v>
      </c>
      <c r="AE73" s="16">
        <f t="shared" si="1"/>
        <v>0.3358047597269298</v>
      </c>
      <c r="AF73" s="2" t="e">
        <v>#N/A</v>
      </c>
      <c r="AG73" s="2" t="e">
        <v>#N/A</v>
      </c>
      <c r="AH73" s="2" t="e">
        <v>#N/A</v>
      </c>
      <c r="AI73" s="2" t="e">
        <v>#N/A</v>
      </c>
      <c r="AJ73" s="2" t="e">
        <v>#N/A</v>
      </c>
      <c r="AK73" s="2" t="e">
        <v>#N/A</v>
      </c>
      <c r="AL73" s="2" t="e">
        <v>#N/A</v>
      </c>
      <c r="AM73" s="2">
        <v>0.59116705310728723</v>
      </c>
      <c r="AN73" s="2">
        <v>0.67243378316271452</v>
      </c>
      <c r="AO73" s="2">
        <v>0.57225444392740765</v>
      </c>
      <c r="AP73" s="2">
        <v>0.67737900525252115</v>
      </c>
      <c r="AQ73" s="2">
        <v>0.76421257142857146</v>
      </c>
      <c r="AR73" s="2">
        <v>0.52505146924549362</v>
      </c>
      <c r="AS73" s="2" t="e">
        <v>#N/A</v>
      </c>
    </row>
    <row r="74" spans="1:45">
      <c r="A74" s="13" t="s">
        <v>259</v>
      </c>
      <c r="B74" s="14" t="s">
        <v>115</v>
      </c>
      <c r="C74" s="20">
        <v>60.1</v>
      </c>
      <c r="D74" s="21">
        <v>4720</v>
      </c>
      <c r="E74" s="22">
        <v>8.4600000000000009</v>
      </c>
      <c r="F74" s="23">
        <v>0.7</v>
      </c>
      <c r="G74" s="2">
        <v>0.82895636317907451</v>
      </c>
      <c r="H74" s="2">
        <v>2.6349999999999998E-2</v>
      </c>
      <c r="I74" s="2">
        <v>9.7599999159574513E-2</v>
      </c>
      <c r="J74" s="2">
        <v>0.30000000000000004</v>
      </c>
      <c r="K74" s="2">
        <v>8.4000000000000005E-2</v>
      </c>
      <c r="L74" s="2">
        <v>0.22239999927580356</v>
      </c>
      <c r="M74" s="2">
        <v>0.49525000000000002</v>
      </c>
      <c r="N74" s="2">
        <v>0.51469599988609549</v>
      </c>
      <c r="O74" s="2">
        <v>0.84666037735849997</v>
      </c>
      <c r="P74" s="2">
        <v>0.02</v>
      </c>
      <c r="Q74" s="2">
        <v>0.59359999924898155</v>
      </c>
      <c r="R74" s="2">
        <v>0.42919999867677694</v>
      </c>
      <c r="S74" s="2">
        <v>0.22499999999999998</v>
      </c>
      <c r="T74" s="2">
        <v>0.76600000000000001</v>
      </c>
      <c r="U74" s="2">
        <v>0.34956753044962885</v>
      </c>
      <c r="V74" s="2">
        <v>0.54479418800000001</v>
      </c>
      <c r="W74" s="2">
        <v>2.3368542159428438E-2</v>
      </c>
      <c r="X74" s="2">
        <v>0.12619722533151048</v>
      </c>
      <c r="Y74" s="2">
        <v>2.0877355243907183E-2</v>
      </c>
      <c r="Z74" s="2">
        <v>1.3658502977646401E-2</v>
      </c>
      <c r="AA74" s="2">
        <v>0.19499999999999995</v>
      </c>
      <c r="AB74" s="2">
        <v>0.62</v>
      </c>
      <c r="AC74" s="2">
        <v>8.3986562150055982E-2</v>
      </c>
      <c r="AD74" s="2">
        <v>0.71709999861195683</v>
      </c>
      <c r="AE74" s="16">
        <f t="shared" si="1"/>
        <v>0.33934427673787254</v>
      </c>
      <c r="AF74" s="2">
        <v>0.52500000000000002</v>
      </c>
      <c r="AG74" s="2">
        <v>0.5</v>
      </c>
      <c r="AH74" s="2">
        <v>0.79299999999999993</v>
      </c>
      <c r="AI74" s="2">
        <v>0.93900000000000006</v>
      </c>
      <c r="AJ74" s="2">
        <v>0.6</v>
      </c>
      <c r="AK74" s="2">
        <v>0.70200000000000007</v>
      </c>
      <c r="AL74" s="2">
        <v>0.84</v>
      </c>
      <c r="AM74" s="2">
        <v>0.35450696159341105</v>
      </c>
      <c r="AN74" s="2">
        <v>0.43511414751701177</v>
      </c>
      <c r="AO74" s="2">
        <v>0.38104091287506542</v>
      </c>
      <c r="AP74" s="2">
        <v>1</v>
      </c>
      <c r="AQ74" s="2">
        <v>0.23786109176792947</v>
      </c>
      <c r="AR74" s="2">
        <v>0.27860244832864223</v>
      </c>
      <c r="AS74" s="2">
        <v>0.54299999999999993</v>
      </c>
    </row>
    <row r="75" spans="1:45">
      <c r="A75" s="13" t="s">
        <v>260</v>
      </c>
      <c r="B75" s="14" t="s">
        <v>147</v>
      </c>
      <c r="C75" s="20">
        <v>44.9</v>
      </c>
      <c r="D75" s="21">
        <v>1048</v>
      </c>
      <c r="E75" s="22">
        <v>6.95</v>
      </c>
      <c r="F75" s="23">
        <v>0.44</v>
      </c>
      <c r="G75" s="2">
        <v>1</v>
      </c>
      <c r="H75" s="2">
        <v>7.1679999999999999E-3</v>
      </c>
      <c r="I75" s="2">
        <v>0.31839999936521057</v>
      </c>
      <c r="J75" s="2">
        <v>0.30000000000000004</v>
      </c>
      <c r="K75" s="2">
        <v>0.32</v>
      </c>
      <c r="L75" s="2">
        <v>0.81759999983012677</v>
      </c>
      <c r="M75" s="2">
        <v>0.62008333333333332</v>
      </c>
      <c r="N75" s="2">
        <v>0.65730799985453492</v>
      </c>
      <c r="O75" s="2">
        <v>0.9974340277778333</v>
      </c>
      <c r="P75" s="2">
        <v>0.14000000000000001</v>
      </c>
      <c r="Q75" s="2">
        <v>0.20139999974519016</v>
      </c>
      <c r="R75" s="2">
        <v>0.75919999934732918</v>
      </c>
      <c r="S75" s="2">
        <v>0.20749999999999999</v>
      </c>
      <c r="T75" s="2">
        <v>0.99039999999999995</v>
      </c>
      <c r="U75" s="2">
        <v>0.58983211603924679</v>
      </c>
      <c r="V75" s="2">
        <v>0.83774834399999998</v>
      </c>
      <c r="W75" s="2">
        <v>0.15750855632214264</v>
      </c>
      <c r="X75" s="2">
        <v>0.98262141685525772</v>
      </c>
      <c r="Y75" s="2">
        <v>1.7244564853889397E-2</v>
      </c>
      <c r="Z75" s="2">
        <v>7.9528671305662296E-2</v>
      </c>
      <c r="AA75" s="2">
        <v>0.79800000000000004</v>
      </c>
      <c r="AB75" s="2">
        <v>0.36</v>
      </c>
      <c r="AC75" s="2">
        <v>1.2209018394921048E-2</v>
      </c>
      <c r="AD75" s="2">
        <v>0.91580600002044699</v>
      </c>
      <c r="AE75" s="16">
        <f t="shared" si="1"/>
        <v>0.50362466862688016</v>
      </c>
      <c r="AF75" s="2">
        <v>0.43700000000000006</v>
      </c>
      <c r="AG75" s="2">
        <v>0.4</v>
      </c>
      <c r="AH75" s="2">
        <v>0.69900000000000007</v>
      </c>
      <c r="AI75" s="2">
        <v>0.93099999999999994</v>
      </c>
      <c r="AJ75" s="2">
        <v>0.4</v>
      </c>
      <c r="AK75" s="2">
        <v>0.57399999999999995</v>
      </c>
      <c r="AL75" s="2">
        <v>0.6</v>
      </c>
      <c r="AM75" s="2">
        <v>0.12431400526022714</v>
      </c>
      <c r="AN75" s="2">
        <v>0.21764055054120721</v>
      </c>
      <c r="AO75" s="2">
        <v>0.25699315102945414</v>
      </c>
      <c r="AP75" s="2">
        <v>0.61256024113805407</v>
      </c>
      <c r="AQ75" s="2">
        <v>0.12642020583202371</v>
      </c>
      <c r="AR75" s="2">
        <v>0.1814902588613661</v>
      </c>
      <c r="AS75" s="2">
        <v>0.78</v>
      </c>
    </row>
    <row r="76" spans="1:45">
      <c r="A76" s="13" t="s">
        <v>261</v>
      </c>
      <c r="B76" s="14" t="s">
        <v>156</v>
      </c>
      <c r="C76" s="20">
        <v>45.4</v>
      </c>
      <c r="D76" s="21">
        <v>1071</v>
      </c>
      <c r="E76" s="22">
        <v>6.98</v>
      </c>
      <c r="F76" s="23">
        <v>0.4</v>
      </c>
      <c r="G76" s="2">
        <v>7.2205805439330542E-2</v>
      </c>
      <c r="H76" s="2">
        <v>6.7739999747648836E-3</v>
      </c>
      <c r="I76" s="2">
        <v>0.41439999945461747</v>
      </c>
      <c r="J76" s="2">
        <v>0.30000000000000004</v>
      </c>
      <c r="K76" s="2">
        <v>0.58199999999999996</v>
      </c>
      <c r="L76" s="2">
        <v>0.79839999981224541</v>
      </c>
      <c r="M76" s="2">
        <v>0.62008333333333332</v>
      </c>
      <c r="N76" s="2">
        <v>0.70780799984335896</v>
      </c>
      <c r="O76" s="2">
        <v>1</v>
      </c>
      <c r="P76" s="2">
        <v>0.06</v>
      </c>
      <c r="Q76" s="2">
        <v>0.20139999974519016</v>
      </c>
      <c r="R76" s="2">
        <v>0.43199999928474425</v>
      </c>
      <c r="S76" s="2">
        <v>0.20749999999999999</v>
      </c>
      <c r="T76" s="2">
        <v>0.97440000000000004</v>
      </c>
      <c r="U76" s="2">
        <v>0.78178996987655847</v>
      </c>
      <c r="V76" s="2">
        <v>0.94984646800000005</v>
      </c>
      <c r="W76" s="2">
        <v>0.42387523036619457</v>
      </c>
      <c r="X76" s="2">
        <v>1</v>
      </c>
      <c r="Y76" s="2">
        <v>0.19435727150643195</v>
      </c>
      <c r="Z76" s="2">
        <v>0.26108433765315697</v>
      </c>
      <c r="AA76" s="2">
        <v>0.88500000000000001</v>
      </c>
      <c r="AB76" s="2">
        <v>0</v>
      </c>
      <c r="AC76" s="2">
        <v>5.3342816500711238E-2</v>
      </c>
      <c r="AD76" s="2">
        <v>0.76530399454878772</v>
      </c>
      <c r="AE76" s="16">
        <f t="shared" si="1"/>
        <v>0.48714880105580938</v>
      </c>
      <c r="AF76" s="2">
        <v>0.23399999999999999</v>
      </c>
      <c r="AG76" s="2">
        <v>0.3</v>
      </c>
      <c r="AH76" s="2">
        <v>0.8859999999999999</v>
      </c>
      <c r="AI76" s="2">
        <v>0.47299999999999998</v>
      </c>
      <c r="AJ76" s="2">
        <v>0.3</v>
      </c>
      <c r="AK76" s="2">
        <v>0.67</v>
      </c>
      <c r="AL76" s="2">
        <v>0.58200000000000007</v>
      </c>
      <c r="AM76" s="2">
        <v>0.40328546135063947</v>
      </c>
      <c r="AN76" s="2">
        <v>0.34997200960820107</v>
      </c>
      <c r="AO76" s="2">
        <v>0.27741710949930737</v>
      </c>
      <c r="AP76" s="2">
        <v>0.38266709967876</v>
      </c>
      <c r="AQ76" s="2">
        <v>3.7465948644248501E-2</v>
      </c>
      <c r="AR76" s="2">
        <v>0.22706740874154865</v>
      </c>
      <c r="AS76" s="2">
        <v>0.52500000000000002</v>
      </c>
    </row>
    <row r="77" spans="1:45">
      <c r="A77" s="13" t="s">
        <v>262</v>
      </c>
      <c r="B77" s="14" t="s">
        <v>162</v>
      </c>
      <c r="C77" s="20">
        <v>54.7</v>
      </c>
      <c r="D77" s="21">
        <v>3240</v>
      </c>
      <c r="E77" s="22">
        <v>8.08</v>
      </c>
      <c r="F77" s="23">
        <v>0.73</v>
      </c>
      <c r="G77" s="2">
        <v>0.6629667816620668</v>
      </c>
      <c r="H77" s="2">
        <v>6.8050000000000003E-3</v>
      </c>
      <c r="I77" s="2">
        <v>9.7599999159574513E-2</v>
      </c>
      <c r="J77" s="2">
        <v>0.32499999999999996</v>
      </c>
      <c r="K77" s="2">
        <v>8.7999999999999995E-2</v>
      </c>
      <c r="L77" s="2">
        <v>0.22239999927580356</v>
      </c>
      <c r="M77" s="2">
        <v>0.52233333333333332</v>
      </c>
      <c r="N77" s="2">
        <v>0.72275599984005101</v>
      </c>
      <c r="O77" s="2">
        <v>0.90534126984133334</v>
      </c>
      <c r="P77" s="2">
        <v>0.3</v>
      </c>
      <c r="Q77" s="2">
        <v>0.37099999953061341</v>
      </c>
      <c r="R77" s="2">
        <v>0.24839999958872791</v>
      </c>
      <c r="S77" s="2">
        <v>0.3175</v>
      </c>
      <c r="T77" s="2">
        <v>0.87</v>
      </c>
      <c r="U77" s="2">
        <v>0.41158259392201924</v>
      </c>
      <c r="V77" s="2">
        <v>0.39390862999999998</v>
      </c>
      <c r="W77" s="2">
        <v>0.31148003931706808</v>
      </c>
      <c r="X77" s="2">
        <v>0.1689349241947696</v>
      </c>
      <c r="Y77" s="2">
        <v>3.7247819623189168E-2</v>
      </c>
      <c r="Z77" s="2">
        <v>0.54630976702912604</v>
      </c>
      <c r="AA77" s="2">
        <v>0.22499999999999998</v>
      </c>
      <c r="AB77" s="2">
        <v>0</v>
      </c>
      <c r="AC77" s="2">
        <v>7.6200152400304798E-3</v>
      </c>
      <c r="AD77" s="2">
        <v>0.93931999892327478</v>
      </c>
      <c r="AE77" s="16">
        <f t="shared" si="1"/>
        <v>0.36256275710337427</v>
      </c>
      <c r="AF77" s="2">
        <v>0.63400000000000001</v>
      </c>
      <c r="AG77" s="2">
        <v>0.4</v>
      </c>
      <c r="AH77" s="2">
        <v>0.55899999999999994</v>
      </c>
      <c r="AI77" s="2">
        <v>0.26200000000000001</v>
      </c>
      <c r="AJ77" s="2">
        <v>0.3</v>
      </c>
      <c r="AK77" s="2">
        <v>0.71</v>
      </c>
      <c r="AL77" s="2">
        <v>0.71299999999999997</v>
      </c>
      <c r="AM77" s="2">
        <v>0.39585881695370573</v>
      </c>
      <c r="AN77" s="2">
        <v>0.52176444250398979</v>
      </c>
      <c r="AO77" s="2">
        <v>0.39263022136905162</v>
      </c>
      <c r="AP77" s="2">
        <v>0.36836276036257176</v>
      </c>
      <c r="AQ77" s="2">
        <v>0.1586448128929609</v>
      </c>
      <c r="AR77" s="2">
        <v>0.38242491676214341</v>
      </c>
      <c r="AS77" s="2">
        <v>0.65200000000000002</v>
      </c>
    </row>
    <row r="78" spans="1:45">
      <c r="A78" s="13" t="s">
        <v>263</v>
      </c>
      <c r="B78" s="14" t="s">
        <v>121</v>
      </c>
      <c r="C78" s="20" t="e">
        <v>#N/A</v>
      </c>
      <c r="D78" s="21">
        <v>1151</v>
      </c>
      <c r="E78" s="22">
        <v>7.05</v>
      </c>
      <c r="F78" s="23">
        <v>0.53</v>
      </c>
      <c r="G78" s="2">
        <v>0.16745359477124186</v>
      </c>
      <c r="H78" s="2">
        <v>8.5530000000000009E-2</v>
      </c>
      <c r="I78" s="2">
        <v>0.39519999943673612</v>
      </c>
      <c r="J78" s="2">
        <v>0.17500000000000004</v>
      </c>
      <c r="K78" s="2">
        <v>0.28533333333333333</v>
      </c>
      <c r="L78" s="2">
        <v>0.83679999984800812</v>
      </c>
      <c r="M78" s="2">
        <v>0.71158333333333335</v>
      </c>
      <c r="N78" s="2">
        <v>0.52297799988426275</v>
      </c>
      <c r="O78" s="2">
        <v>1</v>
      </c>
      <c r="P78" s="2">
        <v>0.08</v>
      </c>
      <c r="Q78" s="2">
        <v>0.58299999926239254</v>
      </c>
      <c r="R78" s="2">
        <v>0.64799999892711635</v>
      </c>
      <c r="S78" s="2">
        <v>0.22499999999999998</v>
      </c>
      <c r="T78" s="2">
        <v>0.97560000000000002</v>
      </c>
      <c r="U78" s="2">
        <v>0.5246785550029589</v>
      </c>
      <c r="V78" s="2">
        <v>0.84234930399999997</v>
      </c>
      <c r="W78" s="2">
        <v>0.37830666405227908</v>
      </c>
      <c r="X78" s="2">
        <v>0.27849223664058514</v>
      </c>
      <c r="Y78" s="2">
        <v>5.1016964782746872E-2</v>
      </c>
      <c r="Z78" s="2">
        <v>9.1850650691748303E-2</v>
      </c>
      <c r="AA78" s="2">
        <v>0.61499999999999999</v>
      </c>
      <c r="AB78" s="2">
        <v>0.55000000000000004</v>
      </c>
      <c r="AC78" s="2">
        <v>0.59869375907111755</v>
      </c>
      <c r="AD78" s="2">
        <v>0.80074000525433486</v>
      </c>
      <c r="AE78" s="16">
        <f t="shared" si="1"/>
        <v>0.47594193326217482</v>
      </c>
      <c r="AF78" s="2">
        <v>0.36</v>
      </c>
      <c r="AG78" s="2">
        <v>0.3</v>
      </c>
      <c r="AH78" s="2">
        <v>0.81499999999999995</v>
      </c>
      <c r="AI78" s="2">
        <v>0.91299999999999992</v>
      </c>
      <c r="AJ78" s="2">
        <v>0.3</v>
      </c>
      <c r="AK78" s="2">
        <v>0.67099999999999993</v>
      </c>
      <c r="AL78" s="2">
        <v>0.79099999999999993</v>
      </c>
      <c r="AM78" s="2">
        <v>0.32693400904164893</v>
      </c>
      <c r="AN78" s="2">
        <v>0.38162454701636711</v>
      </c>
      <c r="AO78" s="2">
        <v>0.27782128947157353</v>
      </c>
      <c r="AP78" s="2">
        <v>0.39997532059235852</v>
      </c>
      <c r="AQ78" s="2" t="e">
        <v>#N/A</v>
      </c>
      <c r="AR78" s="2">
        <v>0.2351693929439615</v>
      </c>
      <c r="AS78" s="2">
        <v>0.69200000000000006</v>
      </c>
    </row>
    <row r="79" spans="1:45">
      <c r="A79" s="13" t="s">
        <v>264</v>
      </c>
      <c r="B79" s="14" t="s">
        <v>119</v>
      </c>
      <c r="C79" s="20">
        <v>60.5</v>
      </c>
      <c r="D79" s="21">
        <v>3842</v>
      </c>
      <c r="E79" s="22">
        <v>8.25</v>
      </c>
      <c r="F79" s="23">
        <v>0.73</v>
      </c>
      <c r="G79" s="2">
        <v>0.41525364349775784</v>
      </c>
      <c r="H79" s="2">
        <v>1.2450000000000001E-2</v>
      </c>
      <c r="I79" s="2">
        <v>0.17439999923110006</v>
      </c>
      <c r="J79" s="2">
        <v>0.27500000000000002</v>
      </c>
      <c r="K79" s="2">
        <v>7.0666666666666669E-2</v>
      </c>
      <c r="L79" s="2">
        <v>0.31839999936521057</v>
      </c>
      <c r="M79" s="2">
        <v>0.49525000000000002</v>
      </c>
      <c r="N79" s="2">
        <v>0.52176599988453087</v>
      </c>
      <c r="O79" s="2">
        <v>0.82044859201050002</v>
      </c>
      <c r="P79" s="2">
        <v>0.1</v>
      </c>
      <c r="Q79" s="2">
        <v>0.49819999936968085</v>
      </c>
      <c r="R79" s="2">
        <v>0.15119999974966047</v>
      </c>
      <c r="S79" s="2">
        <v>0.3175</v>
      </c>
      <c r="T79" s="2">
        <v>0.90159999999999996</v>
      </c>
      <c r="U79" s="2">
        <v>0.31383586212366821</v>
      </c>
      <c r="V79" s="2">
        <v>0.32271762199999998</v>
      </c>
      <c r="W79" s="2">
        <v>7.9590914155586182E-2</v>
      </c>
      <c r="X79" s="2">
        <v>0.10882521640644488</v>
      </c>
      <c r="Y79" s="2">
        <v>5.6285481636305333E-2</v>
      </c>
      <c r="Z79" s="2">
        <v>4.6211245771682702E-2</v>
      </c>
      <c r="AA79" s="2">
        <v>0.29700000000000004</v>
      </c>
      <c r="AB79" s="2">
        <v>0.71</v>
      </c>
      <c r="AC79" s="2">
        <v>0.14746626150683706</v>
      </c>
      <c r="AD79" s="2">
        <v>0.83272000229524401</v>
      </c>
      <c r="AE79" s="16">
        <f t="shared" si="1"/>
        <v>0.33278281273628652</v>
      </c>
      <c r="AF79" s="2">
        <v>0.63</v>
      </c>
      <c r="AG79" s="2">
        <v>0.6</v>
      </c>
      <c r="AH79" s="2">
        <v>0.84699999999999998</v>
      </c>
      <c r="AI79" s="2">
        <v>0.73499999999999999</v>
      </c>
      <c r="AJ79" s="2">
        <v>0.6</v>
      </c>
      <c r="AK79" s="2">
        <v>0.70200000000000007</v>
      </c>
      <c r="AL79" s="2">
        <v>0.83700000000000008</v>
      </c>
      <c r="AM79" s="2">
        <v>0.44572870310939799</v>
      </c>
      <c r="AN79" s="2">
        <v>0.40811688732661561</v>
      </c>
      <c r="AO79" s="2">
        <v>0.32341034680278202</v>
      </c>
      <c r="AP79" s="2">
        <v>1</v>
      </c>
      <c r="AQ79" s="2">
        <v>0.2558165488096763</v>
      </c>
      <c r="AR79" s="2">
        <v>0.32740515016260213</v>
      </c>
      <c r="AS79" s="2">
        <v>0.316</v>
      </c>
    </row>
    <row r="80" spans="1:45">
      <c r="A80" s="13" t="s">
        <v>265</v>
      </c>
      <c r="B80" s="14" t="s">
        <v>64</v>
      </c>
      <c r="C80" s="20">
        <v>75.400000000000006</v>
      </c>
      <c r="D80" s="21">
        <v>20312</v>
      </c>
      <c r="E80" s="22">
        <v>9.92</v>
      </c>
      <c r="F80" s="23">
        <v>0.88</v>
      </c>
      <c r="G80" s="2">
        <v>8.5789501231527093E-2</v>
      </c>
      <c r="H80" s="2">
        <v>5.9124999879859391E-2</v>
      </c>
      <c r="I80" s="2">
        <v>3.9999999105930328E-2</v>
      </c>
      <c r="J80" s="2">
        <v>0.625</v>
      </c>
      <c r="K80" s="2">
        <v>0</v>
      </c>
      <c r="L80" s="2">
        <v>3.9999999105930328E-2</v>
      </c>
      <c r="M80" s="2">
        <v>0.23600000000000002</v>
      </c>
      <c r="N80" s="2">
        <v>0.32420999992825089</v>
      </c>
      <c r="O80" s="2">
        <v>0.82924602901577138</v>
      </c>
      <c r="P80" s="2">
        <v>0.2</v>
      </c>
      <c r="Q80" s="2">
        <v>5.2999999932944776E-2</v>
      </c>
      <c r="R80" s="2">
        <v>0</v>
      </c>
      <c r="S80" s="2">
        <v>0.87499999999999989</v>
      </c>
      <c r="T80" s="2">
        <v>0.49903999999999993</v>
      </c>
      <c r="U80" s="2">
        <v>0.27902673038393289</v>
      </c>
      <c r="V80" s="2">
        <v>4.4755244E-2</v>
      </c>
      <c r="W80" s="2">
        <v>0</v>
      </c>
      <c r="X80" s="2">
        <v>4.7595160559083284E-3</v>
      </c>
      <c r="Y80" s="2">
        <v>0</v>
      </c>
      <c r="Z80" s="2">
        <v>0</v>
      </c>
      <c r="AA80" s="2">
        <v>0</v>
      </c>
      <c r="AB80" s="2">
        <v>0.56999999999999995</v>
      </c>
      <c r="AC80" s="2">
        <v>0.11717442249748912</v>
      </c>
      <c r="AD80" s="2">
        <v>0.63855999966338284</v>
      </c>
      <c r="AE80" s="16">
        <f t="shared" si="1"/>
        <v>0.23002860170003867</v>
      </c>
      <c r="AF80" s="2">
        <v>0.76800000000000002</v>
      </c>
      <c r="AG80" s="2">
        <v>0.7</v>
      </c>
      <c r="AH80" s="2">
        <v>0.68599999999999994</v>
      </c>
      <c r="AI80" s="2">
        <v>0.25900000000000001</v>
      </c>
      <c r="AJ80" s="2">
        <v>0.75</v>
      </c>
      <c r="AK80" s="2">
        <v>0.74099999999999999</v>
      </c>
      <c r="AL80" s="2">
        <v>0.875</v>
      </c>
      <c r="AM80" s="2">
        <v>0.61868963859530146</v>
      </c>
      <c r="AN80" s="2">
        <v>0.69938667370946317</v>
      </c>
      <c r="AO80" s="2">
        <v>0.59190102799417077</v>
      </c>
      <c r="AP80" s="2">
        <v>1</v>
      </c>
      <c r="AQ80" s="2">
        <v>0.89166473225899889</v>
      </c>
      <c r="AR80" s="2">
        <v>0.66184516700785578</v>
      </c>
      <c r="AS80" s="2">
        <v>0.67599999999999993</v>
      </c>
    </row>
    <row r="81" spans="1:45">
      <c r="A81" s="13" t="s">
        <v>266</v>
      </c>
      <c r="B81" s="14" t="s">
        <v>12</v>
      </c>
      <c r="C81" s="20">
        <v>78.7</v>
      </c>
      <c r="D81" s="21">
        <v>36795</v>
      </c>
      <c r="E81" s="22">
        <v>10.51</v>
      </c>
      <c r="F81" s="23">
        <v>0.97</v>
      </c>
      <c r="G81" s="2">
        <v>0.60381584158415857</v>
      </c>
      <c r="H81" s="2">
        <v>1.068099997829646E-3</v>
      </c>
      <c r="I81" s="2">
        <v>3.9999999105930328E-2</v>
      </c>
      <c r="J81" s="2">
        <v>0.42500000000000004</v>
      </c>
      <c r="K81" s="2">
        <v>0</v>
      </c>
      <c r="L81" s="2">
        <v>3.9999999105930328E-2</v>
      </c>
      <c r="M81" s="2">
        <v>0.44466666666666665</v>
      </c>
      <c r="N81" s="2">
        <v>7.7971999982744455E-2</v>
      </c>
      <c r="O81" s="2">
        <v>1</v>
      </c>
      <c r="P81" s="2">
        <v>0.3</v>
      </c>
      <c r="Q81" s="2">
        <v>1</v>
      </c>
      <c r="R81" s="2">
        <v>0</v>
      </c>
      <c r="S81" s="2">
        <v>6.7499999999999991E-2</v>
      </c>
      <c r="T81" s="2">
        <v>2.6079999999999992E-2</v>
      </c>
      <c r="U81" s="2">
        <v>0.13375765707790865</v>
      </c>
      <c r="V81" s="2">
        <v>9.3994778000000001E-2</v>
      </c>
      <c r="W81" s="2">
        <v>0</v>
      </c>
      <c r="X81" s="2">
        <v>2.7712513376176038E-3</v>
      </c>
      <c r="Y81" s="2">
        <v>5.0171683975983053E-2</v>
      </c>
      <c r="Z81" s="2">
        <v>0.17163011571269601</v>
      </c>
      <c r="AA81" s="2">
        <v>0</v>
      </c>
      <c r="AB81" s="2">
        <v>0.77</v>
      </c>
      <c r="AC81" s="2">
        <v>0</v>
      </c>
      <c r="AD81" s="2">
        <v>0.64824034303239819</v>
      </c>
      <c r="AE81" s="16">
        <f t="shared" si="1"/>
        <v>0.24569451814916099</v>
      </c>
      <c r="AF81" s="2">
        <v>0.93</v>
      </c>
      <c r="AG81" s="2">
        <v>0.6</v>
      </c>
      <c r="AH81" s="2">
        <v>0.754</v>
      </c>
      <c r="AI81" s="2">
        <v>0.45799999999999996</v>
      </c>
      <c r="AJ81" s="2">
        <v>0.65</v>
      </c>
      <c r="AK81" s="2">
        <v>0.69900000000000007</v>
      </c>
      <c r="AL81" s="2">
        <v>0.879</v>
      </c>
      <c r="AM81" s="2">
        <v>0.73897714944990212</v>
      </c>
      <c r="AN81" s="2">
        <v>0.7910657238494303</v>
      </c>
      <c r="AO81" s="2">
        <v>0.90700144495673141</v>
      </c>
      <c r="AP81" s="2">
        <v>1</v>
      </c>
      <c r="AQ81" s="2">
        <v>1</v>
      </c>
      <c r="AR81" s="2">
        <v>0.839878907954559</v>
      </c>
      <c r="AS81" s="2">
        <v>0.60799999999999998</v>
      </c>
    </row>
    <row r="82" spans="1:45">
      <c r="A82" s="13" t="s">
        <v>267</v>
      </c>
      <c r="B82" s="14" t="s">
        <v>159</v>
      </c>
      <c r="C82" s="20">
        <v>53.6</v>
      </c>
      <c r="D82" s="21">
        <v>3296</v>
      </c>
      <c r="E82" s="22">
        <v>8.1</v>
      </c>
      <c r="F82" s="23">
        <v>0.61</v>
      </c>
      <c r="G82" s="2">
        <v>1</v>
      </c>
      <c r="H82" s="2">
        <v>0</v>
      </c>
      <c r="I82" s="2">
        <v>0.1551999992132187</v>
      </c>
      <c r="J82" s="2">
        <v>0.30000000000000004</v>
      </c>
      <c r="K82" s="2">
        <v>0.21066666666666667</v>
      </c>
      <c r="L82" s="2">
        <v>0.7023999997228384</v>
      </c>
      <c r="M82" s="2">
        <v>0.6825</v>
      </c>
      <c r="N82" s="2">
        <v>0.70881799984313543</v>
      </c>
      <c r="O82" s="2">
        <v>0.43856067276565125</v>
      </c>
      <c r="P82" s="2">
        <v>1</v>
      </c>
      <c r="Q82" s="2">
        <v>1.0599999986588955E-2</v>
      </c>
      <c r="R82" s="2">
        <v>1</v>
      </c>
      <c r="S82" s="2">
        <v>0.44999999999999996</v>
      </c>
      <c r="T82" s="2">
        <v>0.90007999999999999</v>
      </c>
      <c r="U82" s="2">
        <v>0.47662095495820178</v>
      </c>
      <c r="V82" s="2">
        <v>0.63295553599999999</v>
      </c>
      <c r="W82" s="2">
        <v>1.1457939129364308E-2</v>
      </c>
      <c r="X82" s="2">
        <v>0.18297242948270184</v>
      </c>
      <c r="Y82" s="2">
        <v>2.5453535405301771E-2</v>
      </c>
      <c r="Z82" s="2">
        <v>6.2694538166016806E-2</v>
      </c>
      <c r="AA82" s="2">
        <v>0.35499999999999998</v>
      </c>
      <c r="AB82" s="2">
        <v>0.35</v>
      </c>
      <c r="AC82" s="2">
        <v>2.5729939896205759E-2</v>
      </c>
      <c r="AD82" s="2">
        <v>0.52632967018286014</v>
      </c>
      <c r="AE82" s="16">
        <f t="shared" si="1"/>
        <v>0.42533499505911471</v>
      </c>
      <c r="AF82" s="2">
        <v>0.36299999999999999</v>
      </c>
      <c r="AG82" s="2">
        <v>0.4</v>
      </c>
      <c r="AH82" s="2">
        <v>0.7340000000000001</v>
      </c>
      <c r="AI82" s="2">
        <v>0.7609999999999999</v>
      </c>
      <c r="AJ82" s="2">
        <v>0.35</v>
      </c>
      <c r="AK82" s="2">
        <v>0.67500000000000004</v>
      </c>
      <c r="AL82" s="2">
        <v>0.67900000000000005</v>
      </c>
      <c r="AM82" s="2">
        <v>0.26479032885753834</v>
      </c>
      <c r="AN82" s="2">
        <v>0.59255845827353359</v>
      </c>
      <c r="AO82" s="2">
        <v>0.4355429906040203</v>
      </c>
      <c r="AP82" s="2">
        <v>0.49993520869475783</v>
      </c>
      <c r="AQ82" s="2">
        <v>0.18102560311541332</v>
      </c>
      <c r="AR82" s="2">
        <v>0.50972223404268724</v>
      </c>
      <c r="AS82" s="2">
        <v>0.57700000000000007</v>
      </c>
    </row>
    <row r="83" spans="1:45">
      <c r="A83" s="13" t="s">
        <v>268</v>
      </c>
      <c r="B83" s="14" t="s">
        <v>107</v>
      </c>
      <c r="C83" s="20">
        <v>62.6</v>
      </c>
      <c r="D83" s="21">
        <v>4199</v>
      </c>
      <c r="E83" s="22">
        <v>8.34</v>
      </c>
      <c r="F83" s="23">
        <v>0.73</v>
      </c>
      <c r="G83" s="2">
        <v>6.9100988210818295E-2</v>
      </c>
      <c r="H83" s="2">
        <v>5.6120000000000003E-2</v>
      </c>
      <c r="I83" s="2">
        <v>0.23199999928474424</v>
      </c>
      <c r="J83" s="2">
        <v>0.125</v>
      </c>
      <c r="K83" s="2">
        <v>8.666666666666667E-2</v>
      </c>
      <c r="L83" s="2">
        <v>0.50079999953508381</v>
      </c>
      <c r="M83" s="2">
        <v>0.41483333333333333</v>
      </c>
      <c r="N83" s="2">
        <v>0.47894199989400804</v>
      </c>
      <c r="O83" s="2">
        <v>0.52210044439674363</v>
      </c>
      <c r="P83" s="2">
        <v>0.06</v>
      </c>
      <c r="Q83" s="2">
        <v>0.14839999981224539</v>
      </c>
      <c r="R83" s="2">
        <v>0.9803999973088503</v>
      </c>
      <c r="S83" s="2">
        <v>7.4999999999999997E-2</v>
      </c>
      <c r="T83" s="2">
        <v>0.89535999999999993</v>
      </c>
      <c r="U83" s="2">
        <v>0.34076877922192272</v>
      </c>
      <c r="V83" s="2">
        <v>0.50780437</v>
      </c>
      <c r="W83" s="2">
        <v>1.8342910481040631E-2</v>
      </c>
      <c r="X83" s="2">
        <v>0.139408469340153</v>
      </c>
      <c r="Y83" s="2">
        <v>9.3275490516031942E-2</v>
      </c>
      <c r="Z83" s="2">
        <v>0.19620963744431999</v>
      </c>
      <c r="AA83" s="2">
        <v>0.35499999999999998</v>
      </c>
      <c r="AB83" s="2">
        <v>0</v>
      </c>
      <c r="AC83" s="2">
        <v>3.3120442489111654E-2</v>
      </c>
      <c r="AD83" s="2">
        <v>0.43257765063954678</v>
      </c>
      <c r="AE83" s="16">
        <f t="shared" si="1"/>
        <v>0.28171796577394242</v>
      </c>
      <c r="AF83" s="2">
        <v>0.53100000000000003</v>
      </c>
      <c r="AG83" s="2">
        <v>0.4</v>
      </c>
      <c r="AH83" s="2">
        <v>0.81900000000000006</v>
      </c>
      <c r="AI83" s="2">
        <v>0.8909999999999999</v>
      </c>
      <c r="AJ83" s="2">
        <v>0.35</v>
      </c>
      <c r="AK83" s="2">
        <v>0.70799999999999996</v>
      </c>
      <c r="AL83" s="2">
        <v>0.77900000000000003</v>
      </c>
      <c r="AM83" s="2">
        <v>0.37286946779469771</v>
      </c>
      <c r="AN83" s="2">
        <v>0.48959980652055829</v>
      </c>
      <c r="AO83" s="2">
        <v>0.35993111321114585</v>
      </c>
      <c r="AP83" s="2">
        <v>0.76173594347142315</v>
      </c>
      <c r="AQ83" s="2">
        <v>0.33236393150361093</v>
      </c>
      <c r="AR83" s="2">
        <v>0.38916791180950372</v>
      </c>
      <c r="AS83" s="2">
        <v>0.50800000000000001</v>
      </c>
    </row>
    <row r="84" spans="1:45">
      <c r="A84" s="13" t="s">
        <v>443</v>
      </c>
      <c r="B84" s="14" t="s">
        <v>63</v>
      </c>
      <c r="C84" s="20">
        <v>60.4</v>
      </c>
      <c r="D84" s="21">
        <v>11558</v>
      </c>
      <c r="E84" s="22">
        <v>9.36</v>
      </c>
      <c r="F84" s="23">
        <v>0.78</v>
      </c>
      <c r="G84" s="2">
        <v>5.9731161971830975E-2</v>
      </c>
      <c r="H84" s="2">
        <v>0.74480999848656348</v>
      </c>
      <c r="I84" s="2">
        <v>0.25599999584257604</v>
      </c>
      <c r="J84" s="2">
        <v>0.625</v>
      </c>
      <c r="K84" s="2">
        <v>0.2</v>
      </c>
      <c r="L84" s="2">
        <v>0.33599999628961086</v>
      </c>
      <c r="M84" s="2">
        <v>0.56741666666666668</v>
      </c>
      <c r="N84" s="2">
        <v>0.31330199993066488</v>
      </c>
      <c r="O84" s="2">
        <v>0.65828986972465331</v>
      </c>
      <c r="P84" s="2">
        <v>0.04</v>
      </c>
      <c r="Q84" s="2">
        <v>0.20139999974519016</v>
      </c>
      <c r="R84" s="2">
        <v>0.1859999991953373</v>
      </c>
      <c r="S84" s="2">
        <v>7.4999999999999997E-2</v>
      </c>
      <c r="T84" s="2">
        <v>0.86480000000000001</v>
      </c>
      <c r="U84" s="2">
        <v>0.32833326701521881</v>
      </c>
      <c r="V84" s="2">
        <v>0.212710766</v>
      </c>
      <c r="W84" s="2">
        <v>4.7186893959557329E-4</v>
      </c>
      <c r="X84" s="2">
        <v>1.7112243445288906E-2</v>
      </c>
      <c r="Y84" s="2">
        <v>1.6313158811002971E-2</v>
      </c>
      <c r="Z84" s="2">
        <v>2.1085371934435899E-2</v>
      </c>
      <c r="AA84" s="2">
        <v>1.5999999999999903E-2</v>
      </c>
      <c r="AB84" s="2">
        <v>0</v>
      </c>
      <c r="AC84" s="2">
        <v>2.6710877774707563E-2</v>
      </c>
      <c r="AD84" s="2">
        <v>0.32566445274934142</v>
      </c>
      <c r="AE84" s="16">
        <f t="shared" si="1"/>
        <v>0.25383965393844515</v>
      </c>
      <c r="AF84" s="2">
        <v>0.69900000000000007</v>
      </c>
      <c r="AG84" s="2">
        <v>0.1</v>
      </c>
      <c r="AH84" s="2">
        <v>0.81099999999999994</v>
      </c>
      <c r="AI84" s="2">
        <v>0.79599999999999993</v>
      </c>
      <c r="AJ84" s="2">
        <v>9.9000000022351736E-2</v>
      </c>
      <c r="AK84" s="2">
        <v>0.54700000000000004</v>
      </c>
      <c r="AL84" s="2">
        <v>0.502</v>
      </c>
      <c r="AM84" s="2">
        <v>0.19939607163812417</v>
      </c>
      <c r="AN84" s="2">
        <v>0.20572301823337388</v>
      </c>
      <c r="AO84" s="2">
        <v>0.3356621556757069</v>
      </c>
      <c r="AP84" s="2">
        <v>0.79296831993763672</v>
      </c>
      <c r="AQ84" s="2">
        <v>0.51602463011650557</v>
      </c>
      <c r="AR84" s="2">
        <v>0.32162263734940294</v>
      </c>
      <c r="AS84" s="2">
        <v>0.55100000000000005</v>
      </c>
    </row>
    <row r="85" spans="1:45">
      <c r="A85" s="13" t="s">
        <v>270</v>
      </c>
      <c r="B85" s="14" t="s">
        <v>68</v>
      </c>
      <c r="C85" s="20" t="e">
        <v>#N/A</v>
      </c>
      <c r="D85" s="21">
        <v>3548</v>
      </c>
      <c r="E85" s="22">
        <v>8.17</v>
      </c>
      <c r="F85" s="23" t="s">
        <v>460</v>
      </c>
      <c r="G85" s="2">
        <v>1</v>
      </c>
      <c r="H85" s="2">
        <v>1</v>
      </c>
      <c r="I85" s="2">
        <v>0.24159999929368492</v>
      </c>
      <c r="J85" s="2">
        <v>0.64999999999999991</v>
      </c>
      <c r="K85" s="2">
        <v>0.25533333333333336</v>
      </c>
      <c r="L85" s="2">
        <v>0.2991999993473291</v>
      </c>
      <c r="M85" s="2">
        <v>0.73658333333333337</v>
      </c>
      <c r="N85" s="2">
        <v>0.33834999992512166</v>
      </c>
      <c r="O85" s="2">
        <v>0.92700000000000005</v>
      </c>
      <c r="P85" s="2">
        <v>0.12</v>
      </c>
      <c r="Q85" s="2">
        <v>1</v>
      </c>
      <c r="R85" s="2">
        <v>0.15119999974966047</v>
      </c>
      <c r="S85" s="2">
        <v>0.78249999999999997</v>
      </c>
      <c r="T85" s="2">
        <v>0.88959999999999995</v>
      </c>
      <c r="U85" s="2">
        <v>0.39575055488288546</v>
      </c>
      <c r="V85" s="2">
        <v>0.29499561000000002</v>
      </c>
      <c r="W85" s="2">
        <v>3.1366376253858484E-2</v>
      </c>
      <c r="X85" s="2">
        <v>8.6817460005364569E-2</v>
      </c>
      <c r="Y85" s="2">
        <v>8.0217657215723964E-2</v>
      </c>
      <c r="Z85" s="2">
        <v>0.115953866963715</v>
      </c>
      <c r="AA85" s="2">
        <v>0.15000000000000002</v>
      </c>
      <c r="AB85" s="2">
        <v>0</v>
      </c>
      <c r="AC85" s="2">
        <v>3.4295905068934766E-3</v>
      </c>
      <c r="AD85" s="2">
        <v>0.30873997159834654</v>
      </c>
      <c r="AE85" s="16">
        <f t="shared" si="1"/>
        <v>0.41077657301705212</v>
      </c>
      <c r="AF85" s="2">
        <v>0.33600000143051145</v>
      </c>
      <c r="AG85" s="2">
        <v>8.4000000357627863E-2</v>
      </c>
      <c r="AH85" s="2">
        <v>8.4000000357627863E-2</v>
      </c>
      <c r="AI85" s="2">
        <v>8.568000036478042E-2</v>
      </c>
      <c r="AJ85" s="2">
        <v>8.4000000357627863E-2</v>
      </c>
      <c r="AK85" s="2" t="e">
        <v>#N/A</v>
      </c>
      <c r="AL85" s="2">
        <v>0.33600000143051145</v>
      </c>
      <c r="AM85" s="2">
        <v>3.8575723119595826E-2</v>
      </c>
      <c r="AN85" s="2">
        <v>0.26816118209764772</v>
      </c>
      <c r="AO85" s="2">
        <v>0.22645141607594593</v>
      </c>
      <c r="AP85" s="2">
        <v>0.68882969879380629</v>
      </c>
      <c r="AQ85" s="2">
        <v>0.19516300630913569</v>
      </c>
      <c r="AR85" s="2">
        <v>0.13754882014882605</v>
      </c>
      <c r="AS85" s="2" t="e">
        <v>#N/A</v>
      </c>
    </row>
    <row r="86" spans="1:45">
      <c r="A86" s="13" t="s">
        <v>271</v>
      </c>
      <c r="B86" s="14" t="s">
        <v>82</v>
      </c>
      <c r="C86" s="20">
        <v>82.2</v>
      </c>
      <c r="D86" s="21">
        <v>40697</v>
      </c>
      <c r="E86" s="22">
        <v>10.61</v>
      </c>
      <c r="F86" s="23">
        <v>0.97</v>
      </c>
      <c r="G86" s="2">
        <v>0.16738239024390247</v>
      </c>
      <c r="H86" s="2">
        <v>0</v>
      </c>
      <c r="I86" s="2">
        <v>3.9999999105930328E-2</v>
      </c>
      <c r="J86" s="2">
        <v>0.19999999999999996</v>
      </c>
      <c r="K86" s="2">
        <v>0</v>
      </c>
      <c r="L86" s="2">
        <v>4.9599999114871007E-2</v>
      </c>
      <c r="M86" s="2">
        <v>0.23600000000000002</v>
      </c>
      <c r="N86" s="2">
        <v>0.3876379999142141</v>
      </c>
      <c r="O86" s="2">
        <v>0.5</v>
      </c>
      <c r="P86" s="2">
        <v>0.66</v>
      </c>
      <c r="Q86" s="2">
        <v>0.476999999396503</v>
      </c>
      <c r="R86" s="2">
        <v>0</v>
      </c>
      <c r="S86" s="2">
        <v>6.7499999999999991E-2</v>
      </c>
      <c r="T86" s="2">
        <v>0.11824000000000001</v>
      </c>
      <c r="U86" s="2">
        <v>0.16674887662083082</v>
      </c>
      <c r="V86" s="2">
        <v>0.129753914</v>
      </c>
      <c r="W86" s="2">
        <v>0</v>
      </c>
      <c r="X86" s="2">
        <v>1.463092798742205E-3</v>
      </c>
      <c r="Y86" s="2">
        <v>4.4979883013078564E-2</v>
      </c>
      <c r="Z86" s="2">
        <v>0.102094065942684</v>
      </c>
      <c r="AA86" s="2">
        <v>0</v>
      </c>
      <c r="AB86" s="2">
        <v>0.9</v>
      </c>
      <c r="AC86" s="2">
        <v>4.3547684714762669E-2</v>
      </c>
      <c r="AD86" s="2">
        <v>3.9999999105930328E-2</v>
      </c>
      <c r="AE86" s="16">
        <f t="shared" si="1"/>
        <v>0.18049782933214373</v>
      </c>
      <c r="AF86" s="2">
        <v>0.92799999999999994</v>
      </c>
      <c r="AG86" s="2">
        <v>0.8</v>
      </c>
      <c r="AH86" s="2">
        <v>0.71099999999999997</v>
      </c>
      <c r="AI86" s="2">
        <v>0.61799999999999999</v>
      </c>
      <c r="AJ86" s="2">
        <v>0.95</v>
      </c>
      <c r="AK86" s="2">
        <v>0.79</v>
      </c>
      <c r="AL86" s="2">
        <v>0.875</v>
      </c>
      <c r="AM86" s="2">
        <v>0.69325868437685723</v>
      </c>
      <c r="AN86" s="2">
        <v>0.77133728926698553</v>
      </c>
      <c r="AO86" s="2">
        <v>0.84135754497262449</v>
      </c>
      <c r="AP86" s="2">
        <v>1</v>
      </c>
      <c r="AQ86" s="2">
        <v>0.79965216074473411</v>
      </c>
      <c r="AR86" s="2">
        <v>0.83913716948816242</v>
      </c>
      <c r="AS86" s="2">
        <v>0.79</v>
      </c>
    </row>
    <row r="87" spans="1:45">
      <c r="A87" s="13" t="s">
        <v>272</v>
      </c>
      <c r="B87" s="14" t="s">
        <v>11</v>
      </c>
      <c r="C87" s="20">
        <v>71.900000000000006</v>
      </c>
      <c r="D87" s="21">
        <v>27656</v>
      </c>
      <c r="E87" s="22">
        <v>10.23</v>
      </c>
      <c r="F87" s="23">
        <v>0.94</v>
      </c>
      <c r="G87" s="2">
        <v>0.5130555555555556</v>
      </c>
      <c r="H87" s="2">
        <v>1</v>
      </c>
      <c r="I87" s="2">
        <v>3.9999999105930328E-2</v>
      </c>
      <c r="J87" s="2">
        <v>0.44999999999999996</v>
      </c>
      <c r="K87" s="2">
        <v>0</v>
      </c>
      <c r="L87" s="2">
        <v>3.9999999105930328E-2</v>
      </c>
      <c r="M87" s="2">
        <v>0.54108333333333336</v>
      </c>
      <c r="N87" s="2">
        <v>8.4031999981403246E-2</v>
      </c>
      <c r="O87" s="2">
        <v>0.26999342388400227</v>
      </c>
      <c r="P87" s="2">
        <v>0.14000000000000001</v>
      </c>
      <c r="Q87" s="2">
        <v>0.82679999895393852</v>
      </c>
      <c r="R87" s="2">
        <v>0</v>
      </c>
      <c r="S87" s="2">
        <v>6.7499999999999991E-2</v>
      </c>
      <c r="T87" s="2">
        <v>0.46335999999999999</v>
      </c>
      <c r="U87" s="2">
        <v>0.14475316928327175</v>
      </c>
      <c r="V87" s="2">
        <v>0.158163266</v>
      </c>
      <c r="W87" s="2">
        <v>0</v>
      </c>
      <c r="X87" s="2">
        <v>5.0770966956353095E-3</v>
      </c>
      <c r="Y87" s="2">
        <v>1.1046744062714104E-2</v>
      </c>
      <c r="Z87" s="2">
        <v>5.3787903926616601E-2</v>
      </c>
      <c r="AA87" s="2">
        <v>0</v>
      </c>
      <c r="AB87" s="2">
        <v>0.85</v>
      </c>
      <c r="AC87" s="2">
        <v>0.13863216266173753</v>
      </c>
      <c r="AD87" s="2">
        <v>3.9999999105930328E-2</v>
      </c>
      <c r="AE87" s="16">
        <f t="shared" si="1"/>
        <v>0.24322019381899998</v>
      </c>
      <c r="AF87" s="2">
        <v>0.66400000000000003</v>
      </c>
      <c r="AG87" s="2">
        <v>0.7</v>
      </c>
      <c r="AH87" s="2">
        <v>0.58399999999999996</v>
      </c>
      <c r="AI87" s="2">
        <v>0.35399999999999998</v>
      </c>
      <c r="AJ87" s="2">
        <v>0.85</v>
      </c>
      <c r="AK87" s="2">
        <v>0.78200000000000003</v>
      </c>
      <c r="AL87" s="2">
        <v>0.878</v>
      </c>
      <c r="AM87" s="2">
        <v>0.21279886697174016</v>
      </c>
      <c r="AN87" s="2">
        <v>0.61474630544096187</v>
      </c>
      <c r="AO87" s="2">
        <v>0.65542486348122053</v>
      </c>
      <c r="AP87" s="2">
        <v>1</v>
      </c>
      <c r="AQ87" s="2">
        <v>0.81914989790574988</v>
      </c>
      <c r="AR87" s="2">
        <v>0.66495105778720931</v>
      </c>
      <c r="AS87" s="2">
        <v>0.65400000000000003</v>
      </c>
    </row>
    <row r="88" spans="1:45">
      <c r="A88" s="13" t="s">
        <v>273</v>
      </c>
      <c r="B88" s="14" t="s">
        <v>62</v>
      </c>
      <c r="C88" s="20">
        <v>74.599999999999994</v>
      </c>
      <c r="D88" s="21">
        <v>32430</v>
      </c>
      <c r="E88" s="22">
        <v>10.39</v>
      </c>
      <c r="F88" s="23">
        <v>0.95</v>
      </c>
      <c r="G88" s="2">
        <v>0.51637460732984286</v>
      </c>
      <c r="H88" s="2">
        <v>0.2369</v>
      </c>
      <c r="I88" s="2">
        <v>3.9999999105930328E-2</v>
      </c>
      <c r="J88" s="2">
        <v>0.47499999999999998</v>
      </c>
      <c r="K88" s="2">
        <v>0</v>
      </c>
      <c r="L88" s="2">
        <v>0</v>
      </c>
      <c r="M88" s="2">
        <v>0.26925000000000004</v>
      </c>
      <c r="N88" s="2">
        <v>0.32077599992901085</v>
      </c>
      <c r="O88" s="2">
        <v>0.54802589936704726</v>
      </c>
      <c r="P88" s="2">
        <v>0.36</v>
      </c>
      <c r="Q88" s="2">
        <v>0.42399999946355821</v>
      </c>
      <c r="R88" s="2">
        <v>0</v>
      </c>
      <c r="S88" s="2">
        <v>6.7499999999999991E-2</v>
      </c>
      <c r="T88" s="2">
        <v>0.39983999999999997</v>
      </c>
      <c r="U88" s="2">
        <v>0.12665197121763361</v>
      </c>
      <c r="V88" s="2">
        <v>8.3550914000000004E-2</v>
      </c>
      <c r="W88" s="2">
        <v>0</v>
      </c>
      <c r="X88" s="2">
        <v>1.7071883385323602E-3</v>
      </c>
      <c r="Y88" s="2">
        <v>6.2864670518158736E-2</v>
      </c>
      <c r="Z88" s="2">
        <v>9.2841981604747201E-2</v>
      </c>
      <c r="AA88" s="2">
        <v>0</v>
      </c>
      <c r="AB88" s="2">
        <v>0.87</v>
      </c>
      <c r="AC88" s="2">
        <v>7.6494186441830425E-2</v>
      </c>
      <c r="AD88" s="2">
        <v>0.13999999687075615</v>
      </c>
      <c r="AE88" s="16">
        <f t="shared" si="1"/>
        <v>0.21299072559112697</v>
      </c>
      <c r="AF88" s="2">
        <v>0.77900000000000003</v>
      </c>
      <c r="AG88" s="2">
        <v>0.6</v>
      </c>
      <c r="AH88" s="2">
        <v>0.55200000000000005</v>
      </c>
      <c r="AI88" s="2">
        <v>0.312</v>
      </c>
      <c r="AJ88" s="2">
        <v>0.75</v>
      </c>
      <c r="AK88" s="2">
        <v>0.79</v>
      </c>
      <c r="AL88" s="2">
        <v>0.875</v>
      </c>
      <c r="AM88" s="2">
        <v>0.60486450111260115</v>
      </c>
      <c r="AN88" s="2">
        <v>0.70597202273570625</v>
      </c>
      <c r="AO88" s="2">
        <v>0.51084613561691972</v>
      </c>
      <c r="AP88" s="2">
        <v>1</v>
      </c>
      <c r="AQ88" s="2">
        <v>0.92155926942969746</v>
      </c>
      <c r="AR88" s="2">
        <v>0.5768837037805572</v>
      </c>
      <c r="AS88" s="2">
        <v>0.58200000000000007</v>
      </c>
    </row>
    <row r="89" spans="1:45">
      <c r="A89" s="13" t="s">
        <v>274</v>
      </c>
      <c r="B89" s="14" t="s">
        <v>104</v>
      </c>
      <c r="C89" s="20">
        <v>63.5</v>
      </c>
      <c r="D89" s="21">
        <v>7633</v>
      </c>
      <c r="E89" s="22">
        <v>8.94</v>
      </c>
      <c r="F89" s="23">
        <v>0.77</v>
      </c>
      <c r="G89" s="2">
        <v>0.28841650992685469</v>
      </c>
      <c r="H89" s="2">
        <v>7.4543999722301954E-2</v>
      </c>
      <c r="I89" s="2">
        <v>9.7599999159574513E-2</v>
      </c>
      <c r="J89" s="2">
        <v>0.15000000000000002</v>
      </c>
      <c r="K89" s="2">
        <v>3.1333333333333331E-2</v>
      </c>
      <c r="L89" s="2">
        <v>0.2031999992579222</v>
      </c>
      <c r="M89" s="2">
        <v>0.71158333333333335</v>
      </c>
      <c r="N89" s="2">
        <v>0.46964999989606437</v>
      </c>
      <c r="O89" s="2">
        <v>0.91453333333333331</v>
      </c>
      <c r="P89" s="2">
        <v>0.1</v>
      </c>
      <c r="Q89" s="2">
        <v>1</v>
      </c>
      <c r="R89" s="2">
        <v>0.3</v>
      </c>
      <c r="S89" s="2">
        <v>0.3175</v>
      </c>
      <c r="T89" s="2">
        <v>0.86599999999999999</v>
      </c>
      <c r="U89" s="2">
        <v>0.32061158895924735</v>
      </c>
      <c r="V89" s="2">
        <v>0.41623036600000002</v>
      </c>
      <c r="W89" s="2">
        <v>1.845507404131581E-2</v>
      </c>
      <c r="X89" s="2">
        <v>5.7642531650445729E-2</v>
      </c>
      <c r="Y89" s="2">
        <v>6.9241615689747987E-2</v>
      </c>
      <c r="Z89" s="2">
        <v>7.8784836407009506E-2</v>
      </c>
      <c r="AA89" s="2">
        <v>7.999999999999996E-2</v>
      </c>
      <c r="AB89" s="2">
        <v>0.89</v>
      </c>
      <c r="AC89" s="2">
        <v>0.27700831024930744</v>
      </c>
      <c r="AD89" s="2">
        <v>0.34048000934206446</v>
      </c>
      <c r="AE89" s="16">
        <f t="shared" si="1"/>
        <v>0.33636728501257723</v>
      </c>
      <c r="AF89" s="2">
        <v>0.87</v>
      </c>
      <c r="AG89" s="2">
        <v>0.6</v>
      </c>
      <c r="AH89" s="2">
        <v>0.748</v>
      </c>
      <c r="AI89" s="2">
        <v>0.61799999999999999</v>
      </c>
      <c r="AJ89" s="2">
        <v>0.85</v>
      </c>
      <c r="AK89" s="2">
        <v>0.68400000000000005</v>
      </c>
      <c r="AL89" s="2">
        <v>0.72199999999999998</v>
      </c>
      <c r="AM89" s="2">
        <v>0.43381127236666661</v>
      </c>
      <c r="AN89" s="2">
        <v>0.60507814694169815</v>
      </c>
      <c r="AO89" s="2">
        <v>0.41299242599853614</v>
      </c>
      <c r="AP89" s="2">
        <v>1</v>
      </c>
      <c r="AQ89" s="2">
        <v>0.33191794316626549</v>
      </c>
      <c r="AR89" s="2">
        <v>0.40316824764073561</v>
      </c>
      <c r="AS89" s="2">
        <v>0.7</v>
      </c>
    </row>
    <row r="90" spans="1:45">
      <c r="A90" s="13" t="s">
        <v>275</v>
      </c>
      <c r="B90" s="14" t="s">
        <v>70</v>
      </c>
      <c r="C90" s="20">
        <v>75.5</v>
      </c>
      <c r="D90" s="21">
        <v>32418</v>
      </c>
      <c r="E90" s="22">
        <v>10.39</v>
      </c>
      <c r="F90" s="23">
        <v>0.96</v>
      </c>
      <c r="G90" s="2">
        <v>0.44775485804416404</v>
      </c>
      <c r="H90" s="2">
        <v>0.2511599990643561</v>
      </c>
      <c r="I90" s="2">
        <v>3.9999999105930328E-2</v>
      </c>
      <c r="J90" s="2">
        <v>0.375</v>
      </c>
      <c r="K90" s="2">
        <v>0</v>
      </c>
      <c r="L90" s="2">
        <v>3.9999999105930328E-2</v>
      </c>
      <c r="M90" s="2">
        <v>0.24566666666666667</v>
      </c>
      <c r="N90" s="2">
        <v>0.33693599992543455</v>
      </c>
      <c r="O90" s="2">
        <v>0.18537884700315499</v>
      </c>
      <c r="P90" s="2">
        <v>0.14000000000000001</v>
      </c>
      <c r="Q90" s="2">
        <v>0.82679999895393852</v>
      </c>
      <c r="R90" s="2">
        <v>0</v>
      </c>
      <c r="S90" s="2">
        <v>0.85</v>
      </c>
      <c r="T90" s="2">
        <v>0.66935999999999996</v>
      </c>
      <c r="U90" s="2">
        <v>0.11431882779151292</v>
      </c>
      <c r="V90" s="2">
        <v>0.22922636199999999</v>
      </c>
      <c r="W90" s="2">
        <v>0</v>
      </c>
      <c r="X90" s="2">
        <v>2.1239581981740709E-3</v>
      </c>
      <c r="Y90" s="2">
        <v>7.192555178211299E-2</v>
      </c>
      <c r="Z90" s="2">
        <v>0.24077713962792199</v>
      </c>
      <c r="AA90" s="2">
        <v>0</v>
      </c>
      <c r="AB90" s="2">
        <v>0.82</v>
      </c>
      <c r="AC90" s="2">
        <v>3.2921810699588473E-2</v>
      </c>
      <c r="AD90" s="2">
        <v>0.25175686816847642</v>
      </c>
      <c r="AE90" s="16">
        <f t="shared" si="1"/>
        <v>0.25712945358905676</v>
      </c>
      <c r="AF90" s="2">
        <v>0.84499999999999997</v>
      </c>
      <c r="AG90" s="2">
        <v>0.5</v>
      </c>
      <c r="AH90" s="2">
        <v>0.67200000000000004</v>
      </c>
      <c r="AI90" s="2">
        <v>0.61099999999999999</v>
      </c>
      <c r="AJ90" s="2">
        <v>0.6</v>
      </c>
      <c r="AK90" s="2">
        <v>0.88800000000000001</v>
      </c>
      <c r="AL90" s="2">
        <v>0.82400000000000007</v>
      </c>
      <c r="AM90" s="2">
        <v>0.68888856877185334</v>
      </c>
      <c r="AN90" s="2">
        <v>0.70429152124380145</v>
      </c>
      <c r="AO90" s="2">
        <v>0.76726924145657827</v>
      </c>
      <c r="AP90" s="2">
        <v>0.99097444362292164</v>
      </c>
      <c r="AQ90" s="2">
        <v>0.79584699502690448</v>
      </c>
      <c r="AR90" s="2">
        <v>0.76036698664448177</v>
      </c>
      <c r="AS90" s="2">
        <v>0.82400000000000007</v>
      </c>
    </row>
    <row r="91" spans="1:45">
      <c r="A91" s="13" t="s">
        <v>276</v>
      </c>
      <c r="B91" s="14" t="s">
        <v>35</v>
      </c>
      <c r="C91" s="20">
        <v>67.5</v>
      </c>
      <c r="D91" s="21">
        <v>5597</v>
      </c>
      <c r="E91" s="22">
        <v>8.6300000000000008</v>
      </c>
      <c r="F91" s="23">
        <v>0.77</v>
      </c>
      <c r="G91" s="2">
        <v>0.42288625776397515</v>
      </c>
      <c r="H91" s="2">
        <v>0.99370000000000003</v>
      </c>
      <c r="I91" s="2">
        <v>7.8399999141693155E-2</v>
      </c>
      <c r="J91" s="2">
        <v>0.5</v>
      </c>
      <c r="K91" s="2">
        <v>3.9333333333333331E-2</v>
      </c>
      <c r="L91" s="2">
        <v>5.9199999123811686E-2</v>
      </c>
      <c r="M91" s="2">
        <v>0.54108333333333336</v>
      </c>
      <c r="N91" s="2">
        <v>0.21755399995185434</v>
      </c>
      <c r="O91" s="2">
        <v>0.90549563430919355</v>
      </c>
      <c r="P91" s="2">
        <v>0.14000000000000001</v>
      </c>
      <c r="Q91" s="2">
        <v>1</v>
      </c>
      <c r="R91" s="2">
        <v>5.7999999821186067E-2</v>
      </c>
      <c r="S91" s="2">
        <v>7.4999999999999997E-2</v>
      </c>
      <c r="T91" s="2">
        <v>0.64280000000000004</v>
      </c>
      <c r="U91" s="2">
        <v>0.3038996279680739</v>
      </c>
      <c r="V91" s="2">
        <v>0.19243986199999999</v>
      </c>
      <c r="W91" s="2">
        <v>1.7436683557441185E-2</v>
      </c>
      <c r="X91" s="2">
        <v>5.1323467735878113E-2</v>
      </c>
      <c r="Y91" s="2">
        <v>6.914763723476438E-5</v>
      </c>
      <c r="Z91" s="2">
        <v>2.8998202182263998E-4</v>
      </c>
      <c r="AA91" s="2">
        <v>9.9999999999988987E-4</v>
      </c>
      <c r="AB91" s="2">
        <v>0.96</v>
      </c>
      <c r="AC91" s="2">
        <v>0</v>
      </c>
      <c r="AD91" s="2">
        <v>3.9999999105930328E-2</v>
      </c>
      <c r="AE91" s="16">
        <f t="shared" si="1"/>
        <v>0.30166297195019837</v>
      </c>
      <c r="AF91" s="2">
        <v>0.65599999999999992</v>
      </c>
      <c r="AG91" s="2">
        <v>0.6</v>
      </c>
      <c r="AH91" s="2">
        <v>0.83</v>
      </c>
      <c r="AI91" s="2">
        <v>0.55100000000000005</v>
      </c>
      <c r="AJ91" s="2">
        <v>0.65</v>
      </c>
      <c r="AK91" s="2">
        <v>0.73199999999999998</v>
      </c>
      <c r="AL91" s="2">
        <v>0.78799999999999992</v>
      </c>
      <c r="AM91" s="2">
        <v>0.45514112974950383</v>
      </c>
      <c r="AN91" s="2">
        <v>0.33188061466156454</v>
      </c>
      <c r="AO91" s="2">
        <v>0.55247492773483808</v>
      </c>
      <c r="AP91" s="2">
        <v>1</v>
      </c>
      <c r="AQ91" s="2">
        <v>0.55754550909068323</v>
      </c>
      <c r="AR91" s="2">
        <v>0.57498278159109639</v>
      </c>
      <c r="AS91" s="2">
        <v>0.74199999999999999</v>
      </c>
    </row>
    <row r="92" spans="1:45">
      <c r="A92" s="13" t="s">
        <v>277</v>
      </c>
      <c r="B92" s="14" t="s">
        <v>92</v>
      </c>
      <c r="C92" s="20">
        <v>67.2</v>
      </c>
      <c r="D92" s="21">
        <v>11510</v>
      </c>
      <c r="E92" s="22">
        <v>9.35</v>
      </c>
      <c r="F92" s="23">
        <v>0.8</v>
      </c>
      <c r="G92" s="2">
        <v>0.35263255813953481</v>
      </c>
      <c r="H92" s="2">
        <v>0.34727999870628118</v>
      </c>
      <c r="I92" s="2">
        <v>8.7999999150633834E-2</v>
      </c>
      <c r="J92" s="2">
        <v>0.8</v>
      </c>
      <c r="K92" s="2">
        <v>0.16600000000000001</v>
      </c>
      <c r="L92" s="2">
        <v>6.8799999132752365E-2</v>
      </c>
      <c r="M92" s="2">
        <v>8.5833333333333421E-3</v>
      </c>
      <c r="N92" s="2">
        <v>0.42197799990661444</v>
      </c>
      <c r="O92" s="2">
        <v>0.99487129221733328</v>
      </c>
      <c r="P92" s="2">
        <v>0.72</v>
      </c>
      <c r="Q92" s="2">
        <v>3.1799999959766866E-2</v>
      </c>
      <c r="R92" s="2">
        <v>8.6399999856948864E-2</v>
      </c>
      <c r="S92" s="2">
        <v>0.87499999999999989</v>
      </c>
      <c r="T92" s="2">
        <v>0.37663999999999997</v>
      </c>
      <c r="U92" s="2">
        <v>0.42431078905582453</v>
      </c>
      <c r="V92" s="2">
        <v>0.15384615400000001</v>
      </c>
      <c r="W92" s="2">
        <v>3.3521999578581436E-3</v>
      </c>
      <c r="X92" s="2">
        <v>2.7395674516448421E-2</v>
      </c>
      <c r="Y92" s="2">
        <v>0</v>
      </c>
      <c r="Z92" s="2">
        <v>0</v>
      </c>
      <c r="AA92" s="2">
        <v>0</v>
      </c>
      <c r="AB92" s="2">
        <v>0</v>
      </c>
      <c r="AC92" s="2">
        <v>1.66685187243027E-3</v>
      </c>
      <c r="AD92" s="2">
        <v>0.13715199919641019</v>
      </c>
      <c r="AE92" s="16">
        <f t="shared" si="1"/>
        <v>0.25357120204175709</v>
      </c>
      <c r="AF92" s="2">
        <v>0.73499999999999999</v>
      </c>
      <c r="AG92" s="2">
        <v>0.5</v>
      </c>
      <c r="AH92" s="2">
        <v>0.879</v>
      </c>
      <c r="AI92" s="2">
        <v>0.82099999999999995</v>
      </c>
      <c r="AJ92" s="2">
        <v>0.3</v>
      </c>
      <c r="AK92" s="2">
        <v>0.65599999999999992</v>
      </c>
      <c r="AL92" s="2">
        <v>0.8590000000000001</v>
      </c>
      <c r="AM92" s="2">
        <v>0.62718768726342589</v>
      </c>
      <c r="AN92" s="2">
        <v>0.2948069617063595</v>
      </c>
      <c r="AO92" s="2">
        <v>0.31910122939420571</v>
      </c>
      <c r="AP92" s="2">
        <v>1</v>
      </c>
      <c r="AQ92" s="2">
        <v>0.58153052584558085</v>
      </c>
      <c r="AR92" s="2">
        <v>0.38917018447584634</v>
      </c>
      <c r="AS92" s="2">
        <v>0.83099999999999996</v>
      </c>
    </row>
    <row r="93" spans="1:45">
      <c r="A93" s="13" t="s">
        <v>278</v>
      </c>
      <c r="B93" s="14" t="s">
        <v>176</v>
      </c>
      <c r="C93" s="20">
        <v>48.1</v>
      </c>
      <c r="D93" s="21">
        <v>1573</v>
      </c>
      <c r="E93" s="22">
        <v>7.36</v>
      </c>
      <c r="F93" s="23">
        <v>0.54</v>
      </c>
      <c r="G93" s="2">
        <v>0.92359132469402438</v>
      </c>
      <c r="H93" s="2">
        <v>8.9090000000000003E-2</v>
      </c>
      <c r="I93" s="2">
        <v>0.43359999947249894</v>
      </c>
      <c r="J93" s="2">
        <v>0.22499999999999998</v>
      </c>
      <c r="K93" s="2">
        <v>0.24133333333333334</v>
      </c>
      <c r="L93" s="2">
        <v>0.7023999997228384</v>
      </c>
      <c r="M93" s="2">
        <v>0.24158333333333334</v>
      </c>
      <c r="N93" s="2">
        <v>0.78880999982543287</v>
      </c>
      <c r="O93" s="2">
        <v>0.94400358563091769</v>
      </c>
      <c r="P93" s="2">
        <v>0.46</v>
      </c>
      <c r="Q93" s="2">
        <v>0.26499999966472387</v>
      </c>
      <c r="R93" s="2">
        <v>0.45359999924898153</v>
      </c>
      <c r="S93" s="2">
        <v>0.40749999999999997</v>
      </c>
      <c r="T93" s="2">
        <v>0.94159999999999999</v>
      </c>
      <c r="U93" s="2">
        <v>0.65864116976186726</v>
      </c>
      <c r="V93" s="2">
        <v>0.87825474999999997</v>
      </c>
      <c r="W93" s="2">
        <v>0.3642714248913852</v>
      </c>
      <c r="X93" s="2">
        <v>0.68755778720891869</v>
      </c>
      <c r="Y93" s="2">
        <v>4.1383757508185841E-3</v>
      </c>
      <c r="Z93" s="2">
        <v>9.1353185574827907E-3</v>
      </c>
      <c r="AA93" s="2">
        <v>0.85</v>
      </c>
      <c r="AB93" s="2">
        <v>0.5</v>
      </c>
      <c r="AC93" s="2">
        <v>2.8991109393119444E-2</v>
      </c>
      <c r="AD93" s="2">
        <v>0.87574400058927204</v>
      </c>
      <c r="AE93" s="16">
        <f t="shared" si="1"/>
        <v>0.49891022962828951</v>
      </c>
      <c r="AF93" s="2">
        <v>0.63400000000000001</v>
      </c>
      <c r="AG93" s="2">
        <v>0.5</v>
      </c>
      <c r="AH93" s="2">
        <v>0.78099999999999992</v>
      </c>
      <c r="AI93" s="2">
        <v>0.83099999999999996</v>
      </c>
      <c r="AJ93" s="2">
        <v>0.45</v>
      </c>
      <c r="AK93" s="2">
        <v>0.72699999999999998</v>
      </c>
      <c r="AL93" s="2">
        <v>0.67900000000000005</v>
      </c>
      <c r="AM93" s="2">
        <v>0.24313750078835064</v>
      </c>
      <c r="AN93" s="2">
        <v>0.43589330841896839</v>
      </c>
      <c r="AO93" s="2">
        <v>0.28053505762978209</v>
      </c>
      <c r="AP93" s="2">
        <v>0.53517431227562784</v>
      </c>
      <c r="AQ93" s="2">
        <v>5.7307705727224371E-2</v>
      </c>
      <c r="AR93" s="2">
        <v>0.28726540465965056</v>
      </c>
      <c r="AS93" s="2">
        <v>0.63700000000000001</v>
      </c>
    </row>
    <row r="94" spans="1:45">
      <c r="A94" s="13" t="s">
        <v>279</v>
      </c>
      <c r="B94" s="14" t="s">
        <v>124</v>
      </c>
      <c r="C94" s="20" t="e">
        <v>#N/A</v>
      </c>
      <c r="D94" s="21">
        <v>2432</v>
      </c>
      <c r="E94" s="22">
        <v>7.8</v>
      </c>
      <c r="F94" s="23" t="s">
        <v>460</v>
      </c>
      <c r="G94" s="2">
        <v>0.42247009028601545</v>
      </c>
      <c r="H94" s="2">
        <v>0.5</v>
      </c>
      <c r="I94" s="2">
        <v>0.45099999863654372</v>
      </c>
      <c r="J94" s="2">
        <v>0.125</v>
      </c>
      <c r="K94" s="2">
        <v>0.13733333333333334</v>
      </c>
      <c r="L94" s="2">
        <v>0.72099999930709602</v>
      </c>
      <c r="M94" s="2">
        <v>0.44466666666666665</v>
      </c>
      <c r="N94" s="2">
        <v>0.5664079998746514</v>
      </c>
      <c r="O94" s="2">
        <v>1</v>
      </c>
      <c r="P94" s="2">
        <v>0.2</v>
      </c>
      <c r="Q94" s="2">
        <v>0.8691999989002942</v>
      </c>
      <c r="R94" s="2">
        <v>0.3</v>
      </c>
      <c r="S94" s="2">
        <v>0.76749999999999996</v>
      </c>
      <c r="T94" s="2">
        <v>0.85543999999999998</v>
      </c>
      <c r="U94" s="2">
        <v>0.60292194849489078</v>
      </c>
      <c r="V94" s="2">
        <v>0.53185035400000003</v>
      </c>
      <c r="W94" s="2">
        <v>0.27287719292561108</v>
      </c>
      <c r="X94" s="2">
        <v>0.5</v>
      </c>
      <c r="Y94" s="2">
        <v>4.1383757508185841E-3</v>
      </c>
      <c r="Z94" s="2" t="e">
        <v>#N/A</v>
      </c>
      <c r="AA94" s="2">
        <v>0.4</v>
      </c>
      <c r="AB94" s="2">
        <v>0</v>
      </c>
      <c r="AC94" s="2">
        <v>0</v>
      </c>
      <c r="AD94" s="2">
        <v>0.5</v>
      </c>
      <c r="AE94" s="16">
        <f t="shared" si="1"/>
        <v>0.44225243296417049</v>
      </c>
      <c r="AF94" s="2">
        <v>0.65599999999999992</v>
      </c>
      <c r="AG94" s="2">
        <v>0.3</v>
      </c>
      <c r="AH94" s="2">
        <v>0.42200000000000004</v>
      </c>
      <c r="AI94" s="2" t="e">
        <v>#N/A</v>
      </c>
      <c r="AJ94" s="2">
        <v>0.25</v>
      </c>
      <c r="AK94" s="2">
        <v>0.71900000000000008</v>
      </c>
      <c r="AL94" s="2">
        <v>0.55399999999999994</v>
      </c>
      <c r="AM94" s="2">
        <v>0.78707871663121698</v>
      </c>
      <c r="AN94" s="2">
        <v>0.6451161245314212</v>
      </c>
      <c r="AO94" s="2">
        <v>0.47836074431587894</v>
      </c>
      <c r="AP94" s="2">
        <v>1.121933806158756E-2</v>
      </c>
      <c r="AQ94" s="2" t="e">
        <v>#N/A</v>
      </c>
      <c r="AR94" s="2">
        <v>0.53488764041772219</v>
      </c>
      <c r="AS94" s="2">
        <v>0.86099999999999999</v>
      </c>
    </row>
    <row r="95" spans="1:45">
      <c r="A95" s="13" t="s">
        <v>444</v>
      </c>
      <c r="B95" s="14" t="s">
        <v>76</v>
      </c>
      <c r="C95" s="20" t="e">
        <v>#N/A</v>
      </c>
      <c r="D95" s="21">
        <v>1244</v>
      </c>
      <c r="E95" s="22">
        <v>7.13</v>
      </c>
      <c r="F95" s="23" t="s">
        <v>460</v>
      </c>
      <c r="G95" s="2">
        <v>0.78105296442687766</v>
      </c>
      <c r="H95" s="2">
        <v>8.9510000000000006E-2</v>
      </c>
      <c r="I95" s="2">
        <v>3.9999999105930328E-2</v>
      </c>
      <c r="J95" s="2">
        <v>0.625</v>
      </c>
      <c r="K95" s="2">
        <v>0.2</v>
      </c>
      <c r="L95" s="2">
        <v>0.52799999736249448</v>
      </c>
      <c r="M95" s="2">
        <v>0.26791666666666664</v>
      </c>
      <c r="N95" s="2">
        <v>0.37329599991738793</v>
      </c>
      <c r="O95" s="2">
        <v>1</v>
      </c>
      <c r="P95" s="2">
        <v>0.64</v>
      </c>
      <c r="Q95" s="2">
        <v>0.24379999969154598</v>
      </c>
      <c r="R95" s="2">
        <v>0.90719999782741068</v>
      </c>
      <c r="S95" s="2">
        <v>0.76749999999999996</v>
      </c>
      <c r="T95" s="2">
        <v>0.57200000000000006</v>
      </c>
      <c r="U95" s="2">
        <v>0.41059824270159051</v>
      </c>
      <c r="V95" s="2">
        <v>0.61538461600000005</v>
      </c>
      <c r="W95" s="2">
        <v>0.27287719292561108</v>
      </c>
      <c r="X95" s="2">
        <v>0.11169616448397678</v>
      </c>
      <c r="Y95" s="2">
        <v>3.8317234314162271E-2</v>
      </c>
      <c r="Z95" s="2">
        <v>0.102154823842261</v>
      </c>
      <c r="AA95" s="2">
        <v>0.4</v>
      </c>
      <c r="AB95" s="2">
        <v>0.6</v>
      </c>
      <c r="AC95" s="2">
        <v>9.9659496719541565E-2</v>
      </c>
      <c r="AD95" s="2">
        <v>0.9739344131909381</v>
      </c>
      <c r="AE95" s="16">
        <f t="shared" si="1"/>
        <v>0.44416240871568302</v>
      </c>
      <c r="AF95" s="2">
        <v>0.36000000089406969</v>
      </c>
      <c r="AG95" s="2">
        <v>9.2000000178813934E-2</v>
      </c>
      <c r="AH95" s="2" t="e">
        <v>#N/A</v>
      </c>
      <c r="AI95" s="2" t="e">
        <v>#N/A</v>
      </c>
      <c r="AJ95" s="2">
        <v>9.9000000022351736E-2</v>
      </c>
      <c r="AK95" s="2" t="e">
        <v>#N/A</v>
      </c>
      <c r="AL95" s="2" t="e">
        <v>#N/A</v>
      </c>
      <c r="AM95" s="2">
        <v>0.45156871352949646</v>
      </c>
      <c r="AN95" s="2">
        <v>5.6468443513168334E-2</v>
      </c>
      <c r="AO95" s="2">
        <v>0.22506950614659163</v>
      </c>
      <c r="AP95" s="2">
        <v>3.2191266346441112E-3</v>
      </c>
      <c r="AQ95" s="2" t="e">
        <v>#N/A</v>
      </c>
      <c r="AR95" s="2">
        <v>0.25233284317415944</v>
      </c>
      <c r="AS95" s="2" t="e">
        <v>#N/A</v>
      </c>
    </row>
    <row r="96" spans="1:45">
      <c r="A96" s="13" t="s">
        <v>445</v>
      </c>
      <c r="B96" s="14" t="s">
        <v>31</v>
      </c>
      <c r="C96" s="20">
        <v>71.900000000000006</v>
      </c>
      <c r="D96" s="21">
        <v>27100</v>
      </c>
      <c r="E96" s="22">
        <v>10.210000000000001</v>
      </c>
      <c r="F96" s="23">
        <v>0.94</v>
      </c>
      <c r="G96" s="2">
        <v>0.44048862325804905</v>
      </c>
      <c r="H96" s="2">
        <v>0.3654</v>
      </c>
      <c r="I96" s="2">
        <v>5.9199999123811686E-2</v>
      </c>
      <c r="J96" s="2">
        <v>0.44999999999999996</v>
      </c>
      <c r="K96" s="2">
        <v>0</v>
      </c>
      <c r="L96" s="2">
        <v>3.9999999105930328E-2</v>
      </c>
      <c r="M96" s="2">
        <v>0.29558333333333331</v>
      </c>
      <c r="N96" s="2">
        <v>0.18503199995905162</v>
      </c>
      <c r="O96" s="2">
        <v>0</v>
      </c>
      <c r="P96" s="2">
        <v>0.64</v>
      </c>
      <c r="Q96" s="2">
        <v>0.81619999896734952</v>
      </c>
      <c r="R96" s="2">
        <v>0</v>
      </c>
      <c r="S96" s="2">
        <v>0.76749999999999996</v>
      </c>
      <c r="T96" s="2">
        <v>0.63104000000000005</v>
      </c>
      <c r="U96" s="2">
        <v>0.16721248637735986</v>
      </c>
      <c r="V96" s="2">
        <v>0.13302752200000001</v>
      </c>
      <c r="W96" s="2">
        <v>0</v>
      </c>
      <c r="X96" s="2">
        <v>5.5628572952177097E-3</v>
      </c>
      <c r="Y96" s="2">
        <v>5.0105846966243005E-2</v>
      </c>
      <c r="Z96" s="2">
        <v>6.1584707616121198E-2</v>
      </c>
      <c r="AA96" s="2">
        <v>0.74</v>
      </c>
      <c r="AB96" s="2">
        <v>0.81</v>
      </c>
      <c r="AC96" s="2">
        <v>0.17024349979364423</v>
      </c>
      <c r="AD96" s="2">
        <v>0.24639999929815526</v>
      </c>
      <c r="AE96" s="16">
        <f t="shared" si="1"/>
        <v>0.29477420304559443</v>
      </c>
      <c r="AF96" s="2">
        <v>0.91900000000000004</v>
      </c>
      <c r="AG96" s="2">
        <v>0.7</v>
      </c>
      <c r="AH96" s="2">
        <v>0.71099999999999997</v>
      </c>
      <c r="AI96" s="2">
        <v>0.74900000000000011</v>
      </c>
      <c r="AJ96" s="2">
        <v>0.7</v>
      </c>
      <c r="AK96" s="2">
        <v>0.77400000000000002</v>
      </c>
      <c r="AL96" s="2">
        <v>0.70799999999999996</v>
      </c>
      <c r="AM96" s="2">
        <v>0.54213973221287803</v>
      </c>
      <c r="AN96" s="2">
        <v>0.63689524712285162</v>
      </c>
      <c r="AO96" s="2">
        <v>0.60333682118038379</v>
      </c>
      <c r="AP96" s="2">
        <v>1</v>
      </c>
      <c r="AQ96" s="2">
        <v>1</v>
      </c>
      <c r="AR96" s="2">
        <v>0.69787773670194364</v>
      </c>
      <c r="AS96" s="2">
        <v>0.47100000000000003</v>
      </c>
    </row>
    <row r="97" spans="1:45">
      <c r="A97" s="13" t="s">
        <v>282</v>
      </c>
      <c r="B97" s="14" t="s">
        <v>3</v>
      </c>
      <c r="C97" s="20">
        <v>67.400000000000006</v>
      </c>
      <c r="D97" s="21">
        <v>48631</v>
      </c>
      <c r="E97" s="22">
        <v>10.79</v>
      </c>
      <c r="F97" s="23">
        <v>0.92</v>
      </c>
      <c r="G97" s="2">
        <v>0.25986313364055308</v>
      </c>
      <c r="H97" s="2">
        <v>1</v>
      </c>
      <c r="I97" s="2">
        <v>4.9599999114871007E-2</v>
      </c>
      <c r="J97" s="2">
        <v>0.6</v>
      </c>
      <c r="K97" s="2">
        <v>0</v>
      </c>
      <c r="L97" s="2">
        <v>3.9999999105930328E-2</v>
      </c>
      <c r="M97" s="2">
        <v>0.54108333333333336</v>
      </c>
      <c r="N97" s="2">
        <v>1.6361999996379016E-2</v>
      </c>
      <c r="O97" s="2">
        <v>1</v>
      </c>
      <c r="P97" s="2">
        <v>0.1</v>
      </c>
      <c r="Q97" s="2">
        <v>1</v>
      </c>
      <c r="R97" s="2">
        <v>0.28999999999999998</v>
      </c>
      <c r="S97" s="2">
        <v>7.4999999999999997E-2</v>
      </c>
      <c r="T97" s="2">
        <v>0.67456000000000005</v>
      </c>
      <c r="U97" s="2">
        <v>0.20298302299603932</v>
      </c>
      <c r="V97" s="2">
        <v>0.22083333399999999</v>
      </c>
      <c r="W97" s="2">
        <v>0</v>
      </c>
      <c r="X97" s="2">
        <v>5.7666970350424718E-3</v>
      </c>
      <c r="Y97" s="2">
        <v>8.079863216672134E-2</v>
      </c>
      <c r="Z97" s="2">
        <v>0.24163408012917101</v>
      </c>
      <c r="AA97" s="2">
        <v>0</v>
      </c>
      <c r="AB97" s="2">
        <v>0</v>
      </c>
      <c r="AC97" s="2">
        <v>8.4175084175084167E-2</v>
      </c>
      <c r="AD97" s="2">
        <v>0.25199999772012238</v>
      </c>
      <c r="AE97" s="16">
        <f t="shared" si="1"/>
        <v>0.28061080472555194</v>
      </c>
      <c r="AF97" s="2">
        <v>0.65799999999999992</v>
      </c>
      <c r="AG97" s="2">
        <v>0.5</v>
      </c>
      <c r="AH97" s="2">
        <v>0.99900000000000011</v>
      </c>
      <c r="AI97" s="2">
        <v>0.7659999999999999</v>
      </c>
      <c r="AJ97" s="2">
        <v>0.55000000000000004</v>
      </c>
      <c r="AK97" s="2">
        <v>0.66400000000000003</v>
      </c>
      <c r="AL97" s="2">
        <v>0.82499999999999996</v>
      </c>
      <c r="AM97" s="2">
        <v>0.5826689174844214</v>
      </c>
      <c r="AN97" s="2">
        <v>0.39249897457111194</v>
      </c>
      <c r="AO97" s="2">
        <v>0.58391963014333759</v>
      </c>
      <c r="AP97" s="2">
        <v>1</v>
      </c>
      <c r="AQ97" s="2">
        <v>0.23765141786721031</v>
      </c>
      <c r="AR97" s="2">
        <v>0.61692961909775001</v>
      </c>
      <c r="AS97" s="2">
        <v>0.88</v>
      </c>
    </row>
    <row r="98" spans="1:45">
      <c r="A98" s="13" t="s">
        <v>283</v>
      </c>
      <c r="B98" s="14" t="s">
        <v>144</v>
      </c>
      <c r="C98" s="20">
        <v>64.8</v>
      </c>
      <c r="D98" s="21">
        <v>2283</v>
      </c>
      <c r="E98" s="22">
        <v>7.73</v>
      </c>
      <c r="F98" s="23">
        <v>0.71</v>
      </c>
      <c r="G98" s="2">
        <v>5.8536198347107445E-2</v>
      </c>
      <c r="H98" s="2">
        <v>0.52403999804779888</v>
      </c>
      <c r="I98" s="2">
        <v>0.13599999919533734</v>
      </c>
      <c r="J98" s="2">
        <v>0.8</v>
      </c>
      <c r="K98" s="2">
        <v>0.16266666666666665</v>
      </c>
      <c r="L98" s="2">
        <v>0.10719999916851519</v>
      </c>
      <c r="M98" s="2">
        <v>0.2485</v>
      </c>
      <c r="N98" s="2">
        <v>0.64195599985793239</v>
      </c>
      <c r="O98" s="2">
        <v>0.87534244112301207</v>
      </c>
      <c r="P98" s="2">
        <v>0.6</v>
      </c>
      <c r="Q98" s="2">
        <v>0.30739999961107967</v>
      </c>
      <c r="R98" s="2">
        <v>3.2399999946355819E-2</v>
      </c>
      <c r="S98" s="2">
        <v>7.4999999999999997E-2</v>
      </c>
      <c r="T98" s="2">
        <v>0.58952000000000004</v>
      </c>
      <c r="U98" s="2">
        <v>0.4065006817221658</v>
      </c>
      <c r="V98" s="2">
        <v>0.20162016199999999</v>
      </c>
      <c r="W98" s="2">
        <v>0.12236787206291945</v>
      </c>
      <c r="X98" s="2">
        <v>5.7469047690594875E-2</v>
      </c>
      <c r="Y98" s="2">
        <v>0</v>
      </c>
      <c r="Z98" s="2">
        <v>0</v>
      </c>
      <c r="AA98" s="2">
        <v>0</v>
      </c>
      <c r="AB98" s="2">
        <v>0.96</v>
      </c>
      <c r="AC98" s="2">
        <v>7.8206465067778945E-3</v>
      </c>
      <c r="AD98" s="2">
        <v>0.25298000888076144</v>
      </c>
      <c r="AE98" s="16">
        <f t="shared" si="1"/>
        <v>0.29863832170112609</v>
      </c>
      <c r="AF98" s="2">
        <v>0.7659999999999999</v>
      </c>
      <c r="AG98" s="2">
        <v>0.5</v>
      </c>
      <c r="AH98" s="2">
        <v>0.92900000000000005</v>
      </c>
      <c r="AI98" s="2">
        <v>0.80200000000000005</v>
      </c>
      <c r="AJ98" s="2">
        <v>0.5</v>
      </c>
      <c r="AK98" s="2">
        <v>0.622</v>
      </c>
      <c r="AL98" s="2">
        <v>0.75900000000000001</v>
      </c>
      <c r="AM98" s="2">
        <v>0.39279498300567989</v>
      </c>
      <c r="AN98" s="2">
        <v>0.31075250883847244</v>
      </c>
      <c r="AO98" s="2">
        <v>0.25773572550458934</v>
      </c>
      <c r="AP98" s="2">
        <v>0.92755236832413679</v>
      </c>
      <c r="AQ98" s="2">
        <v>0.71876616444799379</v>
      </c>
      <c r="AR98" s="2">
        <v>0.24515418466462569</v>
      </c>
      <c r="AS98" s="2">
        <v>0.82599999999999996</v>
      </c>
    </row>
    <row r="99" spans="1:45">
      <c r="A99" s="13" t="s">
        <v>446</v>
      </c>
      <c r="B99" s="14" t="s">
        <v>154</v>
      </c>
      <c r="C99" s="20">
        <v>50.1</v>
      </c>
      <c r="D99" s="21">
        <v>2255</v>
      </c>
      <c r="E99" s="22">
        <v>7.72</v>
      </c>
      <c r="F99" s="23">
        <v>0.62</v>
      </c>
      <c r="G99" s="2">
        <v>0.23213225806451618</v>
      </c>
      <c r="H99" s="2">
        <v>8.9959999999999988E-3</v>
      </c>
      <c r="I99" s="2">
        <v>0.4527999994903803</v>
      </c>
      <c r="J99" s="2">
        <v>0.27500000000000002</v>
      </c>
      <c r="K99" s="2">
        <v>0.16133333333333333</v>
      </c>
      <c r="L99" s="2">
        <v>0.49119999952614313</v>
      </c>
      <c r="M99" s="2">
        <v>0.49116666666666664</v>
      </c>
      <c r="N99" s="2">
        <v>0.68639599984809752</v>
      </c>
      <c r="O99" s="2">
        <v>1</v>
      </c>
      <c r="P99" s="2">
        <v>0.26</v>
      </c>
      <c r="Q99" s="2">
        <v>3.1799999959766866E-2</v>
      </c>
      <c r="R99" s="2">
        <v>0.97199999839067464</v>
      </c>
      <c r="S99" s="2">
        <v>0.76749999999999996</v>
      </c>
      <c r="T99" s="2">
        <v>0.93944000000000005</v>
      </c>
      <c r="U99" s="2">
        <v>0.45251933542356082</v>
      </c>
      <c r="V99" s="2">
        <v>0.59968102000000001</v>
      </c>
      <c r="W99" s="2">
        <v>0</v>
      </c>
      <c r="X99" s="2">
        <v>0.52798588524609991</v>
      </c>
      <c r="Y99" s="2">
        <v>0</v>
      </c>
      <c r="Z99" s="2">
        <v>0</v>
      </c>
      <c r="AA99" s="2">
        <v>0.44999999999999996</v>
      </c>
      <c r="AB99" s="2">
        <v>1</v>
      </c>
      <c r="AC99" s="2">
        <v>4.5493934142114389E-2</v>
      </c>
      <c r="AD99" s="2">
        <v>0.87001599987894296</v>
      </c>
      <c r="AE99" s="16">
        <f t="shared" si="1"/>
        <v>0.446477517915429</v>
      </c>
      <c r="AF99" s="2">
        <v>0.59399999999999997</v>
      </c>
      <c r="AG99" s="2">
        <v>0.2</v>
      </c>
      <c r="AH99" s="2">
        <v>0.80099999999999993</v>
      </c>
      <c r="AI99" s="2">
        <v>0.90300000000000002</v>
      </c>
      <c r="AJ99" s="2">
        <v>0.25</v>
      </c>
      <c r="AK99" s="2">
        <v>0.73499999999999999</v>
      </c>
      <c r="AL99" s="2">
        <v>0.68400000000000005</v>
      </c>
      <c r="AM99" s="2">
        <v>0.4991933340631759</v>
      </c>
      <c r="AN99" s="2">
        <v>0.16132517851708003</v>
      </c>
      <c r="AO99" s="2">
        <v>0.27359359950586593</v>
      </c>
      <c r="AP99" s="2">
        <v>0.56295327434313902</v>
      </c>
      <c r="AQ99" s="2">
        <v>0.18329280017070473</v>
      </c>
      <c r="AR99" s="2">
        <v>0.31398807301632403</v>
      </c>
      <c r="AS99" s="2">
        <v>0.58899999999999997</v>
      </c>
    </row>
    <row r="100" spans="1:45">
      <c r="A100" s="13" t="s">
        <v>285</v>
      </c>
      <c r="B100" s="14" t="s">
        <v>61</v>
      </c>
      <c r="C100" s="20">
        <v>74.400000000000006</v>
      </c>
      <c r="D100" s="21">
        <v>16437</v>
      </c>
      <c r="E100" s="22">
        <v>9.7100000000000009</v>
      </c>
      <c r="F100" s="23">
        <v>0.87</v>
      </c>
      <c r="G100" s="2">
        <v>0.4265325315005728</v>
      </c>
      <c r="H100" s="2">
        <v>1.3979999947920443E-2</v>
      </c>
      <c r="I100" s="2">
        <v>4.9599999114871007E-2</v>
      </c>
      <c r="J100" s="2">
        <v>0.75</v>
      </c>
      <c r="K100" s="2">
        <v>0</v>
      </c>
      <c r="L100" s="2">
        <v>0.25119999930262571</v>
      </c>
      <c r="M100" s="2">
        <v>0.27966666666666667</v>
      </c>
      <c r="N100" s="2">
        <v>0.32158399992883202</v>
      </c>
      <c r="O100" s="2">
        <v>0.79290455840450003</v>
      </c>
      <c r="P100" s="2">
        <v>0.08</v>
      </c>
      <c r="Q100" s="2">
        <v>0.15899999979883431</v>
      </c>
      <c r="R100" s="2">
        <v>0</v>
      </c>
      <c r="S100" s="2">
        <v>0.87499999999999989</v>
      </c>
      <c r="T100" s="2">
        <v>0.56736000000000009</v>
      </c>
      <c r="U100" s="2">
        <v>0.31302477919608407</v>
      </c>
      <c r="V100" s="2">
        <v>7.6628351999999997E-2</v>
      </c>
      <c r="W100" s="2">
        <v>0</v>
      </c>
      <c r="X100" s="2">
        <v>7.2923811937308678E-3</v>
      </c>
      <c r="Y100" s="2">
        <v>4.3853889263716993E-2</v>
      </c>
      <c r="Z100" s="2">
        <v>0.33647723622301101</v>
      </c>
      <c r="AA100" s="2">
        <v>0</v>
      </c>
      <c r="AB100" s="2">
        <v>0.84</v>
      </c>
      <c r="AC100" s="2">
        <v>0</v>
      </c>
      <c r="AD100" s="2">
        <v>3.9999999105930328E-2</v>
      </c>
      <c r="AE100" s="16">
        <f t="shared" si="1"/>
        <v>0.25933768298530402</v>
      </c>
      <c r="AF100" s="2">
        <v>0.72900000000000009</v>
      </c>
      <c r="AG100" s="2">
        <v>0.5</v>
      </c>
      <c r="AH100" s="2">
        <v>0.82700000000000007</v>
      </c>
      <c r="AI100" s="2">
        <v>0.57399999999999995</v>
      </c>
      <c r="AJ100" s="2">
        <v>0.8</v>
      </c>
      <c r="AK100" s="2">
        <v>0.67</v>
      </c>
      <c r="AL100" s="2">
        <v>0.875</v>
      </c>
      <c r="AM100" s="2">
        <v>0.5872568256200017</v>
      </c>
      <c r="AN100" s="2">
        <v>0.65683798695842466</v>
      </c>
      <c r="AO100" s="2">
        <v>0.55972747915897503</v>
      </c>
      <c r="AP100" s="2">
        <v>1</v>
      </c>
      <c r="AQ100" s="2">
        <v>0.94907108659817718</v>
      </c>
      <c r="AR100" s="2">
        <v>0.66487291376826763</v>
      </c>
      <c r="AS100" s="2">
        <v>0.59099999999999997</v>
      </c>
    </row>
    <row r="101" spans="1:45">
      <c r="A101" s="13" t="s">
        <v>286</v>
      </c>
      <c r="B101" s="14" t="s">
        <v>20</v>
      </c>
      <c r="C101" s="20">
        <v>64.400000000000006</v>
      </c>
      <c r="D101" s="21">
        <v>13070</v>
      </c>
      <c r="E101" s="22">
        <v>9.48</v>
      </c>
      <c r="F101" s="23">
        <v>0.8</v>
      </c>
      <c r="G101" s="2">
        <v>0.69269723113964699</v>
      </c>
      <c r="H101" s="2">
        <v>0.30854999937303362</v>
      </c>
      <c r="I101" s="2">
        <v>3.9999999105930328E-2</v>
      </c>
      <c r="J101" s="2">
        <v>0.44999999999999996</v>
      </c>
      <c r="K101" s="2">
        <v>2.6666666666666668E-2</v>
      </c>
      <c r="L101" s="2">
        <v>0.1179999978095293</v>
      </c>
      <c r="M101" s="2">
        <v>0.54108333333333336</v>
      </c>
      <c r="N101" s="2">
        <v>0.13049199997112154</v>
      </c>
      <c r="O101" s="2">
        <v>0.70697700547651265</v>
      </c>
      <c r="P101" s="2">
        <v>0.16</v>
      </c>
      <c r="Q101" s="2">
        <v>0.94339999880641701</v>
      </c>
      <c r="R101" s="2">
        <v>0.03</v>
      </c>
      <c r="S101" s="2">
        <v>7.4999999999999997E-2</v>
      </c>
      <c r="T101" s="2">
        <v>0.62759999999999994</v>
      </c>
      <c r="U101" s="2">
        <v>0.31669151090681591</v>
      </c>
      <c r="V101" s="2">
        <v>0.133333334</v>
      </c>
      <c r="W101" s="2">
        <v>1.3600463925690158E-2</v>
      </c>
      <c r="X101" s="2">
        <v>1.2943824648872422E-2</v>
      </c>
      <c r="Y101" s="2">
        <v>1.6118995598252122E-2</v>
      </c>
      <c r="Z101" s="2">
        <v>0.137457171820657</v>
      </c>
      <c r="AA101" s="2">
        <v>9.9999999999988987E-4</v>
      </c>
      <c r="AB101" s="2">
        <v>0.96</v>
      </c>
      <c r="AC101" s="2">
        <v>0.1466275659824047</v>
      </c>
      <c r="AD101" s="2">
        <v>0.33777998389114161</v>
      </c>
      <c r="AE101" s="16">
        <f t="shared" si="1"/>
        <v>0.28858412843566777</v>
      </c>
      <c r="AF101" s="2">
        <v>0.56600000000000006</v>
      </c>
      <c r="AG101" s="2">
        <v>0.6</v>
      </c>
      <c r="AH101" s="2">
        <v>0.91599999999999993</v>
      </c>
      <c r="AI101" s="2">
        <v>0.628</v>
      </c>
      <c r="AJ101" s="2">
        <v>0.55000000000000004</v>
      </c>
      <c r="AK101" s="2">
        <v>0.71400000000000008</v>
      </c>
      <c r="AL101" s="2">
        <v>0.80500000000000005</v>
      </c>
      <c r="AM101" s="2">
        <v>0.20171420649406943</v>
      </c>
      <c r="AN101" s="2">
        <v>0.43381617407221845</v>
      </c>
      <c r="AO101" s="2">
        <v>0.34211364632139396</v>
      </c>
      <c r="AP101" s="2">
        <v>0.39743789183632511</v>
      </c>
      <c r="AQ101" s="2">
        <v>0.74276390588198338</v>
      </c>
      <c r="AR101" s="2">
        <v>0.37401621190661416</v>
      </c>
      <c r="AS101" s="2">
        <v>0.56999999999999995</v>
      </c>
    </row>
    <row r="102" spans="1:45">
      <c r="A102" s="13" t="s">
        <v>287</v>
      </c>
      <c r="B102" s="14" t="s">
        <v>172</v>
      </c>
      <c r="C102" s="20">
        <v>47.9</v>
      </c>
      <c r="D102" s="21">
        <v>1468</v>
      </c>
      <c r="E102" s="22">
        <v>7.29</v>
      </c>
      <c r="F102" s="23">
        <v>0.51</v>
      </c>
      <c r="G102" s="2">
        <v>0.57349992890995261</v>
      </c>
      <c r="H102" s="2">
        <v>1.6549999999999999E-2</v>
      </c>
      <c r="I102" s="2">
        <v>0.18399999924004073</v>
      </c>
      <c r="J102" s="2">
        <v>0.375</v>
      </c>
      <c r="K102" s="2">
        <v>2.9333333333333333E-2</v>
      </c>
      <c r="L102" s="2">
        <v>0.72159999974071987</v>
      </c>
      <c r="M102" s="2">
        <v>0.69216666666666671</v>
      </c>
      <c r="N102" s="2">
        <v>0.74558199983499951</v>
      </c>
      <c r="O102" s="2">
        <v>1</v>
      </c>
      <c r="P102" s="2">
        <v>0.28000000000000003</v>
      </c>
      <c r="Q102" s="2">
        <v>0.57239999927580365</v>
      </c>
      <c r="R102" s="2">
        <v>0.40319999903440473</v>
      </c>
      <c r="S102" s="2">
        <v>0.40749999999999997</v>
      </c>
      <c r="T102" s="2">
        <v>0.97119999999999995</v>
      </c>
      <c r="U102" s="2">
        <v>0.83609740407347855</v>
      </c>
      <c r="V102" s="2">
        <v>1</v>
      </c>
      <c r="W102" s="2">
        <v>0.30706302278104564</v>
      </c>
      <c r="X102" s="2">
        <v>0.42066837477835878</v>
      </c>
      <c r="Y102" s="2">
        <v>0</v>
      </c>
      <c r="Z102" s="2">
        <v>0</v>
      </c>
      <c r="AA102" s="2">
        <v>0.84</v>
      </c>
      <c r="AB102" s="2">
        <v>1</v>
      </c>
      <c r="AC102" s="2">
        <v>0</v>
      </c>
      <c r="AD102" s="2">
        <v>0.84994000549573367</v>
      </c>
      <c r="AE102" s="16">
        <f t="shared" si="1"/>
        <v>0.50940836388185573</v>
      </c>
      <c r="AF102" s="2">
        <v>0.62</v>
      </c>
      <c r="AG102" s="2">
        <v>0.4</v>
      </c>
      <c r="AH102" s="2">
        <v>0.52</v>
      </c>
      <c r="AI102" s="2">
        <v>0.3</v>
      </c>
      <c r="AJ102" s="2">
        <v>0.25</v>
      </c>
      <c r="AK102" s="2">
        <v>0.70299999999999996</v>
      </c>
      <c r="AL102" s="2">
        <v>0.63500000000000001</v>
      </c>
      <c r="AM102" s="2">
        <v>0.57039806243706037</v>
      </c>
      <c r="AN102" s="2">
        <v>0.47315855403249413</v>
      </c>
      <c r="AO102" s="2">
        <v>0.5283688015570861</v>
      </c>
      <c r="AP102" s="2">
        <v>0.35177962956659692</v>
      </c>
      <c r="AQ102" s="2">
        <v>4.7731571521343927E-2</v>
      </c>
      <c r="AR102" s="2">
        <v>0.44814753888511277</v>
      </c>
      <c r="AS102" s="2">
        <v>0.66099999999999992</v>
      </c>
    </row>
    <row r="103" spans="1:45">
      <c r="A103" s="13" t="s">
        <v>288</v>
      </c>
      <c r="B103" s="15" t="s">
        <v>88</v>
      </c>
      <c r="C103" s="20">
        <v>43.6</v>
      </c>
      <c r="D103" s="21">
        <v>396</v>
      </c>
      <c r="E103" s="22">
        <v>5.98</v>
      </c>
      <c r="F103" s="23">
        <v>0.44</v>
      </c>
      <c r="G103" s="2">
        <v>0.64721813333333333</v>
      </c>
      <c r="H103" s="2">
        <v>7.6899999999999994E-4</v>
      </c>
      <c r="I103" s="2">
        <v>0.34719999939203261</v>
      </c>
      <c r="J103" s="2">
        <v>0.22499999999999998</v>
      </c>
      <c r="K103" s="2">
        <v>0.59</v>
      </c>
      <c r="L103" s="2">
        <v>0.83679999984800812</v>
      </c>
      <c r="M103" s="2">
        <v>0.62008333333333332</v>
      </c>
      <c r="N103" s="2">
        <v>0.39571799991242584</v>
      </c>
      <c r="O103" s="2">
        <v>1</v>
      </c>
      <c r="P103" s="2">
        <v>0.52</v>
      </c>
      <c r="Q103" s="2">
        <v>0.64659999918192623</v>
      </c>
      <c r="R103" s="2">
        <v>0.62539999920874834</v>
      </c>
      <c r="S103" s="2">
        <v>0.20749999999999999</v>
      </c>
      <c r="T103" s="2">
        <v>0.98807999999999996</v>
      </c>
      <c r="U103" s="2">
        <v>0.58134805749475971</v>
      </c>
      <c r="V103" s="2">
        <v>0.97082557400000002</v>
      </c>
      <c r="W103" s="2">
        <v>0.47469999989494682</v>
      </c>
      <c r="X103" s="2">
        <v>1</v>
      </c>
      <c r="Y103" s="2">
        <v>0.1</v>
      </c>
      <c r="Z103" s="2">
        <v>0.150830003833124</v>
      </c>
      <c r="AA103" s="2">
        <v>0.96699999999999997</v>
      </c>
      <c r="AB103" s="2">
        <v>0</v>
      </c>
      <c r="AC103" s="2">
        <v>1.5573089700996679E-2</v>
      </c>
      <c r="AD103" s="2">
        <v>0.9491600013167546</v>
      </c>
      <c r="AE103" s="16">
        <f t="shared" si="1"/>
        <v>0.53582521626876622</v>
      </c>
      <c r="AF103" s="2">
        <v>0.52800000000000002</v>
      </c>
      <c r="AG103" s="2">
        <v>0.2</v>
      </c>
      <c r="AH103" s="2">
        <v>0.67799999999999994</v>
      </c>
      <c r="AI103" s="2">
        <v>0.82299999999999995</v>
      </c>
      <c r="AJ103" s="2">
        <v>0.2</v>
      </c>
      <c r="AK103" s="2">
        <v>0.65400000000000003</v>
      </c>
      <c r="AL103" s="2">
        <v>0.53799999999999992</v>
      </c>
      <c r="AM103" s="2">
        <v>0.30333453848940961</v>
      </c>
      <c r="AN103" s="2">
        <v>0.43646025219082951</v>
      </c>
      <c r="AO103" s="2">
        <v>0.38976454677119154</v>
      </c>
      <c r="AP103" s="2">
        <v>0.2341858200028652</v>
      </c>
      <c r="AQ103" s="2">
        <v>0.19872114396758378</v>
      </c>
      <c r="AR103" s="2">
        <v>0.28371055282547025</v>
      </c>
      <c r="AS103" s="2">
        <v>0.51300000000000001</v>
      </c>
    </row>
    <row r="104" spans="1:45">
      <c r="A104" s="13" t="s">
        <v>447</v>
      </c>
      <c r="B104" s="15" t="s">
        <v>34</v>
      </c>
      <c r="C104" s="20">
        <v>58.9</v>
      </c>
      <c r="D104" s="21">
        <v>16502</v>
      </c>
      <c r="E104" s="22">
        <v>9.7100000000000009</v>
      </c>
      <c r="F104" s="23">
        <v>0.85</v>
      </c>
      <c r="G104" s="2">
        <v>0.53898026315789471</v>
      </c>
      <c r="H104" s="2">
        <v>1</v>
      </c>
      <c r="I104" s="2">
        <v>0.56799999758601194</v>
      </c>
      <c r="J104" s="2">
        <v>0.5</v>
      </c>
      <c r="K104" s="2">
        <v>0.2</v>
      </c>
      <c r="L104" s="2">
        <v>6.8799999132752365E-2</v>
      </c>
      <c r="M104" s="2">
        <v>0.66583333333333339</v>
      </c>
      <c r="N104" s="2">
        <v>0.22502799995020034</v>
      </c>
      <c r="O104" s="2">
        <v>0.9545523809523333</v>
      </c>
      <c r="P104" s="2">
        <v>0.32</v>
      </c>
      <c r="Q104" s="2">
        <v>0.89039999887347221</v>
      </c>
      <c r="R104" s="2">
        <v>0.06</v>
      </c>
      <c r="S104" s="2">
        <v>7.4999999999999997E-2</v>
      </c>
      <c r="T104" s="2">
        <v>0.57600000000000007</v>
      </c>
      <c r="U104" s="2">
        <v>0.27288319867089394</v>
      </c>
      <c r="V104" s="2">
        <v>0.17602040799999999</v>
      </c>
      <c r="W104" s="2">
        <v>1.0540326940367379E-2</v>
      </c>
      <c r="X104" s="2">
        <v>4.8432602618363345E-2</v>
      </c>
      <c r="Y104" s="2">
        <v>7.179170747141932E-3</v>
      </c>
      <c r="Z104" s="2">
        <v>0.15559427165075801</v>
      </c>
      <c r="AA104" s="2">
        <v>2.0000000000000018E-3</v>
      </c>
      <c r="AB104" s="2">
        <v>0</v>
      </c>
      <c r="AC104" s="2">
        <v>8.5249553860668127E-4</v>
      </c>
      <c r="AD104" s="2">
        <v>0.53095999146666473</v>
      </c>
      <c r="AE104" s="16">
        <f t="shared" si="1"/>
        <v>0.32696068494244973</v>
      </c>
      <c r="AF104" s="2">
        <v>0.2</v>
      </c>
      <c r="AG104" s="2">
        <v>0.2</v>
      </c>
      <c r="AH104" s="2">
        <v>0.81700000000000006</v>
      </c>
      <c r="AI104" s="2">
        <v>0.628</v>
      </c>
      <c r="AJ104" s="2">
        <v>0.1</v>
      </c>
      <c r="AK104" s="2">
        <v>0.66400000000000003</v>
      </c>
      <c r="AL104" s="2">
        <v>0.85</v>
      </c>
      <c r="AM104" s="2">
        <v>0.62281522980751114</v>
      </c>
      <c r="AN104" s="2">
        <v>0.12591005686827056</v>
      </c>
      <c r="AO104" s="2">
        <v>0.283098430374846</v>
      </c>
      <c r="AP104" s="2">
        <v>0.8573931940393007</v>
      </c>
      <c r="AQ104" s="2">
        <v>0.68484195963476124</v>
      </c>
      <c r="AR104" s="2">
        <v>0.35103325860633189</v>
      </c>
      <c r="AS104" s="2">
        <v>0.2</v>
      </c>
    </row>
    <row r="105" spans="1:45">
      <c r="A105" s="13" t="s">
        <v>290</v>
      </c>
      <c r="B105" s="15" t="s">
        <v>187</v>
      </c>
      <c r="C105" s="20" t="e">
        <v>#N/A</v>
      </c>
      <c r="D105" s="21">
        <v>91696</v>
      </c>
      <c r="E105" s="22">
        <v>11.43</v>
      </c>
      <c r="F105" s="23">
        <v>0.95</v>
      </c>
      <c r="G105" s="2">
        <v>0.41684782082324451</v>
      </c>
      <c r="H105" s="2">
        <v>1</v>
      </c>
      <c r="I105" s="2">
        <v>0</v>
      </c>
      <c r="J105" s="2">
        <v>0.55000000000000004</v>
      </c>
      <c r="K105" s="2">
        <v>0</v>
      </c>
      <c r="L105" s="2">
        <v>0</v>
      </c>
      <c r="M105" s="2">
        <v>0.23600000000000002</v>
      </c>
      <c r="N105" s="2">
        <v>0.86597399980835599</v>
      </c>
      <c r="O105" s="2">
        <v>1</v>
      </c>
      <c r="P105" s="2">
        <v>0.14000000000000001</v>
      </c>
      <c r="Q105" s="2">
        <v>0.89039999887347221</v>
      </c>
      <c r="R105" s="2">
        <v>0</v>
      </c>
      <c r="S105" s="2">
        <v>6.7499999999999991E-2</v>
      </c>
      <c r="T105" s="2">
        <v>0.57600000000000007</v>
      </c>
      <c r="U105" s="2">
        <v>0.11342438876628902</v>
      </c>
      <c r="V105" s="2">
        <v>0.17602040799999999</v>
      </c>
      <c r="W105" s="2">
        <v>1.0540326940367379E-2</v>
      </c>
      <c r="X105" s="2">
        <v>4.8432602618363345E-2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16">
        <f t="shared" si="1"/>
        <v>0.25379748107625383</v>
      </c>
      <c r="AF105" s="2" t="e">
        <v>#N/A</v>
      </c>
      <c r="AG105" s="2" t="e">
        <v>#N/A</v>
      </c>
      <c r="AH105" s="2" t="e">
        <v>#N/A</v>
      </c>
      <c r="AI105" s="2" t="e">
        <v>#N/A</v>
      </c>
      <c r="AJ105" s="2" t="e">
        <v>#N/A</v>
      </c>
      <c r="AK105" s="2" t="e">
        <v>#N/A</v>
      </c>
      <c r="AL105" s="2" t="e">
        <v>#N/A</v>
      </c>
      <c r="AM105" s="2">
        <v>0.81608627997516336</v>
      </c>
      <c r="AN105" s="2">
        <v>0.78876039866281078</v>
      </c>
      <c r="AO105" s="2">
        <v>0.82508391098648237</v>
      </c>
      <c r="AP105" s="2">
        <v>1</v>
      </c>
      <c r="AQ105" s="2">
        <v>0.50489773761307977</v>
      </c>
      <c r="AR105" s="2">
        <v>0.81895978370351052</v>
      </c>
      <c r="AS105" s="2" t="e">
        <v>#N/A</v>
      </c>
    </row>
    <row r="106" spans="1:45">
      <c r="A106" s="13" t="s">
        <v>291</v>
      </c>
      <c r="B106" s="15" t="s">
        <v>67</v>
      </c>
      <c r="C106" s="20">
        <v>75.3</v>
      </c>
      <c r="D106" s="21">
        <v>17308</v>
      </c>
      <c r="E106" s="22">
        <v>9.76</v>
      </c>
      <c r="F106" s="23">
        <v>0.87</v>
      </c>
      <c r="G106" s="2">
        <v>0.3801749143835616</v>
      </c>
      <c r="H106" s="2">
        <v>0.10504999978654088</v>
      </c>
      <c r="I106" s="2">
        <v>0</v>
      </c>
      <c r="J106" s="2">
        <v>0.7</v>
      </c>
      <c r="K106" s="2">
        <v>0</v>
      </c>
      <c r="L106" s="2">
        <v>0</v>
      </c>
      <c r="M106" s="2">
        <v>0.27966666666666667</v>
      </c>
      <c r="N106" s="2">
        <v>0.33249199992641804</v>
      </c>
      <c r="O106" s="2">
        <v>0.8681126331811666</v>
      </c>
      <c r="P106" s="2">
        <v>0.4</v>
      </c>
      <c r="Q106" s="2">
        <v>0.13779999982565641</v>
      </c>
      <c r="R106" s="2">
        <v>0</v>
      </c>
      <c r="S106" s="2">
        <v>0.87499999999999989</v>
      </c>
      <c r="T106" s="2">
        <v>0.41408</v>
      </c>
      <c r="U106" s="2">
        <v>0.32102321822792423</v>
      </c>
      <c r="V106" s="2">
        <v>8.5967130000000003E-2</v>
      </c>
      <c r="W106" s="2">
        <v>0</v>
      </c>
      <c r="X106" s="2">
        <v>4.4708195961565148E-3</v>
      </c>
      <c r="Y106" s="2">
        <v>2.3867680699263968E-2</v>
      </c>
      <c r="Z106" s="2">
        <v>5.0568407302369098E-2</v>
      </c>
      <c r="AA106" s="2">
        <v>0</v>
      </c>
      <c r="AB106" s="2">
        <v>0.59</v>
      </c>
      <c r="AC106" s="2">
        <v>0</v>
      </c>
      <c r="AD106" s="2">
        <v>0.72543999974429607</v>
      </c>
      <c r="AE106" s="16">
        <f t="shared" si="1"/>
        <v>0.26223806122250082</v>
      </c>
      <c r="AF106" s="2">
        <v>0.82</v>
      </c>
      <c r="AG106" s="2">
        <v>0.8</v>
      </c>
      <c r="AH106" s="2">
        <v>0.84599999999999997</v>
      </c>
      <c r="AI106" s="2">
        <v>0.63500000000000001</v>
      </c>
      <c r="AJ106" s="2">
        <v>0.75</v>
      </c>
      <c r="AK106" s="2">
        <v>0.70799999999999996</v>
      </c>
      <c r="AL106" s="2">
        <v>0.875</v>
      </c>
      <c r="AM106" s="2">
        <v>0.63080823504411365</v>
      </c>
      <c r="AN106" s="2">
        <v>0.67416955163366032</v>
      </c>
      <c r="AO106" s="2">
        <v>0.54944057550807313</v>
      </c>
      <c r="AP106" s="2">
        <v>1</v>
      </c>
      <c r="AQ106" s="2">
        <v>1</v>
      </c>
      <c r="AR106" s="2">
        <v>0.64336142427102705</v>
      </c>
      <c r="AS106" s="2">
        <v>0.58499999999999996</v>
      </c>
    </row>
    <row r="107" spans="1:45">
      <c r="A107" s="13" t="s">
        <v>292</v>
      </c>
      <c r="B107" s="15" t="s">
        <v>29</v>
      </c>
      <c r="C107" s="20">
        <v>78.5</v>
      </c>
      <c r="D107" s="21">
        <v>83820</v>
      </c>
      <c r="E107" s="22">
        <v>11.34</v>
      </c>
      <c r="F107" s="23">
        <v>0.96</v>
      </c>
      <c r="G107" s="2">
        <v>0.220648381294964</v>
      </c>
      <c r="H107" s="2">
        <v>2.3303999913185835E-2</v>
      </c>
      <c r="I107" s="2">
        <v>3.9999999105930328E-2</v>
      </c>
      <c r="J107" s="2">
        <v>0.47499999999999998</v>
      </c>
      <c r="K107" s="2">
        <v>1.3333333333333333E-3</v>
      </c>
      <c r="L107" s="2">
        <v>3.9999999105930328E-2</v>
      </c>
      <c r="M107" s="2">
        <v>0.23600000000000002</v>
      </c>
      <c r="N107" s="2">
        <v>0.17856799996048209</v>
      </c>
      <c r="O107" s="2">
        <v>0.53887096774200005</v>
      </c>
      <c r="P107" s="2">
        <v>0.28000000000000003</v>
      </c>
      <c r="Q107" s="2">
        <v>0.98579999875277291</v>
      </c>
      <c r="R107" s="2">
        <v>0</v>
      </c>
      <c r="S107" s="2">
        <v>6.7499999999999991E-2</v>
      </c>
      <c r="T107" s="2">
        <v>0.31823999999999997</v>
      </c>
      <c r="U107" s="2">
        <v>0.15392702295035232</v>
      </c>
      <c r="V107" s="2">
        <v>0.117924528</v>
      </c>
      <c r="W107" s="2">
        <v>0</v>
      </c>
      <c r="X107" s="2">
        <v>6.9039760340647727E-3</v>
      </c>
      <c r="Y107" s="2">
        <v>0</v>
      </c>
      <c r="Z107" s="2">
        <v>0</v>
      </c>
      <c r="AA107" s="2">
        <v>0</v>
      </c>
      <c r="AB107" s="2">
        <v>0.98</v>
      </c>
      <c r="AC107" s="2">
        <v>0</v>
      </c>
      <c r="AD107" s="2">
        <v>0.11999999731779099</v>
      </c>
      <c r="AE107" s="16">
        <f t="shared" si="1"/>
        <v>0.1993341751462836</v>
      </c>
      <c r="AF107" s="2">
        <v>0.75099999999999989</v>
      </c>
      <c r="AG107" s="2">
        <v>0.8</v>
      </c>
      <c r="AH107" s="2">
        <v>0.65900000000000003</v>
      </c>
      <c r="AI107" s="2">
        <v>0.58499999999999996</v>
      </c>
      <c r="AJ107" s="2">
        <v>0.95</v>
      </c>
      <c r="AK107" s="2">
        <v>0.78900000000000003</v>
      </c>
      <c r="AL107" s="2">
        <v>0.875</v>
      </c>
      <c r="AM107" s="2">
        <v>0.78583236363450792</v>
      </c>
      <c r="AN107" s="2">
        <v>0.80678811199964251</v>
      </c>
      <c r="AO107" s="2">
        <v>0.8897471941813947</v>
      </c>
      <c r="AP107" s="2">
        <v>1</v>
      </c>
      <c r="AQ107" s="2">
        <v>0.13082110882569636</v>
      </c>
      <c r="AR107" s="2">
        <v>0.86257355502014155</v>
      </c>
      <c r="AS107" s="2">
        <v>0.40399999999999997</v>
      </c>
    </row>
    <row r="108" spans="1:45">
      <c r="A108" s="13" t="s">
        <v>293</v>
      </c>
      <c r="B108" s="15" t="s">
        <v>158</v>
      </c>
      <c r="C108" s="20">
        <v>49.6</v>
      </c>
      <c r="D108" s="21">
        <v>1004</v>
      </c>
      <c r="E108" s="22">
        <v>6.91</v>
      </c>
      <c r="F108" s="23">
        <v>0.54</v>
      </c>
      <c r="G108" s="2">
        <v>0.61482713498622588</v>
      </c>
      <c r="H108" s="2">
        <v>4.3560000000000001E-2</v>
      </c>
      <c r="I108" s="2">
        <v>0.6063999996334315</v>
      </c>
      <c r="J108" s="2">
        <v>0.19999999999999996</v>
      </c>
      <c r="K108" s="2">
        <v>0.36</v>
      </c>
      <c r="L108" s="2">
        <v>0.89439999990165231</v>
      </c>
      <c r="M108" s="2">
        <v>0.5299166666666667</v>
      </c>
      <c r="N108" s="2">
        <v>0.70841399984322495</v>
      </c>
      <c r="O108" s="2">
        <v>0.97099900782415038</v>
      </c>
      <c r="P108" s="2">
        <v>0.1</v>
      </c>
      <c r="Q108" s="2">
        <v>0.13779999982565641</v>
      </c>
      <c r="R108" s="2">
        <v>1</v>
      </c>
      <c r="S108" s="2">
        <v>0.20749999999999999</v>
      </c>
      <c r="T108" s="2">
        <v>0.97431999999999996</v>
      </c>
      <c r="U108" s="2">
        <v>0.54144343306735254</v>
      </c>
      <c r="V108" s="2">
        <v>0.698032506</v>
      </c>
      <c r="W108" s="2">
        <v>0.28594786925971849</v>
      </c>
      <c r="X108" s="2">
        <v>0.57738278522363418</v>
      </c>
      <c r="Y108" s="2">
        <v>2.736861370894195E-2</v>
      </c>
      <c r="Z108" s="2">
        <v>5.52040884424553E-2</v>
      </c>
      <c r="AA108" s="2">
        <v>0.81</v>
      </c>
      <c r="AB108" s="2">
        <v>0.67</v>
      </c>
      <c r="AC108" s="2">
        <v>5.1587165113319809E-3</v>
      </c>
      <c r="AD108" s="2">
        <v>0.90487999641729555</v>
      </c>
      <c r="AE108" s="16">
        <f t="shared" si="1"/>
        <v>0.49681478405465568</v>
      </c>
      <c r="AF108" s="2">
        <v>0.71900000000000008</v>
      </c>
      <c r="AG108" s="2">
        <v>0.5</v>
      </c>
      <c r="AH108" s="2">
        <v>0.873</v>
      </c>
      <c r="AI108" s="2">
        <v>0.88800000000000001</v>
      </c>
      <c r="AJ108" s="2">
        <v>0.6</v>
      </c>
      <c r="AK108" s="2">
        <v>0.754</v>
      </c>
      <c r="AL108" s="2">
        <v>0.73199999999999998</v>
      </c>
      <c r="AM108" s="2">
        <v>0.36734380584781179</v>
      </c>
      <c r="AN108" s="2">
        <v>0.3770260547603459</v>
      </c>
      <c r="AO108" s="2">
        <v>0.45117962258551508</v>
      </c>
      <c r="AP108" s="2">
        <v>0.33616150403283385</v>
      </c>
      <c r="AQ108" s="2">
        <v>5.0668624297154005E-2</v>
      </c>
      <c r="AR108" s="2">
        <v>0.35439196949920604</v>
      </c>
      <c r="AS108" s="2">
        <v>0.46899999999999997</v>
      </c>
    </row>
    <row r="109" spans="1:45">
      <c r="A109" s="13" t="s">
        <v>294</v>
      </c>
      <c r="B109" s="15" t="s">
        <v>180</v>
      </c>
      <c r="C109" s="20">
        <v>48.5</v>
      </c>
      <c r="D109" s="21">
        <v>794</v>
      </c>
      <c r="E109" s="22">
        <v>6.68</v>
      </c>
      <c r="F109" s="23">
        <v>0.49</v>
      </c>
      <c r="G109" s="2">
        <v>0.12312357320099258</v>
      </c>
      <c r="H109" s="2">
        <v>6.7331999749168758E-2</v>
      </c>
      <c r="I109" s="2">
        <v>0.23199999928474424</v>
      </c>
      <c r="J109" s="2">
        <v>0.30000000000000004</v>
      </c>
      <c r="K109" s="2">
        <v>0.41133333333333333</v>
      </c>
      <c r="L109" s="2">
        <v>0.46239999949932098</v>
      </c>
      <c r="M109" s="2">
        <v>0.60066666666666668</v>
      </c>
      <c r="N109" s="2">
        <v>0.81506999981962136</v>
      </c>
      <c r="O109" s="2">
        <v>0.997229047619</v>
      </c>
      <c r="P109" s="2">
        <v>0.12</v>
      </c>
      <c r="Q109" s="2">
        <v>5.2999999932944776E-2</v>
      </c>
      <c r="R109" s="2">
        <v>0.38879999935626985</v>
      </c>
      <c r="S109" s="2">
        <v>0.40749999999999997</v>
      </c>
      <c r="T109" s="2">
        <v>0.98728000000000005</v>
      </c>
      <c r="U109" s="2">
        <v>0.68126532588049782</v>
      </c>
      <c r="V109" s="2">
        <v>0.98634812199999999</v>
      </c>
      <c r="W109" s="2">
        <v>1</v>
      </c>
      <c r="X109" s="2">
        <v>0.71236130358759553</v>
      </c>
      <c r="Y109" s="2">
        <v>0</v>
      </c>
      <c r="Z109" s="2">
        <v>0</v>
      </c>
      <c r="AA109" s="2">
        <v>0.91</v>
      </c>
      <c r="AB109" s="2">
        <v>0.98</v>
      </c>
      <c r="AC109" s="2">
        <v>0.19132653061224492</v>
      </c>
      <c r="AD109" s="2">
        <v>0.54979999540000002</v>
      </c>
      <c r="AE109" s="16">
        <f t="shared" si="1"/>
        <v>0.49903482899760016</v>
      </c>
      <c r="AF109" s="2">
        <v>0.44799999999999995</v>
      </c>
      <c r="AG109" s="2">
        <v>0.5</v>
      </c>
      <c r="AH109" s="2">
        <v>0.78900000000000003</v>
      </c>
      <c r="AI109" s="2">
        <v>0.45799999999999996</v>
      </c>
      <c r="AJ109" s="2">
        <v>0.5</v>
      </c>
      <c r="AK109" s="2">
        <v>0.71</v>
      </c>
      <c r="AL109" s="2">
        <v>0.68599999999999994</v>
      </c>
      <c r="AM109" s="2">
        <v>0.48832321804568446</v>
      </c>
      <c r="AN109" s="2">
        <v>0.45709268523705049</v>
      </c>
      <c r="AO109" s="2">
        <v>0.40641020366787417</v>
      </c>
      <c r="AP109" s="2">
        <v>0.17296258109151075</v>
      </c>
      <c r="AQ109" s="2">
        <v>6.6228371523059902E-3</v>
      </c>
      <c r="AR109" s="2">
        <v>0.46202975435250382</v>
      </c>
      <c r="AS109" s="2">
        <v>0.59299999999999997</v>
      </c>
    </row>
    <row r="110" spans="1:45">
      <c r="A110" s="13" t="s">
        <v>295</v>
      </c>
      <c r="B110" s="15" t="s">
        <v>55</v>
      </c>
      <c r="C110" s="20">
        <v>69.2</v>
      </c>
      <c r="D110" s="21">
        <v>14012</v>
      </c>
      <c r="E110" s="22">
        <v>9.5500000000000007</v>
      </c>
      <c r="F110" s="23">
        <v>0.83</v>
      </c>
      <c r="G110" s="2">
        <v>1.8463235294117648E-2</v>
      </c>
      <c r="H110" s="2">
        <v>2.138E-2</v>
      </c>
      <c r="I110" s="2">
        <v>3.9999999105930328E-2</v>
      </c>
      <c r="J110" s="2">
        <v>0.15000000000000002</v>
      </c>
      <c r="K110" s="2">
        <v>2.1999999999999999E-2</v>
      </c>
      <c r="L110" s="2">
        <v>7.8399999141693155E-2</v>
      </c>
      <c r="M110" s="2">
        <v>0.47866666666666663</v>
      </c>
      <c r="N110" s="2">
        <v>0.29007199993580579</v>
      </c>
      <c r="O110" s="2">
        <v>0.5</v>
      </c>
      <c r="P110" s="2">
        <v>0.64</v>
      </c>
      <c r="Q110" s="2">
        <v>0.87979999888688321</v>
      </c>
      <c r="R110" s="2">
        <v>6.5999999865889544E-2</v>
      </c>
      <c r="S110" s="2">
        <v>0.76749999999999996</v>
      </c>
      <c r="T110" s="2">
        <v>0.81552000000000002</v>
      </c>
      <c r="U110" s="2">
        <v>0.27190961818218373</v>
      </c>
      <c r="V110" s="2">
        <v>0.485564304</v>
      </c>
      <c r="W110" s="2">
        <v>0</v>
      </c>
      <c r="X110" s="2">
        <v>2.1405690261597905E-2</v>
      </c>
      <c r="Y110" s="2">
        <v>6.2196356209579855E-2</v>
      </c>
      <c r="Z110" s="2">
        <v>0.235062208213485</v>
      </c>
      <c r="AA110" s="2">
        <v>5.9999999999998943E-3</v>
      </c>
      <c r="AB110" s="2">
        <v>0</v>
      </c>
      <c r="AC110" s="2">
        <v>6.3917211992086442E-2</v>
      </c>
      <c r="AD110" s="2">
        <v>0.23849011588390667</v>
      </c>
      <c r="AE110" s="16">
        <f t="shared" si="1"/>
        <v>0.25634780848499278</v>
      </c>
      <c r="AF110" s="2">
        <v>0.69900000000000007</v>
      </c>
      <c r="AG110" s="2">
        <v>0.5</v>
      </c>
      <c r="AH110" s="2">
        <v>0.84299999999999997</v>
      </c>
      <c r="AI110" s="2">
        <v>0.81299999999999994</v>
      </c>
      <c r="AJ110" s="2">
        <v>0.3</v>
      </c>
      <c r="AK110" s="2">
        <v>0.76700000000000002</v>
      </c>
      <c r="AL110" s="2">
        <v>0.78700000000000003</v>
      </c>
      <c r="AM110" s="2">
        <v>0.5129015784705756</v>
      </c>
      <c r="AN110" s="2">
        <v>0.3949269474309019</v>
      </c>
      <c r="AO110" s="2">
        <v>0.50416489466978165</v>
      </c>
      <c r="AP110" s="2">
        <v>1</v>
      </c>
      <c r="AQ110" s="2">
        <v>0.49997005760849061</v>
      </c>
      <c r="AR110" s="2">
        <v>0.60835264247140108</v>
      </c>
      <c r="AS110" s="2">
        <v>0.71400000000000008</v>
      </c>
    </row>
    <row r="111" spans="1:45">
      <c r="A111" s="13" t="s">
        <v>296</v>
      </c>
      <c r="B111" s="15" t="s">
        <v>137</v>
      </c>
      <c r="C111" s="20" t="e">
        <v>#N/A</v>
      </c>
      <c r="D111" s="21">
        <v>5476</v>
      </c>
      <c r="E111" s="22">
        <v>8.61</v>
      </c>
      <c r="F111" s="23">
        <v>0.77</v>
      </c>
      <c r="G111" s="2">
        <v>0.12949722772277228</v>
      </c>
      <c r="H111" s="2">
        <v>0.15670000000000001</v>
      </c>
      <c r="I111" s="2">
        <v>0.12639999918639655</v>
      </c>
      <c r="J111" s="2">
        <v>0.125</v>
      </c>
      <c r="K111" s="2">
        <v>0.11133333333333334</v>
      </c>
      <c r="L111" s="2">
        <v>5.9199999123811686E-2</v>
      </c>
      <c r="M111" s="2">
        <v>0.44466666666666665</v>
      </c>
      <c r="N111" s="2">
        <v>0.61428199986405674</v>
      </c>
      <c r="O111" s="2">
        <v>0.99124999999999996</v>
      </c>
      <c r="P111" s="2">
        <v>0.08</v>
      </c>
      <c r="Q111" s="2">
        <v>1</v>
      </c>
      <c r="R111" s="2">
        <v>0.84959999710321432</v>
      </c>
      <c r="S111" s="2">
        <v>0.44999999999999996</v>
      </c>
      <c r="T111" s="2">
        <v>0.69439999999999991</v>
      </c>
      <c r="U111" s="2">
        <v>0.32562325725659746</v>
      </c>
      <c r="V111" s="2">
        <v>0.166197184</v>
      </c>
      <c r="W111" s="2">
        <v>1.2313090938775058E-2</v>
      </c>
      <c r="X111" s="2">
        <v>2.1161294161808009E-2</v>
      </c>
      <c r="Y111" s="2">
        <v>1</v>
      </c>
      <c r="Z111" s="2">
        <v>1</v>
      </c>
      <c r="AA111" s="2">
        <v>0</v>
      </c>
      <c r="AB111" s="2">
        <v>0.5</v>
      </c>
      <c r="AC111" s="2">
        <v>0</v>
      </c>
      <c r="AD111" s="2">
        <v>0</v>
      </c>
      <c r="AE111" s="16">
        <f t="shared" si="1"/>
        <v>0.36906766872322638</v>
      </c>
      <c r="AF111" s="2">
        <v>0.82299999999999995</v>
      </c>
      <c r="AG111" s="2">
        <v>0.3</v>
      </c>
      <c r="AH111" s="2">
        <v>0.95499999999999996</v>
      </c>
      <c r="AI111" s="2" t="e">
        <v>#N/A</v>
      </c>
      <c r="AJ111" s="2">
        <v>0.35</v>
      </c>
      <c r="AK111" s="2">
        <v>0.69700000000000006</v>
      </c>
      <c r="AL111" s="2">
        <v>0.44500000000000001</v>
      </c>
      <c r="AM111" s="2">
        <v>0.47100411821427468</v>
      </c>
      <c r="AN111" s="2">
        <v>0.47221927494023053</v>
      </c>
      <c r="AO111" s="2">
        <v>0.36385080311153317</v>
      </c>
      <c r="AP111" s="2">
        <v>1</v>
      </c>
      <c r="AQ111" s="2">
        <v>2.5768914364257029E-3</v>
      </c>
      <c r="AR111" s="2">
        <v>0.4830369463323641</v>
      </c>
      <c r="AS111" s="2">
        <v>0.753</v>
      </c>
    </row>
    <row r="112" spans="1:45">
      <c r="A112" s="13" t="s">
        <v>297</v>
      </c>
      <c r="B112" s="15" t="s">
        <v>152</v>
      </c>
      <c r="C112" s="20">
        <v>48.2</v>
      </c>
      <c r="D112" s="21">
        <v>1185</v>
      </c>
      <c r="E112" s="22">
        <v>7.08</v>
      </c>
      <c r="F112" s="23">
        <v>0.37</v>
      </c>
      <c r="G112" s="2">
        <v>0.21302745995423344</v>
      </c>
      <c r="H112" s="2">
        <v>6.5460000000000004E-2</v>
      </c>
      <c r="I112" s="2">
        <v>0.46239999949932098</v>
      </c>
      <c r="J112" s="2">
        <v>0.44999999999999996</v>
      </c>
      <c r="K112" s="2">
        <v>0.58666666666666667</v>
      </c>
      <c r="L112" s="2">
        <v>0.65439999967813489</v>
      </c>
      <c r="M112" s="2">
        <v>0.66024999999999989</v>
      </c>
      <c r="N112" s="2">
        <v>0.67932599984966235</v>
      </c>
      <c r="O112" s="2">
        <v>0.98493092783500003</v>
      </c>
      <c r="P112" s="2">
        <v>0.88</v>
      </c>
      <c r="Q112" s="2">
        <v>9.539999987930059E-2</v>
      </c>
      <c r="R112" s="2">
        <v>1</v>
      </c>
      <c r="S112" s="2">
        <v>0.20749999999999999</v>
      </c>
      <c r="T112" s="2">
        <v>0.98407999999999995</v>
      </c>
      <c r="U112" s="2">
        <v>0.77016273084133857</v>
      </c>
      <c r="V112" s="2">
        <v>1</v>
      </c>
      <c r="W112" s="2">
        <v>0.25854136120078364</v>
      </c>
      <c r="X112" s="2">
        <v>1</v>
      </c>
      <c r="Y112" s="2">
        <v>0</v>
      </c>
      <c r="Z112" s="2">
        <v>0</v>
      </c>
      <c r="AA112" s="2">
        <v>0.82600000000000007</v>
      </c>
      <c r="AB112" s="2">
        <v>0</v>
      </c>
      <c r="AC112" s="2">
        <v>8.6052172202689733E-3</v>
      </c>
      <c r="AD112" s="2">
        <v>0.82868020266452269</v>
      </c>
      <c r="AE112" s="16">
        <f t="shared" si="1"/>
        <v>0.52564294022038471</v>
      </c>
      <c r="AF112" s="2">
        <v>0.47499999999999998</v>
      </c>
      <c r="AG112" s="2">
        <v>0.4</v>
      </c>
      <c r="AH112" s="2">
        <v>0.60199999999999998</v>
      </c>
      <c r="AI112" s="2">
        <v>0.81099999999999994</v>
      </c>
      <c r="AJ112" s="2">
        <v>0.5</v>
      </c>
      <c r="AK112" s="2">
        <v>0.73799999999999999</v>
      </c>
      <c r="AL112" s="2">
        <v>0.69599999999999995</v>
      </c>
      <c r="AM112" s="2">
        <v>0.44737104953779988</v>
      </c>
      <c r="AN112" s="2">
        <v>0.53000484221707089</v>
      </c>
      <c r="AO112" s="2">
        <v>0.36346619040655609</v>
      </c>
      <c r="AP112" s="2">
        <v>0.31638231183905885</v>
      </c>
      <c r="AQ112" s="2">
        <v>8.4947515733464748E-2</v>
      </c>
      <c r="AR112" s="2">
        <v>0.4178459249567047</v>
      </c>
      <c r="AS112" s="2">
        <v>0.67900000000000005</v>
      </c>
    </row>
    <row r="113" spans="1:45">
      <c r="A113" s="13" t="s">
        <v>298</v>
      </c>
      <c r="B113" s="15" t="s">
        <v>8</v>
      </c>
      <c r="C113" s="20">
        <v>72.5</v>
      </c>
      <c r="D113" s="21">
        <v>24814</v>
      </c>
      <c r="E113" s="22">
        <v>10.119999999999999</v>
      </c>
      <c r="F113" s="23">
        <v>0.9</v>
      </c>
      <c r="G113" s="2">
        <v>0.64158529411764709</v>
      </c>
      <c r="H113" s="2">
        <v>0.85547999681308862</v>
      </c>
      <c r="I113" s="2">
        <v>3.9999999105930328E-2</v>
      </c>
      <c r="J113" s="2">
        <v>0.375</v>
      </c>
      <c r="K113" s="2">
        <v>0</v>
      </c>
      <c r="L113" s="2">
        <v>3.9999999105930328E-2</v>
      </c>
      <c r="M113" s="2">
        <v>0.23600000000000002</v>
      </c>
      <c r="N113" s="2">
        <v>5.5751999987661838E-2</v>
      </c>
      <c r="O113" s="2">
        <v>0.68392156862749998</v>
      </c>
      <c r="P113" s="2">
        <v>0.28000000000000003</v>
      </c>
      <c r="Q113" s="2">
        <v>1</v>
      </c>
      <c r="R113" s="2">
        <v>0</v>
      </c>
      <c r="S113" s="2">
        <v>6.7499999999999991E-2</v>
      </c>
      <c r="T113" s="2">
        <v>0.48896000000000006</v>
      </c>
      <c r="U113" s="2">
        <v>0.17089326686859119</v>
      </c>
      <c r="V113" s="2">
        <v>0.11818181799999999</v>
      </c>
      <c r="W113" s="2">
        <v>0</v>
      </c>
      <c r="X113" s="2">
        <v>2.8310736975661758E-3</v>
      </c>
      <c r="Y113" s="2">
        <v>0.16291566062593044</v>
      </c>
      <c r="Z113" s="2">
        <v>0.12943246848923701</v>
      </c>
      <c r="AA113" s="2">
        <v>0</v>
      </c>
      <c r="AB113" s="2">
        <v>1</v>
      </c>
      <c r="AC113" s="2">
        <v>0</v>
      </c>
      <c r="AD113" s="2">
        <v>0.15971199921742085</v>
      </c>
      <c r="AE113" s="16">
        <f t="shared" si="1"/>
        <v>0.27117354769402097</v>
      </c>
      <c r="AF113" s="2">
        <v>0.7</v>
      </c>
      <c r="AG113" s="2">
        <v>0.6</v>
      </c>
      <c r="AH113" s="2">
        <v>0.625</v>
      </c>
      <c r="AI113" s="2">
        <v>0.45600000000000002</v>
      </c>
      <c r="AJ113" s="2">
        <v>0.7</v>
      </c>
      <c r="AK113" s="2">
        <v>0.78099999999999992</v>
      </c>
      <c r="AL113" s="2">
        <v>0.875</v>
      </c>
      <c r="AM113" s="2">
        <v>0.71038114996933432</v>
      </c>
      <c r="AN113" s="2">
        <v>0.73861618120814188</v>
      </c>
      <c r="AO113" s="2">
        <v>0.67883508280805527</v>
      </c>
      <c r="AP113" s="2">
        <v>1</v>
      </c>
      <c r="AQ113" s="2">
        <v>0.44146710898257679</v>
      </c>
      <c r="AR113" s="2">
        <v>0.79924679842397894</v>
      </c>
      <c r="AS113" s="2">
        <v>0.6</v>
      </c>
    </row>
    <row r="114" spans="1:45">
      <c r="A114" s="13" t="s">
        <v>299</v>
      </c>
      <c r="B114" s="15" t="s">
        <v>53</v>
      </c>
      <c r="C114" s="20" t="e">
        <v>#N/A</v>
      </c>
      <c r="D114" s="21">
        <v>2900</v>
      </c>
      <c r="E114" s="22">
        <v>7.97</v>
      </c>
      <c r="F114" s="23" t="s">
        <v>460</v>
      </c>
      <c r="G114" s="2">
        <v>0.81649827558025512</v>
      </c>
      <c r="H114" s="2">
        <v>0.5</v>
      </c>
      <c r="I114" s="2">
        <v>9.7599999159574513E-2</v>
      </c>
      <c r="J114" s="2">
        <v>9.9999999999999978E-2</v>
      </c>
      <c r="K114" s="2">
        <v>0.13466666666666666</v>
      </c>
      <c r="L114" s="2">
        <v>0.2991999993473291</v>
      </c>
      <c r="M114" s="2">
        <v>0.44466666666666665</v>
      </c>
      <c r="N114" s="2">
        <v>0.28845599993616339</v>
      </c>
      <c r="O114" s="2">
        <v>1</v>
      </c>
      <c r="P114" s="2">
        <v>0.2</v>
      </c>
      <c r="Q114" s="2">
        <v>1</v>
      </c>
      <c r="R114" s="2">
        <v>0.3</v>
      </c>
      <c r="S114" s="2">
        <v>0.76749999999999996</v>
      </c>
      <c r="T114" s="2">
        <v>0.85407999999999995</v>
      </c>
      <c r="U114" s="2">
        <v>0.65617560392327434</v>
      </c>
      <c r="V114" s="2">
        <v>0.40400471199999999</v>
      </c>
      <c r="W114" s="2">
        <v>0.58252623384608437</v>
      </c>
      <c r="X114" s="2">
        <v>0.5</v>
      </c>
      <c r="Y114" s="2">
        <v>0.75</v>
      </c>
      <c r="Z114" s="2">
        <v>0.99778454556316598</v>
      </c>
      <c r="AA114" s="2">
        <v>0.255</v>
      </c>
      <c r="AB114" s="2">
        <v>0.5</v>
      </c>
      <c r="AC114" s="2">
        <v>0</v>
      </c>
      <c r="AD114" s="2">
        <v>0.5</v>
      </c>
      <c r="AE114" s="16">
        <f t="shared" si="1"/>
        <v>0.49783994594538256</v>
      </c>
      <c r="AF114" s="2" t="e">
        <v>#N/A</v>
      </c>
      <c r="AG114" s="2" t="e">
        <v>#N/A</v>
      </c>
      <c r="AH114" s="2" t="e">
        <v>#N/A</v>
      </c>
      <c r="AI114" s="2" t="e">
        <v>#N/A</v>
      </c>
      <c r="AJ114" s="2" t="e">
        <v>#N/A</v>
      </c>
      <c r="AK114" s="2" t="e">
        <v>#N/A</v>
      </c>
      <c r="AL114" s="2" t="e">
        <v>#N/A</v>
      </c>
      <c r="AM114" s="2">
        <v>0.78916907601115227</v>
      </c>
      <c r="AN114" s="2">
        <v>0.72035672882714508</v>
      </c>
      <c r="AO114" s="2">
        <v>0.42749304671950483</v>
      </c>
      <c r="AP114" s="2">
        <v>1.802522976977633E-2</v>
      </c>
      <c r="AQ114" s="2">
        <v>0.19503497785252227</v>
      </c>
      <c r="AR114" s="2">
        <v>0.43607620217735332</v>
      </c>
      <c r="AS114" s="2" t="e">
        <v>#N/A</v>
      </c>
    </row>
    <row r="115" spans="1:45">
      <c r="A115" s="13" t="s">
        <v>300</v>
      </c>
      <c r="B115" s="15" t="s">
        <v>131</v>
      </c>
      <c r="C115" s="20">
        <v>46.6</v>
      </c>
      <c r="D115" s="21">
        <v>1929</v>
      </c>
      <c r="E115" s="22">
        <v>7.56</v>
      </c>
      <c r="F115" s="23">
        <v>0.52</v>
      </c>
      <c r="G115" s="2">
        <v>0.46430437062937063</v>
      </c>
      <c r="H115" s="2">
        <v>0.14029999999999998</v>
      </c>
      <c r="I115" s="2">
        <v>0.52959999956190584</v>
      </c>
      <c r="J115" s="2">
        <v>0.47499999999999998</v>
      </c>
      <c r="K115" s="2">
        <v>0.26</v>
      </c>
      <c r="L115" s="2">
        <v>0.7503999997675419</v>
      </c>
      <c r="M115" s="2">
        <v>0.63950000000000007</v>
      </c>
      <c r="N115" s="2">
        <v>0.59387999986857176</v>
      </c>
      <c r="O115" s="2">
        <v>1</v>
      </c>
      <c r="P115" s="2">
        <v>0.5</v>
      </c>
      <c r="Q115" s="2">
        <v>0.67839999914169313</v>
      </c>
      <c r="R115" s="2">
        <v>0.75919999934732918</v>
      </c>
      <c r="S115" s="2">
        <v>0.20749999999999999</v>
      </c>
      <c r="T115" s="2">
        <v>0.96279999999999999</v>
      </c>
      <c r="U115" s="2">
        <v>0.6108064770343915</v>
      </c>
      <c r="V115" s="2">
        <v>0.81618168999999996</v>
      </c>
      <c r="W115" s="2">
        <v>0.25820560073985793</v>
      </c>
      <c r="X115" s="2">
        <v>0.63159392423702987</v>
      </c>
      <c r="Y115" s="2">
        <v>1.6717658802714697E-2</v>
      </c>
      <c r="Z115" s="2">
        <v>0.29248158080123798</v>
      </c>
      <c r="AA115" s="2">
        <v>0.69900000000000007</v>
      </c>
      <c r="AB115" s="2">
        <v>0.15</v>
      </c>
      <c r="AC115" s="2">
        <v>8.7319297564761814E-3</v>
      </c>
      <c r="AD115" s="2">
        <v>0.74762879963994022</v>
      </c>
      <c r="AE115" s="16">
        <f t="shared" si="1"/>
        <v>0.50800966788866919</v>
      </c>
      <c r="AF115" s="2">
        <v>0.48299999999999998</v>
      </c>
      <c r="AG115" s="2">
        <v>0.4</v>
      </c>
      <c r="AH115" s="2">
        <v>0.75099999999999989</v>
      </c>
      <c r="AI115" s="2">
        <v>0.7340000000000001</v>
      </c>
      <c r="AJ115" s="2">
        <v>0.3</v>
      </c>
      <c r="AK115" s="2">
        <v>0.78</v>
      </c>
      <c r="AL115" s="2">
        <v>0.69900000000000007</v>
      </c>
      <c r="AM115" s="2">
        <v>0.26861798536648129</v>
      </c>
      <c r="AN115" s="2">
        <v>0.29987800997042602</v>
      </c>
      <c r="AO115" s="2">
        <v>0.36996929173576981</v>
      </c>
      <c r="AP115" s="2">
        <v>0.72948763627085655</v>
      </c>
      <c r="AQ115" s="2">
        <v>5.3892488583596153E-2</v>
      </c>
      <c r="AR115" s="2">
        <v>0.33357028869485217</v>
      </c>
      <c r="AS115" s="2">
        <v>0.52500000000000002</v>
      </c>
    </row>
    <row r="116" spans="1:45">
      <c r="A116" s="13" t="s">
        <v>301</v>
      </c>
      <c r="B116" s="15" t="s">
        <v>130</v>
      </c>
      <c r="C116" s="20">
        <v>70.900000000000006</v>
      </c>
      <c r="D116" s="21">
        <v>12838</v>
      </c>
      <c r="E116" s="22">
        <v>9.4600000000000009</v>
      </c>
      <c r="F116" s="23">
        <v>0.8</v>
      </c>
      <c r="G116" s="2">
        <v>0.35880865856508531</v>
      </c>
      <c r="H116" s="2">
        <v>0.28984999941103162</v>
      </c>
      <c r="I116" s="2">
        <v>4.9599999114871007E-2</v>
      </c>
      <c r="J116" s="2">
        <v>7.5000000000000011E-2</v>
      </c>
      <c r="K116" s="2">
        <v>4.6666666666666671E-3</v>
      </c>
      <c r="L116" s="2">
        <v>0.12639999918639655</v>
      </c>
      <c r="M116" s="2">
        <v>0.44466666666666665</v>
      </c>
      <c r="N116" s="2">
        <v>0.58034599987156688</v>
      </c>
      <c r="O116" s="2">
        <v>0.43559934318561933</v>
      </c>
      <c r="P116" s="2">
        <v>0.34</v>
      </c>
      <c r="Q116" s="2">
        <v>1</v>
      </c>
      <c r="R116" s="2">
        <v>0.2</v>
      </c>
      <c r="S116" s="2">
        <v>0.20749999999999999</v>
      </c>
      <c r="T116" s="2">
        <v>0.76600000000000001</v>
      </c>
      <c r="U116" s="2">
        <v>0.30664194992184801</v>
      </c>
      <c r="V116" s="2">
        <v>0.13720316599999999</v>
      </c>
      <c r="W116" s="2">
        <v>1.658701902752922E-2</v>
      </c>
      <c r="X116" s="2">
        <v>1.6745494725604194E-2</v>
      </c>
      <c r="Y116" s="2">
        <v>0.75</v>
      </c>
      <c r="Z116" s="2">
        <v>9.4130101380787701E-2</v>
      </c>
      <c r="AA116" s="2">
        <v>5.9999999999998943E-3</v>
      </c>
      <c r="AB116" s="2">
        <v>0</v>
      </c>
      <c r="AC116" s="2">
        <v>0</v>
      </c>
      <c r="AD116" s="2">
        <v>5.8911999123543501E-2</v>
      </c>
      <c r="AE116" s="16">
        <f t="shared" si="1"/>
        <v>0.26102737761863398</v>
      </c>
      <c r="AF116" s="2">
        <v>0.82467000018618986</v>
      </c>
      <c r="AG116" s="2">
        <v>0.7</v>
      </c>
      <c r="AH116" s="2">
        <v>0.92500000000000004</v>
      </c>
      <c r="AI116" s="2">
        <v>0.83400000000000007</v>
      </c>
      <c r="AJ116" s="2">
        <v>0.85</v>
      </c>
      <c r="AK116" s="2">
        <v>0.71200000000000008</v>
      </c>
      <c r="AL116" s="2">
        <v>0.85599999999999998</v>
      </c>
      <c r="AM116" s="2">
        <v>0.62082049030160036</v>
      </c>
      <c r="AN116" s="2">
        <v>0.65680073051561727</v>
      </c>
      <c r="AO116" s="2">
        <v>0.64742474060941169</v>
      </c>
      <c r="AP116" s="2">
        <v>0.93734904825671339</v>
      </c>
      <c r="AQ116" s="2">
        <v>0.35525664033085852</v>
      </c>
      <c r="AR116" s="2">
        <v>0.68641358011368037</v>
      </c>
      <c r="AS116" s="2">
        <v>0.78500000000000003</v>
      </c>
    </row>
    <row r="117" spans="1:45">
      <c r="A117" s="13" t="s">
        <v>302</v>
      </c>
      <c r="B117" s="15" t="s">
        <v>39</v>
      </c>
      <c r="C117" s="20">
        <v>66.5</v>
      </c>
      <c r="D117" s="21">
        <v>14258</v>
      </c>
      <c r="E117" s="22">
        <v>9.57</v>
      </c>
      <c r="F117" s="23">
        <v>0.85</v>
      </c>
      <c r="G117" s="2">
        <v>1</v>
      </c>
      <c r="H117" s="2">
        <v>0</v>
      </c>
      <c r="I117" s="2">
        <v>9.7599999159574513E-2</v>
      </c>
      <c r="J117" s="2">
        <v>0.32499999999999996</v>
      </c>
      <c r="K117" s="2">
        <v>1.5333333333333332E-2</v>
      </c>
      <c r="L117" s="2">
        <v>0.18399999924004073</v>
      </c>
      <c r="M117" s="2">
        <v>0.65750000000000008</v>
      </c>
      <c r="N117" s="2">
        <v>0.22724999994970857</v>
      </c>
      <c r="O117" s="2">
        <v>0.87364513006088507</v>
      </c>
      <c r="P117" s="2">
        <v>0.5</v>
      </c>
      <c r="Q117" s="2">
        <v>0.41339999947696926</v>
      </c>
      <c r="R117" s="2">
        <v>0.12</v>
      </c>
      <c r="S117" s="2">
        <v>0.3175</v>
      </c>
      <c r="T117" s="2">
        <v>0.60936000000000001</v>
      </c>
      <c r="U117" s="2">
        <v>0.25874330903743326</v>
      </c>
      <c r="V117" s="2">
        <v>0.22006472399999999</v>
      </c>
      <c r="W117" s="2">
        <v>1.2321354607273231E-4</v>
      </c>
      <c r="X117" s="2">
        <v>5.2498170094868249E-2</v>
      </c>
      <c r="Y117" s="2">
        <v>4.7688665635733873E-2</v>
      </c>
      <c r="Z117" s="2">
        <v>5.6621088264455201E-2</v>
      </c>
      <c r="AA117" s="2">
        <v>1.5000000000000013E-2</v>
      </c>
      <c r="AB117" s="2">
        <v>0</v>
      </c>
      <c r="AC117" s="2">
        <v>1.4660870907173537E-2</v>
      </c>
      <c r="AD117" s="2">
        <v>0.66131199968457222</v>
      </c>
      <c r="AE117" s="16">
        <f t="shared" si="1"/>
        <v>0.27780418759961745</v>
      </c>
      <c r="AF117" s="2">
        <v>0.83</v>
      </c>
      <c r="AG117" s="2">
        <v>0.6</v>
      </c>
      <c r="AH117" s="2">
        <v>0.83499999999999996</v>
      </c>
      <c r="AI117" s="2">
        <v>0.85199999999999998</v>
      </c>
      <c r="AJ117" s="2">
        <v>0.65</v>
      </c>
      <c r="AK117" s="2">
        <v>0.76300000000000001</v>
      </c>
      <c r="AL117" s="2">
        <v>0.82</v>
      </c>
      <c r="AM117" s="2">
        <v>0.36468278903407747</v>
      </c>
      <c r="AN117" s="2">
        <v>0.52593641238080058</v>
      </c>
      <c r="AO117" s="2">
        <v>0.4469064228038605</v>
      </c>
      <c r="AP117" s="2">
        <v>0.85525096807177226</v>
      </c>
      <c r="AQ117" s="2">
        <v>0.3728870403472781</v>
      </c>
      <c r="AR117" s="2">
        <v>0.38755385631762296</v>
      </c>
      <c r="AS117" s="2">
        <v>0.61899999999999999</v>
      </c>
    </row>
    <row r="118" spans="1:45">
      <c r="A118" s="13" t="s">
        <v>448</v>
      </c>
      <c r="B118" s="15" t="s">
        <v>175</v>
      </c>
      <c r="C118" s="20" t="e">
        <v>#N/A</v>
      </c>
      <c r="D118" s="21">
        <v>3088</v>
      </c>
      <c r="E118" s="22">
        <v>8.0399999999999991</v>
      </c>
      <c r="F118" s="23" t="s">
        <v>460</v>
      </c>
      <c r="G118" s="2">
        <v>0.5</v>
      </c>
      <c r="H118" s="2">
        <v>0.5</v>
      </c>
      <c r="I118" s="2">
        <v>0.15399999789893626</v>
      </c>
      <c r="J118" s="2">
        <v>0.125</v>
      </c>
      <c r="K118" s="2">
        <v>5.5333333333333332E-2</v>
      </c>
      <c r="L118" s="2">
        <v>0.75699999939650298</v>
      </c>
      <c r="M118" s="2">
        <v>0.44466666666666665</v>
      </c>
      <c r="N118" s="2">
        <v>0.7815379998270422</v>
      </c>
      <c r="O118" s="2">
        <v>1</v>
      </c>
      <c r="P118" s="2">
        <v>0.08</v>
      </c>
      <c r="Q118" s="2">
        <v>1</v>
      </c>
      <c r="R118" s="2">
        <v>0.3</v>
      </c>
      <c r="S118" s="2">
        <v>0.76749999999999996</v>
      </c>
      <c r="T118" s="2">
        <v>0.86448000000000003</v>
      </c>
      <c r="U118" s="2">
        <v>0.38320593048095697</v>
      </c>
      <c r="V118" s="2">
        <v>0.430997876</v>
      </c>
      <c r="W118" s="2">
        <v>0.69400268081941419</v>
      </c>
      <c r="X118" s="2">
        <v>0.5</v>
      </c>
      <c r="Y118" s="2">
        <v>0.75</v>
      </c>
      <c r="Z118" s="2">
        <v>0.31234039898698202</v>
      </c>
      <c r="AA118" s="2">
        <v>0.45999999999999996</v>
      </c>
      <c r="AB118" s="2">
        <v>0</v>
      </c>
      <c r="AC118" s="2">
        <v>0</v>
      </c>
      <c r="AD118" s="2">
        <v>0.85649999929592013</v>
      </c>
      <c r="AE118" s="16">
        <f t="shared" si="1"/>
        <v>0.48819020344607306</v>
      </c>
      <c r="AF118" s="2">
        <v>0.59099999999999997</v>
      </c>
      <c r="AG118" s="2">
        <v>0.3</v>
      </c>
      <c r="AH118" s="2">
        <v>0.97499999999999998</v>
      </c>
      <c r="AI118" s="2" t="e">
        <v>#N/A</v>
      </c>
      <c r="AJ118" s="2">
        <v>0.2</v>
      </c>
      <c r="AK118" s="2">
        <v>0.76700000000000002</v>
      </c>
      <c r="AL118" s="2">
        <v>0.81</v>
      </c>
      <c r="AM118" s="2">
        <v>0.75782101169708871</v>
      </c>
      <c r="AN118" s="2">
        <v>0.70811810239197415</v>
      </c>
      <c r="AO118" s="2">
        <v>0.47874626200718529</v>
      </c>
      <c r="AP118" s="2">
        <v>0.37750162569031687</v>
      </c>
      <c r="AQ118" s="2">
        <v>0.16109702947162838</v>
      </c>
      <c r="AR118" s="2">
        <v>0.51736582657655561</v>
      </c>
      <c r="AS118" s="2">
        <v>0.81799999999999995</v>
      </c>
    </row>
    <row r="119" spans="1:45">
      <c r="A119" s="13" t="s">
        <v>449</v>
      </c>
      <c r="B119" s="15" t="s">
        <v>129</v>
      </c>
      <c r="C119" s="20">
        <v>63.5</v>
      </c>
      <c r="D119" s="21">
        <v>2854</v>
      </c>
      <c r="E119" s="22">
        <v>7.96</v>
      </c>
      <c r="F119" s="23">
        <v>0.72</v>
      </c>
      <c r="G119" s="2">
        <v>4.8980454545454563E-2</v>
      </c>
      <c r="H119" s="2">
        <v>0.16440000000000002</v>
      </c>
      <c r="I119" s="2">
        <v>0.13599999919533734</v>
      </c>
      <c r="J119" s="2">
        <v>0.55000000000000004</v>
      </c>
      <c r="K119" s="2">
        <v>0.01</v>
      </c>
      <c r="L119" s="2">
        <v>0.24159999929368492</v>
      </c>
      <c r="M119" s="2">
        <v>0.27966666666666667</v>
      </c>
      <c r="N119" s="2">
        <v>0.59105199986919765</v>
      </c>
      <c r="O119" s="2">
        <v>0.88869201303682255</v>
      </c>
      <c r="P119" s="2">
        <v>0.08</v>
      </c>
      <c r="Q119" s="2">
        <v>0.15899999979883431</v>
      </c>
      <c r="R119" s="2">
        <v>0.05</v>
      </c>
      <c r="S119" s="2">
        <v>0.87499999999999989</v>
      </c>
      <c r="T119" s="2">
        <v>0.52055999999999991</v>
      </c>
      <c r="U119" s="2">
        <v>0.38600678902015118</v>
      </c>
      <c r="V119" s="2">
        <v>0.120408164</v>
      </c>
      <c r="W119" s="2">
        <v>3.9603223161735632E-2</v>
      </c>
      <c r="X119" s="2">
        <v>1.2796799848998817E-2</v>
      </c>
      <c r="Y119" s="2">
        <v>2.2383562445238349E-2</v>
      </c>
      <c r="Z119" s="2">
        <v>2.0423356933776698E-2</v>
      </c>
      <c r="AA119" s="2">
        <v>0</v>
      </c>
      <c r="AB119" s="2">
        <v>0.97</v>
      </c>
      <c r="AC119" s="2">
        <v>0.18242626938279113</v>
      </c>
      <c r="AD119" s="2">
        <v>0.17631999923288832</v>
      </c>
      <c r="AE119" s="16">
        <f t="shared" si="1"/>
        <v>0.27188830401798242</v>
      </c>
      <c r="AF119" s="2">
        <v>0.70200000000000007</v>
      </c>
      <c r="AG119" s="2">
        <v>0.5</v>
      </c>
      <c r="AH119" s="2">
        <v>0.85099999999999998</v>
      </c>
      <c r="AI119" s="2">
        <v>0.43</v>
      </c>
      <c r="AJ119" s="2">
        <v>0.3</v>
      </c>
      <c r="AK119" s="2">
        <v>0.67500000000000004</v>
      </c>
      <c r="AL119" s="2">
        <v>0.79900000000000004</v>
      </c>
      <c r="AM119" s="2">
        <v>0.4000261029317877</v>
      </c>
      <c r="AN119" s="2">
        <v>0.43870645173674949</v>
      </c>
      <c r="AO119" s="2">
        <v>0.35421019675282645</v>
      </c>
      <c r="AP119" s="2">
        <v>0.85009299296063967</v>
      </c>
      <c r="AQ119" s="2">
        <v>0.54157044869370163</v>
      </c>
      <c r="AR119" s="2">
        <v>0.41003090183137025</v>
      </c>
      <c r="AS119" s="2">
        <v>0.42700000000000005</v>
      </c>
    </row>
    <row r="120" spans="1:45">
      <c r="A120" s="13" t="s">
        <v>305</v>
      </c>
      <c r="B120" s="15" t="s">
        <v>2</v>
      </c>
      <c r="C120" s="20" t="e">
        <v>#N/A</v>
      </c>
      <c r="D120" s="21">
        <v>215163</v>
      </c>
      <c r="E120" s="22">
        <v>12.28</v>
      </c>
      <c r="F120" s="23" t="s">
        <v>460</v>
      </c>
      <c r="G120" s="2">
        <v>3.4316583885209723E-2</v>
      </c>
      <c r="H120" s="2">
        <v>0.16440000000000002</v>
      </c>
      <c r="I120" s="2">
        <v>3.9999999105930328E-2</v>
      </c>
      <c r="J120" s="2">
        <v>0.5</v>
      </c>
      <c r="K120" s="2">
        <v>1.3333333333333333E-3</v>
      </c>
      <c r="L120" s="2">
        <v>3.9999999105930328E-2</v>
      </c>
      <c r="M120" s="2">
        <v>0.23600000000000002</v>
      </c>
      <c r="N120" s="2">
        <v>0</v>
      </c>
      <c r="O120" s="2">
        <v>1</v>
      </c>
      <c r="P120" s="2">
        <v>0.46</v>
      </c>
      <c r="Q120" s="2">
        <v>1</v>
      </c>
      <c r="R120" s="2">
        <v>0</v>
      </c>
      <c r="S120" s="2">
        <v>6.7499999999999991E-2</v>
      </c>
      <c r="T120" s="2">
        <v>0</v>
      </c>
      <c r="U120" s="2">
        <v>0.38600678902015118</v>
      </c>
      <c r="V120" s="2">
        <v>0.114583334</v>
      </c>
      <c r="W120" s="2">
        <v>0</v>
      </c>
      <c r="X120" s="2">
        <v>1.2796799848998817E-2</v>
      </c>
      <c r="Y120" s="2">
        <v>0.72699505478522253</v>
      </c>
      <c r="Z120" s="2">
        <v>0.727018195805616</v>
      </c>
      <c r="AA120" s="2">
        <v>0</v>
      </c>
      <c r="AB120" s="2">
        <v>0.97</v>
      </c>
      <c r="AC120" s="2">
        <v>0</v>
      </c>
      <c r="AD120" s="2">
        <v>3.9999999105930328E-2</v>
      </c>
      <c r="AE120" s="16">
        <f t="shared" si="1"/>
        <v>0.27170625366651341</v>
      </c>
      <c r="AF120" s="2" t="e">
        <v>#N/A</v>
      </c>
      <c r="AG120" s="2" t="e">
        <v>#N/A</v>
      </c>
      <c r="AH120" s="2" t="e">
        <v>#N/A</v>
      </c>
      <c r="AI120" s="2" t="e">
        <v>#N/A</v>
      </c>
      <c r="AJ120" s="2" t="e">
        <v>#N/A</v>
      </c>
      <c r="AK120" s="2" t="e">
        <v>#N/A</v>
      </c>
      <c r="AL120" s="2" t="e">
        <v>#N/A</v>
      </c>
      <c r="AM120" s="2">
        <v>0.71573041748424115</v>
      </c>
      <c r="AN120" s="2">
        <v>0.68038565788557248</v>
      </c>
      <c r="AO120" s="2" t="e">
        <v>#N/A</v>
      </c>
      <c r="AP120" s="2" t="e">
        <v>#N/A</v>
      </c>
      <c r="AQ120" s="2" t="e">
        <v>#N/A</v>
      </c>
      <c r="AR120" s="2">
        <v>0.67558457630235724</v>
      </c>
      <c r="AS120" s="2" t="e">
        <v>#N/A</v>
      </c>
    </row>
    <row r="121" spans="1:45">
      <c r="A121" s="13" t="s">
        <v>306</v>
      </c>
      <c r="B121" s="15" t="s">
        <v>66</v>
      </c>
      <c r="C121" s="20">
        <v>71.7</v>
      </c>
      <c r="D121" s="21">
        <v>11159</v>
      </c>
      <c r="E121" s="22">
        <v>9.32</v>
      </c>
      <c r="F121" s="23" t="e">
        <v>#N/A</v>
      </c>
      <c r="G121" s="2">
        <v>0.65254618284637145</v>
      </c>
      <c r="H121" s="2">
        <v>0.17665999964103102</v>
      </c>
      <c r="I121" s="2">
        <v>3.9999999105930328E-2</v>
      </c>
      <c r="J121" s="2">
        <v>0.6</v>
      </c>
      <c r="K121" s="2">
        <v>0</v>
      </c>
      <c r="L121" s="2">
        <v>0.14559999920427802</v>
      </c>
      <c r="M121" s="2">
        <v>0.28591666666666671</v>
      </c>
      <c r="N121" s="2">
        <v>0.32925999992713328</v>
      </c>
      <c r="O121" s="2">
        <v>0.8794024938042132</v>
      </c>
      <c r="P121" s="2">
        <v>0.32</v>
      </c>
      <c r="Q121" s="2">
        <v>0.29679999962449077</v>
      </c>
      <c r="R121" s="2">
        <v>3.2399999946355819E-2</v>
      </c>
      <c r="S121" s="2">
        <v>7.4999999999999997E-2</v>
      </c>
      <c r="T121" s="2">
        <v>0.62269599999999992</v>
      </c>
      <c r="U121" s="2">
        <v>0.2751427108681207</v>
      </c>
      <c r="V121" s="2">
        <v>6.5217391999999999E-2</v>
      </c>
      <c r="W121" s="2">
        <v>1.0225622232237023E-2</v>
      </c>
      <c r="X121" s="2">
        <v>3.550900856947353E-3</v>
      </c>
      <c r="Y121" s="2">
        <v>0</v>
      </c>
      <c r="Z121" s="2">
        <v>0</v>
      </c>
      <c r="AA121" s="2">
        <v>0</v>
      </c>
      <c r="AB121" s="2">
        <v>0.52</v>
      </c>
      <c r="AC121" s="2">
        <v>0.29492725127801811</v>
      </c>
      <c r="AD121" s="2">
        <v>0.45721599949449299</v>
      </c>
      <c r="AE121" s="16">
        <f t="shared" si="1"/>
        <v>0.25344005072901193</v>
      </c>
      <c r="AF121" s="2">
        <v>0.65200000000000002</v>
      </c>
      <c r="AG121" s="2">
        <v>0.6</v>
      </c>
      <c r="AH121" s="2">
        <v>0.89300000000000002</v>
      </c>
      <c r="AI121" s="2">
        <v>0.65900000000000003</v>
      </c>
      <c r="AJ121" s="2">
        <v>0.6</v>
      </c>
      <c r="AK121" s="2">
        <v>0.79</v>
      </c>
      <c r="AL121" s="2">
        <v>0.83299999999999996</v>
      </c>
      <c r="AM121" s="2">
        <v>0.45714816390081603</v>
      </c>
      <c r="AN121" s="2">
        <v>0.52549863357577031</v>
      </c>
      <c r="AO121" s="2">
        <v>0.49440378975826371</v>
      </c>
      <c r="AP121" s="2">
        <v>1</v>
      </c>
      <c r="AQ121" s="2">
        <v>0.55380644623005826</v>
      </c>
      <c r="AR121" s="2">
        <v>0.45574899075891623</v>
      </c>
      <c r="AS121" s="2">
        <v>0.83099999999999996</v>
      </c>
    </row>
    <row r="122" spans="1:45">
      <c r="A122" s="13" t="s">
        <v>307</v>
      </c>
      <c r="B122" s="15" t="s">
        <v>94</v>
      </c>
      <c r="C122" s="20">
        <v>61.8</v>
      </c>
      <c r="D122" s="21">
        <v>3522</v>
      </c>
      <c r="E122" s="22">
        <v>8.17</v>
      </c>
      <c r="F122" s="23">
        <v>0.73</v>
      </c>
      <c r="G122" s="2">
        <v>1</v>
      </c>
      <c r="H122" s="2">
        <v>1.7243999935761093E-2</v>
      </c>
      <c r="I122" s="2">
        <v>0.27039999932050707</v>
      </c>
      <c r="J122" s="2">
        <v>0.77499999999999991</v>
      </c>
      <c r="K122" s="2">
        <v>0.13</v>
      </c>
      <c r="L122" s="2">
        <v>0.51999999955296516</v>
      </c>
      <c r="M122" s="2">
        <v>0.26791666666666664</v>
      </c>
      <c r="N122" s="2">
        <v>0.43086599990464747</v>
      </c>
      <c r="O122" s="2">
        <v>0.98639215686266668</v>
      </c>
      <c r="P122" s="2">
        <v>0.5</v>
      </c>
      <c r="Q122" s="2">
        <v>0.74199999906122682</v>
      </c>
      <c r="R122" s="2">
        <v>0.12099999975413085</v>
      </c>
      <c r="S122" s="2">
        <v>0.76749999999999996</v>
      </c>
      <c r="T122" s="2">
        <v>0.63895999999999997</v>
      </c>
      <c r="U122" s="2">
        <v>0.42186723783403723</v>
      </c>
      <c r="V122" s="2">
        <v>0.20227272800000001</v>
      </c>
      <c r="W122" s="2">
        <v>0</v>
      </c>
      <c r="X122" s="2">
        <v>3.5420577369549552E-2</v>
      </c>
      <c r="Y122" s="2">
        <v>0</v>
      </c>
      <c r="Z122" s="2">
        <v>0</v>
      </c>
      <c r="AA122" s="2">
        <v>0.32999999999999996</v>
      </c>
      <c r="AB122" s="2">
        <v>0</v>
      </c>
      <c r="AC122" s="2">
        <v>3.8620973763485154E-3</v>
      </c>
      <c r="AD122" s="2">
        <v>0.97059999987483025</v>
      </c>
      <c r="AE122" s="16">
        <f t="shared" si="1"/>
        <v>0.38047089422972236</v>
      </c>
      <c r="AF122" s="2">
        <v>0.69</v>
      </c>
      <c r="AG122" s="2">
        <v>0.6</v>
      </c>
      <c r="AH122" s="2">
        <v>0.81900000000000006</v>
      </c>
      <c r="AI122" s="2">
        <v>0.56700000000000006</v>
      </c>
      <c r="AJ122" s="2">
        <v>0.5</v>
      </c>
      <c r="AK122" s="2">
        <v>0.66500000000000004</v>
      </c>
      <c r="AL122" s="2">
        <v>0.79799999999999993</v>
      </c>
      <c r="AM122" s="2">
        <v>0.56443183673286279</v>
      </c>
      <c r="AN122" s="2">
        <v>0.4901837554111147</v>
      </c>
      <c r="AO122" s="2">
        <v>0.34726209700435084</v>
      </c>
      <c r="AP122" s="2">
        <v>0.92622867552733712</v>
      </c>
      <c r="AQ122" s="2">
        <v>0.74592511731126843</v>
      </c>
      <c r="AR122" s="2">
        <v>0.42210184483193647</v>
      </c>
      <c r="AS122" s="2">
        <v>0.75900000000000001</v>
      </c>
    </row>
    <row r="123" spans="1:45">
      <c r="A123" s="13" t="s">
        <v>308</v>
      </c>
      <c r="B123" s="15" t="s">
        <v>87</v>
      </c>
      <c r="C123" s="20" t="e">
        <v>#N/A</v>
      </c>
      <c r="D123" s="21">
        <v>13086</v>
      </c>
      <c r="E123" s="22">
        <v>9.48</v>
      </c>
      <c r="F123" s="23">
        <v>0.83</v>
      </c>
      <c r="G123" s="2">
        <v>0.5</v>
      </c>
      <c r="H123" s="2">
        <v>1.7243999935761093E-2</v>
      </c>
      <c r="I123" s="2">
        <v>5.9199999123811686E-2</v>
      </c>
      <c r="J123" s="2">
        <v>0.5</v>
      </c>
      <c r="K123" s="2">
        <v>0</v>
      </c>
      <c r="L123" s="2">
        <v>0.11679999917745587</v>
      </c>
      <c r="M123" s="2">
        <v>0.28333333333333333</v>
      </c>
      <c r="N123" s="2">
        <v>0.40561599991023539</v>
      </c>
      <c r="O123" s="2">
        <v>1</v>
      </c>
      <c r="P123" s="2">
        <v>0.5</v>
      </c>
      <c r="Q123" s="2">
        <v>0.466399999409914</v>
      </c>
      <c r="R123" s="2">
        <v>6.9999999999999993E-2</v>
      </c>
      <c r="S123" s="2">
        <v>7.4999999999999997E-2</v>
      </c>
      <c r="T123" s="2">
        <v>0.61951999999999996</v>
      </c>
      <c r="U123" s="2">
        <v>0.27732729623600927</v>
      </c>
      <c r="V123" s="2">
        <v>4.9275362000000003E-2</v>
      </c>
      <c r="W123" s="2">
        <v>1.097542265867109E-2</v>
      </c>
      <c r="X123" s="2">
        <v>6.5502972543688247E-3</v>
      </c>
      <c r="Y123" s="2">
        <v>0</v>
      </c>
      <c r="Z123" s="2" t="e">
        <v>#N/A</v>
      </c>
      <c r="AA123" s="2">
        <v>0</v>
      </c>
      <c r="AB123" s="2">
        <v>0</v>
      </c>
      <c r="AC123" s="2">
        <v>3.8620973763485154E-3</v>
      </c>
      <c r="AD123" s="2">
        <v>0.5</v>
      </c>
      <c r="AE123" s="16">
        <f t="shared" si="1"/>
        <v>0.23743929593112648</v>
      </c>
      <c r="AF123" s="2">
        <v>0.70099999999999996</v>
      </c>
      <c r="AG123" s="2">
        <v>0.5</v>
      </c>
      <c r="AH123" s="2">
        <v>0.9</v>
      </c>
      <c r="AI123" s="2">
        <v>0.54400000000000004</v>
      </c>
      <c r="AJ123" s="2">
        <v>0.55000000000000004</v>
      </c>
      <c r="AK123" s="2">
        <v>0.73199999999999998</v>
      </c>
      <c r="AL123" s="2">
        <v>0.83200000000000007</v>
      </c>
      <c r="AM123" s="2">
        <v>0.60862536803699696</v>
      </c>
      <c r="AN123" s="2">
        <v>0.5592284894392956</v>
      </c>
      <c r="AO123" s="2">
        <v>0.43762644032476183</v>
      </c>
      <c r="AP123" s="2">
        <v>1</v>
      </c>
      <c r="AQ123" s="2" t="e">
        <v>#N/A</v>
      </c>
      <c r="AR123" s="2">
        <v>0.50733937329235745</v>
      </c>
      <c r="AS123" s="2">
        <v>0.8640000000000001</v>
      </c>
    </row>
    <row r="124" spans="1:45">
      <c r="A124" s="13" t="s">
        <v>309</v>
      </c>
      <c r="B124" s="15" t="s">
        <v>100</v>
      </c>
      <c r="C124" s="20">
        <v>57.5</v>
      </c>
      <c r="D124" s="21">
        <v>4494</v>
      </c>
      <c r="E124" s="22">
        <v>8.41</v>
      </c>
      <c r="F124" s="23">
        <v>0.65</v>
      </c>
      <c r="G124" s="2">
        <v>0.7247233353884095</v>
      </c>
      <c r="H124" s="2">
        <v>0.52091999805942168</v>
      </c>
      <c r="I124" s="2">
        <v>0.22239999927580356</v>
      </c>
      <c r="J124" s="2">
        <v>0.44999999999999996</v>
      </c>
      <c r="K124" s="2">
        <v>7.5999999999999998E-2</v>
      </c>
      <c r="L124" s="2">
        <v>0.33759999938309193</v>
      </c>
      <c r="M124" s="2">
        <v>0.70741666666666669</v>
      </c>
      <c r="N124" s="2">
        <v>0.44076399990245707</v>
      </c>
      <c r="O124" s="2">
        <v>0.86602764707050672</v>
      </c>
      <c r="P124" s="2">
        <v>0.5</v>
      </c>
      <c r="Q124" s="2">
        <v>0.66779999915510413</v>
      </c>
      <c r="R124" s="2">
        <v>0.2239999994635582</v>
      </c>
      <c r="S124" s="2">
        <v>0.78249999999999997</v>
      </c>
      <c r="T124" s="2">
        <v>0.91480000000000006</v>
      </c>
      <c r="U124" s="2">
        <v>0.33119781335935161</v>
      </c>
      <c r="V124" s="2">
        <v>0.28184281799999999</v>
      </c>
      <c r="W124" s="2">
        <v>1.9831854692611123E-3</v>
      </c>
      <c r="X124" s="2">
        <v>7.2238892897897491E-2</v>
      </c>
      <c r="Y124" s="2">
        <v>9.5991834659469189E-3</v>
      </c>
      <c r="Z124" s="2">
        <v>8.0356733011789E-2</v>
      </c>
      <c r="AA124" s="2">
        <v>3.0000000000000027E-2</v>
      </c>
      <c r="AB124" s="2">
        <v>0.96</v>
      </c>
      <c r="AC124" s="2">
        <v>3.3609679587721264E-2</v>
      </c>
      <c r="AD124" s="2">
        <v>0.34940799939408906</v>
      </c>
      <c r="AE124" s="16">
        <f t="shared" si="1"/>
        <v>0.39938283123129464</v>
      </c>
      <c r="AF124" s="2">
        <v>0.7609999999999999</v>
      </c>
      <c r="AG124" s="2">
        <v>0.6</v>
      </c>
      <c r="AH124" s="2">
        <v>0.68500000000000005</v>
      </c>
      <c r="AI124" s="2">
        <v>0.81499999999999995</v>
      </c>
      <c r="AJ124" s="2">
        <v>0.6</v>
      </c>
      <c r="AK124" s="2">
        <v>0.78400000000000003</v>
      </c>
      <c r="AL124" s="2">
        <v>0.71200000000000008</v>
      </c>
      <c r="AM124" s="2">
        <v>0.4153893729269319</v>
      </c>
      <c r="AN124" s="2">
        <v>0.34332688980426557</v>
      </c>
      <c r="AO124" s="2">
        <v>0.45416430062386537</v>
      </c>
      <c r="AP124" s="2">
        <v>0.87025884011792409</v>
      </c>
      <c r="AQ124" s="2">
        <v>0.18220257004113682</v>
      </c>
      <c r="AR124" s="2">
        <v>0.46875841787864142</v>
      </c>
      <c r="AS124" s="2">
        <v>0.217</v>
      </c>
    </row>
    <row r="125" spans="1:45">
      <c r="A125" s="13" t="s">
        <v>310</v>
      </c>
      <c r="B125" s="15" t="s">
        <v>142</v>
      </c>
      <c r="C125" s="20">
        <v>47.3</v>
      </c>
      <c r="D125" s="21">
        <v>885</v>
      </c>
      <c r="E125" s="22">
        <v>6.79</v>
      </c>
      <c r="F125" s="23">
        <v>0.4</v>
      </c>
      <c r="G125" s="2">
        <v>7.2339473684210509E-2</v>
      </c>
      <c r="H125" s="2">
        <v>3.4280000000000001E-3</v>
      </c>
      <c r="I125" s="2">
        <v>0.5487999995797872</v>
      </c>
      <c r="J125" s="2">
        <v>0.27500000000000002</v>
      </c>
      <c r="K125" s="2">
        <v>0.25866666666666666</v>
      </c>
      <c r="L125" s="2">
        <v>0.83679999984800812</v>
      </c>
      <c r="M125" s="2">
        <v>0.46758333333333335</v>
      </c>
      <c r="N125" s="2">
        <v>0.63003799986056985</v>
      </c>
      <c r="O125" s="2">
        <v>1</v>
      </c>
      <c r="P125" s="2">
        <v>0.9</v>
      </c>
      <c r="Q125" s="2">
        <v>0.34979999955743551</v>
      </c>
      <c r="R125" s="2">
        <v>0.44719999961555007</v>
      </c>
      <c r="S125" s="2">
        <v>0.40749999999999997</v>
      </c>
      <c r="T125" s="2">
        <v>0.98543999999999998</v>
      </c>
      <c r="U125" s="2">
        <v>0.78042630158260551</v>
      </c>
      <c r="V125" s="2">
        <v>0.94846382600000001</v>
      </c>
      <c r="W125" s="2">
        <v>0.72671984947517376</v>
      </c>
      <c r="X125" s="2">
        <v>0.69840056199959732</v>
      </c>
      <c r="Y125" s="2">
        <v>3.1629364680636235E-2</v>
      </c>
      <c r="Z125" s="2">
        <v>0.117911485471342</v>
      </c>
      <c r="AA125" s="2">
        <v>0.88300000000000001</v>
      </c>
      <c r="AB125" s="2">
        <v>1</v>
      </c>
      <c r="AC125" s="2">
        <v>1.9074747577507059E-2</v>
      </c>
      <c r="AD125" s="2">
        <v>0.80051199981421228</v>
      </c>
      <c r="AE125" s="16">
        <f t="shared" si="1"/>
        <v>0.54953056703110981</v>
      </c>
      <c r="AF125" s="2">
        <v>0.58700000000000008</v>
      </c>
      <c r="AG125" s="2">
        <v>0.5</v>
      </c>
      <c r="AH125" s="2">
        <v>0.77599999999999991</v>
      </c>
      <c r="AI125" s="2">
        <v>0.7609999999999999</v>
      </c>
      <c r="AJ125" s="2">
        <v>0.5</v>
      </c>
      <c r="AK125" s="2">
        <v>0.74900000000000011</v>
      </c>
      <c r="AL125" s="2">
        <v>0.745</v>
      </c>
      <c r="AM125" s="2">
        <v>0.59484168253265013</v>
      </c>
      <c r="AN125" s="2">
        <v>0.48660115823023292</v>
      </c>
      <c r="AO125" s="2">
        <v>0.41878496936418952</v>
      </c>
      <c r="AP125" s="2">
        <v>0.28687755566879936</v>
      </c>
      <c r="AQ125" s="2">
        <v>1.8697628617864635E-2</v>
      </c>
      <c r="AR125" s="2">
        <v>0.38571619820028491</v>
      </c>
      <c r="AS125" s="2">
        <v>0.42</v>
      </c>
    </row>
    <row r="126" spans="1:45">
      <c r="A126" s="13" t="s">
        <v>311</v>
      </c>
      <c r="B126" s="15" t="s">
        <v>150</v>
      </c>
      <c r="C126" s="20">
        <v>43</v>
      </c>
      <c r="D126" s="21">
        <v>1250</v>
      </c>
      <c r="E126" s="22">
        <v>7.13</v>
      </c>
      <c r="F126" s="23">
        <v>0.59</v>
      </c>
      <c r="G126" s="2">
        <v>0.37213686528497414</v>
      </c>
      <c r="H126" s="2">
        <v>2.8450000000000003E-2</v>
      </c>
      <c r="I126" s="2">
        <v>0.31839999936521057</v>
      </c>
      <c r="J126" s="2">
        <v>0.25</v>
      </c>
      <c r="K126" s="2">
        <v>0.252</v>
      </c>
      <c r="L126" s="2">
        <v>0.22239999927580356</v>
      </c>
      <c r="M126" s="2">
        <v>0.71158333333333335</v>
      </c>
      <c r="N126" s="2">
        <v>0.67427599985077991</v>
      </c>
      <c r="O126" s="2">
        <v>0.74693986174442095</v>
      </c>
      <c r="P126" s="2">
        <v>0.5</v>
      </c>
      <c r="Q126" s="2">
        <v>1.0599999986588955E-2</v>
      </c>
      <c r="R126" s="2">
        <v>0.84359999768435956</v>
      </c>
      <c r="S126" s="2">
        <v>0.44999999999999996</v>
      </c>
      <c r="T126" s="2">
        <v>0.93144000000000005</v>
      </c>
      <c r="U126" s="2">
        <v>0.51814680865541263</v>
      </c>
      <c r="V126" s="2">
        <v>0.62508474599999997</v>
      </c>
      <c r="W126" s="2">
        <v>0.10262967345828759</v>
      </c>
      <c r="X126" s="2">
        <v>0.14809522975268516</v>
      </c>
      <c r="Y126" s="2">
        <v>7.2616102553006254E-2</v>
      </c>
      <c r="Z126" s="2">
        <v>0.25779434714865301</v>
      </c>
      <c r="AA126" s="2">
        <v>0.87</v>
      </c>
      <c r="AB126" s="2">
        <v>0.42</v>
      </c>
      <c r="AC126" s="2">
        <v>1.1476312890194639E-2</v>
      </c>
      <c r="AD126" s="2">
        <v>0.8933499963151319</v>
      </c>
      <c r="AE126" s="16">
        <f t="shared" si="1"/>
        <v>0.42629246972078505</v>
      </c>
      <c r="AF126" s="2">
        <v>0.2</v>
      </c>
      <c r="AG126" s="2">
        <v>0.1</v>
      </c>
      <c r="AH126" s="2">
        <v>0.81900000000000006</v>
      </c>
      <c r="AI126" s="2">
        <v>0.9840000000000001</v>
      </c>
      <c r="AJ126" s="2">
        <v>9.9000000022351736E-2</v>
      </c>
      <c r="AK126" s="2">
        <v>0.46500000000000002</v>
      </c>
      <c r="AL126" s="2">
        <v>0.72299999999999998</v>
      </c>
      <c r="AM126" s="2">
        <v>0.16033615674082058</v>
      </c>
      <c r="AN126" s="2">
        <v>7.0412521202307052E-2</v>
      </c>
      <c r="AO126" s="2">
        <v>0.15254313761335414</v>
      </c>
      <c r="AP126" s="2">
        <v>9.8521034952928997E-3</v>
      </c>
      <c r="AQ126" s="2">
        <v>0.14418284020570665</v>
      </c>
      <c r="AR126" s="2">
        <v>0.19862468153320273</v>
      </c>
      <c r="AS126" s="2">
        <v>0.2</v>
      </c>
    </row>
    <row r="127" spans="1:45">
      <c r="A127" s="13" t="s">
        <v>312</v>
      </c>
      <c r="B127" s="15" t="s">
        <v>141</v>
      </c>
      <c r="C127" s="20">
        <v>57.2</v>
      </c>
      <c r="D127" s="21">
        <v>6410</v>
      </c>
      <c r="E127" s="22">
        <v>8.77</v>
      </c>
      <c r="F127" s="23">
        <v>0.69</v>
      </c>
      <c r="G127" s="2">
        <v>0.64910205128205134</v>
      </c>
      <c r="H127" s="2">
        <v>2.0291999924406411E-2</v>
      </c>
      <c r="I127" s="2">
        <v>0.11679999917745587</v>
      </c>
      <c r="J127" s="2">
        <v>0.375</v>
      </c>
      <c r="K127" s="2">
        <v>1.4E-2</v>
      </c>
      <c r="L127" s="2">
        <v>0.68319999970495693</v>
      </c>
      <c r="M127" s="2">
        <v>0.81700000000000006</v>
      </c>
      <c r="N127" s="2">
        <v>0.63205799986012279</v>
      </c>
      <c r="O127" s="2">
        <v>0.99952291666666671</v>
      </c>
      <c r="P127" s="2">
        <v>0.06</v>
      </c>
      <c r="Q127" s="2">
        <v>0.63599999919533723</v>
      </c>
      <c r="R127" s="2">
        <v>0.35639999940991396</v>
      </c>
      <c r="S127" s="2">
        <v>0.40749999999999997</v>
      </c>
      <c r="T127" s="2">
        <v>0.85887999999999998</v>
      </c>
      <c r="U127" s="2">
        <v>0.52853915988460298</v>
      </c>
      <c r="V127" s="2">
        <v>0.82665021599999999</v>
      </c>
      <c r="W127" s="2">
        <v>0.15067138223065576</v>
      </c>
      <c r="X127" s="2">
        <v>0.15914293342318764</v>
      </c>
      <c r="Y127" s="2">
        <v>3.3172498624044629E-3</v>
      </c>
      <c r="Z127" s="2">
        <v>2.5929763944944E-2</v>
      </c>
      <c r="AA127" s="2">
        <v>0.65999999999999992</v>
      </c>
      <c r="AB127" s="2">
        <v>0.94</v>
      </c>
      <c r="AC127" s="2">
        <v>7.2878329628684908E-3</v>
      </c>
      <c r="AD127" s="2">
        <v>0.89247999794623634</v>
      </c>
      <c r="AE127" s="16">
        <f t="shared" si="1"/>
        <v>0.45082389589482524</v>
      </c>
      <c r="AF127" s="2">
        <v>0.73299999999999998</v>
      </c>
      <c r="AG127" s="2">
        <v>0.4</v>
      </c>
      <c r="AH127" s="2">
        <v>0.68299999999999994</v>
      </c>
      <c r="AI127" s="2">
        <v>0.69499999999999995</v>
      </c>
      <c r="AJ127" s="2">
        <v>0.5</v>
      </c>
      <c r="AK127" s="2">
        <v>0.71</v>
      </c>
      <c r="AL127" s="2">
        <v>0.878</v>
      </c>
      <c r="AM127" s="2">
        <v>0.65928587525059368</v>
      </c>
      <c r="AN127" s="2">
        <v>0.5602012347690597</v>
      </c>
      <c r="AO127" s="2">
        <v>0.54638059461294741</v>
      </c>
      <c r="AP127" s="2">
        <v>0.61658937243584566</v>
      </c>
      <c r="AQ127" s="2">
        <v>0.12254194297126893</v>
      </c>
      <c r="AR127" s="2">
        <v>0.55243992934112662</v>
      </c>
      <c r="AS127" s="2">
        <v>0.872</v>
      </c>
    </row>
    <row r="128" spans="1:45">
      <c r="A128" s="13" t="s">
        <v>313</v>
      </c>
      <c r="B128" s="15" t="s">
        <v>1</v>
      </c>
      <c r="C128" s="20" t="e">
        <v>#N/A</v>
      </c>
      <c r="D128" s="21">
        <v>2500</v>
      </c>
      <c r="E128" s="22">
        <v>7.82</v>
      </c>
      <c r="F128" s="23" t="s">
        <v>460</v>
      </c>
      <c r="G128" s="2">
        <v>0.3058360316494218</v>
      </c>
      <c r="H128" s="2">
        <v>0.5</v>
      </c>
      <c r="I128" s="2">
        <v>0.12</v>
      </c>
      <c r="J128" s="2">
        <v>0.125</v>
      </c>
      <c r="K128" s="2">
        <v>1.4E-2</v>
      </c>
      <c r="L128" s="2">
        <v>0.5</v>
      </c>
      <c r="M128" s="2">
        <v>0.44466666666666665</v>
      </c>
      <c r="N128" s="2">
        <v>0.9</v>
      </c>
      <c r="O128" s="2">
        <v>1</v>
      </c>
      <c r="P128" s="2">
        <v>0.46</v>
      </c>
      <c r="Q128" s="2">
        <v>1</v>
      </c>
      <c r="R128" s="2">
        <v>0.3</v>
      </c>
      <c r="S128" s="2">
        <v>0.76749999999999996</v>
      </c>
      <c r="T128" s="2">
        <v>0.85887999999999998</v>
      </c>
      <c r="U128" s="2">
        <v>0.52853915988460298</v>
      </c>
      <c r="V128" s="2">
        <v>0.32410533400000002</v>
      </c>
      <c r="W128" s="2">
        <v>0.15067138223065576</v>
      </c>
      <c r="X128" s="2">
        <v>0.15914293342318764</v>
      </c>
      <c r="Y128" s="2">
        <v>0.75</v>
      </c>
      <c r="Z128" s="2">
        <v>0.41984947043494902</v>
      </c>
      <c r="AA128" s="2">
        <v>9.9999999999988987E-4</v>
      </c>
      <c r="AB128" s="2">
        <v>0</v>
      </c>
      <c r="AC128" s="2">
        <v>7.2878329628684908E-3</v>
      </c>
      <c r="AD128" s="2">
        <v>0.5</v>
      </c>
      <c r="AE128" s="16">
        <f t="shared" si="1"/>
        <v>0.42235328380218123</v>
      </c>
      <c r="AF128" s="2" t="e">
        <v>#N/A</v>
      </c>
      <c r="AG128" s="2" t="e">
        <v>#N/A</v>
      </c>
      <c r="AH128" s="2" t="e">
        <v>#N/A</v>
      </c>
      <c r="AI128" s="2" t="e">
        <v>#N/A</v>
      </c>
      <c r="AJ128" s="2" t="e">
        <v>#N/A</v>
      </c>
      <c r="AK128" s="2" t="e">
        <v>#N/A</v>
      </c>
      <c r="AL128" s="2" t="e">
        <v>#N/A</v>
      </c>
      <c r="AM128" s="2">
        <v>0.78916907601115227</v>
      </c>
      <c r="AN128" s="2">
        <v>0.71005393028246799</v>
      </c>
      <c r="AO128" s="2">
        <v>0.42330196741928611</v>
      </c>
      <c r="AP128" s="2" t="e">
        <v>#N/A</v>
      </c>
      <c r="AQ128" s="2" t="e">
        <v>#N/A</v>
      </c>
      <c r="AR128" s="2">
        <v>0.55558108627329161</v>
      </c>
      <c r="AS128" s="2" t="e">
        <v>#N/A</v>
      </c>
    </row>
    <row r="129" spans="1:45">
      <c r="A129" s="13" t="s">
        <v>314</v>
      </c>
      <c r="B129" s="15" t="s">
        <v>183</v>
      </c>
      <c r="C129" s="20">
        <v>48.4</v>
      </c>
      <c r="D129" s="21">
        <v>1155</v>
      </c>
      <c r="E129" s="22">
        <v>7.05</v>
      </c>
      <c r="F129" s="23">
        <v>0.55000000000000004</v>
      </c>
      <c r="G129" s="2">
        <v>0.50508637812002122</v>
      </c>
      <c r="H129" s="2">
        <v>4.7859999999999993E-2</v>
      </c>
      <c r="I129" s="2">
        <v>0.1551999992132187</v>
      </c>
      <c r="J129" s="2">
        <v>0.44999999999999996</v>
      </c>
      <c r="K129" s="2">
        <v>0.22466666666666665</v>
      </c>
      <c r="L129" s="2">
        <v>0.7023999997228384</v>
      </c>
      <c r="M129" s="2">
        <v>0.40658333333333335</v>
      </c>
      <c r="N129" s="2">
        <v>0.83102799981608999</v>
      </c>
      <c r="O129" s="2">
        <v>0.70967888310324967</v>
      </c>
      <c r="P129" s="2">
        <v>0.5</v>
      </c>
      <c r="Q129" s="2">
        <v>5.2999999932944776E-2</v>
      </c>
      <c r="R129" s="2">
        <v>1</v>
      </c>
      <c r="S129" s="2">
        <v>0.44999999999999996</v>
      </c>
      <c r="T129" s="2">
        <v>0.96479999999999999</v>
      </c>
      <c r="U129" s="2">
        <v>0.41955059392944005</v>
      </c>
      <c r="V129" s="2">
        <v>0.66535432999999999</v>
      </c>
      <c r="W129" s="2">
        <v>0.13879903281928319</v>
      </c>
      <c r="X129" s="2">
        <v>0.32304285232228575</v>
      </c>
      <c r="Y129" s="2">
        <v>0</v>
      </c>
      <c r="Z129" s="2">
        <v>0</v>
      </c>
      <c r="AA129" s="2">
        <v>0.56400000000000006</v>
      </c>
      <c r="AB129" s="2">
        <v>1</v>
      </c>
      <c r="AC129" s="2">
        <v>9.4175095919079174E-2</v>
      </c>
      <c r="AD129" s="2">
        <v>0.48617999900132414</v>
      </c>
      <c r="AE129" s="16">
        <f t="shared" si="1"/>
        <v>0.44547521516249072</v>
      </c>
      <c r="AF129" s="2">
        <v>0.59399999999999997</v>
      </c>
      <c r="AG129" s="2">
        <v>0.3</v>
      </c>
      <c r="AH129" s="2">
        <v>0.86599999999999999</v>
      </c>
      <c r="AI129" s="2">
        <v>0.92299999999999993</v>
      </c>
      <c r="AJ129" s="2">
        <v>0.15</v>
      </c>
      <c r="AK129" s="2">
        <v>0.77800000000000002</v>
      </c>
      <c r="AL129" s="2">
        <v>0.58799999999999997</v>
      </c>
      <c r="AM129" s="2">
        <v>0.14197259158576053</v>
      </c>
      <c r="AN129" s="2">
        <v>0.38606601658648099</v>
      </c>
      <c r="AO129" s="2">
        <v>0.35130995889650485</v>
      </c>
      <c r="AP129" s="2">
        <v>0.28569388429868076</v>
      </c>
      <c r="AQ129" s="2">
        <v>6.9785005926987956E-2</v>
      </c>
      <c r="AR129" s="2">
        <v>0.30958559533532914</v>
      </c>
      <c r="AS129" s="2">
        <v>0.44700000000000001</v>
      </c>
    </row>
    <row r="130" spans="1:45">
      <c r="A130" s="13" t="s">
        <v>315</v>
      </c>
      <c r="B130" s="15" t="s">
        <v>28</v>
      </c>
      <c r="C130" s="20">
        <v>79.2</v>
      </c>
      <c r="D130" s="21">
        <v>40676</v>
      </c>
      <c r="E130" s="22">
        <v>10.61</v>
      </c>
      <c r="F130" s="23">
        <v>0.96</v>
      </c>
      <c r="G130" s="2">
        <v>3.2364950495049526E-2</v>
      </c>
      <c r="H130" s="2">
        <v>0</v>
      </c>
      <c r="I130" s="2">
        <v>3.9999999105930328E-2</v>
      </c>
      <c r="J130" s="2">
        <v>0.42500000000000004</v>
      </c>
      <c r="K130" s="2">
        <v>0</v>
      </c>
      <c r="L130" s="2">
        <v>3.9999999105930328E-2</v>
      </c>
      <c r="M130" s="2">
        <v>0.26374999999999998</v>
      </c>
      <c r="N130" s="2">
        <v>0.17816399996057153</v>
      </c>
      <c r="O130" s="2">
        <v>0.445976192175774</v>
      </c>
      <c r="P130" s="2">
        <v>0.06</v>
      </c>
      <c r="Q130" s="2">
        <v>1</v>
      </c>
      <c r="R130" s="2">
        <v>0</v>
      </c>
      <c r="S130" s="2">
        <v>6.7499999999999991E-2</v>
      </c>
      <c r="T130" s="2">
        <v>0.68032000000000004</v>
      </c>
      <c r="U130" s="2">
        <v>0.15630594978183665</v>
      </c>
      <c r="V130" s="2">
        <v>0.13114754000000001</v>
      </c>
      <c r="W130" s="2">
        <v>0</v>
      </c>
      <c r="X130" s="2">
        <v>3.6862825968309678E-3</v>
      </c>
      <c r="Y130" s="2">
        <v>0.74871754482898178</v>
      </c>
      <c r="Z130" s="2">
        <v>0.73900016982005901</v>
      </c>
      <c r="AA130" s="2">
        <v>0</v>
      </c>
      <c r="AB130" s="2">
        <v>0.19</v>
      </c>
      <c r="AC130" s="2">
        <v>0.13329383886255924</v>
      </c>
      <c r="AD130" s="2">
        <v>0.27999999597668646</v>
      </c>
      <c r="AE130" s="16">
        <f t="shared" si="1"/>
        <v>0.23396776927959209</v>
      </c>
      <c r="AF130" s="2">
        <v>0.82599999999999996</v>
      </c>
      <c r="AG130" s="2">
        <v>0.8</v>
      </c>
      <c r="AH130" s="2">
        <v>0.52</v>
      </c>
      <c r="AI130" s="2">
        <v>0.38400000000000001</v>
      </c>
      <c r="AJ130" s="2">
        <v>0.9</v>
      </c>
      <c r="AK130" s="2">
        <v>0.81</v>
      </c>
      <c r="AL130" s="2">
        <v>0.875</v>
      </c>
      <c r="AM130" s="2">
        <v>0.687461967940452</v>
      </c>
      <c r="AN130" s="2">
        <v>0.80717997052215584</v>
      </c>
      <c r="AO130" s="2">
        <v>0.91607700634389977</v>
      </c>
      <c r="AP130" s="2">
        <v>1</v>
      </c>
      <c r="AQ130" s="2">
        <v>0.83111026363117468</v>
      </c>
      <c r="AR130" s="2">
        <v>0.85264736918026784</v>
      </c>
      <c r="AS130" s="2">
        <v>0.59099999999999997</v>
      </c>
    </row>
    <row r="131" spans="1:45">
      <c r="A131" s="13" t="s">
        <v>316</v>
      </c>
      <c r="B131" s="15" t="s">
        <v>19</v>
      </c>
      <c r="C131" s="20">
        <v>81.7</v>
      </c>
      <c r="D131" s="21">
        <v>28993</v>
      </c>
      <c r="E131" s="22">
        <v>10.27</v>
      </c>
      <c r="F131" s="23">
        <v>0.95</v>
      </c>
      <c r="G131" s="2">
        <v>1</v>
      </c>
      <c r="H131" s="2">
        <v>1.4539999999999999E-2</v>
      </c>
      <c r="I131" s="2">
        <v>3.9999999105930328E-2</v>
      </c>
      <c r="J131" s="2">
        <v>9.9999999999999978E-2</v>
      </c>
      <c r="K131" s="2">
        <v>0</v>
      </c>
      <c r="L131" s="2">
        <v>0</v>
      </c>
      <c r="M131" s="2">
        <v>0.13616666666666666</v>
      </c>
      <c r="N131" s="2">
        <v>0.13453199997022749</v>
      </c>
      <c r="O131" s="2">
        <v>0.46826183982147285</v>
      </c>
      <c r="P131" s="2">
        <v>0.12</v>
      </c>
      <c r="Q131" s="2">
        <v>0.4451999994367361</v>
      </c>
      <c r="R131" s="2">
        <v>0</v>
      </c>
      <c r="S131" s="2">
        <v>0.85</v>
      </c>
      <c r="T131" s="2">
        <v>0.37448000000000004</v>
      </c>
      <c r="U131" s="2">
        <v>0.16109658393263859</v>
      </c>
      <c r="V131" s="2">
        <v>7.1258907999999996E-2</v>
      </c>
      <c r="W131" s="2">
        <v>0</v>
      </c>
      <c r="X131" s="2">
        <v>6.869097814094758E-3</v>
      </c>
      <c r="Y131" s="2">
        <v>3.0978471862597327E-2</v>
      </c>
      <c r="Z131" s="2">
        <v>0.14685605728470399</v>
      </c>
      <c r="AA131" s="2">
        <v>0</v>
      </c>
      <c r="AB131" s="2">
        <v>0.62</v>
      </c>
      <c r="AC131" s="2">
        <v>3.9221545702439208E-2</v>
      </c>
      <c r="AD131" s="2">
        <v>0.36745599941089746</v>
      </c>
      <c r="AE131" s="16">
        <f t="shared" si="1"/>
        <v>0.21362154870868352</v>
      </c>
      <c r="AF131" s="2">
        <v>0.99900000000000011</v>
      </c>
      <c r="AG131" s="2">
        <v>0.8</v>
      </c>
      <c r="AH131" s="2">
        <v>0.63600000000000001</v>
      </c>
      <c r="AI131" s="2">
        <v>0.51300000000000001</v>
      </c>
      <c r="AJ131" s="2">
        <v>0.8</v>
      </c>
      <c r="AK131" s="2">
        <v>0.83099999999999996</v>
      </c>
      <c r="AL131" s="2">
        <v>0.86</v>
      </c>
      <c r="AM131" s="2">
        <v>0.69639742039330454</v>
      </c>
      <c r="AN131" s="2">
        <v>0.79534878859862412</v>
      </c>
      <c r="AO131" s="2">
        <v>0.97058560000890437</v>
      </c>
      <c r="AP131" s="2">
        <v>1</v>
      </c>
      <c r="AQ131" s="2">
        <v>1</v>
      </c>
      <c r="AR131" s="2">
        <v>0.87816190692932761</v>
      </c>
      <c r="AS131" s="2">
        <v>0.88800000000000001</v>
      </c>
    </row>
    <row r="132" spans="1:45">
      <c r="A132" s="13" t="s">
        <v>317</v>
      </c>
      <c r="B132" s="15" t="s">
        <v>93</v>
      </c>
      <c r="C132" s="20">
        <v>60.3</v>
      </c>
      <c r="D132" s="21">
        <v>2641</v>
      </c>
      <c r="E132" s="22">
        <v>7.88</v>
      </c>
      <c r="F132" s="23">
        <v>0.7</v>
      </c>
      <c r="G132" s="2">
        <v>0.24933190490167303</v>
      </c>
      <c r="H132" s="2">
        <v>6.5510000000000004E-3</v>
      </c>
      <c r="I132" s="2">
        <v>0.18399999924004073</v>
      </c>
      <c r="J132" s="2">
        <v>0.25</v>
      </c>
      <c r="K132" s="2">
        <v>6.8000000000000005E-2</v>
      </c>
      <c r="L132" s="2">
        <v>0.50079999953508381</v>
      </c>
      <c r="M132" s="2">
        <v>0.49525000000000002</v>
      </c>
      <c r="N132" s="2">
        <v>0.43409799990393216</v>
      </c>
      <c r="O132" s="2">
        <v>0.94622105263150003</v>
      </c>
      <c r="P132" s="2">
        <v>0.08</v>
      </c>
      <c r="Q132" s="2">
        <v>0.42399999946355821</v>
      </c>
      <c r="R132" s="2">
        <v>6.4799999892711638E-2</v>
      </c>
      <c r="S132" s="2">
        <v>0.22499999999999998</v>
      </c>
      <c r="T132" s="2">
        <v>0.92759999999999998</v>
      </c>
      <c r="U132" s="2">
        <v>0.29567359869211918</v>
      </c>
      <c r="V132" s="2">
        <v>0.27060653200000001</v>
      </c>
      <c r="W132" s="2">
        <v>0.11893083873068008</v>
      </c>
      <c r="X132" s="2">
        <v>8.6426016225701077E-2</v>
      </c>
      <c r="Y132" s="2">
        <v>6.150532955580687E-2</v>
      </c>
      <c r="Z132" s="2">
        <v>2.08678450589668E-2</v>
      </c>
      <c r="AA132" s="2">
        <v>0.27900000000000003</v>
      </c>
      <c r="AB132" s="2">
        <v>0.48</v>
      </c>
      <c r="AC132" s="2">
        <v>5.0004167013917827E-2</v>
      </c>
      <c r="AD132" s="2">
        <v>0.8871999998390675</v>
      </c>
      <c r="AE132" s="16">
        <f t="shared" si="1"/>
        <v>0.30857776177853163</v>
      </c>
      <c r="AF132" s="2">
        <v>0.55700000000000005</v>
      </c>
      <c r="AG132" s="2">
        <v>0.5</v>
      </c>
      <c r="AH132" s="2">
        <v>0.78400000000000003</v>
      </c>
      <c r="AI132" s="2">
        <v>0.78500000000000003</v>
      </c>
      <c r="AJ132" s="2">
        <v>0.55000000000000004</v>
      </c>
      <c r="AK132" s="2">
        <v>0.6409999999999999</v>
      </c>
      <c r="AL132" s="2">
        <v>0.82799999999999996</v>
      </c>
      <c r="AM132" s="2">
        <v>0.39903375048016698</v>
      </c>
      <c r="AN132" s="2">
        <v>0.40258765523834905</v>
      </c>
      <c r="AO132" s="2">
        <v>0.35005552570764253</v>
      </c>
      <c r="AP132" s="2">
        <v>0.61377789593853371</v>
      </c>
      <c r="AQ132" s="2">
        <v>0.2217238493782053</v>
      </c>
      <c r="AR132" s="2">
        <v>0.33524123187375404</v>
      </c>
      <c r="AS132" s="2">
        <v>0.68299999999999994</v>
      </c>
    </row>
    <row r="133" spans="1:45">
      <c r="A133" s="13" t="s">
        <v>318</v>
      </c>
      <c r="B133" s="15" t="s">
        <v>185</v>
      </c>
      <c r="C133" s="20">
        <v>44</v>
      </c>
      <c r="D133" s="21">
        <v>690</v>
      </c>
      <c r="E133" s="22">
        <v>6.54</v>
      </c>
      <c r="F133" s="23">
        <v>0.34</v>
      </c>
      <c r="G133" s="2">
        <v>2.9723684210526274E-2</v>
      </c>
      <c r="H133" s="2">
        <v>7.0250000000000007E-2</v>
      </c>
      <c r="I133" s="2">
        <v>0.53919999957084652</v>
      </c>
      <c r="J133" s="2">
        <v>0.4</v>
      </c>
      <c r="K133" s="2">
        <v>0.81933333333333336</v>
      </c>
      <c r="L133" s="2">
        <v>0.91359999991953367</v>
      </c>
      <c r="M133" s="2">
        <v>0.63950000000000007</v>
      </c>
      <c r="N133" s="2">
        <v>0.84213799981363113</v>
      </c>
      <c r="O133" s="2">
        <v>0.9992782722693333</v>
      </c>
      <c r="P133" s="2">
        <v>0.06</v>
      </c>
      <c r="Q133" s="2">
        <v>8.4799999892711642E-2</v>
      </c>
      <c r="R133" s="2">
        <v>1</v>
      </c>
      <c r="S133" s="2">
        <v>0.20749999999999999</v>
      </c>
      <c r="T133" s="2">
        <v>0.99287999999999998</v>
      </c>
      <c r="U133" s="2">
        <v>0.71309190151989532</v>
      </c>
      <c r="V133" s="2">
        <v>1</v>
      </c>
      <c r="W133" s="2">
        <v>0.32969012872803816</v>
      </c>
      <c r="X133" s="2">
        <v>1</v>
      </c>
      <c r="Y133" s="2">
        <v>0</v>
      </c>
      <c r="Z133" s="2">
        <v>0</v>
      </c>
      <c r="AA133" s="2">
        <v>0.90700000000000003</v>
      </c>
      <c r="AB133" s="2">
        <v>0.55000000000000004</v>
      </c>
      <c r="AC133" s="2">
        <v>8.2892555459066868E-3</v>
      </c>
      <c r="AD133" s="2">
        <v>0.8017599998153746</v>
      </c>
      <c r="AE133" s="16">
        <f t="shared" si="1"/>
        <v>0.53783477394246382</v>
      </c>
      <c r="AF133" s="2">
        <v>0.37200000000000005</v>
      </c>
      <c r="AG133" s="2">
        <v>0.4</v>
      </c>
      <c r="AH133" s="2">
        <v>0.65099999999999991</v>
      </c>
      <c r="AI133" s="2">
        <v>0.85099999999999998</v>
      </c>
      <c r="AJ133" s="2">
        <v>0.5</v>
      </c>
      <c r="AK133" s="2">
        <v>0.77599999999999991</v>
      </c>
      <c r="AL133" s="2">
        <v>0.75700000000000001</v>
      </c>
      <c r="AM133" s="2">
        <v>0.26898486265313065</v>
      </c>
      <c r="AN133" s="2">
        <v>0.36177742895559473</v>
      </c>
      <c r="AO133" s="2">
        <v>0.37024886264988932</v>
      </c>
      <c r="AP133" s="2">
        <v>0.1869771699786871</v>
      </c>
      <c r="AQ133" s="2">
        <v>1.9660551433010293E-2</v>
      </c>
      <c r="AR133" s="2">
        <v>0.37299615989694479</v>
      </c>
      <c r="AS133" s="2">
        <v>0.40700000000000003</v>
      </c>
    </row>
    <row r="134" spans="1:45">
      <c r="A134" s="13" t="s">
        <v>319</v>
      </c>
      <c r="B134" s="15" t="s">
        <v>118</v>
      </c>
      <c r="C134" s="20">
        <v>47.7</v>
      </c>
      <c r="D134" s="21">
        <v>2203</v>
      </c>
      <c r="E134" s="22">
        <v>7.7</v>
      </c>
      <c r="F134" s="23">
        <v>0.51</v>
      </c>
      <c r="G134" s="2">
        <v>1</v>
      </c>
      <c r="H134" s="2">
        <v>3.6019999999999996E-2</v>
      </c>
      <c r="I134" s="2">
        <v>0.44319999948143962</v>
      </c>
      <c r="J134" s="2">
        <v>0.30000000000000004</v>
      </c>
      <c r="K134" s="2">
        <v>0.37333333333333335</v>
      </c>
      <c r="L134" s="2">
        <v>0.69279999971389772</v>
      </c>
      <c r="M134" s="2">
        <v>0.42316666666666669</v>
      </c>
      <c r="N134" s="2">
        <v>0.5142919998861849</v>
      </c>
      <c r="O134" s="2">
        <v>0.97788013333333335</v>
      </c>
      <c r="P134" s="2">
        <v>0.22</v>
      </c>
      <c r="Q134" s="2">
        <v>0.12719999983906746</v>
      </c>
      <c r="R134" s="2">
        <v>0.93599999919533727</v>
      </c>
      <c r="S134" s="2">
        <v>0.20749999999999999</v>
      </c>
      <c r="T134" s="2">
        <v>0.90400000000000003</v>
      </c>
      <c r="U134" s="2">
        <v>0.78015516011893871</v>
      </c>
      <c r="V134" s="2">
        <v>0.96913220799999999</v>
      </c>
      <c r="W134" s="2">
        <v>4.9074339609839639E-2</v>
      </c>
      <c r="X134" s="2">
        <v>1</v>
      </c>
      <c r="Y134" s="2">
        <v>1.4878801093305617E-2</v>
      </c>
      <c r="Z134" s="2">
        <v>6.0776866111679401E-2</v>
      </c>
      <c r="AA134" s="2">
        <v>0.53200000000000003</v>
      </c>
      <c r="AB134" s="2">
        <v>0</v>
      </c>
      <c r="AC134" s="2">
        <v>2.9645245232056392E-2</v>
      </c>
      <c r="AD134" s="2">
        <v>0.85</v>
      </c>
      <c r="AE134" s="16">
        <f t="shared" si="1"/>
        <v>0.47671061465062831</v>
      </c>
      <c r="AF134" s="2">
        <v>0.53200000000000003</v>
      </c>
      <c r="AG134" s="2">
        <v>0.4</v>
      </c>
      <c r="AH134" s="2">
        <v>0.84400000000000008</v>
      </c>
      <c r="AI134" s="2">
        <v>0.64700000000000002</v>
      </c>
      <c r="AJ134" s="2">
        <v>0.4</v>
      </c>
      <c r="AK134" s="2">
        <v>0.754</v>
      </c>
      <c r="AL134" s="2">
        <v>0.67200000000000004</v>
      </c>
      <c r="AM134" s="2">
        <v>0.11331812525617391</v>
      </c>
      <c r="AN134" s="2">
        <v>0.33119187302119585</v>
      </c>
      <c r="AO134" s="2">
        <v>0.28909784710988273</v>
      </c>
      <c r="AP134" s="2">
        <v>0.51967827196846006</v>
      </c>
      <c r="AQ134" s="2">
        <v>0.1295065288930615</v>
      </c>
      <c r="AR134" s="2">
        <v>0.25838524330716345</v>
      </c>
      <c r="AS134" s="2">
        <v>0.85699999999999998</v>
      </c>
    </row>
    <row r="135" spans="1:45">
      <c r="A135" s="13" t="s">
        <v>320</v>
      </c>
      <c r="B135" s="15" t="s">
        <v>38</v>
      </c>
      <c r="C135" s="20">
        <v>81.400000000000006</v>
      </c>
      <c r="D135" s="21">
        <v>56214</v>
      </c>
      <c r="E135" s="22">
        <v>10.94</v>
      </c>
      <c r="F135" s="23">
        <v>0.97</v>
      </c>
      <c r="G135" s="2">
        <v>0.92627742112986045</v>
      </c>
      <c r="H135" s="2">
        <v>8.4633999828025702E-3</v>
      </c>
      <c r="I135" s="2">
        <v>3.9999999105930328E-2</v>
      </c>
      <c r="J135" s="2">
        <v>0.55000000000000004</v>
      </c>
      <c r="K135" s="2">
        <v>0</v>
      </c>
      <c r="L135" s="2">
        <v>3.9999999105930328E-2</v>
      </c>
      <c r="M135" s="2">
        <v>1.5499999999999995E-2</v>
      </c>
      <c r="N135" s="2">
        <v>0.22684599994979798</v>
      </c>
      <c r="O135" s="2">
        <v>0.58098112756492992</v>
      </c>
      <c r="P135" s="2">
        <v>0.1</v>
      </c>
      <c r="Q135" s="2">
        <v>0.466399999409914</v>
      </c>
      <c r="R135" s="2">
        <v>0</v>
      </c>
      <c r="S135" s="2">
        <v>6.7499999999999991E-2</v>
      </c>
      <c r="T135" s="2">
        <v>8.3520000000000039E-2</v>
      </c>
      <c r="U135" s="2">
        <v>0.14976390099525561</v>
      </c>
      <c r="V135" s="2">
        <v>0.12676056399999999</v>
      </c>
      <c r="W135" s="2">
        <v>0</v>
      </c>
      <c r="X135" s="2">
        <v>3.4375067970448363E-3</v>
      </c>
      <c r="Y135" s="2">
        <v>4.1550519834411048E-2</v>
      </c>
      <c r="Z135" s="2">
        <v>8.6320587824525202E-2</v>
      </c>
      <c r="AA135" s="2">
        <v>0</v>
      </c>
      <c r="AB135" s="2">
        <v>0.64</v>
      </c>
      <c r="AC135" s="2">
        <v>1.4789010122255817E-2</v>
      </c>
      <c r="AD135" s="2">
        <v>0.24376999892108142</v>
      </c>
      <c r="AE135" s="16">
        <f t="shared" si="1"/>
        <v>0.18382833478098914</v>
      </c>
      <c r="AF135" s="2">
        <v>0.88800000000000001</v>
      </c>
      <c r="AG135" s="2">
        <v>0.6</v>
      </c>
      <c r="AH135" s="2">
        <v>0.505</v>
      </c>
      <c r="AI135" s="2">
        <v>0.498</v>
      </c>
      <c r="AJ135" s="2">
        <v>0.65</v>
      </c>
      <c r="AK135" s="2">
        <v>0.74199999999999999</v>
      </c>
      <c r="AL135" s="2">
        <v>0.89200000000000002</v>
      </c>
      <c r="AM135" s="2">
        <v>0.73522581753230631</v>
      </c>
      <c r="AN135" s="2">
        <v>0.81046269790276604</v>
      </c>
      <c r="AO135" s="2">
        <v>0.88340997270322608</v>
      </c>
      <c r="AP135" s="2">
        <v>1</v>
      </c>
      <c r="AQ135" s="2">
        <v>1</v>
      </c>
      <c r="AR135" s="2">
        <v>0.87176141587779266</v>
      </c>
      <c r="AS135" s="2">
        <v>0.47100000000000003</v>
      </c>
    </row>
    <row r="136" spans="1:45">
      <c r="A136" s="13" t="s">
        <v>321</v>
      </c>
      <c r="B136" s="15" t="s">
        <v>52</v>
      </c>
      <c r="C136" s="20">
        <v>68.900000000000006</v>
      </c>
      <c r="D136" s="21">
        <v>25462</v>
      </c>
      <c r="E136" s="22">
        <v>10.14</v>
      </c>
      <c r="F136" s="23">
        <v>0.85</v>
      </c>
      <c r="G136" s="2">
        <v>0.4216333333333333</v>
      </c>
      <c r="H136" s="2">
        <v>0.95226999806500967</v>
      </c>
      <c r="I136" s="2">
        <v>0.1551999992132187</v>
      </c>
      <c r="J136" s="2">
        <v>0.35</v>
      </c>
      <c r="K136" s="2">
        <v>0</v>
      </c>
      <c r="L136" s="2">
        <v>0.30399999611079698</v>
      </c>
      <c r="M136" s="2">
        <v>0.54108333333333336</v>
      </c>
      <c r="N136" s="2">
        <v>0.28623399993665516</v>
      </c>
      <c r="O136" s="2">
        <v>0.5</v>
      </c>
      <c r="P136" s="2">
        <v>0.18</v>
      </c>
      <c r="Q136" s="2">
        <v>1</v>
      </c>
      <c r="R136" s="2">
        <v>0.16119999930262566</v>
      </c>
      <c r="S136" s="2">
        <v>7.4999999999999997E-2</v>
      </c>
      <c r="T136" s="2">
        <v>0.68351999999999991</v>
      </c>
      <c r="U136" s="2">
        <v>0.24246618400842013</v>
      </c>
      <c r="V136" s="2">
        <v>6.2059238000000003E-2</v>
      </c>
      <c r="W136" s="2">
        <v>0</v>
      </c>
      <c r="X136" s="2">
        <v>1.6706202745637971E-2</v>
      </c>
      <c r="Y136" s="2">
        <v>1.3777088819041827E-2</v>
      </c>
      <c r="Z136" s="2">
        <v>0.18263317430403</v>
      </c>
      <c r="AA136" s="2">
        <v>2.0000000000000018E-2</v>
      </c>
      <c r="AB136" s="2">
        <v>0</v>
      </c>
      <c r="AC136" s="2">
        <v>0</v>
      </c>
      <c r="AD136" s="2">
        <v>0.58278399961143734</v>
      </c>
      <c r="AE136" s="16">
        <f t="shared" ref="AE136:AE198" si="2">mmean(G136:AD136)</f>
        <v>0.28044027278264749</v>
      </c>
      <c r="AF136" s="2">
        <v>0.66900000000000004</v>
      </c>
      <c r="AG136" s="2">
        <v>0.6</v>
      </c>
      <c r="AH136" s="2">
        <v>0.98499999999999999</v>
      </c>
      <c r="AI136" s="2">
        <v>0.57399999999999995</v>
      </c>
      <c r="AJ136" s="2">
        <v>0.55000000000000004</v>
      </c>
      <c r="AK136" s="2">
        <v>0.64800000000000002</v>
      </c>
      <c r="AL136" s="2">
        <v>0.83400000000000007</v>
      </c>
      <c r="AM136" s="2">
        <v>0.6608168136597834</v>
      </c>
      <c r="AN136" s="2">
        <v>0.28708463802264494</v>
      </c>
      <c r="AO136" s="2">
        <v>0.59476944752227345</v>
      </c>
      <c r="AP136" s="2">
        <v>1</v>
      </c>
      <c r="AQ136" s="2">
        <v>0.37388976437012927</v>
      </c>
      <c r="AR136" s="2">
        <v>0.63533107775515874</v>
      </c>
      <c r="AS136" s="2">
        <v>0.8640000000000001</v>
      </c>
    </row>
    <row r="137" spans="1:45">
      <c r="A137" s="13" t="s">
        <v>322</v>
      </c>
      <c r="B137" s="15" t="s">
        <v>143</v>
      </c>
      <c r="C137" s="20">
        <v>52</v>
      </c>
      <c r="D137" s="21">
        <v>2609</v>
      </c>
      <c r="E137" s="22">
        <v>7.87</v>
      </c>
      <c r="F137" s="23">
        <v>0.56999999999999995</v>
      </c>
      <c r="G137" s="2">
        <v>1</v>
      </c>
      <c r="H137" s="2">
        <v>0</v>
      </c>
      <c r="I137" s="2">
        <v>0.13599999919533734</v>
      </c>
      <c r="J137" s="2">
        <v>0.5</v>
      </c>
      <c r="K137" s="2">
        <v>0.13666666666666666</v>
      </c>
      <c r="L137" s="2">
        <v>0.56799999959766867</v>
      </c>
      <c r="M137" s="2">
        <v>0.58816666666666662</v>
      </c>
      <c r="N137" s="2">
        <v>0.64054199985824523</v>
      </c>
      <c r="O137" s="2">
        <v>0.22778001670999992</v>
      </c>
      <c r="P137" s="2">
        <v>0.1</v>
      </c>
      <c r="Q137" s="2">
        <v>1.0599999986588955E-2</v>
      </c>
      <c r="R137" s="2">
        <v>1</v>
      </c>
      <c r="S137" s="2">
        <v>0.78249999999999997</v>
      </c>
      <c r="T137" s="2">
        <v>0.91256000000000004</v>
      </c>
      <c r="U137" s="2">
        <v>0.42264132563963552</v>
      </c>
      <c r="V137" s="2">
        <v>0.65042016800000002</v>
      </c>
      <c r="W137" s="2">
        <v>3.733892799823673E-2</v>
      </c>
      <c r="X137" s="2">
        <v>0.27845489362061721</v>
      </c>
      <c r="Y137" s="2">
        <v>2.826456720282975E-2</v>
      </c>
      <c r="Z137" s="2">
        <v>2.9429240533700302E-2</v>
      </c>
      <c r="AA137" s="2">
        <v>0.42399999999999993</v>
      </c>
      <c r="AB137" s="2">
        <v>0.47</v>
      </c>
      <c r="AC137" s="2">
        <v>3.6970734744707349E-2</v>
      </c>
      <c r="AD137" s="2">
        <v>0.39868630860726884</v>
      </c>
      <c r="AE137" s="16">
        <f t="shared" si="2"/>
        <v>0.39079256312617378</v>
      </c>
      <c r="AF137" s="2">
        <v>0.71700000000000008</v>
      </c>
      <c r="AG137" s="2">
        <v>0.4</v>
      </c>
      <c r="AH137" s="2">
        <v>0.80500000000000005</v>
      </c>
      <c r="AI137" s="2">
        <v>0.88800000000000001</v>
      </c>
      <c r="AJ137" s="2">
        <v>0.3</v>
      </c>
      <c r="AK137" s="2">
        <v>0.69400000000000006</v>
      </c>
      <c r="AL137" s="2">
        <v>0.67</v>
      </c>
      <c r="AM137" s="2">
        <v>0</v>
      </c>
      <c r="AN137" s="2">
        <v>0.30253102867078063</v>
      </c>
      <c r="AO137" s="2">
        <v>0.28282209931094543</v>
      </c>
      <c r="AP137" s="2">
        <v>0.66748649471350952</v>
      </c>
      <c r="AQ137" s="2">
        <v>9.0671695734757127E-2</v>
      </c>
      <c r="AR137" s="2">
        <v>0.31683845423056212</v>
      </c>
      <c r="AS137" s="2">
        <v>0.498</v>
      </c>
    </row>
    <row r="138" spans="1:45">
      <c r="A138" s="13" t="s">
        <v>323</v>
      </c>
      <c r="B138" s="15" t="s">
        <v>30</v>
      </c>
      <c r="C138" s="20" t="e">
        <v>#N/A</v>
      </c>
      <c r="D138" s="21">
        <v>8100</v>
      </c>
      <c r="E138" s="22">
        <v>9</v>
      </c>
      <c r="F138" s="23" t="s">
        <v>460</v>
      </c>
      <c r="G138" s="2">
        <v>0.40596198751018192</v>
      </c>
      <c r="H138" s="2">
        <v>0.5</v>
      </c>
      <c r="I138" s="2">
        <v>0.24399999812245365</v>
      </c>
      <c r="J138" s="2">
        <v>9.9999999999999978E-2</v>
      </c>
      <c r="K138" s="2">
        <v>2.6666666666666668E-2</v>
      </c>
      <c r="L138" s="2">
        <v>0.25299999814480545</v>
      </c>
      <c r="M138" s="2">
        <v>0.44466666666666665</v>
      </c>
      <c r="N138" s="2">
        <v>0.18604199995882809</v>
      </c>
      <c r="O138" s="2">
        <v>1</v>
      </c>
      <c r="P138" s="2">
        <v>0.06</v>
      </c>
      <c r="Q138" s="2">
        <v>1</v>
      </c>
      <c r="R138" s="2">
        <v>0.3</v>
      </c>
      <c r="S138" s="2">
        <v>0.76749999999999996</v>
      </c>
      <c r="T138" s="2">
        <v>0.65999999999999992</v>
      </c>
      <c r="U138" s="2">
        <v>0.45567316764138877</v>
      </c>
      <c r="V138" s="2">
        <v>0.37696334999999997</v>
      </c>
      <c r="W138" s="2">
        <v>0.46459999989718198</v>
      </c>
      <c r="X138" s="2">
        <v>0.5</v>
      </c>
      <c r="Y138" s="2">
        <v>0.19322973000418731</v>
      </c>
      <c r="Z138" s="2">
        <v>0.51496675914453205</v>
      </c>
      <c r="AA138" s="2">
        <v>5.0000000000000044E-3</v>
      </c>
      <c r="AB138" s="2">
        <v>0.5</v>
      </c>
      <c r="AC138" s="2">
        <v>0</v>
      </c>
      <c r="AD138" s="2">
        <v>0.5</v>
      </c>
      <c r="AE138" s="16">
        <f t="shared" si="2"/>
        <v>0.39409459682320386</v>
      </c>
      <c r="AF138" s="2" t="e">
        <v>#N/A</v>
      </c>
      <c r="AG138" s="2" t="e">
        <v>#N/A</v>
      </c>
      <c r="AH138" s="2" t="e">
        <v>#N/A</v>
      </c>
      <c r="AI138" s="2" t="e">
        <v>#N/A</v>
      </c>
      <c r="AJ138" s="2" t="e">
        <v>#N/A</v>
      </c>
      <c r="AK138" s="2" t="e">
        <v>#N/A</v>
      </c>
      <c r="AL138" s="2" t="e">
        <v>#N/A</v>
      </c>
      <c r="AM138" s="2">
        <v>0.78916907601115227</v>
      </c>
      <c r="AN138" s="2">
        <v>0.75158939559427762</v>
      </c>
      <c r="AO138" s="2">
        <v>0.42330196741928611</v>
      </c>
      <c r="AP138" s="2">
        <v>0.70947344356965836</v>
      </c>
      <c r="AQ138" s="2">
        <v>0.45446004193485212</v>
      </c>
      <c r="AR138" s="2">
        <v>0.6421779206826489</v>
      </c>
      <c r="AS138" s="2" t="e">
        <v>#N/A</v>
      </c>
    </row>
    <row r="139" spans="1:45">
      <c r="A139" s="13" t="s">
        <v>324</v>
      </c>
      <c r="B139" s="15" t="s">
        <v>49</v>
      </c>
      <c r="C139" s="20">
        <v>67.2</v>
      </c>
      <c r="D139" s="21">
        <v>13057</v>
      </c>
      <c r="E139" s="22">
        <v>9.48</v>
      </c>
      <c r="F139" s="23">
        <v>0.84</v>
      </c>
      <c r="G139" s="2">
        <v>0.63399782939832439</v>
      </c>
      <c r="H139" s="2">
        <v>3.0520000000000005E-3</v>
      </c>
      <c r="I139" s="2">
        <v>0.10719999916851519</v>
      </c>
      <c r="J139" s="2">
        <v>0.19999999999999996</v>
      </c>
      <c r="K139" s="2">
        <v>3.6666666666666667E-2</v>
      </c>
      <c r="L139" s="2">
        <v>0.33759999938309193</v>
      </c>
      <c r="M139" s="2">
        <v>0.49525000000000002</v>
      </c>
      <c r="N139" s="2">
        <v>0.26259999994188549</v>
      </c>
      <c r="O139" s="2">
        <v>0.94121958637466663</v>
      </c>
      <c r="P139" s="2">
        <v>0.08</v>
      </c>
      <c r="Q139" s="2">
        <v>0.80559999898076062</v>
      </c>
      <c r="R139" s="2">
        <v>0.3</v>
      </c>
      <c r="S139" s="2">
        <v>0.3175</v>
      </c>
      <c r="T139" s="2">
        <v>0.76919999999999999</v>
      </c>
      <c r="U139" s="2">
        <v>0.24731348157391098</v>
      </c>
      <c r="V139" s="2">
        <v>0.337614678</v>
      </c>
      <c r="W139" s="2">
        <v>9.9005047978089743E-4</v>
      </c>
      <c r="X139" s="2">
        <v>5.0055551736968129E-2</v>
      </c>
      <c r="Y139" s="2">
        <v>4.4881928840523271E-2</v>
      </c>
      <c r="Z139" s="2">
        <v>7.3612317997076598E-2</v>
      </c>
      <c r="AA139" s="2">
        <v>0.11900000000000011</v>
      </c>
      <c r="AB139" s="2">
        <v>0.91</v>
      </c>
      <c r="AC139" s="2">
        <v>0.14124293785310735</v>
      </c>
      <c r="AD139" s="2">
        <v>0.63385599965900186</v>
      </c>
      <c r="AE139" s="16">
        <f t="shared" si="2"/>
        <v>0.32701887608559499</v>
      </c>
      <c r="AF139" s="2">
        <v>0.75900000000000001</v>
      </c>
      <c r="AG139" s="2">
        <v>0.7</v>
      </c>
      <c r="AH139" s="2">
        <v>0.82599999999999996</v>
      </c>
      <c r="AI139" s="2">
        <v>0.9</v>
      </c>
      <c r="AJ139" s="2">
        <v>0.65</v>
      </c>
      <c r="AK139" s="2">
        <v>0.73199999999999998</v>
      </c>
      <c r="AL139" s="2">
        <v>0.75800000000000001</v>
      </c>
      <c r="AM139" s="2">
        <v>0.52887625106546776</v>
      </c>
      <c r="AN139" s="2">
        <v>0.61179903537911084</v>
      </c>
      <c r="AO139" s="2">
        <v>0.4480520726024449</v>
      </c>
      <c r="AP139" s="2">
        <v>1</v>
      </c>
      <c r="AQ139" s="2">
        <v>0.61860685771897961</v>
      </c>
      <c r="AR139" s="2">
        <v>0.48227421046878921</v>
      </c>
      <c r="AS139" s="2">
        <v>0.41299999999999998</v>
      </c>
    </row>
    <row r="140" spans="1:45">
      <c r="A140" s="13" t="s">
        <v>325</v>
      </c>
      <c r="B140" s="15" t="s">
        <v>190</v>
      </c>
      <c r="C140" s="20">
        <v>47.6</v>
      </c>
      <c r="D140" s="21">
        <v>2281</v>
      </c>
      <c r="E140" s="22">
        <v>7.73</v>
      </c>
      <c r="F140" s="23">
        <v>0.54</v>
      </c>
      <c r="G140" s="2">
        <v>0.63714336252189141</v>
      </c>
      <c r="H140" s="2">
        <v>3.39E-4</v>
      </c>
      <c r="I140" s="2">
        <v>0.61599999964237218</v>
      </c>
      <c r="J140" s="2">
        <v>0.125</v>
      </c>
      <c r="K140" s="2">
        <v>0.192</v>
      </c>
      <c r="L140" s="2">
        <v>0.56799999959766867</v>
      </c>
      <c r="M140" s="2">
        <v>0.49116666666666664</v>
      </c>
      <c r="N140" s="2">
        <v>0.88354799980446697</v>
      </c>
      <c r="O140" s="2">
        <v>0.86906790123449995</v>
      </c>
      <c r="P140" s="2">
        <v>0.14000000000000001</v>
      </c>
      <c r="Q140" s="2">
        <v>1</v>
      </c>
      <c r="R140" s="2">
        <v>0.54</v>
      </c>
      <c r="S140" s="2">
        <v>0.76749999999999996</v>
      </c>
      <c r="T140" s="2">
        <v>0.97536</v>
      </c>
      <c r="U140" s="2">
        <v>0.52686033061474569</v>
      </c>
      <c r="V140" s="2">
        <v>0.617549668</v>
      </c>
      <c r="W140" s="2">
        <v>0.20199403045129785</v>
      </c>
      <c r="X140" s="2">
        <v>0.2774654394414679</v>
      </c>
      <c r="Y140" s="2">
        <v>2.1615336702716526E-2</v>
      </c>
      <c r="Z140" s="2">
        <v>2.7365348741470199E-2</v>
      </c>
      <c r="AA140" s="2">
        <v>0.9</v>
      </c>
      <c r="AB140" s="2">
        <v>0.3</v>
      </c>
      <c r="AC140" s="2">
        <v>9.9368458243165661E-3</v>
      </c>
      <c r="AD140" s="2">
        <v>0.97129999985918403</v>
      </c>
      <c r="AE140" s="16">
        <f t="shared" si="2"/>
        <v>0.48580049704594858</v>
      </c>
      <c r="AF140" s="2">
        <v>0.59099999999999997</v>
      </c>
      <c r="AG140" s="2">
        <v>0.3</v>
      </c>
      <c r="AH140" s="2">
        <v>0.65</v>
      </c>
      <c r="AI140" s="2">
        <v>0.63300000000000001</v>
      </c>
      <c r="AJ140" s="2">
        <v>0.35</v>
      </c>
      <c r="AK140" s="2">
        <v>0.72599999999999998</v>
      </c>
      <c r="AL140" s="2">
        <v>0.86199999999999999</v>
      </c>
      <c r="AM140" s="2">
        <v>0.37891925353308498</v>
      </c>
      <c r="AN140" s="2">
        <v>0.52221526662297113</v>
      </c>
      <c r="AO140" s="2">
        <v>0.22562978471811396</v>
      </c>
      <c r="AP140" s="2">
        <v>0.14705535033018624</v>
      </c>
      <c r="AQ140" s="2">
        <v>2.2517597284815671E-2</v>
      </c>
      <c r="AR140" s="2">
        <v>0.30702368842549504</v>
      </c>
      <c r="AS140" s="2">
        <v>0.83299999999999996</v>
      </c>
    </row>
    <row r="141" spans="1:45">
      <c r="A141" s="13" t="s">
        <v>326</v>
      </c>
      <c r="B141" s="15" t="s">
        <v>86</v>
      </c>
      <c r="C141" s="20">
        <v>63</v>
      </c>
      <c r="D141" s="21">
        <v>4523</v>
      </c>
      <c r="E141" s="22">
        <v>8.42</v>
      </c>
      <c r="F141" s="23">
        <v>0.76</v>
      </c>
      <c r="G141" s="2">
        <v>0.23660553851397409</v>
      </c>
      <c r="H141" s="2">
        <v>1.4580000000000001E-3</v>
      </c>
      <c r="I141" s="2">
        <v>0.17439999923110006</v>
      </c>
      <c r="J141" s="2">
        <v>0.32499999999999996</v>
      </c>
      <c r="K141" s="2">
        <v>3.7333333333333336E-2</v>
      </c>
      <c r="L141" s="2">
        <v>0.32799999937415125</v>
      </c>
      <c r="M141" s="2">
        <v>0.76291666666666669</v>
      </c>
      <c r="N141" s="2">
        <v>0.39490999991260467</v>
      </c>
      <c r="O141" s="2">
        <v>0.88862579365083338</v>
      </c>
      <c r="P141" s="2">
        <v>0.24</v>
      </c>
      <c r="Q141" s="2">
        <v>9.539999987930059E-2</v>
      </c>
      <c r="R141" s="2">
        <v>0.54</v>
      </c>
      <c r="S141" s="2">
        <v>0.3175</v>
      </c>
      <c r="T141" s="2">
        <v>0.83960000000000001</v>
      </c>
      <c r="U141" s="2">
        <v>0.31981221334874765</v>
      </c>
      <c r="V141" s="2">
        <v>0.29855537799999998</v>
      </c>
      <c r="W141" s="2">
        <v>1.7366341824656753E-2</v>
      </c>
      <c r="X141" s="2">
        <v>8.2867576408760205E-2</v>
      </c>
      <c r="Y141" s="2">
        <v>0</v>
      </c>
      <c r="Z141" s="2">
        <v>0</v>
      </c>
      <c r="AA141" s="2">
        <v>5.5000000000000049E-2</v>
      </c>
      <c r="AB141" s="2">
        <v>1</v>
      </c>
      <c r="AC141" s="2">
        <v>1.5101938082053862E-2</v>
      </c>
      <c r="AD141" s="2">
        <v>0.58344000418815667</v>
      </c>
      <c r="AE141" s="16">
        <f t="shared" si="2"/>
        <v>0.3147455326005974</v>
      </c>
      <c r="AF141" s="2">
        <v>0.60899999999999999</v>
      </c>
      <c r="AG141" s="2">
        <v>0.6</v>
      </c>
      <c r="AH141" s="2">
        <v>0.96599999999999997</v>
      </c>
      <c r="AI141" s="2">
        <v>0.91700000000000004</v>
      </c>
      <c r="AJ141" s="2">
        <v>0.65</v>
      </c>
      <c r="AK141" s="2">
        <v>0.754</v>
      </c>
      <c r="AL141" s="2">
        <v>0.83499999999999996</v>
      </c>
      <c r="AM141" s="2">
        <v>0.30445980820243262</v>
      </c>
      <c r="AN141" s="2">
        <v>0.45235901622879027</v>
      </c>
      <c r="AO141" s="2">
        <v>0.32572822435175108</v>
      </c>
      <c r="AP141" s="2">
        <v>0.97347357059407247</v>
      </c>
      <c r="AQ141" s="2">
        <v>0.38341002054701373</v>
      </c>
      <c r="AR141" s="2">
        <v>0.30548538220290966</v>
      </c>
      <c r="AS141" s="2">
        <v>0.26100000000000001</v>
      </c>
    </row>
    <row r="142" spans="1:45">
      <c r="A142" s="13" t="s">
        <v>327</v>
      </c>
      <c r="B142" s="15" t="s">
        <v>37</v>
      </c>
      <c r="C142" s="20">
        <v>64.3</v>
      </c>
      <c r="D142" s="21">
        <v>8629</v>
      </c>
      <c r="E142" s="22">
        <v>9.06</v>
      </c>
      <c r="F142" s="23">
        <v>0.81</v>
      </c>
      <c r="G142" s="2">
        <v>0.43419003984063748</v>
      </c>
      <c r="H142" s="2">
        <v>1.01E-2</v>
      </c>
      <c r="I142" s="2">
        <v>0.21279999926686288</v>
      </c>
      <c r="J142" s="2">
        <v>0.32499999999999996</v>
      </c>
      <c r="K142" s="2">
        <v>4.5999999999999999E-2</v>
      </c>
      <c r="L142" s="2">
        <v>0.34719999939203261</v>
      </c>
      <c r="M142" s="2">
        <v>0.59099999999999997</v>
      </c>
      <c r="N142" s="2">
        <v>0.28784999993629756</v>
      </c>
      <c r="O142" s="2">
        <v>0.86407031963466663</v>
      </c>
      <c r="P142" s="2">
        <v>0.36</v>
      </c>
      <c r="Q142" s="2">
        <v>0.54059999931603675</v>
      </c>
      <c r="R142" s="2">
        <v>5.3999999910593031E-2</v>
      </c>
      <c r="S142" s="2">
        <v>0.22499999999999998</v>
      </c>
      <c r="T142" s="2">
        <v>0.87559999999999993</v>
      </c>
      <c r="U142" s="2">
        <v>0.29337147186070867</v>
      </c>
      <c r="V142" s="2">
        <v>0.56535947799999997</v>
      </c>
      <c r="W142" s="2">
        <v>9.6788237863580338E-3</v>
      </c>
      <c r="X142" s="2">
        <v>7.0005117199817835E-2</v>
      </c>
      <c r="Y142" s="2">
        <v>4.6021735040835728E-3</v>
      </c>
      <c r="Z142" s="2">
        <v>1.7865612563228599E-2</v>
      </c>
      <c r="AA142" s="2">
        <v>0.23099999999999998</v>
      </c>
      <c r="AB142" s="2">
        <v>0.65</v>
      </c>
      <c r="AC142" s="2">
        <v>1.8749999999999999E-2</v>
      </c>
      <c r="AD142" s="2">
        <v>0.87229534319578939</v>
      </c>
      <c r="AE142" s="16">
        <f t="shared" si="2"/>
        <v>0.32943076572529634</v>
      </c>
      <c r="AF142" s="2">
        <v>0.65799999999999992</v>
      </c>
      <c r="AG142" s="2">
        <v>0.6</v>
      </c>
      <c r="AH142" s="2">
        <v>0.79500000000000004</v>
      </c>
      <c r="AI142" s="2">
        <v>0.92299999999999993</v>
      </c>
      <c r="AJ142" s="2">
        <v>0.7</v>
      </c>
      <c r="AK142" s="2">
        <v>0.81599999999999995</v>
      </c>
      <c r="AL142" s="2">
        <v>0.85</v>
      </c>
      <c r="AM142" s="2">
        <v>0.31603427278685325</v>
      </c>
      <c r="AN142" s="2">
        <v>0.50871854191908772</v>
      </c>
      <c r="AO142" s="2">
        <v>0.42885815802282429</v>
      </c>
      <c r="AP142" s="2">
        <v>0.93161340664848258</v>
      </c>
      <c r="AQ142" s="2">
        <v>0.45310249802352059</v>
      </c>
      <c r="AR142" s="2">
        <v>0.37018255110460901</v>
      </c>
      <c r="AS142" s="2">
        <v>0.66099999999999992</v>
      </c>
    </row>
    <row r="143" spans="1:45">
      <c r="A143" s="13" t="s">
        <v>328</v>
      </c>
      <c r="B143" s="15" t="s">
        <v>73</v>
      </c>
      <c r="C143" s="20">
        <v>61.9</v>
      </c>
      <c r="D143" s="21">
        <v>3542</v>
      </c>
      <c r="E143" s="22">
        <v>8.17</v>
      </c>
      <c r="F143" s="23">
        <v>0.75</v>
      </c>
      <c r="G143" s="2">
        <v>0.12827533666794924</v>
      </c>
      <c r="H143" s="2">
        <v>0</v>
      </c>
      <c r="I143" s="2">
        <v>0.12639999918639655</v>
      </c>
      <c r="J143" s="2">
        <v>9.9999999999999978E-2</v>
      </c>
      <c r="K143" s="2">
        <v>6.4000000000000001E-2</v>
      </c>
      <c r="L143" s="2">
        <v>0.27039999932050707</v>
      </c>
      <c r="M143" s="2">
        <v>0.49116666666666664</v>
      </c>
      <c r="N143" s="2">
        <v>0.3468339999232441</v>
      </c>
      <c r="O143" s="2">
        <v>0.7813801886791667</v>
      </c>
      <c r="P143" s="2">
        <v>0.08</v>
      </c>
      <c r="Q143" s="2">
        <v>0.26499999966472387</v>
      </c>
      <c r="R143" s="2">
        <v>0.3</v>
      </c>
      <c r="S143" s="2">
        <v>0.76749999999999996</v>
      </c>
      <c r="T143" s="2">
        <v>0.66775999999999991</v>
      </c>
      <c r="U143" s="2">
        <v>0.32077830115452488</v>
      </c>
      <c r="V143" s="2">
        <v>0.522033898</v>
      </c>
      <c r="W143" s="2">
        <v>4.3430002434588749E-2</v>
      </c>
      <c r="X143" s="2">
        <v>8.0018194811209767E-2</v>
      </c>
      <c r="Y143" s="2">
        <v>7.677140298733115E-2</v>
      </c>
      <c r="Z143" s="2">
        <v>0.17703882549799699</v>
      </c>
      <c r="AA143" s="2">
        <v>0.14000000000000001</v>
      </c>
      <c r="AB143" s="2">
        <v>0.53</v>
      </c>
      <c r="AC143" s="2">
        <v>0.13582855418050105</v>
      </c>
      <c r="AD143" s="2">
        <v>0.91486000296680481</v>
      </c>
      <c r="AE143" s="16">
        <f t="shared" si="2"/>
        <v>0.30539480717256712</v>
      </c>
      <c r="AF143" s="2">
        <v>0.48100000000000004</v>
      </c>
      <c r="AG143" s="2">
        <v>0.5</v>
      </c>
      <c r="AH143" s="2">
        <v>0.78799999999999992</v>
      </c>
      <c r="AI143" s="2">
        <v>0.91200000000000003</v>
      </c>
      <c r="AJ143" s="2">
        <v>0.4</v>
      </c>
      <c r="AK143" s="2">
        <v>0.72699999999999998</v>
      </c>
      <c r="AL143" s="2">
        <v>0.77800000000000002</v>
      </c>
      <c r="AM143" s="2">
        <v>0.21938916482529569</v>
      </c>
      <c r="AN143" s="2">
        <v>0.47685928067759492</v>
      </c>
      <c r="AO143" s="2">
        <v>0.35910180246732715</v>
      </c>
      <c r="AP143" s="2">
        <v>0.89079296345647885</v>
      </c>
      <c r="AQ143" s="2">
        <v>0.39348864036646491</v>
      </c>
      <c r="AR143" s="2">
        <v>0.3948222358844673</v>
      </c>
      <c r="AS143" s="2">
        <v>0.51900000000000002</v>
      </c>
    </row>
    <row r="144" spans="1:45">
      <c r="A144" s="13" t="s">
        <v>329</v>
      </c>
      <c r="B144" s="15" t="s">
        <v>81</v>
      </c>
      <c r="C144" s="20">
        <v>78.2</v>
      </c>
      <c r="D144" s="21">
        <v>18905</v>
      </c>
      <c r="E144" s="22">
        <v>9.85</v>
      </c>
      <c r="F144" s="23">
        <v>0.88</v>
      </c>
      <c r="G144" s="2">
        <v>0.33954403794037941</v>
      </c>
      <c r="H144" s="2">
        <v>0</v>
      </c>
      <c r="I144" s="2">
        <v>3.9999999105930328E-2</v>
      </c>
      <c r="J144" s="2">
        <v>0.625</v>
      </c>
      <c r="K144" s="2">
        <v>0</v>
      </c>
      <c r="L144" s="2">
        <v>0.13599999919533734</v>
      </c>
      <c r="M144" s="2">
        <v>0.23183333333333334</v>
      </c>
      <c r="N144" s="2">
        <v>0.39127399991340939</v>
      </c>
      <c r="O144" s="2">
        <v>0.67822152464093954</v>
      </c>
      <c r="P144" s="2">
        <v>0.06</v>
      </c>
      <c r="Q144" s="2">
        <v>0.1165999998524785</v>
      </c>
      <c r="R144" s="2">
        <v>0</v>
      </c>
      <c r="S144" s="2">
        <v>7.4999999999999997E-2</v>
      </c>
      <c r="T144" s="2">
        <v>0.59928000000000003</v>
      </c>
      <c r="U144" s="2">
        <v>0.24976312060058148</v>
      </c>
      <c r="V144" s="2">
        <v>8.9171974000000001E-2</v>
      </c>
      <c r="W144" s="2">
        <v>0</v>
      </c>
      <c r="X144" s="2">
        <v>1.9598667383151371E-3</v>
      </c>
      <c r="Y144" s="2">
        <v>1.9555589171861513E-2</v>
      </c>
      <c r="Z144" s="2">
        <v>2.5313311200472002E-2</v>
      </c>
      <c r="AA144" s="2">
        <v>0</v>
      </c>
      <c r="AB144" s="2">
        <v>0.3</v>
      </c>
      <c r="AC144" s="2">
        <v>1.4790468364831553E-2</v>
      </c>
      <c r="AD144" s="2">
        <v>0.34574759167867997</v>
      </c>
      <c r="AE144" s="16">
        <f t="shared" si="2"/>
        <v>0.18079395065568957</v>
      </c>
      <c r="AF144" s="2">
        <v>0.622</v>
      </c>
      <c r="AG144" s="2">
        <v>0.6</v>
      </c>
      <c r="AH144" s="2">
        <v>0.74900000000000011</v>
      </c>
      <c r="AI144" s="2">
        <v>0.46799999999999997</v>
      </c>
      <c r="AJ144" s="2">
        <v>0.6</v>
      </c>
      <c r="AK144" s="2">
        <v>0.78099999999999992</v>
      </c>
      <c r="AL144" s="2">
        <v>0.875</v>
      </c>
      <c r="AM144" s="2">
        <v>0.67951576829747018</v>
      </c>
      <c r="AN144" s="2">
        <v>0.70306514086893412</v>
      </c>
      <c r="AO144" s="2">
        <v>0.59556699193452545</v>
      </c>
      <c r="AP144" s="2">
        <v>1</v>
      </c>
      <c r="AQ144" s="2">
        <v>0.95217586374392582</v>
      </c>
      <c r="AR144" s="2">
        <v>0.63520045018434912</v>
      </c>
      <c r="AS144" s="2">
        <v>0.61499999999999999</v>
      </c>
    </row>
    <row r="145" spans="1:45">
      <c r="A145" s="13" t="s">
        <v>330</v>
      </c>
      <c r="B145" s="15" t="s">
        <v>91</v>
      </c>
      <c r="C145" s="20">
        <v>74.7</v>
      </c>
      <c r="D145" s="21">
        <v>24920</v>
      </c>
      <c r="E145" s="22">
        <v>10.119999999999999</v>
      </c>
      <c r="F145" s="23">
        <v>0.91</v>
      </c>
      <c r="G145" s="2">
        <v>0.94999198949441888</v>
      </c>
      <c r="H145" s="2">
        <v>0.1232</v>
      </c>
      <c r="I145" s="2">
        <v>4.9599999114871007E-2</v>
      </c>
      <c r="J145" s="2">
        <v>0.375</v>
      </c>
      <c r="K145" s="2">
        <v>0</v>
      </c>
      <c r="L145" s="2">
        <v>3.9999999105930328E-2</v>
      </c>
      <c r="M145" s="2">
        <v>0.29975000000000002</v>
      </c>
      <c r="N145" s="2">
        <v>0.40319199991077181</v>
      </c>
      <c r="O145" s="2">
        <v>0.48544967491190205</v>
      </c>
      <c r="P145" s="2">
        <v>0.18</v>
      </c>
      <c r="Q145" s="2">
        <v>0.85859999891370542</v>
      </c>
      <c r="R145" s="2">
        <v>0</v>
      </c>
      <c r="S145" s="2">
        <v>6.7499999999999991E-2</v>
      </c>
      <c r="T145" s="2">
        <v>0.48640000000000005</v>
      </c>
      <c r="U145" s="2">
        <v>0.17840468150973465</v>
      </c>
      <c r="V145" s="2">
        <v>0.19658119600000001</v>
      </c>
      <c r="W145" s="2">
        <v>0</v>
      </c>
      <c r="X145" s="2">
        <v>2.6539590977184384E-3</v>
      </c>
      <c r="Y145" s="2">
        <v>2.3553347609705032E-2</v>
      </c>
      <c r="Z145" s="2">
        <v>5.4811007844475602E-2</v>
      </c>
      <c r="AA145" s="2">
        <v>0</v>
      </c>
      <c r="AB145" s="2">
        <v>0.82</v>
      </c>
      <c r="AC145" s="2">
        <v>8.1967213114754092E-2</v>
      </c>
      <c r="AD145" s="2">
        <v>0.24319999769330025</v>
      </c>
      <c r="AE145" s="16">
        <f t="shared" si="2"/>
        <v>0.24666062768005362</v>
      </c>
      <c r="AF145" s="2">
        <v>0.80500000000000005</v>
      </c>
      <c r="AG145" s="2">
        <v>0.6</v>
      </c>
      <c r="AH145" s="2">
        <v>0.61</v>
      </c>
      <c r="AI145" s="2">
        <v>0.371</v>
      </c>
      <c r="AJ145" s="2">
        <v>0.7</v>
      </c>
      <c r="AK145" s="2">
        <v>0.79700000000000004</v>
      </c>
      <c r="AL145" s="2">
        <v>0.875</v>
      </c>
      <c r="AM145" s="2">
        <v>0.65657857531574848</v>
      </c>
      <c r="AN145" s="2">
        <v>0.73980171758287794</v>
      </c>
      <c r="AO145" s="2">
        <v>0.71389542456469846</v>
      </c>
      <c r="AP145" s="2">
        <v>1</v>
      </c>
      <c r="AQ145" s="2">
        <v>0.82544173791160969</v>
      </c>
      <c r="AR145" s="2">
        <v>0.70535074205744608</v>
      </c>
      <c r="AS145" s="2">
        <v>0.37</v>
      </c>
    </row>
    <row r="146" spans="1:45">
      <c r="A146" s="13" t="s">
        <v>331</v>
      </c>
      <c r="B146" s="15" t="s">
        <v>5</v>
      </c>
      <c r="C146" s="20">
        <v>68.8</v>
      </c>
      <c r="D146" s="21">
        <v>91379</v>
      </c>
      <c r="E146" s="22">
        <v>11.42</v>
      </c>
      <c r="F146" s="23">
        <v>0.91</v>
      </c>
      <c r="G146" s="2">
        <v>1</v>
      </c>
      <c r="H146" s="2">
        <v>1</v>
      </c>
      <c r="I146" s="2">
        <v>3.9999999105930328E-2</v>
      </c>
      <c r="J146" s="2">
        <v>0.52500000000000002</v>
      </c>
      <c r="K146" s="2">
        <v>4.0000000000000001E-3</v>
      </c>
      <c r="L146" s="2">
        <v>3.9999999105930328E-2</v>
      </c>
      <c r="M146" s="2">
        <v>0.54108333333333336</v>
      </c>
      <c r="N146" s="2">
        <v>4.3227999990433454E-2</v>
      </c>
      <c r="O146" s="2">
        <v>0.53846153846150002</v>
      </c>
      <c r="P146" s="2">
        <v>0.28000000000000003</v>
      </c>
      <c r="Q146" s="2">
        <v>1</v>
      </c>
      <c r="R146" s="2">
        <v>0</v>
      </c>
      <c r="S146" s="2">
        <v>7.4999999999999997E-2</v>
      </c>
      <c r="T146" s="2">
        <v>0.48463999999999996</v>
      </c>
      <c r="U146" s="2">
        <v>0.24191172547131801</v>
      </c>
      <c r="V146" s="2">
        <v>0.13507625200000001</v>
      </c>
      <c r="W146" s="2">
        <v>0</v>
      </c>
      <c r="X146" s="2">
        <v>5.8659853149571157E-3</v>
      </c>
      <c r="Y146" s="2">
        <v>0.22988831188903622</v>
      </c>
      <c r="Z146" s="2">
        <v>0.33104463039743398</v>
      </c>
      <c r="AA146" s="2">
        <v>1.3000000000000012E-2</v>
      </c>
      <c r="AB146" s="2">
        <v>0</v>
      </c>
      <c r="AC146" s="2">
        <v>0</v>
      </c>
      <c r="AD146" s="2">
        <v>0.27999999597668646</v>
      </c>
      <c r="AE146" s="16">
        <f t="shared" si="2"/>
        <v>0.28367499046027328</v>
      </c>
      <c r="AF146" s="2">
        <v>0.73699999999999999</v>
      </c>
      <c r="AG146" s="2">
        <v>0.5</v>
      </c>
      <c r="AH146" s="2">
        <v>0.99900000000000011</v>
      </c>
      <c r="AI146" s="2">
        <v>0.73699999999999999</v>
      </c>
      <c r="AJ146" s="2">
        <v>0.45</v>
      </c>
      <c r="AK146" s="2">
        <v>0.65900000000000003</v>
      </c>
      <c r="AL146" s="2">
        <v>0.82200000000000006</v>
      </c>
      <c r="AM146" s="2">
        <v>0.72127978737970633</v>
      </c>
      <c r="AN146" s="2">
        <v>0.32379710394941413</v>
      </c>
      <c r="AO146" s="2">
        <v>0.82455129243555292</v>
      </c>
      <c r="AP146" s="2">
        <v>1</v>
      </c>
      <c r="AQ146" s="2">
        <v>0.14481154288983769</v>
      </c>
      <c r="AR146" s="2">
        <v>0.68986007348834522</v>
      </c>
      <c r="AS146" s="2">
        <v>0.69099999999999995</v>
      </c>
    </row>
    <row r="147" spans="1:45">
      <c r="A147" s="13" t="s">
        <v>332</v>
      </c>
      <c r="B147" s="15" t="s">
        <v>103</v>
      </c>
      <c r="C147" s="20">
        <v>72.3</v>
      </c>
      <c r="D147" s="21">
        <v>14199</v>
      </c>
      <c r="E147" s="22">
        <v>9.56</v>
      </c>
      <c r="F147" s="23">
        <v>0.84</v>
      </c>
      <c r="G147" s="2">
        <v>0.21017202797202805</v>
      </c>
      <c r="H147" s="2">
        <v>0</v>
      </c>
      <c r="I147" s="2">
        <v>0</v>
      </c>
      <c r="J147" s="2">
        <v>0.67500000000000004</v>
      </c>
      <c r="K147" s="2">
        <v>4.0000000000000001E-3</v>
      </c>
      <c r="L147" s="2">
        <v>0.28000000000000003</v>
      </c>
      <c r="M147" s="2">
        <v>0.54108333333333336</v>
      </c>
      <c r="N147" s="2">
        <v>0.46035799989812076</v>
      </c>
      <c r="O147" s="2">
        <v>1</v>
      </c>
      <c r="P147" s="2">
        <v>0.16</v>
      </c>
      <c r="Q147" s="2">
        <v>0.13779999982565641</v>
      </c>
      <c r="R147" s="2">
        <v>0.03</v>
      </c>
      <c r="S147" s="2">
        <v>7.4999999999999997E-2</v>
      </c>
      <c r="T147" s="2">
        <v>0.6790719999999999</v>
      </c>
      <c r="U147" s="2">
        <v>0.24191172547131801</v>
      </c>
      <c r="V147" s="2">
        <v>0.103683492</v>
      </c>
      <c r="W147" s="2">
        <v>0</v>
      </c>
      <c r="X147" s="2">
        <v>9.5357792318022591E-3</v>
      </c>
      <c r="Y147" s="2">
        <v>3.6266029652120037E-2</v>
      </c>
      <c r="Z147" s="2">
        <v>3.41823568080762E-2</v>
      </c>
      <c r="AA147" s="2">
        <v>0</v>
      </c>
      <c r="AB147" s="2">
        <v>0.1</v>
      </c>
      <c r="AC147" s="2">
        <v>0</v>
      </c>
      <c r="AD147" s="2">
        <v>0.73423999250197292</v>
      </c>
      <c r="AE147" s="16">
        <f t="shared" si="2"/>
        <v>0.22967936402893444</v>
      </c>
      <c r="AF147" s="2">
        <v>0.72499999999999998</v>
      </c>
      <c r="AG147" s="2">
        <v>0.5</v>
      </c>
      <c r="AH147" s="2">
        <v>0.85799999999999998</v>
      </c>
      <c r="AI147" s="2">
        <v>0.59799999999999998</v>
      </c>
      <c r="AJ147" s="2">
        <v>0.75</v>
      </c>
      <c r="AK147" s="2">
        <v>0.73299999999999998</v>
      </c>
      <c r="AL147" s="2">
        <v>0.875</v>
      </c>
      <c r="AM147" s="2">
        <v>0.57935871402902195</v>
      </c>
      <c r="AN147" s="2">
        <v>0.59149415170244202</v>
      </c>
      <c r="AO147" s="2">
        <v>0.47441365606642372</v>
      </c>
      <c r="AP147" s="2">
        <v>1</v>
      </c>
      <c r="AQ147" s="2">
        <v>0.89906345226588946</v>
      </c>
      <c r="AR147" s="2">
        <v>0.5199300298991707</v>
      </c>
      <c r="AS147" s="2">
        <v>0.60399999999999998</v>
      </c>
    </row>
    <row r="148" spans="1:45">
      <c r="A148" s="13" t="s">
        <v>450</v>
      </c>
      <c r="B148" s="15" t="s">
        <v>48</v>
      </c>
      <c r="C148" s="20">
        <v>63</v>
      </c>
      <c r="D148" s="21">
        <v>18932</v>
      </c>
      <c r="E148" s="22">
        <v>9.85</v>
      </c>
      <c r="F148" s="23">
        <v>0.82</v>
      </c>
      <c r="G148" s="2">
        <v>1</v>
      </c>
      <c r="H148" s="2">
        <v>1.7627999934330583E-2</v>
      </c>
      <c r="I148" s="2">
        <v>7.8399999141693155E-2</v>
      </c>
      <c r="J148" s="2">
        <v>0.97500000000000009</v>
      </c>
      <c r="K148" s="2">
        <v>3.3333333333333335E-3</v>
      </c>
      <c r="L148" s="2">
        <v>0.16479999922215938</v>
      </c>
      <c r="M148" s="2">
        <v>0.2734166666666667</v>
      </c>
      <c r="N148" s="2">
        <v>0.27451799993924797</v>
      </c>
      <c r="O148" s="2">
        <v>0.95382055363763696</v>
      </c>
      <c r="P148" s="2">
        <v>1</v>
      </c>
      <c r="Q148" s="2">
        <v>3.1799999959766866E-2</v>
      </c>
      <c r="R148" s="2">
        <v>0.05</v>
      </c>
      <c r="S148" s="2">
        <v>0.87499999999999989</v>
      </c>
      <c r="T148" s="2">
        <v>0.3144880000000001</v>
      </c>
      <c r="U148" s="2">
        <v>0.3973830231770884</v>
      </c>
      <c r="V148" s="2">
        <v>0.138266796</v>
      </c>
      <c r="W148" s="2">
        <v>0</v>
      </c>
      <c r="X148" s="2">
        <v>1.3998009467966158E-2</v>
      </c>
      <c r="Y148" s="2">
        <v>1.6662488420424136E-2</v>
      </c>
      <c r="Z148" s="2">
        <v>2.44347857486415E-2</v>
      </c>
      <c r="AA148" s="2">
        <v>0</v>
      </c>
      <c r="AB148" s="2">
        <v>0</v>
      </c>
      <c r="AC148" s="2">
        <v>2.5644563901979149E-3</v>
      </c>
      <c r="AD148" s="2">
        <v>0.24743599892631163</v>
      </c>
      <c r="AE148" s="16">
        <f t="shared" si="2"/>
        <v>0.28553958791522771</v>
      </c>
      <c r="AF148" s="2">
        <v>0.52200000000000002</v>
      </c>
      <c r="AG148" s="2">
        <v>0.4</v>
      </c>
      <c r="AH148" s="2">
        <v>0.82299999999999995</v>
      </c>
      <c r="AI148" s="2">
        <v>0.66500000000000004</v>
      </c>
      <c r="AJ148" s="2">
        <v>0.25</v>
      </c>
      <c r="AK148" s="2">
        <v>0.626</v>
      </c>
      <c r="AL148" s="2">
        <v>0.68400000000000005</v>
      </c>
      <c r="AM148" s="2">
        <v>0.35647173602925253</v>
      </c>
      <c r="AN148" s="2">
        <v>0.31224242879055453</v>
      </c>
      <c r="AO148" s="2">
        <v>0.27786520163843365</v>
      </c>
      <c r="AP148" s="2">
        <v>1</v>
      </c>
      <c r="AQ148" s="2">
        <v>1</v>
      </c>
      <c r="AR148" s="2">
        <v>0.34699671117311948</v>
      </c>
      <c r="AS148" s="2">
        <v>0.59599999999999997</v>
      </c>
    </row>
    <row r="149" spans="1:45">
      <c r="A149" s="13" t="s">
        <v>334</v>
      </c>
      <c r="B149" s="15" t="s">
        <v>182</v>
      </c>
      <c r="C149" s="20">
        <v>49.4</v>
      </c>
      <c r="D149" s="21">
        <v>1136</v>
      </c>
      <c r="E149" s="22">
        <v>7.04</v>
      </c>
      <c r="F149" s="23">
        <v>0.46</v>
      </c>
      <c r="G149" s="2">
        <v>0.37583349535080302</v>
      </c>
      <c r="H149" s="2">
        <v>1.5789999999999998E-2</v>
      </c>
      <c r="I149" s="2">
        <v>0.37599999941885476</v>
      </c>
      <c r="J149" s="2">
        <v>0.30000000000000004</v>
      </c>
      <c r="K149" s="2">
        <v>0.64666666666666661</v>
      </c>
      <c r="L149" s="2">
        <v>0.48159999951720234</v>
      </c>
      <c r="M149" s="2">
        <v>0.71575</v>
      </c>
      <c r="N149" s="2">
        <v>0.82193799981810145</v>
      </c>
      <c r="O149" s="2">
        <v>0.98610852713183328</v>
      </c>
      <c r="P149" s="2">
        <v>0.24</v>
      </c>
      <c r="Q149" s="2">
        <v>0.28619999963790183</v>
      </c>
      <c r="R149" s="2">
        <v>0.48399999901652341</v>
      </c>
      <c r="S149" s="2">
        <v>0.40749999999999997</v>
      </c>
      <c r="T149" s="2">
        <v>0.98007999999999995</v>
      </c>
      <c r="U149" s="2">
        <v>0.73748620398163978</v>
      </c>
      <c r="V149" s="2">
        <v>0.83391731000000002</v>
      </c>
      <c r="W149" s="2">
        <v>0.5372269186851093</v>
      </c>
      <c r="X149" s="2">
        <v>0.74553174683907941</v>
      </c>
      <c r="Y149" s="2">
        <v>0</v>
      </c>
      <c r="Z149" s="2">
        <v>0</v>
      </c>
      <c r="AA149" s="2">
        <v>0.95199999999999996</v>
      </c>
      <c r="AB149" s="2">
        <v>0.33</v>
      </c>
      <c r="AC149" s="2">
        <v>0.24321037697608427</v>
      </c>
      <c r="AD149" s="2">
        <v>0.8327999994903803</v>
      </c>
      <c r="AE149" s="16">
        <f t="shared" si="2"/>
        <v>0.51373496843875743</v>
      </c>
      <c r="AF149" s="2">
        <v>0.745</v>
      </c>
      <c r="AG149" s="2">
        <v>0.4</v>
      </c>
      <c r="AH149" s="2">
        <v>0.77099999999999991</v>
      </c>
      <c r="AI149" s="2">
        <v>0.75599999999999989</v>
      </c>
      <c r="AJ149" s="2">
        <v>0.4</v>
      </c>
      <c r="AK149" s="2">
        <v>0.66900000000000004</v>
      </c>
      <c r="AL149" s="2">
        <v>0.67400000000000004</v>
      </c>
      <c r="AM149" s="2">
        <v>0.43549390309242914</v>
      </c>
      <c r="AN149" s="2">
        <v>0.2455031720329349</v>
      </c>
      <c r="AO149" s="2">
        <v>0.52489087075193275</v>
      </c>
      <c r="AP149" s="2">
        <v>0.26728149342466173</v>
      </c>
      <c r="AQ149" s="2">
        <v>6.8147074301100188E-2</v>
      </c>
      <c r="AR149" s="2">
        <v>0.39987888242928316</v>
      </c>
      <c r="AS149" s="2">
        <v>0.89200000000000002</v>
      </c>
    </row>
    <row r="150" spans="1:45">
      <c r="A150" s="13" t="s">
        <v>335</v>
      </c>
      <c r="B150" s="15" t="s">
        <v>151</v>
      </c>
      <c r="C150" s="20" t="e">
        <v>#N/A</v>
      </c>
      <c r="D150" s="21">
        <v>14527</v>
      </c>
      <c r="E150" s="22">
        <v>9.58</v>
      </c>
      <c r="F150" s="23">
        <v>0.84</v>
      </c>
      <c r="G150" s="2">
        <v>0.57196935856688802</v>
      </c>
      <c r="H150" s="2">
        <v>0.5</v>
      </c>
      <c r="I150" s="2">
        <v>4.9599999114871007E-2</v>
      </c>
      <c r="J150" s="2">
        <v>0.15000000000000002</v>
      </c>
      <c r="K150" s="2">
        <v>1.8666666666666668E-2</v>
      </c>
      <c r="L150" s="2">
        <v>7.8399999141693155E-2</v>
      </c>
      <c r="M150" s="2">
        <v>0.71158333333333335</v>
      </c>
      <c r="N150" s="2">
        <v>0.68316399984881282</v>
      </c>
      <c r="O150" s="2">
        <v>0.97791666666666666</v>
      </c>
      <c r="P150" s="2">
        <v>0.3</v>
      </c>
      <c r="Q150" s="2">
        <v>0.83739999894052752</v>
      </c>
      <c r="R150" s="2">
        <v>0.3</v>
      </c>
      <c r="S150" s="2">
        <v>0.3175</v>
      </c>
      <c r="T150" s="2">
        <v>0.72398399999999996</v>
      </c>
      <c r="U150" s="2">
        <v>0.50154536075126943</v>
      </c>
      <c r="V150" s="2">
        <v>0.15762274000000001</v>
      </c>
      <c r="W150" s="2">
        <v>0</v>
      </c>
      <c r="X150" s="2">
        <v>0.5</v>
      </c>
      <c r="Y150" s="2">
        <v>0.17441193075236577</v>
      </c>
      <c r="Z150" s="2">
        <v>0.170847449676337</v>
      </c>
      <c r="AA150" s="2">
        <v>0.13</v>
      </c>
      <c r="AB150" s="2">
        <v>0</v>
      </c>
      <c r="AC150" s="2">
        <v>0</v>
      </c>
      <c r="AD150" s="2">
        <v>0.66849999791011216</v>
      </c>
      <c r="AE150" s="16">
        <f t="shared" si="2"/>
        <v>0.35512964589039764</v>
      </c>
      <c r="AF150" s="2" t="e">
        <v>#N/A</v>
      </c>
      <c r="AG150" s="2" t="e">
        <v>#N/A</v>
      </c>
      <c r="AH150" s="2" t="e">
        <v>#N/A</v>
      </c>
      <c r="AI150" s="2" t="e">
        <v>#N/A</v>
      </c>
      <c r="AJ150" s="2" t="e">
        <v>#N/A</v>
      </c>
      <c r="AK150" s="2" t="e">
        <v>#N/A</v>
      </c>
      <c r="AL150" s="2" t="e">
        <v>#N/A</v>
      </c>
      <c r="AM150" s="2">
        <v>0.73248306884888659</v>
      </c>
      <c r="AN150" s="2">
        <v>0.7030148045536595</v>
      </c>
      <c r="AO150" s="2">
        <v>0.71896559425421214</v>
      </c>
      <c r="AP150" s="2">
        <v>1</v>
      </c>
      <c r="AQ150" s="2">
        <v>0.26299671428571431</v>
      </c>
      <c r="AR150" s="2">
        <v>0.64791308327976949</v>
      </c>
      <c r="AS150" s="2" t="e">
        <v>#N/A</v>
      </c>
    </row>
    <row r="151" spans="1:45">
      <c r="A151" s="13" t="s">
        <v>336</v>
      </c>
      <c r="B151" s="15" t="s">
        <v>161</v>
      </c>
      <c r="C151" s="20">
        <v>66.400000000000006</v>
      </c>
      <c r="D151" s="21">
        <v>9605</v>
      </c>
      <c r="E151" s="22">
        <v>9.17</v>
      </c>
      <c r="F151" s="23">
        <v>0.82</v>
      </c>
      <c r="G151" s="2">
        <v>0.76809602743641048</v>
      </c>
      <c r="H151" s="2">
        <v>0.5</v>
      </c>
      <c r="I151" s="2">
        <v>5.9199999123811686E-2</v>
      </c>
      <c r="J151" s="2">
        <v>0.125</v>
      </c>
      <c r="K151" s="2">
        <v>1.3333333333333333E-3</v>
      </c>
      <c r="L151" s="2">
        <v>0.21679999761283397</v>
      </c>
      <c r="M151" s="2">
        <v>0.71158333333333335</v>
      </c>
      <c r="N151" s="2">
        <v>0.72800799983888864</v>
      </c>
      <c r="O151" s="2">
        <v>1</v>
      </c>
      <c r="P151" s="2">
        <v>0.3</v>
      </c>
      <c r="Q151" s="2">
        <v>1</v>
      </c>
      <c r="R151" s="2">
        <v>0.3</v>
      </c>
      <c r="S151" s="2">
        <v>0.3175</v>
      </c>
      <c r="T151" s="2">
        <v>0.87575999999999998</v>
      </c>
      <c r="U151" s="2">
        <v>0.39069316748000915</v>
      </c>
      <c r="V151" s="2">
        <v>0.248847926</v>
      </c>
      <c r="W151" s="2">
        <v>1.9634822296854728E-2</v>
      </c>
      <c r="X151" s="2">
        <v>0.5</v>
      </c>
      <c r="Y151" s="2">
        <v>4.0567494042948862E-2</v>
      </c>
      <c r="Z151" s="2">
        <v>4.2824159881293102E-2</v>
      </c>
      <c r="AA151" s="2">
        <v>1.0000000000000009E-2</v>
      </c>
      <c r="AB151" s="2">
        <v>0</v>
      </c>
      <c r="AC151" s="2">
        <v>0</v>
      </c>
      <c r="AD151" s="2">
        <v>0.5</v>
      </c>
      <c r="AE151" s="16">
        <f t="shared" si="2"/>
        <v>0.3606603441824881</v>
      </c>
      <c r="AF151" s="2">
        <v>0.88400000000000001</v>
      </c>
      <c r="AG151" s="2">
        <v>0.4</v>
      </c>
      <c r="AH151" s="2">
        <v>0.73199999999999998</v>
      </c>
      <c r="AI151" s="2">
        <v>0.71400000000000008</v>
      </c>
      <c r="AJ151" s="2">
        <v>0.55000000000000004</v>
      </c>
      <c r="AK151" s="2">
        <v>0.80099999999999993</v>
      </c>
      <c r="AL151" s="2">
        <v>0.71900000000000008</v>
      </c>
      <c r="AM151" s="2">
        <v>0.64845468361798442</v>
      </c>
      <c r="AN151" s="2">
        <v>0.7508318882541748</v>
      </c>
      <c r="AO151" s="2">
        <v>0.75054591106323942</v>
      </c>
      <c r="AP151" s="2">
        <v>1</v>
      </c>
      <c r="AQ151" s="2">
        <v>0.22685694433693296</v>
      </c>
      <c r="AR151" s="2">
        <v>0.66619709958823847</v>
      </c>
      <c r="AS151" s="2">
        <v>0.84200000000000008</v>
      </c>
    </row>
    <row r="152" spans="1:45">
      <c r="A152" s="13" t="s">
        <v>451</v>
      </c>
      <c r="B152" s="15" t="s">
        <v>120</v>
      </c>
      <c r="C152" s="20" t="e">
        <v>#N/A</v>
      </c>
      <c r="D152" s="21">
        <v>9154</v>
      </c>
      <c r="E152" s="22">
        <v>9.1199999999999992</v>
      </c>
      <c r="F152" s="23">
        <v>0.77</v>
      </c>
      <c r="G152" s="2">
        <v>0.60079080267558527</v>
      </c>
      <c r="H152" s="2">
        <v>0.5</v>
      </c>
      <c r="I152" s="2">
        <v>6.9999999999999951E-2</v>
      </c>
      <c r="J152" s="2">
        <v>0.125</v>
      </c>
      <c r="K152" s="2">
        <v>0</v>
      </c>
      <c r="L152" s="2">
        <v>4.0000000000000036E-2</v>
      </c>
      <c r="M152" s="2">
        <v>0.71158333333333335</v>
      </c>
      <c r="N152" s="2">
        <v>0.5310579998824746</v>
      </c>
      <c r="O152" s="2">
        <v>1</v>
      </c>
      <c r="P152" s="2">
        <v>0.3</v>
      </c>
      <c r="Q152" s="2">
        <v>1</v>
      </c>
      <c r="R152" s="2">
        <v>0.3</v>
      </c>
      <c r="S152" s="2">
        <v>0.3175</v>
      </c>
      <c r="T152" s="2">
        <v>0.78806399999999999</v>
      </c>
      <c r="U152" s="2">
        <v>0.32417389140159003</v>
      </c>
      <c r="V152" s="2">
        <v>0.299089726</v>
      </c>
      <c r="W152" s="2">
        <v>2.2734526870468751E-2</v>
      </c>
      <c r="X152" s="2">
        <v>0.5</v>
      </c>
      <c r="Y152" s="2">
        <v>0.10892550279601591</v>
      </c>
      <c r="Z152" s="2">
        <v>9.1147246059120904E-2</v>
      </c>
      <c r="AA152" s="2">
        <v>1.0000000000000009E-2</v>
      </c>
      <c r="AB152" s="2">
        <v>0</v>
      </c>
      <c r="AC152" s="2">
        <v>0</v>
      </c>
      <c r="AD152" s="2">
        <v>0.39799999780952933</v>
      </c>
      <c r="AE152" s="16">
        <f t="shared" si="2"/>
        <v>0.33491945945117158</v>
      </c>
      <c r="AF152" s="2">
        <v>0.79900000000000004</v>
      </c>
      <c r="AG152" s="2">
        <v>0.4</v>
      </c>
      <c r="AH152" s="2">
        <v>0.72499999999999998</v>
      </c>
      <c r="AI152" s="2">
        <v>0.6409999999999999</v>
      </c>
      <c r="AJ152" s="2">
        <v>0.55000000000000004</v>
      </c>
      <c r="AK152" s="2">
        <v>0.71299999999999997</v>
      </c>
      <c r="AL152" s="2">
        <v>0.73299999999999998</v>
      </c>
      <c r="AM152" s="2">
        <v>0.6777123885521108</v>
      </c>
      <c r="AN152" s="2">
        <v>0.71652456621968186</v>
      </c>
      <c r="AO152" s="2">
        <v>0.71896559425421214</v>
      </c>
      <c r="AP152" s="2">
        <v>1</v>
      </c>
      <c r="AQ152" s="2" t="e">
        <v>#N/A</v>
      </c>
      <c r="AR152" s="2">
        <v>0.67446210249635308</v>
      </c>
      <c r="AS152" s="2">
        <v>0.77599999999999991</v>
      </c>
    </row>
    <row r="153" spans="1:45">
      <c r="A153" s="13" t="s">
        <v>338</v>
      </c>
      <c r="B153" s="15" t="s">
        <v>174</v>
      </c>
      <c r="C153" s="20">
        <v>60.2</v>
      </c>
      <c r="D153" s="21">
        <v>4405</v>
      </c>
      <c r="E153" s="22">
        <v>8.39</v>
      </c>
      <c r="F153" s="23">
        <v>0.77</v>
      </c>
      <c r="G153" s="2">
        <v>0.2086134938998738</v>
      </c>
      <c r="H153" s="2">
        <v>0.5</v>
      </c>
      <c r="I153" s="2">
        <v>0.2079999980330467</v>
      </c>
      <c r="J153" s="2">
        <v>4.9999999999999989E-2</v>
      </c>
      <c r="K153" s="2">
        <v>4.2000000000000003E-2</v>
      </c>
      <c r="L153" s="2">
        <v>3.9999999105930328E-2</v>
      </c>
      <c r="M153" s="2">
        <v>0.44466666666666665</v>
      </c>
      <c r="N153" s="2">
        <v>0.77567999982833868</v>
      </c>
      <c r="O153" s="2">
        <v>0.99693333333333334</v>
      </c>
      <c r="P153" s="2">
        <v>0.08</v>
      </c>
      <c r="Q153" s="2">
        <v>1</v>
      </c>
      <c r="R153" s="2">
        <v>0.3</v>
      </c>
      <c r="S153" s="2">
        <v>0.76749999999999996</v>
      </c>
      <c r="T153" s="2">
        <v>0.94079999999999997</v>
      </c>
      <c r="U153" s="2">
        <v>0.32233865237548998</v>
      </c>
      <c r="V153" s="2">
        <v>0.425438596</v>
      </c>
      <c r="W153" s="2">
        <v>0.12711532726886884</v>
      </c>
      <c r="X153" s="2">
        <v>0.5</v>
      </c>
      <c r="Y153" s="2">
        <v>8.3589982106898345E-2</v>
      </c>
      <c r="Z153" s="2">
        <v>0.235714343154588</v>
      </c>
      <c r="AA153" s="2">
        <v>3.0000000000000027E-2</v>
      </c>
      <c r="AB153" s="2">
        <v>0</v>
      </c>
      <c r="AC153" s="2">
        <v>0.53003533568904593</v>
      </c>
      <c r="AD153" s="2">
        <v>0.85789999959999996</v>
      </c>
      <c r="AE153" s="16">
        <f t="shared" si="2"/>
        <v>0.39443023862758664</v>
      </c>
      <c r="AF153" s="2">
        <v>0.73199999999999998</v>
      </c>
      <c r="AG153" s="2">
        <v>0.3</v>
      </c>
      <c r="AH153" s="2">
        <v>0.79599999999999993</v>
      </c>
      <c r="AI153" s="2">
        <v>0.67500000000000004</v>
      </c>
      <c r="AJ153" s="2">
        <v>0.3</v>
      </c>
      <c r="AK153" s="2">
        <v>0.73799999999999999</v>
      </c>
      <c r="AL153" s="2">
        <v>0.7</v>
      </c>
      <c r="AM153" s="2">
        <v>0.71463586031967297</v>
      </c>
      <c r="AN153" s="2">
        <v>0.60709802990041195</v>
      </c>
      <c r="AO153" s="2">
        <v>0.52068279512667082</v>
      </c>
      <c r="AP153" s="2">
        <v>0.92873198191461548</v>
      </c>
      <c r="AQ153" s="2">
        <v>8.7246594713787942E-2</v>
      </c>
      <c r="AR153" s="2">
        <v>0.62809508325698959</v>
      </c>
      <c r="AS153" s="2">
        <v>0.80799999999999994</v>
      </c>
    </row>
    <row r="154" spans="1:45">
      <c r="A154" s="13" t="s">
        <v>339</v>
      </c>
      <c r="B154" s="15" t="s">
        <v>7</v>
      </c>
      <c r="C154" s="20" t="e">
        <v>#N/A</v>
      </c>
      <c r="D154" s="21">
        <v>35928</v>
      </c>
      <c r="E154" s="22">
        <v>10.49</v>
      </c>
      <c r="F154" s="23" t="s">
        <v>460</v>
      </c>
      <c r="G154" s="2">
        <v>0.16512093023255814</v>
      </c>
      <c r="H154" s="2">
        <v>0.5</v>
      </c>
      <c r="I154" s="2">
        <v>0</v>
      </c>
      <c r="J154" s="2">
        <v>0.52500000000000002</v>
      </c>
      <c r="K154" s="2">
        <v>0</v>
      </c>
      <c r="L154" s="2">
        <v>0</v>
      </c>
      <c r="M154" s="2">
        <v>0.23600000000000002</v>
      </c>
      <c r="N154" s="2">
        <v>5.7973999987170101E-2</v>
      </c>
      <c r="O154" s="2">
        <v>1</v>
      </c>
      <c r="P154" s="2">
        <v>0.08</v>
      </c>
      <c r="Q154" s="2">
        <v>1</v>
      </c>
      <c r="R154" s="2">
        <v>0</v>
      </c>
      <c r="S154" s="2">
        <v>6.7499999999999991E-2</v>
      </c>
      <c r="T154" s="2">
        <v>0.94079999999999997</v>
      </c>
      <c r="U154" s="2">
        <v>5.62731707317079E-2</v>
      </c>
      <c r="V154" s="2">
        <v>0.110144928</v>
      </c>
      <c r="W154" s="2">
        <v>0</v>
      </c>
      <c r="X154" s="2">
        <v>0.5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16">
        <f t="shared" si="2"/>
        <v>0.21828387620630985</v>
      </c>
      <c r="AF154" s="2" t="e">
        <v>#N/A</v>
      </c>
      <c r="AG154" s="2" t="e">
        <v>#N/A</v>
      </c>
      <c r="AH154" s="2" t="e">
        <v>#N/A</v>
      </c>
      <c r="AI154" s="2" t="e">
        <v>#N/A</v>
      </c>
      <c r="AJ154" s="2" t="e">
        <v>#N/A</v>
      </c>
      <c r="AK154" s="2" t="e">
        <v>#N/A</v>
      </c>
      <c r="AL154" s="2" t="e">
        <v>#N/A</v>
      </c>
      <c r="AM154" s="2">
        <v>0.78916907601115227</v>
      </c>
      <c r="AN154" s="2">
        <v>0.7426889387417468</v>
      </c>
      <c r="AO154" s="2" t="e">
        <v>#N/A</v>
      </c>
      <c r="AP154" s="2">
        <v>0.83940097313155304</v>
      </c>
      <c r="AQ154" s="2" t="e">
        <v>#N/A</v>
      </c>
      <c r="AR154" s="2">
        <v>0.67558457630235724</v>
      </c>
      <c r="AS154" s="2" t="e">
        <v>#N/A</v>
      </c>
    </row>
    <row r="155" spans="1:45">
      <c r="A155" s="13" t="s">
        <v>452</v>
      </c>
      <c r="B155" s="15" t="s">
        <v>80</v>
      </c>
      <c r="C155" s="20">
        <v>51.5</v>
      </c>
      <c r="D155" s="21">
        <v>1820</v>
      </c>
      <c r="E155" s="22">
        <v>7.51</v>
      </c>
      <c r="F155" s="23">
        <v>0.65</v>
      </c>
      <c r="G155" s="2">
        <v>0.56146163873370569</v>
      </c>
      <c r="H155" s="2">
        <v>3.2109999999999999E-3</v>
      </c>
      <c r="I155" s="2">
        <v>0.14559999920427802</v>
      </c>
      <c r="J155" s="2">
        <v>0.15000000000000002</v>
      </c>
      <c r="K155" s="2">
        <v>0.28533333333333333</v>
      </c>
      <c r="L155" s="2">
        <v>0.7503999997675419</v>
      </c>
      <c r="M155" s="2">
        <v>0.62008333333333332</v>
      </c>
      <c r="N155" s="2">
        <v>0.39006199991367752</v>
      </c>
      <c r="O155" s="2">
        <v>1</v>
      </c>
      <c r="P155" s="2">
        <v>0.08</v>
      </c>
      <c r="Q155" s="2">
        <v>1</v>
      </c>
      <c r="R155" s="2">
        <v>0.12959999978542328</v>
      </c>
      <c r="S155" s="2">
        <v>0.20749999999999999</v>
      </c>
      <c r="T155" s="2">
        <v>0.88600000000000001</v>
      </c>
      <c r="U155" s="2">
        <v>0.44180339395016444</v>
      </c>
      <c r="V155" s="2">
        <v>0.60064585599999998</v>
      </c>
      <c r="W155" s="2">
        <v>0.39098554997347323</v>
      </c>
      <c r="X155" s="2">
        <v>0.5</v>
      </c>
      <c r="Y155" s="2">
        <v>0.75</v>
      </c>
      <c r="Z155" s="2">
        <v>0.26040545514607499</v>
      </c>
      <c r="AA155" s="2">
        <v>0.51500000000000001</v>
      </c>
      <c r="AB155" s="2">
        <v>0</v>
      </c>
      <c r="AC155" s="2">
        <v>0</v>
      </c>
      <c r="AD155" s="2">
        <v>0.44158000980612355</v>
      </c>
      <c r="AE155" s="16">
        <f t="shared" si="2"/>
        <v>0.42123631537279699</v>
      </c>
      <c r="AF155" s="2">
        <v>0.435</v>
      </c>
      <c r="AG155" s="2">
        <v>0.3</v>
      </c>
      <c r="AH155" s="2">
        <v>0.871</v>
      </c>
      <c r="AI155" s="2">
        <v>0.52500000000000002</v>
      </c>
      <c r="AJ155" s="2">
        <v>0.45</v>
      </c>
      <c r="AK155" s="2">
        <v>0.59</v>
      </c>
      <c r="AL155" s="2">
        <v>0.66599999999999993</v>
      </c>
      <c r="AM155" s="2">
        <v>0.54276296869204677</v>
      </c>
      <c r="AN155" s="2">
        <v>0.5338364436143459</v>
      </c>
      <c r="AO155" s="2">
        <v>0.42144353744692398</v>
      </c>
      <c r="AP155" s="2">
        <v>0.43255199542806388</v>
      </c>
      <c r="AQ155" s="2">
        <v>5.8150571428571433E-2</v>
      </c>
      <c r="AR155" s="2">
        <v>0.35569039326845309</v>
      </c>
      <c r="AS155" s="2">
        <v>0.47600000000000003</v>
      </c>
    </row>
    <row r="156" spans="1:45">
      <c r="A156" s="13" t="s">
        <v>341</v>
      </c>
      <c r="B156" s="15" t="s">
        <v>27</v>
      </c>
      <c r="C156" s="20">
        <v>64.099999999999994</v>
      </c>
      <c r="D156" s="21">
        <v>23480</v>
      </c>
      <c r="E156" s="22">
        <v>10.06</v>
      </c>
      <c r="F156" s="23">
        <v>0.84</v>
      </c>
      <c r="G156" s="2">
        <v>0.28689601648351654</v>
      </c>
      <c r="H156" s="2">
        <v>1</v>
      </c>
      <c r="I156" s="2">
        <v>9.9999999999999978E-2</v>
      </c>
      <c r="J156" s="2">
        <v>0.52500000000000002</v>
      </c>
      <c r="K156" s="2">
        <v>0</v>
      </c>
      <c r="L156" s="2">
        <v>0.7503999997675419</v>
      </c>
      <c r="M156" s="2">
        <v>0.47033333333333333</v>
      </c>
      <c r="N156" s="2">
        <v>0.179173999960348</v>
      </c>
      <c r="O156" s="2">
        <v>0.87469046237183334</v>
      </c>
      <c r="P156" s="2">
        <v>0.1</v>
      </c>
      <c r="Q156" s="2">
        <v>0.932799998819828</v>
      </c>
      <c r="R156" s="2">
        <v>0.27999999999999997</v>
      </c>
      <c r="S156" s="2">
        <v>7.4999999999999997E-2</v>
      </c>
      <c r="T156" s="2">
        <v>0.84088000000000007</v>
      </c>
      <c r="U156" s="2">
        <v>0.29611426210716363</v>
      </c>
      <c r="V156" s="2">
        <v>0.21553884800000001</v>
      </c>
      <c r="W156" s="2">
        <v>0</v>
      </c>
      <c r="X156" s="2">
        <v>2.0632234982262833E-2</v>
      </c>
      <c r="Y156" s="2">
        <v>7.0476808090587902E-3</v>
      </c>
      <c r="Z156" s="2">
        <v>0.13462215009415199</v>
      </c>
      <c r="AA156" s="2">
        <v>1.0000000000000009E-2</v>
      </c>
      <c r="AB156" s="2">
        <v>0</v>
      </c>
      <c r="AC156" s="2">
        <v>3.0000000000000001E-3</v>
      </c>
      <c r="AD156" s="2">
        <v>0.80677000573010815</v>
      </c>
      <c r="AE156" s="16">
        <f t="shared" si="2"/>
        <v>0.32953745801913109</v>
      </c>
      <c r="AF156" s="2">
        <v>0.84599999999999997</v>
      </c>
      <c r="AG156" s="2">
        <v>0.5</v>
      </c>
      <c r="AH156" s="2">
        <v>0.996</v>
      </c>
      <c r="AI156" s="2">
        <v>0.68099999999999994</v>
      </c>
      <c r="AJ156" s="2">
        <v>0.45</v>
      </c>
      <c r="AK156" s="2">
        <v>0.623</v>
      </c>
      <c r="AL156" s="2">
        <v>0.82499999999999996</v>
      </c>
      <c r="AM156" s="2">
        <v>0.42726489378908683</v>
      </c>
      <c r="AN156" s="2">
        <v>0.14879869426740142</v>
      </c>
      <c r="AO156" s="2">
        <v>0.52899993462779904</v>
      </c>
      <c r="AP156" s="2">
        <v>1</v>
      </c>
      <c r="AQ156" s="2">
        <v>0.46354246724751352</v>
      </c>
      <c r="AR156" s="2">
        <v>0.52444497525287737</v>
      </c>
      <c r="AS156" s="2">
        <v>0.74400000000000011</v>
      </c>
    </row>
    <row r="157" spans="1:45">
      <c r="A157" s="13" t="s">
        <v>342</v>
      </c>
      <c r="B157" s="15" t="s">
        <v>128</v>
      </c>
      <c r="C157" s="20">
        <v>50.8</v>
      </c>
      <c r="D157" s="21">
        <v>1817</v>
      </c>
      <c r="E157" s="22">
        <v>7.5</v>
      </c>
      <c r="F157" s="23">
        <v>0.46</v>
      </c>
      <c r="G157" s="2">
        <v>0.30450518867924531</v>
      </c>
      <c r="H157" s="2">
        <v>5.7239999999999999E-2</v>
      </c>
      <c r="I157" s="2">
        <v>0.33759999938309193</v>
      </c>
      <c r="J157" s="2">
        <v>0.32499999999999996</v>
      </c>
      <c r="K157" s="2">
        <v>0.35333333333333333</v>
      </c>
      <c r="L157" s="2">
        <v>0.51039999954402449</v>
      </c>
      <c r="M157" s="2">
        <v>0.88633333333333331</v>
      </c>
      <c r="N157" s="2">
        <v>0.57933599987179041</v>
      </c>
      <c r="O157" s="2">
        <v>0.98873807362822608</v>
      </c>
      <c r="P157" s="2">
        <v>0.5</v>
      </c>
      <c r="Q157" s="2">
        <v>0.75259999904781572</v>
      </c>
      <c r="R157" s="2">
        <v>0.32999999932944774</v>
      </c>
      <c r="S157" s="2">
        <v>0.20749999999999999</v>
      </c>
      <c r="T157" s="2">
        <v>0.97848000000000002</v>
      </c>
      <c r="U157" s="2">
        <v>0.63257037949368422</v>
      </c>
      <c r="V157" s="2">
        <v>0.826298702</v>
      </c>
      <c r="W157" s="2">
        <v>0.141361846612716</v>
      </c>
      <c r="X157" s="2">
        <v>0.55968555607884818</v>
      </c>
      <c r="Y157" s="2">
        <v>7.4530056941375461E-2</v>
      </c>
      <c r="Z157" s="2">
        <v>0.31479057632968399</v>
      </c>
      <c r="AA157" s="2">
        <v>0.58000000000000007</v>
      </c>
      <c r="AB157" s="2">
        <v>0.61</v>
      </c>
      <c r="AC157" s="2">
        <v>4.674596166831143E-2</v>
      </c>
      <c r="AD157" s="2">
        <v>0.74836399710638324</v>
      </c>
      <c r="AE157" s="16">
        <f t="shared" si="2"/>
        <v>0.48522554176588789</v>
      </c>
      <c r="AF157" s="2">
        <v>0.63100000000000001</v>
      </c>
      <c r="AG157" s="2">
        <v>0.4</v>
      </c>
      <c r="AH157" s="2">
        <v>0.64700000000000002</v>
      </c>
      <c r="AI157" s="2">
        <v>0.77800000000000002</v>
      </c>
      <c r="AJ157" s="2">
        <v>0.35</v>
      </c>
      <c r="AK157" s="2">
        <v>0.752</v>
      </c>
      <c r="AL157" s="2">
        <v>0.69700000000000006</v>
      </c>
      <c r="AM157" s="2">
        <v>0.47095986241941146</v>
      </c>
      <c r="AN157" s="2">
        <v>0.4382938106842923</v>
      </c>
      <c r="AO157" s="2">
        <v>0.39530495613934274</v>
      </c>
      <c r="AP157" s="2">
        <v>0.60567281859832167</v>
      </c>
      <c r="AQ157" s="2">
        <v>0.11379116573997694</v>
      </c>
      <c r="AR157" s="2">
        <v>0.43894419633100218</v>
      </c>
      <c r="AS157" s="2">
        <v>0.41899999999999998</v>
      </c>
    </row>
    <row r="158" spans="1:45">
      <c r="A158" s="13" t="s">
        <v>343</v>
      </c>
      <c r="B158" s="15" t="s">
        <v>106</v>
      </c>
      <c r="C158" s="20">
        <v>68.099999999999994</v>
      </c>
      <c r="D158" s="21">
        <v>11893</v>
      </c>
      <c r="E158" s="22">
        <v>9.3800000000000008</v>
      </c>
      <c r="F158" s="23">
        <v>0.83</v>
      </c>
      <c r="G158" s="2">
        <v>0.5</v>
      </c>
      <c r="H158" s="2">
        <v>5.7239999999999999E-2</v>
      </c>
      <c r="I158" s="2">
        <v>4.9599999114871007E-2</v>
      </c>
      <c r="J158" s="2">
        <v>0.5</v>
      </c>
      <c r="K158" s="2">
        <v>0</v>
      </c>
      <c r="L158" s="2">
        <v>0.11679999917745587</v>
      </c>
      <c r="M158" s="2">
        <v>0.28666666666666668</v>
      </c>
      <c r="N158" s="2">
        <v>0.48257799989320338</v>
      </c>
      <c r="O158" s="2">
        <v>0.80281337930987551</v>
      </c>
      <c r="P158" s="2">
        <v>0.32</v>
      </c>
      <c r="Q158" s="2">
        <v>1.0999999977648259E-2</v>
      </c>
      <c r="R158" s="2">
        <v>0.01</v>
      </c>
      <c r="S158" s="2">
        <v>7.4999999999999997E-2</v>
      </c>
      <c r="T158" s="2">
        <v>0.65999999999999992</v>
      </c>
      <c r="U158" s="2">
        <v>0.28617755965888592</v>
      </c>
      <c r="V158" s="2">
        <v>4.4444444E-2</v>
      </c>
      <c r="W158" s="2">
        <v>4.3848969503296033E-3</v>
      </c>
      <c r="X158" s="2">
        <v>3.4519614970324095E-3</v>
      </c>
      <c r="Y158" s="2">
        <v>7.4530056941375461E-2</v>
      </c>
      <c r="Z158" s="2" t="e">
        <v>#N/A</v>
      </c>
      <c r="AA158" s="2">
        <v>0</v>
      </c>
      <c r="AB158" s="2">
        <v>0.54</v>
      </c>
      <c r="AC158" s="2">
        <v>4.674596166831143E-2</v>
      </c>
      <c r="AD158" s="2">
        <v>0.54169599957317116</v>
      </c>
      <c r="AE158" s="16">
        <f t="shared" si="2"/>
        <v>0.23535343149690552</v>
      </c>
      <c r="AF158" s="2">
        <v>0.58899999999999997</v>
      </c>
      <c r="AG158" s="2">
        <v>0.5</v>
      </c>
      <c r="AH158" s="2">
        <v>0.83200000000000007</v>
      </c>
      <c r="AI158" s="2">
        <v>0.41399999999999998</v>
      </c>
      <c r="AJ158" s="2">
        <v>0.5</v>
      </c>
      <c r="AK158" s="2">
        <v>0.64500000000000002</v>
      </c>
      <c r="AL158" s="2">
        <v>0.752</v>
      </c>
      <c r="AM158" s="2">
        <v>0.4009055779157854</v>
      </c>
      <c r="AN158" s="2">
        <v>0.56299703082245756</v>
      </c>
      <c r="AO158" s="2">
        <v>0.46274402197765829</v>
      </c>
      <c r="AP158" s="2">
        <v>1</v>
      </c>
      <c r="AQ158" s="2">
        <v>0.70501676158774684</v>
      </c>
      <c r="AR158" s="2">
        <v>0.41856679280689546</v>
      </c>
      <c r="AS158" s="2">
        <v>0.72199999999999998</v>
      </c>
    </row>
    <row r="159" spans="1:45">
      <c r="A159" s="13" t="s">
        <v>344</v>
      </c>
      <c r="B159" s="15" t="s">
        <v>102</v>
      </c>
      <c r="C159" s="20" t="e">
        <v>#N/A</v>
      </c>
      <c r="D159" s="21">
        <v>19587</v>
      </c>
      <c r="E159" s="22">
        <v>9.8800000000000008</v>
      </c>
      <c r="F159" s="23">
        <v>0.85</v>
      </c>
      <c r="G159" s="2">
        <v>0.3914651453224342</v>
      </c>
      <c r="H159" s="2">
        <v>0.5</v>
      </c>
      <c r="I159" s="2">
        <v>0</v>
      </c>
      <c r="J159" s="2">
        <v>0.125</v>
      </c>
      <c r="K159" s="2">
        <v>0</v>
      </c>
      <c r="L159" s="2">
        <v>3.0000000000000027E-2</v>
      </c>
      <c r="M159" s="2">
        <v>0.44466666666666665</v>
      </c>
      <c r="N159" s="2">
        <v>0.45631799989901478</v>
      </c>
      <c r="O159" s="2">
        <v>0.95166666666666666</v>
      </c>
      <c r="P159" s="2">
        <v>0</v>
      </c>
      <c r="Q159" s="2">
        <v>1</v>
      </c>
      <c r="R159" s="2">
        <v>0.3</v>
      </c>
      <c r="S159" s="2">
        <v>0.20749999999999999</v>
      </c>
      <c r="T159" s="2">
        <v>0.56200000000000006</v>
      </c>
      <c r="U159" s="2">
        <v>0.29526243771612715</v>
      </c>
      <c r="V159" s="2">
        <v>0.37817258799999998</v>
      </c>
      <c r="W159" s="2">
        <v>1.4451198883901886E-2</v>
      </c>
      <c r="X159" s="2">
        <v>0.5</v>
      </c>
      <c r="Y159" s="2">
        <v>0.2003868703324948</v>
      </c>
      <c r="Z159" s="2">
        <v>0.17425087683402701</v>
      </c>
      <c r="AA159" s="2">
        <v>4.0000000000000036E-2</v>
      </c>
      <c r="AB159" s="2">
        <v>0</v>
      </c>
      <c r="AC159" s="2">
        <v>1</v>
      </c>
      <c r="AD159" s="2">
        <v>7.4015747201609972E-2</v>
      </c>
      <c r="AE159" s="16">
        <f t="shared" si="2"/>
        <v>0.31854817489678933</v>
      </c>
      <c r="AF159" s="2">
        <v>0.64200000000000002</v>
      </c>
      <c r="AG159" s="2">
        <v>0.3</v>
      </c>
      <c r="AH159" s="2">
        <v>0.76400000000000001</v>
      </c>
      <c r="AI159" s="2">
        <v>9.3000000000000013E-2</v>
      </c>
      <c r="AJ159" s="2">
        <v>0.5</v>
      </c>
      <c r="AK159" s="2">
        <v>0.57899999999999996</v>
      </c>
      <c r="AL159" s="2">
        <v>0.33399999999999996</v>
      </c>
      <c r="AM159" s="2">
        <v>0.64086223293576539</v>
      </c>
      <c r="AN159" s="2">
        <v>0.507650718355807</v>
      </c>
      <c r="AO159" s="2">
        <v>0.56450260445281342</v>
      </c>
      <c r="AP159" s="2">
        <v>1</v>
      </c>
      <c r="AQ159" s="2" t="e">
        <v>#N/A</v>
      </c>
      <c r="AR159" s="2">
        <v>0.51493057509005935</v>
      </c>
      <c r="AS159" s="2">
        <v>0.59799999999999998</v>
      </c>
    </row>
    <row r="160" spans="1:45">
      <c r="A160" s="13" t="s">
        <v>345</v>
      </c>
      <c r="B160" s="15" t="s">
        <v>136</v>
      </c>
      <c r="C160" s="20">
        <v>43.4</v>
      </c>
      <c r="D160" s="21">
        <v>808</v>
      </c>
      <c r="E160" s="22">
        <v>6.69</v>
      </c>
      <c r="F160" s="23">
        <v>0.37</v>
      </c>
      <c r="G160" s="2">
        <v>1</v>
      </c>
      <c r="H160" s="2">
        <v>3.0830000000000002E-3</v>
      </c>
      <c r="I160" s="2">
        <v>0.52959999956190584</v>
      </c>
      <c r="J160" s="2">
        <v>0.25</v>
      </c>
      <c r="K160" s="2">
        <v>0.98199999999999998</v>
      </c>
      <c r="L160" s="2">
        <v>0.87519999988377095</v>
      </c>
      <c r="M160" s="2">
        <v>0.62008333333333332</v>
      </c>
      <c r="N160" s="2">
        <v>0.62539199986159799</v>
      </c>
      <c r="O160" s="2">
        <v>1</v>
      </c>
      <c r="P160" s="2">
        <v>0.24</v>
      </c>
      <c r="Q160" s="2">
        <v>0.22259999971836805</v>
      </c>
      <c r="R160" s="2">
        <v>0.9239999981224537</v>
      </c>
      <c r="S160" s="2">
        <v>0.20749999999999999</v>
      </c>
      <c r="T160" s="2">
        <v>0.99192000000000002</v>
      </c>
      <c r="U160" s="2">
        <v>0.78608046744152904</v>
      </c>
      <c r="V160" s="2">
        <v>1</v>
      </c>
      <c r="W160" s="2">
        <v>0.20585358617344368</v>
      </c>
      <c r="X160" s="2">
        <v>1</v>
      </c>
      <c r="Y160" s="2">
        <v>6.4526520341839505E-2</v>
      </c>
      <c r="Z160" s="2">
        <v>9.6793483454035698E-2</v>
      </c>
      <c r="AA160" s="2">
        <v>0.94899999999999995</v>
      </c>
      <c r="AB160" s="2">
        <v>0</v>
      </c>
      <c r="AC160" s="2">
        <v>2.0943870427254957E-2</v>
      </c>
      <c r="AD160" s="2">
        <v>0.93279999971389771</v>
      </c>
      <c r="AE160" s="16">
        <f t="shared" si="2"/>
        <v>0.56364067741805968</v>
      </c>
      <c r="AF160" s="2">
        <v>0.54600000000000004</v>
      </c>
      <c r="AG160" s="2">
        <v>0.2</v>
      </c>
      <c r="AH160" s="2">
        <v>0.80900000000000005</v>
      </c>
      <c r="AI160" s="2">
        <v>0.80500000000000005</v>
      </c>
      <c r="AJ160" s="2">
        <v>0.4</v>
      </c>
      <c r="AK160" s="2">
        <v>0.71700000000000008</v>
      </c>
      <c r="AL160" s="2">
        <v>0.628</v>
      </c>
      <c r="AM160" s="2">
        <v>0.4209007457587205</v>
      </c>
      <c r="AN160" s="2">
        <v>0.44855964457686931</v>
      </c>
      <c r="AO160" s="2">
        <v>0.3063138665905446</v>
      </c>
      <c r="AP160" s="2">
        <v>0.22399833164920718</v>
      </c>
      <c r="AQ160" s="2">
        <v>2.4599520104731831E-2</v>
      </c>
      <c r="AR160" s="2">
        <v>0.30712185602785258</v>
      </c>
      <c r="AS160" s="2">
        <v>0.39</v>
      </c>
    </row>
    <row r="161" spans="1:45">
      <c r="A161" s="13" t="s">
        <v>346</v>
      </c>
      <c r="B161" s="15" t="s">
        <v>0</v>
      </c>
      <c r="C161" s="20" t="e">
        <v>#N/A</v>
      </c>
      <c r="D161" s="21">
        <v>50633</v>
      </c>
      <c r="E161" s="22">
        <v>10.83</v>
      </c>
      <c r="F161" s="23">
        <v>0.94</v>
      </c>
      <c r="G161" s="2">
        <v>0.27339188514357055</v>
      </c>
      <c r="H161" s="2">
        <v>0.5</v>
      </c>
      <c r="I161" s="2">
        <v>3.9999999105930328E-2</v>
      </c>
      <c r="J161" s="2">
        <v>0.17500000000000004</v>
      </c>
      <c r="K161" s="2">
        <v>0</v>
      </c>
      <c r="L161" s="2">
        <v>3.9999999105930328E-2</v>
      </c>
      <c r="M161" s="2">
        <v>0.49116666666666664</v>
      </c>
      <c r="N161" s="2">
        <v>0</v>
      </c>
      <c r="O161" s="2">
        <v>1</v>
      </c>
      <c r="P161" s="2">
        <v>0.08</v>
      </c>
      <c r="Q161" s="2">
        <v>1</v>
      </c>
      <c r="R161" s="2">
        <v>0.02</v>
      </c>
      <c r="S161" s="2">
        <v>0.85</v>
      </c>
      <c r="T161" s="2">
        <v>0.61735999999999991</v>
      </c>
      <c r="U161" s="2">
        <v>0.14976390099525561</v>
      </c>
      <c r="V161" s="2">
        <v>0.33</v>
      </c>
      <c r="W161" s="2">
        <v>0</v>
      </c>
      <c r="X161" s="2">
        <v>2.6091574577569534E-3</v>
      </c>
      <c r="Y161" s="2">
        <v>0.17942110480394582</v>
      </c>
      <c r="Z161" s="2">
        <v>0.149891532087291</v>
      </c>
      <c r="AA161" s="2">
        <v>0</v>
      </c>
      <c r="AB161" s="2">
        <v>1</v>
      </c>
      <c r="AC161" s="2">
        <v>0</v>
      </c>
      <c r="AD161" s="2">
        <v>3.9999999105930328E-2</v>
      </c>
      <c r="AE161" s="16">
        <f t="shared" si="2"/>
        <v>0.28910851018634487</v>
      </c>
      <c r="AF161" s="2">
        <v>0.98199999999999998</v>
      </c>
      <c r="AG161" s="2">
        <v>0.5</v>
      </c>
      <c r="AH161" s="2">
        <v>0.90700000000000003</v>
      </c>
      <c r="AI161" s="2">
        <v>0.95299999999999996</v>
      </c>
      <c r="AJ161" s="2">
        <v>0.75</v>
      </c>
      <c r="AK161" s="2">
        <v>0.80900000000000005</v>
      </c>
      <c r="AL161" s="2">
        <v>0.9</v>
      </c>
      <c r="AM161" s="2">
        <v>0.7275778076445748</v>
      </c>
      <c r="AN161" s="2">
        <v>0.41981092725156693</v>
      </c>
      <c r="AO161" s="2">
        <v>0.94770227240076532</v>
      </c>
      <c r="AP161" s="2">
        <v>1</v>
      </c>
      <c r="AQ161" s="2" t="e">
        <v>#N/A</v>
      </c>
      <c r="AR161" s="2">
        <v>0.81907535259275799</v>
      </c>
      <c r="AS161" s="2">
        <v>0.9890000000000001</v>
      </c>
    </row>
    <row r="162" spans="1:45">
      <c r="A162" s="13" t="s">
        <v>347</v>
      </c>
      <c r="B162" s="15" t="s">
        <v>99</v>
      </c>
      <c r="C162" s="20">
        <v>76.599999999999994</v>
      </c>
      <c r="D162" s="21">
        <v>22882</v>
      </c>
      <c r="E162" s="22">
        <v>10.039999999999999</v>
      </c>
      <c r="F162" s="23">
        <v>0.88</v>
      </c>
      <c r="G162" s="2">
        <v>0.33009416332665337</v>
      </c>
      <c r="H162" s="2">
        <v>1.5102999969311059E-2</v>
      </c>
      <c r="I162" s="2">
        <v>3.9999999105930328E-2</v>
      </c>
      <c r="J162" s="2">
        <v>0.625</v>
      </c>
      <c r="K162" s="2">
        <v>0</v>
      </c>
      <c r="L162" s="2">
        <v>3.9999999105930328E-2</v>
      </c>
      <c r="M162" s="2">
        <v>0.23600000000000002</v>
      </c>
      <c r="N162" s="2">
        <v>0.43753199990317226</v>
      </c>
      <c r="O162" s="2">
        <v>0.76987312910972039</v>
      </c>
      <c r="P162" s="2">
        <v>0.56000000000000005</v>
      </c>
      <c r="Q162" s="2">
        <v>0.19079999975860118</v>
      </c>
      <c r="R162" s="2">
        <v>0</v>
      </c>
      <c r="S162" s="2">
        <v>7.4999999999999997E-2</v>
      </c>
      <c r="T162" s="2">
        <v>0.49680000000000002</v>
      </c>
      <c r="U162" s="2">
        <v>0.26363394988179356</v>
      </c>
      <c r="V162" s="2">
        <v>0.103397342</v>
      </c>
      <c r="W162" s="2">
        <v>0</v>
      </c>
      <c r="X162" s="2">
        <v>1.9485198183248919E-3</v>
      </c>
      <c r="Y162" s="2">
        <v>0</v>
      </c>
      <c r="Z162" s="2">
        <v>0</v>
      </c>
      <c r="AA162" s="2">
        <v>0</v>
      </c>
      <c r="AB162" s="2">
        <v>0.71</v>
      </c>
      <c r="AC162" s="2">
        <v>9.355509355509356E-2</v>
      </c>
      <c r="AD162" s="2">
        <v>0.1993240096677823</v>
      </c>
      <c r="AE162" s="16">
        <f t="shared" si="2"/>
        <v>0.21616921688342972</v>
      </c>
      <c r="AF162" s="2">
        <v>0.72599999999999998</v>
      </c>
      <c r="AG162" s="2">
        <v>0.7</v>
      </c>
      <c r="AH162" s="2">
        <v>0.84</v>
      </c>
      <c r="AI162" s="2">
        <v>0.64500000000000002</v>
      </c>
      <c r="AJ162" s="2">
        <v>0.7</v>
      </c>
      <c r="AK162" s="2">
        <v>0.78200000000000003</v>
      </c>
      <c r="AL162" s="2">
        <v>0.875</v>
      </c>
      <c r="AM162" s="2">
        <v>0.67549996866899331</v>
      </c>
      <c r="AN162" s="2">
        <v>0.67255971943457116</v>
      </c>
      <c r="AO162" s="2">
        <v>0.56426021060430476</v>
      </c>
      <c r="AP162" s="2">
        <v>1</v>
      </c>
      <c r="AQ162" s="2">
        <v>0.73534285782769848</v>
      </c>
      <c r="AR162" s="2">
        <v>0.62953567269709132</v>
      </c>
      <c r="AS162" s="2">
        <v>0.65099999999999991</v>
      </c>
    </row>
    <row r="163" spans="1:45">
      <c r="A163" s="13" t="s">
        <v>348</v>
      </c>
      <c r="B163" s="15" t="s">
        <v>117</v>
      </c>
      <c r="C163" s="20">
        <v>77.3</v>
      </c>
      <c r="D163" s="21">
        <v>27133</v>
      </c>
      <c r="E163" s="22">
        <v>10.210000000000001</v>
      </c>
      <c r="F163" s="23">
        <v>0.93</v>
      </c>
      <c r="G163" s="2">
        <v>8.6843070229956465E-2</v>
      </c>
      <c r="H163" s="2">
        <v>2.9559999999999999E-2</v>
      </c>
      <c r="I163" s="2">
        <v>4.9599999114871007E-2</v>
      </c>
      <c r="J163" s="2">
        <v>0.6</v>
      </c>
      <c r="K163" s="2">
        <v>0</v>
      </c>
      <c r="L163" s="2">
        <v>3.9999999105930328E-2</v>
      </c>
      <c r="M163" s="2">
        <v>0.28591666666666671</v>
      </c>
      <c r="N163" s="2">
        <v>0.52216999988444146</v>
      </c>
      <c r="O163" s="2">
        <v>0.51944182053169374</v>
      </c>
      <c r="P163" s="2">
        <v>0.28000000000000003</v>
      </c>
      <c r="Q163" s="2">
        <v>0.57239999927580365</v>
      </c>
      <c r="R163" s="2">
        <v>0</v>
      </c>
      <c r="S163" s="2">
        <v>6.7499999999999991E-2</v>
      </c>
      <c r="T163" s="2">
        <v>0.47575999999999996</v>
      </c>
      <c r="U163" s="2">
        <v>0.1837010717585682</v>
      </c>
      <c r="V163" s="2">
        <v>8.8235294000000006E-2</v>
      </c>
      <c r="W163" s="2">
        <v>0</v>
      </c>
      <c r="X163" s="2">
        <v>6.2771924746036082E-3</v>
      </c>
      <c r="Y163" s="2">
        <v>1.6441820291072341E-3</v>
      </c>
      <c r="Z163" s="2">
        <v>1.48715457560635E-2</v>
      </c>
      <c r="AA163" s="2">
        <v>0</v>
      </c>
      <c r="AB163" s="2">
        <v>0.64</v>
      </c>
      <c r="AC163" s="2">
        <v>0</v>
      </c>
      <c r="AD163" s="2">
        <v>3.9999999105930328E-2</v>
      </c>
      <c r="AE163" s="16">
        <f t="shared" si="2"/>
        <v>0.18766336833056815</v>
      </c>
      <c r="AF163" s="2">
        <v>0.83299999999999996</v>
      </c>
      <c r="AG163" s="2">
        <v>0.5</v>
      </c>
      <c r="AH163" s="2">
        <v>0.64</v>
      </c>
      <c r="AI163" s="2">
        <v>0.46100000000000002</v>
      </c>
      <c r="AJ163" s="2">
        <v>0.7</v>
      </c>
      <c r="AK163" s="2">
        <v>0.76</v>
      </c>
      <c r="AL163" s="2">
        <v>0.875</v>
      </c>
      <c r="AM163" s="2">
        <v>0.67206189756230983</v>
      </c>
      <c r="AN163" s="2">
        <v>0.69539418644437156</v>
      </c>
      <c r="AO163" s="2">
        <v>0.70918699620603909</v>
      </c>
      <c r="AP163" s="2">
        <v>1</v>
      </c>
      <c r="AQ163" s="2">
        <v>1</v>
      </c>
      <c r="AR163" s="2">
        <v>0.7202761285994248</v>
      </c>
      <c r="AS163" s="2">
        <v>0.435</v>
      </c>
    </row>
    <row r="164" spans="1:45">
      <c r="A164" s="13" t="s">
        <v>349</v>
      </c>
      <c r="B164" s="15" t="s">
        <v>181</v>
      </c>
      <c r="C164" s="20" t="e">
        <v>#N/A</v>
      </c>
      <c r="D164" s="21">
        <v>2547</v>
      </c>
      <c r="E164" s="22">
        <v>7.84</v>
      </c>
      <c r="F164" s="23">
        <v>0.61</v>
      </c>
      <c r="G164" s="2">
        <v>1</v>
      </c>
      <c r="H164" s="2">
        <v>0.5</v>
      </c>
      <c r="I164" s="2">
        <v>0.3789999984577298</v>
      </c>
      <c r="J164" s="2">
        <v>9.9999999999999978E-2</v>
      </c>
      <c r="K164" s="2">
        <v>5.6000000000000001E-2</v>
      </c>
      <c r="L164" s="2">
        <v>0.7389999993517995</v>
      </c>
      <c r="M164" s="2">
        <v>0.44466666666666665</v>
      </c>
      <c r="N164" s="2">
        <v>0.82537199981734144</v>
      </c>
      <c r="O164" s="2">
        <v>1</v>
      </c>
      <c r="P164" s="2">
        <v>0.26</v>
      </c>
      <c r="Q164" s="2">
        <v>1</v>
      </c>
      <c r="R164" s="2">
        <v>0.3</v>
      </c>
      <c r="S164" s="2">
        <v>0.76749999999999996</v>
      </c>
      <c r="T164" s="2">
        <v>0.92711999999999994</v>
      </c>
      <c r="U164" s="2">
        <v>0.42790353052258501</v>
      </c>
      <c r="V164" s="2">
        <v>0.46335697399999998</v>
      </c>
      <c r="W164" s="2">
        <v>0.29674641767832877</v>
      </c>
      <c r="X164" s="2">
        <v>0.1115926179240658</v>
      </c>
      <c r="Y164" s="2">
        <v>0.10354566382345434</v>
      </c>
      <c r="Z164" s="2">
        <v>0.194672185468558</v>
      </c>
      <c r="AA164" s="2">
        <v>0.85599999999999998</v>
      </c>
      <c r="AB164" s="2">
        <v>0</v>
      </c>
      <c r="AC164" s="2">
        <v>0</v>
      </c>
      <c r="AD164" s="2">
        <v>0.97999199943443116</v>
      </c>
      <c r="AE164" s="16">
        <f t="shared" si="2"/>
        <v>0.48885283554770659</v>
      </c>
      <c r="AF164" s="2">
        <v>0.63200000000000001</v>
      </c>
      <c r="AG164" s="2">
        <v>0.3</v>
      </c>
      <c r="AH164" s="2">
        <v>0.67900000000000005</v>
      </c>
      <c r="AI164" s="2" t="e">
        <v>#N/A</v>
      </c>
      <c r="AJ164" s="2">
        <v>0.1</v>
      </c>
      <c r="AK164" s="2">
        <v>0.65500000000000003</v>
      </c>
      <c r="AL164" s="2">
        <v>0.65200000000000002</v>
      </c>
      <c r="AM164" s="2">
        <v>0.56904746623346336</v>
      </c>
      <c r="AN164" s="2">
        <v>0.53694099683360896</v>
      </c>
      <c r="AO164" s="2">
        <v>0.42705086759864497</v>
      </c>
      <c r="AP164" s="2">
        <v>6.3077011310760545E-2</v>
      </c>
      <c r="AQ164" s="2" t="e">
        <v>#N/A</v>
      </c>
      <c r="AR164" s="2">
        <v>0.36700040545213169</v>
      </c>
      <c r="AS164" s="2">
        <v>0.68400000000000005</v>
      </c>
    </row>
    <row r="165" spans="1:45">
      <c r="A165" s="13" t="s">
        <v>350</v>
      </c>
      <c r="B165" s="15" t="s">
        <v>140</v>
      </c>
      <c r="C165" s="20" t="e">
        <v>#N/A</v>
      </c>
      <c r="D165" s="21">
        <v>600</v>
      </c>
      <c r="E165" s="22">
        <v>6.4</v>
      </c>
      <c r="F165" s="23" t="s">
        <v>460</v>
      </c>
      <c r="G165" s="2">
        <v>0.50159030837004404</v>
      </c>
      <c r="H165" s="2">
        <v>0.24683999949842694</v>
      </c>
      <c r="I165" s="2">
        <v>0.71199999973177908</v>
      </c>
      <c r="J165" s="2">
        <v>0.25</v>
      </c>
      <c r="K165" s="2">
        <v>0.59</v>
      </c>
      <c r="L165" s="2">
        <v>0.77919999979436394</v>
      </c>
      <c r="M165" s="2">
        <v>0.39683333333333337</v>
      </c>
      <c r="N165" s="2">
        <v>0.63670399985909454</v>
      </c>
      <c r="O165" s="2">
        <v>1</v>
      </c>
      <c r="P165" s="2">
        <v>0.02</v>
      </c>
      <c r="Q165" s="2">
        <v>1</v>
      </c>
      <c r="R165" s="2">
        <v>1</v>
      </c>
      <c r="S165" s="2">
        <v>0.78249999999999997</v>
      </c>
      <c r="T165" s="2">
        <v>0.99280000000000002</v>
      </c>
      <c r="U165" s="2">
        <v>0.74315956984058118</v>
      </c>
      <c r="V165" s="2">
        <v>0.77392218800000001</v>
      </c>
      <c r="W165" s="2">
        <v>0.29674641767832877</v>
      </c>
      <c r="X165" s="2">
        <v>1</v>
      </c>
      <c r="Y165" s="2">
        <v>1.0012375942229652E-2</v>
      </c>
      <c r="Z165" s="2">
        <v>4.9785423036339198E-2</v>
      </c>
      <c r="AA165" s="2">
        <v>0</v>
      </c>
      <c r="AB165" s="2">
        <v>0</v>
      </c>
      <c r="AC165" s="2">
        <v>2.6301527082602735E-2</v>
      </c>
      <c r="AD165" s="2">
        <v>0.90323999796724896</v>
      </c>
      <c r="AE165" s="16">
        <f t="shared" si="2"/>
        <v>0.5296514641722655</v>
      </c>
      <c r="AF165" s="2" t="e">
        <v>#N/A</v>
      </c>
      <c r="AG165" s="2" t="e">
        <v>#N/A</v>
      </c>
      <c r="AH165" s="2" t="e">
        <v>#N/A</v>
      </c>
      <c r="AI165" s="2" t="e">
        <v>#N/A</v>
      </c>
      <c r="AJ165" s="2" t="e">
        <v>#N/A</v>
      </c>
      <c r="AK165" s="2" t="e">
        <v>#N/A</v>
      </c>
      <c r="AL165" s="2" t="e">
        <v>#N/A</v>
      </c>
      <c r="AM165" s="2">
        <v>0</v>
      </c>
      <c r="AN165" s="2">
        <v>0.10551059612433597</v>
      </c>
      <c r="AO165" s="2">
        <v>0.15674136774983757</v>
      </c>
      <c r="AP165" s="2">
        <v>7.72024994031828E-2</v>
      </c>
      <c r="AQ165" s="2" t="e">
        <v>#N/A</v>
      </c>
      <c r="AR165" s="2">
        <v>0</v>
      </c>
      <c r="AS165" s="2" t="e">
        <v>#N/A</v>
      </c>
    </row>
    <row r="166" spans="1:45">
      <c r="A166" s="13" t="s">
        <v>351</v>
      </c>
      <c r="B166" s="15" t="s">
        <v>79</v>
      </c>
      <c r="C166" s="20">
        <v>61.2</v>
      </c>
      <c r="D166" s="21">
        <v>10278</v>
      </c>
      <c r="E166" s="22">
        <v>9.24</v>
      </c>
      <c r="F166" s="23">
        <v>0.68</v>
      </c>
      <c r="G166" s="2">
        <v>0.6071823549257761</v>
      </c>
      <c r="H166" s="2">
        <v>0.29951999888420106</v>
      </c>
      <c r="I166" s="2">
        <v>0.12639999918639655</v>
      </c>
      <c r="J166" s="2">
        <v>0.35</v>
      </c>
      <c r="K166" s="2">
        <v>6.933333333333333E-2</v>
      </c>
      <c r="L166" s="2">
        <v>0.26079999931156639</v>
      </c>
      <c r="M166" s="2">
        <v>0.62974999999999992</v>
      </c>
      <c r="N166" s="2">
        <v>0.39167799991331997</v>
      </c>
      <c r="O166" s="2">
        <v>0.91717804597700003</v>
      </c>
      <c r="P166" s="2">
        <v>0.5</v>
      </c>
      <c r="Q166" s="2">
        <v>0.26499999966472387</v>
      </c>
      <c r="R166" s="2">
        <v>0.3305999990925193</v>
      </c>
      <c r="S166" s="2">
        <v>0.40749999999999997</v>
      </c>
      <c r="T166" s="2">
        <v>0.7752</v>
      </c>
      <c r="U166" s="2">
        <v>0.71163691615268632</v>
      </c>
      <c r="V166" s="2">
        <v>1</v>
      </c>
      <c r="W166" s="2">
        <v>1.9222745599645923E-2</v>
      </c>
      <c r="X166" s="2">
        <v>0.25767633089848019</v>
      </c>
      <c r="Y166" s="2">
        <v>1.4127374470356338E-3</v>
      </c>
      <c r="Z166" s="2">
        <v>1.04820979531015E-2</v>
      </c>
      <c r="AA166" s="2">
        <v>0.25</v>
      </c>
      <c r="AB166" s="2">
        <v>0</v>
      </c>
      <c r="AC166" s="2">
        <v>1.8526600080693637E-2</v>
      </c>
      <c r="AD166" s="2">
        <v>0.85814000553596681</v>
      </c>
      <c r="AE166" s="16">
        <f t="shared" si="2"/>
        <v>0.37738496516485198</v>
      </c>
      <c r="AF166" s="2">
        <v>0.73</v>
      </c>
      <c r="AG166" s="2">
        <v>0.6</v>
      </c>
      <c r="AH166" s="2">
        <v>0.69099999999999995</v>
      </c>
      <c r="AI166" s="2">
        <v>0.76800000000000002</v>
      </c>
      <c r="AJ166" s="2">
        <v>0.45</v>
      </c>
      <c r="AK166" s="2">
        <v>0.70200000000000007</v>
      </c>
      <c r="AL166" s="2">
        <v>0.76</v>
      </c>
      <c r="AM166" s="2">
        <v>0.50381562540425118</v>
      </c>
      <c r="AN166" s="2">
        <v>0.61181914366412937</v>
      </c>
      <c r="AO166" s="2">
        <v>0.52033232051384259</v>
      </c>
      <c r="AP166" s="2">
        <v>1</v>
      </c>
      <c r="AQ166" s="2" t="e">
        <v>#N/A</v>
      </c>
      <c r="AR166" s="2">
        <v>0.51113637667730394</v>
      </c>
      <c r="AS166" s="2">
        <v>0.59</v>
      </c>
    </row>
    <row r="167" spans="1:45">
      <c r="A167" s="13" t="s">
        <v>352</v>
      </c>
      <c r="B167" s="15" t="s">
        <v>36</v>
      </c>
      <c r="C167" s="20">
        <v>77.2</v>
      </c>
      <c r="D167" s="21">
        <v>32150</v>
      </c>
      <c r="E167" s="22">
        <v>10.38</v>
      </c>
      <c r="F167" s="23">
        <v>0.96</v>
      </c>
      <c r="G167" s="2">
        <v>0.95494868735083527</v>
      </c>
      <c r="H167" s="2">
        <v>0</v>
      </c>
      <c r="I167" s="2">
        <v>3.9999999105930328E-2</v>
      </c>
      <c r="J167" s="2">
        <v>0.5</v>
      </c>
      <c r="K167" s="2">
        <v>0</v>
      </c>
      <c r="L167" s="2">
        <v>3.9999999105930328E-2</v>
      </c>
      <c r="M167" s="2">
        <v>0.29008333333333336</v>
      </c>
      <c r="N167" s="2">
        <v>0.22967399994917212</v>
      </c>
      <c r="O167" s="2">
        <v>0.70410359282007362</v>
      </c>
      <c r="P167" s="2">
        <v>0.32</v>
      </c>
      <c r="Q167" s="2">
        <v>0.39219999950379131</v>
      </c>
      <c r="R167" s="2">
        <v>0</v>
      </c>
      <c r="S167" s="2">
        <v>6.7499999999999991E-2</v>
      </c>
      <c r="T167" s="2">
        <v>0.49719999999999998</v>
      </c>
      <c r="U167" s="2">
        <v>0.1431094619646669</v>
      </c>
      <c r="V167" s="2">
        <v>0.12060301599999999</v>
      </c>
      <c r="W167" s="2">
        <v>0</v>
      </c>
      <c r="X167" s="2">
        <v>2.2772838380422595E-3</v>
      </c>
      <c r="Y167" s="2">
        <v>1.3060807626335526E-2</v>
      </c>
      <c r="Z167" s="2">
        <v>7.7373712561670305E-2</v>
      </c>
      <c r="AA167" s="2">
        <v>0</v>
      </c>
      <c r="AB167" s="2">
        <v>0.79</v>
      </c>
      <c r="AC167" s="2">
        <v>1.803679506192633E-2</v>
      </c>
      <c r="AD167" s="2">
        <v>0.14859999690204861</v>
      </c>
      <c r="AE167" s="16">
        <f t="shared" si="2"/>
        <v>0.22286544521348983</v>
      </c>
      <c r="AF167" s="2">
        <v>0.75800000000000001</v>
      </c>
      <c r="AG167" s="2">
        <v>0.8</v>
      </c>
      <c r="AH167" s="2">
        <v>0.58099999999999996</v>
      </c>
      <c r="AI167" s="2">
        <v>0.54799999999999993</v>
      </c>
      <c r="AJ167" s="2">
        <v>0.8</v>
      </c>
      <c r="AK167" s="2">
        <v>0.77700000000000002</v>
      </c>
      <c r="AL167" s="2">
        <v>0.875</v>
      </c>
      <c r="AM167" s="2">
        <v>0.46439941265175955</v>
      </c>
      <c r="AN167" s="2">
        <v>0.73507898920429127</v>
      </c>
      <c r="AO167" s="2">
        <v>0.70012285307520927</v>
      </c>
      <c r="AP167" s="2">
        <v>1</v>
      </c>
      <c r="AQ167" s="2">
        <v>0.96797718947292766</v>
      </c>
      <c r="AR167" s="2">
        <v>0.72439824248121976</v>
      </c>
      <c r="AS167" s="2">
        <v>0.47299999999999998</v>
      </c>
    </row>
    <row r="168" spans="1:45">
      <c r="A168" s="13" t="s">
        <v>353</v>
      </c>
      <c r="B168" s="15" t="s">
        <v>186</v>
      </c>
      <c r="C168" s="20" t="e">
        <v>#N/A</v>
      </c>
      <c r="D168" s="21">
        <v>4772</v>
      </c>
      <c r="E168" s="22">
        <v>8.4700000000000006</v>
      </c>
      <c r="F168" s="23">
        <v>0.76</v>
      </c>
      <c r="G168" s="2">
        <v>7.758574057037719E-2</v>
      </c>
      <c r="H168" s="2">
        <v>0.26982999945171182</v>
      </c>
      <c r="I168" s="2">
        <v>0.13599999919533734</v>
      </c>
      <c r="J168" s="2">
        <v>0.15000000000000002</v>
      </c>
      <c r="K168" s="2">
        <v>2.8000000000000001E-2</v>
      </c>
      <c r="L168" s="2">
        <v>0.12639999918639655</v>
      </c>
      <c r="M168" s="2">
        <v>0.4453333333333333</v>
      </c>
      <c r="N168" s="2">
        <v>0.85748999981023377</v>
      </c>
      <c r="O168" s="2">
        <v>0.52618133333333339</v>
      </c>
      <c r="P168" s="2">
        <v>0.36</v>
      </c>
      <c r="Q168" s="2">
        <v>0.40279999949038031</v>
      </c>
      <c r="R168" s="2">
        <v>0.3</v>
      </c>
      <c r="S168" s="2">
        <v>7.4999999999999997E-2</v>
      </c>
      <c r="T168" s="2">
        <v>0.88344</v>
      </c>
      <c r="U168" s="2">
        <v>0.2767592572110894</v>
      </c>
      <c r="V168" s="2">
        <v>0.16898395799999999</v>
      </c>
      <c r="W168" s="2">
        <v>1.9719256670736041E-2</v>
      </c>
      <c r="X168" s="2">
        <v>2.3545144979758657E-2</v>
      </c>
      <c r="Y168" s="2">
        <v>8.2579139883161373E-2</v>
      </c>
      <c r="Z168" s="2">
        <v>0.117909652069053</v>
      </c>
      <c r="AA168" s="2">
        <v>0.2340000000000001</v>
      </c>
      <c r="AB168" s="2">
        <v>0.69</v>
      </c>
      <c r="AC168" s="2">
        <v>0.37134457682190936</v>
      </c>
      <c r="AD168" s="2">
        <v>0.30339999746531243</v>
      </c>
      <c r="AE168" s="16">
        <f t="shared" si="2"/>
        <v>0.28859589114467171</v>
      </c>
      <c r="AF168" s="2">
        <v>0.71799999999999997</v>
      </c>
      <c r="AG168" s="2">
        <v>0.4</v>
      </c>
      <c r="AH168" s="2">
        <v>0.73499999999999999</v>
      </c>
      <c r="AI168" s="2">
        <v>0.83900000000000008</v>
      </c>
      <c r="AJ168" s="2">
        <v>0.15</v>
      </c>
      <c r="AK168" s="2">
        <v>0.56799999999999995</v>
      </c>
      <c r="AL168" s="2">
        <v>0.622</v>
      </c>
      <c r="AM168" s="2">
        <v>0.23700116534278201</v>
      </c>
      <c r="AN168" s="2">
        <v>0.40082935296658972</v>
      </c>
      <c r="AO168" s="2">
        <v>0.42856604254078789</v>
      </c>
      <c r="AP168" s="2">
        <v>0.76365642490228258</v>
      </c>
      <c r="AQ168" s="2" t="e">
        <v>#N/A</v>
      </c>
      <c r="AR168" s="2">
        <v>0.48515473199963655</v>
      </c>
      <c r="AS168" s="2">
        <v>0.70700000000000007</v>
      </c>
    </row>
    <row r="169" spans="1:45">
      <c r="A169" s="13" t="s">
        <v>354</v>
      </c>
      <c r="B169" s="15" t="s">
        <v>125</v>
      </c>
      <c r="C169" s="20" t="e">
        <v>#N/A</v>
      </c>
      <c r="D169" s="21">
        <v>2210</v>
      </c>
      <c r="E169" s="22">
        <v>7.7</v>
      </c>
      <c r="F169" s="23">
        <v>0.53</v>
      </c>
      <c r="G169" s="2">
        <v>1</v>
      </c>
      <c r="H169" s="2">
        <v>0.69095999742597347</v>
      </c>
      <c r="I169" s="2">
        <v>0.4527999994903803</v>
      </c>
      <c r="J169" s="2">
        <v>0.375</v>
      </c>
      <c r="K169" s="2">
        <v>0.17</v>
      </c>
      <c r="L169" s="2">
        <v>0.67359999969601625</v>
      </c>
      <c r="M169" s="2">
        <v>0.94450000000000001</v>
      </c>
      <c r="N169" s="2">
        <v>0.56236799987554553</v>
      </c>
      <c r="O169" s="2">
        <v>0.98148871620895217</v>
      </c>
      <c r="P169" s="2">
        <v>0.06</v>
      </c>
      <c r="Q169" s="2">
        <v>0.24379999969154598</v>
      </c>
      <c r="R169" s="2">
        <v>1</v>
      </c>
      <c r="S169" s="2">
        <v>0.78249999999999997</v>
      </c>
      <c r="T169" s="2">
        <v>0.94399999999999995</v>
      </c>
      <c r="U169" s="2">
        <v>0.58356120871633466</v>
      </c>
      <c r="V169" s="2">
        <v>0.53023909999999996</v>
      </c>
      <c r="W169" s="2">
        <v>3.1826035535756754E-2</v>
      </c>
      <c r="X169" s="2">
        <v>0.81290215508116237</v>
      </c>
      <c r="Y169" s="2">
        <v>1.3117162498819748E-3</v>
      </c>
      <c r="Z169" s="2">
        <v>5.5283365736773201E-3</v>
      </c>
      <c r="AA169" s="2">
        <v>0.68599999999999994</v>
      </c>
      <c r="AB169" s="2">
        <v>0</v>
      </c>
      <c r="AC169" s="2">
        <v>7.575757575757576E-3</v>
      </c>
      <c r="AD169" s="2">
        <v>0.70234000477153724</v>
      </c>
      <c r="AE169" s="16">
        <f t="shared" si="2"/>
        <v>0.51009587612052154</v>
      </c>
      <c r="AF169" s="2">
        <v>0.44000000245869159</v>
      </c>
      <c r="AG169" s="2">
        <v>0.2400000013411045</v>
      </c>
      <c r="AH169" s="2">
        <v>0.59760000333935026</v>
      </c>
      <c r="AI169" s="2">
        <v>0.72080000402778377</v>
      </c>
      <c r="AJ169" s="2">
        <v>0.2400000013411045</v>
      </c>
      <c r="AK169" s="2">
        <v>0.38160000213235618</v>
      </c>
      <c r="AL169" s="2">
        <v>0.2960000016540289</v>
      </c>
      <c r="AM169" s="2">
        <v>0</v>
      </c>
      <c r="AN169" s="2">
        <v>0.1859858584863982</v>
      </c>
      <c r="AO169" s="2">
        <v>0.25370761823533899</v>
      </c>
      <c r="AP169" s="2">
        <v>0.39916992015741909</v>
      </c>
      <c r="AQ169" s="2">
        <v>6.7760800378642974E-2</v>
      </c>
      <c r="AR169" s="2">
        <v>0.23392584893979951</v>
      </c>
      <c r="AS169" s="2" t="e">
        <v>#N/A</v>
      </c>
    </row>
    <row r="170" spans="1:45">
      <c r="A170" s="13" t="s">
        <v>355</v>
      </c>
      <c r="B170" s="15" t="s">
        <v>42</v>
      </c>
      <c r="C170" s="20">
        <v>61.6</v>
      </c>
      <c r="D170" s="21">
        <v>7459</v>
      </c>
      <c r="E170" s="22">
        <v>8.92</v>
      </c>
      <c r="F170" s="23">
        <v>0.77</v>
      </c>
      <c r="G170" s="2">
        <v>0.54557938972162734</v>
      </c>
      <c r="H170" s="2">
        <v>5.4920000000000004E-3</v>
      </c>
      <c r="I170" s="2">
        <v>0.10719999916851519</v>
      </c>
      <c r="J170" s="2">
        <v>0.32499999999999996</v>
      </c>
      <c r="K170" s="2">
        <v>2.8666666666666667E-2</v>
      </c>
      <c r="L170" s="2">
        <v>0.19359999924898152</v>
      </c>
      <c r="M170" s="2">
        <v>0.52233333333333332</v>
      </c>
      <c r="N170" s="2">
        <v>0.24987399994470177</v>
      </c>
      <c r="O170" s="2">
        <v>0.5</v>
      </c>
      <c r="P170" s="2">
        <v>0.28000000000000003</v>
      </c>
      <c r="Q170" s="2">
        <v>0.27559999965131282</v>
      </c>
      <c r="R170" s="2">
        <v>8.6399999856948864E-2</v>
      </c>
      <c r="S170" s="2">
        <v>0.3175</v>
      </c>
      <c r="T170" s="2">
        <v>0.8992</v>
      </c>
      <c r="U170" s="2">
        <v>0.37478696461945871</v>
      </c>
      <c r="V170" s="2">
        <v>0.32642486999999998</v>
      </c>
      <c r="W170" s="2">
        <v>3.2994211898098237E-2</v>
      </c>
      <c r="X170" s="2">
        <v>6.4557249064501263E-2</v>
      </c>
      <c r="Y170" s="2">
        <v>5.3078200158802706E-2</v>
      </c>
      <c r="Z170" s="2">
        <v>0.76156668254306104</v>
      </c>
      <c r="AA170" s="2">
        <v>0.21400000000000008</v>
      </c>
      <c r="AB170" s="2">
        <v>0.75</v>
      </c>
      <c r="AC170" s="2">
        <v>0</v>
      </c>
      <c r="AD170" s="2">
        <v>0.77424999917857351</v>
      </c>
      <c r="AE170" s="16">
        <f t="shared" si="2"/>
        <v>0.32033764854394103</v>
      </c>
      <c r="AF170" s="2">
        <v>0.41</v>
      </c>
      <c r="AG170" s="2">
        <v>0.3</v>
      </c>
      <c r="AH170" s="2">
        <v>0.66900000000000004</v>
      </c>
      <c r="AI170" s="2">
        <v>0.77800000000000002</v>
      </c>
      <c r="AJ170" s="2">
        <v>0.15</v>
      </c>
      <c r="AK170" s="2">
        <v>0.67799999999999994</v>
      </c>
      <c r="AL170" s="2">
        <v>0.66400000000000003</v>
      </c>
      <c r="AM170" s="2">
        <v>0.53515303771765566</v>
      </c>
      <c r="AN170" s="2">
        <v>0.58140836112451222</v>
      </c>
      <c r="AO170" s="2">
        <v>0.43434046400683479</v>
      </c>
      <c r="AP170" s="2">
        <v>1</v>
      </c>
      <c r="AQ170" s="2">
        <v>0.17596300000000001</v>
      </c>
      <c r="AR170" s="2">
        <v>0.47501545527296785</v>
      </c>
      <c r="AS170" s="2">
        <v>0.84499999999999997</v>
      </c>
    </row>
    <row r="171" spans="1:45">
      <c r="A171" s="13" t="s">
        <v>356</v>
      </c>
      <c r="B171" s="15" t="s">
        <v>171</v>
      </c>
      <c r="C171" s="20">
        <v>52.3</v>
      </c>
      <c r="D171" s="21">
        <v>4998</v>
      </c>
      <c r="E171" s="22">
        <v>8.52</v>
      </c>
      <c r="F171" s="23">
        <v>0.56999999999999995</v>
      </c>
      <c r="G171" s="2">
        <v>8.0657869040781163E-2</v>
      </c>
      <c r="H171" s="2">
        <v>0.23100000000000001</v>
      </c>
      <c r="I171" s="2">
        <v>0.33759999938309193</v>
      </c>
      <c r="J171" s="2">
        <v>0.30000000000000004</v>
      </c>
      <c r="K171" s="2">
        <v>0.16800000000000001</v>
      </c>
      <c r="L171" s="2">
        <v>0.47199999950826166</v>
      </c>
      <c r="M171" s="2">
        <v>0.69216666666666671</v>
      </c>
      <c r="N171" s="2">
        <v>0.75527799983285382</v>
      </c>
      <c r="O171" s="2">
        <v>1</v>
      </c>
      <c r="P171" s="2">
        <v>0.1</v>
      </c>
      <c r="Q171" s="2">
        <v>0.8691999989002942</v>
      </c>
      <c r="R171" s="2">
        <v>0.22000000000000003</v>
      </c>
      <c r="S171" s="2">
        <v>0.40749999999999997</v>
      </c>
      <c r="T171" s="2">
        <v>0.73520000000000008</v>
      </c>
      <c r="U171" s="2">
        <v>0.82130825284019149</v>
      </c>
      <c r="V171" s="2">
        <v>1</v>
      </c>
      <c r="W171" s="2">
        <v>0.12333193049570611</v>
      </c>
      <c r="X171" s="2">
        <v>0.34451997888382224</v>
      </c>
      <c r="Y171" s="2">
        <v>0</v>
      </c>
      <c r="Z171" s="2">
        <v>0</v>
      </c>
      <c r="AA171" s="2">
        <v>0.70300000000000007</v>
      </c>
      <c r="AB171" s="2">
        <v>0.7</v>
      </c>
      <c r="AC171" s="2">
        <v>8.7209302325581384E-2</v>
      </c>
      <c r="AD171" s="2">
        <v>0.70010000229999991</v>
      </c>
      <c r="AE171" s="16">
        <f t="shared" si="2"/>
        <v>0.4520030000073853</v>
      </c>
      <c r="AF171" s="2">
        <v>0.67200000000000004</v>
      </c>
      <c r="AG171" s="2">
        <v>0.4</v>
      </c>
      <c r="AH171" s="2">
        <v>0.63100000000000001</v>
      </c>
      <c r="AI171" s="2">
        <v>0.55500000000000005</v>
      </c>
      <c r="AJ171" s="2">
        <v>0.55000000000000004</v>
      </c>
      <c r="AK171" s="2">
        <v>0.68799999999999994</v>
      </c>
      <c r="AL171" s="2">
        <v>0.74900000000000011</v>
      </c>
      <c r="AM171" s="2">
        <v>0.50467641830273202</v>
      </c>
      <c r="AN171" s="2">
        <v>0.26000782690941382</v>
      </c>
      <c r="AO171" s="2">
        <v>0.44682525202443008</v>
      </c>
      <c r="AP171" s="2">
        <v>0.60897803776990489</v>
      </c>
      <c r="AQ171" s="2">
        <v>5.7659948683498156E-2</v>
      </c>
      <c r="AR171" s="2">
        <v>0.37466009238422415</v>
      </c>
      <c r="AS171" s="2">
        <v>0.68400000000000005</v>
      </c>
    </row>
    <row r="172" spans="1:45">
      <c r="A172" s="13" t="s">
        <v>357</v>
      </c>
      <c r="B172" s="15" t="s">
        <v>24</v>
      </c>
      <c r="C172" s="20">
        <v>79.7</v>
      </c>
      <c r="D172" s="21">
        <v>37377</v>
      </c>
      <c r="E172" s="22">
        <v>10.53</v>
      </c>
      <c r="F172" s="23">
        <v>0.96</v>
      </c>
      <c r="G172" s="2">
        <v>1</v>
      </c>
      <c r="H172" s="2">
        <v>1.653299996640533E-2</v>
      </c>
      <c r="I172" s="2">
        <v>3.9999999105930328E-2</v>
      </c>
      <c r="J172" s="2">
        <v>0.64999999999999991</v>
      </c>
      <c r="K172" s="2">
        <v>0</v>
      </c>
      <c r="L172" s="2">
        <v>3.9999999105930328E-2</v>
      </c>
      <c r="M172" s="2">
        <v>1.5499999999999995E-2</v>
      </c>
      <c r="N172" s="2">
        <v>0.15533799996562303</v>
      </c>
      <c r="O172" s="2">
        <v>0.76312135059666675</v>
      </c>
      <c r="P172" s="2">
        <v>0.52</v>
      </c>
      <c r="Q172" s="2">
        <v>0.14839999981224539</v>
      </c>
      <c r="R172" s="2">
        <v>0</v>
      </c>
      <c r="S172" s="2">
        <v>6.7499999999999991E-2</v>
      </c>
      <c r="T172" s="2">
        <v>0.25056</v>
      </c>
      <c r="U172" s="2">
        <v>0.1402463204985861</v>
      </c>
      <c r="V172" s="2">
        <v>9.7560975999999994E-2</v>
      </c>
      <c r="W172" s="2">
        <v>0</v>
      </c>
      <c r="X172" s="2">
        <v>2.2753996180438791E-3</v>
      </c>
      <c r="Y172" s="2">
        <v>1.8779315698323262E-2</v>
      </c>
      <c r="Z172" s="2">
        <v>7.1766598898714201E-2</v>
      </c>
      <c r="AA172" s="2">
        <v>0</v>
      </c>
      <c r="AB172" s="2">
        <v>0.66</v>
      </c>
      <c r="AC172" s="2">
        <v>0</v>
      </c>
      <c r="AD172" s="2">
        <v>0.77372799978926776</v>
      </c>
      <c r="AE172" s="16">
        <f t="shared" si="2"/>
        <v>0.22630453996065569</v>
      </c>
      <c r="AF172" s="2">
        <v>0.95499999999999996</v>
      </c>
      <c r="AG172" s="2">
        <v>0.8</v>
      </c>
      <c r="AH172" s="2">
        <v>0.36700000000000005</v>
      </c>
      <c r="AI172" s="2">
        <v>0.17300000000000001</v>
      </c>
      <c r="AJ172" s="2">
        <v>0.85</v>
      </c>
      <c r="AK172" s="2">
        <v>0.79500000000000004</v>
      </c>
      <c r="AL172" s="2">
        <v>0.875</v>
      </c>
      <c r="AM172" s="2">
        <v>0.71785948516003972</v>
      </c>
      <c r="AN172" s="2">
        <v>0.80802204038196024</v>
      </c>
      <c r="AO172" s="2">
        <v>0.94146378501850836</v>
      </c>
      <c r="AP172" s="2">
        <v>1</v>
      </c>
      <c r="AQ172" s="2">
        <v>0.97444553233609443</v>
      </c>
      <c r="AR172" s="2">
        <v>0.88157493314474922</v>
      </c>
      <c r="AS172" s="2">
        <v>0.54899999999999993</v>
      </c>
    </row>
    <row r="173" spans="1:45">
      <c r="A173" s="13" t="s">
        <v>358</v>
      </c>
      <c r="B173" s="15" t="s">
        <v>47</v>
      </c>
      <c r="C173" s="20">
        <v>83.6</v>
      </c>
      <c r="D173" s="21">
        <v>45224</v>
      </c>
      <c r="E173" s="22">
        <v>10.72</v>
      </c>
      <c r="F173" s="23">
        <v>0.96</v>
      </c>
      <c r="G173" s="2">
        <v>0.37857357954545451</v>
      </c>
      <c r="H173" s="2">
        <v>4.8860000000000001E-2</v>
      </c>
      <c r="I173" s="2">
        <v>3.9999999105930328E-2</v>
      </c>
      <c r="J173" s="2">
        <v>0.55000000000000004</v>
      </c>
      <c r="K173" s="2">
        <v>0</v>
      </c>
      <c r="L173" s="2">
        <v>3.9999999105930328E-2</v>
      </c>
      <c r="M173" s="2">
        <v>0.23600000000000002</v>
      </c>
      <c r="N173" s="2">
        <v>0.26724599994085729</v>
      </c>
      <c r="O173" s="2">
        <v>0.622814107274</v>
      </c>
      <c r="P173" s="2">
        <v>0.16</v>
      </c>
      <c r="Q173" s="2">
        <v>0.57239999927580365</v>
      </c>
      <c r="R173" s="2">
        <v>0</v>
      </c>
      <c r="S173" s="2">
        <v>6.7499999999999991E-2</v>
      </c>
      <c r="T173" s="2">
        <v>3.5999999999999921E-2</v>
      </c>
      <c r="U173" s="2">
        <v>0.12249521804303076</v>
      </c>
      <c r="V173" s="2">
        <v>9.1891892000000003E-2</v>
      </c>
      <c r="W173" s="2">
        <v>0</v>
      </c>
      <c r="X173" s="2">
        <v>3.4187670370609464E-3</v>
      </c>
      <c r="Y173" s="2">
        <v>0</v>
      </c>
      <c r="Z173" s="2">
        <v>0</v>
      </c>
      <c r="AA173" s="2">
        <v>0</v>
      </c>
      <c r="AB173" s="2">
        <v>0.78</v>
      </c>
      <c r="AC173" s="2">
        <v>0.1125</v>
      </c>
      <c r="AD173" s="2">
        <v>3.9999999105930328E-2</v>
      </c>
      <c r="AE173" s="16">
        <f t="shared" si="2"/>
        <v>0.17373748168474992</v>
      </c>
      <c r="AF173" s="2">
        <v>0.81200000000000006</v>
      </c>
      <c r="AG173" s="2">
        <v>0.8</v>
      </c>
      <c r="AH173" s="2">
        <v>0.68200000000000005</v>
      </c>
      <c r="AI173" s="2">
        <v>0.68900000000000006</v>
      </c>
      <c r="AJ173" s="2">
        <v>0.8</v>
      </c>
      <c r="AK173" s="2">
        <v>0.81299999999999994</v>
      </c>
      <c r="AL173" s="2">
        <v>0.9</v>
      </c>
      <c r="AM173" s="2">
        <v>0.74030236048084674</v>
      </c>
      <c r="AN173" s="2">
        <v>0.80881904776689029</v>
      </c>
      <c r="AO173" s="2">
        <v>0.89812436139724094</v>
      </c>
      <c r="AP173" s="2">
        <v>1</v>
      </c>
      <c r="AQ173" s="2">
        <v>0.67745101777378258</v>
      </c>
      <c r="AR173" s="2">
        <v>0.84663473713814952</v>
      </c>
      <c r="AS173" s="2">
        <v>0.81799999999999995</v>
      </c>
    </row>
    <row r="174" spans="1:45">
      <c r="A174" s="13" t="s">
        <v>453</v>
      </c>
      <c r="B174" s="15" t="s">
        <v>101</v>
      </c>
      <c r="C174" s="20">
        <v>58.7</v>
      </c>
      <c r="D174" s="21">
        <v>4730</v>
      </c>
      <c r="E174" s="22">
        <v>8.4600000000000009</v>
      </c>
      <c r="F174" s="23">
        <v>0.74</v>
      </c>
      <c r="G174" s="2">
        <v>0.86647558139534886</v>
      </c>
      <c r="H174" s="2">
        <v>1</v>
      </c>
      <c r="I174" s="2">
        <v>0.14559999920427802</v>
      </c>
      <c r="J174" s="2">
        <v>0.57499999999999996</v>
      </c>
      <c r="K174" s="2">
        <v>3.5999999999999997E-2</v>
      </c>
      <c r="L174" s="2">
        <v>7.8399999141693155E-2</v>
      </c>
      <c r="M174" s="2">
        <v>0.54108333333333336</v>
      </c>
      <c r="N174" s="2">
        <v>0.45894399989843365</v>
      </c>
      <c r="O174" s="2">
        <v>0.7557820081518124</v>
      </c>
      <c r="P174" s="2">
        <v>0.14000000000000001</v>
      </c>
      <c r="Q174" s="2">
        <v>0.28619999963790183</v>
      </c>
      <c r="R174" s="2">
        <v>0.19439999967813493</v>
      </c>
      <c r="S174" s="2">
        <v>7.4999999999999997E-2</v>
      </c>
      <c r="T174" s="2">
        <v>0.80559999999999998</v>
      </c>
      <c r="U174" s="2">
        <v>0.27487391086787061</v>
      </c>
      <c r="V174" s="2">
        <v>0.15555555600000001</v>
      </c>
      <c r="W174" s="2">
        <v>1.0254021432430739E-2</v>
      </c>
      <c r="X174" s="2">
        <v>4.252679232344047E-2</v>
      </c>
      <c r="Y174" s="2">
        <v>5.3849077602487064E-4</v>
      </c>
      <c r="Z174" s="2">
        <v>6.1777839027265602E-3</v>
      </c>
      <c r="AA174" s="2">
        <v>7.2999999999999954E-2</v>
      </c>
      <c r="AB174" s="2">
        <v>0</v>
      </c>
      <c r="AC174" s="2">
        <v>0</v>
      </c>
      <c r="AD174" s="2">
        <v>0.12611199918612837</v>
      </c>
      <c r="AE174" s="16">
        <f t="shared" si="2"/>
        <v>0.27698014478873156</v>
      </c>
      <c r="AF174" s="2">
        <v>0.59200000000000008</v>
      </c>
      <c r="AG174" s="2">
        <v>0.2</v>
      </c>
      <c r="AH174" s="2">
        <v>0.87</v>
      </c>
      <c r="AI174" s="2">
        <v>0.80200000000000005</v>
      </c>
      <c r="AJ174" s="2">
        <v>0.2</v>
      </c>
      <c r="AK174" s="2">
        <v>0.63300000000000001</v>
      </c>
      <c r="AL174" s="2">
        <v>0.54</v>
      </c>
      <c r="AM174" s="2">
        <v>0.36473254260419841</v>
      </c>
      <c r="AN174" s="2">
        <v>0.17676060729329618</v>
      </c>
      <c r="AO174" s="2">
        <v>0.31036777218321565</v>
      </c>
      <c r="AP174" s="2">
        <v>0.50571945902621995</v>
      </c>
      <c r="AQ174" s="2">
        <v>0.21103642857142857</v>
      </c>
      <c r="AR174" s="2">
        <v>0.4075934541755924</v>
      </c>
      <c r="AS174" s="2">
        <v>0.64700000000000002</v>
      </c>
    </row>
    <row r="175" spans="1:45">
      <c r="A175" s="13" t="s">
        <v>360</v>
      </c>
      <c r="B175" s="15" t="s">
        <v>167</v>
      </c>
      <c r="C175" s="20">
        <v>55.1</v>
      </c>
      <c r="D175" s="21">
        <v>1972</v>
      </c>
      <c r="E175" s="22">
        <v>7.59</v>
      </c>
      <c r="F175" s="23">
        <v>0.69</v>
      </c>
      <c r="G175" s="2">
        <v>0.28319159999999999</v>
      </c>
      <c r="H175" s="2">
        <v>0.89807999665439131</v>
      </c>
      <c r="I175" s="2">
        <v>0.32799999937415125</v>
      </c>
      <c r="J175" s="2">
        <v>0.77499999999999991</v>
      </c>
      <c r="K175" s="2">
        <v>0.36733333333333335</v>
      </c>
      <c r="L175" s="2">
        <v>9.7599999159574513E-2</v>
      </c>
      <c r="M175" s="2">
        <v>0.2485</v>
      </c>
      <c r="N175" s="2">
        <v>0.74255199983567</v>
      </c>
      <c r="O175" s="2">
        <v>0.84979902686693498</v>
      </c>
      <c r="P175" s="2">
        <v>0.38</v>
      </c>
      <c r="Q175" s="2">
        <v>0.61479999922215933</v>
      </c>
      <c r="R175" s="2">
        <v>0.56179999928921454</v>
      </c>
      <c r="S175" s="2">
        <v>7.4999999999999997E-2</v>
      </c>
      <c r="T175" s="2">
        <v>0.63777600000000001</v>
      </c>
      <c r="U175" s="2">
        <v>0.41845713051378741</v>
      </c>
      <c r="V175" s="2">
        <v>0.46356275400000002</v>
      </c>
      <c r="W175" s="2">
        <v>0.11812528727385835</v>
      </c>
      <c r="X175" s="2">
        <v>6.1007372867553034E-2</v>
      </c>
      <c r="Y175" s="2">
        <v>0</v>
      </c>
      <c r="Z175" s="2">
        <v>0</v>
      </c>
      <c r="AA175" s="2">
        <v>0</v>
      </c>
      <c r="AB175" s="2">
        <v>0.99</v>
      </c>
      <c r="AC175" s="2">
        <v>0.12860817376393255</v>
      </c>
      <c r="AD175" s="2">
        <v>0.17300003050000001</v>
      </c>
      <c r="AE175" s="16">
        <f t="shared" si="2"/>
        <v>0.3838413626106067</v>
      </c>
      <c r="AF175" s="2">
        <v>0.57399999999999995</v>
      </c>
      <c r="AG175" s="2">
        <v>0.4</v>
      </c>
      <c r="AH175" s="2">
        <v>0.88900000000000001</v>
      </c>
      <c r="AI175" s="2">
        <v>0.78</v>
      </c>
      <c r="AJ175" s="2">
        <v>0.25</v>
      </c>
      <c r="AK175" s="2">
        <v>0.58399999999999996</v>
      </c>
      <c r="AL175" s="2">
        <v>0.82499999999999996</v>
      </c>
      <c r="AM175" s="2">
        <v>0.30163261337661695</v>
      </c>
      <c r="AN175" s="2">
        <v>0.23764635307041929</v>
      </c>
      <c r="AO175" s="2">
        <v>0.28084553865289491</v>
      </c>
      <c r="AP175" s="2">
        <v>0.77529158676540311</v>
      </c>
      <c r="AQ175" s="2">
        <v>0.27936923149164605</v>
      </c>
      <c r="AR175" s="2">
        <v>0.25914496093437583</v>
      </c>
      <c r="AS175" s="2">
        <v>0.54400000000000004</v>
      </c>
    </row>
    <row r="176" spans="1:45">
      <c r="A176" s="13" t="s">
        <v>454</v>
      </c>
      <c r="B176" s="15" t="s">
        <v>170</v>
      </c>
      <c r="C176" s="20">
        <v>50</v>
      </c>
      <c r="D176" s="21">
        <v>1362</v>
      </c>
      <c r="E176" s="22">
        <v>7.22</v>
      </c>
      <c r="F176" s="23">
        <v>0.53</v>
      </c>
      <c r="G176" s="2">
        <v>0.33765399373531713</v>
      </c>
      <c r="H176" s="2">
        <v>5.3849999999999995E-2</v>
      </c>
      <c r="I176" s="2">
        <v>0.48159999951720234</v>
      </c>
      <c r="J176" s="2">
        <v>0.27500000000000002</v>
      </c>
      <c r="K176" s="2">
        <v>0.21466666666666667</v>
      </c>
      <c r="L176" s="2">
        <v>0.76959999978542326</v>
      </c>
      <c r="M176" s="2">
        <v>0.50224999999999997</v>
      </c>
      <c r="N176" s="2">
        <v>0.74780399983450774</v>
      </c>
      <c r="O176" s="2">
        <v>0.99008854166666671</v>
      </c>
      <c r="P176" s="2">
        <v>0.24</v>
      </c>
      <c r="Q176" s="2">
        <v>0.15899999979883431</v>
      </c>
      <c r="R176" s="2">
        <v>0.41439999900758268</v>
      </c>
      <c r="S176" s="2">
        <v>0.40749999999999997</v>
      </c>
      <c r="T176" s="2">
        <v>0.98975999999999997</v>
      </c>
      <c r="U176" s="2">
        <v>0.63158134534642252</v>
      </c>
      <c r="V176" s="2">
        <v>0.94960534399999996</v>
      </c>
      <c r="W176" s="2">
        <v>0.57034110642278102</v>
      </c>
      <c r="X176" s="2">
        <v>1</v>
      </c>
      <c r="Y176" s="2">
        <v>3.4233914853065762E-3</v>
      </c>
      <c r="Z176" s="2">
        <v>2.2521697348586101E-2</v>
      </c>
      <c r="AA176" s="2">
        <v>0.88500000000000001</v>
      </c>
      <c r="AB176" s="2">
        <v>0.63</v>
      </c>
      <c r="AC176" s="2">
        <v>2.2013998645292392E-2</v>
      </c>
      <c r="AD176" s="2">
        <v>0.92915199993401765</v>
      </c>
      <c r="AE176" s="16">
        <f t="shared" si="2"/>
        <v>0.50945050346644194</v>
      </c>
      <c r="AF176" s="2">
        <v>0.45500000000000002</v>
      </c>
      <c r="AG176" s="2">
        <v>0.5</v>
      </c>
      <c r="AH176" s="2">
        <v>0.80299999999999994</v>
      </c>
      <c r="AI176" s="2">
        <v>0.82599999999999996</v>
      </c>
      <c r="AJ176" s="2">
        <v>0.65</v>
      </c>
      <c r="AK176" s="2">
        <v>0.70799999999999996</v>
      </c>
      <c r="AL176" s="2">
        <v>0.70499999999999996</v>
      </c>
      <c r="AM176" s="2">
        <v>0.51641733450866789</v>
      </c>
      <c r="AN176" s="2">
        <v>0.47209683833776683</v>
      </c>
      <c r="AO176" s="2">
        <v>0.41714814318243193</v>
      </c>
      <c r="AP176" s="2">
        <v>0.43934274212621999</v>
      </c>
      <c r="AQ176" s="2">
        <v>1.8612642903367855E-2</v>
      </c>
      <c r="AR176" s="2">
        <v>0.41312728127243331</v>
      </c>
      <c r="AS176" s="2">
        <v>0.58399999999999996</v>
      </c>
    </row>
    <row r="177" spans="1:45">
      <c r="A177" s="13" t="s">
        <v>362</v>
      </c>
      <c r="B177" s="15" t="s">
        <v>149</v>
      </c>
      <c r="C177" s="20">
        <v>68.3</v>
      </c>
      <c r="D177" s="21">
        <v>7995</v>
      </c>
      <c r="E177" s="22">
        <v>8.99</v>
      </c>
      <c r="F177" s="23">
        <v>0.78</v>
      </c>
      <c r="G177" s="2">
        <v>0.38206340579710146</v>
      </c>
      <c r="H177" s="2">
        <v>0.13070000000000001</v>
      </c>
      <c r="I177" s="2">
        <v>5.9199999123811686E-2</v>
      </c>
      <c r="J177" s="2">
        <v>0.22499999999999998</v>
      </c>
      <c r="K177" s="2">
        <v>3.9333333333333331E-2</v>
      </c>
      <c r="L177" s="2">
        <v>7.8399999141693155E-2</v>
      </c>
      <c r="M177" s="2">
        <v>0.5299166666666667</v>
      </c>
      <c r="N177" s="2">
        <v>0.67003399985171852</v>
      </c>
      <c r="O177" s="2">
        <v>0.78186491228066668</v>
      </c>
      <c r="P177" s="2">
        <v>0.5</v>
      </c>
      <c r="Q177" s="2">
        <v>0.12719999983906746</v>
      </c>
      <c r="R177" s="2">
        <v>4.3999999910593036E-2</v>
      </c>
      <c r="S177" s="2">
        <v>7.4999999999999997E-2</v>
      </c>
      <c r="T177" s="2">
        <v>0.91535999999999995</v>
      </c>
      <c r="U177" s="2">
        <v>0.37788565730527068</v>
      </c>
      <c r="V177" s="2">
        <v>0.32762312599999999</v>
      </c>
      <c r="W177" s="2">
        <v>5.4177736117010222E-3</v>
      </c>
      <c r="X177" s="2">
        <v>2.1894574241177623E-2</v>
      </c>
      <c r="Y177" s="2">
        <v>6.9209849247744093E-2</v>
      </c>
      <c r="Z177" s="2">
        <v>0.26319040322522902</v>
      </c>
      <c r="AA177" s="2">
        <v>7.0000000000000062E-3</v>
      </c>
      <c r="AB177" s="2">
        <v>0.43</v>
      </c>
      <c r="AC177" s="2">
        <v>8.8081583119653931E-2</v>
      </c>
      <c r="AD177" s="2">
        <v>0.2119999955967069</v>
      </c>
      <c r="AE177" s="16">
        <f t="shared" si="2"/>
        <v>0.26501563659550559</v>
      </c>
      <c r="AF177" s="2">
        <v>0.70700000000000007</v>
      </c>
      <c r="AG177" s="2">
        <v>0.7</v>
      </c>
      <c r="AH177" s="2">
        <v>0.747</v>
      </c>
      <c r="AI177" s="2">
        <v>0.89800000000000002</v>
      </c>
      <c r="AJ177" s="2">
        <v>0.4</v>
      </c>
      <c r="AK177" s="2">
        <v>0.66400000000000003</v>
      </c>
      <c r="AL177" s="2">
        <v>0.75900000000000001</v>
      </c>
      <c r="AM177" s="2">
        <v>0.28117429668784027</v>
      </c>
      <c r="AN177" s="2">
        <v>0.4201411808586869</v>
      </c>
      <c r="AO177" s="2">
        <v>0.45412392369784149</v>
      </c>
      <c r="AP177" s="2">
        <v>1</v>
      </c>
      <c r="AQ177" s="2">
        <v>0.63082418157099585</v>
      </c>
      <c r="AR177" s="2">
        <v>0.4735314053385265</v>
      </c>
      <c r="AS177" s="2">
        <v>0.73599999999999999</v>
      </c>
    </row>
    <row r="178" spans="1:45">
      <c r="A178" s="13" t="s">
        <v>363</v>
      </c>
      <c r="B178" s="15" t="s">
        <v>164</v>
      </c>
      <c r="C178" s="20" t="e">
        <v>#N/A</v>
      </c>
      <c r="D178" s="21">
        <v>805</v>
      </c>
      <c r="E178" s="22">
        <v>6.69</v>
      </c>
      <c r="F178" s="23">
        <v>0.49</v>
      </c>
      <c r="G178" s="2">
        <v>0.5</v>
      </c>
      <c r="H178" s="2">
        <v>0.5</v>
      </c>
      <c r="I178" s="2">
        <v>0.31000000000000005</v>
      </c>
      <c r="J178" s="2">
        <v>0.17500000000000004</v>
      </c>
      <c r="K178" s="2">
        <v>9.9333333333333329E-2</v>
      </c>
      <c r="L178" s="2">
        <v>0.5</v>
      </c>
      <c r="M178" s="2">
        <v>0.5299166666666667</v>
      </c>
      <c r="N178" s="2">
        <v>0.73022999983839698</v>
      </c>
      <c r="O178" s="2">
        <v>1</v>
      </c>
      <c r="P178" s="2">
        <v>0.04</v>
      </c>
      <c r="Q178" s="2">
        <v>0.34979999955743551</v>
      </c>
      <c r="R178" s="2">
        <v>1</v>
      </c>
      <c r="S178" s="2">
        <v>0.44999999999999996</v>
      </c>
      <c r="T178" s="2">
        <v>0.90439999999999998</v>
      </c>
      <c r="U178" s="2">
        <v>0.37788565730527068</v>
      </c>
      <c r="V178" s="2">
        <v>0.84170616200000004</v>
      </c>
      <c r="W178" s="2">
        <v>0</v>
      </c>
      <c r="X178" s="2">
        <v>0.58719559523519838</v>
      </c>
      <c r="Y178" s="2">
        <v>0.75</v>
      </c>
      <c r="Z178" s="2">
        <v>3.4949750731594703E-2</v>
      </c>
      <c r="AA178" s="2">
        <v>0.78</v>
      </c>
      <c r="AB178" s="2">
        <v>0.5</v>
      </c>
      <c r="AC178" s="2">
        <v>8.8081583119653931E-2</v>
      </c>
      <c r="AD178" s="2">
        <v>0.5</v>
      </c>
      <c r="AE178" s="16">
        <f t="shared" si="2"/>
        <v>0.48118744782448131</v>
      </c>
      <c r="AF178" s="2">
        <v>0.46200000000000002</v>
      </c>
      <c r="AG178" s="2">
        <v>0.2</v>
      </c>
      <c r="AH178" s="2">
        <v>0.64700000000000002</v>
      </c>
      <c r="AI178" s="2">
        <v>0.54100000000000004</v>
      </c>
      <c r="AJ178" s="2">
        <v>0.2</v>
      </c>
      <c r="AK178" s="2">
        <v>0.72499999999999998</v>
      </c>
      <c r="AL178" s="2">
        <v>0.73</v>
      </c>
      <c r="AM178" s="2">
        <v>0.40431720445399605</v>
      </c>
      <c r="AN178" s="2">
        <v>0.51750519303001563</v>
      </c>
      <c r="AO178" s="2">
        <v>0.30483264736815308</v>
      </c>
      <c r="AP178" s="2" t="e">
        <v>#N/A</v>
      </c>
      <c r="AQ178" s="2" t="e">
        <v>#N/A</v>
      </c>
      <c r="AR178" s="2">
        <v>0.25298278043372358</v>
      </c>
      <c r="AS178" s="2">
        <v>0.65599999999999992</v>
      </c>
    </row>
    <row r="179" spans="1:45">
      <c r="A179" s="13" t="s">
        <v>364</v>
      </c>
      <c r="B179" s="15" t="s">
        <v>127</v>
      </c>
      <c r="C179" s="20">
        <v>44.5</v>
      </c>
      <c r="D179" s="21">
        <v>850</v>
      </c>
      <c r="E179" s="22">
        <v>6.75</v>
      </c>
      <c r="F179" s="23">
        <v>0.5</v>
      </c>
      <c r="G179" s="2">
        <v>0.97807481159420295</v>
      </c>
      <c r="H179" s="2">
        <v>1.15E-2</v>
      </c>
      <c r="I179" s="2">
        <v>0.42399999946355815</v>
      </c>
      <c r="J179" s="2">
        <v>0.30000000000000004</v>
      </c>
      <c r="K179" s="2">
        <v>0.27933333333333332</v>
      </c>
      <c r="L179" s="2">
        <v>0.88479999989271163</v>
      </c>
      <c r="M179" s="2">
        <v>0.62008333333333332</v>
      </c>
      <c r="N179" s="2">
        <v>0.57872999987192453</v>
      </c>
      <c r="O179" s="2">
        <v>0.99190582655833337</v>
      </c>
      <c r="P179" s="2">
        <v>1</v>
      </c>
      <c r="Q179" s="2">
        <v>0.18019999977201226</v>
      </c>
      <c r="R179" s="2">
        <v>0.33279999971389773</v>
      </c>
      <c r="S179" s="2">
        <v>0.20749999999999999</v>
      </c>
      <c r="T179" s="2">
        <v>0.98495999999999995</v>
      </c>
      <c r="U179" s="2">
        <v>0.49985670132130466</v>
      </c>
      <c r="V179" s="2">
        <v>0.89816124399999997</v>
      </c>
      <c r="W179" s="2">
        <v>0.17585188180208319</v>
      </c>
      <c r="X179" s="2">
        <v>0.39024534554451296</v>
      </c>
      <c r="Y179" s="2">
        <v>9.1709478619887708E-3</v>
      </c>
      <c r="Z179" s="2">
        <v>0.11909779706789</v>
      </c>
      <c r="AA179" s="2">
        <v>0.8</v>
      </c>
      <c r="AB179" s="2">
        <v>0.78</v>
      </c>
      <c r="AC179" s="2">
        <v>0.11031439602868176</v>
      </c>
      <c r="AD179" s="2">
        <v>0.80259999971836804</v>
      </c>
      <c r="AE179" s="16">
        <f t="shared" si="2"/>
        <v>0.51496606736992245</v>
      </c>
      <c r="AF179" s="2">
        <v>0.36799999999999999</v>
      </c>
      <c r="AG179" s="2">
        <v>0.3</v>
      </c>
      <c r="AH179" s="2">
        <v>0.56200000000000006</v>
      </c>
      <c r="AI179" s="2">
        <v>0.86</v>
      </c>
      <c r="AJ179" s="2">
        <v>0.25</v>
      </c>
      <c r="AK179" s="2">
        <v>0.745</v>
      </c>
      <c r="AL179" s="2">
        <v>0.628</v>
      </c>
      <c r="AM179" s="2">
        <v>0.4577518873795528</v>
      </c>
      <c r="AN179" s="2">
        <v>0.29478296996356046</v>
      </c>
      <c r="AO179" s="2">
        <v>0.28620153625930378</v>
      </c>
      <c r="AP179" s="2">
        <v>0.36353045578329329</v>
      </c>
      <c r="AQ179" s="2">
        <v>7.1095422958575183E-2</v>
      </c>
      <c r="AR179" s="2">
        <v>0.3227597282598923</v>
      </c>
      <c r="AS179" s="2">
        <v>0.433</v>
      </c>
    </row>
    <row r="180" spans="1:45">
      <c r="A180" s="13" t="s">
        <v>365</v>
      </c>
      <c r="B180" s="15" t="s">
        <v>169</v>
      </c>
      <c r="C180" s="20">
        <v>58</v>
      </c>
      <c r="D180" s="21">
        <v>4466</v>
      </c>
      <c r="E180" s="22">
        <v>8.4</v>
      </c>
      <c r="F180" s="23">
        <v>0.77</v>
      </c>
      <c r="G180" s="2">
        <v>0.14074945606694558</v>
      </c>
      <c r="H180" s="2">
        <v>0.5</v>
      </c>
      <c r="I180" s="2">
        <v>3.9999999105930328E-2</v>
      </c>
      <c r="J180" s="2">
        <v>4.9999999999999989E-2</v>
      </c>
      <c r="K180" s="2">
        <v>3.6666666666666667E-2</v>
      </c>
      <c r="L180" s="2">
        <v>7.8399999141693155E-2</v>
      </c>
      <c r="M180" s="2">
        <v>0.44466666666666665</v>
      </c>
      <c r="N180" s="2">
        <v>0.75709599983245124</v>
      </c>
      <c r="O180" s="2">
        <v>0.8876666666666666</v>
      </c>
      <c r="P180" s="2">
        <v>0.16</v>
      </c>
      <c r="Q180" s="2">
        <v>1</v>
      </c>
      <c r="R180" s="2">
        <v>0.3</v>
      </c>
      <c r="S180" s="2">
        <v>0.76749999999999996</v>
      </c>
      <c r="T180" s="2">
        <v>0.85950400000000005</v>
      </c>
      <c r="U180" s="2">
        <v>0.31997143286109064</v>
      </c>
      <c r="V180" s="2">
        <v>0.39678899000000001</v>
      </c>
      <c r="W180" s="2">
        <v>4.2243346001251361E-2</v>
      </c>
      <c r="X180" s="2">
        <v>0.5</v>
      </c>
      <c r="Y180" s="2">
        <v>0.40180280121320683</v>
      </c>
      <c r="Z180" s="2">
        <v>0.42953491524639298</v>
      </c>
      <c r="AA180" s="2">
        <v>7.7000000000000068E-2</v>
      </c>
      <c r="AB180" s="2">
        <v>0</v>
      </c>
      <c r="AC180" s="2">
        <v>0</v>
      </c>
      <c r="AD180" s="2">
        <v>0.77859999891370535</v>
      </c>
      <c r="AE180" s="16">
        <f t="shared" si="2"/>
        <v>0.37367462243261124</v>
      </c>
      <c r="AF180" s="2">
        <v>0.78200000000000003</v>
      </c>
      <c r="AG180" s="2">
        <v>0.2</v>
      </c>
      <c r="AH180" s="2">
        <v>0.82799999999999996</v>
      </c>
      <c r="AI180" s="2">
        <v>0.70799999999999996</v>
      </c>
      <c r="AJ180" s="2">
        <v>0.25</v>
      </c>
      <c r="AK180" s="2">
        <v>0.63500000000000001</v>
      </c>
      <c r="AL180" s="2">
        <v>0.56200000000000006</v>
      </c>
      <c r="AM180" s="2">
        <v>0.53978976129933487</v>
      </c>
      <c r="AN180" s="2">
        <v>0.48931439398326215</v>
      </c>
      <c r="AO180" s="2">
        <v>0.36085052000733114</v>
      </c>
      <c r="AP180" s="2">
        <v>0.56075485503248756</v>
      </c>
      <c r="AQ180" s="2">
        <v>8.0204205958745306E-2</v>
      </c>
      <c r="AR180" s="2">
        <v>0.4944489184475519</v>
      </c>
      <c r="AS180" s="2">
        <v>0.93700000000000006</v>
      </c>
    </row>
    <row r="181" spans="1:45">
      <c r="A181" s="13" t="s">
        <v>455</v>
      </c>
      <c r="B181" s="15" t="s">
        <v>189</v>
      </c>
      <c r="C181" s="20">
        <v>64.7</v>
      </c>
      <c r="D181" s="21">
        <v>25572</v>
      </c>
      <c r="E181" s="22">
        <v>10.15</v>
      </c>
      <c r="F181" s="23">
        <v>0.84</v>
      </c>
      <c r="G181" s="2">
        <v>0.71039423489069853</v>
      </c>
      <c r="H181" s="2">
        <v>7.237199973039328E-2</v>
      </c>
      <c r="I181" s="2">
        <v>9.7599999159574513E-2</v>
      </c>
      <c r="J181" s="2">
        <v>0.19999999999999996</v>
      </c>
      <c r="K181" s="2">
        <v>3.3333333333333335E-3</v>
      </c>
      <c r="L181" s="2">
        <v>0.11679999917745587</v>
      </c>
      <c r="M181" s="2">
        <v>0.71158333333333335</v>
      </c>
      <c r="N181" s="2">
        <v>0.87304399980679148</v>
      </c>
      <c r="O181" s="2">
        <v>0.37272727272727302</v>
      </c>
      <c r="P181" s="2">
        <v>0.5</v>
      </c>
      <c r="Q181" s="2">
        <v>1</v>
      </c>
      <c r="R181" s="2">
        <v>0.05</v>
      </c>
      <c r="S181" s="2">
        <v>0.3175</v>
      </c>
      <c r="T181" s="2">
        <v>0.76360000000000006</v>
      </c>
      <c r="U181" s="2">
        <v>0.36868604754060552</v>
      </c>
      <c r="V181" s="2">
        <v>0.24528301799999999</v>
      </c>
      <c r="W181" s="2">
        <v>2.3430208052814794E-3</v>
      </c>
      <c r="X181" s="2">
        <v>2.4537025218905953E-2</v>
      </c>
      <c r="Y181" s="2">
        <v>9.2918162989990172E-2</v>
      </c>
      <c r="Z181" s="2">
        <v>0.12578938824183999</v>
      </c>
      <c r="AA181" s="2">
        <v>1.0000000000000009E-2</v>
      </c>
      <c r="AB181" s="2">
        <v>0</v>
      </c>
      <c r="AC181" s="2">
        <v>0.58479532163742687</v>
      </c>
      <c r="AD181" s="2">
        <v>0.58098001049008685</v>
      </c>
      <c r="AE181" s="16">
        <f t="shared" si="2"/>
        <v>0.32601192362845793</v>
      </c>
      <c r="AF181" s="2">
        <v>0.59</v>
      </c>
      <c r="AG181" s="2">
        <v>0.7</v>
      </c>
      <c r="AH181" s="2">
        <v>0.80799999999999994</v>
      </c>
      <c r="AI181" s="2">
        <v>0.72299999999999998</v>
      </c>
      <c r="AJ181" s="2">
        <v>0.6</v>
      </c>
      <c r="AK181" s="2">
        <v>0.69299999999999995</v>
      </c>
      <c r="AL181" s="2">
        <v>0.81700000000000006</v>
      </c>
      <c r="AM181" s="2">
        <v>0.50426371228540312</v>
      </c>
      <c r="AN181" s="2">
        <v>0.59868000976297298</v>
      </c>
      <c r="AO181" s="2">
        <v>0.48169891509958457</v>
      </c>
      <c r="AP181" s="2">
        <v>1</v>
      </c>
      <c r="AQ181" s="2">
        <v>0.14879712894097022</v>
      </c>
      <c r="AR181" s="2">
        <v>0.46275569489901452</v>
      </c>
      <c r="AS181" s="2">
        <v>0.78</v>
      </c>
    </row>
    <row r="182" spans="1:45">
      <c r="A182" s="13" t="s">
        <v>367</v>
      </c>
      <c r="B182" s="15" t="s">
        <v>65</v>
      </c>
      <c r="C182" s="20">
        <v>63.8</v>
      </c>
      <c r="D182" s="21">
        <v>8273</v>
      </c>
      <c r="E182" s="22">
        <v>9.02</v>
      </c>
      <c r="F182" s="23">
        <v>0.77</v>
      </c>
      <c r="G182" s="2">
        <v>0.74961259484066767</v>
      </c>
      <c r="H182" s="2">
        <v>0.74087999724000697</v>
      </c>
      <c r="I182" s="2">
        <v>9.7599999159574513E-2</v>
      </c>
      <c r="J182" s="2">
        <v>0.47499999999999998</v>
      </c>
      <c r="K182" s="2">
        <v>4.2666666666666665E-2</v>
      </c>
      <c r="L182" s="2">
        <v>0.18399999924004073</v>
      </c>
      <c r="M182" s="2">
        <v>0.66583333333333339</v>
      </c>
      <c r="N182" s="2">
        <v>0.33430999992601573</v>
      </c>
      <c r="O182" s="2">
        <v>0.90635577136285883</v>
      </c>
      <c r="P182" s="2">
        <v>0.28000000000000003</v>
      </c>
      <c r="Q182" s="2">
        <v>0.75259999904781572</v>
      </c>
      <c r="R182" s="2">
        <v>2.1599999964237216E-2</v>
      </c>
      <c r="S182" s="2">
        <v>7.4999999999999997E-2</v>
      </c>
      <c r="T182" s="2">
        <v>0.77359999999999995</v>
      </c>
      <c r="U182" s="2">
        <v>0.27339316940307701</v>
      </c>
      <c r="V182" s="2">
        <v>0.42204724399999999</v>
      </c>
      <c r="W182" s="2">
        <v>1.2139076998513569E-2</v>
      </c>
      <c r="X182" s="2">
        <v>3.0218688994021525E-2</v>
      </c>
      <c r="Y182" s="2">
        <v>3.3031196831601516E-2</v>
      </c>
      <c r="Z182" s="2">
        <v>0.147664530976194</v>
      </c>
      <c r="AA182" s="2">
        <v>5.0000000000000044E-3</v>
      </c>
      <c r="AB182" s="2">
        <v>0.18</v>
      </c>
      <c r="AC182" s="2">
        <v>1.9309989701338827E-2</v>
      </c>
      <c r="AD182" s="2">
        <v>0.27827199932783842</v>
      </c>
      <c r="AE182" s="16">
        <f t="shared" si="2"/>
        <v>0.31250559404224182</v>
      </c>
      <c r="AF182" s="2">
        <v>0.80200000000000005</v>
      </c>
      <c r="AG182" s="2">
        <v>0.3</v>
      </c>
      <c r="AH182" s="2">
        <v>0.74400000000000011</v>
      </c>
      <c r="AI182" s="2">
        <v>0.78500000000000003</v>
      </c>
      <c r="AJ182" s="2">
        <v>0.35</v>
      </c>
      <c r="AK182" s="2">
        <v>0.76500000000000001</v>
      </c>
      <c r="AL182" s="2">
        <v>0.53500000000000003</v>
      </c>
      <c r="AM182" s="2">
        <v>0.54503549918383265</v>
      </c>
      <c r="AN182" s="2">
        <v>0.24879720437488304</v>
      </c>
      <c r="AO182" s="2">
        <v>0.503441566985949</v>
      </c>
      <c r="AP182" s="2">
        <v>1</v>
      </c>
      <c r="AQ182" s="2">
        <v>0.46216992043042932</v>
      </c>
      <c r="AR182" s="2">
        <v>0.54328006184778832</v>
      </c>
      <c r="AS182" s="2">
        <v>0.67400000000000004</v>
      </c>
    </row>
    <row r="183" spans="1:45">
      <c r="A183" s="13" t="s">
        <v>368</v>
      </c>
      <c r="B183" s="15" t="s">
        <v>57</v>
      </c>
      <c r="C183" s="20">
        <v>66.900000000000006</v>
      </c>
      <c r="D183" s="21">
        <v>13668</v>
      </c>
      <c r="E183" s="22">
        <v>9.52</v>
      </c>
      <c r="F183" s="23">
        <v>0.81</v>
      </c>
      <c r="G183" s="2">
        <v>1</v>
      </c>
      <c r="H183" s="2">
        <v>0.20646999958045778</v>
      </c>
      <c r="I183" s="2">
        <v>4.9599999114871007E-2</v>
      </c>
      <c r="J183" s="2">
        <v>0.55000000000000004</v>
      </c>
      <c r="K183" s="2">
        <v>5.6666666666666664E-2</v>
      </c>
      <c r="L183" s="2">
        <v>0.13599999919533734</v>
      </c>
      <c r="M183" s="2">
        <v>0.39133333333333337</v>
      </c>
      <c r="N183" s="2">
        <v>0.31168599993102253</v>
      </c>
      <c r="O183" s="2">
        <v>0.71883087731082163</v>
      </c>
      <c r="P183" s="2">
        <v>0.38</v>
      </c>
      <c r="Q183" s="2">
        <v>0.1165999998524785</v>
      </c>
      <c r="R183" s="2">
        <v>3.1199999973177912E-2</v>
      </c>
      <c r="S183" s="2">
        <v>7.4999999999999997E-2</v>
      </c>
      <c r="T183" s="2">
        <v>0.80832000000000004</v>
      </c>
      <c r="U183" s="2">
        <v>0.31968249627545586</v>
      </c>
      <c r="V183" s="2">
        <v>0.15727003000000001</v>
      </c>
      <c r="W183" s="2">
        <v>0</v>
      </c>
      <c r="X183" s="2">
        <v>1.3843284768099172E-2</v>
      </c>
      <c r="Y183" s="2">
        <v>1.1706164787661334E-2</v>
      </c>
      <c r="Z183" s="2">
        <v>3.6734833849850199E-2</v>
      </c>
      <c r="AA183" s="2">
        <v>0</v>
      </c>
      <c r="AB183" s="2">
        <v>0.75</v>
      </c>
      <c r="AC183" s="2">
        <v>2.5336850174759298E-2</v>
      </c>
      <c r="AD183" s="2">
        <v>0.73479999832808973</v>
      </c>
      <c r="AE183" s="16">
        <f t="shared" si="2"/>
        <v>0.28671168888092008</v>
      </c>
      <c r="AF183" s="2">
        <v>0.68900000000000006</v>
      </c>
      <c r="AG183" s="2">
        <v>0.5</v>
      </c>
      <c r="AH183" s="2">
        <v>0.78099999999999992</v>
      </c>
      <c r="AI183" s="2">
        <v>0.82900000000000007</v>
      </c>
      <c r="AJ183" s="2">
        <v>0.65</v>
      </c>
      <c r="AK183" s="2">
        <v>0.7</v>
      </c>
      <c r="AL183" s="2">
        <v>0.8640000000000001</v>
      </c>
      <c r="AM183" s="2">
        <v>0.32528327762879378</v>
      </c>
      <c r="AN183" s="2">
        <v>0.4765269404461499</v>
      </c>
      <c r="AO183" s="2">
        <v>0.51843034774881702</v>
      </c>
      <c r="AP183" s="2">
        <v>0.92303493045559515</v>
      </c>
      <c r="AQ183" s="2">
        <v>0.52615734906145073</v>
      </c>
      <c r="AR183" s="2">
        <v>0.52413032304716256</v>
      </c>
      <c r="AS183" s="2">
        <v>0.41100000000000003</v>
      </c>
    </row>
    <row r="184" spans="1:45">
      <c r="A184" s="13" t="s">
        <v>369</v>
      </c>
      <c r="B184" s="15" t="s">
        <v>114</v>
      </c>
      <c r="C184" s="20" t="e">
        <v>#N/A</v>
      </c>
      <c r="D184" s="21">
        <v>7242</v>
      </c>
      <c r="E184" s="22">
        <v>8.89</v>
      </c>
      <c r="F184" s="23">
        <v>0.74</v>
      </c>
      <c r="G184" s="2">
        <v>0.336379268292683</v>
      </c>
      <c r="H184" s="2">
        <v>1</v>
      </c>
      <c r="I184" s="2">
        <v>0.17000000000000004</v>
      </c>
      <c r="J184" s="2">
        <v>0.625</v>
      </c>
      <c r="K184" s="2">
        <v>0.29933333333333334</v>
      </c>
      <c r="L184" s="2">
        <v>5.9199999123811686E-2</v>
      </c>
      <c r="M184" s="2">
        <v>0.2485</v>
      </c>
      <c r="N184" s="2">
        <v>0.5144939998861402</v>
      </c>
      <c r="O184" s="2">
        <v>1</v>
      </c>
      <c r="P184" s="2">
        <v>0.12</v>
      </c>
      <c r="Q184" s="2">
        <v>6.3599999919533731E-2</v>
      </c>
      <c r="R184" s="2">
        <v>0.17599999964237215</v>
      </c>
      <c r="S184" s="2">
        <v>7.4999999999999997E-2</v>
      </c>
      <c r="T184" s="2">
        <v>0.62416000000000005</v>
      </c>
      <c r="U184" s="2">
        <v>0.45543258420676036</v>
      </c>
      <c r="V184" s="2">
        <v>0.26433120999999998</v>
      </c>
      <c r="W184" s="2">
        <v>6.2991353251059734E-3</v>
      </c>
      <c r="X184" s="2">
        <v>5.2029655035271023E-2</v>
      </c>
      <c r="Y184" s="2">
        <v>0</v>
      </c>
      <c r="Z184" s="2">
        <v>0</v>
      </c>
      <c r="AA184" s="2">
        <v>0</v>
      </c>
      <c r="AB184" s="2">
        <v>0</v>
      </c>
      <c r="AC184" s="2">
        <v>3.1919647607090416E-3</v>
      </c>
      <c r="AD184" s="2">
        <v>0.33416002174306958</v>
      </c>
      <c r="AE184" s="16">
        <f t="shared" si="2"/>
        <v>0.26779629880286626</v>
      </c>
      <c r="AF184" s="2">
        <v>0.3</v>
      </c>
      <c r="AG184" s="2">
        <v>0.1</v>
      </c>
      <c r="AH184" s="2">
        <v>0.90200000000000002</v>
      </c>
      <c r="AI184" s="2">
        <v>0.94700000000000006</v>
      </c>
      <c r="AJ184" s="2">
        <v>9.9000000022351736E-2</v>
      </c>
      <c r="AK184" s="2">
        <v>0.628</v>
      </c>
      <c r="AL184" s="2">
        <v>0.79200000000000004</v>
      </c>
      <c r="AM184" s="2">
        <v>0.53586897401464328</v>
      </c>
      <c r="AN184" s="2">
        <v>9.2466610388722087E-2</v>
      </c>
      <c r="AO184" s="2">
        <v>0.21652667116872007</v>
      </c>
      <c r="AP184" s="2">
        <v>0.32290380155086351</v>
      </c>
      <c r="AQ184" s="2" t="e">
        <v>#N/A</v>
      </c>
      <c r="AR184" s="2">
        <v>0.22826261755568461</v>
      </c>
      <c r="AS184" s="2">
        <v>0.3</v>
      </c>
    </row>
    <row r="185" spans="1:45">
      <c r="A185" s="13" t="s">
        <v>370</v>
      </c>
      <c r="B185" s="15" t="s">
        <v>113</v>
      </c>
      <c r="C185" s="20" t="e">
        <v>#N/A</v>
      </c>
      <c r="D185" s="21">
        <v>1600</v>
      </c>
      <c r="E185" s="22">
        <v>7.38</v>
      </c>
      <c r="F185" s="23" t="s">
        <v>460</v>
      </c>
      <c r="G185" s="2">
        <v>0.67020999717593899</v>
      </c>
      <c r="H185" s="2">
        <v>1</v>
      </c>
      <c r="I185" s="2">
        <v>6.8799999132752365E-2</v>
      </c>
      <c r="J185" s="2">
        <v>7.5000000000000011E-2</v>
      </c>
      <c r="K185" s="2">
        <v>9.8666666666666666E-2</v>
      </c>
      <c r="L185" s="2">
        <v>0.19359999924898152</v>
      </c>
      <c r="M185" s="2">
        <v>0.44466666666666665</v>
      </c>
      <c r="N185" s="2">
        <v>0.50560599988810717</v>
      </c>
      <c r="O185" s="2">
        <v>1</v>
      </c>
      <c r="P185" s="2">
        <v>0.42</v>
      </c>
      <c r="Q185" s="2">
        <v>1</v>
      </c>
      <c r="R185" s="2">
        <v>0.3</v>
      </c>
      <c r="S185" s="2">
        <v>0.76749999999999996</v>
      </c>
      <c r="T185" s="2">
        <v>0.71631999999999996</v>
      </c>
      <c r="U185" s="2">
        <v>0.45543258420676036</v>
      </c>
      <c r="V185" s="2">
        <v>0.398203592</v>
      </c>
      <c r="W185" s="2">
        <v>0.16149051485326144</v>
      </c>
      <c r="X185" s="2">
        <v>5.2029655035271023E-2</v>
      </c>
      <c r="Y185" s="2">
        <v>0.75</v>
      </c>
      <c r="Z185" s="2">
        <v>0.99495920975555097</v>
      </c>
      <c r="AA185" s="2">
        <v>2.0000000000000018E-2</v>
      </c>
      <c r="AB185" s="2">
        <v>0</v>
      </c>
      <c r="AC185" s="2">
        <v>3.1919647607090416E-3</v>
      </c>
      <c r="AD185" s="2">
        <v>0.5</v>
      </c>
      <c r="AE185" s="16">
        <f t="shared" si="2"/>
        <v>0.44148653539127775</v>
      </c>
      <c r="AF185" s="2" t="e">
        <v>#N/A</v>
      </c>
      <c r="AG185" s="2" t="e">
        <v>#N/A</v>
      </c>
      <c r="AH185" s="2" t="e">
        <v>#N/A</v>
      </c>
      <c r="AI185" s="2" t="e">
        <v>#N/A</v>
      </c>
      <c r="AJ185" s="2" t="e">
        <v>#N/A</v>
      </c>
      <c r="AK185" s="2" t="e">
        <v>#N/A</v>
      </c>
      <c r="AL185" s="2" t="e">
        <v>#N/A</v>
      </c>
      <c r="AM185" s="2">
        <v>0.78707871663121698</v>
      </c>
      <c r="AN185" s="2">
        <v>0.66012875213592914</v>
      </c>
      <c r="AO185" s="2">
        <v>0.46525289759652855</v>
      </c>
      <c r="AP185" s="2">
        <v>0.13834349625940442</v>
      </c>
      <c r="AQ185" s="2" t="e">
        <v>#N/A</v>
      </c>
      <c r="AR185" s="2">
        <v>0.7022949095597637</v>
      </c>
      <c r="AS185" s="2" t="e">
        <v>#N/A</v>
      </c>
    </row>
    <row r="186" spans="1:45">
      <c r="A186" s="13" t="s">
        <v>371</v>
      </c>
      <c r="B186" s="15" t="s">
        <v>188</v>
      </c>
      <c r="C186" s="20">
        <v>49.1</v>
      </c>
      <c r="D186" s="21">
        <v>1217</v>
      </c>
      <c r="E186" s="22">
        <v>7.1</v>
      </c>
      <c r="F186" s="23">
        <v>0.51</v>
      </c>
      <c r="G186" s="2">
        <v>0.86128743789921924</v>
      </c>
      <c r="H186" s="2">
        <v>4.9940000000000002E-3</v>
      </c>
      <c r="I186" s="2">
        <v>0.35679999940097329</v>
      </c>
      <c r="J186" s="2">
        <v>0.27500000000000002</v>
      </c>
      <c r="K186" s="2">
        <v>0.28466666666666668</v>
      </c>
      <c r="L186" s="2">
        <v>0.53919999957084652</v>
      </c>
      <c r="M186" s="2">
        <v>0.39958333333333335</v>
      </c>
      <c r="N186" s="2">
        <v>0.87728599980585276</v>
      </c>
      <c r="O186" s="2">
        <v>0.99440235988199999</v>
      </c>
      <c r="P186" s="2">
        <v>0.24</v>
      </c>
      <c r="Q186" s="2">
        <v>0.20139999974519016</v>
      </c>
      <c r="R186" s="2">
        <v>0.49679999917745582</v>
      </c>
      <c r="S186" s="2">
        <v>0.40749999999999997</v>
      </c>
      <c r="T186" s="2">
        <v>0.93823999999999996</v>
      </c>
      <c r="U186" s="2">
        <v>0.68879781369239246</v>
      </c>
      <c r="V186" s="2">
        <v>0.86307938200000001</v>
      </c>
      <c r="W186" s="2">
        <v>0.21107024172728919</v>
      </c>
      <c r="X186" s="2">
        <v>0.7357523697074867</v>
      </c>
      <c r="Y186" s="2">
        <v>0</v>
      </c>
      <c r="Z186" s="2">
        <v>0</v>
      </c>
      <c r="AA186" s="2">
        <v>0.91</v>
      </c>
      <c r="AB186" s="2">
        <v>1</v>
      </c>
      <c r="AC186" s="2">
        <v>6.8493150684931503E-2</v>
      </c>
      <c r="AD186" s="2">
        <v>0.77</v>
      </c>
      <c r="AE186" s="16">
        <f t="shared" si="2"/>
        <v>0.50518136472056829</v>
      </c>
      <c r="AF186" s="2">
        <v>0.56999999999999995</v>
      </c>
      <c r="AG186" s="2">
        <v>0.6</v>
      </c>
      <c r="AH186" s="2">
        <v>0.80500000000000005</v>
      </c>
      <c r="AI186" s="2">
        <v>0.85499999999999998</v>
      </c>
      <c r="AJ186" s="2">
        <v>0.45</v>
      </c>
      <c r="AK186" s="2">
        <v>0.78099999999999992</v>
      </c>
      <c r="AL186" s="2">
        <v>0.72099999999999997</v>
      </c>
      <c r="AM186" s="2">
        <v>0.28998112225394962</v>
      </c>
      <c r="AN186" s="2">
        <v>0.40369123284423847</v>
      </c>
      <c r="AO186" s="2">
        <v>0.32752613539968645</v>
      </c>
      <c r="AP186" s="2">
        <v>0.3155655763889727</v>
      </c>
      <c r="AQ186" s="2">
        <v>5.7924900013077998E-2</v>
      </c>
      <c r="AR186" s="2">
        <v>0.41440399063351591</v>
      </c>
      <c r="AS186" s="2">
        <v>0.88099999999999989</v>
      </c>
    </row>
    <row r="187" spans="1:45">
      <c r="A187" s="13" t="s">
        <v>372</v>
      </c>
      <c r="B187" s="15" t="s">
        <v>60</v>
      </c>
      <c r="C187" s="20">
        <v>64.900000000000006</v>
      </c>
      <c r="D187" s="21">
        <v>6318</v>
      </c>
      <c r="E187" s="22">
        <v>8.75</v>
      </c>
      <c r="F187" s="23">
        <v>0.8</v>
      </c>
      <c r="G187" s="2">
        <v>0.12170258620689652</v>
      </c>
      <c r="H187" s="2">
        <v>0.27560000000000001</v>
      </c>
      <c r="I187" s="2">
        <v>5.9199999123811686E-2</v>
      </c>
      <c r="J187" s="2">
        <v>0.72500000000000009</v>
      </c>
      <c r="K187" s="2">
        <v>2E-3</v>
      </c>
      <c r="L187" s="2">
        <v>8.7999999150633834E-2</v>
      </c>
      <c r="M187" s="2">
        <v>0.23874999999999999</v>
      </c>
      <c r="N187" s="2">
        <v>0.32279599992856384</v>
      </c>
      <c r="O187" s="2">
        <v>0.89273005271482098</v>
      </c>
      <c r="P187" s="2">
        <v>1</v>
      </c>
      <c r="Q187" s="2">
        <v>3.1799999959766866E-2</v>
      </c>
      <c r="R187" s="2">
        <v>2.3199999928474428E-2</v>
      </c>
      <c r="S187" s="2">
        <v>0.87499999999999989</v>
      </c>
      <c r="T187" s="2">
        <v>0.411968</v>
      </c>
      <c r="U187" s="2">
        <v>0.38957190121859386</v>
      </c>
      <c r="V187" s="2">
        <v>0.18270165199999999</v>
      </c>
      <c r="W187" s="2">
        <v>5.2594506072360606E-3</v>
      </c>
      <c r="X187" s="2">
        <v>8.8071645924286367E-3</v>
      </c>
      <c r="Y187" s="2">
        <v>2.0583973291919251E-2</v>
      </c>
      <c r="Z187" s="2">
        <v>2.6547972431963201E-2</v>
      </c>
      <c r="AA187" s="2">
        <v>0</v>
      </c>
      <c r="AB187" s="2">
        <v>0.44</v>
      </c>
      <c r="AC187" s="2">
        <v>1.5535187199005747E-2</v>
      </c>
      <c r="AD187" s="2">
        <v>6.1023999125510486E-2</v>
      </c>
      <c r="AE187" s="16">
        <f t="shared" si="2"/>
        <v>0.25907408072831772</v>
      </c>
      <c r="AF187" s="2">
        <v>0.38700000000000001</v>
      </c>
      <c r="AG187" s="2">
        <v>0.3</v>
      </c>
      <c r="AH187" s="2">
        <v>0.77900000000000003</v>
      </c>
      <c r="AI187" s="2">
        <v>0.41100000000000003</v>
      </c>
      <c r="AJ187" s="2">
        <v>0.2</v>
      </c>
      <c r="AK187" s="2">
        <v>0.61199999999999999</v>
      </c>
      <c r="AL187" s="2">
        <v>0.82599999999999996</v>
      </c>
      <c r="AM187" s="2">
        <v>0.44651697973539023</v>
      </c>
      <c r="AN187" s="2">
        <v>0.4875299229882864</v>
      </c>
      <c r="AO187" s="2">
        <v>0.32132198350566982</v>
      </c>
      <c r="AP187" s="2">
        <v>1</v>
      </c>
      <c r="AQ187" s="2">
        <v>1</v>
      </c>
      <c r="AR187" s="2">
        <v>0.35483017012996376</v>
      </c>
      <c r="AS187" s="2">
        <v>0.57700000000000007</v>
      </c>
    </row>
    <row r="188" spans="1:45">
      <c r="A188" s="13" t="s">
        <v>373</v>
      </c>
      <c r="B188" s="15" t="s">
        <v>33</v>
      </c>
      <c r="C188" s="20">
        <v>68.599999999999994</v>
      </c>
      <c r="D188" s="21">
        <v>57744</v>
      </c>
      <c r="E188" s="22">
        <v>10.96</v>
      </c>
      <c r="F188" s="23">
        <v>0.9</v>
      </c>
      <c r="G188" s="2">
        <v>0.67665259900990105</v>
      </c>
      <c r="H188" s="2">
        <v>1</v>
      </c>
      <c r="I188" s="2">
        <v>3.9999999105930328E-2</v>
      </c>
      <c r="J188" s="2">
        <v>0.5</v>
      </c>
      <c r="K188" s="2">
        <v>6.6666666666666671E-3</v>
      </c>
      <c r="L188" s="2">
        <v>6.8799999132752365E-2</v>
      </c>
      <c r="M188" s="2">
        <v>0.54108333333333336</v>
      </c>
      <c r="N188" s="2">
        <v>0.22280599995069203</v>
      </c>
      <c r="O188" s="2">
        <v>0.5</v>
      </c>
      <c r="P188" s="2">
        <v>0.36</v>
      </c>
      <c r="Q188" s="2">
        <v>1</v>
      </c>
      <c r="R188" s="2">
        <v>0.32</v>
      </c>
      <c r="S188" s="2">
        <v>7.4999999999999997E-2</v>
      </c>
      <c r="T188" s="2">
        <v>0.68200000000000005</v>
      </c>
      <c r="U188" s="2">
        <v>0.20723699373170745</v>
      </c>
      <c r="V188" s="2">
        <v>0.28239845200000002</v>
      </c>
      <c r="W188" s="2">
        <v>0</v>
      </c>
      <c r="X188" s="2">
        <v>6.2225482746505849E-3</v>
      </c>
      <c r="Y188" s="2">
        <v>6.0429217412360542E-2</v>
      </c>
      <c r="Z188" s="2">
        <v>0.21641434477615101</v>
      </c>
      <c r="AA188" s="2">
        <v>0</v>
      </c>
      <c r="AB188" s="2">
        <v>0</v>
      </c>
      <c r="AC188" s="2">
        <v>0</v>
      </c>
      <c r="AD188" s="2">
        <v>0.19999999552965164</v>
      </c>
      <c r="AE188" s="16">
        <f t="shared" si="2"/>
        <v>0.29023792287182493</v>
      </c>
      <c r="AF188" s="2">
        <v>0.67400000000000004</v>
      </c>
      <c r="AG188" s="2">
        <v>0.5</v>
      </c>
      <c r="AH188" s="2">
        <v>0.99900000000000011</v>
      </c>
      <c r="AI188" s="2">
        <v>0.80900000000000005</v>
      </c>
      <c r="AJ188" s="2">
        <v>0.35</v>
      </c>
      <c r="AK188" s="2">
        <v>0.68799999999999994</v>
      </c>
      <c r="AL188" s="2">
        <v>0.82799999999999996</v>
      </c>
      <c r="AM188" s="2">
        <v>0.67966484047546849</v>
      </c>
      <c r="AN188" s="2">
        <v>0.32745398763697581</v>
      </c>
      <c r="AO188" s="2">
        <v>0.70537062238963733</v>
      </c>
      <c r="AP188" s="2">
        <v>1</v>
      </c>
      <c r="AQ188" s="2">
        <v>0.42998641723993741</v>
      </c>
      <c r="AR188" s="2">
        <v>0.60394930621325371</v>
      </c>
      <c r="AS188" s="2">
        <v>0.79299999999999993</v>
      </c>
    </row>
    <row r="189" spans="1:45">
      <c r="A189" s="13" t="s">
        <v>374</v>
      </c>
      <c r="B189" s="15" t="s">
        <v>14</v>
      </c>
      <c r="C189" s="20">
        <v>80</v>
      </c>
      <c r="D189" s="21">
        <v>35155</v>
      </c>
      <c r="E189" s="22">
        <v>10.47</v>
      </c>
      <c r="F189" s="23">
        <v>0.95</v>
      </c>
      <c r="G189" s="2">
        <v>0.30024881808838644</v>
      </c>
      <c r="H189" s="2">
        <v>9.6975999802947049E-2</v>
      </c>
      <c r="I189" s="2">
        <v>3.9999999105930328E-2</v>
      </c>
      <c r="J189" s="2">
        <v>0.30000000000000004</v>
      </c>
      <c r="K189" s="2">
        <v>0</v>
      </c>
      <c r="L189" s="2">
        <v>3.9999999105930328E-2</v>
      </c>
      <c r="M189" s="2">
        <v>0.22075000000000003</v>
      </c>
      <c r="N189" s="2">
        <v>0.10079799997769295</v>
      </c>
      <c r="O189" s="2">
        <v>0.65306688870383334</v>
      </c>
      <c r="P189" s="2">
        <v>1</v>
      </c>
      <c r="Q189" s="2">
        <v>0.24379999969154598</v>
      </c>
      <c r="R189" s="2">
        <v>0</v>
      </c>
      <c r="S189" s="2">
        <v>6.7499999999999991E-2</v>
      </c>
      <c r="T189" s="2">
        <v>0.36887999999999999</v>
      </c>
      <c r="U189" s="2">
        <v>0.16585537418097318</v>
      </c>
      <c r="V189" s="2">
        <v>0.15584415600000001</v>
      </c>
      <c r="W189" s="2">
        <v>0</v>
      </c>
      <c r="X189" s="2">
        <v>5.5428032352349502E-3</v>
      </c>
      <c r="Y189" s="2">
        <v>9.0033750858380224E-2</v>
      </c>
      <c r="Z189" s="2">
        <v>0.117410344315455</v>
      </c>
      <c r="AA189" s="2">
        <v>0</v>
      </c>
      <c r="AB189" s="2">
        <v>0.2</v>
      </c>
      <c r="AC189" s="2">
        <v>8.6801967511263581E-2</v>
      </c>
      <c r="AD189" s="2">
        <v>3.9999999105930328E-2</v>
      </c>
      <c r="AE189" s="16">
        <f t="shared" si="2"/>
        <v>0.178896170820146</v>
      </c>
      <c r="AF189" s="2">
        <v>0.94900000000000007</v>
      </c>
      <c r="AG189" s="2">
        <v>0.8</v>
      </c>
      <c r="AH189" s="2">
        <v>0.61799999999999999</v>
      </c>
      <c r="AI189" s="2">
        <v>0.41899999999999998</v>
      </c>
      <c r="AJ189" s="2">
        <v>0.9</v>
      </c>
      <c r="AK189" s="2">
        <v>0.73699999999999999</v>
      </c>
      <c r="AL189" s="2">
        <v>0.875</v>
      </c>
      <c r="AM189" s="2">
        <v>0.56016589819177176</v>
      </c>
      <c r="AN189" s="2">
        <v>0.75849673413325946</v>
      </c>
      <c r="AO189" s="2">
        <v>0.80571505809158217</v>
      </c>
      <c r="AP189" s="2">
        <v>1</v>
      </c>
      <c r="AQ189" s="2">
        <v>0.78740832073333122</v>
      </c>
      <c r="AR189" s="2">
        <v>0.83776308463533788</v>
      </c>
      <c r="AS189" s="2">
        <v>0.72799999999999998</v>
      </c>
    </row>
    <row r="190" spans="1:45">
      <c r="A190" s="13" t="s">
        <v>375</v>
      </c>
      <c r="B190" s="15" t="s">
        <v>6</v>
      </c>
      <c r="C190" s="20">
        <v>80</v>
      </c>
      <c r="D190" s="21">
        <v>45989</v>
      </c>
      <c r="E190" s="22">
        <v>10.74</v>
      </c>
      <c r="F190" s="23">
        <v>0.96</v>
      </c>
      <c r="G190" s="2">
        <v>0.44886118421052623</v>
      </c>
      <c r="H190" s="2">
        <v>0.17126999965198336</v>
      </c>
      <c r="I190" s="2">
        <v>4.9599999114871007E-2</v>
      </c>
      <c r="J190" s="2">
        <v>0.64999999999999991</v>
      </c>
      <c r="K190" s="2">
        <v>0</v>
      </c>
      <c r="L190" s="2">
        <v>3.9999999105930328E-2</v>
      </c>
      <c r="M190" s="2">
        <v>0.22908333333333336</v>
      </c>
      <c r="N190" s="2">
        <v>0.18179999995976687</v>
      </c>
      <c r="O190" s="2">
        <v>0.82819745845549997</v>
      </c>
      <c r="P190" s="2">
        <v>0.08</v>
      </c>
      <c r="Q190" s="2">
        <v>3.1799999959766866E-2</v>
      </c>
      <c r="R190" s="2">
        <v>0</v>
      </c>
      <c r="S190" s="2">
        <v>0.92499999999999993</v>
      </c>
      <c r="T190" s="2">
        <v>0.3934399999999999</v>
      </c>
      <c r="U190" s="2">
        <v>0.193970730305561</v>
      </c>
      <c r="V190" s="2">
        <v>0.134653466</v>
      </c>
      <c r="W190" s="2">
        <v>0</v>
      </c>
      <c r="X190" s="2">
        <v>1.2337274809393861E-2</v>
      </c>
      <c r="Y190" s="2">
        <v>2.5695687870945429E-2</v>
      </c>
      <c r="Z190" s="2">
        <v>8.0748953173138599E-2</v>
      </c>
      <c r="AA190" s="2">
        <v>0</v>
      </c>
      <c r="AB190" s="2">
        <v>0.27</v>
      </c>
      <c r="AC190" s="2">
        <v>8.1860570710069504E-3</v>
      </c>
      <c r="AD190" s="2">
        <v>0.35324799939766516</v>
      </c>
      <c r="AE190" s="16">
        <f t="shared" si="2"/>
        <v>0.21282883926747451</v>
      </c>
      <c r="AF190" s="2">
        <v>0.91299999999999992</v>
      </c>
      <c r="AG190" s="2">
        <v>0.7</v>
      </c>
      <c r="AH190" s="2">
        <v>0.67500000000000004</v>
      </c>
      <c r="AI190" s="2">
        <v>0.57999999999999996</v>
      </c>
      <c r="AJ190" s="2">
        <v>0.75</v>
      </c>
      <c r="AK190" s="2">
        <v>0.78099999999999992</v>
      </c>
      <c r="AL190" s="2">
        <v>0.86900000000000011</v>
      </c>
      <c r="AM190" s="2">
        <v>0.58115889124083031</v>
      </c>
      <c r="AN190" s="2">
        <v>0.72076941128638194</v>
      </c>
      <c r="AO190" s="2">
        <v>0.73397769055691986</v>
      </c>
      <c r="AP190" s="2">
        <v>1</v>
      </c>
      <c r="AQ190" s="2">
        <v>1</v>
      </c>
      <c r="AR190" s="2">
        <v>0.80195970775483505</v>
      </c>
      <c r="AS190" s="2">
        <v>0.94799999999999995</v>
      </c>
    </row>
    <row r="191" spans="1:45">
      <c r="A191" s="13" t="s">
        <v>376</v>
      </c>
      <c r="B191" s="15" t="s">
        <v>10</v>
      </c>
      <c r="C191" s="20">
        <v>77.3</v>
      </c>
      <c r="D191" s="21">
        <v>13189</v>
      </c>
      <c r="E191" s="22">
        <v>9.49</v>
      </c>
      <c r="F191" s="23">
        <v>0.87</v>
      </c>
      <c r="G191" s="2">
        <v>0.45199570312499998</v>
      </c>
      <c r="H191" s="2">
        <v>2.6329999999999999E-2</v>
      </c>
      <c r="I191" s="2">
        <v>3.9999999105930328E-2</v>
      </c>
      <c r="J191" s="2">
        <v>0.17500000000000004</v>
      </c>
      <c r="K191" s="2">
        <v>2E-3</v>
      </c>
      <c r="L191" s="2">
        <v>3.9999999105930328E-2</v>
      </c>
      <c r="M191" s="2">
        <v>0.505</v>
      </c>
      <c r="N191" s="2">
        <v>7.6759999983012583E-2</v>
      </c>
      <c r="O191" s="2">
        <v>0.79067882240715692</v>
      </c>
      <c r="P191" s="2">
        <v>0.12</v>
      </c>
      <c r="Q191" s="2">
        <v>0.12719999983906746</v>
      </c>
      <c r="R191" s="2">
        <v>9.2799999713897713E-2</v>
      </c>
      <c r="S191" s="2">
        <v>0.3175</v>
      </c>
      <c r="T191" s="2">
        <v>0.47911999999999999</v>
      </c>
      <c r="U191" s="2">
        <v>0.24116994986087203</v>
      </c>
      <c r="V191" s="2">
        <v>0.175159236</v>
      </c>
      <c r="W191" s="2">
        <v>3.6238920181980177E-4</v>
      </c>
      <c r="X191" s="2">
        <v>1.5200780646932158E-2</v>
      </c>
      <c r="Y191" s="2">
        <v>3.7999023968467029E-2</v>
      </c>
      <c r="Z191" s="2">
        <v>0.10576699467832</v>
      </c>
      <c r="AA191" s="2">
        <v>5.0000000000000044E-3</v>
      </c>
      <c r="AB191" s="2">
        <v>0.84</v>
      </c>
      <c r="AC191" s="2">
        <v>4.2852245457661982E-2</v>
      </c>
      <c r="AD191" s="2">
        <v>0.5</v>
      </c>
      <c r="AE191" s="16">
        <f t="shared" si="2"/>
        <v>0.21699563096225283</v>
      </c>
      <c r="AF191" s="2">
        <v>0.63100000000000001</v>
      </c>
      <c r="AG191" s="2">
        <v>0.3</v>
      </c>
      <c r="AH191" s="2">
        <v>0.81700000000000006</v>
      </c>
      <c r="AI191" s="2">
        <v>0.72599999999999998</v>
      </c>
      <c r="AJ191" s="2">
        <v>0.75</v>
      </c>
      <c r="AK191" s="2">
        <v>0.72299999999999998</v>
      </c>
      <c r="AL191" s="2">
        <v>0.82799999999999996</v>
      </c>
      <c r="AM191" s="2">
        <v>0.67486130431561031</v>
      </c>
      <c r="AN191" s="2">
        <v>0.71741357176995135</v>
      </c>
      <c r="AO191" s="2">
        <v>0.74159205475722101</v>
      </c>
      <c r="AP191" s="2">
        <v>1</v>
      </c>
      <c r="AQ191" s="2">
        <v>0.89021773797193704</v>
      </c>
      <c r="AR191" s="2">
        <v>0.64318444053637813</v>
      </c>
      <c r="AS191" s="2">
        <v>0.76200000000000001</v>
      </c>
    </row>
    <row r="192" spans="1:45">
      <c r="A192" s="13" t="s">
        <v>377</v>
      </c>
      <c r="B192" s="15" t="s">
        <v>139</v>
      </c>
      <c r="C192" s="20">
        <v>57.4</v>
      </c>
      <c r="D192" s="21">
        <v>2875</v>
      </c>
      <c r="E192" s="22">
        <v>7.96</v>
      </c>
      <c r="F192" s="23">
        <v>0.71</v>
      </c>
      <c r="G192" s="2">
        <v>2.9275647668393752E-2</v>
      </c>
      <c r="H192" s="2">
        <v>1</v>
      </c>
      <c r="I192" s="2">
        <v>0.16479999922215938</v>
      </c>
      <c r="J192" s="2">
        <v>0.72500000000000009</v>
      </c>
      <c r="K192" s="2">
        <v>0.21666666666666667</v>
      </c>
      <c r="L192" s="2">
        <v>3.9999999105930328E-2</v>
      </c>
      <c r="M192" s="2">
        <v>0.33441666666666664</v>
      </c>
      <c r="N192" s="2">
        <v>0.63771399985887112</v>
      </c>
      <c r="O192" s="2">
        <v>1</v>
      </c>
      <c r="P192" s="2">
        <v>0.18</v>
      </c>
      <c r="Q192" s="2">
        <v>0.15899999979883431</v>
      </c>
      <c r="R192" s="2">
        <v>8.6399999856948864E-2</v>
      </c>
      <c r="S192" s="2">
        <v>7.4999999999999997E-2</v>
      </c>
      <c r="T192" s="2">
        <v>0.35824</v>
      </c>
      <c r="U192" s="2">
        <v>0.39908245732501169</v>
      </c>
      <c r="V192" s="2">
        <v>0.21095334600000001</v>
      </c>
      <c r="W192" s="2">
        <v>1.8363054840136176E-2</v>
      </c>
      <c r="X192" s="2">
        <v>1.913941638354618E-2</v>
      </c>
      <c r="Y192" s="2">
        <v>0</v>
      </c>
      <c r="Z192" s="2">
        <v>0</v>
      </c>
      <c r="AA192" s="2">
        <v>0</v>
      </c>
      <c r="AB192" s="2">
        <v>0.05</v>
      </c>
      <c r="AC192" s="2">
        <v>0</v>
      </c>
      <c r="AD192" s="2">
        <v>0.28413997147764714</v>
      </c>
      <c r="AE192" s="16">
        <f t="shared" si="2"/>
        <v>0.2495079677029505</v>
      </c>
      <c r="AF192" s="2">
        <v>0.67799999999999994</v>
      </c>
      <c r="AG192" s="2">
        <v>0.1</v>
      </c>
      <c r="AH192" s="2">
        <v>0.88400000000000001</v>
      </c>
      <c r="AI192" s="2">
        <v>0.72599999999999998</v>
      </c>
      <c r="AJ192" s="2">
        <v>0.1</v>
      </c>
      <c r="AK192" s="2">
        <v>0.624</v>
      </c>
      <c r="AL192" s="2">
        <v>0.65099999999999991</v>
      </c>
      <c r="AM192" s="2">
        <v>0.3203320740805734</v>
      </c>
      <c r="AN192" s="2">
        <v>0.11797251771908349</v>
      </c>
      <c r="AO192" s="2">
        <v>0.24974034298268269</v>
      </c>
      <c r="AP192" s="2">
        <v>0.65039940807925334</v>
      </c>
      <c r="AQ192" s="2">
        <v>0.13825406574550003</v>
      </c>
      <c r="AR192" s="2">
        <v>0.25874127440099509</v>
      </c>
      <c r="AS192" s="2">
        <v>0.61099999999999999</v>
      </c>
    </row>
    <row r="193" spans="1:45">
      <c r="A193" s="13" t="s">
        <v>378</v>
      </c>
      <c r="B193" s="15" t="s">
        <v>168</v>
      </c>
      <c r="C193" s="20">
        <v>58</v>
      </c>
      <c r="D193" s="21">
        <v>4438</v>
      </c>
      <c r="E193" s="22">
        <v>8.4</v>
      </c>
      <c r="F193" s="23">
        <v>0.69</v>
      </c>
      <c r="G193" s="2">
        <v>0.21233297236743837</v>
      </c>
      <c r="H193" s="2">
        <v>0.5</v>
      </c>
      <c r="I193" s="2">
        <v>0.2031999992579222</v>
      </c>
      <c r="J193" s="2">
        <v>9.9999999999999978E-2</v>
      </c>
      <c r="K193" s="2">
        <v>2.7333333333333334E-2</v>
      </c>
      <c r="L193" s="2">
        <v>0.50079999953508381</v>
      </c>
      <c r="M193" s="2">
        <v>0.44466666666666665</v>
      </c>
      <c r="N193" s="2">
        <v>0.7556819998327643</v>
      </c>
      <c r="O193" s="2">
        <v>1</v>
      </c>
      <c r="P193" s="2">
        <v>0.14000000000000001</v>
      </c>
      <c r="Q193" s="2">
        <v>0.99639999873936169</v>
      </c>
      <c r="R193" s="2">
        <v>0.22000000000000003</v>
      </c>
      <c r="S193" s="2">
        <v>0.76749999999999996</v>
      </c>
      <c r="T193" s="2">
        <v>0.92271999999999998</v>
      </c>
      <c r="U193" s="2">
        <v>0.35039125727966447</v>
      </c>
      <c r="V193" s="2">
        <v>0.39237668199999998</v>
      </c>
      <c r="W193" s="2">
        <v>0.14139977483970761</v>
      </c>
      <c r="X193" s="2">
        <v>0.5</v>
      </c>
      <c r="Y193" s="2">
        <v>7.3794291779240906E-2</v>
      </c>
      <c r="Z193" s="2">
        <v>4.5264538682378903E-2</v>
      </c>
      <c r="AA193" s="2">
        <v>0.81</v>
      </c>
      <c r="AB193" s="2">
        <v>0</v>
      </c>
      <c r="AC193" s="2">
        <v>0.12305168170631665</v>
      </c>
      <c r="AD193" s="2">
        <v>0.80402000215442804</v>
      </c>
      <c r="AE193" s="16">
        <f t="shared" si="2"/>
        <v>0.41795554992392936</v>
      </c>
      <c r="AF193" s="2">
        <v>0.68700000000000006</v>
      </c>
      <c r="AG193" s="2">
        <v>0.4</v>
      </c>
      <c r="AH193" s="2">
        <v>0.94900000000000007</v>
      </c>
      <c r="AI193" s="2">
        <v>0.84299999999999997</v>
      </c>
      <c r="AJ193" s="2">
        <v>0.2</v>
      </c>
      <c r="AK193" s="2">
        <v>0.76800000000000002</v>
      </c>
      <c r="AL193" s="2">
        <v>0.55100000000000005</v>
      </c>
      <c r="AM193" s="2">
        <v>0.75050658559521666</v>
      </c>
      <c r="AN193" s="2">
        <v>0.61497757682337872</v>
      </c>
      <c r="AO193" s="2">
        <v>0.57893540540076527</v>
      </c>
      <c r="AP193" s="2">
        <v>0.58008407439656995</v>
      </c>
      <c r="AQ193" s="2">
        <v>5.9920708754064779E-2</v>
      </c>
      <c r="AR193" s="2">
        <v>0.58017686738982355</v>
      </c>
      <c r="AS193" s="2">
        <v>0.55000000000000004</v>
      </c>
    </row>
    <row r="194" spans="1:45">
      <c r="A194" s="13" t="s">
        <v>392</v>
      </c>
      <c r="B194" s="15" t="s">
        <v>9</v>
      </c>
      <c r="C194" s="20">
        <v>61.2</v>
      </c>
      <c r="D194" s="21">
        <v>12323</v>
      </c>
      <c r="E194" s="22">
        <v>9.42</v>
      </c>
      <c r="F194" s="23">
        <v>0.84</v>
      </c>
      <c r="G194" s="2">
        <v>0.58033781906906901</v>
      </c>
      <c r="H194" s="2">
        <v>7.3470000000000002E-3</v>
      </c>
      <c r="I194" s="2">
        <v>0.16299999792128805</v>
      </c>
      <c r="J194" s="2">
        <v>0.30000000000000004</v>
      </c>
      <c r="K194" s="2">
        <v>0.02</v>
      </c>
      <c r="L194" s="2">
        <v>0.18099999796599153</v>
      </c>
      <c r="M194" s="2">
        <v>0.60899999999999999</v>
      </c>
      <c r="N194" s="2">
        <v>6.4033999985828996E-2</v>
      </c>
      <c r="O194" s="2">
        <v>0.6118611111111667</v>
      </c>
      <c r="P194" s="2">
        <v>0.02</v>
      </c>
      <c r="Q194" s="2">
        <v>0.41339999947696926</v>
      </c>
      <c r="R194" s="2">
        <v>8.9599999785423282E-2</v>
      </c>
      <c r="S194" s="2">
        <v>0.3175</v>
      </c>
      <c r="T194" s="2">
        <v>0.79959999999999998</v>
      </c>
      <c r="U194" s="2">
        <v>0.28785779380679144</v>
      </c>
      <c r="V194" s="2">
        <v>0.234710744</v>
      </c>
      <c r="W194" s="2">
        <v>1.1989515067346669E-4</v>
      </c>
      <c r="X194" s="2">
        <v>4.8496358778308539E-2</v>
      </c>
      <c r="Y194" s="2">
        <v>3.6076843881421336E-2</v>
      </c>
      <c r="Z194" s="2">
        <v>6.7862859324012301E-2</v>
      </c>
      <c r="AA194" s="2">
        <v>1.0000000000000009E-2</v>
      </c>
      <c r="AB194" s="2">
        <v>0.23</v>
      </c>
      <c r="AC194" s="2">
        <v>2.0407006405532564E-2</v>
      </c>
      <c r="AD194" s="2">
        <v>0.72448001119416672</v>
      </c>
      <c r="AE194" s="16">
        <f t="shared" si="2"/>
        <v>0.24319547657736015</v>
      </c>
      <c r="AF194" s="2">
        <v>0.503</v>
      </c>
      <c r="AG194" s="2">
        <v>0.2</v>
      </c>
      <c r="AH194" s="2">
        <v>0.74</v>
      </c>
      <c r="AI194" s="2">
        <v>0.61799999999999999</v>
      </c>
      <c r="AJ194" s="2">
        <v>0.05</v>
      </c>
      <c r="AK194" s="2">
        <v>0.47700000000000004</v>
      </c>
      <c r="AL194" s="2">
        <v>0.57200000000000006</v>
      </c>
      <c r="AM194" s="2">
        <v>0.22071325590783819</v>
      </c>
      <c r="AN194" s="2">
        <v>0.34305110793078836</v>
      </c>
      <c r="AO194" s="2">
        <v>0.26309767081982904</v>
      </c>
      <c r="AP194" s="2">
        <v>1</v>
      </c>
      <c r="AQ194" s="2">
        <v>1</v>
      </c>
      <c r="AR194" s="2">
        <v>0.1860158040089647</v>
      </c>
      <c r="AS194" s="2">
        <v>0.36200000000000004</v>
      </c>
    </row>
    <row r="195" spans="1:45">
      <c r="A195" s="13" t="s">
        <v>380</v>
      </c>
      <c r="B195" s="15" t="s">
        <v>160</v>
      </c>
      <c r="C195" s="20">
        <v>60.2</v>
      </c>
      <c r="D195" s="21">
        <v>2953</v>
      </c>
      <c r="E195" s="22">
        <v>7.99</v>
      </c>
      <c r="F195" s="23">
        <v>0.73</v>
      </c>
      <c r="G195" s="2">
        <v>0.13173223684210525</v>
      </c>
      <c r="H195" s="2">
        <v>9.2780000000000001E-2</v>
      </c>
      <c r="I195" s="2">
        <v>9.7599999159574513E-2</v>
      </c>
      <c r="J195" s="2">
        <v>0.25</v>
      </c>
      <c r="K195" s="2">
        <v>4.3333333333333335E-2</v>
      </c>
      <c r="L195" s="2">
        <v>0.27999999932944775</v>
      </c>
      <c r="M195" s="2">
        <v>0.37600000000000006</v>
      </c>
      <c r="N195" s="2">
        <v>0.72396799983978266</v>
      </c>
      <c r="O195" s="2">
        <v>0.52238201058200007</v>
      </c>
      <c r="P195" s="2">
        <v>0.06</v>
      </c>
      <c r="Q195" s="2">
        <v>9.539999987930059E-2</v>
      </c>
      <c r="R195" s="2">
        <v>0.53999999910593033</v>
      </c>
      <c r="S195" s="2">
        <v>0.76749999999999996</v>
      </c>
      <c r="T195" s="2">
        <v>0.86168</v>
      </c>
      <c r="U195" s="2">
        <v>0.2720679011091599</v>
      </c>
      <c r="V195" s="2">
        <v>0.30691823800000001</v>
      </c>
      <c r="W195" s="2">
        <v>1.7170000006300205E-2</v>
      </c>
      <c r="X195" s="2">
        <v>3.0535409293749247E-2</v>
      </c>
      <c r="Y195" s="2">
        <v>0.20206007662727885</v>
      </c>
      <c r="Z195" s="2">
        <v>0.55096713685635501</v>
      </c>
      <c r="AA195" s="2">
        <v>0.10999999999999999</v>
      </c>
      <c r="AB195" s="2">
        <v>0.23</v>
      </c>
      <c r="AC195" s="2">
        <v>0.10158996355661624</v>
      </c>
      <c r="AD195" s="2">
        <v>0.55233313900931058</v>
      </c>
      <c r="AE195" s="16">
        <f t="shared" si="2"/>
        <v>0.3006673934387602</v>
      </c>
      <c r="AF195" s="2">
        <v>0.60699999999999998</v>
      </c>
      <c r="AG195" s="2">
        <v>0.3</v>
      </c>
      <c r="AH195" s="2">
        <v>0.7609999999999999</v>
      </c>
      <c r="AI195" s="2">
        <v>0.7340000000000001</v>
      </c>
      <c r="AJ195" s="2">
        <v>0.2</v>
      </c>
      <c r="AK195" s="2">
        <v>0.58099999999999996</v>
      </c>
      <c r="AL195" s="2">
        <v>0.68900000000000006</v>
      </c>
      <c r="AM195" s="2">
        <v>0.53813285466140914</v>
      </c>
      <c r="AN195" s="2">
        <v>0.19836249464841962</v>
      </c>
      <c r="AO195" s="2">
        <v>0.39725785862878871</v>
      </c>
      <c r="AP195" s="2">
        <v>1</v>
      </c>
      <c r="AQ195" s="2">
        <v>0.11343774627086572</v>
      </c>
      <c r="AR195" s="2">
        <v>0.41568552629134176</v>
      </c>
      <c r="AS195" s="2">
        <v>0.68400000000000005</v>
      </c>
    </row>
    <row r="196" spans="1:45">
      <c r="A196" s="13" t="s">
        <v>381</v>
      </c>
      <c r="B196" s="15" t="s">
        <v>153</v>
      </c>
      <c r="C196" s="20">
        <v>45.7</v>
      </c>
      <c r="D196" s="21">
        <v>2470</v>
      </c>
      <c r="E196" s="22">
        <v>7.81</v>
      </c>
      <c r="F196" s="23">
        <v>0.57999999999999996</v>
      </c>
      <c r="G196" s="2">
        <v>0.3762800391389432</v>
      </c>
      <c r="H196" s="2">
        <v>1</v>
      </c>
      <c r="I196" s="2">
        <v>0.40479999944567679</v>
      </c>
      <c r="J196" s="2">
        <v>0.35</v>
      </c>
      <c r="K196" s="2">
        <v>0.25133333333333335</v>
      </c>
      <c r="L196" s="2">
        <v>0.50079999953508381</v>
      </c>
      <c r="M196" s="2">
        <v>0.55766666666666664</v>
      </c>
      <c r="N196" s="2">
        <v>0.69467799984626477</v>
      </c>
      <c r="O196" s="2">
        <v>0.94358301024951496</v>
      </c>
      <c r="P196" s="2">
        <v>0.04</v>
      </c>
      <c r="Q196" s="2">
        <v>0.85859999891370542</v>
      </c>
      <c r="R196" s="2">
        <v>1</v>
      </c>
      <c r="S196" s="2">
        <v>0.78249999999999997</v>
      </c>
      <c r="T196" s="2">
        <v>0.9496</v>
      </c>
      <c r="U196" s="2">
        <v>0.4920043696066746</v>
      </c>
      <c r="V196" s="2">
        <v>0.41061946999999999</v>
      </c>
      <c r="W196" s="2">
        <v>5.3027475063964789E-2</v>
      </c>
      <c r="X196" s="2">
        <v>0.28675046817348565</v>
      </c>
      <c r="Y196" s="2">
        <v>7.6349217347524779E-3</v>
      </c>
      <c r="Z196" s="2">
        <v>2.3693721684414099E-2</v>
      </c>
      <c r="AA196" s="2">
        <v>0.61799999999999999</v>
      </c>
      <c r="AB196" s="2">
        <v>0</v>
      </c>
      <c r="AC196" s="2">
        <v>3.1251775669072106E-2</v>
      </c>
      <c r="AD196" s="2">
        <v>0.92170000152453979</v>
      </c>
      <c r="AE196" s="16">
        <f t="shared" si="2"/>
        <v>0.48143846877442042</v>
      </c>
      <c r="AF196" s="2">
        <v>0.74400000000000011</v>
      </c>
      <c r="AG196" s="2">
        <v>0.3</v>
      </c>
      <c r="AH196" s="2">
        <v>0.83200000000000007</v>
      </c>
      <c r="AI196" s="2">
        <v>0.51300000000000001</v>
      </c>
      <c r="AJ196" s="2">
        <v>0.45</v>
      </c>
      <c r="AK196" s="2">
        <v>0.65099999999999991</v>
      </c>
      <c r="AL196" s="2">
        <v>0.7609999999999999</v>
      </c>
      <c r="AM196" s="2">
        <v>4.3367034878583864E-2</v>
      </c>
      <c r="AN196" s="2">
        <v>0.24896760382781657</v>
      </c>
      <c r="AO196" s="2">
        <v>0.29666924014584684</v>
      </c>
      <c r="AP196" s="2">
        <v>0.17922648732514707</v>
      </c>
      <c r="AQ196" s="2">
        <v>0.13732876305307076</v>
      </c>
      <c r="AR196" s="2">
        <v>0.27194444847089916</v>
      </c>
      <c r="AS196" s="2">
        <v>0.65400000000000003</v>
      </c>
    </row>
    <row r="197" spans="1:45">
      <c r="A197" s="13" t="s">
        <v>382</v>
      </c>
      <c r="B197" s="15" t="s">
        <v>145</v>
      </c>
      <c r="C197" s="20">
        <v>48.9</v>
      </c>
      <c r="D197" s="21">
        <v>1430</v>
      </c>
      <c r="E197" s="22">
        <v>7.27</v>
      </c>
      <c r="F197" s="23">
        <v>0.48</v>
      </c>
      <c r="G197" s="2">
        <v>0.39770447347585114</v>
      </c>
      <c r="H197" s="2">
        <v>1.9847999926060438E-2</v>
      </c>
      <c r="I197" s="2">
        <v>0.42399999946355815</v>
      </c>
      <c r="J197" s="2">
        <v>0.32499999999999996</v>
      </c>
      <c r="K197" s="2">
        <v>0.33533333333333332</v>
      </c>
      <c r="L197" s="2">
        <v>0.52959999956190584</v>
      </c>
      <c r="M197" s="2">
        <v>0.71575</v>
      </c>
      <c r="N197" s="2">
        <v>0.65084399985596531</v>
      </c>
      <c r="O197" s="2">
        <v>0.91650530785566664</v>
      </c>
      <c r="P197" s="2">
        <v>0.22</v>
      </c>
      <c r="Q197" s="2">
        <v>0.20139999974519016</v>
      </c>
      <c r="R197" s="2">
        <v>0.30739999961107967</v>
      </c>
      <c r="S197" s="2">
        <v>0.40749999999999997</v>
      </c>
      <c r="T197" s="2">
        <v>0.96720000000000006</v>
      </c>
      <c r="U197" s="2">
        <v>0.82840148211509135</v>
      </c>
      <c r="V197" s="2">
        <v>0.92626505999999997</v>
      </c>
      <c r="W197" s="2">
        <v>0.50805115585256599</v>
      </c>
      <c r="X197" s="2">
        <v>0.69153345396550092</v>
      </c>
      <c r="Y197" s="2">
        <v>0</v>
      </c>
      <c r="Z197" s="2">
        <v>0</v>
      </c>
      <c r="AA197" s="2">
        <v>0.81200000000000006</v>
      </c>
      <c r="AB197" s="2">
        <v>1</v>
      </c>
      <c r="AC197" s="2">
        <v>1</v>
      </c>
      <c r="AD197" s="2">
        <v>0.78</v>
      </c>
      <c r="AE197" s="16">
        <f t="shared" si="2"/>
        <v>0.54018067769840694</v>
      </c>
      <c r="AF197" s="2">
        <v>0.66400000000000003</v>
      </c>
      <c r="AG197" s="2">
        <v>0.5</v>
      </c>
      <c r="AH197" s="2">
        <v>0.72400000000000009</v>
      </c>
      <c r="AI197" s="2">
        <v>0.82599999999999996</v>
      </c>
      <c r="AJ197" s="2">
        <v>0.5</v>
      </c>
      <c r="AK197" s="2">
        <v>0.63300000000000001</v>
      </c>
      <c r="AL197" s="2">
        <v>0.79900000000000004</v>
      </c>
      <c r="AM197" s="2">
        <v>0.60058659603918341</v>
      </c>
      <c r="AN197" s="2">
        <v>0.44660018796961082</v>
      </c>
      <c r="AO197" s="2">
        <v>0.39989174058000099</v>
      </c>
      <c r="AP197" s="2">
        <v>0.3747361653023259</v>
      </c>
      <c r="AQ197" s="2">
        <v>2.7473143010661005E-2</v>
      </c>
      <c r="AR197" s="2">
        <v>0.40499284359157867</v>
      </c>
      <c r="AS197" s="2">
        <v>0.56999999999999995</v>
      </c>
    </row>
    <row r="198" spans="1:45">
      <c r="A198" s="13" t="s">
        <v>383</v>
      </c>
      <c r="B198" s="15" t="s">
        <v>138</v>
      </c>
      <c r="C198" s="20">
        <v>38</v>
      </c>
      <c r="D198" s="21">
        <v>395</v>
      </c>
      <c r="E198" s="22">
        <v>5.98</v>
      </c>
      <c r="F198" s="23" t="s">
        <v>460</v>
      </c>
      <c r="G198" s="2">
        <v>0.328224506683641</v>
      </c>
      <c r="H198" s="2">
        <v>0.2102</v>
      </c>
      <c r="I198" s="2">
        <v>0.21279999926686288</v>
      </c>
      <c r="J198" s="2">
        <v>0.35</v>
      </c>
      <c r="K198" s="2">
        <v>0.17066666666666666</v>
      </c>
      <c r="L198" s="2">
        <v>0.57759999960660935</v>
      </c>
      <c r="M198" s="2">
        <v>0.69216666666666671</v>
      </c>
      <c r="N198" s="2">
        <v>0.62801799986101681</v>
      </c>
      <c r="O198" s="2">
        <v>0.95348838248433332</v>
      </c>
      <c r="P198" s="2">
        <v>0.44</v>
      </c>
      <c r="Q198" s="2">
        <v>0.29679999962449077</v>
      </c>
      <c r="R198" s="2">
        <v>0.35199999928474429</v>
      </c>
      <c r="S198" s="2">
        <v>0.40749999999999997</v>
      </c>
      <c r="T198" s="2">
        <v>0.95840000000000003</v>
      </c>
      <c r="U198" s="2">
        <v>0.85108323823377563</v>
      </c>
      <c r="V198" s="2">
        <v>1</v>
      </c>
      <c r="W198" s="2">
        <v>6.4709871252766019E-2</v>
      </c>
      <c r="X198" s="2">
        <v>0.61527120017106218</v>
      </c>
      <c r="Y198" s="2">
        <v>0</v>
      </c>
      <c r="Z198" s="2">
        <v>0</v>
      </c>
      <c r="AA198" s="2">
        <v>0.58499999999999996</v>
      </c>
      <c r="AB198" s="2">
        <v>0.57999999999999996</v>
      </c>
      <c r="AC198" s="2">
        <v>1.5509887553315237E-2</v>
      </c>
      <c r="AD198" s="2">
        <v>0.84039999932050702</v>
      </c>
      <c r="AE198" s="16">
        <f t="shared" si="2"/>
        <v>0.46374326736151916</v>
      </c>
      <c r="AF198" s="2">
        <v>0.3</v>
      </c>
      <c r="AG198" s="2">
        <v>0.1</v>
      </c>
      <c r="AH198" s="2">
        <v>0.58399999999999996</v>
      </c>
      <c r="AI198" s="2">
        <v>4.5540000010281793E-2</v>
      </c>
      <c r="AJ198" s="2">
        <v>9.9000000022351736E-2</v>
      </c>
      <c r="AK198" s="2">
        <v>0.11528000035136937</v>
      </c>
      <c r="AL198" s="2">
        <v>0.44799999999999995</v>
      </c>
      <c r="AM198" s="2">
        <v>0.21563486489252465</v>
      </c>
      <c r="AN198" s="2">
        <v>0.19237459735243459</v>
      </c>
      <c r="AO198" s="2">
        <v>0.20510644675898576</v>
      </c>
      <c r="AP198" s="2">
        <v>0.2627291184406616</v>
      </c>
      <c r="AQ198" s="2">
        <v>4.5351834977471119E-2</v>
      </c>
      <c r="AR198" s="2">
        <v>0.12107668034454208</v>
      </c>
      <c r="AS198" s="2">
        <v>0.48200000000000004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2" tint="-0.749992370372631"/>
  </sheetPr>
  <dimension ref="A4:BE196"/>
  <sheetViews>
    <sheetView workbookViewId="0">
      <pane xSplit="2" ySplit="4" topLeftCell="C5" activePane="bottomRight" state="frozen"/>
      <selection activeCell="A7" sqref="A7:B198"/>
      <selection pane="topRight" activeCell="A7" sqref="A7:B198"/>
      <selection pane="bottomLeft" activeCell="A7" sqref="A7:B198"/>
      <selection pane="bottomRight" activeCell="I190" sqref="I190"/>
    </sheetView>
  </sheetViews>
  <sheetFormatPr baseColWidth="10" defaultRowHeight="15" x14ac:dyDescent="0"/>
  <sheetData>
    <row r="4" spans="1:57" ht="60">
      <c r="A4" s="5"/>
      <c r="B4" s="3"/>
      <c r="C4" s="8" t="s">
        <v>395</v>
      </c>
      <c r="D4" s="7" t="s">
        <v>396</v>
      </c>
      <c r="E4" s="9" t="s">
        <v>397</v>
      </c>
      <c r="F4" s="9" t="s">
        <v>398</v>
      </c>
      <c r="G4" s="9" t="s">
        <v>399</v>
      </c>
      <c r="H4" s="10" t="s">
        <v>400</v>
      </c>
      <c r="I4" s="4" t="s">
        <v>390</v>
      </c>
      <c r="J4" s="4" t="s">
        <v>385</v>
      </c>
      <c r="K4" s="5" t="s">
        <v>389</v>
      </c>
      <c r="L4" s="5" t="s">
        <v>393</v>
      </c>
      <c r="M4" s="81" t="s">
        <v>526</v>
      </c>
      <c r="N4" s="24" t="s">
        <v>532</v>
      </c>
      <c r="O4" s="24" t="s">
        <v>531</v>
      </c>
      <c r="P4" s="18" t="s">
        <v>457</v>
      </c>
      <c r="Q4" s="18" t="s">
        <v>458</v>
      </c>
      <c r="R4" s="19" t="s">
        <v>459</v>
      </c>
      <c r="S4" s="6" t="s">
        <v>401</v>
      </c>
      <c r="T4" s="6" t="s">
        <v>402</v>
      </c>
      <c r="U4" s="6" t="s">
        <v>403</v>
      </c>
      <c r="V4" s="6" t="s">
        <v>404</v>
      </c>
      <c r="W4" s="6" t="s">
        <v>405</v>
      </c>
      <c r="X4" s="6" t="s">
        <v>406</v>
      </c>
      <c r="Y4" s="6" t="s">
        <v>407</v>
      </c>
      <c r="Z4" s="6" t="s">
        <v>408</v>
      </c>
      <c r="AA4" s="6" t="s">
        <v>409</v>
      </c>
      <c r="AB4" s="6" t="s">
        <v>410</v>
      </c>
      <c r="AC4" s="6" t="s">
        <v>411</v>
      </c>
      <c r="AD4" s="6" t="s">
        <v>412</v>
      </c>
      <c r="AE4" s="6" t="s">
        <v>413</v>
      </c>
      <c r="AF4" s="6" t="s">
        <v>414</v>
      </c>
      <c r="AG4" s="6" t="s">
        <v>415</v>
      </c>
      <c r="AH4" s="6" t="s">
        <v>416</v>
      </c>
      <c r="AI4" s="6" t="s">
        <v>417</v>
      </c>
      <c r="AJ4" s="6" t="s">
        <v>418</v>
      </c>
      <c r="AK4" s="6" t="s">
        <v>419</v>
      </c>
      <c r="AL4" s="6" t="s">
        <v>420</v>
      </c>
      <c r="AM4" s="6" t="s">
        <v>421</v>
      </c>
      <c r="AN4" s="6" t="s">
        <v>422</v>
      </c>
      <c r="AO4" s="6" t="s">
        <v>423</v>
      </c>
      <c r="AP4" s="6" t="s">
        <v>424</v>
      </c>
      <c r="AQ4" s="25" t="s">
        <v>456</v>
      </c>
      <c r="AR4" s="6" t="s">
        <v>425</v>
      </c>
      <c r="AS4" s="6" t="s">
        <v>426</v>
      </c>
      <c r="AT4" s="6" t="s">
        <v>427</v>
      </c>
      <c r="AU4" s="6" t="s">
        <v>428</v>
      </c>
      <c r="AV4" s="6" t="s">
        <v>429</v>
      </c>
      <c r="AW4" s="6" t="s">
        <v>430</v>
      </c>
      <c r="AX4" s="6" t="s">
        <v>431</v>
      </c>
      <c r="AY4" s="6" t="s">
        <v>432</v>
      </c>
      <c r="AZ4" s="6" t="s">
        <v>433</v>
      </c>
      <c r="BA4" s="6" t="s">
        <v>434</v>
      </c>
      <c r="BB4" s="6" t="s">
        <v>435</v>
      </c>
      <c r="BC4" s="6" t="s">
        <v>436</v>
      </c>
      <c r="BD4" s="6" t="s">
        <v>437</v>
      </c>
      <c r="BE4" s="6" t="s">
        <v>438</v>
      </c>
    </row>
    <row r="5" spans="1:57">
      <c r="A5" s="1" t="s">
        <v>173</v>
      </c>
      <c r="B5" s="1" t="s">
        <v>192</v>
      </c>
      <c r="C5" s="2">
        <v>0.51226115242007697</v>
      </c>
      <c r="D5" s="2">
        <v>0.97819999999999996</v>
      </c>
      <c r="E5" s="2" t="e">
        <v>#N/A</v>
      </c>
      <c r="F5" s="2">
        <v>0.1991155006049663</v>
      </c>
      <c r="G5" s="2">
        <v>0.74349533665412049</v>
      </c>
      <c r="H5" s="11">
        <v>0.60826799741979087</v>
      </c>
      <c r="I5" s="2">
        <v>0.26573976418085504</v>
      </c>
      <c r="J5" s="2">
        <v>0.48223199879697237</v>
      </c>
      <c r="K5" s="2">
        <v>0.75</v>
      </c>
      <c r="L5" s="2" t="e">
        <v>#N/A</v>
      </c>
      <c r="M5" s="84">
        <v>0.49932392099260908</v>
      </c>
      <c r="N5" s="46">
        <v>0.6267346017936577</v>
      </c>
      <c r="O5" s="46">
        <v>0.60849291254900528</v>
      </c>
      <c r="P5" s="21">
        <v>1321</v>
      </c>
      <c r="Q5" s="22">
        <v>7.19</v>
      </c>
      <c r="R5" s="23">
        <v>0.35</v>
      </c>
      <c r="S5" s="2">
        <v>0.72079762845849804</v>
      </c>
      <c r="T5" s="2">
        <v>0.35570000000000002</v>
      </c>
      <c r="U5" s="2">
        <v>0.53919999957084652</v>
      </c>
      <c r="V5" s="2">
        <v>0.7</v>
      </c>
      <c r="W5" s="2">
        <v>0.93666666666666665</v>
      </c>
      <c r="X5" s="2">
        <v>0.64479999966919421</v>
      </c>
      <c r="Y5" s="2">
        <v>0.50916666666666666</v>
      </c>
      <c r="Z5" s="2">
        <v>0.76335799983106556</v>
      </c>
      <c r="AA5" s="2">
        <v>0.93686692848183339</v>
      </c>
      <c r="AB5" s="2">
        <v>0.95348838248433332</v>
      </c>
      <c r="AC5" s="2">
        <v>0.44</v>
      </c>
      <c r="AD5" s="2">
        <v>1</v>
      </c>
      <c r="AE5" s="2">
        <v>0.78249999999999997</v>
      </c>
      <c r="AF5" s="2">
        <v>0.96320000000000006</v>
      </c>
      <c r="AG5" s="2">
        <v>0.85623258458003448</v>
      </c>
      <c r="AH5" s="2">
        <v>0.72056594200000001</v>
      </c>
      <c r="AI5" s="2">
        <v>0.17691429857984808</v>
      </c>
      <c r="AJ5" s="2">
        <v>1</v>
      </c>
      <c r="AK5" s="2">
        <v>0</v>
      </c>
      <c r="AL5" s="2">
        <v>0</v>
      </c>
      <c r="AM5" s="2">
        <v>0.85599999999999998</v>
      </c>
      <c r="AN5" s="2">
        <v>0.58499999999999996</v>
      </c>
      <c r="AO5" s="2">
        <v>7.3593670944298792E-2</v>
      </c>
      <c r="AP5" s="2">
        <v>0.73043999947607519</v>
      </c>
      <c r="AQ5" s="16">
        <v>0.63518711530872352</v>
      </c>
      <c r="AR5" s="2" t="e">
        <v>#N/A</v>
      </c>
      <c r="AS5" s="2" t="e">
        <v>#N/A</v>
      </c>
      <c r="AT5" s="2" t="e">
        <v>#N/A</v>
      </c>
      <c r="AU5" s="2" t="e">
        <v>#N/A</v>
      </c>
      <c r="AV5" s="2" t="e">
        <v>#N/A</v>
      </c>
      <c r="AW5" s="2" t="e">
        <v>#N/A</v>
      </c>
      <c r="AX5" s="2" t="e">
        <v>#N/A</v>
      </c>
      <c r="AY5" s="2">
        <v>0</v>
      </c>
      <c r="AZ5" s="2">
        <v>0.22558544482222903</v>
      </c>
      <c r="BA5" s="2">
        <v>0.18910096309120988</v>
      </c>
      <c r="BB5" s="2">
        <v>0.44291253005190162</v>
      </c>
      <c r="BC5" s="2">
        <v>5.0936772868643114E-2</v>
      </c>
      <c r="BD5" s="2">
        <v>9.5138524130479671E-2</v>
      </c>
      <c r="BE5" s="2" t="e">
        <v>#N/A</v>
      </c>
    </row>
    <row r="6" spans="1:57">
      <c r="A6" s="1" t="s">
        <v>123</v>
      </c>
      <c r="B6" s="1" t="s">
        <v>193</v>
      </c>
      <c r="C6" s="2">
        <v>0.52181653803674544</v>
      </c>
      <c r="D6" s="2">
        <v>0.40939999999999999</v>
      </c>
      <c r="E6" s="2">
        <v>0.26509269028182575</v>
      </c>
      <c r="F6" s="2">
        <v>0.11090453589854428</v>
      </c>
      <c r="G6" s="2">
        <v>0.65574374129895108</v>
      </c>
      <c r="H6" s="11">
        <v>0.39259150110321334</v>
      </c>
      <c r="I6" s="2">
        <v>1</v>
      </c>
      <c r="J6" s="2">
        <v>0.26590224589362005</v>
      </c>
      <c r="K6" s="2">
        <v>0</v>
      </c>
      <c r="L6" s="2">
        <v>0</v>
      </c>
      <c r="M6" s="84">
        <v>0.316475561473405</v>
      </c>
      <c r="N6" s="46">
        <v>0.29043285983258982</v>
      </c>
      <c r="O6" s="46">
        <v>0.309068132951268</v>
      </c>
      <c r="P6" s="21">
        <v>8716</v>
      </c>
      <c r="Q6" s="22">
        <v>9.07</v>
      </c>
      <c r="R6" s="23">
        <v>0.82</v>
      </c>
      <c r="S6" s="2">
        <v>0.67574999999999996</v>
      </c>
      <c r="T6" s="2">
        <v>4.4080000000000001E-2</v>
      </c>
      <c r="U6" s="2">
        <v>6.8799999132752365E-2</v>
      </c>
      <c r="V6" s="2">
        <v>0.52500000000000002</v>
      </c>
      <c r="W6" s="2">
        <v>3.3333333333333333E-2</v>
      </c>
      <c r="X6" s="2">
        <v>5.9199999123811686E-2</v>
      </c>
      <c r="Y6" s="2">
        <v>0.28591666666666671</v>
      </c>
      <c r="Z6" s="2">
        <v>0.53166399988234048</v>
      </c>
      <c r="AA6" s="2">
        <v>0.83609287072641369</v>
      </c>
      <c r="AB6" s="2">
        <v>0.34</v>
      </c>
      <c r="AC6" s="2">
        <v>0.56179999928921465</v>
      </c>
      <c r="AD6" s="2">
        <v>0.13199999973177909</v>
      </c>
      <c r="AE6" s="2">
        <v>7.4999999999999997E-2</v>
      </c>
      <c r="AF6" s="2">
        <v>0.74712000000000001</v>
      </c>
      <c r="AG6" s="2">
        <v>0.22863281814187897</v>
      </c>
      <c r="AH6" s="2">
        <v>0.11386138599999999</v>
      </c>
      <c r="AI6" s="2">
        <v>2.6807414893567402E-2</v>
      </c>
      <c r="AJ6" s="2">
        <v>1.5390022686769469E-2</v>
      </c>
      <c r="AK6" s="2">
        <v>6.0117243360477038E-2</v>
      </c>
      <c r="AL6" s="2">
        <v>0.101428297547159</v>
      </c>
      <c r="AM6" s="2">
        <v>0</v>
      </c>
      <c r="AN6" s="2">
        <v>1</v>
      </c>
      <c r="AO6" s="2">
        <v>0.32846715328467158</v>
      </c>
      <c r="AP6" s="2">
        <v>0.67239999860525135</v>
      </c>
      <c r="AQ6" s="16">
        <v>0.31095255010025358</v>
      </c>
      <c r="AR6" s="2">
        <v>0.68</v>
      </c>
      <c r="AS6" s="2">
        <v>0.7</v>
      </c>
      <c r="AT6" s="2">
        <v>0.92599999999999993</v>
      </c>
      <c r="AU6" s="2">
        <v>0.74199999999999999</v>
      </c>
      <c r="AV6" s="2">
        <v>0.7</v>
      </c>
      <c r="AW6" s="2">
        <v>0.78700000000000003</v>
      </c>
      <c r="AX6" s="2">
        <v>0.85799999999999998</v>
      </c>
      <c r="AY6" s="2">
        <v>0.48595287141135773</v>
      </c>
      <c r="AZ6" s="2">
        <v>0.5312012075853958</v>
      </c>
      <c r="BA6" s="2">
        <v>0.42135370421137103</v>
      </c>
      <c r="BB6" s="2">
        <v>1</v>
      </c>
      <c r="BC6" s="2">
        <v>0.24220353216679932</v>
      </c>
      <c r="BD6" s="2">
        <v>0.39793031084894342</v>
      </c>
      <c r="BE6" s="2">
        <v>0.52100000000000002</v>
      </c>
    </row>
    <row r="7" spans="1:57">
      <c r="A7" s="1" t="s">
        <v>74</v>
      </c>
      <c r="B7" s="1" t="s">
        <v>194</v>
      </c>
      <c r="C7" s="2">
        <v>0.54706969993101362</v>
      </c>
      <c r="D7" s="2">
        <v>0.62880000000000003</v>
      </c>
      <c r="E7" s="2">
        <v>0.23159592761326458</v>
      </c>
      <c r="F7" s="2">
        <v>0.24954693918009044</v>
      </c>
      <c r="G7" s="2">
        <v>0.50090001546853113</v>
      </c>
      <c r="H7" s="11">
        <v>0.43158251643857992</v>
      </c>
      <c r="I7" s="2">
        <v>0.32863323357407659</v>
      </c>
      <c r="J7" s="2">
        <v>2.6712242609323918E-2</v>
      </c>
      <c r="K7" s="2">
        <v>0.25</v>
      </c>
      <c r="L7" s="2" t="e">
        <v>#N/A</v>
      </c>
      <c r="M7" s="84">
        <v>0.20178182539446685</v>
      </c>
      <c r="N7" s="46">
        <v>0.2695615286713004</v>
      </c>
      <c r="O7" s="46">
        <v>0.28589444157218113</v>
      </c>
      <c r="P7" s="21">
        <v>8172</v>
      </c>
      <c r="Q7" s="22">
        <v>9.01</v>
      </c>
      <c r="R7" s="23">
        <v>0.75</v>
      </c>
      <c r="S7" s="2">
        <v>0.42351724137931035</v>
      </c>
      <c r="T7" s="2">
        <v>0.52649999999999997</v>
      </c>
      <c r="U7" s="2">
        <v>0.2031999992579222</v>
      </c>
      <c r="V7" s="2">
        <v>0.57499999999999996</v>
      </c>
      <c r="W7" s="2">
        <v>6.7333333333333328E-2</v>
      </c>
      <c r="X7" s="2">
        <v>8.7999999150633834E-2</v>
      </c>
      <c r="Y7" s="2">
        <v>0.66583333333333339</v>
      </c>
      <c r="Z7" s="2">
        <v>0.34481399992369122</v>
      </c>
      <c r="AA7" s="2">
        <v>0.9679067287719495</v>
      </c>
      <c r="AB7" s="2">
        <v>0.08</v>
      </c>
      <c r="AC7" s="2">
        <v>0.71019999910146003</v>
      </c>
      <c r="AD7" s="2">
        <v>6.4799999892711638E-2</v>
      </c>
      <c r="AE7" s="2">
        <v>0.20749999999999999</v>
      </c>
      <c r="AF7" s="2">
        <v>0.82543999999999995</v>
      </c>
      <c r="AG7" s="2">
        <v>0.3101302621202171</v>
      </c>
      <c r="AH7" s="2">
        <v>0.52331606200000003</v>
      </c>
      <c r="AI7" s="2">
        <v>3.6429246601938048E-4</v>
      </c>
      <c r="AJ7" s="2">
        <v>7.6096982714580763E-2</v>
      </c>
      <c r="AK7" s="2">
        <v>1.0060310681844005E-3</v>
      </c>
      <c r="AL7" s="2">
        <v>3.96350430218027E-2</v>
      </c>
      <c r="AM7" s="2">
        <v>7.0000000000000062E-3</v>
      </c>
      <c r="AN7" s="2">
        <v>0</v>
      </c>
      <c r="AO7" s="2">
        <v>1.4485208293096644E-2</v>
      </c>
      <c r="AP7" s="2">
        <v>0.29478399934321642</v>
      </c>
      <c r="AQ7" s="16">
        <v>0.29236927146547759</v>
      </c>
      <c r="AR7" s="2">
        <v>0.71200000000000008</v>
      </c>
      <c r="AS7" s="2">
        <v>0.3</v>
      </c>
      <c r="AT7" s="2">
        <v>0.83499999999999996</v>
      </c>
      <c r="AU7" s="2">
        <v>0.7340000000000001</v>
      </c>
      <c r="AV7" s="2">
        <v>0.45</v>
      </c>
      <c r="AW7" s="2">
        <v>0.77200000000000002</v>
      </c>
      <c r="AX7" s="2">
        <v>0.70700000000000007</v>
      </c>
      <c r="AY7" s="2">
        <v>0.26295143870776844</v>
      </c>
      <c r="AZ7" s="2">
        <v>0.29330459519904278</v>
      </c>
      <c r="BA7" s="2">
        <v>0.40286887240132463</v>
      </c>
      <c r="BB7" s="2">
        <v>1</v>
      </c>
      <c r="BC7" s="2">
        <v>0.43301383724062092</v>
      </c>
      <c r="BD7" s="2">
        <v>0.35515104102282147</v>
      </c>
      <c r="BE7" s="2">
        <v>0.56399999999999995</v>
      </c>
    </row>
    <row r="8" spans="1:57">
      <c r="A8" s="1" t="s">
        <v>17</v>
      </c>
      <c r="B8" s="1" t="s">
        <v>195</v>
      </c>
      <c r="C8" s="2" t="e">
        <v>#N/A</v>
      </c>
      <c r="D8" s="2">
        <v>0.66290000000000004</v>
      </c>
      <c r="E8" s="2" t="e">
        <v>#N/A</v>
      </c>
      <c r="F8" s="2">
        <v>0.22222222222222224</v>
      </c>
      <c r="G8" s="2">
        <v>0.95274914096260122</v>
      </c>
      <c r="H8" s="11">
        <v>0.61262378772827442</v>
      </c>
      <c r="I8" s="2" t="e">
        <v>#N/A</v>
      </c>
      <c r="J8" s="2" t="e">
        <v>#N/A</v>
      </c>
      <c r="K8" s="2" t="e">
        <v>#N/A</v>
      </c>
      <c r="L8" s="2">
        <v>0</v>
      </c>
      <c r="M8" s="84" t="e">
        <v>#N/A</v>
      </c>
      <c r="N8" s="46" t="e">
        <v>#N/A</v>
      </c>
      <c r="O8" s="46" t="e">
        <v>#N/A</v>
      </c>
      <c r="P8" s="21">
        <v>44900</v>
      </c>
      <c r="Q8" s="22">
        <v>10.71</v>
      </c>
      <c r="R8" s="23">
        <v>0.93</v>
      </c>
      <c r="S8" s="2">
        <v>0.39662449799196786</v>
      </c>
      <c r="T8" s="2">
        <v>0.52649999999999997</v>
      </c>
      <c r="U8" s="2">
        <v>0</v>
      </c>
      <c r="V8" s="2">
        <v>0.55000000000000004</v>
      </c>
      <c r="W8" s="2">
        <v>0</v>
      </c>
      <c r="X8" s="2">
        <v>0</v>
      </c>
      <c r="Y8" s="2">
        <v>0.66583333333333339</v>
      </c>
      <c r="Z8" s="2">
        <v>0.1165539999742061</v>
      </c>
      <c r="AA8" s="2">
        <v>1</v>
      </c>
      <c r="AB8" s="2">
        <v>0.32</v>
      </c>
      <c r="AC8" s="2">
        <v>0.71019999910146003</v>
      </c>
      <c r="AD8" s="2">
        <v>0</v>
      </c>
      <c r="AE8" s="2">
        <v>6.7499999999999991E-2</v>
      </c>
      <c r="AF8" s="2">
        <v>0.53552</v>
      </c>
      <c r="AG8" s="2">
        <v>0.3101302621202171</v>
      </c>
      <c r="AH8" s="2">
        <v>8.3989501999999994E-2</v>
      </c>
      <c r="AI8" s="2">
        <v>0</v>
      </c>
      <c r="AJ8" s="2">
        <v>7.6096982714580763E-2</v>
      </c>
      <c r="AK8" s="2">
        <v>0</v>
      </c>
      <c r="AL8" s="2">
        <v>0</v>
      </c>
      <c r="AM8" s="2">
        <v>0</v>
      </c>
      <c r="AN8" s="2">
        <v>0</v>
      </c>
      <c r="AO8" s="2">
        <v>1.4485208293096644E-2</v>
      </c>
      <c r="AP8" s="2">
        <v>0</v>
      </c>
      <c r="AQ8" s="16">
        <v>0.2238930743970359</v>
      </c>
      <c r="AR8" s="2" t="e">
        <v>#N/A</v>
      </c>
      <c r="AS8" s="2" t="e">
        <v>#N/A</v>
      </c>
      <c r="AT8" s="2" t="e">
        <v>#N/A</v>
      </c>
      <c r="AU8" s="2" t="e">
        <v>#N/A</v>
      </c>
      <c r="AV8" s="2" t="e">
        <v>#N/A</v>
      </c>
      <c r="AW8" s="2" t="e">
        <v>#N/A</v>
      </c>
      <c r="AX8" s="2" t="e">
        <v>#N/A</v>
      </c>
      <c r="AY8" s="2">
        <v>0.76255019762189513</v>
      </c>
      <c r="AZ8" s="2">
        <v>0.77162951967828775</v>
      </c>
      <c r="BA8" s="2">
        <v>0.76851503651085529</v>
      </c>
      <c r="BB8" s="2">
        <v>0.81710684695965674</v>
      </c>
      <c r="BC8" s="2">
        <v>0.14177609156061069</v>
      </c>
      <c r="BD8" s="2">
        <v>0.74542285539150466</v>
      </c>
      <c r="BE8" s="2" t="e">
        <v>#N/A</v>
      </c>
    </row>
    <row r="9" spans="1:57">
      <c r="A9" s="1" t="s">
        <v>98</v>
      </c>
      <c r="B9" s="1" t="s">
        <v>196</v>
      </c>
      <c r="C9" s="2">
        <v>0.28144608065818943</v>
      </c>
      <c r="D9" s="2">
        <v>0.34409999999999996</v>
      </c>
      <c r="E9" s="2">
        <v>0.45369436225409243</v>
      </c>
      <c r="F9" s="2">
        <v>0.26073710676534484</v>
      </c>
      <c r="G9" s="2">
        <v>0.81099656385040442</v>
      </c>
      <c r="H9" s="11">
        <v>0.43019482270560622</v>
      </c>
      <c r="I9" s="2">
        <v>0.27690617960100528</v>
      </c>
      <c r="J9" s="2">
        <v>0.46788098873319683</v>
      </c>
      <c r="K9" s="2">
        <v>1</v>
      </c>
      <c r="L9" s="2">
        <v>0.94</v>
      </c>
      <c r="M9" s="84">
        <v>0.67119679208355054</v>
      </c>
      <c r="N9" s="46">
        <v>0.53590000933455861</v>
      </c>
      <c r="O9" s="46">
        <v>0.53628368199671628</v>
      </c>
      <c r="P9" s="21">
        <v>5812</v>
      </c>
      <c r="Q9" s="22">
        <v>8.67</v>
      </c>
      <c r="R9" s="23">
        <v>0.56000000000000005</v>
      </c>
      <c r="S9" s="2">
        <v>0.33537626176218988</v>
      </c>
      <c r="T9" s="2">
        <v>4.3270000000000001E-3</v>
      </c>
      <c r="U9" s="2">
        <v>0.51999999955296516</v>
      </c>
      <c r="V9" s="2">
        <v>0.35</v>
      </c>
      <c r="W9" s="2">
        <v>0.84399999999999997</v>
      </c>
      <c r="X9" s="2">
        <v>0.4527999994903803</v>
      </c>
      <c r="Y9" s="2">
        <v>0.52441666666666664</v>
      </c>
      <c r="Z9" s="2">
        <v>0.42823999990522865</v>
      </c>
      <c r="AA9" s="2">
        <v>0.98623529411766664</v>
      </c>
      <c r="AB9" s="2">
        <v>1</v>
      </c>
      <c r="AC9" s="2">
        <v>0.58299999926239254</v>
      </c>
      <c r="AD9" s="2">
        <v>0.84000000000000008</v>
      </c>
      <c r="AE9" s="2">
        <v>0.20749999999999999</v>
      </c>
      <c r="AF9" s="2">
        <v>0.93959999999999999</v>
      </c>
      <c r="AG9" s="2">
        <v>0.79687555037841329</v>
      </c>
      <c r="AH9" s="2">
        <v>0.92385786800000003</v>
      </c>
      <c r="AI9" s="2">
        <v>2.7604677270290964E-2</v>
      </c>
      <c r="AJ9" s="2">
        <v>0.90992258083775568</v>
      </c>
      <c r="AK9" s="2">
        <v>2.8238353245001592E-3</v>
      </c>
      <c r="AL9" s="2">
        <v>5.2795712771018903E-2</v>
      </c>
      <c r="AM9" s="2">
        <v>0.73799999999999999</v>
      </c>
      <c r="AN9" s="2">
        <v>0.64</v>
      </c>
      <c r="AO9" s="2">
        <v>1.8047645784872061E-2</v>
      </c>
      <c r="AP9" s="2">
        <v>0.91472000269757547</v>
      </c>
      <c r="AQ9" s="16">
        <v>0.54333929557591321</v>
      </c>
      <c r="AR9" s="2">
        <v>0.434</v>
      </c>
      <c r="AS9" s="2">
        <v>0.4</v>
      </c>
      <c r="AT9" s="2">
        <v>0.85099999999999998</v>
      </c>
      <c r="AU9" s="2">
        <v>0.628</v>
      </c>
      <c r="AV9" s="2">
        <v>0.35</v>
      </c>
      <c r="AW9" s="2">
        <v>0.626</v>
      </c>
      <c r="AX9" s="2">
        <v>0.70400000000000007</v>
      </c>
      <c r="AY9" s="2">
        <v>0.45229970171283157</v>
      </c>
      <c r="AZ9" s="2">
        <v>0.27392429019300557</v>
      </c>
      <c r="BA9" s="2">
        <v>0.23534805866497618</v>
      </c>
      <c r="BB9" s="2">
        <v>0.48224351646816138</v>
      </c>
      <c r="BC9" s="2">
        <v>3.6642680071219805E-2</v>
      </c>
      <c r="BD9" s="2">
        <v>0.26364930530479852</v>
      </c>
      <c r="BE9" s="2">
        <v>0.45200000000000001</v>
      </c>
    </row>
    <row r="10" spans="1:57">
      <c r="A10" s="1" t="s">
        <v>157</v>
      </c>
      <c r="B10" s="1" t="s">
        <v>197</v>
      </c>
      <c r="C10" s="2" t="e">
        <v>#N/A</v>
      </c>
      <c r="D10" s="2">
        <v>0.62</v>
      </c>
      <c r="E10" s="2" t="e">
        <v>#N/A</v>
      </c>
      <c r="F10" s="2">
        <v>0.35405375916953186</v>
      </c>
      <c r="G10" s="2">
        <v>0.58824251410266704</v>
      </c>
      <c r="H10" s="11">
        <v>0.52076542442406637</v>
      </c>
      <c r="I10" s="2">
        <v>0</v>
      </c>
      <c r="J10" s="2">
        <v>1</v>
      </c>
      <c r="K10" s="2">
        <v>0.1</v>
      </c>
      <c r="L10" s="2">
        <v>0</v>
      </c>
      <c r="M10" s="84">
        <v>0.27500000000000002</v>
      </c>
      <c r="N10" s="46">
        <v>0.340510374560758</v>
      </c>
      <c r="O10" s="46">
        <v>0.35988109429025827</v>
      </c>
      <c r="P10" s="21">
        <v>18778</v>
      </c>
      <c r="Q10" s="22">
        <v>9.84</v>
      </c>
      <c r="R10" s="23">
        <v>0.87</v>
      </c>
      <c r="S10" s="2">
        <v>0.5</v>
      </c>
      <c r="T10" s="2">
        <v>0.5</v>
      </c>
      <c r="U10" s="2">
        <v>0.19919999755918982</v>
      </c>
      <c r="V10" s="2">
        <v>0.17500000000000004</v>
      </c>
      <c r="W10" s="2">
        <v>0</v>
      </c>
      <c r="X10" s="2">
        <v>0.16399999745190141</v>
      </c>
      <c r="Y10" s="2">
        <v>0.71158333333333335</v>
      </c>
      <c r="Z10" s="2">
        <v>0.70316199984438721</v>
      </c>
      <c r="AA10" s="2">
        <v>0.99729166666666669</v>
      </c>
      <c r="AB10" s="2">
        <v>0.46</v>
      </c>
      <c r="AC10" s="2">
        <v>0.98579999875277291</v>
      </c>
      <c r="AD10" s="2">
        <v>0</v>
      </c>
      <c r="AE10" s="2">
        <v>0.3175</v>
      </c>
      <c r="AF10" s="2">
        <v>0.85519999999999996</v>
      </c>
      <c r="AG10" s="2">
        <v>0.43528779949356944</v>
      </c>
      <c r="AH10" s="2">
        <v>0.25294117599999999</v>
      </c>
      <c r="AI10" s="2">
        <v>0</v>
      </c>
      <c r="AJ10" s="2">
        <v>5.0000000000000001E-3</v>
      </c>
      <c r="AK10" s="2">
        <v>0.40674142063787289</v>
      </c>
      <c r="AL10" s="2">
        <v>0.31135530638454401</v>
      </c>
      <c r="AM10" s="2">
        <v>5.0000000000000044E-2</v>
      </c>
      <c r="AN10" s="2">
        <v>0</v>
      </c>
      <c r="AO10" s="2">
        <v>0</v>
      </c>
      <c r="AP10" s="2">
        <v>0.67040000919999998</v>
      </c>
      <c r="AQ10" s="16">
        <v>0.36251927938850992</v>
      </c>
      <c r="AR10" s="2" t="e">
        <v>#N/A</v>
      </c>
      <c r="AS10" s="2" t="e">
        <v>#N/A</v>
      </c>
      <c r="AT10" s="2" t="e">
        <v>#N/A</v>
      </c>
      <c r="AU10" s="2" t="e">
        <v>#N/A</v>
      </c>
      <c r="AV10" s="2" t="e">
        <v>#N/A</v>
      </c>
      <c r="AW10" s="2" t="e">
        <v>#N/A</v>
      </c>
      <c r="AX10" s="2" t="e">
        <v>#N/A</v>
      </c>
      <c r="AY10" s="2">
        <v>0.64898105686399365</v>
      </c>
      <c r="AZ10" s="2">
        <v>0.60052982470950489</v>
      </c>
      <c r="BA10" s="2">
        <v>0.76851503651085529</v>
      </c>
      <c r="BB10" s="2">
        <v>1</v>
      </c>
      <c r="BC10" s="2">
        <v>0.21025099999999999</v>
      </c>
      <c r="BD10" s="2">
        <v>0.69496892869132576</v>
      </c>
      <c r="BE10" s="2" t="e">
        <v>#N/A</v>
      </c>
    </row>
    <row r="11" spans="1:57">
      <c r="A11" s="1" t="s">
        <v>13</v>
      </c>
      <c r="B11" s="1" t="s">
        <v>198</v>
      </c>
      <c r="C11" s="2">
        <v>0</v>
      </c>
      <c r="D11" s="2">
        <v>0.70879999999999999</v>
      </c>
      <c r="E11" s="2">
        <v>0.29393440339133353</v>
      </c>
      <c r="F11" s="2">
        <v>0.49135802469135803</v>
      </c>
      <c r="G11" s="2">
        <v>0.1496890856873373</v>
      </c>
      <c r="H11" s="11">
        <v>0.3287563027540058</v>
      </c>
      <c r="I11" s="2">
        <v>0.12458750855129788</v>
      </c>
      <c r="J11" s="2">
        <v>0.3573351619182078</v>
      </c>
      <c r="K11" s="2">
        <v>0.35</v>
      </c>
      <c r="L11" s="2">
        <v>0.29714285714285715</v>
      </c>
      <c r="M11" s="84">
        <v>0.28226638190309072</v>
      </c>
      <c r="N11" s="46">
        <v>0.18650132751643278</v>
      </c>
      <c r="O11" s="46">
        <v>0.21966299702353875</v>
      </c>
      <c r="P11" s="21">
        <v>14538</v>
      </c>
      <c r="Q11" s="22">
        <v>9.58</v>
      </c>
      <c r="R11" s="23">
        <v>0.87</v>
      </c>
      <c r="S11" s="2">
        <v>0.20756588419405322</v>
      </c>
      <c r="T11" s="2">
        <v>4.8011999821141363E-2</v>
      </c>
      <c r="U11" s="2">
        <v>6.8799999132752365E-2</v>
      </c>
      <c r="V11" s="2">
        <v>0.19999999999999996</v>
      </c>
      <c r="W11" s="2">
        <v>2E-3</v>
      </c>
      <c r="X11" s="2">
        <v>0.13599999919533734</v>
      </c>
      <c r="Y11" s="2">
        <v>0.32058333333333333</v>
      </c>
      <c r="Z11" s="2">
        <v>7.8779999982565643E-2</v>
      </c>
      <c r="AA11" s="2">
        <v>0.92481438249048975</v>
      </c>
      <c r="AB11" s="2">
        <v>0.08</v>
      </c>
      <c r="AC11" s="2">
        <v>0</v>
      </c>
      <c r="AD11" s="2">
        <v>0.12</v>
      </c>
      <c r="AE11" s="2">
        <v>0.3175</v>
      </c>
      <c r="AF11" s="2">
        <v>0.72840000000000005</v>
      </c>
      <c r="AG11" s="2">
        <v>0.25358766694560642</v>
      </c>
      <c r="AH11" s="2">
        <v>0.27358490600000002</v>
      </c>
      <c r="AI11" s="2">
        <v>0</v>
      </c>
      <c r="AJ11" s="2">
        <v>4.3189066662871124E-2</v>
      </c>
      <c r="AK11" s="2">
        <v>1.8841976410093067E-2</v>
      </c>
      <c r="AL11" s="2">
        <v>0.109338425914286</v>
      </c>
      <c r="AM11" s="2">
        <v>2.8000000000000025E-2</v>
      </c>
      <c r="AN11" s="2">
        <v>0.19</v>
      </c>
      <c r="AO11" s="2">
        <v>1.1510255089177072E-2</v>
      </c>
      <c r="AP11" s="2">
        <v>0.74199999906122682</v>
      </c>
      <c r="AQ11" s="16">
        <v>0.20427116225970554</v>
      </c>
      <c r="AR11" s="2">
        <v>0.621</v>
      </c>
      <c r="AS11" s="2">
        <v>0.3</v>
      </c>
      <c r="AT11" s="2">
        <v>0.69499999999999995</v>
      </c>
      <c r="AU11" s="2">
        <v>0.75599999999999989</v>
      </c>
      <c r="AV11" s="2">
        <v>0.45</v>
      </c>
      <c r="AW11" s="2">
        <v>0.61199999999999999</v>
      </c>
      <c r="AX11" s="2">
        <v>0.69499999999999995</v>
      </c>
      <c r="AY11" s="2">
        <v>0.4968185249329885</v>
      </c>
      <c r="AZ11" s="2">
        <v>0.54949827327755718</v>
      </c>
      <c r="BA11" s="2">
        <v>0.40365139180743836</v>
      </c>
      <c r="BB11" s="2">
        <v>1</v>
      </c>
      <c r="BC11" s="2">
        <v>0.90956414415482434</v>
      </c>
      <c r="BD11" s="2">
        <v>0.36865172272332786</v>
      </c>
      <c r="BE11" s="2">
        <v>0.501</v>
      </c>
    </row>
    <row r="12" spans="1:57">
      <c r="A12" s="1" t="s">
        <v>75</v>
      </c>
      <c r="B12" s="1" t="s">
        <v>199</v>
      </c>
      <c r="C12" s="2">
        <v>0.53953535750767945</v>
      </c>
      <c r="D12" s="2">
        <v>0.52880000000000005</v>
      </c>
      <c r="E12" s="2">
        <v>0.28764135822821424</v>
      </c>
      <c r="F12" s="2">
        <v>0.24000413449863325</v>
      </c>
      <c r="G12" s="2">
        <v>0.78399607297189089</v>
      </c>
      <c r="H12" s="11">
        <v>0.4759953846412836</v>
      </c>
      <c r="I12" s="2">
        <v>0</v>
      </c>
      <c r="J12" s="2">
        <v>0.66342394171405306</v>
      </c>
      <c r="K12" s="2">
        <v>0.375</v>
      </c>
      <c r="L12" s="2">
        <v>0</v>
      </c>
      <c r="M12" s="84">
        <v>0.25960598542851326</v>
      </c>
      <c r="N12" s="46">
        <v>0.249886510262428</v>
      </c>
      <c r="O12" s="46">
        <v>0.28532354882481042</v>
      </c>
      <c r="P12" s="21">
        <v>5279</v>
      </c>
      <c r="Q12" s="22">
        <v>8.57</v>
      </c>
      <c r="R12" s="23">
        <v>0.8</v>
      </c>
      <c r="S12" s="2">
        <v>0.62183219653179189</v>
      </c>
      <c r="T12" s="2">
        <v>0.40028999918662012</v>
      </c>
      <c r="U12" s="2">
        <v>7.8399999141693155E-2</v>
      </c>
      <c r="V12" s="2">
        <v>0.67500000000000004</v>
      </c>
      <c r="W12" s="2">
        <v>4.3333333333333335E-2</v>
      </c>
      <c r="X12" s="2">
        <v>0.13599999919533734</v>
      </c>
      <c r="Y12" s="2">
        <v>0.27966666666666667</v>
      </c>
      <c r="Z12" s="2">
        <v>0.36582199991904196</v>
      </c>
      <c r="AA12" s="2">
        <v>0.88119770910725392</v>
      </c>
      <c r="AB12" s="2">
        <v>0.14000000000000001</v>
      </c>
      <c r="AC12" s="2">
        <v>0.8691999989002942</v>
      </c>
      <c r="AD12" s="2">
        <v>1.0999999977648259E-2</v>
      </c>
      <c r="AE12" s="2">
        <v>7.4999999999999997E-2</v>
      </c>
      <c r="AF12" s="2">
        <v>0.50944</v>
      </c>
      <c r="AG12" s="2">
        <v>0.28808210600212303</v>
      </c>
      <c r="AH12" s="2">
        <v>0.144249512</v>
      </c>
      <c r="AI12" s="2">
        <v>8.5198686826045145E-2</v>
      </c>
      <c r="AJ12" s="2">
        <v>1.3915217148037333E-2</v>
      </c>
      <c r="AK12" s="2">
        <v>0</v>
      </c>
      <c r="AL12" s="2">
        <v>0</v>
      </c>
      <c r="AM12" s="2">
        <v>0</v>
      </c>
      <c r="AN12" s="2">
        <v>0.82</v>
      </c>
      <c r="AO12" s="2">
        <v>0.15957446808510639</v>
      </c>
      <c r="AP12" s="2">
        <v>0.13100799919068817</v>
      </c>
      <c r="AQ12" s="16">
        <v>0.28034207880048673</v>
      </c>
      <c r="AR12" s="2">
        <v>0.83400000000000007</v>
      </c>
      <c r="AS12" s="2">
        <v>0.7</v>
      </c>
      <c r="AT12" s="2">
        <v>0.89300000000000002</v>
      </c>
      <c r="AU12" s="2">
        <v>0.90900000000000003</v>
      </c>
      <c r="AV12" s="2">
        <v>0.75</v>
      </c>
      <c r="AW12" s="2">
        <v>0.72900000000000009</v>
      </c>
      <c r="AX12" s="2">
        <v>0.80500000000000005</v>
      </c>
      <c r="AY12" s="2">
        <v>0.51781823804118376</v>
      </c>
      <c r="AZ12" s="2">
        <v>0.33679196889784435</v>
      </c>
      <c r="BA12" s="2">
        <v>0.3830538259853945</v>
      </c>
      <c r="BB12" s="2">
        <v>0.93481862042266795</v>
      </c>
      <c r="BC12" s="2">
        <v>0.7092273730172689</v>
      </c>
      <c r="BD12" s="2">
        <v>0.42112885334491984</v>
      </c>
      <c r="BE12" s="2">
        <v>0.70599999999999996</v>
      </c>
    </row>
    <row r="13" spans="1:57">
      <c r="A13" s="1" t="s">
        <v>16</v>
      </c>
      <c r="B13" s="1" t="s">
        <v>200</v>
      </c>
      <c r="C13" s="2">
        <v>0</v>
      </c>
      <c r="D13" s="2">
        <v>0.38759999999999994</v>
      </c>
      <c r="E13" s="2">
        <v>0.10520992458543768</v>
      </c>
      <c r="F13" s="2">
        <v>0.53660362490149727</v>
      </c>
      <c r="G13" s="2">
        <v>0</v>
      </c>
      <c r="H13" s="11">
        <v>0.205882709897387</v>
      </c>
      <c r="I13" s="2">
        <v>5.9363479026986903E-2</v>
      </c>
      <c r="J13" s="2">
        <v>0.17516868751149148</v>
      </c>
      <c r="K13" s="2">
        <v>0</v>
      </c>
      <c r="L13" s="2">
        <v>0</v>
      </c>
      <c r="M13" s="84">
        <v>5.8633041634619597E-2</v>
      </c>
      <c r="N13" s="46">
        <v>0.19277197141073354</v>
      </c>
      <c r="O13" s="46">
        <v>0.17849918272372783</v>
      </c>
      <c r="P13" s="21">
        <v>39539</v>
      </c>
      <c r="Q13" s="22">
        <v>10.59</v>
      </c>
      <c r="R13" s="23">
        <v>0.97</v>
      </c>
      <c r="S13" s="2">
        <v>0.29015336206896547</v>
      </c>
      <c r="T13" s="2">
        <v>5.4995999795123936E-2</v>
      </c>
      <c r="U13" s="2">
        <v>3.9999999105930328E-2</v>
      </c>
      <c r="V13" s="2">
        <v>0.27500000000000002</v>
      </c>
      <c r="W13" s="2">
        <v>0</v>
      </c>
      <c r="X13" s="2">
        <v>3.9999999105930328E-2</v>
      </c>
      <c r="Y13" s="2">
        <v>0.49116666666666664</v>
      </c>
      <c r="Z13" s="2">
        <v>0.11190799997523428</v>
      </c>
      <c r="AA13" s="2">
        <v>0.93914510234079085</v>
      </c>
      <c r="AB13" s="2">
        <v>0.32</v>
      </c>
      <c r="AC13" s="2">
        <v>3.1799999959766866E-2</v>
      </c>
      <c r="AD13" s="2">
        <v>0</v>
      </c>
      <c r="AE13" s="2">
        <v>0.85</v>
      </c>
      <c r="AF13" s="2">
        <v>0.37712000000000001</v>
      </c>
      <c r="AG13" s="2">
        <v>0.13721365708112754</v>
      </c>
      <c r="AH13" s="2">
        <v>9.5238095999999994E-2</v>
      </c>
      <c r="AI13" s="2">
        <v>0</v>
      </c>
      <c r="AJ13" s="2">
        <v>3.5177518969758508E-3</v>
      </c>
      <c r="AK13" s="2">
        <v>1.604261631696664E-2</v>
      </c>
      <c r="AL13" s="2">
        <v>0.121074922878081</v>
      </c>
      <c r="AM13" s="2">
        <v>0</v>
      </c>
      <c r="AN13" s="2">
        <v>0</v>
      </c>
      <c r="AO13" s="2">
        <v>4.6860966116918116E-3</v>
      </c>
      <c r="AP13" s="2">
        <v>0.70587999214797015</v>
      </c>
      <c r="AQ13" s="16">
        <v>0.20437259424796761</v>
      </c>
      <c r="AR13" s="2">
        <v>0.90300000000000002</v>
      </c>
      <c r="AS13" s="2">
        <v>0.9</v>
      </c>
      <c r="AT13" s="2">
        <v>0.61399999999999999</v>
      </c>
      <c r="AU13" s="2">
        <v>0.64900000000000002</v>
      </c>
      <c r="AV13" s="2">
        <v>0.8</v>
      </c>
      <c r="AW13" s="2">
        <v>0.82700000000000007</v>
      </c>
      <c r="AX13" s="2">
        <v>0.85099999999999998</v>
      </c>
      <c r="AY13" s="2">
        <v>0.66529548297940422</v>
      </c>
      <c r="AZ13" s="2">
        <v>0.77581390451848464</v>
      </c>
      <c r="BA13" s="2">
        <v>0.90197378217071</v>
      </c>
      <c r="BB13" s="2">
        <v>1</v>
      </c>
      <c r="BC13" s="2">
        <v>1</v>
      </c>
      <c r="BD13" s="2">
        <v>0.84194773032917547</v>
      </c>
      <c r="BE13" s="2">
        <v>0.94900000000000007</v>
      </c>
    </row>
    <row r="14" spans="1:57">
      <c r="A14" s="1" t="s">
        <v>69</v>
      </c>
      <c r="B14" s="1" t="s">
        <v>201</v>
      </c>
      <c r="C14" s="2">
        <v>0.38994727296642018</v>
      </c>
      <c r="D14" s="2">
        <v>0.13</v>
      </c>
      <c r="E14" s="2">
        <v>4.1368016320953424E-2</v>
      </c>
      <c r="F14" s="2">
        <v>0.14740994747060632</v>
      </c>
      <c r="G14" s="2">
        <v>0</v>
      </c>
      <c r="H14" s="11">
        <v>0.14174504735159599</v>
      </c>
      <c r="I14" s="2">
        <v>0.70108847630719429</v>
      </c>
      <c r="J14" s="2">
        <v>0.28701674415642042</v>
      </c>
      <c r="K14" s="2">
        <v>0</v>
      </c>
      <c r="L14" s="2">
        <v>0</v>
      </c>
      <c r="M14" s="84">
        <v>0.24702630511590368</v>
      </c>
      <c r="N14" s="46">
        <v>0.1667202749248485</v>
      </c>
      <c r="O14" s="46">
        <v>0.17267021380054418</v>
      </c>
      <c r="P14" s="21">
        <v>38818</v>
      </c>
      <c r="Q14" s="22">
        <v>10.57</v>
      </c>
      <c r="R14" s="23">
        <v>0.96</v>
      </c>
      <c r="S14" s="2">
        <v>0.43509673913043473</v>
      </c>
      <c r="T14" s="2">
        <v>5.6447999789714806E-2</v>
      </c>
      <c r="U14" s="2">
        <v>3.9999999105930328E-2</v>
      </c>
      <c r="V14" s="2">
        <v>0.57499999999999996</v>
      </c>
      <c r="W14" s="2">
        <v>0</v>
      </c>
      <c r="X14" s="2">
        <v>3.9999999105930328E-2</v>
      </c>
      <c r="Y14" s="2">
        <v>0.23600000000000002</v>
      </c>
      <c r="Z14" s="2">
        <v>0.32946199992708858</v>
      </c>
      <c r="AA14" s="2">
        <v>0.80367836541058646</v>
      </c>
      <c r="AB14" s="2">
        <v>0.42</v>
      </c>
      <c r="AC14" s="2">
        <v>0.28619999963790183</v>
      </c>
      <c r="AD14" s="2">
        <v>0</v>
      </c>
      <c r="AE14" s="2">
        <v>6.7499999999999991E-2</v>
      </c>
      <c r="AF14" s="2">
        <v>0.30647999999999997</v>
      </c>
      <c r="AG14" s="2">
        <v>0.1554068278297791</v>
      </c>
      <c r="AH14" s="2">
        <v>6.6508313999999999E-2</v>
      </c>
      <c r="AI14" s="2">
        <v>0</v>
      </c>
      <c r="AJ14" s="2">
        <v>1.8236082784322761E-3</v>
      </c>
      <c r="AK14" s="2">
        <v>0</v>
      </c>
      <c r="AL14" s="2">
        <v>0</v>
      </c>
      <c r="AM14" s="2">
        <v>0</v>
      </c>
      <c r="AN14" s="2">
        <v>0.86</v>
      </c>
      <c r="AO14" s="2">
        <v>7.2771376591873868E-2</v>
      </c>
      <c r="AP14" s="2">
        <v>3.9999999105930328E-2</v>
      </c>
      <c r="AQ14" s="16">
        <v>0.19968230116306676</v>
      </c>
      <c r="AR14" s="2">
        <v>0.73599999999999999</v>
      </c>
      <c r="AS14" s="2">
        <v>0.7</v>
      </c>
      <c r="AT14" s="2">
        <v>0.51200000000000001</v>
      </c>
      <c r="AU14" s="2">
        <v>0.28800000000000003</v>
      </c>
      <c r="AV14" s="2">
        <v>0.75</v>
      </c>
      <c r="AW14" s="2">
        <v>0.79299999999999993</v>
      </c>
      <c r="AX14" s="2">
        <v>0.875</v>
      </c>
      <c r="AY14" s="2">
        <v>0.72331404306213398</v>
      </c>
      <c r="AZ14" s="2">
        <v>0.77209766651353884</v>
      </c>
      <c r="BA14" s="2">
        <v>0.8471252707934529</v>
      </c>
      <c r="BB14" s="2">
        <v>1</v>
      </c>
      <c r="BC14" s="2">
        <v>0.75037275498455336</v>
      </c>
      <c r="BD14" s="2">
        <v>0.84816526468637865</v>
      </c>
      <c r="BE14" s="2">
        <v>0.79099999999999993</v>
      </c>
    </row>
    <row r="15" spans="1:57">
      <c r="A15" s="1" t="s">
        <v>110</v>
      </c>
      <c r="B15" s="1" t="s">
        <v>202</v>
      </c>
      <c r="C15" s="2">
        <v>0.52892386623916987</v>
      </c>
      <c r="D15" s="2">
        <v>0.59820000000000007</v>
      </c>
      <c r="E15" s="2">
        <v>0.45202182799822876</v>
      </c>
      <c r="F15" s="2">
        <v>0.36308320506221142</v>
      </c>
      <c r="G15" s="2">
        <v>0.81099656385040442</v>
      </c>
      <c r="H15" s="11">
        <v>0.55064509263000294</v>
      </c>
      <c r="I15" s="2">
        <v>0.11988004494327202</v>
      </c>
      <c r="J15" s="2">
        <v>0.45364763270507757</v>
      </c>
      <c r="K15" s="2">
        <v>0.3</v>
      </c>
      <c r="L15" s="2">
        <v>0</v>
      </c>
      <c r="M15" s="84">
        <v>0.2183819194120874</v>
      </c>
      <c r="N15" s="46">
        <v>0.24357874104041274</v>
      </c>
      <c r="O15" s="46">
        <v>0.28704978562934153</v>
      </c>
      <c r="P15" s="21">
        <v>9638</v>
      </c>
      <c r="Q15" s="22">
        <v>9.17</v>
      </c>
      <c r="R15" s="23">
        <v>0.79</v>
      </c>
      <c r="S15" s="2">
        <v>0.48637371428571419</v>
      </c>
      <c r="T15" s="2">
        <v>0.38730999921299519</v>
      </c>
      <c r="U15" s="2">
        <v>0.23199999928474424</v>
      </c>
      <c r="V15" s="2">
        <v>0.625</v>
      </c>
      <c r="W15" s="2">
        <v>0.17933333333333334</v>
      </c>
      <c r="X15" s="2">
        <v>0.56799999959766867</v>
      </c>
      <c r="Y15" s="2">
        <v>0.29150000000000004</v>
      </c>
      <c r="Z15" s="2">
        <v>0.48419399989284573</v>
      </c>
      <c r="AA15" s="2">
        <v>0.66468664936567667</v>
      </c>
      <c r="AB15" s="2">
        <v>0.12</v>
      </c>
      <c r="AC15" s="2">
        <v>0.49819999936968085</v>
      </c>
      <c r="AD15" s="2">
        <v>0.16199999973177909</v>
      </c>
      <c r="AE15" s="2">
        <v>7.4999999999999997E-2</v>
      </c>
      <c r="AF15" s="2">
        <v>0.35968</v>
      </c>
      <c r="AG15" s="2">
        <v>0.3525884865500043</v>
      </c>
      <c r="AH15" s="2">
        <v>0.19012115600000001</v>
      </c>
      <c r="AI15" s="2">
        <v>5.9961190944730338E-3</v>
      </c>
      <c r="AJ15" s="2">
        <v>2.1693354261350602E-2</v>
      </c>
      <c r="AK15" s="2">
        <v>0</v>
      </c>
      <c r="AL15" s="2">
        <v>0</v>
      </c>
      <c r="AM15" s="2">
        <v>0</v>
      </c>
      <c r="AN15" s="2">
        <v>0</v>
      </c>
      <c r="AO15" s="2">
        <v>9.076716407072577E-2</v>
      </c>
      <c r="AP15" s="2">
        <v>0.53445657423915605</v>
      </c>
      <c r="AQ15" s="16">
        <v>0.26370418951208952</v>
      </c>
      <c r="AR15" s="2">
        <v>0.746</v>
      </c>
      <c r="AS15" s="2">
        <v>0.4</v>
      </c>
      <c r="AT15" s="2">
        <v>0.79500000000000004</v>
      </c>
      <c r="AU15" s="2">
        <v>0.77500000000000002</v>
      </c>
      <c r="AV15" s="2">
        <v>0.55000000000000004</v>
      </c>
      <c r="AW15" s="2">
        <v>0.627</v>
      </c>
      <c r="AX15" s="2">
        <v>0.77099999999999991</v>
      </c>
      <c r="AY15" s="2">
        <v>0.42262266631384671</v>
      </c>
      <c r="AZ15" s="2">
        <v>0.26208665187661195</v>
      </c>
      <c r="BA15" s="2">
        <v>0.28227952977403509</v>
      </c>
      <c r="BB15" s="2">
        <v>0.97172700480879448</v>
      </c>
      <c r="BC15" s="2">
        <v>0.26953047006085329</v>
      </c>
      <c r="BD15" s="2">
        <v>0.33909036314348745</v>
      </c>
      <c r="BE15" s="2">
        <v>0.82499999999999996</v>
      </c>
    </row>
    <row r="16" spans="1:57">
      <c r="A16" s="1" t="s">
        <v>26</v>
      </c>
      <c r="B16" s="1" t="s">
        <v>203</v>
      </c>
      <c r="C16" s="2" t="e">
        <v>#N/A</v>
      </c>
      <c r="D16" s="2">
        <v>0.20409999999999995</v>
      </c>
      <c r="E16" s="2" t="e">
        <v>#N/A</v>
      </c>
      <c r="F16" s="2">
        <v>0.35861054151173888</v>
      </c>
      <c r="G16" s="2">
        <v>0.59540173354332893</v>
      </c>
      <c r="H16" s="11">
        <v>0.38603742501835586</v>
      </c>
      <c r="I16" s="2">
        <v>8.9730309246939907E-2</v>
      </c>
      <c r="J16" s="2">
        <v>1</v>
      </c>
      <c r="K16" s="2">
        <v>0</v>
      </c>
      <c r="L16" s="2">
        <v>0</v>
      </c>
      <c r="M16" s="84">
        <v>0.27243257731173498</v>
      </c>
      <c r="N16" s="46">
        <v>0.32642740115040858</v>
      </c>
      <c r="O16" s="46">
        <v>0.32891439581662202</v>
      </c>
      <c r="P16" s="21">
        <v>25894</v>
      </c>
      <c r="Q16" s="22">
        <v>10.16</v>
      </c>
      <c r="R16" s="23">
        <v>0.86</v>
      </c>
      <c r="S16" s="2">
        <v>0.54228291457286426</v>
      </c>
      <c r="T16" s="2">
        <v>0.5</v>
      </c>
      <c r="U16" s="2">
        <v>0.14639999739825726</v>
      </c>
      <c r="V16" s="2">
        <v>0.15000000000000002</v>
      </c>
      <c r="W16" s="2">
        <v>1.3333333333333333E-3</v>
      </c>
      <c r="X16" s="2">
        <v>3.9999999105930328E-2</v>
      </c>
      <c r="Y16" s="2">
        <v>0.71158333333333335</v>
      </c>
      <c r="Z16" s="2">
        <v>0.16260999996401371</v>
      </c>
      <c r="AA16" s="2">
        <v>1</v>
      </c>
      <c r="AB16" s="2">
        <v>0.24</v>
      </c>
      <c r="AC16" s="2">
        <v>1</v>
      </c>
      <c r="AD16" s="2">
        <v>0</v>
      </c>
      <c r="AE16" s="2">
        <v>0.3175</v>
      </c>
      <c r="AF16" s="2">
        <v>0.73719999999999997</v>
      </c>
      <c r="AG16" s="2">
        <v>0.28907910112500279</v>
      </c>
      <c r="AH16" s="2">
        <v>0.30232558199999998</v>
      </c>
      <c r="AI16" s="2">
        <v>0</v>
      </c>
      <c r="AJ16" s="2">
        <v>2.5923890177713689E-2</v>
      </c>
      <c r="AK16" s="2">
        <v>0.93182496652727775</v>
      </c>
      <c r="AL16" s="2">
        <v>0.87632329726901204</v>
      </c>
      <c r="AM16" s="2">
        <v>6.0000000000000053E-2</v>
      </c>
      <c r="AN16" s="2">
        <v>0</v>
      </c>
      <c r="AO16" s="2">
        <v>0</v>
      </c>
      <c r="AP16" s="2">
        <v>0.52931998514461798</v>
      </c>
      <c r="AQ16" s="16">
        <v>0.35682109999797312</v>
      </c>
      <c r="AR16" s="2">
        <v>0.7340000000000001</v>
      </c>
      <c r="AS16" s="2">
        <v>0.7</v>
      </c>
      <c r="AT16" s="2">
        <v>0.95200000000000007</v>
      </c>
      <c r="AU16" s="2">
        <v>0.83599999999999997</v>
      </c>
      <c r="AV16" s="2">
        <v>0.3</v>
      </c>
      <c r="AW16" s="2">
        <v>0.72699999999999998</v>
      </c>
      <c r="AX16" s="2">
        <v>0.42200000000000004</v>
      </c>
      <c r="AY16" s="2">
        <v>0.67483168073107025</v>
      </c>
      <c r="AZ16" s="2">
        <v>0.69645015121661757</v>
      </c>
      <c r="BA16" s="2">
        <v>0.77241002591022878</v>
      </c>
      <c r="BB16" s="2">
        <v>1</v>
      </c>
      <c r="BC16" s="2">
        <v>0.21383214285714286</v>
      </c>
      <c r="BD16" s="2">
        <v>0.658041968136308</v>
      </c>
      <c r="BE16" s="2">
        <v>0.81</v>
      </c>
    </row>
    <row r="17" spans="1:57">
      <c r="A17" s="1" t="s">
        <v>15</v>
      </c>
      <c r="B17" s="1" t="s">
        <v>204</v>
      </c>
      <c r="C17" s="2" t="e">
        <v>#N/A</v>
      </c>
      <c r="D17" s="2">
        <v>0.92530000000000001</v>
      </c>
      <c r="E17" s="2">
        <v>1.0174334322774472E-2</v>
      </c>
      <c r="F17" s="2">
        <v>0.30579158340238732</v>
      </c>
      <c r="G17" s="2">
        <v>0.74369988501463724</v>
      </c>
      <c r="H17" s="11">
        <v>0.49624145068494979</v>
      </c>
      <c r="I17" s="2">
        <v>2.9738234735192399E-3</v>
      </c>
      <c r="J17" s="2">
        <v>8.2385492364175916E-2</v>
      </c>
      <c r="K17" s="2">
        <v>0</v>
      </c>
      <c r="L17" s="2">
        <v>0</v>
      </c>
      <c r="M17" s="84">
        <v>2.1339828959423789E-2</v>
      </c>
      <c r="N17" s="46">
        <v>0.33520185312087075</v>
      </c>
      <c r="O17" s="46">
        <v>0.32155791042919224</v>
      </c>
      <c r="P17" s="21">
        <v>35174</v>
      </c>
      <c r="Q17" s="22">
        <v>10.47</v>
      </c>
      <c r="R17" s="23">
        <v>0.9</v>
      </c>
      <c r="S17" s="2">
        <v>1</v>
      </c>
      <c r="T17" s="2">
        <v>1</v>
      </c>
      <c r="U17" s="2">
        <v>0</v>
      </c>
      <c r="V17" s="2">
        <v>0.52500000000000002</v>
      </c>
      <c r="W17" s="2">
        <v>0</v>
      </c>
      <c r="X17" s="2">
        <v>0</v>
      </c>
      <c r="Y17" s="2">
        <v>0.54108333333333336</v>
      </c>
      <c r="Z17" s="2">
        <v>0.1155439999744296</v>
      </c>
      <c r="AA17" s="2">
        <v>1</v>
      </c>
      <c r="AB17" s="2">
        <v>0.1</v>
      </c>
      <c r="AC17" s="2">
        <v>1</v>
      </c>
      <c r="AD17" s="2">
        <v>0.18</v>
      </c>
      <c r="AE17" s="2">
        <v>7.4999999999999997E-2</v>
      </c>
      <c r="AF17" s="2">
        <v>0.73543999999999998</v>
      </c>
      <c r="AG17" s="2">
        <v>0.24249943278893904</v>
      </c>
      <c r="AH17" s="2">
        <v>0.18367347000000001</v>
      </c>
      <c r="AI17" s="2">
        <v>0</v>
      </c>
      <c r="AJ17" s="2">
        <v>1.1733990829912494E-2</v>
      </c>
      <c r="AK17" s="2">
        <v>0.52112770970668865</v>
      </c>
      <c r="AL17" s="2">
        <v>0.77416756354415095</v>
      </c>
      <c r="AM17" s="2">
        <v>5.9999999999998943E-3</v>
      </c>
      <c r="AN17" s="2">
        <v>0</v>
      </c>
      <c r="AO17" s="2">
        <v>0</v>
      </c>
      <c r="AP17" s="2">
        <v>0.21777777706349877</v>
      </c>
      <c r="AQ17" s="16">
        <v>0.34287696988503963</v>
      </c>
      <c r="AR17" s="2">
        <v>0.77800000000000002</v>
      </c>
      <c r="AS17" s="2">
        <v>0.8</v>
      </c>
      <c r="AT17" s="2">
        <v>0.99900000000000011</v>
      </c>
      <c r="AU17" s="2">
        <v>0.80799999999999994</v>
      </c>
      <c r="AV17" s="2">
        <v>0.65</v>
      </c>
      <c r="AW17" s="2">
        <v>0.7340000000000001</v>
      </c>
      <c r="AX17" s="2">
        <v>0.82900000000000007</v>
      </c>
      <c r="AY17" s="2">
        <v>0.48241327451690907</v>
      </c>
      <c r="AZ17" s="2">
        <v>0.33654049910333539</v>
      </c>
      <c r="BA17" s="2">
        <v>0.55884861276012676</v>
      </c>
      <c r="BB17" s="2">
        <v>1</v>
      </c>
      <c r="BC17" s="2">
        <v>0.24252618152896691</v>
      </c>
      <c r="BD17" s="2">
        <v>0.60050225291057646</v>
      </c>
      <c r="BE17" s="2">
        <v>0.89400000000000002</v>
      </c>
    </row>
    <row r="18" spans="1:57">
      <c r="A18" s="1" t="s">
        <v>166</v>
      </c>
      <c r="B18" s="1" t="s">
        <v>205</v>
      </c>
      <c r="C18" s="2">
        <v>0.50878286505728654</v>
      </c>
      <c r="D18" s="2">
        <v>0.89239999999999997</v>
      </c>
      <c r="E18" s="2">
        <v>0.47056710280641412</v>
      </c>
      <c r="F18" s="2">
        <v>0.56978917933085704</v>
      </c>
      <c r="G18" s="2">
        <v>0.66924398673820795</v>
      </c>
      <c r="H18" s="11">
        <v>0.62215662678655304</v>
      </c>
      <c r="I18" s="2">
        <v>0.7664132134724071</v>
      </c>
      <c r="J18" s="2">
        <v>0.35797994453270143</v>
      </c>
      <c r="K18" s="2">
        <v>0.1</v>
      </c>
      <c r="L18" s="2">
        <v>0.88</v>
      </c>
      <c r="M18" s="84">
        <v>0.52609828950127713</v>
      </c>
      <c r="N18" s="46">
        <v>0.43333331351883547</v>
      </c>
      <c r="O18" s="46">
        <v>0.47318714595120986</v>
      </c>
      <c r="P18" s="21">
        <v>1416</v>
      </c>
      <c r="Q18" s="22">
        <v>7.26</v>
      </c>
      <c r="R18" s="23">
        <v>0.54</v>
      </c>
      <c r="S18" s="2">
        <v>0.21798074210879784</v>
      </c>
      <c r="T18" s="2">
        <v>2.9229999999999999E-2</v>
      </c>
      <c r="U18" s="2">
        <v>0.23199999928474424</v>
      </c>
      <c r="V18" s="2">
        <v>0.27500000000000002</v>
      </c>
      <c r="W18" s="2">
        <v>0.22266666666666668</v>
      </c>
      <c r="X18" s="2">
        <v>0.49119999952614313</v>
      </c>
      <c r="Y18" s="2">
        <v>0.46758333333333335</v>
      </c>
      <c r="Z18" s="2">
        <v>0.73103799983821804</v>
      </c>
      <c r="AA18" s="2">
        <v>0.22578902953583335</v>
      </c>
      <c r="AB18" s="2">
        <v>1</v>
      </c>
      <c r="AC18" s="2">
        <v>0.1165999998524785</v>
      </c>
      <c r="AD18" s="2">
        <v>1</v>
      </c>
      <c r="AE18" s="2">
        <v>0.44999999999999996</v>
      </c>
      <c r="AF18" s="2">
        <v>0.96560000000000001</v>
      </c>
      <c r="AG18" s="2">
        <v>0.4300159988172354</v>
      </c>
      <c r="AH18" s="2">
        <v>0.60510114400000004</v>
      </c>
      <c r="AI18" s="2">
        <v>8.0815764153015127E-2</v>
      </c>
      <c r="AJ18" s="2">
        <v>0.2302348004420712</v>
      </c>
      <c r="AK18" s="2">
        <v>0.39954954747682664</v>
      </c>
      <c r="AL18" s="2">
        <v>0.455607547870235</v>
      </c>
      <c r="AM18" s="2">
        <v>0.59000000000000008</v>
      </c>
      <c r="AN18" s="2">
        <v>0.2</v>
      </c>
      <c r="AO18" s="2">
        <v>0.34570177460244295</v>
      </c>
      <c r="AP18" s="2">
        <v>0.9182999997027218</v>
      </c>
      <c r="AQ18" s="16">
        <v>0.44500059780044837</v>
      </c>
      <c r="AR18" s="2">
        <v>0.59399999999999997</v>
      </c>
      <c r="AS18" s="2">
        <v>0.2</v>
      </c>
      <c r="AT18" s="2">
        <v>0.72799999999999998</v>
      </c>
      <c r="AU18" s="2">
        <v>0.93900000000000006</v>
      </c>
      <c r="AV18" s="2">
        <v>0.45</v>
      </c>
      <c r="AW18" s="2">
        <v>0.66599999999999993</v>
      </c>
      <c r="AX18" s="2">
        <v>0.57999999999999996</v>
      </c>
      <c r="AY18" s="2">
        <v>0.19360548135508737</v>
      </c>
      <c r="AZ18" s="2">
        <v>0.42651581643717018</v>
      </c>
      <c r="BA18" s="2">
        <v>0.30967062399350498</v>
      </c>
      <c r="BB18" s="2">
        <v>0.34175650101136235</v>
      </c>
      <c r="BC18" s="2">
        <v>0.1111540885965244</v>
      </c>
      <c r="BD18" s="2">
        <v>0.35704614250600836</v>
      </c>
      <c r="BE18" s="2">
        <v>0.53799999999999992</v>
      </c>
    </row>
    <row r="19" spans="1:57">
      <c r="A19" s="1" t="s">
        <v>133</v>
      </c>
      <c r="B19" s="1" t="s">
        <v>206</v>
      </c>
      <c r="C19" s="2" t="e">
        <v>#N/A</v>
      </c>
      <c r="D19" s="2">
        <v>0.99470000000000003</v>
      </c>
      <c r="E19" s="2" t="e">
        <v>#N/A</v>
      </c>
      <c r="F19" s="2">
        <v>0.31573438786674596</v>
      </c>
      <c r="G19" s="2">
        <v>0.52769595798652813</v>
      </c>
      <c r="H19" s="11">
        <v>0.61271011528442465</v>
      </c>
      <c r="I19" s="2">
        <v>1</v>
      </c>
      <c r="J19" s="2">
        <v>1</v>
      </c>
      <c r="K19" s="2">
        <v>0</v>
      </c>
      <c r="L19" s="2">
        <v>0</v>
      </c>
      <c r="M19" s="84">
        <v>0.5</v>
      </c>
      <c r="N19" s="46">
        <v>0.26075988246182863</v>
      </c>
      <c r="O19" s="46">
        <v>0.34308447743957604</v>
      </c>
      <c r="P19" s="21">
        <v>19189</v>
      </c>
      <c r="Q19" s="22">
        <v>9.86</v>
      </c>
      <c r="R19" s="23">
        <v>0.9</v>
      </c>
      <c r="S19" s="2">
        <v>0.70687246341463417</v>
      </c>
      <c r="T19" s="2">
        <v>0.7612000000000001</v>
      </c>
      <c r="U19" s="2">
        <v>3.9999999105930328E-2</v>
      </c>
      <c r="V19" s="2">
        <v>0.125</v>
      </c>
      <c r="W19" s="2">
        <v>0</v>
      </c>
      <c r="X19" s="2">
        <v>3.9999999105930328E-2</v>
      </c>
      <c r="Y19" s="2">
        <v>0.71158333333333335</v>
      </c>
      <c r="Z19" s="2">
        <v>0.60276799986660479</v>
      </c>
      <c r="AA19" s="2">
        <v>0.81729166666666664</v>
      </c>
      <c r="AB19" s="2">
        <v>0.08</v>
      </c>
      <c r="AC19" s="2">
        <v>1</v>
      </c>
      <c r="AD19" s="2">
        <v>0</v>
      </c>
      <c r="AE19" s="2">
        <v>0.3175</v>
      </c>
      <c r="AF19" s="2">
        <v>0.66071999999999997</v>
      </c>
      <c r="AG19" s="2">
        <v>0.22142907179370697</v>
      </c>
      <c r="AH19" s="2">
        <v>0.28429752000000003</v>
      </c>
      <c r="AI19" s="2">
        <v>1.8951080011406045E-2</v>
      </c>
      <c r="AJ19" s="2">
        <v>2.3760326179573663E-2</v>
      </c>
      <c r="AK19" s="2">
        <v>4.3447176195445289E-2</v>
      </c>
      <c r="AL19" s="2">
        <v>4.3447321860959502E-2</v>
      </c>
      <c r="AM19" s="2">
        <v>0</v>
      </c>
      <c r="AN19" s="2">
        <v>0</v>
      </c>
      <c r="AO19" s="2">
        <v>0</v>
      </c>
      <c r="AP19" s="2">
        <v>0.11999999731779099</v>
      </c>
      <c r="AQ19" s="16">
        <v>0.27576116478549922</v>
      </c>
      <c r="AR19" s="2">
        <v>0.9</v>
      </c>
      <c r="AS19" s="2">
        <v>0.6</v>
      </c>
      <c r="AT19" s="2">
        <v>0.70099999999999996</v>
      </c>
      <c r="AU19" s="2">
        <v>0.54600000000000004</v>
      </c>
      <c r="AV19" s="2">
        <v>0.45</v>
      </c>
      <c r="AW19" s="2">
        <v>0.73099999999999998</v>
      </c>
      <c r="AX19" s="2">
        <v>0.60499999999999998</v>
      </c>
      <c r="AY19" s="2">
        <v>0.71668084540897781</v>
      </c>
      <c r="AZ19" s="2">
        <v>0.72470513294565442</v>
      </c>
      <c r="BA19" s="2">
        <v>0.76524731667182322</v>
      </c>
      <c r="BB19" s="2">
        <v>1</v>
      </c>
      <c r="BC19" s="2" t="e">
        <v>#N/A</v>
      </c>
      <c r="BD19" s="2">
        <v>0.69263096496675725</v>
      </c>
      <c r="BE19" s="2">
        <v>0.8</v>
      </c>
    </row>
    <row r="20" spans="1:57">
      <c r="A20" s="1" t="s">
        <v>51</v>
      </c>
      <c r="B20" s="1" t="s">
        <v>207</v>
      </c>
      <c r="C20" s="2">
        <v>0.36138923412909985</v>
      </c>
      <c r="D20" s="2">
        <v>0.57530000000000003</v>
      </c>
      <c r="E20" s="2">
        <v>0.30218184186464297</v>
      </c>
      <c r="F20" s="2">
        <v>9.896666379821957E-2</v>
      </c>
      <c r="G20" s="2">
        <v>0.36548846435492965</v>
      </c>
      <c r="H20" s="11">
        <v>0.34066524082937844</v>
      </c>
      <c r="I20" s="2">
        <v>0</v>
      </c>
      <c r="J20" s="2">
        <v>0.23238994061406756</v>
      </c>
      <c r="K20" s="2">
        <v>0</v>
      </c>
      <c r="L20" s="2">
        <v>0</v>
      </c>
      <c r="M20" s="84">
        <v>5.8097485153516891E-2</v>
      </c>
      <c r="N20" s="46">
        <v>0.19862378403135397</v>
      </c>
      <c r="O20" s="46">
        <v>0.20311172610646835</v>
      </c>
      <c r="P20" s="21">
        <v>13040</v>
      </c>
      <c r="Q20" s="22">
        <v>9.48</v>
      </c>
      <c r="R20" s="23">
        <v>0.83</v>
      </c>
      <c r="S20" s="2">
        <v>0.56517705977382882</v>
      </c>
      <c r="T20" s="2">
        <v>7.4789999999999995E-2</v>
      </c>
      <c r="U20" s="2">
        <v>3.9999999105930328E-2</v>
      </c>
      <c r="V20" s="2">
        <v>0.75</v>
      </c>
      <c r="W20" s="2">
        <v>6.6666666666666664E-4</v>
      </c>
      <c r="X20" s="2">
        <v>0.10719999916851519</v>
      </c>
      <c r="Y20" s="2">
        <v>0.27966666666666667</v>
      </c>
      <c r="Z20" s="2">
        <v>0.26381199994161725</v>
      </c>
      <c r="AA20" s="2">
        <v>0.59757391433783347</v>
      </c>
      <c r="AB20" s="2">
        <v>0.04</v>
      </c>
      <c r="AC20" s="2">
        <v>0.10599999986588955</v>
      </c>
      <c r="AD20" s="2">
        <v>0.01</v>
      </c>
      <c r="AE20" s="2">
        <v>0.87499999999999989</v>
      </c>
      <c r="AF20" s="2">
        <v>0.10807999999999995</v>
      </c>
      <c r="AG20" s="2">
        <v>0.34384874020040035</v>
      </c>
      <c r="AH20" s="2">
        <v>6.6371682000000001E-2</v>
      </c>
      <c r="AI20" s="2">
        <v>2.4430074419593516E-3</v>
      </c>
      <c r="AJ20" s="2">
        <v>5.0996046356159598E-3</v>
      </c>
      <c r="AK20" s="2">
        <v>0</v>
      </c>
      <c r="AL20" s="2">
        <v>0</v>
      </c>
      <c r="AM20" s="2">
        <v>0</v>
      </c>
      <c r="AN20" s="2">
        <v>0.86</v>
      </c>
      <c r="AO20" s="2">
        <v>2.2178413011335635E-2</v>
      </c>
      <c r="AP20" s="2">
        <v>0.20224000350874161</v>
      </c>
      <c r="AQ20" s="16">
        <v>0.22167282318020834</v>
      </c>
      <c r="AR20" s="2">
        <v>0.72099999999999997</v>
      </c>
      <c r="AS20" s="2">
        <v>0.1</v>
      </c>
      <c r="AT20" s="2">
        <v>0.85199999999999998</v>
      </c>
      <c r="AU20" s="2">
        <v>0.32</v>
      </c>
      <c r="AV20" s="2">
        <v>0.2</v>
      </c>
      <c r="AW20" s="2">
        <v>0.626</v>
      </c>
      <c r="AX20" s="2">
        <v>0.80299999999999994</v>
      </c>
      <c r="AY20" s="2">
        <v>0.57256202869457451</v>
      </c>
      <c r="AZ20" s="2">
        <v>0.19430019372068955</v>
      </c>
      <c r="BA20" s="2">
        <v>0.34533189268999653</v>
      </c>
      <c r="BB20" s="2">
        <v>1</v>
      </c>
      <c r="BC20" s="2">
        <v>1</v>
      </c>
      <c r="BD20" s="2">
        <v>0.31484291475348536</v>
      </c>
      <c r="BE20" s="2">
        <v>0.84799999999999998</v>
      </c>
    </row>
    <row r="21" spans="1:57">
      <c r="A21" s="1" t="s">
        <v>4</v>
      </c>
      <c r="B21" s="1" t="s">
        <v>208</v>
      </c>
      <c r="C21" s="2">
        <v>0.75200139040734615</v>
      </c>
      <c r="D21" s="2">
        <v>0.18879999999999997</v>
      </c>
      <c r="E21" s="2">
        <v>2.4362454658342733E-2</v>
      </c>
      <c r="F21" s="2">
        <v>6.5705220359602537E-2</v>
      </c>
      <c r="G21" s="2">
        <v>0</v>
      </c>
      <c r="H21" s="11">
        <v>0.20617381308505828</v>
      </c>
      <c r="I21" s="2">
        <v>1.3461665056918103E-2</v>
      </c>
      <c r="J21" s="2">
        <v>0.11385414105214886</v>
      </c>
      <c r="K21" s="2">
        <v>0</v>
      </c>
      <c r="L21" s="2">
        <v>0</v>
      </c>
      <c r="M21" s="84">
        <v>3.1828951527266738E-2</v>
      </c>
      <c r="N21" s="46">
        <v>0.25008081400898868</v>
      </c>
      <c r="O21" s="46">
        <v>0.21697346690151775</v>
      </c>
      <c r="P21" s="21">
        <v>36313</v>
      </c>
      <c r="Q21" s="22">
        <v>10.5</v>
      </c>
      <c r="R21" s="23">
        <v>0.95</v>
      </c>
      <c r="S21" s="2">
        <v>0.2099123475609756</v>
      </c>
      <c r="T21" s="2">
        <v>0.37366999924071131</v>
      </c>
      <c r="U21" s="2">
        <v>3.9999999105930328E-2</v>
      </c>
      <c r="V21" s="2">
        <v>0.44999999999999996</v>
      </c>
      <c r="W21" s="2">
        <v>0</v>
      </c>
      <c r="X21" s="2">
        <v>3.9999999105930328E-2</v>
      </c>
      <c r="Y21" s="2">
        <v>0.25958333333333333</v>
      </c>
      <c r="Z21" s="2">
        <v>2.6461999994143844E-2</v>
      </c>
      <c r="AA21" s="2">
        <v>0.9832116788321168</v>
      </c>
      <c r="AB21" s="2">
        <v>0.36</v>
      </c>
      <c r="AC21" s="2">
        <v>1</v>
      </c>
      <c r="AD21" s="2">
        <v>0</v>
      </c>
      <c r="AE21" s="2">
        <v>6.7499999999999991E-2</v>
      </c>
      <c r="AF21" s="2">
        <v>0.74903999999999993</v>
      </c>
      <c r="AG21" s="2">
        <v>0.16189642783582314</v>
      </c>
      <c r="AH21" s="2">
        <v>0.14932126600000001</v>
      </c>
      <c r="AI21" s="2">
        <v>0</v>
      </c>
      <c r="AJ21" s="2">
        <v>2.37456309795863E-3</v>
      </c>
      <c r="AK21" s="2">
        <v>0.14447460360993447</v>
      </c>
      <c r="AL21" s="2">
        <v>0.229527806512104</v>
      </c>
      <c r="AM21" s="2">
        <v>0</v>
      </c>
      <c r="AN21" s="2">
        <v>0.72</v>
      </c>
      <c r="AO21" s="2">
        <v>0.49537648612945839</v>
      </c>
      <c r="AP21" s="2">
        <v>0.24927999930083744</v>
      </c>
      <c r="AQ21" s="16">
        <v>0.27965127123580241</v>
      </c>
      <c r="AR21" s="2">
        <v>0.92900000000000005</v>
      </c>
      <c r="AS21" s="2">
        <v>0.7</v>
      </c>
      <c r="AT21" s="2">
        <v>0.42200000000000004</v>
      </c>
      <c r="AU21" s="2">
        <v>0.3</v>
      </c>
      <c r="AV21" s="2">
        <v>0.8</v>
      </c>
      <c r="AW21" s="2">
        <v>0.77900000000000003</v>
      </c>
      <c r="AX21" s="2">
        <v>0.875</v>
      </c>
      <c r="AY21" s="2">
        <v>0.65555473284442767</v>
      </c>
      <c r="AZ21" s="2">
        <v>0.77593766767002303</v>
      </c>
      <c r="BA21" s="2">
        <v>0.78412150177998674</v>
      </c>
      <c r="BB21" s="2">
        <v>1</v>
      </c>
      <c r="BC21" s="2">
        <v>0.8635988579471463</v>
      </c>
      <c r="BD21" s="2">
        <v>0.77154084320553995</v>
      </c>
      <c r="BE21" s="2">
        <v>0.67099999999999993</v>
      </c>
    </row>
    <row r="22" spans="1:57">
      <c r="A22" s="1" t="s">
        <v>109</v>
      </c>
      <c r="B22" s="1" t="s">
        <v>209</v>
      </c>
      <c r="C22" s="2" t="e">
        <v>#N/A</v>
      </c>
      <c r="D22" s="2">
        <v>1.1200000000000099E-2</v>
      </c>
      <c r="E22" s="2">
        <v>1</v>
      </c>
      <c r="F22" s="2">
        <v>0.21841180718684769</v>
      </c>
      <c r="G22" s="2">
        <v>0.65615283801998459</v>
      </c>
      <c r="H22" s="11">
        <v>0.4714411613017081</v>
      </c>
      <c r="I22" s="2">
        <v>0.14047334916562443</v>
      </c>
      <c r="J22" s="2" t="e">
        <v>#N/A</v>
      </c>
      <c r="K22" s="2">
        <v>0.17499999999999999</v>
      </c>
      <c r="L22" s="2">
        <v>0.26714285714285713</v>
      </c>
      <c r="M22" s="84">
        <v>0.19420540210282719</v>
      </c>
      <c r="N22" s="46">
        <v>0.30994525258645705</v>
      </c>
      <c r="O22" s="46">
        <v>0.3203852568786309</v>
      </c>
      <c r="P22" s="21">
        <v>6628</v>
      </c>
      <c r="Q22" s="22">
        <v>8.8000000000000007</v>
      </c>
      <c r="R22" s="23">
        <v>0.77</v>
      </c>
      <c r="S22" s="2">
        <v>1</v>
      </c>
      <c r="T22" s="2">
        <v>9.7031999638527641E-3</v>
      </c>
      <c r="U22" s="2">
        <v>4.9599999114871007E-2</v>
      </c>
      <c r="V22" s="2">
        <v>0.30000000000000004</v>
      </c>
      <c r="W22" s="2">
        <v>1.7333333333333333E-2</v>
      </c>
      <c r="X22" s="2">
        <v>0.13599999919533734</v>
      </c>
      <c r="Y22" s="2">
        <v>0.49525000000000002</v>
      </c>
      <c r="Z22" s="2">
        <v>0.48277999989315867</v>
      </c>
      <c r="AA22" s="2">
        <v>0.91707142857150004</v>
      </c>
      <c r="AB22" s="2">
        <v>0.06</v>
      </c>
      <c r="AC22" s="2">
        <v>0.33919999957084657</v>
      </c>
      <c r="AD22" s="2">
        <v>6.9999999999999993E-2</v>
      </c>
      <c r="AE22" s="2">
        <v>0.3175</v>
      </c>
      <c r="AF22" s="2">
        <v>0.85536000000000001</v>
      </c>
      <c r="AG22" s="2">
        <v>0.23459277912303866</v>
      </c>
      <c r="AH22" s="2">
        <v>0.33615819200000002</v>
      </c>
      <c r="AI22" s="2">
        <v>7.5806153458223766E-3</v>
      </c>
      <c r="AJ22" s="2">
        <v>7.9420718971723411E-2</v>
      </c>
      <c r="AK22" s="2">
        <v>0.1559046237035541</v>
      </c>
      <c r="AL22" s="2">
        <v>0.40332035678730699</v>
      </c>
      <c r="AM22" s="2">
        <v>8.2999999999999963E-2</v>
      </c>
      <c r="AN22" s="2">
        <v>0.4</v>
      </c>
      <c r="AO22" s="2">
        <v>6.5760631302060502E-2</v>
      </c>
      <c r="AP22" s="2">
        <v>0.8605999993160367</v>
      </c>
      <c r="AQ22" s="16">
        <v>0.31983899484135186</v>
      </c>
      <c r="AR22" s="2">
        <v>0.74099999999999999</v>
      </c>
      <c r="AS22" s="2">
        <v>0.5</v>
      </c>
      <c r="AT22" s="2">
        <v>0.68299999999999994</v>
      </c>
      <c r="AU22" s="2">
        <v>0.74900000000000011</v>
      </c>
      <c r="AV22" s="2">
        <v>0.5</v>
      </c>
      <c r="AW22" s="2">
        <v>0.75599999999999989</v>
      </c>
      <c r="AX22" s="2">
        <v>0.71499999999999997</v>
      </c>
      <c r="AY22" s="2">
        <v>0.51526604506892071</v>
      </c>
      <c r="AZ22" s="2">
        <v>0.64738695923946743</v>
      </c>
      <c r="BA22" s="2">
        <v>0.48726139396574314</v>
      </c>
      <c r="BB22" s="2">
        <v>0.5340975391361924</v>
      </c>
      <c r="BC22" s="2">
        <v>0.15863915575010248</v>
      </c>
      <c r="BD22" s="2">
        <v>0.42431193268545331</v>
      </c>
      <c r="BE22" s="2">
        <v>0.81700000000000006</v>
      </c>
    </row>
    <row r="23" spans="1:57">
      <c r="A23" s="1" t="s">
        <v>132</v>
      </c>
      <c r="B23" s="1" t="s">
        <v>210</v>
      </c>
      <c r="C23" s="2">
        <v>0.50725573263841495</v>
      </c>
      <c r="D23" s="2">
        <v>1.1200000000000099E-2</v>
      </c>
      <c r="E23" s="2">
        <v>0.76560416658778063</v>
      </c>
      <c r="F23" s="2">
        <v>0.18592744435294842</v>
      </c>
      <c r="G23" s="2">
        <v>0.59519718518281217</v>
      </c>
      <c r="H23" s="11">
        <v>0.41303690575239127</v>
      </c>
      <c r="I23" s="2">
        <v>0.16825619449937265</v>
      </c>
      <c r="J23" s="2">
        <v>0.18170233499079158</v>
      </c>
      <c r="K23" s="2">
        <v>0.5</v>
      </c>
      <c r="L23" s="2">
        <v>0.99714285714285711</v>
      </c>
      <c r="M23" s="84">
        <v>0.46177534665825537</v>
      </c>
      <c r="N23" s="46">
        <v>0.48073418060646816</v>
      </c>
      <c r="O23" s="46">
        <v>0.4681789772712186</v>
      </c>
      <c r="P23" s="21">
        <v>1508</v>
      </c>
      <c r="Q23" s="22">
        <v>7.32</v>
      </c>
      <c r="R23" s="23">
        <v>0.49</v>
      </c>
      <c r="S23" s="2">
        <v>1</v>
      </c>
      <c r="T23" s="2">
        <v>4.9259999999999998E-3</v>
      </c>
      <c r="U23" s="2">
        <v>0.27999999932944775</v>
      </c>
      <c r="V23" s="2">
        <v>0.32499999999999996</v>
      </c>
      <c r="W23" s="2">
        <v>0.34533333333333333</v>
      </c>
      <c r="X23" s="2">
        <v>0.88479999989271163</v>
      </c>
      <c r="Y23" s="2">
        <v>0.62008333333333332</v>
      </c>
      <c r="Z23" s="2">
        <v>0.58983999986946589</v>
      </c>
      <c r="AA23" s="2">
        <v>1</v>
      </c>
      <c r="AB23" s="2">
        <v>0.26</v>
      </c>
      <c r="AC23" s="2">
        <v>0.19079999975860118</v>
      </c>
      <c r="AD23" s="2">
        <v>0.50759999915957454</v>
      </c>
      <c r="AE23" s="2">
        <v>0.20749999999999999</v>
      </c>
      <c r="AF23" s="2">
        <v>0.96448</v>
      </c>
      <c r="AG23" s="2">
        <v>0.52154286719516108</v>
      </c>
      <c r="AH23" s="2">
        <v>0.81908548800000003</v>
      </c>
      <c r="AI23" s="2">
        <v>0.22860650479040842</v>
      </c>
      <c r="AJ23" s="2">
        <v>0.599284210984806</v>
      </c>
      <c r="AK23" s="2">
        <v>1.6341815777022133E-2</v>
      </c>
      <c r="AL23" s="2">
        <v>0.209514596205015</v>
      </c>
      <c r="AM23" s="2">
        <v>0.752</v>
      </c>
      <c r="AN23" s="2">
        <v>0.39</v>
      </c>
      <c r="AO23" s="2">
        <v>8.1359609473874522E-2</v>
      </c>
      <c r="AP23" s="2">
        <v>0.91639999974519015</v>
      </c>
      <c r="AQ23" s="16">
        <v>0.48810407320199767</v>
      </c>
      <c r="AR23" s="2">
        <v>0.42299999999999999</v>
      </c>
      <c r="AS23" s="2">
        <v>0.5</v>
      </c>
      <c r="AT23" s="2">
        <v>0.75900000000000001</v>
      </c>
      <c r="AU23" s="2">
        <v>0.85199999999999998</v>
      </c>
      <c r="AV23" s="2">
        <v>0.6</v>
      </c>
      <c r="AW23" s="2">
        <v>0.746</v>
      </c>
      <c r="AX23" s="2">
        <v>0.56999999999999995</v>
      </c>
      <c r="AY23" s="2">
        <v>0.5876629073427807</v>
      </c>
      <c r="AZ23" s="2">
        <v>0.56097039439641783</v>
      </c>
      <c r="BA23" s="2">
        <v>0.37174555169768758</v>
      </c>
      <c r="BB23" s="2">
        <v>0.61966348026885831</v>
      </c>
      <c r="BC23" s="2">
        <v>7.6845760149359704E-2</v>
      </c>
      <c r="BD23" s="2">
        <v>0.36381534726382159</v>
      </c>
      <c r="BE23" s="2">
        <v>0.47799999999999998</v>
      </c>
    </row>
    <row r="24" spans="1:57">
      <c r="A24" s="1" t="s">
        <v>146</v>
      </c>
      <c r="B24" s="1" t="s">
        <v>211</v>
      </c>
      <c r="C24" s="2" t="e">
        <v>#N/A</v>
      </c>
      <c r="D24" s="2">
        <v>4.9399999999999999E-2</v>
      </c>
      <c r="E24" s="2">
        <v>1</v>
      </c>
      <c r="F24" s="2">
        <v>0.5160344095391699</v>
      </c>
      <c r="G24" s="2">
        <v>0.89874815920557394</v>
      </c>
      <c r="H24" s="11">
        <v>0.61604564218618596</v>
      </c>
      <c r="I24" s="2">
        <v>0.93907006699377471</v>
      </c>
      <c r="J24" s="2" t="e">
        <v>#N/A</v>
      </c>
      <c r="K24" s="2">
        <v>0.82499999999999996</v>
      </c>
      <c r="L24" s="2">
        <v>0</v>
      </c>
      <c r="M24" s="84">
        <v>0.58802335566459163</v>
      </c>
      <c r="N24" s="46">
        <v>0.39021928723004184</v>
      </c>
      <c r="O24" s="46">
        <v>0.44841165233667579</v>
      </c>
      <c r="P24" s="21">
        <v>5113</v>
      </c>
      <c r="Q24" s="22">
        <v>8.5399999999999991</v>
      </c>
      <c r="R24" s="23">
        <v>0.62</v>
      </c>
      <c r="S24" s="2">
        <v>0.35093883702839357</v>
      </c>
      <c r="T24" s="2">
        <v>4.333E-3</v>
      </c>
      <c r="U24" s="2">
        <v>0.11679999917745587</v>
      </c>
      <c r="V24" s="2">
        <v>0.42500000000000004</v>
      </c>
      <c r="W24" s="2">
        <v>0.216</v>
      </c>
      <c r="X24" s="2">
        <v>0.37599999941885476</v>
      </c>
      <c r="Y24" s="2">
        <v>0.45650000000000002</v>
      </c>
      <c r="Z24" s="2">
        <v>0.65003599985614413</v>
      </c>
      <c r="AA24" s="2">
        <v>0.91724111247034401</v>
      </c>
      <c r="AB24" s="2">
        <v>0.14000000000000001</v>
      </c>
      <c r="AC24" s="2">
        <v>1</v>
      </c>
      <c r="AD24" s="2">
        <v>0.31</v>
      </c>
      <c r="AE24" s="2">
        <v>0.44999999999999996</v>
      </c>
      <c r="AF24" s="2">
        <v>0.98536000000000001</v>
      </c>
      <c r="AG24" s="2">
        <v>0.43023562808573357</v>
      </c>
      <c r="AH24" s="2">
        <v>0.59883235999999995</v>
      </c>
      <c r="AI24" s="2">
        <v>7.6644830177938161E-2</v>
      </c>
      <c r="AJ24" s="2">
        <v>0.15016319331090733</v>
      </c>
      <c r="AK24" s="2">
        <v>0</v>
      </c>
      <c r="AL24" s="2">
        <v>0</v>
      </c>
      <c r="AM24" s="2">
        <v>0.31499999999999995</v>
      </c>
      <c r="AN24" s="2">
        <v>1</v>
      </c>
      <c r="AO24" s="2">
        <v>0.15627441787779339</v>
      </c>
      <c r="AP24" s="2">
        <v>0.46679999805986883</v>
      </c>
      <c r="AQ24" s="16">
        <v>0.39967330731097633</v>
      </c>
      <c r="AR24" s="2">
        <v>0.60499999999999998</v>
      </c>
      <c r="AS24" s="2">
        <v>0.3</v>
      </c>
      <c r="AT24" s="2">
        <v>0.84099999999999997</v>
      </c>
      <c r="AU24" s="2">
        <v>0.58299999999999996</v>
      </c>
      <c r="AV24" s="2">
        <v>0.15</v>
      </c>
      <c r="AW24" s="2">
        <v>0.7340000000000001</v>
      </c>
      <c r="AX24" s="2">
        <v>0.52</v>
      </c>
      <c r="AY24" s="2">
        <v>0.63568667363427778</v>
      </c>
      <c r="AZ24" s="2">
        <v>0.37438833376859965</v>
      </c>
      <c r="BA24" s="2">
        <v>0.66569721956497607</v>
      </c>
      <c r="BB24" s="2">
        <v>0.51590297357973458</v>
      </c>
      <c r="BC24" s="2">
        <v>9.0072137226743357E-2</v>
      </c>
      <c r="BD24" s="2">
        <v>0.53242397809566755</v>
      </c>
      <c r="BE24" s="2">
        <v>0.85099999999999998</v>
      </c>
    </row>
    <row r="25" spans="1:57">
      <c r="A25" s="1" t="s">
        <v>72</v>
      </c>
      <c r="B25" s="1" t="s">
        <v>212</v>
      </c>
      <c r="C25" s="2">
        <v>0</v>
      </c>
      <c r="D25" s="2">
        <v>0.13760000000000006</v>
      </c>
      <c r="E25" s="2">
        <v>1</v>
      </c>
      <c r="F25" s="2">
        <v>0.35341996255266012</v>
      </c>
      <c r="G25" s="2">
        <v>0.83799705472891817</v>
      </c>
      <c r="H25" s="11">
        <v>0.46580340345631566</v>
      </c>
      <c r="I25" s="2">
        <v>0.21860157052340473</v>
      </c>
      <c r="J25" s="2">
        <v>0.21916713381801928</v>
      </c>
      <c r="K25" s="2">
        <v>0.625</v>
      </c>
      <c r="L25" s="2">
        <v>0.67571428571428571</v>
      </c>
      <c r="M25" s="84">
        <v>0.43462074751392743</v>
      </c>
      <c r="N25" s="46">
        <v>0.334494889777885</v>
      </c>
      <c r="O25" s="46">
        <v>0.36652658672747057</v>
      </c>
      <c r="P25" s="21">
        <v>4419</v>
      </c>
      <c r="Q25" s="22">
        <v>8.39</v>
      </c>
      <c r="R25" s="23">
        <v>0.73</v>
      </c>
      <c r="S25" s="2">
        <v>0.45756889605157136</v>
      </c>
      <c r="T25" s="2">
        <v>3.2560000000000002E-3</v>
      </c>
      <c r="U25" s="2">
        <v>0.17439999923110006</v>
      </c>
      <c r="V25" s="2">
        <v>0.4</v>
      </c>
      <c r="W25" s="2">
        <v>0.16333333333333333</v>
      </c>
      <c r="X25" s="2">
        <v>0.75999999977648258</v>
      </c>
      <c r="Y25" s="2">
        <v>0.76291666666666669</v>
      </c>
      <c r="Z25" s="2">
        <v>0.34299599992409346</v>
      </c>
      <c r="AA25" s="2">
        <v>0.99090925925933337</v>
      </c>
      <c r="AB25" s="2">
        <v>0.38</v>
      </c>
      <c r="AC25" s="2">
        <v>0.26499999966472387</v>
      </c>
      <c r="AD25" s="2">
        <v>8.3199999928474433E-2</v>
      </c>
      <c r="AE25" s="2">
        <v>0.22499999999999998</v>
      </c>
      <c r="AF25" s="2">
        <v>0.81719999999999993</v>
      </c>
      <c r="AG25" s="2">
        <v>0.43887141345963043</v>
      </c>
      <c r="AH25" s="2">
        <v>0.52653486000000005</v>
      </c>
      <c r="AI25" s="2">
        <v>7.5184845736761263E-2</v>
      </c>
      <c r="AJ25" s="2">
        <v>0.17315199003114429</v>
      </c>
      <c r="AK25" s="2">
        <v>0</v>
      </c>
      <c r="AL25" s="2">
        <v>0</v>
      </c>
      <c r="AM25" s="2">
        <v>0.22499999999999998</v>
      </c>
      <c r="AN25" s="2">
        <v>0</v>
      </c>
      <c r="AO25" s="2">
        <v>1.3846579894765992E-2</v>
      </c>
      <c r="AP25" s="2">
        <v>0.93839999981224542</v>
      </c>
      <c r="AQ25" s="16">
        <v>0.34236541011543026</v>
      </c>
      <c r="AR25" s="2">
        <v>0.57299999999999995</v>
      </c>
      <c r="AS25" s="2">
        <v>0.5</v>
      </c>
      <c r="AT25" s="2">
        <v>0.84299999999999997</v>
      </c>
      <c r="AU25" s="2">
        <v>0.67500000000000004</v>
      </c>
      <c r="AV25" s="2">
        <v>0.15</v>
      </c>
      <c r="AW25" s="2">
        <v>0.63200000000000001</v>
      </c>
      <c r="AX25" s="2">
        <v>0.76900000000000002</v>
      </c>
      <c r="AY25" s="2">
        <v>0.33700914080961936</v>
      </c>
      <c r="AZ25" s="2">
        <v>0.4834855914305809</v>
      </c>
      <c r="BA25" s="2">
        <v>0.35985442289813441</v>
      </c>
      <c r="BB25" s="2">
        <v>0.79725759077745473</v>
      </c>
      <c r="BC25" s="2">
        <v>0.51463549787709117</v>
      </c>
      <c r="BD25" s="2">
        <v>0.25783711359891293</v>
      </c>
      <c r="BE25" s="2">
        <v>0.39399999999999996</v>
      </c>
    </row>
    <row r="26" spans="1:57">
      <c r="A26" s="1" t="s">
        <v>122</v>
      </c>
      <c r="B26" s="1" t="s">
        <v>213</v>
      </c>
      <c r="C26" s="2">
        <v>0.49395041738286216</v>
      </c>
      <c r="D26" s="2">
        <v>0.97119999999999995</v>
      </c>
      <c r="E26" s="2" t="e">
        <v>#N/A</v>
      </c>
      <c r="F26" s="2">
        <v>0.17769127590981545</v>
      </c>
      <c r="G26" s="2">
        <v>0.58149239138303876</v>
      </c>
      <c r="H26" s="11">
        <v>0.55608352116892901</v>
      </c>
      <c r="I26" s="2">
        <v>0</v>
      </c>
      <c r="J26" s="2">
        <v>0.1665622043646808</v>
      </c>
      <c r="K26" s="2">
        <v>0.17499999999999999</v>
      </c>
      <c r="L26" s="2">
        <v>0</v>
      </c>
      <c r="M26" s="84">
        <v>8.5390551091170191E-2</v>
      </c>
      <c r="N26" s="46">
        <v>0.19460045390293837</v>
      </c>
      <c r="O26" s="46">
        <v>0.23613305163272263</v>
      </c>
      <c r="P26" s="21">
        <v>8578</v>
      </c>
      <c r="Q26" s="22">
        <v>9.06</v>
      </c>
      <c r="R26" s="23">
        <v>0.81</v>
      </c>
      <c r="S26" s="2">
        <v>0.5</v>
      </c>
      <c r="T26" s="2">
        <v>0</v>
      </c>
      <c r="U26" s="2">
        <v>4.9599999114871007E-2</v>
      </c>
      <c r="V26" s="2">
        <v>0.47499999999999998</v>
      </c>
      <c r="W26" s="2">
        <v>1.3333333333333333E-3</v>
      </c>
      <c r="X26" s="2">
        <v>8.7999999150633834E-2</v>
      </c>
      <c r="Y26" s="2">
        <v>0.28591666666666671</v>
      </c>
      <c r="Z26" s="2">
        <v>0.52499799988381557</v>
      </c>
      <c r="AA26" s="2">
        <v>0.9802166005291667</v>
      </c>
      <c r="AB26" s="2">
        <v>0.16</v>
      </c>
      <c r="AC26" s="2">
        <v>0.48759999938309195</v>
      </c>
      <c r="AD26" s="2">
        <v>4.3999999910593036E-2</v>
      </c>
      <c r="AE26" s="2">
        <v>7.4999999999999997E-2</v>
      </c>
      <c r="AF26" s="2">
        <v>0.69896800000000003</v>
      </c>
      <c r="AG26" s="2">
        <v>0.25795871085211697</v>
      </c>
      <c r="AH26" s="2">
        <v>6.9291337999999994E-2</v>
      </c>
      <c r="AI26" s="2">
        <v>1.039129936990036E-2</v>
      </c>
      <c r="AJ26" s="2">
        <v>2.7889357576024007E-3</v>
      </c>
      <c r="AK26" s="2">
        <v>2.7250118542791936E-4</v>
      </c>
      <c r="AL26" s="2">
        <v>1.7602833475632599E-4</v>
      </c>
      <c r="AM26" s="2">
        <v>0</v>
      </c>
      <c r="AN26" s="2">
        <v>0.52</v>
      </c>
      <c r="AO26" s="2">
        <v>0.146484375</v>
      </c>
      <c r="AP26" s="2">
        <v>0.52930000567100399</v>
      </c>
      <c r="AQ26" s="16">
        <v>0.24613732467262425</v>
      </c>
      <c r="AR26" s="2">
        <v>0.61299999999999999</v>
      </c>
      <c r="AS26" s="2">
        <v>0.6</v>
      </c>
      <c r="AT26" s="2">
        <v>0.83200000000000007</v>
      </c>
      <c r="AU26" s="2">
        <v>0.28800000000000003</v>
      </c>
      <c r="AV26" s="2">
        <v>0.7</v>
      </c>
      <c r="AW26" s="2">
        <v>0.747</v>
      </c>
      <c r="AX26" s="2">
        <v>0.80799999999999994</v>
      </c>
      <c r="AY26" s="2">
        <v>0.38679346110792978</v>
      </c>
      <c r="AZ26" s="2">
        <v>0.49046661607713371</v>
      </c>
      <c r="BA26" s="2">
        <v>0.43960164189407697</v>
      </c>
      <c r="BB26" s="2">
        <v>0.95125122845131971</v>
      </c>
      <c r="BC26" s="2">
        <v>0.52333111297529811</v>
      </c>
      <c r="BD26" s="2">
        <v>0.42294502228207775</v>
      </c>
      <c r="BE26" s="2">
        <v>0.61199999999999999</v>
      </c>
    </row>
    <row r="27" spans="1:57">
      <c r="A27" s="1" t="s">
        <v>90</v>
      </c>
      <c r="B27" s="1" t="s">
        <v>214</v>
      </c>
      <c r="C27" s="2">
        <v>0.31526118321991825</v>
      </c>
      <c r="D27" s="2">
        <v>0</v>
      </c>
      <c r="E27" s="2">
        <v>0.20934359401717892</v>
      </c>
      <c r="F27" s="2">
        <v>0.15981846806174177</v>
      </c>
      <c r="G27" s="2">
        <v>0.67599410945783645</v>
      </c>
      <c r="H27" s="11">
        <v>0.27208347095133512</v>
      </c>
      <c r="I27" s="2">
        <v>0.4919604451214456</v>
      </c>
      <c r="J27" s="2">
        <v>9.1191999904789656E-2</v>
      </c>
      <c r="K27" s="2">
        <v>0.875</v>
      </c>
      <c r="L27" s="2" t="e">
        <v>#N/A</v>
      </c>
      <c r="M27" s="84">
        <v>0.48605081500874509</v>
      </c>
      <c r="N27" s="46">
        <v>0.42219505992385442</v>
      </c>
      <c r="O27" s="46">
        <v>0.40719097130194432</v>
      </c>
      <c r="P27" s="21">
        <v>13384</v>
      </c>
      <c r="Q27" s="22">
        <v>9.5</v>
      </c>
      <c r="R27" s="23">
        <v>0.69</v>
      </c>
      <c r="S27" s="2">
        <v>0.78532292659675873</v>
      </c>
      <c r="T27" s="2">
        <v>1.9019999929144979E-2</v>
      </c>
      <c r="U27" s="2">
        <v>8.7999999150633834E-2</v>
      </c>
      <c r="V27" s="2">
        <v>0.44999999999999996</v>
      </c>
      <c r="W27" s="2">
        <v>0.22733333333333333</v>
      </c>
      <c r="X27" s="2">
        <v>0.42399999946355815</v>
      </c>
      <c r="Y27" s="2">
        <v>0.81700000000000006</v>
      </c>
      <c r="Z27" s="2">
        <v>0.400565999911353</v>
      </c>
      <c r="AA27" s="2">
        <v>0.99992260511193232</v>
      </c>
      <c r="AB27" s="2">
        <v>0.3</v>
      </c>
      <c r="AC27" s="2">
        <v>0.8691999989002942</v>
      </c>
      <c r="AD27" s="2">
        <v>0.28799999892711636</v>
      </c>
      <c r="AE27" s="2">
        <v>0.40749999999999997</v>
      </c>
      <c r="AF27" s="2">
        <v>0.85952000000000006</v>
      </c>
      <c r="AG27" s="2">
        <v>0.65857233073741206</v>
      </c>
      <c r="AH27" s="2">
        <v>1</v>
      </c>
      <c r="AI27" s="2">
        <v>0.18976884450900328</v>
      </c>
      <c r="AJ27" s="2">
        <v>0.14255909031744446</v>
      </c>
      <c r="AK27" s="2">
        <v>0</v>
      </c>
      <c r="AL27" s="2">
        <v>0</v>
      </c>
      <c r="AM27" s="2">
        <v>0.54600000000000004</v>
      </c>
      <c r="AN27" s="2">
        <v>0.53</v>
      </c>
      <c r="AO27" s="2">
        <v>1.0587052035360754E-2</v>
      </c>
      <c r="AP27" s="2">
        <v>0.70660001304133324</v>
      </c>
      <c r="AQ27" s="16">
        <v>0.44664467466519486</v>
      </c>
      <c r="AR27" s="2">
        <v>0.70499999999999996</v>
      </c>
      <c r="AS27" s="2">
        <v>0.7</v>
      </c>
      <c r="AT27" s="2">
        <v>0.74099999999999999</v>
      </c>
      <c r="AU27" s="2">
        <v>0.67099999999999993</v>
      </c>
      <c r="AV27" s="2">
        <v>0.8</v>
      </c>
      <c r="AW27" s="2">
        <v>0.68799999999999994</v>
      </c>
      <c r="AX27" s="2">
        <v>0.7390000000000001</v>
      </c>
      <c r="AY27" s="2">
        <v>0.67951541845383223</v>
      </c>
      <c r="AZ27" s="2">
        <v>0.58105687687513341</v>
      </c>
      <c r="BA27" s="2">
        <v>0.66974029817083713</v>
      </c>
      <c r="BB27" s="2">
        <v>1</v>
      </c>
      <c r="BC27" s="2">
        <v>9.9596703050721963E-2</v>
      </c>
      <c r="BD27" s="2">
        <v>0.62684839949154958</v>
      </c>
      <c r="BE27" s="2">
        <v>0.70799999999999996</v>
      </c>
    </row>
    <row r="28" spans="1:57">
      <c r="A28" s="1" t="s">
        <v>23</v>
      </c>
      <c r="B28" s="1" t="s">
        <v>215</v>
      </c>
      <c r="C28" s="2">
        <v>0</v>
      </c>
      <c r="D28" s="2">
        <v>0.17290000000000005</v>
      </c>
      <c r="E28" s="2">
        <v>0.44425659238506943</v>
      </c>
      <c r="F28" s="2">
        <v>0.56894481143616094</v>
      </c>
      <c r="G28" s="2">
        <v>0.13639338860859718</v>
      </c>
      <c r="H28" s="11">
        <v>0.26449895848596555</v>
      </c>
      <c r="I28" s="2">
        <v>0.30441842190110424</v>
      </c>
      <c r="J28" s="2">
        <v>2.880058304389134E-2</v>
      </c>
      <c r="K28" s="2">
        <v>1</v>
      </c>
      <c r="L28" s="2">
        <v>0.38428571428571429</v>
      </c>
      <c r="M28" s="84">
        <v>0.4293761798076775</v>
      </c>
      <c r="N28" s="46">
        <v>0.26391895308821151</v>
      </c>
      <c r="O28" s="46">
        <v>0.28406225411447311</v>
      </c>
      <c r="P28" s="21">
        <v>10367</v>
      </c>
      <c r="Q28" s="22">
        <v>9.25</v>
      </c>
      <c r="R28" s="23">
        <v>0.81</v>
      </c>
      <c r="S28" s="2">
        <v>0.29277539608574094</v>
      </c>
      <c r="T28" s="2">
        <v>7.7582999842353171E-3</v>
      </c>
      <c r="U28" s="2">
        <v>6.8799999132752365E-2</v>
      </c>
      <c r="V28" s="2">
        <v>0.32499999999999996</v>
      </c>
      <c r="W28" s="2">
        <v>8.2000000000000003E-2</v>
      </c>
      <c r="X28" s="2">
        <v>0.23199999928474424</v>
      </c>
      <c r="Y28" s="2">
        <v>0.4356666666666667</v>
      </c>
      <c r="Z28" s="2">
        <v>0.14099599996879697</v>
      </c>
      <c r="AA28" s="2">
        <v>0.72380797814199993</v>
      </c>
      <c r="AB28" s="2">
        <v>1</v>
      </c>
      <c r="AC28" s="2">
        <v>0.16959999978542328</v>
      </c>
      <c r="AD28" s="2">
        <v>0.06</v>
      </c>
      <c r="AE28" s="2">
        <v>0.3175</v>
      </c>
      <c r="AF28" s="2">
        <v>0.60240000000000005</v>
      </c>
      <c r="AG28" s="2">
        <v>0.30987925724193477</v>
      </c>
      <c r="AH28" s="2">
        <v>0.27439886800000002</v>
      </c>
      <c r="AI28" s="2">
        <v>1.4208339626855631E-4</v>
      </c>
      <c r="AJ28" s="2">
        <v>3.019828107403907E-2</v>
      </c>
      <c r="AK28" s="2">
        <v>1.4378442478146191E-2</v>
      </c>
      <c r="AL28" s="2">
        <v>6.6733880428496498E-2</v>
      </c>
      <c r="AM28" s="2">
        <v>2.200000000000002E-2</v>
      </c>
      <c r="AN28" s="2">
        <v>0.81</v>
      </c>
      <c r="AO28" s="2">
        <v>5.6741478730220271E-3</v>
      </c>
      <c r="AP28" s="2">
        <v>0.95599999975413086</v>
      </c>
      <c r="AQ28" s="16">
        <v>0.28948788747068327</v>
      </c>
      <c r="AR28" s="2">
        <v>0.54500000000000004</v>
      </c>
      <c r="AS28" s="2">
        <v>0.5</v>
      </c>
      <c r="AT28" s="2">
        <v>0.68400000000000005</v>
      </c>
      <c r="AU28" s="2">
        <v>0.503</v>
      </c>
      <c r="AV28" s="2">
        <v>0.45</v>
      </c>
      <c r="AW28" s="2">
        <v>0.75800000000000001</v>
      </c>
      <c r="AX28" s="2">
        <v>0.69200000000000006</v>
      </c>
      <c r="AY28" s="2">
        <v>0.55702180270909574</v>
      </c>
      <c r="AZ28" s="2">
        <v>0.60065632427729976</v>
      </c>
      <c r="BA28" s="2">
        <v>0.4871047738451777</v>
      </c>
      <c r="BB28" s="2">
        <v>0.98772284950699174</v>
      </c>
      <c r="BC28" s="2">
        <v>0.53133038435610402</v>
      </c>
      <c r="BD28" s="2">
        <v>0.46397164435349403</v>
      </c>
      <c r="BE28" s="2">
        <v>0.57499999999999996</v>
      </c>
    </row>
    <row r="29" spans="1:57">
      <c r="A29" s="1" t="s">
        <v>43</v>
      </c>
      <c r="B29" s="1" t="s">
        <v>216</v>
      </c>
      <c r="C29" s="2" t="e">
        <v>#N/A</v>
      </c>
      <c r="D29" s="2">
        <v>0</v>
      </c>
      <c r="E29" s="2">
        <v>0.12030055813328921</v>
      </c>
      <c r="F29" s="2">
        <v>0.87411383654234898</v>
      </c>
      <c r="G29" s="2">
        <v>0.80424644113077615</v>
      </c>
      <c r="H29" s="11">
        <v>0.44966520895160356</v>
      </c>
      <c r="I29" s="2">
        <v>0.16269575124514407</v>
      </c>
      <c r="J29" s="2">
        <v>0</v>
      </c>
      <c r="K29" s="2" t="e">
        <v>#N/A</v>
      </c>
      <c r="L29" s="2">
        <v>0</v>
      </c>
      <c r="M29" s="84">
        <v>5.4231917081714688E-2</v>
      </c>
      <c r="N29" s="46">
        <v>0.21479348943857399</v>
      </c>
      <c r="O29" s="46">
        <v>0.23091810483668643</v>
      </c>
      <c r="P29" s="21">
        <v>51205</v>
      </c>
      <c r="Q29" s="22">
        <v>10.84</v>
      </c>
      <c r="R29" s="23">
        <v>0.92</v>
      </c>
      <c r="S29" s="2">
        <v>0.16650760295670536</v>
      </c>
      <c r="T29" s="2">
        <v>1.0820000000000001E-2</v>
      </c>
      <c r="U29" s="2">
        <v>1.0000000000000009E-2</v>
      </c>
      <c r="V29" s="2">
        <v>0.125</v>
      </c>
      <c r="W29" s="2">
        <v>0</v>
      </c>
      <c r="X29" s="2">
        <v>0</v>
      </c>
      <c r="Y29" s="2">
        <v>0.49116666666666664</v>
      </c>
      <c r="Z29" s="2">
        <v>0.24987399994470177</v>
      </c>
      <c r="AA29" s="2">
        <v>0.83611111111116665</v>
      </c>
      <c r="AB29" s="2">
        <v>0.12</v>
      </c>
      <c r="AC29" s="2">
        <v>1</v>
      </c>
      <c r="AD29" s="2">
        <v>0</v>
      </c>
      <c r="AE29" s="2">
        <v>0.85</v>
      </c>
      <c r="AF29" s="2">
        <v>0.69144000000000005</v>
      </c>
      <c r="AG29" s="2">
        <v>0.21460932544589073</v>
      </c>
      <c r="AH29" s="2">
        <v>0.18363939800000001</v>
      </c>
      <c r="AI29" s="2">
        <v>0</v>
      </c>
      <c r="AJ29" s="2">
        <v>1.2899355548910651E-2</v>
      </c>
      <c r="AK29" s="2">
        <v>5.4343307561017108E-2</v>
      </c>
      <c r="AL29" s="2">
        <v>9.4738862994147605E-2</v>
      </c>
      <c r="AM29" s="2">
        <v>3.0000000000000027E-3</v>
      </c>
      <c r="AN29" s="2">
        <v>0</v>
      </c>
      <c r="AO29" s="2">
        <v>0</v>
      </c>
      <c r="AP29" s="2">
        <v>0.30492996803377492</v>
      </c>
      <c r="AQ29" s="16">
        <v>0.22579498326095759</v>
      </c>
      <c r="AR29" s="2" t="e">
        <v>#N/A</v>
      </c>
      <c r="AS29" s="2" t="e">
        <v>#N/A</v>
      </c>
      <c r="AT29" s="2" t="e">
        <v>#N/A</v>
      </c>
      <c r="AU29" s="2" t="e">
        <v>#N/A</v>
      </c>
      <c r="AV29" s="2" t="e">
        <v>#N/A</v>
      </c>
      <c r="AW29" s="2" t="e">
        <v>#N/A</v>
      </c>
      <c r="AX29" s="2" t="e">
        <v>#N/A</v>
      </c>
      <c r="AY29" s="2">
        <v>0.76722005874011856</v>
      </c>
      <c r="AZ29" s="2">
        <v>0.34345094613003618</v>
      </c>
      <c r="BA29" s="2">
        <v>0.68930433276134628</v>
      </c>
      <c r="BB29" s="2">
        <v>1</v>
      </c>
      <c r="BC29" s="2">
        <v>0.24251139005475306</v>
      </c>
      <c r="BD29" s="2">
        <v>0.65690093413613726</v>
      </c>
      <c r="BE29" s="2" t="e">
        <v>#N/A</v>
      </c>
    </row>
    <row r="30" spans="1:57">
      <c r="A30" s="1" t="s">
        <v>54</v>
      </c>
      <c r="B30" s="1" t="s">
        <v>217</v>
      </c>
      <c r="C30" s="2">
        <v>0.42355250358203311</v>
      </c>
      <c r="D30" s="2">
        <v>0.46760000000000002</v>
      </c>
      <c r="E30" s="2">
        <v>0.21719021448722076</v>
      </c>
      <c r="F30" s="2">
        <v>0.18836221180239912</v>
      </c>
      <c r="G30" s="2">
        <v>3.493699945365436E-2</v>
      </c>
      <c r="H30" s="11">
        <v>0.26632838586506147</v>
      </c>
      <c r="I30" s="2">
        <v>0</v>
      </c>
      <c r="J30" s="2">
        <v>0.17311978201090072</v>
      </c>
      <c r="K30" s="2">
        <v>0</v>
      </c>
      <c r="L30" s="2">
        <v>0</v>
      </c>
      <c r="M30" s="84">
        <v>4.3279945502725181E-2</v>
      </c>
      <c r="N30" s="46">
        <v>0.19994986470865461</v>
      </c>
      <c r="O30" s="46">
        <v>0.19101692316193694</v>
      </c>
      <c r="P30" s="21">
        <v>13870</v>
      </c>
      <c r="Q30" s="22">
        <v>9.5399999999999991</v>
      </c>
      <c r="R30" s="23">
        <v>0.84</v>
      </c>
      <c r="S30" s="2">
        <v>0.91680882352941173</v>
      </c>
      <c r="T30" s="2">
        <v>0</v>
      </c>
      <c r="U30" s="2">
        <v>3.9999999105930328E-2</v>
      </c>
      <c r="V30" s="2">
        <v>0.6</v>
      </c>
      <c r="W30" s="2">
        <v>1.3333333333333333E-3</v>
      </c>
      <c r="X30" s="2">
        <v>3.9999999105930328E-2</v>
      </c>
      <c r="Y30" s="2">
        <v>0.28591666666666671</v>
      </c>
      <c r="Z30" s="2">
        <v>0.28885999993607403</v>
      </c>
      <c r="AA30" s="2">
        <v>0.849486348597569</v>
      </c>
      <c r="AB30" s="2">
        <v>0.68</v>
      </c>
      <c r="AC30" s="2">
        <v>0.1165999998524785</v>
      </c>
      <c r="AD30" s="2">
        <v>0</v>
      </c>
      <c r="AE30" s="2">
        <v>7.4999999999999997E-2</v>
      </c>
      <c r="AF30" s="2">
        <v>0.52040000000000008</v>
      </c>
      <c r="AG30" s="2">
        <v>0.29232155966460827</v>
      </c>
      <c r="AH30" s="2">
        <v>8.0939947999999998E-2</v>
      </c>
      <c r="AI30" s="2">
        <v>0</v>
      </c>
      <c r="AJ30" s="2">
        <v>4.5186780561153718E-3</v>
      </c>
      <c r="AK30" s="2">
        <v>4.462614037092162E-3</v>
      </c>
      <c r="AL30" s="2">
        <v>1.5294866726029499E-2</v>
      </c>
      <c r="AM30" s="2">
        <v>0</v>
      </c>
      <c r="AN30" s="2">
        <v>0.51</v>
      </c>
      <c r="AO30" s="2">
        <v>9.6676180830494438E-2</v>
      </c>
      <c r="AP30" s="2">
        <v>0.11439998403058871</v>
      </c>
      <c r="AQ30" s="16">
        <v>0.2305424583946801</v>
      </c>
      <c r="AR30" s="2">
        <v>0.77800000000000002</v>
      </c>
      <c r="AS30" s="2">
        <v>0.6</v>
      </c>
      <c r="AT30" s="2">
        <v>0.86299999999999999</v>
      </c>
      <c r="AU30" s="2">
        <v>0.48299999999999998</v>
      </c>
      <c r="AV30" s="2">
        <v>0.5</v>
      </c>
      <c r="AW30" s="2">
        <v>0.69499999999999995</v>
      </c>
      <c r="AX30" s="2">
        <v>0.87400000000000011</v>
      </c>
      <c r="AY30" s="2">
        <v>0.5932214891610943</v>
      </c>
      <c r="AZ30" s="2">
        <v>0.60640502867313073</v>
      </c>
      <c r="BA30" s="2">
        <v>0.47710215103261361</v>
      </c>
      <c r="BB30" s="2">
        <v>1</v>
      </c>
      <c r="BC30" s="2">
        <v>0.69981846922318536</v>
      </c>
      <c r="BD30" s="2">
        <v>0.49103673286092719</v>
      </c>
      <c r="BE30" s="2">
        <v>0.78099999999999992</v>
      </c>
    </row>
    <row r="31" spans="1:57">
      <c r="A31" s="1" t="s">
        <v>179</v>
      </c>
      <c r="B31" s="1" t="s">
        <v>218</v>
      </c>
      <c r="C31" s="2">
        <v>0.50996108972606735</v>
      </c>
      <c r="D31" s="2">
        <v>0.16180000000000005</v>
      </c>
      <c r="E31" s="2">
        <v>0.42954577740018313</v>
      </c>
      <c r="F31" s="2">
        <v>0.13348362954695192</v>
      </c>
      <c r="G31" s="2">
        <v>0.59499263682229553</v>
      </c>
      <c r="H31" s="11">
        <v>0.36595662669909956</v>
      </c>
      <c r="I31" s="2">
        <v>0.34852799269079587</v>
      </c>
      <c r="J31" s="2">
        <v>0.66843883329255682</v>
      </c>
      <c r="K31" s="2">
        <v>0.67500000000000004</v>
      </c>
      <c r="L31" s="2">
        <v>0.85</v>
      </c>
      <c r="M31" s="84">
        <v>0.63549170649583819</v>
      </c>
      <c r="N31" s="46">
        <v>0.51192299842381417</v>
      </c>
      <c r="O31" s="46">
        <v>0.50478490671667853</v>
      </c>
      <c r="P31" s="21">
        <v>1187</v>
      </c>
      <c r="Q31" s="22">
        <v>7.08</v>
      </c>
      <c r="R31" s="23">
        <v>0.39</v>
      </c>
      <c r="S31" s="2">
        <v>0.48413735691987514</v>
      </c>
      <c r="T31" s="2">
        <v>7.8799999999999995E-2</v>
      </c>
      <c r="U31" s="2">
        <v>0.27039999932050707</v>
      </c>
      <c r="V31" s="2">
        <v>0.35</v>
      </c>
      <c r="W31" s="2">
        <v>0.52400000000000002</v>
      </c>
      <c r="X31" s="2">
        <v>0.89439999990165231</v>
      </c>
      <c r="Y31" s="2">
        <v>0.50358333333333338</v>
      </c>
      <c r="Z31" s="2">
        <v>0.80820199982114138</v>
      </c>
      <c r="AA31" s="2">
        <v>0.99350714285716668</v>
      </c>
      <c r="AB31" s="2">
        <v>0.38</v>
      </c>
      <c r="AC31" s="2">
        <v>7.4199999906122693E-2</v>
      </c>
      <c r="AD31" s="2">
        <v>1</v>
      </c>
      <c r="AE31" s="2">
        <v>0.20749999999999999</v>
      </c>
      <c r="AF31" s="2">
        <v>0.96567999999999998</v>
      </c>
      <c r="AG31" s="2">
        <v>0.68263648685738576</v>
      </c>
      <c r="AH31" s="2">
        <v>0.93193717200000004</v>
      </c>
      <c r="AI31" s="2">
        <v>0.22143490172099548</v>
      </c>
      <c r="AJ31" s="2">
        <v>0.92567525542421336</v>
      </c>
      <c r="AK31" s="2">
        <v>0</v>
      </c>
      <c r="AL31" s="2">
        <v>0</v>
      </c>
      <c r="AM31" s="2">
        <v>0.9</v>
      </c>
      <c r="AN31" s="2">
        <v>0.26</v>
      </c>
      <c r="AO31" s="2">
        <v>1.6447368421052631E-2</v>
      </c>
      <c r="AP31" s="2">
        <v>0.96330399921935184</v>
      </c>
      <c r="AQ31" s="16">
        <v>0.5181602089876165</v>
      </c>
      <c r="AR31" s="2">
        <v>0.6</v>
      </c>
      <c r="AS31" s="2">
        <v>0.5</v>
      </c>
      <c r="AT31" s="2">
        <v>0.80400000000000005</v>
      </c>
      <c r="AU31" s="2">
        <v>0.8</v>
      </c>
      <c r="AV31" s="2">
        <v>0.5</v>
      </c>
      <c r="AW31" s="2">
        <v>0.73</v>
      </c>
      <c r="AX31" s="2">
        <v>0.71299999999999997</v>
      </c>
      <c r="AY31" s="2">
        <v>0.47719847431580054</v>
      </c>
      <c r="AZ31" s="2">
        <v>0.4504318756576044</v>
      </c>
      <c r="BA31" s="2">
        <v>0.41256865601592879</v>
      </c>
      <c r="BB31" s="2">
        <v>0.23030505890008335</v>
      </c>
      <c r="BC31" s="2">
        <v>4.8175945725162643E-2</v>
      </c>
      <c r="BD31" s="2">
        <v>0.44409147973800345</v>
      </c>
      <c r="BE31" s="2">
        <v>0.64400000000000002</v>
      </c>
    </row>
    <row r="32" spans="1:57">
      <c r="A32" s="1" t="s">
        <v>191</v>
      </c>
      <c r="B32" s="1" t="s">
        <v>219</v>
      </c>
      <c r="C32" s="2">
        <v>0.53824928853944165</v>
      </c>
      <c r="D32" s="2">
        <v>0.69650000000000001</v>
      </c>
      <c r="E32" s="2">
        <v>1</v>
      </c>
      <c r="F32" s="2">
        <v>0.19358430422587294</v>
      </c>
      <c r="G32" s="2">
        <v>0.77049582753263401</v>
      </c>
      <c r="H32" s="11">
        <v>0.63976588405958967</v>
      </c>
      <c r="I32" s="2">
        <v>0.53976276004455925</v>
      </c>
      <c r="J32" s="2">
        <v>0.60039173251373468</v>
      </c>
      <c r="K32" s="2">
        <v>7.4999999999999997E-2</v>
      </c>
      <c r="L32" s="2">
        <v>0.91857142857142848</v>
      </c>
      <c r="M32" s="84">
        <v>0.53343148028243059</v>
      </c>
      <c r="N32" s="46">
        <v>0.61285444543277945</v>
      </c>
      <c r="O32" s="46">
        <v>0.60730491005498111</v>
      </c>
      <c r="P32" s="21">
        <v>392</v>
      </c>
      <c r="Q32" s="22">
        <v>5.97</v>
      </c>
      <c r="R32" s="23">
        <v>0.39</v>
      </c>
      <c r="S32" s="2">
        <v>0.99825260180995468</v>
      </c>
      <c r="T32" s="2">
        <v>2.2970000000000001E-2</v>
      </c>
      <c r="U32" s="2">
        <v>0.30879999935626978</v>
      </c>
      <c r="V32" s="2">
        <v>0.30000000000000004</v>
      </c>
      <c r="W32" s="2">
        <v>0.72533333333333339</v>
      </c>
      <c r="X32" s="2">
        <v>0.55839999958872788</v>
      </c>
      <c r="Y32" s="2">
        <v>0.71575</v>
      </c>
      <c r="Z32" s="2">
        <v>0.90192999980039901</v>
      </c>
      <c r="AA32" s="2">
        <v>0.99638703703700005</v>
      </c>
      <c r="AB32" s="2">
        <v>0.18</v>
      </c>
      <c r="AC32" s="2">
        <v>0.33919999957084657</v>
      </c>
      <c r="AD32" s="2">
        <v>1</v>
      </c>
      <c r="AE32" s="2">
        <v>0.40749999999999997</v>
      </c>
      <c r="AF32" s="2">
        <v>0.99</v>
      </c>
      <c r="AG32" s="2">
        <v>0.73167375519573818</v>
      </c>
      <c r="AH32" s="2">
        <v>0.98950682000000001</v>
      </c>
      <c r="AI32" s="2">
        <v>0.45674144896392116</v>
      </c>
      <c r="AJ32" s="2">
        <v>1</v>
      </c>
      <c r="AK32" s="2">
        <v>0</v>
      </c>
      <c r="AL32" s="2">
        <v>0</v>
      </c>
      <c r="AM32" s="2">
        <v>0.97199999999999998</v>
      </c>
      <c r="AN32" s="2">
        <v>0.99</v>
      </c>
      <c r="AO32" s="2">
        <v>0.35046728971962615</v>
      </c>
      <c r="AP32" s="2">
        <v>0.90812800341597744</v>
      </c>
      <c r="AQ32" s="16">
        <v>0.61846001199132472</v>
      </c>
      <c r="AR32" s="2">
        <v>0.37799999999999995</v>
      </c>
      <c r="AS32" s="2">
        <v>0.3</v>
      </c>
      <c r="AT32" s="2">
        <v>0.72199999999999998</v>
      </c>
      <c r="AU32" s="2">
        <v>0.42700000000000005</v>
      </c>
      <c r="AV32" s="2">
        <v>0.5</v>
      </c>
      <c r="AW32" s="2">
        <v>0.627</v>
      </c>
      <c r="AX32" s="2">
        <v>0.68599999999999994</v>
      </c>
      <c r="AY32" s="2">
        <v>0.21791769594131843</v>
      </c>
      <c r="AZ32" s="2">
        <v>0.35622395130434314</v>
      </c>
      <c r="BA32" s="2">
        <v>0.27777917250636008</v>
      </c>
      <c r="BB32" s="2">
        <v>0.11107054642031837</v>
      </c>
      <c r="BC32" s="2">
        <v>3.7914312865702966E-2</v>
      </c>
      <c r="BD32" s="2">
        <v>0.26223029566009648</v>
      </c>
      <c r="BE32" s="2">
        <v>0.66900000000000004</v>
      </c>
    </row>
    <row r="33" spans="1:57">
      <c r="A33" s="1" t="s">
        <v>177</v>
      </c>
      <c r="B33" s="1" t="s">
        <v>220</v>
      </c>
      <c r="C33" s="2">
        <v>0.49125391488920223</v>
      </c>
      <c r="D33" s="2">
        <v>0</v>
      </c>
      <c r="E33" s="2" t="e">
        <v>#N/A</v>
      </c>
      <c r="F33" s="2">
        <v>0.80286197990620778</v>
      </c>
      <c r="G33" s="2">
        <v>0.66924398673820795</v>
      </c>
      <c r="H33" s="11">
        <v>0.49083997038340443</v>
      </c>
      <c r="I33" s="2">
        <v>1</v>
      </c>
      <c r="J33" s="2">
        <v>0.54959660898834617</v>
      </c>
      <c r="K33" s="2">
        <v>1</v>
      </c>
      <c r="L33" s="2">
        <v>1</v>
      </c>
      <c r="M33" s="84">
        <v>0.88739915224708654</v>
      </c>
      <c r="N33" s="46">
        <v>0.45659800252833299</v>
      </c>
      <c r="O33" s="46">
        <v>0.51400450065410175</v>
      </c>
      <c r="P33" s="21">
        <v>1915</v>
      </c>
      <c r="Q33" s="22">
        <v>7.56</v>
      </c>
      <c r="R33" s="23">
        <v>0.59</v>
      </c>
      <c r="S33" s="2">
        <v>0.51401978609625665</v>
      </c>
      <c r="T33" s="2">
        <v>4.5869999999999999E-3</v>
      </c>
      <c r="U33" s="2">
        <v>0.41439999945461747</v>
      </c>
      <c r="V33" s="2">
        <v>0.25</v>
      </c>
      <c r="W33" s="2">
        <v>0.39733333333333332</v>
      </c>
      <c r="X33" s="2">
        <v>0.72159999974071987</v>
      </c>
      <c r="Y33" s="2">
        <v>0.54241666666666666</v>
      </c>
      <c r="Z33" s="2">
        <v>0.78598199982605876</v>
      </c>
      <c r="AA33" s="2">
        <v>0.96221581196583328</v>
      </c>
      <c r="AB33" s="2">
        <v>0.08</v>
      </c>
      <c r="AC33" s="2">
        <v>2.119999997317791E-2</v>
      </c>
      <c r="AD33" s="2">
        <v>0.75899999845772981</v>
      </c>
      <c r="AE33" s="2">
        <v>0.76749999999999996</v>
      </c>
      <c r="AF33" s="2">
        <v>0.95023999999999997</v>
      </c>
      <c r="AG33" s="2">
        <v>0.52940456476345743</v>
      </c>
      <c r="AH33" s="2">
        <v>0.74051123200000002</v>
      </c>
      <c r="AI33" s="2">
        <v>9.1819454540179951E-2</v>
      </c>
      <c r="AJ33" s="2">
        <v>0.23067866828168962</v>
      </c>
      <c r="AK33" s="2">
        <v>7.4136725619909305E-2</v>
      </c>
      <c r="AL33" s="2">
        <v>0.238716185799286</v>
      </c>
      <c r="AM33" s="2">
        <v>0.76</v>
      </c>
      <c r="AN33" s="2">
        <v>0.33</v>
      </c>
      <c r="AO33" s="2">
        <v>7.6478585995921139E-2</v>
      </c>
      <c r="AP33" s="2">
        <v>0.94464800016568906</v>
      </c>
      <c r="AQ33" s="16">
        <v>0.46612033386168866</v>
      </c>
      <c r="AR33" s="2">
        <v>0.39899999999999997</v>
      </c>
      <c r="AS33" s="2">
        <v>0.5</v>
      </c>
      <c r="AT33" s="2">
        <v>0.91</v>
      </c>
      <c r="AU33" s="2">
        <v>0.92900000000000005</v>
      </c>
      <c r="AV33" s="2">
        <v>0.6</v>
      </c>
      <c r="AW33" s="2">
        <v>0.70499999999999996</v>
      </c>
      <c r="AX33" s="2">
        <v>0.7</v>
      </c>
      <c r="AY33" s="2">
        <v>0.37611042994634603</v>
      </c>
      <c r="AZ33" s="2">
        <v>0.32546384228513736</v>
      </c>
      <c r="BA33" s="2">
        <v>0.26552613927335295</v>
      </c>
      <c r="BB33" s="2">
        <v>0.41554550733518436</v>
      </c>
      <c r="BC33" s="2">
        <v>0.1414285714605025</v>
      </c>
      <c r="BD33" s="2">
        <v>0.29289778619645268</v>
      </c>
      <c r="BE33" s="2">
        <v>0.436</v>
      </c>
    </row>
    <row r="34" spans="1:57">
      <c r="A34" s="1" t="s">
        <v>97</v>
      </c>
      <c r="B34" s="1" t="s">
        <v>221</v>
      </c>
      <c r="C34" s="2">
        <v>0.41133452458657849</v>
      </c>
      <c r="D34" s="2">
        <v>0.46060000000000001</v>
      </c>
      <c r="E34" s="2">
        <v>0.69097570020706334</v>
      </c>
      <c r="F34" s="2">
        <v>0.5938617443325378</v>
      </c>
      <c r="G34" s="2">
        <v>0.56124202322415351</v>
      </c>
      <c r="H34" s="11">
        <v>0.54360279847006665</v>
      </c>
      <c r="I34" s="2">
        <v>0.32337534608738416</v>
      </c>
      <c r="J34" s="2">
        <v>0.12234494796080132</v>
      </c>
      <c r="K34" s="2">
        <v>0.52500000000000002</v>
      </c>
      <c r="L34" s="2">
        <v>0.65857142857142859</v>
      </c>
      <c r="M34" s="84">
        <v>0.40732293065490355</v>
      </c>
      <c r="N34" s="46">
        <v>0.45987663588281164</v>
      </c>
      <c r="O34" s="46">
        <v>0.46619227200477054</v>
      </c>
      <c r="P34" s="21">
        <v>2205</v>
      </c>
      <c r="Q34" s="22">
        <v>7.7</v>
      </c>
      <c r="R34" s="23">
        <v>0.52</v>
      </c>
      <c r="S34" s="2">
        <v>1</v>
      </c>
      <c r="T34" s="2">
        <v>3.3600000000000001E-3</v>
      </c>
      <c r="U34" s="2">
        <v>0.28959999933838843</v>
      </c>
      <c r="V34" s="2">
        <v>0.27500000000000002</v>
      </c>
      <c r="W34" s="2">
        <v>0.33133333333333331</v>
      </c>
      <c r="X34" s="2">
        <v>0.5487999995797872</v>
      </c>
      <c r="Y34" s="2">
        <v>0.44400000000000001</v>
      </c>
      <c r="Z34" s="2">
        <v>0.42844199990518389</v>
      </c>
      <c r="AA34" s="2">
        <v>0.98570965397733334</v>
      </c>
      <c r="AB34" s="2">
        <v>0.14000000000000001</v>
      </c>
      <c r="AC34" s="2">
        <v>0.28619999963790183</v>
      </c>
      <c r="AD34" s="2">
        <v>0.56159999907016755</v>
      </c>
      <c r="AE34" s="2">
        <v>0.20749999999999999</v>
      </c>
      <c r="AF34" s="2">
        <v>0.92080000000000006</v>
      </c>
      <c r="AG34" s="2">
        <v>0.71956417469665479</v>
      </c>
      <c r="AH34" s="2">
        <v>0.930307942</v>
      </c>
      <c r="AI34" s="2">
        <v>8.2065578542638531E-2</v>
      </c>
      <c r="AJ34" s="2">
        <v>0.7415437992425078</v>
      </c>
      <c r="AK34" s="2">
        <v>1.8746089557963445E-3</v>
      </c>
      <c r="AL34" s="2">
        <v>2.8944314952209001E-2</v>
      </c>
      <c r="AM34" s="2">
        <v>0.70599999999999996</v>
      </c>
      <c r="AN34" s="2">
        <v>0.66</v>
      </c>
      <c r="AO34" s="2">
        <v>1.5865964333312176E-2</v>
      </c>
      <c r="AP34" s="2">
        <v>0.92634400077869916</v>
      </c>
      <c r="AQ34" s="16">
        <v>0.46811897368099631</v>
      </c>
      <c r="AR34" s="2">
        <v>0.37200000000000005</v>
      </c>
      <c r="AS34" s="2">
        <v>0.5</v>
      </c>
      <c r="AT34" s="2">
        <v>0.71799999999999997</v>
      </c>
      <c r="AU34" s="2">
        <v>0.92700000000000005</v>
      </c>
      <c r="AV34" s="2">
        <v>0.35</v>
      </c>
      <c r="AW34" s="2">
        <v>0.71900000000000008</v>
      </c>
      <c r="AX34" s="2">
        <v>0.59699999999999998</v>
      </c>
      <c r="AY34" s="2">
        <v>0.41898744151628531</v>
      </c>
      <c r="AZ34" s="2">
        <v>0.2965453061718451</v>
      </c>
      <c r="BA34" s="2">
        <v>0.31793831394211269</v>
      </c>
      <c r="BB34" s="2">
        <v>0.41681297359096003</v>
      </c>
      <c r="BC34" s="2">
        <v>0.12763730574310306</v>
      </c>
      <c r="BD34" s="2">
        <v>0.28830362753290539</v>
      </c>
      <c r="BE34" s="2">
        <v>0.52200000000000002</v>
      </c>
    </row>
    <row r="35" spans="1:57">
      <c r="A35" s="1" t="s">
        <v>32</v>
      </c>
      <c r="B35" s="1" t="s">
        <v>222</v>
      </c>
      <c r="C35" s="2">
        <v>0</v>
      </c>
      <c r="D35" s="2">
        <v>0.55469999999999997</v>
      </c>
      <c r="E35" s="2">
        <v>0.12520111396068684</v>
      </c>
      <c r="F35" s="2">
        <v>0.18175262616417046</v>
      </c>
      <c r="G35" s="2">
        <v>0</v>
      </c>
      <c r="H35" s="11">
        <v>0.17233074802497145</v>
      </c>
      <c r="I35" s="2">
        <v>5.7089905245343485E-2</v>
      </c>
      <c r="J35" s="2">
        <v>0.14031742027178318</v>
      </c>
      <c r="K35" s="2">
        <v>2.5000000000000001E-2</v>
      </c>
      <c r="L35" s="2">
        <v>0</v>
      </c>
      <c r="M35" s="84">
        <v>5.5601831379281666E-2</v>
      </c>
      <c r="N35" s="46">
        <v>0.24319336196056388</v>
      </c>
      <c r="O35" s="46">
        <v>0.20971823493016717</v>
      </c>
      <c r="P35" s="21">
        <v>37808</v>
      </c>
      <c r="Q35" s="22">
        <v>10.54</v>
      </c>
      <c r="R35" s="23">
        <v>0.97</v>
      </c>
      <c r="S35" s="2">
        <v>1</v>
      </c>
      <c r="T35" s="2">
        <v>1.584E-2</v>
      </c>
      <c r="U35" s="2">
        <v>3.9999999105930328E-2</v>
      </c>
      <c r="V35" s="2">
        <v>0.875</v>
      </c>
      <c r="W35" s="2">
        <v>0</v>
      </c>
      <c r="X35" s="2">
        <v>3.9999999105930328E-2</v>
      </c>
      <c r="Y35" s="2">
        <v>0.19575000000000001</v>
      </c>
      <c r="Z35" s="2">
        <v>0.1969499999564141</v>
      </c>
      <c r="AA35" s="2">
        <v>0.90510088691799995</v>
      </c>
      <c r="AB35" s="2">
        <v>0.36</v>
      </c>
      <c r="AC35" s="2">
        <v>0.13779999982565641</v>
      </c>
      <c r="AD35" s="2">
        <v>0</v>
      </c>
      <c r="AE35" s="2">
        <v>0.92499999999999993</v>
      </c>
      <c r="AF35" s="2">
        <v>0.44494400000000001</v>
      </c>
      <c r="AG35" s="2">
        <v>0.14547434001564941</v>
      </c>
      <c r="AH35" s="2">
        <v>0.11471321600000001</v>
      </c>
      <c r="AI35" s="2">
        <v>0</v>
      </c>
      <c r="AJ35" s="2">
        <v>4.6281658760212478E-3</v>
      </c>
      <c r="AK35" s="2">
        <v>2.7718634934874982E-2</v>
      </c>
      <c r="AL35" s="2">
        <v>4.2564618421112303E-2</v>
      </c>
      <c r="AM35" s="2">
        <v>0</v>
      </c>
      <c r="AN35" s="2">
        <v>0.37</v>
      </c>
      <c r="AO35" s="2">
        <v>2.3093392980268346E-3</v>
      </c>
      <c r="AP35" s="2">
        <v>0.64914400834660335</v>
      </c>
      <c r="AQ35" s="16">
        <v>0.27053905032517583</v>
      </c>
      <c r="AR35" s="2">
        <v>0.96499999999999997</v>
      </c>
      <c r="AS35" s="2">
        <v>0.8</v>
      </c>
      <c r="AT35" s="2">
        <v>0.76700000000000002</v>
      </c>
      <c r="AU35" s="2">
        <v>0.54100000000000004</v>
      </c>
      <c r="AV35" s="2">
        <v>0.75</v>
      </c>
      <c r="AW35" s="2">
        <v>0.754</v>
      </c>
      <c r="AX35" s="2">
        <v>0.88099999999999989</v>
      </c>
      <c r="AY35" s="2">
        <v>0.70106129152128849</v>
      </c>
      <c r="AZ35" s="2">
        <v>0.78513610234486875</v>
      </c>
      <c r="BA35" s="2">
        <v>0.90319955881949121</v>
      </c>
      <c r="BB35" s="2">
        <v>0.75249482084215535</v>
      </c>
      <c r="BC35" s="2">
        <v>0.78281116810026652</v>
      </c>
      <c r="BD35" s="2">
        <v>0.85229003056031449</v>
      </c>
      <c r="BE35" s="2">
        <v>0.81499999999999995</v>
      </c>
    </row>
    <row r="36" spans="1:57">
      <c r="A36" s="1" t="s">
        <v>89</v>
      </c>
      <c r="B36" s="1" t="s">
        <v>223</v>
      </c>
      <c r="C36" s="2" t="e">
        <v>#N/A</v>
      </c>
      <c r="D36" s="2">
        <v>0.85350000000000004</v>
      </c>
      <c r="E36" s="2">
        <v>6.1606212178264765E-2</v>
      </c>
      <c r="F36" s="2">
        <v>0.21177286649132224</v>
      </c>
      <c r="G36" s="2">
        <v>0.72324496849523523</v>
      </c>
      <c r="H36" s="11">
        <v>0.46253101179120559</v>
      </c>
      <c r="I36" s="2">
        <v>0.68720307646376722</v>
      </c>
      <c r="J36" s="2">
        <v>0.45962782624195547</v>
      </c>
      <c r="K36" s="2">
        <v>0.67500000000000004</v>
      </c>
      <c r="L36" s="2">
        <v>0</v>
      </c>
      <c r="M36" s="84">
        <v>0.45545772567643067</v>
      </c>
      <c r="N36" s="46">
        <v>0.29569126205371921</v>
      </c>
      <c r="O36" s="46">
        <v>0.34033564396821248</v>
      </c>
      <c r="P36" s="21">
        <v>3644</v>
      </c>
      <c r="Q36" s="22">
        <v>8.1999999999999993</v>
      </c>
      <c r="R36" s="23">
        <v>0.71</v>
      </c>
      <c r="S36" s="2">
        <v>0.12519287790697678</v>
      </c>
      <c r="T36" s="2">
        <v>6.7670000000000008E-2</v>
      </c>
      <c r="U36" s="2">
        <v>0.19359999924898152</v>
      </c>
      <c r="V36" s="2">
        <v>0.19999999999999996</v>
      </c>
      <c r="W36" s="2">
        <v>6.2E-2</v>
      </c>
      <c r="X36" s="2">
        <v>0.48159999951720234</v>
      </c>
      <c r="Y36" s="2">
        <v>0.62008333333333332</v>
      </c>
      <c r="Z36" s="2">
        <v>0.40036399991139776</v>
      </c>
      <c r="AA36" s="2">
        <v>1</v>
      </c>
      <c r="AB36" s="2">
        <v>0.16</v>
      </c>
      <c r="AC36" s="2">
        <v>0.8691999989002942</v>
      </c>
      <c r="AD36" s="2">
        <v>0.16</v>
      </c>
      <c r="AE36" s="2">
        <v>0.20749999999999999</v>
      </c>
      <c r="AF36" s="2">
        <v>0.90144000000000002</v>
      </c>
      <c r="AG36" s="2">
        <v>0.33602497433945611</v>
      </c>
      <c r="AH36" s="2">
        <v>0.51824817599999995</v>
      </c>
      <c r="AI36" s="2">
        <v>7.4237911217670829E-2</v>
      </c>
      <c r="AJ36" s="2">
        <v>7.5019346415507185E-2</v>
      </c>
      <c r="AK36" s="2">
        <v>0.10878458276764212</v>
      </c>
      <c r="AL36" s="2">
        <v>0.126841776144479</v>
      </c>
      <c r="AM36" s="2">
        <v>0.29599999999999993</v>
      </c>
      <c r="AN36" s="2">
        <v>0</v>
      </c>
      <c r="AO36" s="2">
        <v>0</v>
      </c>
      <c r="AP36" s="2">
        <v>0.43387198967830432</v>
      </c>
      <c r="AQ36" s="16">
        <v>0.30906995689088529</v>
      </c>
      <c r="AR36" s="2">
        <v>0.63300000000000001</v>
      </c>
      <c r="AS36" s="2">
        <v>0.6</v>
      </c>
      <c r="AT36" s="2">
        <v>0.65599999999999992</v>
      </c>
      <c r="AU36" s="2">
        <v>0.65300000000000002</v>
      </c>
      <c r="AV36" s="2">
        <v>0.6</v>
      </c>
      <c r="AW36" s="2">
        <v>0.745</v>
      </c>
      <c r="AX36" s="2">
        <v>0.65500000000000003</v>
      </c>
      <c r="AY36" s="2">
        <v>0.66160925951789884</v>
      </c>
      <c r="AZ36" s="2">
        <v>0.66777132156381136</v>
      </c>
      <c r="BA36" s="2">
        <v>0.6384522474270995</v>
      </c>
      <c r="BB36" s="2">
        <v>0.85283798075448947</v>
      </c>
      <c r="BC36" s="2">
        <v>0.2109255814761932</v>
      </c>
      <c r="BD36" s="2">
        <v>0.59375154704757971</v>
      </c>
      <c r="BE36" s="2">
        <v>0.48100000000000004</v>
      </c>
    </row>
    <row r="37" spans="1:57">
      <c r="A37" s="1" t="s">
        <v>135</v>
      </c>
      <c r="B37" s="1" t="s">
        <v>224</v>
      </c>
      <c r="C37" s="2">
        <v>0</v>
      </c>
      <c r="D37" s="2">
        <v>2.9399999999999982E-2</v>
      </c>
      <c r="E37" s="2">
        <v>1</v>
      </c>
      <c r="F37" s="2">
        <v>0.12952734988406639</v>
      </c>
      <c r="G37" s="2">
        <v>0.7367452139344921</v>
      </c>
      <c r="H37" s="11">
        <v>0.37913451276371168</v>
      </c>
      <c r="I37" s="2">
        <v>0.10834093237753066</v>
      </c>
      <c r="J37" s="2">
        <v>0.45629146587078478</v>
      </c>
      <c r="K37" s="2">
        <v>0.375</v>
      </c>
      <c r="L37" s="2">
        <v>1</v>
      </c>
      <c r="M37" s="84">
        <v>0.48490809956207886</v>
      </c>
      <c r="N37" s="46">
        <v>0.60508311196225384</v>
      </c>
      <c r="O37" s="46">
        <v>0.5562818075503323</v>
      </c>
      <c r="P37" s="21">
        <v>757</v>
      </c>
      <c r="Q37" s="22">
        <v>6.63</v>
      </c>
      <c r="R37" s="23">
        <v>0.37</v>
      </c>
      <c r="S37" s="2">
        <v>1</v>
      </c>
      <c r="T37" s="2">
        <v>4.6300000000000003E-4</v>
      </c>
      <c r="U37" s="2">
        <v>0.35679999940097329</v>
      </c>
      <c r="V37" s="2">
        <v>0.30000000000000004</v>
      </c>
      <c r="W37" s="2">
        <v>0.34066666666666667</v>
      </c>
      <c r="X37" s="2">
        <v>0.67359999969601625</v>
      </c>
      <c r="Y37" s="2">
        <v>1</v>
      </c>
      <c r="Z37" s="2">
        <v>0.61872599986307319</v>
      </c>
      <c r="AA37" s="2">
        <v>1</v>
      </c>
      <c r="AB37" s="2">
        <v>1</v>
      </c>
      <c r="AC37" s="2">
        <v>0.233199999704957</v>
      </c>
      <c r="AD37" s="2">
        <v>0.89639999851584451</v>
      </c>
      <c r="AE37" s="2">
        <v>0.40749999999999997</v>
      </c>
      <c r="AF37" s="2">
        <v>0.97719999999999996</v>
      </c>
      <c r="AG37" s="2">
        <v>0.79839469184324252</v>
      </c>
      <c r="AH37" s="2">
        <v>1</v>
      </c>
      <c r="AI37" s="2">
        <v>0.40835046795063024</v>
      </c>
      <c r="AJ37" s="2">
        <v>0.9692629369267417</v>
      </c>
      <c r="AK37" s="2">
        <v>0</v>
      </c>
      <c r="AL37" s="2">
        <v>0</v>
      </c>
      <c r="AM37" s="2">
        <v>0.94899999999999995</v>
      </c>
      <c r="AN37" s="2">
        <v>0.81</v>
      </c>
      <c r="AO37" s="2">
        <v>1.4446227929373995E-2</v>
      </c>
      <c r="AP37" s="2">
        <v>0.97947999949036069</v>
      </c>
      <c r="AQ37" s="16">
        <v>0.61389541616616161</v>
      </c>
      <c r="AR37" s="2">
        <v>0.375</v>
      </c>
      <c r="AS37" s="2">
        <v>0.3</v>
      </c>
      <c r="AT37" s="2">
        <v>0.65500000000000003</v>
      </c>
      <c r="AU37" s="2">
        <v>0.94099999999999995</v>
      </c>
      <c r="AV37" s="2">
        <v>0.4</v>
      </c>
      <c r="AW37" s="2">
        <v>0.68299999999999994</v>
      </c>
      <c r="AX37" s="2">
        <v>0.58099999999999996</v>
      </c>
      <c r="AY37" s="2">
        <v>9.787269099734637E-2</v>
      </c>
      <c r="AZ37" s="2">
        <v>0.30542268041711773</v>
      </c>
      <c r="BA37" s="2">
        <v>0.33666389091641552</v>
      </c>
      <c r="BB37" s="2">
        <v>4.1787293190033215E-2</v>
      </c>
      <c r="BC37" s="2">
        <v>3.4766820007849489E-2</v>
      </c>
      <c r="BD37" s="2">
        <v>0.23885535983770262</v>
      </c>
      <c r="BE37" s="2">
        <v>0.50700000000000001</v>
      </c>
    </row>
    <row r="38" spans="1:57">
      <c r="A38" s="1" t="s">
        <v>165</v>
      </c>
      <c r="B38" s="1" t="s">
        <v>225</v>
      </c>
      <c r="C38" s="2">
        <v>0.37146359053127276</v>
      </c>
      <c r="D38" s="2">
        <v>0.44590000000000007</v>
      </c>
      <c r="E38" s="2">
        <v>1</v>
      </c>
      <c r="F38" s="2">
        <v>0.19746768140851167</v>
      </c>
      <c r="G38" s="2">
        <v>1</v>
      </c>
      <c r="H38" s="11">
        <v>0.60296625438795692</v>
      </c>
      <c r="I38" s="2">
        <v>0.32098611782258679</v>
      </c>
      <c r="J38" s="2">
        <v>0.23919914984167495</v>
      </c>
      <c r="K38" s="2">
        <v>0.47499999999999998</v>
      </c>
      <c r="L38" s="2">
        <v>1</v>
      </c>
      <c r="M38" s="84">
        <v>0.50879631691606542</v>
      </c>
      <c r="N38" s="46">
        <v>0.56129880404581201</v>
      </c>
      <c r="O38" s="46">
        <v>0.56124811626374338</v>
      </c>
      <c r="P38" s="21">
        <v>1300</v>
      </c>
      <c r="Q38" s="22">
        <v>7.17</v>
      </c>
      <c r="R38" s="23">
        <v>0.39</v>
      </c>
      <c r="S38" s="2">
        <v>0.78847685840707959</v>
      </c>
      <c r="T38" s="2">
        <v>8.5350000000000009E-3</v>
      </c>
      <c r="U38" s="2">
        <v>0.51999999955296516</v>
      </c>
      <c r="V38" s="2">
        <v>0.375</v>
      </c>
      <c r="W38" s="2">
        <v>0.41199999999999998</v>
      </c>
      <c r="X38" s="2">
        <v>0.91359999991953367</v>
      </c>
      <c r="Y38" s="2">
        <v>0.63950000000000007</v>
      </c>
      <c r="Z38" s="2">
        <v>0.7358859998371452</v>
      </c>
      <c r="AA38" s="2">
        <v>1</v>
      </c>
      <c r="AB38" s="2">
        <v>0.08</v>
      </c>
      <c r="AC38" s="2">
        <v>8.4799999892711642E-2</v>
      </c>
      <c r="AD38" s="2">
        <v>1</v>
      </c>
      <c r="AE38" s="2">
        <v>0.20749999999999999</v>
      </c>
      <c r="AF38" s="2">
        <v>0.98560000000000003</v>
      </c>
      <c r="AG38" s="2">
        <v>0.76437229181155675</v>
      </c>
      <c r="AH38" s="2">
        <v>1</v>
      </c>
      <c r="AI38" s="2">
        <v>6.9494770842820491E-2</v>
      </c>
      <c r="AJ38" s="2">
        <v>1</v>
      </c>
      <c r="AK38" s="2">
        <v>0</v>
      </c>
      <c r="AL38" s="2">
        <v>0</v>
      </c>
      <c r="AM38" s="2">
        <v>0.96499999999999997</v>
      </c>
      <c r="AN38" s="2">
        <v>1</v>
      </c>
      <c r="AO38" s="2">
        <v>4.7649301143583237E-3</v>
      </c>
      <c r="AP38" s="2">
        <v>0.99359999986823722</v>
      </c>
      <c r="AQ38" s="16">
        <v>0.5645054104269337</v>
      </c>
      <c r="AR38" s="2">
        <v>0.32700000000000001</v>
      </c>
      <c r="AS38" s="2">
        <v>0.4</v>
      </c>
      <c r="AT38" s="2">
        <v>0.505</v>
      </c>
      <c r="AU38" s="2">
        <v>0.89200000000000002</v>
      </c>
      <c r="AV38" s="2">
        <v>0.45</v>
      </c>
      <c r="AW38" s="2">
        <v>0.76700000000000002</v>
      </c>
      <c r="AX38" s="2">
        <v>0.58399999999999996</v>
      </c>
      <c r="AY38" s="2">
        <v>0.15319697546013558</v>
      </c>
      <c r="AZ38" s="2">
        <v>0.2222876301812092</v>
      </c>
      <c r="BA38" s="2">
        <v>0.22565483616473075</v>
      </c>
      <c r="BB38" s="2">
        <v>0.2636587475046811</v>
      </c>
      <c r="BC38" s="2">
        <v>2.8303251434961603E-2</v>
      </c>
      <c r="BD38" s="2">
        <v>0.19747986229892284</v>
      </c>
      <c r="BE38" s="2">
        <v>0.46899999999999997</v>
      </c>
    </row>
    <row r="39" spans="1:57">
      <c r="A39" s="1" t="s">
        <v>18</v>
      </c>
      <c r="B39" s="1" t="s">
        <v>226</v>
      </c>
      <c r="C39" s="2">
        <v>0.37672030160248615</v>
      </c>
      <c r="D39" s="2">
        <v>0.4012</v>
      </c>
      <c r="E39" s="2">
        <v>0.25371224987138347</v>
      </c>
      <c r="F39" s="2">
        <v>0.50468402632929188</v>
      </c>
      <c r="G39" s="2">
        <v>0.10223367828942176</v>
      </c>
      <c r="H39" s="11">
        <v>0.32771005121851665</v>
      </c>
      <c r="I39" s="2">
        <v>0.16991487602955865</v>
      </c>
      <c r="J39" s="2">
        <v>0.41535428297785432</v>
      </c>
      <c r="K39" s="2">
        <v>0.375</v>
      </c>
      <c r="L39" s="2">
        <v>0.12857142857142856</v>
      </c>
      <c r="M39" s="84">
        <v>0.27221014689471035</v>
      </c>
      <c r="N39" s="46">
        <v>0.20774907186321165</v>
      </c>
      <c r="O39" s="46">
        <v>0.23373844146631828</v>
      </c>
      <c r="P39" s="21">
        <v>14311</v>
      </c>
      <c r="Q39" s="22">
        <v>9.57</v>
      </c>
      <c r="R39" s="23">
        <v>0.88</v>
      </c>
      <c r="S39" s="2">
        <v>9.0088050314465415E-2</v>
      </c>
      <c r="T39" s="2">
        <v>1.23E-2</v>
      </c>
      <c r="U39" s="2">
        <v>7.8399999141693155E-2</v>
      </c>
      <c r="V39" s="2">
        <v>0.15000000000000002</v>
      </c>
      <c r="W39" s="2">
        <v>6.6666666666666664E-4</v>
      </c>
      <c r="X39" s="2">
        <v>7.8399999141693155E-2</v>
      </c>
      <c r="Y39" s="2">
        <v>0.505</v>
      </c>
      <c r="Z39" s="2">
        <v>0.11392799997478723</v>
      </c>
      <c r="AA39" s="2">
        <v>0.44369598373157093</v>
      </c>
      <c r="AB39" s="2">
        <v>0.22</v>
      </c>
      <c r="AC39" s="2">
        <v>0.61479999922215933</v>
      </c>
      <c r="AD39" s="2">
        <v>0</v>
      </c>
      <c r="AE39" s="2">
        <v>0.3175</v>
      </c>
      <c r="AF39" s="2">
        <v>0.88759999999999994</v>
      </c>
      <c r="AG39" s="2">
        <v>0.1906121351796386</v>
      </c>
      <c r="AH39" s="2">
        <v>0.16962524600000001</v>
      </c>
      <c r="AI39" s="2">
        <v>2.3388176094824096E-4</v>
      </c>
      <c r="AJ39" s="2">
        <v>1.2929487728884746E-2</v>
      </c>
      <c r="AK39" s="2">
        <v>2.4630565365612207E-2</v>
      </c>
      <c r="AL39" s="2">
        <v>2.21323952882077E-2</v>
      </c>
      <c r="AM39" s="2">
        <v>1.5000000000000013E-2</v>
      </c>
      <c r="AN39" s="2">
        <v>0.83</v>
      </c>
      <c r="AO39" s="2">
        <v>3.0250067222371606E-2</v>
      </c>
      <c r="AP39" s="2">
        <v>0.83435999295529062</v>
      </c>
      <c r="AQ39" s="16">
        <v>0.23508968623724955</v>
      </c>
      <c r="AR39" s="2">
        <v>0.64800000000000002</v>
      </c>
      <c r="AS39" s="2">
        <v>0.7</v>
      </c>
      <c r="AT39" s="2">
        <v>0.77500000000000002</v>
      </c>
      <c r="AU39" s="2">
        <v>0.89599999999999991</v>
      </c>
      <c r="AV39" s="2">
        <v>0.8</v>
      </c>
      <c r="AW39" s="2">
        <v>0.73</v>
      </c>
      <c r="AX39" s="2">
        <v>0.88</v>
      </c>
      <c r="AY39" s="2">
        <v>0.62439848879948978</v>
      </c>
      <c r="AZ39" s="2">
        <v>0.69061900223125738</v>
      </c>
      <c r="BA39" s="2">
        <v>0.77145071420237177</v>
      </c>
      <c r="BB39" s="2">
        <v>1</v>
      </c>
      <c r="BC39" s="2">
        <v>0.75146578355699989</v>
      </c>
      <c r="BD39" s="2">
        <v>0.747604066889207</v>
      </c>
      <c r="BE39" s="2">
        <v>0.754</v>
      </c>
    </row>
    <row r="40" spans="1:57">
      <c r="A40" s="1" t="s">
        <v>111</v>
      </c>
      <c r="B40" s="1" t="s">
        <v>227</v>
      </c>
      <c r="C40" s="2">
        <v>0.5116531789568517</v>
      </c>
      <c r="D40" s="2">
        <v>0.35650000000000004</v>
      </c>
      <c r="E40" s="2">
        <v>0.46339299168325893</v>
      </c>
      <c r="F40" s="2">
        <v>0.66230780581378201</v>
      </c>
      <c r="G40" s="2">
        <v>0.35198821891567278</v>
      </c>
      <c r="H40" s="11">
        <v>0.46916843907391304</v>
      </c>
      <c r="I40" s="2">
        <v>1</v>
      </c>
      <c r="J40" s="2">
        <v>0</v>
      </c>
      <c r="K40" s="2">
        <v>0.15</v>
      </c>
      <c r="L40" s="2">
        <v>0.41571428571428576</v>
      </c>
      <c r="M40" s="84">
        <v>0.3914285714285714</v>
      </c>
      <c r="N40" s="46">
        <v>0.2622810790767453</v>
      </c>
      <c r="O40" s="46">
        <v>0.30928189027047692</v>
      </c>
      <c r="P40" s="21">
        <v>6828</v>
      </c>
      <c r="Q40" s="22">
        <v>8.83</v>
      </c>
      <c r="R40" s="23">
        <v>0.77</v>
      </c>
      <c r="S40" s="2">
        <v>1</v>
      </c>
      <c r="T40" s="2">
        <v>0.21460999956391752</v>
      </c>
      <c r="U40" s="2">
        <v>0.14559999920427802</v>
      </c>
      <c r="V40" s="2">
        <v>0.625</v>
      </c>
      <c r="W40" s="2">
        <v>3.7333333333333336E-2</v>
      </c>
      <c r="X40" s="2">
        <v>0.47199999950826166</v>
      </c>
      <c r="Y40" s="2">
        <v>0.20825000000000002</v>
      </c>
      <c r="Z40" s="2">
        <v>0.56559999987483023</v>
      </c>
      <c r="AA40" s="2">
        <v>0.39848461559326898</v>
      </c>
      <c r="AB40" s="2">
        <v>0.12</v>
      </c>
      <c r="AC40" s="2">
        <v>2.119999997317791E-2</v>
      </c>
      <c r="AD40" s="2">
        <v>0.12</v>
      </c>
      <c r="AE40" s="2">
        <v>0.76749999999999996</v>
      </c>
      <c r="AF40" s="2">
        <v>0.83160000000000001</v>
      </c>
      <c r="AG40" s="2">
        <v>0.29600842796072468</v>
      </c>
      <c r="AH40" s="2">
        <v>0.158469946</v>
      </c>
      <c r="AI40" s="2">
        <v>0</v>
      </c>
      <c r="AJ40" s="2">
        <v>1.7002356265383375E-2</v>
      </c>
      <c r="AK40" s="2">
        <v>1.9791169039169651E-2</v>
      </c>
      <c r="AL40" s="2">
        <v>0.11397905071265001</v>
      </c>
      <c r="AM40" s="2">
        <v>5.9999999999998943E-3</v>
      </c>
      <c r="AN40" s="2">
        <v>0.22</v>
      </c>
      <c r="AO40" s="2">
        <v>1.2865198768929132E-2</v>
      </c>
      <c r="AP40" s="2">
        <v>0.48639999952167268</v>
      </c>
      <c r="AQ40" s="16">
        <v>0.2857372539716499</v>
      </c>
      <c r="AR40" s="2">
        <v>0.49700000000000005</v>
      </c>
      <c r="AS40" s="2">
        <v>0.3</v>
      </c>
      <c r="AT40" s="2">
        <v>0.70200000000000007</v>
      </c>
      <c r="AU40" s="2">
        <v>0.88099999999999989</v>
      </c>
      <c r="AV40" s="2">
        <v>0.2</v>
      </c>
      <c r="AW40" s="2">
        <v>0.70599999999999996</v>
      </c>
      <c r="AX40" s="2">
        <v>0.72199999999999998</v>
      </c>
      <c r="AY40" s="2">
        <v>0.41302304259828426</v>
      </c>
      <c r="AZ40" s="2">
        <v>0.17266158490423161</v>
      </c>
      <c r="BA40" s="2">
        <v>0.39543473521900141</v>
      </c>
      <c r="BB40" s="2">
        <v>0.61714208476823917</v>
      </c>
      <c r="BC40" s="2">
        <v>0.34695624864976271</v>
      </c>
      <c r="BD40" s="2">
        <v>0.43110770026772693</v>
      </c>
      <c r="BE40" s="2">
        <v>0.53200000000000003</v>
      </c>
    </row>
    <row r="41" spans="1:57">
      <c r="A41" s="1" t="s">
        <v>46</v>
      </c>
      <c r="B41" s="1" t="s">
        <v>228</v>
      </c>
      <c r="C41" s="2">
        <v>0.248114115136293</v>
      </c>
      <c r="D41" s="2">
        <v>0.10939999999999994</v>
      </c>
      <c r="E41" s="2">
        <v>0.31168880651324948</v>
      </c>
      <c r="F41" s="2">
        <v>0.50661004044729951</v>
      </c>
      <c r="G41" s="2">
        <v>0.41273932339232844</v>
      </c>
      <c r="H41" s="11">
        <v>0.31771045709783408</v>
      </c>
      <c r="I41" s="2">
        <v>0.1435850330081726</v>
      </c>
      <c r="J41" s="2">
        <v>0.20639506070961389</v>
      </c>
      <c r="K41" s="2">
        <v>0.65</v>
      </c>
      <c r="L41" s="2">
        <v>0.20428571428571429</v>
      </c>
      <c r="M41" s="84">
        <v>0.30106645200087523</v>
      </c>
      <c r="N41" s="46">
        <v>0.27516416730986476</v>
      </c>
      <c r="O41" s="46">
        <v>0.28475024572513413</v>
      </c>
      <c r="P41" s="21">
        <v>8959</v>
      </c>
      <c r="Q41" s="22">
        <v>9.1</v>
      </c>
      <c r="R41" s="23">
        <v>0.81</v>
      </c>
      <c r="S41" s="2">
        <v>1</v>
      </c>
      <c r="T41" s="2">
        <v>7.1195999734774244E-3</v>
      </c>
      <c r="U41" s="2">
        <v>0.11679999917745587</v>
      </c>
      <c r="V41" s="2">
        <v>0.27500000000000002</v>
      </c>
      <c r="W41" s="2">
        <v>2.1999999999999999E-2</v>
      </c>
      <c r="X41" s="2">
        <v>0.28959999933838843</v>
      </c>
      <c r="Y41" s="2">
        <v>0.48833333333333334</v>
      </c>
      <c r="Z41" s="2">
        <v>0.25451999994367364</v>
      </c>
      <c r="AA41" s="2">
        <v>0.5</v>
      </c>
      <c r="AB41" s="2">
        <v>0.06</v>
      </c>
      <c r="AC41" s="2">
        <v>0.64659999918192623</v>
      </c>
      <c r="AD41" s="2">
        <v>6.5999999865889544E-2</v>
      </c>
      <c r="AE41" s="2">
        <v>0.3175</v>
      </c>
      <c r="AF41" s="2">
        <v>0.87</v>
      </c>
      <c r="AG41" s="2">
        <v>0.29877463284134964</v>
      </c>
      <c r="AH41" s="2">
        <v>0.22654867200000001</v>
      </c>
      <c r="AI41" s="2">
        <v>5.3652469558126471E-4</v>
      </c>
      <c r="AJ41" s="2">
        <v>5.711278529090115E-2</v>
      </c>
      <c r="AK41" s="2">
        <v>1.4399118745604797E-2</v>
      </c>
      <c r="AL41" s="2">
        <v>3.5307722344131397E-2</v>
      </c>
      <c r="AM41" s="2">
        <v>6.4000000000000057E-2</v>
      </c>
      <c r="AN41" s="2">
        <v>0.48</v>
      </c>
      <c r="AO41" s="2">
        <v>3.7854889589905363E-2</v>
      </c>
      <c r="AP41" s="2">
        <v>0.88768000225589683</v>
      </c>
      <c r="AQ41" s="16">
        <v>0.29232030327406311</v>
      </c>
      <c r="AR41" s="2">
        <v>0.83599999999999997</v>
      </c>
      <c r="AS41" s="2">
        <v>0.6</v>
      </c>
      <c r="AT41" s="2">
        <v>0.74299999999999999</v>
      </c>
      <c r="AU41" s="2">
        <v>0.748</v>
      </c>
      <c r="AV41" s="2">
        <v>0.55000000000000004</v>
      </c>
      <c r="AW41" s="2">
        <v>0.74</v>
      </c>
      <c r="AX41" s="2">
        <v>0.72499999999999998</v>
      </c>
      <c r="AY41" s="2">
        <v>0.1693740416413359</v>
      </c>
      <c r="AZ41" s="2">
        <v>0.45796696356710892</v>
      </c>
      <c r="BA41" s="2">
        <v>0.44221330301972628</v>
      </c>
      <c r="BB41" s="2">
        <v>1</v>
      </c>
      <c r="BC41" s="2">
        <v>0.52302902154665831</v>
      </c>
      <c r="BD41" s="2">
        <v>0.41281604294412844</v>
      </c>
      <c r="BE41" s="2">
        <v>0.72699999999999998</v>
      </c>
    </row>
    <row r="42" spans="1:57">
      <c r="A42" s="1" t="s">
        <v>163</v>
      </c>
      <c r="B42" s="1" t="s">
        <v>229</v>
      </c>
      <c r="C42" s="2" t="e">
        <v>#N/A</v>
      </c>
      <c r="D42" s="2">
        <v>1</v>
      </c>
      <c r="E42" s="2">
        <v>0.33750811143941684</v>
      </c>
      <c r="F42" s="2">
        <v>0.53558090905559497</v>
      </c>
      <c r="G42" s="2">
        <v>0.81099656385040442</v>
      </c>
      <c r="H42" s="11">
        <v>0.67102139608635403</v>
      </c>
      <c r="I42" s="2">
        <v>4.0700528268921572E-2</v>
      </c>
      <c r="J42" s="2">
        <v>0.20204610727813899</v>
      </c>
      <c r="K42" s="2">
        <v>0.5</v>
      </c>
      <c r="L42" s="2">
        <v>0.98428571428571432</v>
      </c>
      <c r="M42" s="84">
        <v>0.43175808745819372</v>
      </c>
      <c r="N42" s="46">
        <v>0.41804238766287999</v>
      </c>
      <c r="O42" s="46">
        <v>0.45803504952041413</v>
      </c>
      <c r="P42" s="21">
        <v>1183</v>
      </c>
      <c r="Q42" s="22">
        <v>7.08</v>
      </c>
      <c r="R42" s="23">
        <v>0.57999999999999996</v>
      </c>
      <c r="S42" s="2">
        <v>0.11008845200540784</v>
      </c>
      <c r="T42" s="2">
        <v>8.3330000000000001E-3</v>
      </c>
      <c r="U42" s="2">
        <v>8.7999999150633834E-2</v>
      </c>
      <c r="V42" s="2">
        <v>0.125</v>
      </c>
      <c r="W42" s="2">
        <v>0.11799999999999999</v>
      </c>
      <c r="X42" s="2">
        <v>0.65439999967813489</v>
      </c>
      <c r="Y42" s="2">
        <v>0.44466666666666665</v>
      </c>
      <c r="Z42" s="2">
        <v>0.7257859998393803</v>
      </c>
      <c r="AA42" s="2">
        <v>1</v>
      </c>
      <c r="AB42" s="2">
        <v>0.06</v>
      </c>
      <c r="AC42" s="2">
        <v>0.79499999899417162</v>
      </c>
      <c r="AD42" s="2">
        <v>1</v>
      </c>
      <c r="AE42" s="2">
        <v>0.20749999999999999</v>
      </c>
      <c r="AF42" s="2">
        <v>0.95840000000000003</v>
      </c>
      <c r="AG42" s="2">
        <v>0.44536195005104096</v>
      </c>
      <c r="AH42" s="2">
        <v>0.70605834000000001</v>
      </c>
      <c r="AI42" s="2">
        <v>0.1545912350537883</v>
      </c>
      <c r="AJ42" s="2">
        <v>0.36714934562436818</v>
      </c>
      <c r="AK42" s="2">
        <v>0.10385718663663485</v>
      </c>
      <c r="AL42" s="2">
        <v>0.14288783379352599</v>
      </c>
      <c r="AM42" s="2">
        <v>0.59899999999999998</v>
      </c>
      <c r="AN42" s="2">
        <v>0.5</v>
      </c>
      <c r="AO42" s="2">
        <v>0.80645161290322576</v>
      </c>
      <c r="AP42" s="2">
        <v>0.37269999692216516</v>
      </c>
      <c r="AQ42" s="16">
        <v>0.43721798405496437</v>
      </c>
      <c r="AR42" s="2">
        <v>0.43700000000000006</v>
      </c>
      <c r="AS42" s="2">
        <v>0.2</v>
      </c>
      <c r="AT42" s="2">
        <v>0.65</v>
      </c>
      <c r="AU42" s="2">
        <v>0.85099999999999998</v>
      </c>
      <c r="AV42" s="2">
        <v>0.1</v>
      </c>
      <c r="AW42" s="2">
        <v>0.76400000000000001</v>
      </c>
      <c r="AX42" s="2">
        <v>0.624</v>
      </c>
      <c r="AY42" s="2">
        <v>0.2996401997304261</v>
      </c>
      <c r="AZ42" s="2">
        <v>0.44181178669012855</v>
      </c>
      <c r="BA42" s="2">
        <v>0.35099373528479372</v>
      </c>
      <c r="BB42" s="2">
        <v>0.16689466734934419</v>
      </c>
      <c r="BC42" s="2">
        <v>7.3313177159409451E-2</v>
      </c>
      <c r="BD42" s="2">
        <v>0.28491637779742884</v>
      </c>
      <c r="BE42" s="2">
        <v>0.314</v>
      </c>
    </row>
    <row r="43" spans="1:57">
      <c r="A43" s="1" t="s">
        <v>85</v>
      </c>
      <c r="B43" s="1" t="s">
        <v>230</v>
      </c>
      <c r="C43" s="2">
        <v>0</v>
      </c>
      <c r="D43" s="2">
        <v>0.44590000000000007</v>
      </c>
      <c r="E43" s="2">
        <v>1</v>
      </c>
      <c r="F43" s="2">
        <v>0.18918963619914231</v>
      </c>
      <c r="G43" s="2">
        <v>0.66924398673820795</v>
      </c>
      <c r="H43" s="11">
        <v>0.46086672458747008</v>
      </c>
      <c r="I43" s="2">
        <v>0.12076744460666329</v>
      </c>
      <c r="J43" s="2">
        <v>0.61011583440555706</v>
      </c>
      <c r="K43" s="2">
        <v>0.05</v>
      </c>
      <c r="L43" s="2">
        <v>0.71285714285714286</v>
      </c>
      <c r="M43" s="84">
        <v>0.37343510546734082</v>
      </c>
      <c r="N43" s="46">
        <v>0.43746992073911017</v>
      </c>
      <c r="O43" s="46">
        <v>0.43325309522864724</v>
      </c>
      <c r="P43" s="21">
        <v>4238</v>
      </c>
      <c r="Q43" s="22">
        <v>8.35</v>
      </c>
      <c r="R43" s="23">
        <v>0.6</v>
      </c>
      <c r="S43" s="2">
        <v>0.36947381742738594</v>
      </c>
      <c r="T43" s="2">
        <v>5.4999999999999995E-5</v>
      </c>
      <c r="U43" s="2">
        <v>0.31839999936521057</v>
      </c>
      <c r="V43" s="2">
        <v>0.25</v>
      </c>
      <c r="W43" s="2">
        <v>0.14666666666666667</v>
      </c>
      <c r="X43" s="2">
        <v>0.71199999973177908</v>
      </c>
      <c r="Y43" s="2">
        <v>1</v>
      </c>
      <c r="Z43" s="2">
        <v>0.38662799991443753</v>
      </c>
      <c r="AA43" s="2">
        <v>0.99815986394550005</v>
      </c>
      <c r="AB43" s="2">
        <v>0.02</v>
      </c>
      <c r="AC43" s="2">
        <v>0.89039999887347221</v>
      </c>
      <c r="AD43" s="2">
        <v>0.29699999939650301</v>
      </c>
      <c r="AE43" s="2">
        <v>0.40749999999999997</v>
      </c>
      <c r="AF43" s="2">
        <v>0.95960000000000001</v>
      </c>
      <c r="AG43" s="2">
        <v>0.67180394050583403</v>
      </c>
      <c r="AH43" s="2">
        <v>0.84236153400000002</v>
      </c>
      <c r="AI43" s="2">
        <v>7.2331323542392759E-2</v>
      </c>
      <c r="AJ43" s="2">
        <v>0.67257017016180332</v>
      </c>
      <c r="AK43" s="2">
        <v>5.2343314521500583E-4</v>
      </c>
      <c r="AL43" s="2">
        <v>2.9502723996677201E-2</v>
      </c>
      <c r="AM43" s="2">
        <v>0.7</v>
      </c>
      <c r="AN43" s="2">
        <v>0</v>
      </c>
      <c r="AO43" s="2">
        <v>1.7569546120058562E-2</v>
      </c>
      <c r="AP43" s="2">
        <v>0.93440941163451618</v>
      </c>
      <c r="AQ43" s="16">
        <v>0.44570647618447712</v>
      </c>
      <c r="AR43" s="2">
        <v>0.33500000000000002</v>
      </c>
      <c r="AS43" s="2">
        <v>0.2</v>
      </c>
      <c r="AT43" s="2">
        <v>0.74</v>
      </c>
      <c r="AU43" s="2">
        <v>0.90500000000000003</v>
      </c>
      <c r="AV43" s="2">
        <v>0.15</v>
      </c>
      <c r="AW43" s="2">
        <v>0.58700000000000008</v>
      </c>
      <c r="AX43" s="2">
        <v>0.61699999999999999</v>
      </c>
      <c r="AY43" s="2">
        <v>0.41860965905357495</v>
      </c>
      <c r="AZ43" s="2">
        <v>0.29473414571591394</v>
      </c>
      <c r="BA43" s="2">
        <v>0.25899868351406974</v>
      </c>
      <c r="BB43" s="2">
        <v>0.64837958062869971</v>
      </c>
      <c r="BC43" s="2">
        <v>9.1145057163435433E-2</v>
      </c>
      <c r="BD43" s="2">
        <v>0.26451411395487312</v>
      </c>
      <c r="BE43" s="2">
        <v>0.33399999999999996</v>
      </c>
    </row>
    <row r="44" spans="1:57">
      <c r="A44" s="1" t="s">
        <v>148</v>
      </c>
      <c r="B44" s="1" t="s">
        <v>231</v>
      </c>
      <c r="C44" s="2">
        <v>0.26267103789800861</v>
      </c>
      <c r="D44" s="2">
        <v>0.41000000000000003</v>
      </c>
      <c r="E44" s="2" t="e">
        <v>#N/A</v>
      </c>
      <c r="F44" s="2">
        <v>0.56924678902190051</v>
      </c>
      <c r="G44" s="2">
        <v>1</v>
      </c>
      <c r="H44" s="11">
        <v>0.56047945672997734</v>
      </c>
      <c r="I44" s="2" t="e">
        <v>#N/A</v>
      </c>
      <c r="J44" s="2" t="e">
        <v>#N/A</v>
      </c>
      <c r="K44" s="2" t="e">
        <v>#N/A</v>
      </c>
      <c r="L44" s="2">
        <v>0.88142857142857145</v>
      </c>
      <c r="M44" s="84" t="e">
        <v>#N/A</v>
      </c>
      <c r="N44" s="46" t="e">
        <v>#N/A</v>
      </c>
      <c r="O44" s="46" t="e">
        <v>#N/A</v>
      </c>
      <c r="P44" s="21">
        <v>319</v>
      </c>
      <c r="Q44" s="22">
        <v>5.77</v>
      </c>
      <c r="R44" s="23">
        <v>0.39</v>
      </c>
      <c r="S44" s="2">
        <v>0.60429571788413083</v>
      </c>
      <c r="T44" s="2">
        <v>4.8500000000000003E-4</v>
      </c>
      <c r="U44" s="2">
        <v>0.75</v>
      </c>
      <c r="V44" s="2">
        <v>0.30000000000000004</v>
      </c>
      <c r="W44" s="2">
        <v>0.52400000000000002</v>
      </c>
      <c r="X44" s="2">
        <v>0.75</v>
      </c>
      <c r="Y44" s="2">
        <v>1</v>
      </c>
      <c r="Z44" s="2">
        <v>0.9</v>
      </c>
      <c r="AA44" s="2">
        <v>1</v>
      </c>
      <c r="AB44" s="2">
        <v>0.1</v>
      </c>
      <c r="AC44" s="2">
        <v>0.29679999962449077</v>
      </c>
      <c r="AD44" s="2">
        <v>0.8585999989137052</v>
      </c>
      <c r="AE44" s="2">
        <v>0.40749999999999997</v>
      </c>
      <c r="AF44" s="2">
        <v>0.97</v>
      </c>
      <c r="AG44" s="2">
        <v>0.67180394050583403</v>
      </c>
      <c r="AH44" s="2">
        <v>0.968814968</v>
      </c>
      <c r="AI44" s="2">
        <v>0.36154580717798834</v>
      </c>
      <c r="AJ44" s="2">
        <v>1</v>
      </c>
      <c r="AK44" s="2">
        <v>2.5902310534874307E-4</v>
      </c>
      <c r="AL44" s="2">
        <v>3.69403006291977E-4</v>
      </c>
      <c r="AM44" s="2">
        <v>0.7</v>
      </c>
      <c r="AN44" s="2">
        <v>0</v>
      </c>
      <c r="AO44" s="2">
        <v>1.7569546120058562E-2</v>
      </c>
      <c r="AP44" s="2">
        <v>0.98179999947999996</v>
      </c>
      <c r="AQ44" s="16">
        <v>0.54849347515907698</v>
      </c>
      <c r="AR44" s="2">
        <v>0.48700000000000004</v>
      </c>
      <c r="AS44" s="2">
        <v>0.3</v>
      </c>
      <c r="AT44" s="2">
        <v>0.60299999999999998</v>
      </c>
      <c r="AU44" s="2">
        <v>0.69299999999999995</v>
      </c>
      <c r="AV44" s="2">
        <v>0.15</v>
      </c>
      <c r="AW44" s="2">
        <v>0.70799999999999996</v>
      </c>
      <c r="AX44" s="2">
        <v>0.61</v>
      </c>
      <c r="AY44" s="2">
        <v>7.8212531084525597E-2</v>
      </c>
      <c r="AZ44" s="2">
        <v>0.21387509585849154</v>
      </c>
      <c r="BA44" s="2">
        <v>0.2194968595279044</v>
      </c>
      <c r="BB44" s="2">
        <v>0.16933759912602891</v>
      </c>
      <c r="BC44" s="2">
        <v>8.5383540019277476E-2</v>
      </c>
      <c r="BD44" s="2">
        <v>0.16323330540380168</v>
      </c>
      <c r="BE44" s="2">
        <v>0.48100000000000004</v>
      </c>
    </row>
    <row r="45" spans="1:57">
      <c r="A45" s="1" t="s">
        <v>78</v>
      </c>
      <c r="B45" s="1" t="s">
        <v>232</v>
      </c>
      <c r="C45" s="2">
        <v>0.49920455488450932</v>
      </c>
      <c r="D45" s="2">
        <v>5.8199999999999918E-2</v>
      </c>
      <c r="E45" s="2">
        <v>0.33347633307971464</v>
      </c>
      <c r="F45" s="2">
        <v>0.33492435505434176</v>
      </c>
      <c r="G45" s="2">
        <v>0.47389952459001761</v>
      </c>
      <c r="H45" s="11">
        <v>0.3399409535217166</v>
      </c>
      <c r="I45" s="2">
        <v>0.27573072108400176</v>
      </c>
      <c r="J45" s="2">
        <v>0.55379920240345981</v>
      </c>
      <c r="K45" s="2">
        <v>0</v>
      </c>
      <c r="L45" s="2">
        <v>0.15571428571428572</v>
      </c>
      <c r="M45" s="84">
        <v>0.24631105230043682</v>
      </c>
      <c r="N45" s="46">
        <v>0.30680223035505777</v>
      </c>
      <c r="O45" s="46">
        <v>0.30449098501005206</v>
      </c>
      <c r="P45" s="21">
        <v>11106</v>
      </c>
      <c r="Q45" s="22">
        <v>9.32</v>
      </c>
      <c r="R45" s="23">
        <v>0.85</v>
      </c>
      <c r="S45" s="2">
        <v>0.10794467213114751</v>
      </c>
      <c r="T45" s="2">
        <v>2.8607999893426894E-2</v>
      </c>
      <c r="U45" s="2">
        <v>6.8799999132752365E-2</v>
      </c>
      <c r="V45" s="2">
        <v>0.22499999999999998</v>
      </c>
      <c r="W45" s="2">
        <v>2.6666666666666666E-3</v>
      </c>
      <c r="X45" s="2">
        <v>8.7999999150633834E-2</v>
      </c>
      <c r="Y45" s="2">
        <v>0.49525000000000002</v>
      </c>
      <c r="Z45" s="2">
        <v>0.36582199991904196</v>
      </c>
      <c r="AA45" s="2">
        <v>0.5</v>
      </c>
      <c r="AB45" s="2">
        <v>1</v>
      </c>
      <c r="AC45" s="2">
        <v>1</v>
      </c>
      <c r="AD45" s="2">
        <v>0.04</v>
      </c>
      <c r="AE45" s="2">
        <v>0.3175</v>
      </c>
      <c r="AF45" s="2">
        <v>0.85719999999999996</v>
      </c>
      <c r="AG45" s="2">
        <v>0.18477393029615286</v>
      </c>
      <c r="AH45" s="2">
        <v>0.128772636</v>
      </c>
      <c r="AI45" s="2">
        <v>1.5741417818516358E-3</v>
      </c>
      <c r="AJ45" s="2">
        <v>2.4489166498947095E-2</v>
      </c>
      <c r="AK45" s="2">
        <v>3.509733604268795E-2</v>
      </c>
      <c r="AL45" s="2">
        <v>2.3556027702306501E-2</v>
      </c>
      <c r="AM45" s="2">
        <v>9.000000000000008E-3</v>
      </c>
      <c r="AN45" s="2">
        <v>0.88</v>
      </c>
      <c r="AO45" s="2">
        <v>0.41128084606345483</v>
      </c>
      <c r="AP45" s="2">
        <v>0.75731199977397923</v>
      </c>
      <c r="AQ45" s="16">
        <v>0.31469364254387705</v>
      </c>
      <c r="AR45" s="2">
        <v>0.59299999999999997</v>
      </c>
      <c r="AS45" s="2">
        <v>0.5</v>
      </c>
      <c r="AT45" s="2">
        <v>0.82400000000000007</v>
      </c>
      <c r="AU45" s="2">
        <v>0.87</v>
      </c>
      <c r="AV45" s="2">
        <v>0.7</v>
      </c>
      <c r="AW45" s="2">
        <v>0.67799999999999994</v>
      </c>
      <c r="AX45" s="2">
        <v>0.82499999999999996</v>
      </c>
      <c r="AY45" s="2">
        <v>0.62890604859166011</v>
      </c>
      <c r="AZ45" s="2">
        <v>0.69203283702402296</v>
      </c>
      <c r="BA45" s="2">
        <v>0.63791108712100653</v>
      </c>
      <c r="BB45" s="2">
        <v>0.46852491141177016</v>
      </c>
      <c r="BC45" s="2">
        <v>0.32577081509477485</v>
      </c>
      <c r="BD45" s="2">
        <v>0.61138485400163523</v>
      </c>
      <c r="BE45" s="2">
        <v>0.59</v>
      </c>
    </row>
    <row r="46" spans="1:57">
      <c r="A46" s="1" t="s">
        <v>116</v>
      </c>
      <c r="B46" s="1" t="s">
        <v>233</v>
      </c>
      <c r="C46" s="2" t="e">
        <v>#N/A</v>
      </c>
      <c r="D46" s="2">
        <v>0</v>
      </c>
      <c r="E46" s="2">
        <v>0.67663165765345501</v>
      </c>
      <c r="F46" s="2">
        <v>0.5709470196264288</v>
      </c>
      <c r="G46" s="2">
        <v>1</v>
      </c>
      <c r="H46" s="11">
        <v>0.5618946693199709</v>
      </c>
      <c r="I46" s="2">
        <v>0.33417291705356555</v>
      </c>
      <c r="J46" s="2">
        <v>0.45309002736742676</v>
      </c>
      <c r="K46" s="2">
        <v>0.625</v>
      </c>
      <c r="L46" s="2">
        <v>0.81428571428571428</v>
      </c>
      <c r="M46" s="84">
        <v>0.55663716467667657</v>
      </c>
      <c r="N46" s="46">
        <v>0.44110593543481663</v>
      </c>
      <c r="O46" s="46">
        <v>0.47341104411339874</v>
      </c>
      <c r="P46" s="21">
        <v>1701</v>
      </c>
      <c r="Q46" s="22">
        <v>7.44</v>
      </c>
      <c r="R46" s="23">
        <v>0.48</v>
      </c>
      <c r="S46" s="2">
        <v>0.82539500670241284</v>
      </c>
      <c r="T46" s="2">
        <v>2.0843999922350052E-2</v>
      </c>
      <c r="U46" s="2">
        <v>0.23199999928474424</v>
      </c>
      <c r="V46" s="2">
        <v>0.27500000000000002</v>
      </c>
      <c r="W46" s="2">
        <v>0.374</v>
      </c>
      <c r="X46" s="2">
        <v>0.77919999979436394</v>
      </c>
      <c r="Y46" s="2">
        <v>0.36491666666666667</v>
      </c>
      <c r="Z46" s="2">
        <v>0.51065599988698962</v>
      </c>
      <c r="AA46" s="2">
        <v>0.96856369047616664</v>
      </c>
      <c r="AB46" s="2">
        <v>0.16</v>
      </c>
      <c r="AC46" s="2">
        <v>0.56179999928921465</v>
      </c>
      <c r="AD46" s="2">
        <v>0.46439999923110004</v>
      </c>
      <c r="AE46" s="2">
        <v>0.40749999999999997</v>
      </c>
      <c r="AF46" s="2">
        <v>0.96928000000000003</v>
      </c>
      <c r="AG46" s="2">
        <v>0.5971051697045574</v>
      </c>
      <c r="AH46" s="2">
        <v>0.89593657000000004</v>
      </c>
      <c r="AI46" s="2">
        <v>0.10738127703723606</v>
      </c>
      <c r="AJ46" s="2">
        <v>0.58465209531738482</v>
      </c>
      <c r="AK46" s="2">
        <v>3.4615097838185433E-3</v>
      </c>
      <c r="AL46" s="2">
        <v>6.3369439124179597E-2</v>
      </c>
      <c r="AM46" s="2">
        <v>0.52700000000000002</v>
      </c>
      <c r="AN46" s="2">
        <v>0.25</v>
      </c>
      <c r="AO46" s="2">
        <v>4.7169811320754715E-3</v>
      </c>
      <c r="AP46" s="2">
        <v>0.92546124190665502</v>
      </c>
      <c r="AQ46" s="16">
        <v>0.45302665188582975</v>
      </c>
      <c r="AR46" s="2">
        <v>0.43700000000000006</v>
      </c>
      <c r="AS46" s="2">
        <v>0.5</v>
      </c>
      <c r="AT46" s="2">
        <v>0.78299999999999992</v>
      </c>
      <c r="AU46" s="2">
        <v>0.871</v>
      </c>
      <c r="AV46" s="2">
        <v>0.35</v>
      </c>
      <c r="AW46" s="2">
        <v>0.76</v>
      </c>
      <c r="AX46" s="2">
        <v>0.64300000000000002</v>
      </c>
      <c r="AY46" s="2">
        <v>0.19731061650160181</v>
      </c>
      <c r="AZ46" s="2">
        <v>0.27012659221199031</v>
      </c>
      <c r="BA46" s="2">
        <v>0.26969246161477933</v>
      </c>
      <c r="BB46" s="2">
        <v>0.69658230308381719</v>
      </c>
      <c r="BC46" s="2">
        <v>0.11242131444610656</v>
      </c>
      <c r="BD46" s="2">
        <v>0.23623382108753416</v>
      </c>
      <c r="BE46" s="2">
        <v>0.56100000000000005</v>
      </c>
    </row>
    <row r="47" spans="1:57">
      <c r="A47" s="1" t="s">
        <v>96</v>
      </c>
      <c r="B47" s="1" t="s">
        <v>234</v>
      </c>
      <c r="C47" s="2">
        <v>0.43777130920980856</v>
      </c>
      <c r="D47" s="2">
        <v>0.29239999999999999</v>
      </c>
      <c r="E47" s="2">
        <v>6.0672036056286238E-2</v>
      </c>
      <c r="F47" s="2">
        <v>0.27450214807801288</v>
      </c>
      <c r="G47" s="2">
        <v>0.1496890856873373</v>
      </c>
      <c r="H47" s="11">
        <v>0.24300691580628894</v>
      </c>
      <c r="I47" s="2">
        <v>0</v>
      </c>
      <c r="J47" s="2">
        <v>0.24119526341318251</v>
      </c>
      <c r="K47" s="2">
        <v>2.5000000000000001E-2</v>
      </c>
      <c r="L47" s="2">
        <v>0</v>
      </c>
      <c r="M47" s="84">
        <v>6.6548815853295626E-2</v>
      </c>
      <c r="N47" s="46">
        <v>0.17372716123249995</v>
      </c>
      <c r="O47" s="46">
        <v>0.1712327791522614</v>
      </c>
      <c r="P47" s="21">
        <v>19986</v>
      </c>
      <c r="Q47" s="22">
        <v>9.9</v>
      </c>
      <c r="R47" s="23">
        <v>0.87</v>
      </c>
      <c r="S47" s="2">
        <v>0.14696972814107276</v>
      </c>
      <c r="T47" s="2">
        <v>5.9809999999999993E-3</v>
      </c>
      <c r="U47" s="2">
        <v>4.9599999114871007E-2</v>
      </c>
      <c r="V47" s="2">
        <v>0.57499999999999996</v>
      </c>
      <c r="W47" s="2">
        <v>0</v>
      </c>
      <c r="X47" s="2">
        <v>4.9599999114871007E-2</v>
      </c>
      <c r="Y47" s="2">
        <v>0.28591666666666671</v>
      </c>
      <c r="Z47" s="2">
        <v>0.42884599990509448</v>
      </c>
      <c r="AA47" s="2">
        <v>0.49334442595673877</v>
      </c>
      <c r="AB47" s="2">
        <v>0.32</v>
      </c>
      <c r="AC47" s="2">
        <v>0.1165999998524785</v>
      </c>
      <c r="AD47" s="2">
        <v>0</v>
      </c>
      <c r="AE47" s="2">
        <v>6.7499999999999991E-2</v>
      </c>
      <c r="AF47" s="2">
        <v>0.5696</v>
      </c>
      <c r="AG47" s="2">
        <v>0.2424858523011213</v>
      </c>
      <c r="AH47" s="2">
        <v>6.3694267999999998E-2</v>
      </c>
      <c r="AI47" s="2">
        <v>0</v>
      </c>
      <c r="AJ47" s="2">
        <v>5.0000168357015734E-3</v>
      </c>
      <c r="AK47" s="2">
        <v>2.2483917506110417E-2</v>
      </c>
      <c r="AL47" s="2">
        <v>3.0071427716422398E-2</v>
      </c>
      <c r="AM47" s="2">
        <v>0</v>
      </c>
      <c r="AN47" s="2">
        <v>0.75</v>
      </c>
      <c r="AO47" s="2">
        <v>8.347245409015025E-2</v>
      </c>
      <c r="AP47" s="2">
        <v>0.16595199922323234</v>
      </c>
      <c r="AQ47" s="16">
        <v>0.18633823976768879</v>
      </c>
      <c r="AR47" s="2">
        <v>0.61499999999999999</v>
      </c>
      <c r="AS47" s="2">
        <v>0.6</v>
      </c>
      <c r="AT47" s="2">
        <v>0.70299999999999996</v>
      </c>
      <c r="AU47" s="2">
        <v>0.47100000000000003</v>
      </c>
      <c r="AV47" s="2">
        <v>0.65</v>
      </c>
      <c r="AW47" s="2">
        <v>0.75800000000000001</v>
      </c>
      <c r="AX47" s="2">
        <v>0.878</v>
      </c>
      <c r="AY47" s="2">
        <v>0.61859775958347107</v>
      </c>
      <c r="AZ47" s="2">
        <v>0.6106462987074126</v>
      </c>
      <c r="BA47" s="2">
        <v>0.50690732311518094</v>
      </c>
      <c r="BB47" s="2">
        <v>1</v>
      </c>
      <c r="BC47" s="2">
        <v>0.71560122107369351</v>
      </c>
      <c r="BD47" s="2">
        <v>0.54284737966307639</v>
      </c>
      <c r="BE47" s="2">
        <v>0.40799999999999997</v>
      </c>
    </row>
    <row r="48" spans="1:57">
      <c r="A48" s="1" t="s">
        <v>41</v>
      </c>
      <c r="B48" s="1" t="s">
        <v>235</v>
      </c>
      <c r="C48" s="2">
        <v>0.54003001736921574</v>
      </c>
      <c r="D48" s="2">
        <v>0.62819999999999998</v>
      </c>
      <c r="E48" s="2" t="e">
        <v>#N/A</v>
      </c>
      <c r="F48" s="2">
        <v>0.70370967362372161</v>
      </c>
      <c r="G48" s="2">
        <v>1</v>
      </c>
      <c r="H48" s="11">
        <v>0.71798492274823433</v>
      </c>
      <c r="I48" s="2">
        <v>0</v>
      </c>
      <c r="J48" s="2">
        <v>0.21413459364642534</v>
      </c>
      <c r="K48" s="2">
        <v>0.32500000000000001</v>
      </c>
      <c r="L48" s="2" t="e">
        <v>#N/A</v>
      </c>
      <c r="M48" s="84">
        <v>0.17971153121547512</v>
      </c>
      <c r="N48" s="46">
        <v>0.26289906703801152</v>
      </c>
      <c r="O48" s="46">
        <v>0.32176813174288932</v>
      </c>
      <c r="P48" s="21">
        <v>9700</v>
      </c>
      <c r="Q48" s="22">
        <v>9.18</v>
      </c>
      <c r="R48" s="23">
        <v>0.86</v>
      </c>
      <c r="S48" s="2">
        <v>0.42513732186732189</v>
      </c>
      <c r="T48" s="2">
        <v>0.23759999911487104</v>
      </c>
      <c r="U48" s="2">
        <v>9.7599999159574513E-2</v>
      </c>
      <c r="V48" s="2">
        <v>0.15000000000000002</v>
      </c>
      <c r="W48" s="2">
        <v>6.6666666666666664E-4</v>
      </c>
      <c r="X48" s="2">
        <v>0.12639999918639655</v>
      </c>
      <c r="Y48" s="2">
        <v>0.71158333333333335</v>
      </c>
      <c r="Z48" s="2">
        <v>0.24563199994564058</v>
      </c>
      <c r="AA48" s="2">
        <v>0.93384033613450002</v>
      </c>
      <c r="AB48" s="2">
        <v>0.26</v>
      </c>
      <c r="AC48" s="2">
        <v>0.79499999899417162</v>
      </c>
      <c r="AD48" s="2">
        <v>0.04</v>
      </c>
      <c r="AE48" s="2">
        <v>0.92499999999999993</v>
      </c>
      <c r="AF48" s="2">
        <v>0.14247999999999994</v>
      </c>
      <c r="AG48" s="2">
        <v>0.18855024249479246</v>
      </c>
      <c r="AH48" s="2">
        <v>0.16696269999999999</v>
      </c>
      <c r="AI48" s="2">
        <v>1.1468873803461887E-3</v>
      </c>
      <c r="AJ48" s="2">
        <v>1.883066222381161E-2</v>
      </c>
      <c r="AK48" s="2">
        <v>0.21099075596255706</v>
      </c>
      <c r="AL48" s="2">
        <v>0.133394075491963</v>
      </c>
      <c r="AM48" s="2">
        <v>3.0000000000000027E-2</v>
      </c>
      <c r="AN48" s="2">
        <v>0.57999999999999996</v>
      </c>
      <c r="AO48" s="2">
        <v>0.13658714259697688</v>
      </c>
      <c r="AP48" s="2">
        <v>0.59819999802857637</v>
      </c>
      <c r="AQ48" s="16">
        <v>0.29815008827422912</v>
      </c>
      <c r="AR48" s="2">
        <v>0.1</v>
      </c>
      <c r="AS48" s="2">
        <v>0.1</v>
      </c>
      <c r="AT48" s="2">
        <v>0.45899999999999996</v>
      </c>
      <c r="AU48" s="2">
        <v>9.4000000134110445E-2</v>
      </c>
      <c r="AV48" s="2">
        <v>9.9000000022351736E-2</v>
      </c>
      <c r="AW48" s="2">
        <v>0.66700000000000004</v>
      </c>
      <c r="AX48" s="2">
        <v>0.61699999999999999</v>
      </c>
      <c r="AY48" s="2">
        <v>0.5050996664168188</v>
      </c>
      <c r="AZ48" s="2">
        <v>0.16063817444416731</v>
      </c>
      <c r="BA48" s="2">
        <v>0.55761707673875582</v>
      </c>
      <c r="BB48" s="2">
        <v>4.3492696485599107E-2</v>
      </c>
      <c r="BC48" s="2">
        <v>1</v>
      </c>
      <c r="BD48" s="2">
        <v>0.37176684658735448</v>
      </c>
      <c r="BE48" s="2">
        <v>0.2</v>
      </c>
    </row>
    <row r="49" spans="1:57">
      <c r="A49" s="1" t="s">
        <v>56</v>
      </c>
      <c r="B49" s="1" t="s">
        <v>236</v>
      </c>
      <c r="C49" s="2" t="e">
        <v>#N/A</v>
      </c>
      <c r="D49" s="2">
        <v>0</v>
      </c>
      <c r="E49" s="2" t="e">
        <v>#N/A</v>
      </c>
      <c r="F49" s="2">
        <v>0.37252912603691773</v>
      </c>
      <c r="G49" s="2">
        <v>0.18384879600651272</v>
      </c>
      <c r="H49" s="11">
        <v>0.18545930734781013</v>
      </c>
      <c r="I49" s="2">
        <v>0.11862348641388921</v>
      </c>
      <c r="J49" s="2">
        <v>0.30539775521035889</v>
      </c>
      <c r="K49" s="2">
        <v>0</v>
      </c>
      <c r="L49" s="2">
        <v>0</v>
      </c>
      <c r="M49" s="84">
        <v>0.10600531040606202</v>
      </c>
      <c r="N49" s="46">
        <v>0.23763807892266101</v>
      </c>
      <c r="O49" s="46">
        <v>0.21377671734870193</v>
      </c>
      <c r="P49" s="21">
        <v>30848</v>
      </c>
      <c r="Q49" s="22">
        <v>10.34</v>
      </c>
      <c r="R49" s="23">
        <v>0.91</v>
      </c>
      <c r="S49" s="2">
        <v>0.70532148562300312</v>
      </c>
      <c r="T49" s="2">
        <v>0</v>
      </c>
      <c r="U49" s="2">
        <v>3.9999999105930328E-2</v>
      </c>
      <c r="V49" s="2">
        <v>0.4</v>
      </c>
      <c r="W49" s="2">
        <v>9.3333333333333341E-3</v>
      </c>
      <c r="X49" s="2">
        <v>3.9999999105930328E-2</v>
      </c>
      <c r="Y49" s="2">
        <v>0.23600000000000002</v>
      </c>
      <c r="Z49" s="2">
        <v>0.30198999993316827</v>
      </c>
      <c r="AA49" s="2">
        <v>0.59970954972509505</v>
      </c>
      <c r="AB49" s="2">
        <v>0.3</v>
      </c>
      <c r="AC49" s="2">
        <v>1</v>
      </c>
      <c r="AD49" s="2">
        <v>0</v>
      </c>
      <c r="AE49" s="2">
        <v>6.7499999999999991E-2</v>
      </c>
      <c r="AF49" s="2">
        <v>0.65680000000000005</v>
      </c>
      <c r="AG49" s="2">
        <v>0.17049943272188384</v>
      </c>
      <c r="AH49" s="2">
        <v>8.1145584000000007E-2</v>
      </c>
      <c r="AI49" s="2">
        <v>0</v>
      </c>
      <c r="AJ49" s="2">
        <v>3.9249326966258047E-3</v>
      </c>
      <c r="AK49" s="2">
        <v>5.8787831093118748E-2</v>
      </c>
      <c r="AL49" s="2">
        <v>8.1660770395557095E-2</v>
      </c>
      <c r="AM49" s="2">
        <v>0</v>
      </c>
      <c r="AN49" s="2">
        <v>0.97</v>
      </c>
      <c r="AO49" s="2">
        <v>0.16233766233766234</v>
      </c>
      <c r="AP49" s="2">
        <v>0.3797439994223416</v>
      </c>
      <c r="AQ49" s="16">
        <v>0.26103144081223534</v>
      </c>
      <c r="AR49" s="2">
        <v>0.80299999999999994</v>
      </c>
      <c r="AS49" s="2">
        <v>0.7</v>
      </c>
      <c r="AT49" s="2">
        <v>0.72699999999999998</v>
      </c>
      <c r="AU49" s="2">
        <v>0.44799999999999995</v>
      </c>
      <c r="AV49" s="2">
        <v>0.7</v>
      </c>
      <c r="AW49" s="2">
        <v>0.82900000000000007</v>
      </c>
      <c r="AX49" s="2">
        <v>0.82499999999999996</v>
      </c>
      <c r="AY49" s="2">
        <v>0.57336745918526399</v>
      </c>
      <c r="AZ49" s="2">
        <v>0.71028166059100106</v>
      </c>
      <c r="BA49" s="2">
        <v>0.69753756299122716</v>
      </c>
      <c r="BB49" s="2">
        <v>1</v>
      </c>
      <c r="BC49" s="2">
        <v>0.58447542911576378</v>
      </c>
      <c r="BD49" s="2">
        <v>0.73021254698735105</v>
      </c>
      <c r="BE49" s="2">
        <v>0.61499999999999999</v>
      </c>
    </row>
    <row r="50" spans="1:57">
      <c r="A50" s="1" t="s">
        <v>50</v>
      </c>
      <c r="B50" s="1" t="s">
        <v>237</v>
      </c>
      <c r="C50" s="2">
        <v>0.47061908517108841</v>
      </c>
      <c r="D50" s="2">
        <v>0.15879999999999994</v>
      </c>
      <c r="E50" s="2">
        <v>6.5497186083102468E-2</v>
      </c>
      <c r="F50" s="2">
        <v>0.12672974969005629</v>
      </c>
      <c r="G50" s="2">
        <v>0.10223367828942176</v>
      </c>
      <c r="H50" s="11">
        <v>0.18477593984673377</v>
      </c>
      <c r="I50" s="2">
        <v>0</v>
      </c>
      <c r="J50" s="2">
        <v>7.1798242489400088E-2</v>
      </c>
      <c r="K50" s="2">
        <v>0.05</v>
      </c>
      <c r="L50" s="2">
        <v>0</v>
      </c>
      <c r="M50" s="84">
        <v>3.0449560622350023E-2</v>
      </c>
      <c r="N50" s="46">
        <v>0.13849436622867048</v>
      </c>
      <c r="O50" s="46">
        <v>0.13241038579427758</v>
      </c>
      <c r="P50" s="21">
        <v>25581</v>
      </c>
      <c r="Q50" s="22">
        <v>10.15</v>
      </c>
      <c r="R50" s="23">
        <v>0.9</v>
      </c>
      <c r="S50" s="2">
        <v>0.38817651245551604</v>
      </c>
      <c r="T50" s="2">
        <v>0</v>
      </c>
      <c r="U50" s="2">
        <v>3.9999999105930328E-2</v>
      </c>
      <c r="V50" s="2">
        <v>0.55000000000000004</v>
      </c>
      <c r="W50" s="2">
        <v>6.6666666666666664E-4</v>
      </c>
      <c r="X50" s="2">
        <v>5.9199999123811686E-2</v>
      </c>
      <c r="Y50" s="2">
        <v>0.23600000000000002</v>
      </c>
      <c r="Z50" s="2">
        <v>0.26764999994076788</v>
      </c>
      <c r="AA50" s="2">
        <v>0.7725231153326042</v>
      </c>
      <c r="AB50" s="2">
        <v>0.56000000000000005</v>
      </c>
      <c r="AC50" s="2">
        <v>0.12719999983906746</v>
      </c>
      <c r="AD50" s="2">
        <v>0</v>
      </c>
      <c r="AE50" s="2">
        <v>6.7499999999999991E-2</v>
      </c>
      <c r="AF50" s="2">
        <v>0.36799999999999999</v>
      </c>
      <c r="AG50" s="2">
        <v>0.21754458398520993</v>
      </c>
      <c r="AH50" s="2">
        <v>8.8652482000000005E-2</v>
      </c>
      <c r="AI50" s="2">
        <v>0</v>
      </c>
      <c r="AJ50" s="2">
        <v>3.0579382573711444E-3</v>
      </c>
      <c r="AK50" s="2">
        <v>0</v>
      </c>
      <c r="AL50" s="2">
        <v>0</v>
      </c>
      <c r="AM50" s="2">
        <v>0</v>
      </c>
      <c r="AN50" s="2">
        <v>0.3</v>
      </c>
      <c r="AO50" s="2">
        <v>3.8834951456310683E-2</v>
      </c>
      <c r="AP50" s="2">
        <v>0.11999999731779099</v>
      </c>
      <c r="AQ50" s="16">
        <v>0.17520859356171026</v>
      </c>
      <c r="AR50" s="2">
        <v>0.65500000000000003</v>
      </c>
      <c r="AS50" s="2">
        <v>0.8</v>
      </c>
      <c r="AT50" s="2">
        <v>0.80099999999999993</v>
      </c>
      <c r="AU50" s="2">
        <v>0.45600000000000002</v>
      </c>
      <c r="AV50" s="2">
        <v>0.7</v>
      </c>
      <c r="AW50" s="2">
        <v>0.75599999999999989</v>
      </c>
      <c r="AX50" s="2">
        <v>0.875</v>
      </c>
      <c r="AY50" s="2">
        <v>0.68202669453998832</v>
      </c>
      <c r="AZ50" s="2">
        <v>0.7095477033546379</v>
      </c>
      <c r="BA50" s="2">
        <v>0.59105232790306972</v>
      </c>
      <c r="BB50" s="2">
        <v>1</v>
      </c>
      <c r="BC50" s="2">
        <v>0.79910194360136455</v>
      </c>
      <c r="BD50" s="2">
        <v>0.69076726432408675</v>
      </c>
      <c r="BE50" s="2">
        <v>0.76400000000000001</v>
      </c>
    </row>
    <row r="51" spans="1:57">
      <c r="A51" s="1" t="s">
        <v>22</v>
      </c>
      <c r="B51" s="1" t="s">
        <v>238</v>
      </c>
      <c r="C51" s="2">
        <v>0.59116383883976609</v>
      </c>
      <c r="D51" s="2">
        <v>0.69940000000000002</v>
      </c>
      <c r="E51" s="2">
        <v>4.1427553232374209E-2</v>
      </c>
      <c r="F51" s="2">
        <v>7.6067568984480458E-2</v>
      </c>
      <c r="G51" s="2">
        <v>0</v>
      </c>
      <c r="H51" s="11">
        <v>0.28161179221132421</v>
      </c>
      <c r="I51" s="2">
        <v>0.39260462454071143</v>
      </c>
      <c r="J51" s="2">
        <v>0.20749867669222791</v>
      </c>
      <c r="K51" s="2">
        <v>0</v>
      </c>
      <c r="L51" s="2">
        <v>0</v>
      </c>
      <c r="M51" s="84">
        <v>0.15002582530823483</v>
      </c>
      <c r="N51" s="46">
        <v>0.11473167520868151</v>
      </c>
      <c r="O51" s="46">
        <v>0.144294620221149</v>
      </c>
      <c r="P51" s="21">
        <v>37720</v>
      </c>
      <c r="Q51" s="22">
        <v>10.54</v>
      </c>
      <c r="R51" s="23">
        <v>0.96</v>
      </c>
      <c r="S51" s="2">
        <v>0.67252222914072235</v>
      </c>
      <c r="T51" s="2">
        <v>0</v>
      </c>
      <c r="U51" s="2">
        <v>3.9999999105930328E-2</v>
      </c>
      <c r="V51" s="2">
        <v>0.47499999999999998</v>
      </c>
      <c r="W51" s="2">
        <v>6.6666666666666664E-4</v>
      </c>
      <c r="X51" s="2">
        <v>3.9999999105930328E-2</v>
      </c>
      <c r="Y51" s="2">
        <v>1.5499999999999995E-2</v>
      </c>
      <c r="Z51" s="2">
        <v>0.13190599997080862</v>
      </c>
      <c r="AA51" s="2">
        <v>0.69095801786606703</v>
      </c>
      <c r="AB51" s="2">
        <v>0.16</v>
      </c>
      <c r="AC51" s="2">
        <v>0.14839999981224539</v>
      </c>
      <c r="AD51" s="2">
        <v>0</v>
      </c>
      <c r="AE51" s="2">
        <v>6.7499999999999991E-2</v>
      </c>
      <c r="AF51" s="2">
        <v>0.14488000000000001</v>
      </c>
      <c r="AG51" s="2">
        <v>0.18895063273906798</v>
      </c>
      <c r="AH51" s="2">
        <v>0.108</v>
      </c>
      <c r="AI51" s="2">
        <v>0</v>
      </c>
      <c r="AJ51" s="2">
        <v>2.3787948579549923E-3</v>
      </c>
      <c r="AK51" s="2">
        <v>0.26090374567946506</v>
      </c>
      <c r="AL51" s="2">
        <v>0.27046939186906199</v>
      </c>
      <c r="AM51" s="2">
        <v>0</v>
      </c>
      <c r="AN51" s="2">
        <v>0</v>
      </c>
      <c r="AO51" s="2">
        <v>0</v>
      </c>
      <c r="AP51" s="2">
        <v>3.9999999105930328E-2</v>
      </c>
      <c r="AQ51" s="16">
        <v>0.14408481149666047</v>
      </c>
      <c r="AR51" s="2">
        <v>0.97900000000000009</v>
      </c>
      <c r="AS51" s="2">
        <v>0.9</v>
      </c>
      <c r="AT51" s="2">
        <v>0.35899999999999999</v>
      </c>
      <c r="AU51" s="2">
        <v>0.22</v>
      </c>
      <c r="AV51" s="2">
        <v>0.9</v>
      </c>
      <c r="AW51" s="2">
        <v>0.79299999999999993</v>
      </c>
      <c r="AX51" s="2">
        <v>0.875</v>
      </c>
      <c r="AY51" s="2">
        <v>0.70505317106573839</v>
      </c>
      <c r="AZ51" s="2">
        <v>0.80891019669505904</v>
      </c>
      <c r="BA51" s="2">
        <v>0.97941259552071036</v>
      </c>
      <c r="BB51" s="2">
        <v>1</v>
      </c>
      <c r="BC51" s="2">
        <v>1</v>
      </c>
      <c r="BD51" s="2">
        <v>0.87062352636307738</v>
      </c>
      <c r="BE51" s="2">
        <v>0.93700000000000006</v>
      </c>
    </row>
    <row r="52" spans="1:57">
      <c r="A52" s="1" t="s">
        <v>21</v>
      </c>
      <c r="B52" s="1" t="s">
        <v>239</v>
      </c>
      <c r="C52" s="2" t="e">
        <v>#N/A</v>
      </c>
      <c r="D52" s="2">
        <v>1</v>
      </c>
      <c r="E52" s="2" t="e">
        <v>#N/A</v>
      </c>
      <c r="F52" s="2">
        <v>0.18518116202963655</v>
      </c>
      <c r="G52" s="2">
        <v>0.77745049861277926</v>
      </c>
      <c r="H52" s="11">
        <v>0.65421055354747193</v>
      </c>
      <c r="I52" s="2">
        <v>0.12048214765017738</v>
      </c>
      <c r="J52" s="2">
        <v>0.91561568001479376</v>
      </c>
      <c r="K52" s="2">
        <v>1</v>
      </c>
      <c r="L52" s="2" t="e">
        <v>#N/A</v>
      </c>
      <c r="M52" s="84">
        <v>0.67869927588832368</v>
      </c>
      <c r="N52" s="46">
        <v>0.44720093040496639</v>
      </c>
      <c r="O52" s="46">
        <v>0.50662643033363164</v>
      </c>
      <c r="P52" s="21">
        <v>2319</v>
      </c>
      <c r="Q52" s="22">
        <v>7.75</v>
      </c>
      <c r="R52" s="23">
        <v>0.52</v>
      </c>
      <c r="S52" s="2">
        <v>0.31926553846153854</v>
      </c>
      <c r="T52" s="2">
        <v>6.3E-2</v>
      </c>
      <c r="U52" s="2">
        <v>0.11679999917745587</v>
      </c>
      <c r="V52" s="2">
        <v>0.35</v>
      </c>
      <c r="W52" s="2">
        <v>0.30266666666666664</v>
      </c>
      <c r="X52" s="2">
        <v>0.46239999949932098</v>
      </c>
      <c r="Y52" s="2">
        <v>0.39683333333333337</v>
      </c>
      <c r="Z52" s="2">
        <v>0.12422999997250736</v>
      </c>
      <c r="AA52" s="2">
        <v>1</v>
      </c>
      <c r="AB52" s="2">
        <v>0.14000000000000001</v>
      </c>
      <c r="AC52" s="2">
        <v>1</v>
      </c>
      <c r="AD52" s="2">
        <v>0.8585999989137052</v>
      </c>
      <c r="AE52" s="2">
        <v>0.78249999999999997</v>
      </c>
      <c r="AF52" s="2">
        <v>0.94967999999999997</v>
      </c>
      <c r="AG52" s="2">
        <v>0.63652651608273425</v>
      </c>
      <c r="AH52" s="2">
        <v>0.69168506200000002</v>
      </c>
      <c r="AI52" s="2">
        <v>0.30532022930043135</v>
      </c>
      <c r="AJ52" s="2">
        <v>0.27954640091967892</v>
      </c>
      <c r="AK52" s="2">
        <v>1.8642547827821387E-2</v>
      </c>
      <c r="AL52" s="2">
        <v>0.40578297067453101</v>
      </c>
      <c r="AM52" s="2">
        <v>0.50299999999999989</v>
      </c>
      <c r="AN52" s="2">
        <v>0.5</v>
      </c>
      <c r="AO52" s="2">
        <v>0.25884383088869717</v>
      </c>
      <c r="AP52" s="2">
        <v>0.63099999818950891</v>
      </c>
      <c r="AQ52" s="16">
        <v>0.46234679549616381</v>
      </c>
      <c r="AR52" s="2">
        <v>0.35700000000000004</v>
      </c>
      <c r="AS52" s="2">
        <v>0.6</v>
      </c>
      <c r="AT52" s="2">
        <v>0.78200000000000003</v>
      </c>
      <c r="AU52" s="2">
        <v>0.58899999999999997</v>
      </c>
      <c r="AV52" s="2">
        <v>0.6</v>
      </c>
      <c r="AW52" s="2">
        <v>0.70499999999999996</v>
      </c>
      <c r="AX52" s="2">
        <v>0.31900000000000001</v>
      </c>
      <c r="AY52" s="2">
        <v>0.59407542796888779</v>
      </c>
      <c r="AZ52" s="2">
        <v>0.28111834266032265</v>
      </c>
      <c r="BA52" s="2">
        <v>0.44857950463415569</v>
      </c>
      <c r="BB52" s="2">
        <v>0.16391260380325612</v>
      </c>
      <c r="BC52" s="2">
        <v>4.9050115725360013E-2</v>
      </c>
      <c r="BD52" s="2">
        <v>0.37150289613564841</v>
      </c>
      <c r="BE52" s="2">
        <v>0.55299999999999994</v>
      </c>
    </row>
    <row r="53" spans="1:57">
      <c r="A53" s="1" t="s">
        <v>45</v>
      </c>
      <c r="B53" s="1" t="s">
        <v>240</v>
      </c>
      <c r="C53" s="2" t="e">
        <v>#N/A</v>
      </c>
      <c r="D53" s="2">
        <v>0.19940000000000002</v>
      </c>
      <c r="E53" s="2">
        <v>0.3794376381387401</v>
      </c>
      <c r="F53" s="2">
        <v>0.37769422356172694</v>
      </c>
      <c r="G53" s="2">
        <v>0.81795123493054978</v>
      </c>
      <c r="H53" s="11">
        <v>0.44362077415775419</v>
      </c>
      <c r="I53" s="2">
        <v>0</v>
      </c>
      <c r="J53" s="2">
        <v>0.26119626061552592</v>
      </c>
      <c r="K53" s="2">
        <v>0</v>
      </c>
      <c r="L53" s="2" t="e">
        <v>#N/A</v>
      </c>
      <c r="M53" s="84">
        <v>8.7065420205175312E-2</v>
      </c>
      <c r="N53" s="46">
        <v>0.39425567033255121</v>
      </c>
      <c r="O53" s="46">
        <v>0.36450004968456667</v>
      </c>
      <c r="P53" s="21">
        <v>8883</v>
      </c>
      <c r="Q53" s="22">
        <v>9.09</v>
      </c>
      <c r="R53" s="23">
        <v>0.81</v>
      </c>
      <c r="S53" s="2">
        <v>0.76711554941915816</v>
      </c>
      <c r="T53" s="2">
        <v>0.5</v>
      </c>
      <c r="U53" s="2">
        <v>0.14499999787658457</v>
      </c>
      <c r="V53" s="2">
        <v>0.125</v>
      </c>
      <c r="W53" s="2">
        <v>0</v>
      </c>
      <c r="X53" s="2">
        <v>0.27099999818950893</v>
      </c>
      <c r="Y53" s="2">
        <v>0.71158333333333335</v>
      </c>
      <c r="Z53" s="2">
        <v>0.25997399994246662</v>
      </c>
      <c r="AA53" s="2">
        <v>0.92600000000000005</v>
      </c>
      <c r="AB53" s="2">
        <v>0.08</v>
      </c>
      <c r="AC53" s="2">
        <v>1</v>
      </c>
      <c r="AD53" s="2">
        <v>0.3</v>
      </c>
      <c r="AE53" s="2">
        <v>0.3175</v>
      </c>
      <c r="AF53" s="2">
        <v>0.79320000000000002</v>
      </c>
      <c r="AG53" s="2">
        <v>0.41316097013107256</v>
      </c>
      <c r="AH53" s="2">
        <v>0.20995962400000001</v>
      </c>
      <c r="AI53" s="2">
        <v>4.661490227568392E-3</v>
      </c>
      <c r="AJ53" s="2">
        <v>0.5</v>
      </c>
      <c r="AK53" s="2">
        <v>4.5390711380742771E-2</v>
      </c>
      <c r="AL53" s="2">
        <v>6.7322767800189906E-2</v>
      </c>
      <c r="AM53" s="2">
        <v>1.0000000000000009E-2</v>
      </c>
      <c r="AN53" s="2">
        <v>1</v>
      </c>
      <c r="AO53" s="2">
        <v>1</v>
      </c>
      <c r="AP53" s="2">
        <v>0.58671998542624992</v>
      </c>
      <c r="AQ53" s="16">
        <v>0.41806618448861971</v>
      </c>
      <c r="AR53" s="2">
        <v>0.754</v>
      </c>
      <c r="AS53" s="2">
        <v>0.3</v>
      </c>
      <c r="AT53" s="2">
        <v>0.67700000000000005</v>
      </c>
      <c r="AU53" s="2">
        <v>0.498</v>
      </c>
      <c r="AV53" s="2">
        <v>0.65</v>
      </c>
      <c r="AW53" s="2">
        <v>0.8</v>
      </c>
      <c r="AX53" s="2">
        <v>0.74299999999999999</v>
      </c>
      <c r="AY53" s="2">
        <v>0.64862971613243192</v>
      </c>
      <c r="AZ53" s="2">
        <v>0.69515766102081011</v>
      </c>
      <c r="BA53" s="2">
        <v>0.65290632741081756</v>
      </c>
      <c r="BB53" s="2">
        <v>1</v>
      </c>
      <c r="BC53" s="2">
        <v>4.9477142857142858E-2</v>
      </c>
      <c r="BD53" s="2">
        <v>0.63647791183334612</v>
      </c>
      <c r="BE53" s="2">
        <v>0.65200000000000002</v>
      </c>
    </row>
    <row r="54" spans="1:57">
      <c r="A54" s="1" t="s">
        <v>59</v>
      </c>
      <c r="B54" s="1" t="s">
        <v>241</v>
      </c>
      <c r="C54" s="2">
        <v>0.52310229113631035</v>
      </c>
      <c r="D54" s="2">
        <v>1</v>
      </c>
      <c r="E54" s="2">
        <v>0.17866058759440467</v>
      </c>
      <c r="F54" s="2">
        <v>0.39607706282503741</v>
      </c>
      <c r="G54" s="2">
        <v>0.55449190050452513</v>
      </c>
      <c r="H54" s="11">
        <v>0.53046636841205552</v>
      </c>
      <c r="I54" s="2">
        <v>0.39880478561579707</v>
      </c>
      <c r="J54" s="2">
        <v>0.3021502203037002</v>
      </c>
      <c r="K54" s="2">
        <v>0.32500000000000001</v>
      </c>
      <c r="L54" s="2">
        <v>0.21142857142857144</v>
      </c>
      <c r="M54" s="84">
        <v>0.3093458943370172</v>
      </c>
      <c r="N54" s="46">
        <v>0.2906523672806135</v>
      </c>
      <c r="O54" s="46">
        <v>0.32925370406494153</v>
      </c>
      <c r="P54" s="21">
        <v>8433</v>
      </c>
      <c r="Q54" s="22">
        <v>9.0399999999999991</v>
      </c>
      <c r="R54" s="23">
        <v>0.78</v>
      </c>
      <c r="S54" s="2">
        <v>9.3121022019110947E-2</v>
      </c>
      <c r="T54" s="2">
        <v>0.1991999992579222</v>
      </c>
      <c r="U54" s="2">
        <v>0.17439999923110006</v>
      </c>
      <c r="V54" s="2">
        <v>0.15000000000000002</v>
      </c>
      <c r="W54" s="2">
        <v>4.8666666666666664E-2</v>
      </c>
      <c r="X54" s="2">
        <v>0.2031999992579222</v>
      </c>
      <c r="Y54" s="2">
        <v>0.71158333333333335</v>
      </c>
      <c r="Z54" s="2">
        <v>0.30542399993240832</v>
      </c>
      <c r="AA54" s="2">
        <v>0.91140246324990071</v>
      </c>
      <c r="AB54" s="2">
        <v>0.06</v>
      </c>
      <c r="AC54" s="2">
        <v>0.85859999891370542</v>
      </c>
      <c r="AD54" s="2">
        <v>3.1799999959766859E-2</v>
      </c>
      <c r="AE54" s="2">
        <v>0.3175</v>
      </c>
      <c r="AF54" s="2">
        <v>0.77600000000000002</v>
      </c>
      <c r="AG54" s="2">
        <v>0.30664148162916438</v>
      </c>
      <c r="AH54" s="2">
        <v>0.37309644600000003</v>
      </c>
      <c r="AI54" s="2">
        <v>1.3940989879714798E-2</v>
      </c>
      <c r="AJ54" s="2">
        <v>8.039243335088804E-2</v>
      </c>
      <c r="AK54" s="2">
        <v>4.7492985867917337E-2</v>
      </c>
      <c r="AL54" s="2">
        <v>3.2537844220995198E-2</v>
      </c>
      <c r="AM54" s="2">
        <v>4.0999999999999925E-2</v>
      </c>
      <c r="AN54" s="2">
        <v>0.82</v>
      </c>
      <c r="AO54" s="2">
        <v>0.18625827814569537</v>
      </c>
      <c r="AP54" s="2">
        <v>0.59491998546648306</v>
      </c>
      <c r="AQ54" s="16">
        <v>0.30571574693261222</v>
      </c>
      <c r="AR54" s="2">
        <v>0.624</v>
      </c>
      <c r="AS54" s="2">
        <v>0.4</v>
      </c>
      <c r="AT54" s="2">
        <v>0.85299999999999998</v>
      </c>
      <c r="AU54" s="2">
        <v>0.90200000000000002</v>
      </c>
      <c r="AV54" s="2">
        <v>0.55000000000000004</v>
      </c>
      <c r="AW54" s="2">
        <v>0.70799999999999996</v>
      </c>
      <c r="AX54" s="2">
        <v>0.8</v>
      </c>
      <c r="AY54" s="2">
        <v>0.5244780309355257</v>
      </c>
      <c r="AZ54" s="2">
        <v>0.52284582950422198</v>
      </c>
      <c r="BA54" s="2">
        <v>0.36629366613916964</v>
      </c>
      <c r="BB54" s="2">
        <v>0.940798259822201</v>
      </c>
      <c r="BC54" s="2">
        <v>0.41801998984553879</v>
      </c>
      <c r="BD54" s="2">
        <v>0.35742485747914021</v>
      </c>
      <c r="BE54" s="2">
        <v>0.59599999999999997</v>
      </c>
    </row>
    <row r="55" spans="1:57">
      <c r="A55" s="1" t="s">
        <v>71</v>
      </c>
      <c r="B55" s="1" t="s">
        <v>242</v>
      </c>
      <c r="C55" s="2">
        <v>0.45656567962084293</v>
      </c>
      <c r="D55" s="2">
        <v>8.120000000000005E-2</v>
      </c>
      <c r="E55" s="2">
        <v>1</v>
      </c>
      <c r="F55" s="2">
        <v>0.80677745193874228</v>
      </c>
      <c r="G55" s="2">
        <v>0.33214694747782103</v>
      </c>
      <c r="H55" s="11">
        <v>0.53533801580748119</v>
      </c>
      <c r="I55" s="2">
        <v>0.35044145665932591</v>
      </c>
      <c r="J55" s="2">
        <v>0.25424658008639867</v>
      </c>
      <c r="K55" s="2">
        <v>0.3</v>
      </c>
      <c r="L55" s="2">
        <v>0.30714285714285716</v>
      </c>
      <c r="M55" s="84">
        <v>0.30295772347214545</v>
      </c>
      <c r="N55" s="46">
        <v>0.21971730361731454</v>
      </c>
      <c r="O55" s="46">
        <v>0.27762837150731928</v>
      </c>
      <c r="P55" s="21">
        <v>8268</v>
      </c>
      <c r="Q55" s="22">
        <v>9.02</v>
      </c>
      <c r="R55" s="23">
        <v>0.81</v>
      </c>
      <c r="S55" s="2">
        <v>0.21469053635280091</v>
      </c>
      <c r="T55" s="2">
        <v>4.311599983938038E-2</v>
      </c>
      <c r="U55" s="2">
        <v>9.7599999159574513E-2</v>
      </c>
      <c r="V55" s="2">
        <v>0.19999999999999996</v>
      </c>
      <c r="W55" s="2">
        <v>4.2000000000000003E-2</v>
      </c>
      <c r="X55" s="2">
        <v>0.11679999917745587</v>
      </c>
      <c r="Y55" s="2">
        <v>0.56600000000000006</v>
      </c>
      <c r="Z55" s="2">
        <v>0.34097599992454053</v>
      </c>
      <c r="AA55" s="2">
        <v>0.54132316418938897</v>
      </c>
      <c r="AB55" s="2">
        <v>0.12</v>
      </c>
      <c r="AC55" s="2">
        <v>0.39219999950379131</v>
      </c>
      <c r="AD55" s="2">
        <v>0.14559999965131282</v>
      </c>
      <c r="AE55" s="2">
        <v>0.22499999999999998</v>
      </c>
      <c r="AF55" s="2">
        <v>0.81520000000000004</v>
      </c>
      <c r="AG55" s="2">
        <v>0.25741502304673336</v>
      </c>
      <c r="AH55" s="2">
        <v>0.35836177400000002</v>
      </c>
      <c r="AI55" s="2">
        <v>8.9940190112095843E-3</v>
      </c>
      <c r="AJ55" s="2">
        <v>9.7770543435948376E-2</v>
      </c>
      <c r="AK55" s="2">
        <v>3.1503549813468812E-2</v>
      </c>
      <c r="AL55" s="2">
        <v>0.14018808640081201</v>
      </c>
      <c r="AM55" s="2">
        <v>7.7999999999999958E-2</v>
      </c>
      <c r="AN55" s="2">
        <v>0</v>
      </c>
      <c r="AO55" s="2">
        <v>4.3346337234503679E-2</v>
      </c>
      <c r="AP55" s="2">
        <v>0.86073276825930645</v>
      </c>
      <c r="AQ55" s="16">
        <v>0.23903407495834286</v>
      </c>
      <c r="AR55" s="2">
        <v>0.52900000000000003</v>
      </c>
      <c r="AS55" s="2">
        <v>0.4</v>
      </c>
      <c r="AT55" s="2">
        <v>0.79299999999999993</v>
      </c>
      <c r="AU55" s="2">
        <v>0.77500000000000002</v>
      </c>
      <c r="AV55" s="2">
        <v>0.25</v>
      </c>
      <c r="AW55" s="2">
        <v>0.63900000000000001</v>
      </c>
      <c r="AX55" s="2">
        <v>0.71799999999999997</v>
      </c>
      <c r="AY55" s="2">
        <v>0.35174311724946661</v>
      </c>
      <c r="AZ55" s="2">
        <v>0.44801705060026598</v>
      </c>
      <c r="BA55" s="2">
        <v>0.31701248156369322</v>
      </c>
      <c r="BB55" s="2">
        <v>1</v>
      </c>
      <c r="BC55" s="2">
        <v>0.58164164625598169</v>
      </c>
      <c r="BD55" s="2">
        <v>0.24596656330365207</v>
      </c>
      <c r="BE55" s="2">
        <v>0.42200000000000004</v>
      </c>
    </row>
    <row r="56" spans="1:57">
      <c r="A56" s="1" t="s">
        <v>126</v>
      </c>
      <c r="B56" s="1" t="s">
        <v>243</v>
      </c>
      <c r="C56" s="2">
        <v>0.54496749053997262</v>
      </c>
      <c r="D56" s="2">
        <v>0.65290000000000004</v>
      </c>
      <c r="E56" s="2">
        <v>0.34917613184979829</v>
      </c>
      <c r="F56" s="2">
        <v>0.25128294786754229</v>
      </c>
      <c r="G56" s="2">
        <v>7.5642284131941517E-2</v>
      </c>
      <c r="H56" s="11">
        <v>0.37479377087785093</v>
      </c>
      <c r="I56" s="2">
        <v>2.676070502132567E-2</v>
      </c>
      <c r="J56" s="2">
        <v>0.30980228489829686</v>
      </c>
      <c r="K56" s="2">
        <v>0.125</v>
      </c>
      <c r="L56" s="2">
        <v>0.18714285714285714</v>
      </c>
      <c r="M56" s="84">
        <v>0.16217646176561992</v>
      </c>
      <c r="N56" s="46">
        <v>0.23270622936889537</v>
      </c>
      <c r="O56" s="46">
        <v>0.24568558200924917</v>
      </c>
      <c r="P56" s="21">
        <v>5673</v>
      </c>
      <c r="Q56" s="22">
        <v>8.64</v>
      </c>
      <c r="R56" s="23">
        <v>0.7</v>
      </c>
      <c r="S56" s="2">
        <v>0.19544250000000005</v>
      </c>
      <c r="T56" s="2">
        <v>1</v>
      </c>
      <c r="U56" s="2">
        <v>4.9599999114871007E-2</v>
      </c>
      <c r="V56" s="2">
        <v>0.5</v>
      </c>
      <c r="W56" s="2">
        <v>5.7333333333333333E-2</v>
      </c>
      <c r="X56" s="2">
        <v>9.7599999159574513E-2</v>
      </c>
      <c r="Y56" s="2">
        <v>9.9999999999999933E-3</v>
      </c>
      <c r="Z56" s="2">
        <v>0.57812399987205865</v>
      </c>
      <c r="AA56" s="2">
        <v>0.5</v>
      </c>
      <c r="AB56" s="2">
        <v>0.16</v>
      </c>
      <c r="AC56" s="2">
        <v>0.39219999950379131</v>
      </c>
      <c r="AD56" s="2">
        <v>0.13519999988377093</v>
      </c>
      <c r="AE56" s="2">
        <v>0.78249999999999997</v>
      </c>
      <c r="AF56" s="2">
        <v>0.63280000000000003</v>
      </c>
      <c r="AG56" s="2">
        <v>0.35334571581900176</v>
      </c>
      <c r="AH56" s="2">
        <v>0.176949942</v>
      </c>
      <c r="AI56" s="2">
        <v>1.4741637635037609E-2</v>
      </c>
      <c r="AJ56" s="2">
        <v>6.8097975081457374E-2</v>
      </c>
      <c r="AK56" s="2">
        <v>2.5178027340616502E-2</v>
      </c>
      <c r="AL56" s="2">
        <v>0.38190865236555699</v>
      </c>
      <c r="AM56" s="2">
        <v>5.9999999999998943E-3</v>
      </c>
      <c r="AN56" s="2">
        <v>0</v>
      </c>
      <c r="AO56" s="2">
        <v>6.0274247827615656E-3</v>
      </c>
      <c r="AP56" s="2">
        <v>0.16585599922314287</v>
      </c>
      <c r="AQ56" s="16">
        <v>0.26203771687979066</v>
      </c>
      <c r="AR56" s="2">
        <v>0.65</v>
      </c>
      <c r="AS56" s="2">
        <v>0.5</v>
      </c>
      <c r="AT56" s="2">
        <v>0.89700000000000002</v>
      </c>
      <c r="AU56" s="2">
        <v>0.7340000000000001</v>
      </c>
      <c r="AV56" s="2">
        <v>0.5</v>
      </c>
      <c r="AW56" s="2">
        <v>0.64200000000000002</v>
      </c>
      <c r="AX56" s="2">
        <v>0.74</v>
      </c>
      <c r="AY56" s="2">
        <v>0.37548384375252014</v>
      </c>
      <c r="AZ56" s="2">
        <v>0.27868710896603216</v>
      </c>
      <c r="BA56" s="2">
        <v>0.41815591484009279</v>
      </c>
      <c r="BB56" s="2">
        <v>0.73358916267913998</v>
      </c>
      <c r="BC56" s="2">
        <v>0.39020818322055256</v>
      </c>
      <c r="BD56" s="2">
        <v>0.49484974221670353</v>
      </c>
      <c r="BE56" s="2">
        <v>0.55600000000000005</v>
      </c>
    </row>
    <row r="57" spans="1:57">
      <c r="A57" s="1" t="s">
        <v>84</v>
      </c>
      <c r="B57" s="1" t="s">
        <v>244</v>
      </c>
      <c r="C57" s="2">
        <v>0.57947438688200403</v>
      </c>
      <c r="D57" s="2">
        <v>0.95120000000000005</v>
      </c>
      <c r="E57" s="2">
        <v>0.20676885004513659</v>
      </c>
      <c r="F57" s="2">
        <v>0.20082492919918293</v>
      </c>
      <c r="G57" s="2">
        <v>0.59499263682229553</v>
      </c>
      <c r="H57" s="11">
        <v>0.50665216058972384</v>
      </c>
      <c r="I57" s="2">
        <v>0.46519386084463138</v>
      </c>
      <c r="J57" s="2">
        <v>0.44613742647811261</v>
      </c>
      <c r="K57" s="2">
        <v>0.15</v>
      </c>
      <c r="L57" s="2">
        <v>0.41285714285714281</v>
      </c>
      <c r="M57" s="84">
        <v>0.36854710754497166</v>
      </c>
      <c r="N57" s="46">
        <v>0.29933438065532264</v>
      </c>
      <c r="O57" s="46">
        <v>0.33913558693503781</v>
      </c>
      <c r="P57" s="21">
        <v>6629</v>
      </c>
      <c r="Q57" s="22">
        <v>8.8000000000000007</v>
      </c>
      <c r="R57" s="23">
        <v>0.75</v>
      </c>
      <c r="S57" s="2">
        <v>0.36271567919075143</v>
      </c>
      <c r="T57" s="2">
        <v>5.4539999999999998E-2</v>
      </c>
      <c r="U57" s="2">
        <v>0.16479999922215938</v>
      </c>
      <c r="V57" s="2">
        <v>0.27500000000000002</v>
      </c>
      <c r="W57" s="2">
        <v>5.4666666666666669E-2</v>
      </c>
      <c r="X57" s="2">
        <v>0.16479999922215938</v>
      </c>
      <c r="Y57" s="2">
        <v>0.49525000000000002</v>
      </c>
      <c r="Z57" s="2">
        <v>0.3938999999128282</v>
      </c>
      <c r="AA57" s="2">
        <v>0.78218870520827122</v>
      </c>
      <c r="AB57" s="2">
        <v>0.08</v>
      </c>
      <c r="AC57" s="2">
        <v>0.61479999922215933</v>
      </c>
      <c r="AD57" s="2">
        <v>6.8399999812245371E-2</v>
      </c>
      <c r="AE57" s="2">
        <v>0.3175</v>
      </c>
      <c r="AF57" s="2">
        <v>0.85592000000000001</v>
      </c>
      <c r="AG57" s="2">
        <v>0.33179816457942224</v>
      </c>
      <c r="AH57" s="2">
        <v>0.32944228199999998</v>
      </c>
      <c r="AI57" s="2">
        <v>8.0229289402444906E-2</v>
      </c>
      <c r="AJ57" s="2">
        <v>7.439926721604026E-2</v>
      </c>
      <c r="AK57" s="2">
        <v>4.3472853616803676E-2</v>
      </c>
      <c r="AL57" s="2">
        <v>2.62202474048286E-2</v>
      </c>
      <c r="AM57" s="2">
        <v>0.1359999999999999</v>
      </c>
      <c r="AN57" s="2">
        <v>0.59</v>
      </c>
      <c r="AO57" s="2">
        <v>0.36196911196911197</v>
      </c>
      <c r="AP57" s="2">
        <v>0.83764000543538397</v>
      </c>
      <c r="AQ57" s="16">
        <v>0.31231884458671982</v>
      </c>
      <c r="AR57" s="2">
        <v>0.67400000000000004</v>
      </c>
      <c r="AS57" s="2">
        <v>0.7</v>
      </c>
      <c r="AT57" s="2">
        <v>0.85699999999999998</v>
      </c>
      <c r="AU57" s="2">
        <v>0.89200000000000002</v>
      </c>
      <c r="AV57" s="2">
        <v>0.75</v>
      </c>
      <c r="AW57" s="2">
        <v>0.74099999999999999</v>
      </c>
      <c r="AX57" s="2">
        <v>0.83799999999999997</v>
      </c>
      <c r="AY57" s="2">
        <v>0.50594730347095973</v>
      </c>
      <c r="AZ57" s="2">
        <v>0.51547876284467642</v>
      </c>
      <c r="BA57" s="2">
        <v>0.46584761811130565</v>
      </c>
      <c r="BB57" s="2">
        <v>1</v>
      </c>
      <c r="BC57" s="2">
        <v>0.33686907459944804</v>
      </c>
      <c r="BD57" s="2">
        <v>0.34497209999310574</v>
      </c>
      <c r="BE57" s="2">
        <v>0.64500000000000002</v>
      </c>
    </row>
    <row r="58" spans="1:57">
      <c r="A58" s="1" t="s">
        <v>134</v>
      </c>
      <c r="B58" s="1" t="s">
        <v>245</v>
      </c>
      <c r="C58" s="2" t="e">
        <v>#N/A</v>
      </c>
      <c r="D58" s="2">
        <v>0</v>
      </c>
      <c r="E58" s="2" t="e">
        <v>#N/A</v>
      </c>
      <c r="F58" s="2">
        <v>0.41829652180449961</v>
      </c>
      <c r="G58" s="2">
        <v>0.66249386401857957</v>
      </c>
      <c r="H58" s="11">
        <v>0.36026346194102637</v>
      </c>
      <c r="I58" s="2">
        <v>7.2315543153376294E-2</v>
      </c>
      <c r="J58" s="2">
        <v>0.53475621933526418</v>
      </c>
      <c r="K58" s="2">
        <v>0.35</v>
      </c>
      <c r="L58" s="2">
        <v>0.94714285714285706</v>
      </c>
      <c r="M58" s="84">
        <v>0.47605365490787438</v>
      </c>
      <c r="N58" s="46">
        <v>0.44653479542414742</v>
      </c>
      <c r="O58" s="46">
        <v>0.43704142483382324</v>
      </c>
      <c r="P58" s="21">
        <v>31779</v>
      </c>
      <c r="Q58" s="22">
        <v>10.37</v>
      </c>
      <c r="R58" s="23">
        <v>0.72</v>
      </c>
      <c r="S58" s="2">
        <v>0.5170630843263061</v>
      </c>
      <c r="T58" s="2">
        <v>6.69E-4</v>
      </c>
      <c r="U58" s="2">
        <v>0.61299999903887503</v>
      </c>
      <c r="V58" s="2">
        <v>0.19999999999999996</v>
      </c>
      <c r="W58" s="2">
        <v>0.33733333333333332</v>
      </c>
      <c r="X58" s="2">
        <v>0.54099999886006112</v>
      </c>
      <c r="Y58" s="2">
        <v>1</v>
      </c>
      <c r="Z58" s="2">
        <v>0.61064599986486134</v>
      </c>
      <c r="AA58" s="2">
        <v>1</v>
      </c>
      <c r="AB58" s="2">
        <v>0.18</v>
      </c>
      <c r="AC58" s="2">
        <v>1</v>
      </c>
      <c r="AD58" s="2">
        <v>0.43</v>
      </c>
      <c r="AE58" s="2">
        <v>0.20749999999999999</v>
      </c>
      <c r="AF58" s="2">
        <v>0.95479999999999998</v>
      </c>
      <c r="AG58" s="2">
        <v>0.73563223324820481</v>
      </c>
      <c r="AH58" s="2">
        <v>0.85156712000000001</v>
      </c>
      <c r="AI58" s="2">
        <v>3.2716447556159704E-2</v>
      </c>
      <c r="AJ58" s="2">
        <v>0.35682552303324339</v>
      </c>
      <c r="AK58" s="2">
        <v>8.5895172234649406E-3</v>
      </c>
      <c r="AL58" s="2">
        <v>6.3768804303994703E-2</v>
      </c>
      <c r="AM58" s="2">
        <v>0.73</v>
      </c>
      <c r="AN58" s="2">
        <v>0</v>
      </c>
      <c r="AO58" s="2">
        <v>0</v>
      </c>
      <c r="AP58" s="2">
        <v>0.5</v>
      </c>
      <c r="AQ58" s="16">
        <v>0.45296296086618776</v>
      </c>
      <c r="AR58" s="2">
        <v>0.44799999999999995</v>
      </c>
      <c r="AS58" s="2">
        <v>0.4</v>
      </c>
      <c r="AT58" s="2">
        <v>0.755</v>
      </c>
      <c r="AU58" s="2">
        <v>0.83900000000000008</v>
      </c>
      <c r="AV58" s="2">
        <v>0.2</v>
      </c>
      <c r="AW58" s="2">
        <v>0.80900000000000005</v>
      </c>
      <c r="AX58" s="2">
        <v>0.58899999999999997</v>
      </c>
      <c r="AY58" s="2">
        <v>0.49518408945026832</v>
      </c>
      <c r="AZ58" s="2">
        <v>0.13886399765517435</v>
      </c>
      <c r="BA58" s="2">
        <v>0.18629221151674269</v>
      </c>
      <c r="BB58" s="2">
        <v>0.7238201142297821</v>
      </c>
      <c r="BC58" s="2">
        <v>4.6556142857142858E-2</v>
      </c>
      <c r="BD58" s="2">
        <v>0.24827761463543582</v>
      </c>
      <c r="BE58" s="2">
        <v>0.44799999999999995</v>
      </c>
    </row>
    <row r="59" spans="1:57">
      <c r="A59" s="1" t="s">
        <v>178</v>
      </c>
      <c r="B59" s="1" t="s">
        <v>246</v>
      </c>
      <c r="C59" s="2">
        <v>0.41609869959822088</v>
      </c>
      <c r="D59" s="2">
        <v>0.70649999999999991</v>
      </c>
      <c r="E59" s="2" t="e">
        <v>#N/A</v>
      </c>
      <c r="F59" s="2">
        <v>0.34446155116696336</v>
      </c>
      <c r="G59" s="2">
        <v>0.89199803648594533</v>
      </c>
      <c r="H59" s="11">
        <v>0.5897645718127823</v>
      </c>
      <c r="I59" s="2">
        <v>0.34209829656029306</v>
      </c>
      <c r="J59" s="2">
        <v>0.71656241765428208</v>
      </c>
      <c r="K59" s="2">
        <v>1</v>
      </c>
      <c r="L59" s="2" t="e">
        <v>#N/A</v>
      </c>
      <c r="M59" s="84">
        <v>0.6862202380715251</v>
      </c>
      <c r="N59" s="46">
        <v>0.4674508779835656</v>
      </c>
      <c r="O59" s="46">
        <v>0.51250075402895723</v>
      </c>
      <c r="P59" s="21">
        <v>581</v>
      </c>
      <c r="Q59" s="22">
        <v>6.36</v>
      </c>
      <c r="R59" s="23">
        <v>0.47</v>
      </c>
      <c r="S59" s="2">
        <v>0.27111204188481675</v>
      </c>
      <c r="T59" s="2">
        <v>0.1016179997935146</v>
      </c>
      <c r="U59" s="2">
        <v>0.41439999945461747</v>
      </c>
      <c r="V59" s="2">
        <v>0.35</v>
      </c>
      <c r="W59" s="2">
        <v>0.25266666666666665</v>
      </c>
      <c r="X59" s="2">
        <v>0.86559999987483027</v>
      </c>
      <c r="Y59" s="2">
        <v>0.45091666666666669</v>
      </c>
      <c r="Z59" s="2">
        <v>0.79628399982377884</v>
      </c>
      <c r="AA59" s="2">
        <v>1</v>
      </c>
      <c r="AB59" s="2">
        <v>0.32</v>
      </c>
      <c r="AC59" s="2">
        <v>0.29679999962449077</v>
      </c>
      <c r="AD59" s="2">
        <v>1</v>
      </c>
      <c r="AE59" s="2">
        <v>0.40749999999999997</v>
      </c>
      <c r="AF59" s="2">
        <v>0.9728</v>
      </c>
      <c r="AG59" s="2">
        <v>0.55851738430276554</v>
      </c>
      <c r="AH59" s="2">
        <v>0.56901408399999998</v>
      </c>
      <c r="AI59" s="2">
        <v>0.66268936964234404</v>
      </c>
      <c r="AJ59" s="2">
        <v>0.36025806565029245</v>
      </c>
      <c r="AK59" s="2">
        <v>2.7702704181438453E-2</v>
      </c>
      <c r="AL59" s="2">
        <v>1.6661373158518102E-2</v>
      </c>
      <c r="AM59" s="2">
        <v>0.67999999999999994</v>
      </c>
      <c r="AN59" s="2">
        <v>0.2</v>
      </c>
      <c r="AO59" s="2">
        <v>1.4851485148514851E-2</v>
      </c>
      <c r="AP59" s="2">
        <v>0.8212400053549177</v>
      </c>
      <c r="AQ59" s="16">
        <v>0.47544299355117386</v>
      </c>
      <c r="AR59" s="2">
        <v>0.18</v>
      </c>
      <c r="AS59" s="2">
        <v>0.2</v>
      </c>
      <c r="AT59" s="2">
        <v>0.73</v>
      </c>
      <c r="AU59" s="2">
        <v>6.9000000000000006E-2</v>
      </c>
      <c r="AV59" s="2">
        <v>0.1</v>
      </c>
      <c r="AW59" s="2">
        <v>0.59</v>
      </c>
      <c r="AX59" s="2">
        <v>0.69099999999999995</v>
      </c>
      <c r="AY59" s="2">
        <v>0.34189910986728539</v>
      </c>
      <c r="AZ59" s="2">
        <v>7.2419854913889997E-2</v>
      </c>
      <c r="BA59" s="2">
        <v>0.4341502315455778</v>
      </c>
      <c r="BB59" s="2">
        <v>3.0600130612775327E-2</v>
      </c>
      <c r="BC59" s="2">
        <v>2.8171722863503331E-2</v>
      </c>
      <c r="BD59" s="2">
        <v>0.2536664757093246</v>
      </c>
      <c r="BE59" s="2">
        <v>0.70799999999999996</v>
      </c>
    </row>
    <row r="60" spans="1:57">
      <c r="A60" s="1" t="s">
        <v>58</v>
      </c>
      <c r="B60" s="1" t="s">
        <v>247</v>
      </c>
      <c r="C60" s="2">
        <v>0</v>
      </c>
      <c r="D60" s="2">
        <v>0</v>
      </c>
      <c r="E60" s="2" t="e">
        <v>#N/A</v>
      </c>
      <c r="F60" s="2">
        <v>4.7868940549250498E-2</v>
      </c>
      <c r="G60" s="2">
        <v>0.60849288226155229</v>
      </c>
      <c r="H60" s="11">
        <v>0.1640904557027007</v>
      </c>
      <c r="I60" s="2">
        <v>0</v>
      </c>
      <c r="J60" s="2">
        <v>0.46928434188097246</v>
      </c>
      <c r="K60" s="2">
        <v>0.05</v>
      </c>
      <c r="L60" s="2">
        <v>0</v>
      </c>
      <c r="M60" s="84">
        <v>0.12982108547024312</v>
      </c>
      <c r="N60" s="46">
        <v>0.2555974398531653</v>
      </c>
      <c r="O60" s="46">
        <v>0.22648712657183159</v>
      </c>
      <c r="P60" s="21">
        <v>19693</v>
      </c>
      <c r="Q60" s="22">
        <v>9.89</v>
      </c>
      <c r="R60" s="23">
        <v>0.88</v>
      </c>
      <c r="S60" s="2">
        <v>0.50653302433371972</v>
      </c>
      <c r="T60" s="2">
        <v>0.15421999968662858</v>
      </c>
      <c r="U60" s="2">
        <v>5.9199999123811686E-2</v>
      </c>
      <c r="V60" s="2">
        <v>0.77499999999999991</v>
      </c>
      <c r="W60" s="2">
        <v>0</v>
      </c>
      <c r="X60" s="2">
        <v>8.7999999150633834E-2</v>
      </c>
      <c r="Y60" s="2">
        <v>0.27966666666666667</v>
      </c>
      <c r="Z60" s="2">
        <v>0.30825199993178248</v>
      </c>
      <c r="AA60" s="2">
        <v>0.83278428093650003</v>
      </c>
      <c r="AB60" s="2">
        <v>0.9</v>
      </c>
      <c r="AC60" s="2">
        <v>0.15899999979883431</v>
      </c>
      <c r="AD60" s="2">
        <v>0</v>
      </c>
      <c r="AE60" s="2">
        <v>0.87499999999999989</v>
      </c>
      <c r="AF60" s="2">
        <v>0.45448</v>
      </c>
      <c r="AG60" s="2">
        <v>0.27971512062847637</v>
      </c>
      <c r="AH60" s="2">
        <v>6.0869566E-2</v>
      </c>
      <c r="AI60" s="2">
        <v>3.9249541866813904E-2</v>
      </c>
      <c r="AJ60" s="2">
        <v>4.925837795765344E-3</v>
      </c>
      <c r="AK60" s="2">
        <v>5.5642862298984942E-2</v>
      </c>
      <c r="AL60" s="2">
        <v>0.116181230255992</v>
      </c>
      <c r="AM60" s="2">
        <v>0</v>
      </c>
      <c r="AN60" s="2">
        <v>0.22</v>
      </c>
      <c r="AO60" s="2">
        <v>0</v>
      </c>
      <c r="AP60" s="2">
        <v>0.72376468943873584</v>
      </c>
      <c r="AQ60" s="16">
        <v>0.28718686741305605</v>
      </c>
      <c r="AR60" s="2">
        <v>0.83099999999999996</v>
      </c>
      <c r="AS60" s="2">
        <v>0.8</v>
      </c>
      <c r="AT60" s="2">
        <v>0.80200000000000005</v>
      </c>
      <c r="AU60" s="2">
        <v>0.622</v>
      </c>
      <c r="AV60" s="2">
        <v>0.9</v>
      </c>
      <c r="AW60" s="2">
        <v>0.71099999999999997</v>
      </c>
      <c r="AX60" s="2">
        <v>0.875</v>
      </c>
      <c r="AY60" s="2">
        <v>0.61587980736678005</v>
      </c>
      <c r="AZ60" s="2">
        <v>0.71947627614071141</v>
      </c>
      <c r="BA60" s="2">
        <v>0.69871505123095756</v>
      </c>
      <c r="BB60" s="2">
        <v>1</v>
      </c>
      <c r="BC60" s="2">
        <v>0.87369092652797375</v>
      </c>
      <c r="BD60" s="2">
        <v>0.72371794659695343</v>
      </c>
      <c r="BE60" s="2">
        <v>0.47</v>
      </c>
    </row>
    <row r="61" spans="1:57">
      <c r="A61" s="1" t="s">
        <v>184</v>
      </c>
      <c r="B61" s="1" t="s">
        <v>248</v>
      </c>
      <c r="C61" s="2">
        <v>0.54398814959321995</v>
      </c>
      <c r="D61" s="2">
        <v>0.14590000000000003</v>
      </c>
      <c r="E61" s="2">
        <v>0.90485248151431041</v>
      </c>
      <c r="F61" s="2">
        <v>0.32438849984746593</v>
      </c>
      <c r="G61" s="2">
        <v>0.66924398673820795</v>
      </c>
      <c r="H61" s="11">
        <v>0.51767462353864091</v>
      </c>
      <c r="I61" s="2">
        <v>0.40041742951024489</v>
      </c>
      <c r="J61" s="2">
        <v>0.14381631586858795</v>
      </c>
      <c r="K61" s="2">
        <v>0.52500000000000002</v>
      </c>
      <c r="L61" s="2">
        <v>1</v>
      </c>
      <c r="M61" s="84">
        <v>0.51730843634470824</v>
      </c>
      <c r="N61" s="46">
        <v>0.56462408800727315</v>
      </c>
      <c r="O61" s="46">
        <v>0.55177530228019989</v>
      </c>
      <c r="P61" s="21">
        <v>934</v>
      </c>
      <c r="Q61" s="22">
        <v>6.84</v>
      </c>
      <c r="R61" s="23">
        <v>0.41</v>
      </c>
      <c r="S61" s="2">
        <v>1</v>
      </c>
      <c r="T61" s="2">
        <v>4.5560000000000003E-2</v>
      </c>
      <c r="U61" s="2">
        <v>0.63519999966025353</v>
      </c>
      <c r="V61" s="2">
        <v>0.30000000000000004</v>
      </c>
      <c r="W61" s="2">
        <v>0.47</v>
      </c>
      <c r="X61" s="2">
        <v>0.88479999989271163</v>
      </c>
      <c r="Y61" s="2">
        <v>0.60066666666666668</v>
      </c>
      <c r="Z61" s="2">
        <v>0.83526999981515104</v>
      </c>
      <c r="AA61" s="2">
        <v>0.98249934749080781</v>
      </c>
      <c r="AB61" s="2">
        <v>0.32</v>
      </c>
      <c r="AC61" s="2">
        <v>6.3599999919533731E-2</v>
      </c>
      <c r="AD61" s="2">
        <v>1</v>
      </c>
      <c r="AE61" s="2">
        <v>0.40749999999999997</v>
      </c>
      <c r="AF61" s="2">
        <v>0.98863999999999996</v>
      </c>
      <c r="AG61" s="2">
        <v>0.64025599901303654</v>
      </c>
      <c r="AH61" s="2">
        <v>0.81792399400000004</v>
      </c>
      <c r="AI61" s="2">
        <v>0.39868966776576825</v>
      </c>
      <c r="AJ61" s="2">
        <v>0.65156662267985965</v>
      </c>
      <c r="AK61" s="2">
        <v>0</v>
      </c>
      <c r="AL61" s="2">
        <v>0</v>
      </c>
      <c r="AM61" s="2">
        <v>0.84699999999999998</v>
      </c>
      <c r="AN61" s="2">
        <v>0.88</v>
      </c>
      <c r="AO61" s="2">
        <v>0.03</v>
      </c>
      <c r="AP61" s="2">
        <v>0.8714569758846068</v>
      </c>
      <c r="AQ61" s="16">
        <v>0.56960955303284988</v>
      </c>
      <c r="AR61" s="2">
        <v>0.66299999999999992</v>
      </c>
      <c r="AS61" s="2">
        <v>0.2</v>
      </c>
      <c r="AT61" s="2">
        <v>0.77700000000000002</v>
      </c>
      <c r="AU61" s="2">
        <v>0.82900000000000007</v>
      </c>
      <c r="AV61" s="2">
        <v>0.25</v>
      </c>
      <c r="AW61" s="2">
        <v>0.60399999999999998</v>
      </c>
      <c r="AX61" s="2">
        <v>0.61899999999999999</v>
      </c>
      <c r="AY61" s="2">
        <v>0.15667350730681071</v>
      </c>
      <c r="AZ61" s="2">
        <v>0.25013297349212776</v>
      </c>
      <c r="BA61" s="2">
        <v>0.35848830555415445</v>
      </c>
      <c r="BB61" s="2">
        <v>5.3810899152758544E-2</v>
      </c>
      <c r="BC61" s="2">
        <v>4.934578290309969E-2</v>
      </c>
      <c r="BD61" s="2">
        <v>0.34692062111579275</v>
      </c>
      <c r="BE61" s="2">
        <v>0.61499999999999999</v>
      </c>
    </row>
    <row r="62" spans="1:57">
      <c r="A62" s="1" t="s">
        <v>108</v>
      </c>
      <c r="B62" s="1" t="s">
        <v>249</v>
      </c>
      <c r="C62" s="2" t="e">
        <v>#N/A</v>
      </c>
      <c r="D62" s="2">
        <v>0.92</v>
      </c>
      <c r="E62" s="2">
        <v>0.7255164220202649</v>
      </c>
      <c r="F62" s="2">
        <v>0.77989496985216222</v>
      </c>
      <c r="G62" s="2">
        <v>1</v>
      </c>
      <c r="H62" s="11">
        <v>0.85635284796810685</v>
      </c>
      <c r="I62" s="2">
        <v>0.5048791647857318</v>
      </c>
      <c r="J62" s="2">
        <v>0.40886479745189419</v>
      </c>
      <c r="K62" s="2" t="e">
        <v>#N/A</v>
      </c>
      <c r="L62" s="2" t="e">
        <v>#N/A</v>
      </c>
      <c r="M62" s="84" t="e">
        <v>#N/A</v>
      </c>
      <c r="N62" s="46">
        <v>0.32392751567078631</v>
      </c>
      <c r="O62" s="46" t="e">
        <v>#N/A</v>
      </c>
      <c r="P62" s="21">
        <v>4526</v>
      </c>
      <c r="Q62" s="22">
        <v>8.42</v>
      </c>
      <c r="R62" s="23">
        <v>0.74</v>
      </c>
      <c r="S62" s="2">
        <v>0.67049507853403123</v>
      </c>
      <c r="T62" s="2">
        <v>2.862E-3</v>
      </c>
      <c r="U62" s="2">
        <v>0.36</v>
      </c>
      <c r="V62" s="2">
        <v>7.5000000000000011E-2</v>
      </c>
      <c r="W62" s="2">
        <v>7.3333333333333332E-3</v>
      </c>
      <c r="X62" s="2">
        <v>0.13</v>
      </c>
      <c r="Y62" s="2">
        <v>0.44466666666666665</v>
      </c>
      <c r="Z62" s="2">
        <v>0.47591199989467853</v>
      </c>
      <c r="AA62" s="2">
        <v>0.92227450980399994</v>
      </c>
      <c r="AB62" s="2">
        <v>0.2</v>
      </c>
      <c r="AC62" s="2">
        <v>1</v>
      </c>
      <c r="AD62" s="2">
        <v>0.3</v>
      </c>
      <c r="AE62" s="2">
        <v>0.76749999999999996</v>
      </c>
      <c r="AF62" s="2">
        <v>0.88456800000000002</v>
      </c>
      <c r="AG62" s="2">
        <v>0.37777794998809844</v>
      </c>
      <c r="AH62" s="2">
        <v>0.34837355800000003</v>
      </c>
      <c r="AI62" s="2">
        <v>3.3638712047555606E-2</v>
      </c>
      <c r="AJ62" s="2">
        <v>1.9477713563255353E-2</v>
      </c>
      <c r="AK62" s="2">
        <v>0.10631031837790682</v>
      </c>
      <c r="AL62" s="2">
        <v>0.175616459497798</v>
      </c>
      <c r="AM62" s="2">
        <v>0.4</v>
      </c>
      <c r="AN62" s="2">
        <v>0</v>
      </c>
      <c r="AO62" s="2">
        <v>0.16420361247947454</v>
      </c>
      <c r="AP62" s="2">
        <v>0.59655999178852981</v>
      </c>
      <c r="AQ62" s="16">
        <v>0.35260707933230545</v>
      </c>
      <c r="AR62" s="2">
        <v>0.63500000000000001</v>
      </c>
      <c r="AS62" s="2">
        <v>0.6</v>
      </c>
      <c r="AT62" s="2">
        <v>0.75700000000000001</v>
      </c>
      <c r="AU62" s="2">
        <v>0.80599999999999994</v>
      </c>
      <c r="AV62" s="2">
        <v>0.25</v>
      </c>
      <c r="AW62" s="2">
        <v>0.73599999999999999</v>
      </c>
      <c r="AX62" s="2">
        <v>0.71</v>
      </c>
      <c r="AY62" s="2">
        <v>0.45637526565943698</v>
      </c>
      <c r="AZ62" s="2">
        <v>0.35765390290888982</v>
      </c>
      <c r="BA62" s="2">
        <v>0.35412994150000515</v>
      </c>
      <c r="BB62" s="2">
        <v>0.82899797243928597</v>
      </c>
      <c r="BC62" s="2">
        <v>0.19815582906355389</v>
      </c>
      <c r="BD62" s="2">
        <v>0.35042716010836256</v>
      </c>
      <c r="BE62" s="2">
        <v>0.84</v>
      </c>
    </row>
    <row r="63" spans="1:57">
      <c r="A63" s="1" t="s">
        <v>77</v>
      </c>
      <c r="B63" s="1" t="s">
        <v>250</v>
      </c>
      <c r="C63" s="2">
        <v>0</v>
      </c>
      <c r="D63" s="2">
        <v>0.5071</v>
      </c>
      <c r="E63" s="2">
        <v>9.2981372116594047E-2</v>
      </c>
      <c r="F63" s="2">
        <v>5.9775949672749053E-2</v>
      </c>
      <c r="G63" s="2">
        <v>0</v>
      </c>
      <c r="H63" s="11">
        <v>0.13197146435786861</v>
      </c>
      <c r="I63" s="2">
        <v>0.50867253964409564</v>
      </c>
      <c r="J63" s="2">
        <v>0.32256121712201685</v>
      </c>
      <c r="K63" s="2">
        <v>0</v>
      </c>
      <c r="L63" s="2">
        <v>0</v>
      </c>
      <c r="M63" s="84">
        <v>0.20780843919152814</v>
      </c>
      <c r="N63" s="46">
        <v>0.17587638512544443</v>
      </c>
      <c r="O63" s="46">
        <v>0.17309467641109461</v>
      </c>
      <c r="P63" s="21">
        <v>35265</v>
      </c>
      <c r="Q63" s="22">
        <v>10.47</v>
      </c>
      <c r="R63" s="23">
        <v>0.96</v>
      </c>
      <c r="S63" s="2">
        <v>1</v>
      </c>
      <c r="T63" s="2">
        <v>1.6334999966807665E-2</v>
      </c>
      <c r="U63" s="2">
        <v>3.9999999105930328E-2</v>
      </c>
      <c r="V63" s="2">
        <v>0.82499999999999996</v>
      </c>
      <c r="W63" s="2">
        <v>0</v>
      </c>
      <c r="X63" s="2">
        <v>3.9999999105930328E-2</v>
      </c>
      <c r="Y63" s="2">
        <v>1.5499999999999995E-2</v>
      </c>
      <c r="Z63" s="2">
        <v>0.36763999991863971</v>
      </c>
      <c r="AA63" s="2">
        <v>0.74816108849146656</v>
      </c>
      <c r="AB63" s="2">
        <v>0.38</v>
      </c>
      <c r="AC63" s="2">
        <v>8.4799999892711642E-2</v>
      </c>
      <c r="AD63" s="2">
        <v>0</v>
      </c>
      <c r="AE63" s="2">
        <v>6.7499999999999991E-2</v>
      </c>
      <c r="AF63" s="2">
        <v>0.1604000000000001</v>
      </c>
      <c r="AG63" s="2">
        <v>0.16799453515857432</v>
      </c>
      <c r="AH63" s="2">
        <v>4.9327353999999997E-2</v>
      </c>
      <c r="AI63" s="2">
        <v>0</v>
      </c>
      <c r="AJ63" s="2">
        <v>3.4423271970406922E-3</v>
      </c>
      <c r="AK63" s="2">
        <v>1.4548119865928784E-2</v>
      </c>
      <c r="AL63" s="2">
        <v>4.2678871958731997E-2</v>
      </c>
      <c r="AM63" s="2">
        <v>0</v>
      </c>
      <c r="AN63" s="2">
        <v>0.59</v>
      </c>
      <c r="AO63" s="2">
        <v>0</v>
      </c>
      <c r="AP63" s="2">
        <v>0.3714879994146526</v>
      </c>
      <c r="AQ63" s="16">
        <v>0.20770063725318391</v>
      </c>
      <c r="AR63" s="2">
        <v>0.95</v>
      </c>
      <c r="AS63" s="2">
        <v>0.8</v>
      </c>
      <c r="AT63" s="2">
        <v>0.65400000000000003</v>
      </c>
      <c r="AU63" s="2">
        <v>0.32899999999999996</v>
      </c>
      <c r="AV63" s="2">
        <v>0.75</v>
      </c>
      <c r="AW63" s="2">
        <v>0.78900000000000003</v>
      </c>
      <c r="AX63" s="2">
        <v>0.875</v>
      </c>
      <c r="AY63" s="2">
        <v>0.7687162647436272</v>
      </c>
      <c r="AZ63" s="2">
        <v>0.80289221647182707</v>
      </c>
      <c r="BA63" s="2">
        <v>0.93979144181023722</v>
      </c>
      <c r="BB63" s="2">
        <v>1</v>
      </c>
      <c r="BC63" s="2">
        <v>1</v>
      </c>
      <c r="BD63" s="2">
        <v>0.88351606027368468</v>
      </c>
      <c r="BE63" s="2">
        <v>0.43799999999999994</v>
      </c>
    </row>
    <row r="64" spans="1:57">
      <c r="A64" s="1" t="s">
        <v>40</v>
      </c>
      <c r="B64" s="1" t="s">
        <v>251</v>
      </c>
      <c r="C64" s="2">
        <v>0.46801527730984938</v>
      </c>
      <c r="D64" s="2">
        <v>0.23120000000000007</v>
      </c>
      <c r="E64" s="2">
        <v>4.0442837667973332E-2</v>
      </c>
      <c r="F64" s="2">
        <v>0.13777444827091875</v>
      </c>
      <c r="G64" s="2">
        <v>0</v>
      </c>
      <c r="H64" s="11">
        <v>0.17548651264974829</v>
      </c>
      <c r="I64" s="2">
        <v>0.27440588731519222</v>
      </c>
      <c r="J64" s="2">
        <v>0.15390840831764388</v>
      </c>
      <c r="K64" s="2">
        <v>0</v>
      </c>
      <c r="L64" s="2">
        <v>0</v>
      </c>
      <c r="M64" s="84">
        <v>0.10707857390820902</v>
      </c>
      <c r="N64" s="46">
        <v>0.12667107082012879</v>
      </c>
      <c r="O64" s="46">
        <v>0.13169250177468692</v>
      </c>
      <c r="P64" s="21">
        <v>33674</v>
      </c>
      <c r="Q64" s="22">
        <v>10.42</v>
      </c>
      <c r="R64" s="23">
        <v>0.96</v>
      </c>
      <c r="S64" s="2">
        <v>0.16682081497797357</v>
      </c>
      <c r="T64" s="2">
        <v>0.16477999966517093</v>
      </c>
      <c r="U64" s="2">
        <v>3.9999999105930328E-2</v>
      </c>
      <c r="V64" s="2">
        <v>0.47499999999999998</v>
      </c>
      <c r="W64" s="2">
        <v>0</v>
      </c>
      <c r="X64" s="2">
        <v>3.9999999105930328E-2</v>
      </c>
      <c r="Y64" s="2">
        <v>0.25958333333333333</v>
      </c>
      <c r="Z64" s="2">
        <v>0.2264419999498874</v>
      </c>
      <c r="AA64" s="2">
        <v>0.70256013269770889</v>
      </c>
      <c r="AB64" s="2">
        <v>0.22</v>
      </c>
      <c r="AC64" s="2">
        <v>0.1165999998524785</v>
      </c>
      <c r="AD64" s="2">
        <v>0</v>
      </c>
      <c r="AE64" s="2">
        <v>6.7499999999999991E-2</v>
      </c>
      <c r="AF64" s="2">
        <v>0.36264000000000007</v>
      </c>
      <c r="AG64" s="2">
        <v>0.13480663268864246</v>
      </c>
      <c r="AH64" s="2">
        <v>0.115869018</v>
      </c>
      <c r="AI64" s="2">
        <v>0</v>
      </c>
      <c r="AJ64" s="2">
        <v>3.9672627765894143E-3</v>
      </c>
      <c r="AK64" s="2">
        <v>2.4862700279103735E-2</v>
      </c>
      <c r="AL64" s="2">
        <v>4.7248629961730002E-2</v>
      </c>
      <c r="AM64" s="2">
        <v>0</v>
      </c>
      <c r="AN64" s="2">
        <v>0.54</v>
      </c>
      <c r="AO64" s="2">
        <v>6.8473140269510277E-2</v>
      </c>
      <c r="AP64" s="2">
        <v>3.9999999105930328E-2</v>
      </c>
      <c r="AQ64" s="16">
        <v>0.15904806924041334</v>
      </c>
      <c r="AR64" s="2">
        <v>0.86299999999999999</v>
      </c>
      <c r="AS64" s="2">
        <v>0.7</v>
      </c>
      <c r="AT64" s="2">
        <v>0.51900000000000002</v>
      </c>
      <c r="AU64" s="2">
        <v>0.17899999999999999</v>
      </c>
      <c r="AV64" s="2">
        <v>0.5</v>
      </c>
      <c r="AW64" s="2">
        <v>0.79700000000000004</v>
      </c>
      <c r="AX64" s="2">
        <v>0.82499999999999996</v>
      </c>
      <c r="AY64" s="2">
        <v>0.60821703484086265</v>
      </c>
      <c r="AZ64" s="2">
        <v>0.74957389642861094</v>
      </c>
      <c r="BA64" s="2">
        <v>0.77914856189908976</v>
      </c>
      <c r="BB64" s="2">
        <v>1</v>
      </c>
      <c r="BC64" s="2">
        <v>0.74850363498281258</v>
      </c>
      <c r="BD64" s="2">
        <v>0.78222352012773055</v>
      </c>
      <c r="BE64" s="2">
        <v>0.54700000000000004</v>
      </c>
    </row>
    <row r="65" spans="1:57">
      <c r="A65" s="1" t="s">
        <v>25</v>
      </c>
      <c r="B65" s="1" t="s">
        <v>252</v>
      </c>
      <c r="C65" s="2">
        <v>0</v>
      </c>
      <c r="D65" s="2">
        <v>0.10650000000000004</v>
      </c>
      <c r="E65" s="2">
        <v>0.35395267174925793</v>
      </c>
      <c r="F65" s="2">
        <v>0.31621925541050971</v>
      </c>
      <c r="G65" s="2">
        <v>0.56799214594378178</v>
      </c>
      <c r="H65" s="11">
        <v>0.26893281462070989</v>
      </c>
      <c r="I65" s="2">
        <v>0.14933738061914179</v>
      </c>
      <c r="J65" s="2">
        <v>0.55692546099414564</v>
      </c>
      <c r="K65" s="2">
        <v>7.4999999999999997E-2</v>
      </c>
      <c r="L65" s="2">
        <v>0.55285714285714294</v>
      </c>
      <c r="M65" s="84">
        <v>0.33352999611760759</v>
      </c>
      <c r="N65" s="46">
        <v>0.36316424526394359</v>
      </c>
      <c r="O65" s="46">
        <v>0.34529472557298863</v>
      </c>
      <c r="P65" s="21">
        <v>14419</v>
      </c>
      <c r="Q65" s="22">
        <v>9.58</v>
      </c>
      <c r="R65" s="23">
        <v>0.76</v>
      </c>
      <c r="S65" s="2">
        <v>0.21115623417721519</v>
      </c>
      <c r="T65" s="2">
        <v>7.9299999999999998E-4</v>
      </c>
      <c r="U65" s="2">
        <v>0.16479999922215938</v>
      </c>
      <c r="V65" s="2">
        <v>0.22499999999999998</v>
      </c>
      <c r="W65" s="2">
        <v>6.8000000000000005E-2</v>
      </c>
      <c r="X65" s="2">
        <v>0.68319999970495693</v>
      </c>
      <c r="Y65" s="2">
        <v>1</v>
      </c>
      <c r="Z65" s="2">
        <v>0.14624799996763468</v>
      </c>
      <c r="AA65" s="2">
        <v>0.9765641025641667</v>
      </c>
      <c r="AB65" s="2">
        <v>0.12</v>
      </c>
      <c r="AC65" s="2">
        <v>0.77379999902099372</v>
      </c>
      <c r="AD65" s="2">
        <v>0.21000000000000002</v>
      </c>
      <c r="AE65" s="2">
        <v>0.20749999999999999</v>
      </c>
      <c r="AF65" s="2">
        <v>0.77600000000000002</v>
      </c>
      <c r="AG65" s="2">
        <v>0.53947660379722706</v>
      </c>
      <c r="AH65" s="2">
        <v>0.84693084600000001</v>
      </c>
      <c r="AI65" s="2">
        <v>1.7296911243172116E-2</v>
      </c>
      <c r="AJ65" s="2">
        <v>0.23266934033997827</v>
      </c>
      <c r="AK65" s="2">
        <v>7.5199763091118562E-3</v>
      </c>
      <c r="AL65" s="2">
        <v>0.14052803853743301</v>
      </c>
      <c r="AM65" s="2">
        <v>0.63300000000000001</v>
      </c>
      <c r="AN65" s="2">
        <v>0</v>
      </c>
      <c r="AO65" s="2">
        <v>0</v>
      </c>
      <c r="AP65" s="2">
        <v>0.91015199937414648</v>
      </c>
      <c r="AQ65" s="16">
        <v>0.3704431270940915</v>
      </c>
      <c r="AR65" s="2">
        <v>0.58799999999999997</v>
      </c>
      <c r="AS65" s="2">
        <v>0.4</v>
      </c>
      <c r="AT65" s="2">
        <v>0.61499999999999999</v>
      </c>
      <c r="AU65" s="2">
        <v>0.8640000000000001</v>
      </c>
      <c r="AV65" s="2">
        <v>0.45</v>
      </c>
      <c r="AW65" s="2">
        <v>0.71400000000000008</v>
      </c>
      <c r="AX65" s="2">
        <v>0.621</v>
      </c>
      <c r="AY65" s="2">
        <v>0.52284200723022345</v>
      </c>
      <c r="AZ65" s="2">
        <v>0.29133955624294899</v>
      </c>
      <c r="BA65" s="2">
        <v>0.31710903999068546</v>
      </c>
      <c r="BB65" s="2">
        <v>1</v>
      </c>
      <c r="BC65" s="2">
        <v>0.100797</v>
      </c>
      <c r="BD65" s="2">
        <v>0.40854135490125093</v>
      </c>
      <c r="BE65" s="2">
        <v>0.57399999999999995</v>
      </c>
    </row>
    <row r="66" spans="1:57">
      <c r="A66" s="1" t="s">
        <v>95</v>
      </c>
      <c r="B66" s="1" t="s">
        <v>253</v>
      </c>
      <c r="C66" s="2">
        <v>0.50558681440935271</v>
      </c>
      <c r="D66" s="2">
        <v>0.91239999999999999</v>
      </c>
      <c r="E66" s="2">
        <v>0.58604608537184588</v>
      </c>
      <c r="F66" s="2">
        <v>0.18151538962784589</v>
      </c>
      <c r="G66" s="2">
        <v>0.58824251410266704</v>
      </c>
      <c r="H66" s="11">
        <v>0.5547581607023423</v>
      </c>
      <c r="I66" s="2">
        <v>0.26607284916310292</v>
      </c>
      <c r="J66" s="2">
        <v>0.50462057072027833</v>
      </c>
      <c r="K66" s="2">
        <v>7.4999999999999997E-2</v>
      </c>
      <c r="L66" s="2">
        <v>0.49714285714285711</v>
      </c>
      <c r="M66" s="84">
        <v>0.33570906925655958</v>
      </c>
      <c r="N66" s="46">
        <v>0.42964870120945747</v>
      </c>
      <c r="O66" s="46">
        <v>0.43721805786560392</v>
      </c>
      <c r="P66" s="21">
        <v>1415</v>
      </c>
      <c r="Q66" s="22">
        <v>7.25</v>
      </c>
      <c r="R66" s="23">
        <v>0.46</v>
      </c>
      <c r="S66" s="2">
        <v>0.16863569257490227</v>
      </c>
      <c r="T66" s="2">
        <v>8.9119999999999998E-3</v>
      </c>
      <c r="U66" s="2">
        <v>0.11679999917745587</v>
      </c>
      <c r="V66" s="2">
        <v>0.30000000000000004</v>
      </c>
      <c r="W66" s="2">
        <v>0.19066666666666668</v>
      </c>
      <c r="X66" s="2">
        <v>0.35679999940097329</v>
      </c>
      <c r="Y66" s="2">
        <v>0.62008333333333332</v>
      </c>
      <c r="Z66" s="2">
        <v>0.4316739999044687</v>
      </c>
      <c r="AA66" s="2">
        <v>0.99573076923083337</v>
      </c>
      <c r="AB66" s="2">
        <v>0.18</v>
      </c>
      <c r="AC66" s="2">
        <v>0.50879999935626985</v>
      </c>
      <c r="AD66" s="2">
        <v>0.42119999930262564</v>
      </c>
      <c r="AE66" s="2">
        <v>0.20749999999999999</v>
      </c>
      <c r="AF66" s="2">
        <v>0.97416000000000003</v>
      </c>
      <c r="AG66" s="2">
        <v>0.62609810631692497</v>
      </c>
      <c r="AH66" s="2">
        <v>0.78828828799999995</v>
      </c>
      <c r="AI66" s="2">
        <v>0.26541790428426187</v>
      </c>
      <c r="AJ66" s="2">
        <v>0.53599427185921511</v>
      </c>
      <c r="AK66" s="2">
        <v>0.26353320917090606</v>
      </c>
      <c r="AL66" s="2">
        <v>0.37547217491297002</v>
      </c>
      <c r="AM66" s="2">
        <v>0.91700000000000004</v>
      </c>
      <c r="AN66" s="2">
        <v>0</v>
      </c>
      <c r="AO66" s="2">
        <v>0.45</v>
      </c>
      <c r="AP66" s="2">
        <v>0.82998400220979718</v>
      </c>
      <c r="AQ66" s="16">
        <v>0.43886460065423344</v>
      </c>
      <c r="AR66" s="2">
        <v>0.58499999999999996</v>
      </c>
      <c r="AS66" s="2">
        <v>0.5</v>
      </c>
      <c r="AT66" s="2">
        <v>0.71900000000000008</v>
      </c>
      <c r="AU66" s="2">
        <v>0.753</v>
      </c>
      <c r="AV66" s="2">
        <v>0.55000000000000004</v>
      </c>
      <c r="AW66" s="2">
        <v>0.71599999999999997</v>
      </c>
      <c r="AX66" s="2">
        <v>0.60599999999999998</v>
      </c>
      <c r="AY66" s="2">
        <v>0.55207107399916711</v>
      </c>
      <c r="AZ66" s="2">
        <v>0.29180802214499729</v>
      </c>
      <c r="BA66" s="2">
        <v>0.39003702099538973</v>
      </c>
      <c r="BB66" s="2">
        <v>0.92440118903449497</v>
      </c>
      <c r="BC66" s="2">
        <v>6.3126994344505888E-2</v>
      </c>
      <c r="BD66" s="2">
        <v>0.41489323588089189</v>
      </c>
      <c r="BE66" s="2">
        <v>0.63800000000000001</v>
      </c>
    </row>
    <row r="67" spans="1:57">
      <c r="A67" s="1" t="s">
        <v>105</v>
      </c>
      <c r="B67" s="1" t="s">
        <v>254</v>
      </c>
      <c r="C67" s="2">
        <v>0.47831311189849213</v>
      </c>
      <c r="D67" s="2">
        <v>0.78649999999999998</v>
      </c>
      <c r="E67" s="2">
        <v>0.33898462779406774</v>
      </c>
      <c r="F67" s="2">
        <v>0.3195590949959759</v>
      </c>
      <c r="G67" s="2">
        <v>0.65574374129895108</v>
      </c>
      <c r="H67" s="11">
        <v>0.51582011519749726</v>
      </c>
      <c r="I67" s="2">
        <v>7.9847353770767834E-2</v>
      </c>
      <c r="J67" s="2">
        <v>0.53647157925870081</v>
      </c>
      <c r="K67" s="2">
        <v>7.4999999999999997E-2</v>
      </c>
      <c r="L67" s="2">
        <v>0</v>
      </c>
      <c r="M67" s="84">
        <v>0.17282973325736714</v>
      </c>
      <c r="N67" s="46">
        <v>0.25538341801379622</v>
      </c>
      <c r="O67" s="46">
        <v>0.28483701640448683</v>
      </c>
      <c r="P67" s="21">
        <v>4774</v>
      </c>
      <c r="Q67" s="22">
        <v>8.4700000000000006</v>
      </c>
      <c r="R67" s="23">
        <v>0.78</v>
      </c>
      <c r="S67" s="2">
        <v>0.93013021276595753</v>
      </c>
      <c r="T67" s="2">
        <v>2.5600000000000001E-2</v>
      </c>
      <c r="U67" s="2">
        <v>5.9199999123811686E-2</v>
      </c>
      <c r="V67" s="2">
        <v>0.6</v>
      </c>
      <c r="W67" s="2">
        <v>0.11266666666666666</v>
      </c>
      <c r="X67" s="2">
        <v>8.7999999150633834E-2</v>
      </c>
      <c r="Y67" s="2">
        <v>0.27966666666666667</v>
      </c>
      <c r="Z67" s="2">
        <v>0.47651799989454446</v>
      </c>
      <c r="AA67" s="2">
        <v>0.89817341992137756</v>
      </c>
      <c r="AB67" s="2">
        <v>0.24</v>
      </c>
      <c r="AC67" s="2">
        <v>0.78439999900758262</v>
      </c>
      <c r="AD67" s="2">
        <v>3.2999999932944772E-2</v>
      </c>
      <c r="AE67" s="2">
        <v>7.4999999999999997E-2</v>
      </c>
      <c r="AF67" s="2">
        <v>0.48136000000000001</v>
      </c>
      <c r="AG67" s="2">
        <v>0.32627605725720543</v>
      </c>
      <c r="AH67" s="2">
        <v>0.18274111600000001</v>
      </c>
      <c r="AI67" s="2">
        <v>5.8292932282599519E-2</v>
      </c>
      <c r="AJ67" s="2">
        <v>1.959568882315393E-2</v>
      </c>
      <c r="AK67" s="2">
        <v>2.2428939057860257E-2</v>
      </c>
      <c r="AL67" s="2">
        <v>6.2409597162269403E-2</v>
      </c>
      <c r="AM67" s="2">
        <v>0</v>
      </c>
      <c r="AN67" s="2">
        <v>0.95</v>
      </c>
      <c r="AO67" s="2">
        <v>4.3171679378327818E-2</v>
      </c>
      <c r="AP67" s="2">
        <v>0.11576466994045542</v>
      </c>
      <c r="AQ67" s="16">
        <v>0.28601648512633576</v>
      </c>
      <c r="AR67" s="2">
        <v>0.879</v>
      </c>
      <c r="AS67" s="2">
        <v>0.6</v>
      </c>
      <c r="AT67" s="2">
        <v>0.8909999999999999</v>
      </c>
      <c r="AU67" s="2">
        <v>0.65300000000000002</v>
      </c>
      <c r="AV67" s="2">
        <v>0.7</v>
      </c>
      <c r="AW67" s="2">
        <v>0.70200000000000007</v>
      </c>
      <c r="AX67" s="2">
        <v>0.8909999999999999</v>
      </c>
      <c r="AY67" s="2">
        <v>0.30374683956898618</v>
      </c>
      <c r="AZ67" s="2">
        <v>0.46528985416629592</v>
      </c>
      <c r="BA67" s="2">
        <v>0.4549834820700821</v>
      </c>
      <c r="BB67" s="2">
        <v>0.7325014266970622</v>
      </c>
      <c r="BC67" s="2">
        <v>0.36064130150999529</v>
      </c>
      <c r="BD67" s="2">
        <v>0.465509312844826</v>
      </c>
      <c r="BE67" s="2">
        <v>0.93700000000000006</v>
      </c>
    </row>
    <row r="68" spans="1:57">
      <c r="A68" s="1" t="s">
        <v>44</v>
      </c>
      <c r="B68" s="1" t="s">
        <v>255</v>
      </c>
      <c r="C68" s="2">
        <v>0.51266154834759736</v>
      </c>
      <c r="D68" s="2">
        <v>0</v>
      </c>
      <c r="E68" s="2">
        <v>2.6302456793875127E-2</v>
      </c>
      <c r="F68" s="2">
        <v>0.15642983283297049</v>
      </c>
      <c r="G68" s="2">
        <v>0</v>
      </c>
      <c r="H68" s="11">
        <v>0.1390787675948886</v>
      </c>
      <c r="I68" s="2">
        <v>0</v>
      </c>
      <c r="J68" s="2">
        <v>0</v>
      </c>
      <c r="K68" s="2">
        <v>0</v>
      </c>
      <c r="L68" s="2">
        <v>0</v>
      </c>
      <c r="M68" s="84">
        <v>0</v>
      </c>
      <c r="N68" s="46">
        <v>0.13954152344871021</v>
      </c>
      <c r="O68" s="46">
        <v>0.12255728487101479</v>
      </c>
      <c r="P68" s="21">
        <v>36338</v>
      </c>
      <c r="Q68" s="22">
        <v>10.5</v>
      </c>
      <c r="R68" s="23">
        <v>0.95</v>
      </c>
      <c r="S68" s="2">
        <v>0.26133119612068972</v>
      </c>
      <c r="T68" s="2">
        <v>0.23066999953128395</v>
      </c>
      <c r="U68" s="2">
        <v>3.9999999105930328E-2</v>
      </c>
      <c r="V68" s="2">
        <v>0.5</v>
      </c>
      <c r="W68" s="2">
        <v>0</v>
      </c>
      <c r="X68" s="2">
        <v>3.9999999105930328E-2</v>
      </c>
      <c r="Y68" s="2">
        <v>0.20691666666666667</v>
      </c>
      <c r="Z68" s="2">
        <v>0.26542799994125965</v>
      </c>
      <c r="AA68" s="2">
        <v>0.73265440375433333</v>
      </c>
      <c r="AB68" s="2">
        <v>0.28000000000000003</v>
      </c>
      <c r="AC68" s="2">
        <v>0.233199999704957</v>
      </c>
      <c r="AD68" s="2">
        <v>0</v>
      </c>
      <c r="AE68" s="2">
        <v>6.7499999999999991E-2</v>
      </c>
      <c r="AF68" s="2">
        <v>0.28471999999999997</v>
      </c>
      <c r="AG68" s="2">
        <v>0.16230009612888208</v>
      </c>
      <c r="AH68" s="2">
        <v>9.5454546000000001E-2</v>
      </c>
      <c r="AI68" s="2">
        <v>0</v>
      </c>
      <c r="AJ68" s="2">
        <v>2.344620197984371E-3</v>
      </c>
      <c r="AK68" s="2">
        <v>6.4755094715215372E-2</v>
      </c>
      <c r="AL68" s="2">
        <v>5.6247942458081603E-2</v>
      </c>
      <c r="AM68" s="2">
        <v>0</v>
      </c>
      <c r="AN68" s="2">
        <v>0.61</v>
      </c>
      <c r="AO68" s="2">
        <v>3.0105800384207355E-2</v>
      </c>
      <c r="AP68" s="2">
        <v>0.13999999687075615</v>
      </c>
      <c r="AQ68" s="16">
        <v>0.1793178483619241</v>
      </c>
      <c r="AR68" s="2">
        <v>0.89599999999999991</v>
      </c>
      <c r="AS68" s="2">
        <v>0.6</v>
      </c>
      <c r="AT68" s="2">
        <v>0.58299999999999996</v>
      </c>
      <c r="AU68" s="2">
        <v>0.41399999999999998</v>
      </c>
      <c r="AV68" s="2">
        <v>0.85</v>
      </c>
      <c r="AW68" s="2">
        <v>0.79900000000000004</v>
      </c>
      <c r="AX68" s="2">
        <v>0.875</v>
      </c>
      <c r="AY68" s="2">
        <v>0.66927654153289873</v>
      </c>
      <c r="AZ68" s="2">
        <v>0.77467835093140502</v>
      </c>
      <c r="BA68" s="2">
        <v>0.83737246277359978</v>
      </c>
      <c r="BB68" s="2">
        <v>1</v>
      </c>
      <c r="BC68" s="2">
        <v>0.49863282963020611</v>
      </c>
      <c r="BD68" s="2">
        <v>0.82354599999044997</v>
      </c>
      <c r="BE68" s="2">
        <v>0.39899999999999997</v>
      </c>
    </row>
    <row r="69" spans="1:57">
      <c r="A69" s="1" t="s">
        <v>112</v>
      </c>
      <c r="B69" s="1" t="s">
        <v>256</v>
      </c>
      <c r="C69" s="2">
        <v>0.52478506085023446</v>
      </c>
      <c r="D69" s="2">
        <v>0.21939999999999993</v>
      </c>
      <c r="E69" s="2">
        <v>0.77778211304178213</v>
      </c>
      <c r="F69" s="2">
        <v>0.48125418366157513</v>
      </c>
      <c r="G69" s="2">
        <v>0.36569301271544619</v>
      </c>
      <c r="H69" s="11">
        <v>0.47378287405380759</v>
      </c>
      <c r="I69" s="2">
        <v>0.30744771310656438</v>
      </c>
      <c r="J69" s="2">
        <v>0.12347003041144385</v>
      </c>
      <c r="K69" s="2">
        <v>0.27500000000000002</v>
      </c>
      <c r="L69" s="2">
        <v>0.57285714285714284</v>
      </c>
      <c r="M69" s="84">
        <v>0.31969372159378773</v>
      </c>
      <c r="N69" s="46">
        <v>0.4285810394865634</v>
      </c>
      <c r="O69" s="46">
        <v>0.42223133952490033</v>
      </c>
      <c r="P69" s="21">
        <v>1552</v>
      </c>
      <c r="Q69" s="22">
        <v>7.35</v>
      </c>
      <c r="R69" s="23">
        <v>0.53</v>
      </c>
      <c r="S69" s="2">
        <v>0.81698090211132424</v>
      </c>
      <c r="T69" s="2">
        <v>1.8460000000000001E-2</v>
      </c>
      <c r="U69" s="2">
        <v>0.21279999926686288</v>
      </c>
      <c r="V69" s="2">
        <v>0.30000000000000004</v>
      </c>
      <c r="W69" s="2">
        <v>0.15066666666666667</v>
      </c>
      <c r="X69" s="2">
        <v>0.87519999988377095</v>
      </c>
      <c r="Y69" s="2">
        <v>0.36075000000000002</v>
      </c>
      <c r="Z69" s="2">
        <v>0.49732399988994003</v>
      </c>
      <c r="AA69" s="2">
        <v>0.98927878787883339</v>
      </c>
      <c r="AB69" s="2">
        <v>0.14000000000000001</v>
      </c>
      <c r="AC69" s="2">
        <v>0.34979999955743551</v>
      </c>
      <c r="AD69" s="2">
        <v>0.34559999942779546</v>
      </c>
      <c r="AE69" s="2">
        <v>0.20749999999999999</v>
      </c>
      <c r="AF69" s="2">
        <v>0.95120000000000005</v>
      </c>
      <c r="AG69" s="2">
        <v>0.61295453557297574</v>
      </c>
      <c r="AH69" s="2">
        <v>0.86241134799999997</v>
      </c>
      <c r="AI69" s="2">
        <v>0.16956295086047496</v>
      </c>
      <c r="AJ69" s="2">
        <v>0.39254123160253923</v>
      </c>
      <c r="AK69" s="2">
        <v>9.535094905076584E-3</v>
      </c>
      <c r="AL69" s="2">
        <v>3.67696197318437E-2</v>
      </c>
      <c r="AM69" s="2">
        <v>0.45999999999999996</v>
      </c>
      <c r="AN69" s="2">
        <v>0.81</v>
      </c>
      <c r="AO69" s="2">
        <v>3.2961237584600511E-2</v>
      </c>
      <c r="AP69" s="2">
        <v>0.86562736194628198</v>
      </c>
      <c r="AQ69" s="16">
        <v>0.43616348895360096</v>
      </c>
      <c r="AR69" s="2">
        <v>0.56799999999999995</v>
      </c>
      <c r="AS69" s="2">
        <v>0.6</v>
      </c>
      <c r="AT69" s="2">
        <v>0.83499999999999996</v>
      </c>
      <c r="AU69" s="2">
        <v>0.58899999999999997</v>
      </c>
      <c r="AV69" s="2">
        <v>0.65</v>
      </c>
      <c r="AW69" s="2">
        <v>0.65900000000000003</v>
      </c>
      <c r="AX69" s="2">
        <v>0.65300000000000002</v>
      </c>
      <c r="AY69" s="2">
        <v>0.53213295526975701</v>
      </c>
      <c r="AZ69" s="2">
        <v>0.59806255458008351</v>
      </c>
      <c r="BA69" s="2">
        <v>0.51241236018268632</v>
      </c>
      <c r="BB69" s="2">
        <v>0.69721968491901598</v>
      </c>
      <c r="BC69" s="2">
        <v>0.12204522002755479</v>
      </c>
      <c r="BD69" s="2">
        <v>0.47903648724536946</v>
      </c>
      <c r="BE69" s="2">
        <v>0.57399999999999995</v>
      </c>
    </row>
    <row r="70" spans="1:57">
      <c r="A70" s="1" t="s">
        <v>83</v>
      </c>
      <c r="B70" s="1" t="s">
        <v>257</v>
      </c>
      <c r="C70" s="2">
        <v>0.58092510047767765</v>
      </c>
      <c r="D70" s="2">
        <v>4.2399999999999993E-2</v>
      </c>
      <c r="E70" s="2">
        <v>5.3567200228415497E-2</v>
      </c>
      <c r="F70" s="2">
        <v>0.22297573813563951</v>
      </c>
      <c r="G70" s="2">
        <v>0</v>
      </c>
      <c r="H70" s="11">
        <v>0.17997360776834653</v>
      </c>
      <c r="I70" s="2">
        <v>0.508030387784694</v>
      </c>
      <c r="J70" s="2">
        <v>0.52667255687981873</v>
      </c>
      <c r="K70" s="2">
        <v>0.05</v>
      </c>
      <c r="L70" s="2">
        <v>0</v>
      </c>
      <c r="M70" s="84">
        <v>0.27117573616612817</v>
      </c>
      <c r="N70" s="46">
        <v>0.19208848852392316</v>
      </c>
      <c r="O70" s="46">
        <v>0.19983923357819397</v>
      </c>
      <c r="P70" s="21">
        <v>29617</v>
      </c>
      <c r="Q70" s="22">
        <v>10.3</v>
      </c>
      <c r="R70" s="23">
        <v>0.94</v>
      </c>
      <c r="S70" s="2">
        <v>1</v>
      </c>
      <c r="T70" s="2">
        <v>0.14013999971523883</v>
      </c>
      <c r="U70" s="2">
        <v>3.9999999105930328E-2</v>
      </c>
      <c r="V70" s="2">
        <v>0.44999999999999996</v>
      </c>
      <c r="W70" s="2">
        <v>0</v>
      </c>
      <c r="X70" s="2">
        <v>5.9199999123811686E-2</v>
      </c>
      <c r="Y70" s="2">
        <v>0.27483333333333337</v>
      </c>
      <c r="Z70" s="2">
        <v>0.39187999991327521</v>
      </c>
      <c r="AA70" s="2">
        <v>0.48669736662625029</v>
      </c>
      <c r="AB70" s="2">
        <v>0.12</v>
      </c>
      <c r="AC70" s="2">
        <v>0.39219999950379131</v>
      </c>
      <c r="AD70" s="2">
        <v>0</v>
      </c>
      <c r="AE70" s="2">
        <v>6.7499999999999991E-2</v>
      </c>
      <c r="AF70" s="2">
        <v>0.37015999999999993</v>
      </c>
      <c r="AG70" s="2">
        <v>0.16470712052136693</v>
      </c>
      <c r="AH70" s="2">
        <v>0.11312217199999999</v>
      </c>
      <c r="AI70" s="2">
        <v>0</v>
      </c>
      <c r="AJ70" s="2">
        <v>8.1728009929739863E-4</v>
      </c>
      <c r="AK70" s="2">
        <v>5.7487527822710896E-2</v>
      </c>
      <c r="AL70" s="2">
        <v>8.6387275857641999E-2</v>
      </c>
      <c r="AM70" s="2">
        <v>0</v>
      </c>
      <c r="AN70" s="2">
        <v>0.69</v>
      </c>
      <c r="AO70" s="2">
        <v>0.15128006206361522</v>
      </c>
      <c r="AP70" s="2">
        <v>0.26559997149622006</v>
      </c>
      <c r="AQ70" s="16">
        <v>0.2217505044659368</v>
      </c>
      <c r="AR70" s="2">
        <v>0.77400000000000002</v>
      </c>
      <c r="AS70" s="2">
        <v>0.6</v>
      </c>
      <c r="AT70" s="2">
        <v>0.65900000000000003</v>
      </c>
      <c r="AU70" s="2">
        <v>0.41899999999999998</v>
      </c>
      <c r="AV70" s="2">
        <v>0.6</v>
      </c>
      <c r="AW70" s="2">
        <v>0.77599999999999991</v>
      </c>
      <c r="AX70" s="2">
        <v>0.82499999999999996</v>
      </c>
      <c r="AY70" s="2">
        <v>0.48717944478452402</v>
      </c>
      <c r="AZ70" s="2">
        <v>0.67456238521244072</v>
      </c>
      <c r="BA70" s="2">
        <v>0.52348030343911955</v>
      </c>
      <c r="BB70" s="2">
        <v>1</v>
      </c>
      <c r="BC70" s="2">
        <v>1</v>
      </c>
      <c r="BD70" s="2">
        <v>0.62636755071639461</v>
      </c>
      <c r="BE70" s="2">
        <v>0.55100000000000005</v>
      </c>
    </row>
    <row r="71" spans="1:57">
      <c r="A71" s="1" t="s">
        <v>155</v>
      </c>
      <c r="B71" s="1" t="s">
        <v>258</v>
      </c>
      <c r="C71" s="2" t="e">
        <v>#N/A</v>
      </c>
      <c r="D71" s="2">
        <v>0.88819999999999999</v>
      </c>
      <c r="E71" s="2">
        <v>7.4166350455883337E-2</v>
      </c>
      <c r="F71" s="2">
        <v>0.15634336747177288</v>
      </c>
      <c r="G71" s="2">
        <v>0.70299460033635008</v>
      </c>
      <c r="H71" s="11">
        <v>0.45542607956600156</v>
      </c>
      <c r="I71" s="2">
        <v>0.3454977025623302</v>
      </c>
      <c r="J71" s="2">
        <v>1</v>
      </c>
      <c r="K71" s="2">
        <v>0</v>
      </c>
      <c r="L71" s="2">
        <v>8.5714285714285715E-2</v>
      </c>
      <c r="M71" s="84">
        <v>0.35780299706915397</v>
      </c>
      <c r="N71" s="46">
        <v>0.30956420874186574</v>
      </c>
      <c r="O71" s="46">
        <v>0.33751161805792129</v>
      </c>
      <c r="P71" s="21">
        <v>8362</v>
      </c>
      <c r="Q71" s="22">
        <v>9.0299999999999994</v>
      </c>
      <c r="R71" s="23">
        <v>0.81</v>
      </c>
      <c r="S71" s="2">
        <v>0.66502776048152767</v>
      </c>
      <c r="T71" s="2">
        <v>0.5</v>
      </c>
      <c r="U71" s="2">
        <v>0.16399999745190141</v>
      </c>
      <c r="V71" s="2">
        <v>0.15000000000000002</v>
      </c>
      <c r="W71" s="2">
        <v>3.3333333333333335E-3</v>
      </c>
      <c r="X71" s="2">
        <v>6.8799999132752365E-2</v>
      </c>
      <c r="Y71" s="2">
        <v>0.71158333333333335</v>
      </c>
      <c r="Z71" s="2">
        <v>0.69770799984559417</v>
      </c>
      <c r="AA71" s="2">
        <v>1</v>
      </c>
      <c r="AB71" s="2">
        <v>0.08</v>
      </c>
      <c r="AC71" s="2">
        <v>1</v>
      </c>
      <c r="AD71" s="2">
        <v>0.3</v>
      </c>
      <c r="AE71" s="2">
        <v>0.3175</v>
      </c>
      <c r="AF71" s="2">
        <v>0.76275199999999999</v>
      </c>
      <c r="AG71" s="2">
        <v>0.25382181328728937</v>
      </c>
      <c r="AH71" s="2">
        <v>0.24259520400000001</v>
      </c>
      <c r="AI71" s="2">
        <v>8.0606361065161461E-3</v>
      </c>
      <c r="AJ71" s="2">
        <v>0.5</v>
      </c>
      <c r="AK71" s="2">
        <v>6.468703783605248E-2</v>
      </c>
      <c r="AL71" s="2">
        <v>6.4317113546627294E-2</v>
      </c>
      <c r="AM71" s="2">
        <v>5.0000000000000044E-3</v>
      </c>
      <c r="AN71" s="2">
        <v>0</v>
      </c>
      <c r="AO71" s="2">
        <v>0</v>
      </c>
      <c r="AP71" s="2">
        <v>0.50012800509138811</v>
      </c>
      <c r="AQ71" s="16">
        <v>0.3358047597269298</v>
      </c>
      <c r="AR71" s="2" t="e">
        <v>#N/A</v>
      </c>
      <c r="AS71" s="2" t="e">
        <v>#N/A</v>
      </c>
      <c r="AT71" s="2" t="e">
        <v>#N/A</v>
      </c>
      <c r="AU71" s="2" t="e">
        <v>#N/A</v>
      </c>
      <c r="AV71" s="2" t="e">
        <v>#N/A</v>
      </c>
      <c r="AW71" s="2" t="e">
        <v>#N/A</v>
      </c>
      <c r="AX71" s="2" t="e">
        <v>#N/A</v>
      </c>
      <c r="AY71" s="2">
        <v>0.59116705310728723</v>
      </c>
      <c r="AZ71" s="2">
        <v>0.67243378316271452</v>
      </c>
      <c r="BA71" s="2">
        <v>0.57225444392740765</v>
      </c>
      <c r="BB71" s="2">
        <v>0.67737900525252115</v>
      </c>
      <c r="BC71" s="2">
        <v>0.76421257142857146</v>
      </c>
      <c r="BD71" s="2">
        <v>0.52505146924549362</v>
      </c>
      <c r="BE71" s="2" t="e">
        <v>#N/A</v>
      </c>
    </row>
    <row r="72" spans="1:57">
      <c r="A72" s="1" t="s">
        <v>115</v>
      </c>
      <c r="B72" s="1" t="s">
        <v>259</v>
      </c>
      <c r="C72" s="2">
        <v>0.5240832614127553</v>
      </c>
      <c r="D72" s="2">
        <v>0.19879999999999998</v>
      </c>
      <c r="E72" s="2">
        <v>1</v>
      </c>
      <c r="F72" s="2">
        <v>0.32251100252536963</v>
      </c>
      <c r="G72" s="2">
        <v>0.41948944611195671</v>
      </c>
      <c r="H72" s="11">
        <v>0.49297674201001634</v>
      </c>
      <c r="I72" s="2">
        <v>0.18670516695807224</v>
      </c>
      <c r="J72" s="2">
        <v>7.8587759564363174E-2</v>
      </c>
      <c r="K72" s="2">
        <v>0.4</v>
      </c>
      <c r="L72" s="2">
        <v>0.55285714285714294</v>
      </c>
      <c r="M72" s="84">
        <v>0.30453751734489459</v>
      </c>
      <c r="N72" s="46">
        <v>0.32401015442681486</v>
      </c>
      <c r="O72" s="46">
        <v>0.3472508328991884</v>
      </c>
      <c r="P72" s="21">
        <v>4720</v>
      </c>
      <c r="Q72" s="22">
        <v>8.4600000000000009</v>
      </c>
      <c r="R72" s="23">
        <v>0.7</v>
      </c>
      <c r="S72" s="2">
        <v>0.82895636317907451</v>
      </c>
      <c r="T72" s="2">
        <v>2.6349999999999998E-2</v>
      </c>
      <c r="U72" s="2">
        <v>9.7599999159574513E-2</v>
      </c>
      <c r="V72" s="2">
        <v>0.30000000000000004</v>
      </c>
      <c r="W72" s="2">
        <v>8.4000000000000005E-2</v>
      </c>
      <c r="X72" s="2">
        <v>0.22239999927580356</v>
      </c>
      <c r="Y72" s="2">
        <v>0.49525000000000002</v>
      </c>
      <c r="Z72" s="2">
        <v>0.51469599988609549</v>
      </c>
      <c r="AA72" s="2">
        <v>0.84666037735849997</v>
      </c>
      <c r="AB72" s="2">
        <v>0.02</v>
      </c>
      <c r="AC72" s="2">
        <v>0.59359999924898155</v>
      </c>
      <c r="AD72" s="2">
        <v>0.42919999867677694</v>
      </c>
      <c r="AE72" s="2">
        <v>0.22499999999999998</v>
      </c>
      <c r="AF72" s="2">
        <v>0.76600000000000001</v>
      </c>
      <c r="AG72" s="2">
        <v>0.34956753044962885</v>
      </c>
      <c r="AH72" s="2">
        <v>0.54479418800000001</v>
      </c>
      <c r="AI72" s="2">
        <v>2.3368542159428438E-2</v>
      </c>
      <c r="AJ72" s="2">
        <v>0.12619722533151048</v>
      </c>
      <c r="AK72" s="2">
        <v>2.0877355243907183E-2</v>
      </c>
      <c r="AL72" s="2">
        <v>1.3658502977646401E-2</v>
      </c>
      <c r="AM72" s="2">
        <v>0.19499999999999995</v>
      </c>
      <c r="AN72" s="2">
        <v>0.62</v>
      </c>
      <c r="AO72" s="2">
        <v>8.3986562150055982E-2</v>
      </c>
      <c r="AP72" s="2">
        <v>0.71709999861195683</v>
      </c>
      <c r="AQ72" s="16">
        <v>0.33934427673787254</v>
      </c>
      <c r="AR72" s="2">
        <v>0.52500000000000002</v>
      </c>
      <c r="AS72" s="2">
        <v>0.5</v>
      </c>
      <c r="AT72" s="2">
        <v>0.79299999999999993</v>
      </c>
      <c r="AU72" s="2">
        <v>0.93900000000000006</v>
      </c>
      <c r="AV72" s="2">
        <v>0.6</v>
      </c>
      <c r="AW72" s="2">
        <v>0.70200000000000007</v>
      </c>
      <c r="AX72" s="2">
        <v>0.84</v>
      </c>
      <c r="AY72" s="2">
        <v>0.35450696159341105</v>
      </c>
      <c r="AZ72" s="2">
        <v>0.43511414751701177</v>
      </c>
      <c r="BA72" s="2">
        <v>0.38104091287506542</v>
      </c>
      <c r="BB72" s="2">
        <v>1</v>
      </c>
      <c r="BC72" s="2">
        <v>0.23786109176792947</v>
      </c>
      <c r="BD72" s="2">
        <v>0.27860244832864223</v>
      </c>
      <c r="BE72" s="2">
        <v>0.54299999999999993</v>
      </c>
    </row>
    <row r="73" spans="1:57">
      <c r="A73" s="1" t="s">
        <v>147</v>
      </c>
      <c r="B73" s="1" t="s">
        <v>260</v>
      </c>
      <c r="C73" s="2">
        <v>0.36874853604251645</v>
      </c>
      <c r="D73" s="2">
        <v>0.60060000000000002</v>
      </c>
      <c r="E73" s="2">
        <v>0.75889001947835621</v>
      </c>
      <c r="F73" s="2">
        <v>0.30259994640939875</v>
      </c>
      <c r="G73" s="2">
        <v>0.60174275954192391</v>
      </c>
      <c r="H73" s="11">
        <v>0.52651625229443899</v>
      </c>
      <c r="I73" s="2">
        <v>0.30575361683841396</v>
      </c>
      <c r="J73" s="2">
        <v>0.52564354269187785</v>
      </c>
      <c r="K73" s="2">
        <v>0.57499999999999996</v>
      </c>
      <c r="L73" s="2">
        <v>0.65285714285714291</v>
      </c>
      <c r="M73" s="84">
        <v>0.5148135755968587</v>
      </c>
      <c r="N73" s="46">
        <v>0.49187351166469018</v>
      </c>
      <c r="O73" s="46">
        <v>0.49990302557006649</v>
      </c>
      <c r="P73" s="21">
        <v>1048</v>
      </c>
      <c r="Q73" s="22">
        <v>6.95</v>
      </c>
      <c r="R73" s="23">
        <v>0.44</v>
      </c>
      <c r="S73" s="2">
        <v>1</v>
      </c>
      <c r="T73" s="2">
        <v>7.1679999999999999E-3</v>
      </c>
      <c r="U73" s="2">
        <v>0.31839999936521057</v>
      </c>
      <c r="V73" s="2">
        <v>0.30000000000000004</v>
      </c>
      <c r="W73" s="2">
        <v>0.32</v>
      </c>
      <c r="X73" s="2">
        <v>0.81759999983012677</v>
      </c>
      <c r="Y73" s="2">
        <v>0.62008333333333332</v>
      </c>
      <c r="Z73" s="2">
        <v>0.65730799985453492</v>
      </c>
      <c r="AA73" s="2">
        <v>0.9974340277778333</v>
      </c>
      <c r="AB73" s="2">
        <v>0.14000000000000001</v>
      </c>
      <c r="AC73" s="2">
        <v>0.20139999974519016</v>
      </c>
      <c r="AD73" s="2">
        <v>0.75919999934732918</v>
      </c>
      <c r="AE73" s="2">
        <v>0.20749999999999999</v>
      </c>
      <c r="AF73" s="2">
        <v>0.99039999999999995</v>
      </c>
      <c r="AG73" s="2">
        <v>0.58983211603924679</v>
      </c>
      <c r="AH73" s="2">
        <v>0.83774834399999998</v>
      </c>
      <c r="AI73" s="2">
        <v>0.15750855632214264</v>
      </c>
      <c r="AJ73" s="2">
        <v>0.98262141685525772</v>
      </c>
      <c r="AK73" s="2">
        <v>1.7244564853889397E-2</v>
      </c>
      <c r="AL73" s="2">
        <v>7.9528671305662296E-2</v>
      </c>
      <c r="AM73" s="2">
        <v>0.79800000000000004</v>
      </c>
      <c r="AN73" s="2">
        <v>0.36</v>
      </c>
      <c r="AO73" s="2">
        <v>1.2209018394921048E-2</v>
      </c>
      <c r="AP73" s="2">
        <v>0.91580600002044699</v>
      </c>
      <c r="AQ73" s="16">
        <v>0.50362466862688016</v>
      </c>
      <c r="AR73" s="2">
        <v>0.43700000000000006</v>
      </c>
      <c r="AS73" s="2">
        <v>0.4</v>
      </c>
      <c r="AT73" s="2">
        <v>0.69900000000000007</v>
      </c>
      <c r="AU73" s="2">
        <v>0.93099999999999994</v>
      </c>
      <c r="AV73" s="2">
        <v>0.4</v>
      </c>
      <c r="AW73" s="2">
        <v>0.57399999999999995</v>
      </c>
      <c r="AX73" s="2">
        <v>0.6</v>
      </c>
      <c r="AY73" s="2">
        <v>0.12431400526022714</v>
      </c>
      <c r="AZ73" s="2">
        <v>0.21764055054120721</v>
      </c>
      <c r="BA73" s="2">
        <v>0.25699315102945414</v>
      </c>
      <c r="BB73" s="2">
        <v>0.61256024113805407</v>
      </c>
      <c r="BC73" s="2">
        <v>0.12642020583202371</v>
      </c>
      <c r="BD73" s="2">
        <v>0.1814902588613661</v>
      </c>
      <c r="BE73" s="2">
        <v>0.78</v>
      </c>
    </row>
    <row r="74" spans="1:57">
      <c r="A74" s="1" t="s">
        <v>156</v>
      </c>
      <c r="B74" s="1" t="s">
        <v>261</v>
      </c>
      <c r="C74" s="2">
        <v>0.26336032370038542</v>
      </c>
      <c r="D74" s="2">
        <v>0.10120000000000007</v>
      </c>
      <c r="E74" s="2">
        <v>1</v>
      </c>
      <c r="F74" s="2">
        <v>0.18714896026882097</v>
      </c>
      <c r="G74" s="2">
        <v>1</v>
      </c>
      <c r="H74" s="11">
        <v>0.51034185679384136</v>
      </c>
      <c r="I74" s="2">
        <v>6.4369911340498256E-2</v>
      </c>
      <c r="J74" s="2">
        <v>0.82820429149527297</v>
      </c>
      <c r="K74" s="2">
        <v>1</v>
      </c>
      <c r="L74" s="2">
        <v>1</v>
      </c>
      <c r="M74" s="84">
        <v>0.72314355070894276</v>
      </c>
      <c r="N74" s="46">
        <v>0.47992980972441263</v>
      </c>
      <c r="O74" s="46">
        <v>0.51401814909669341</v>
      </c>
      <c r="P74" s="21">
        <v>1071</v>
      </c>
      <c r="Q74" s="22">
        <v>6.98</v>
      </c>
      <c r="R74" s="23">
        <v>0.4</v>
      </c>
      <c r="S74" s="2">
        <v>7.2205805439330542E-2</v>
      </c>
      <c r="T74" s="2">
        <v>6.7739999747648836E-3</v>
      </c>
      <c r="U74" s="2">
        <v>0.41439999945461747</v>
      </c>
      <c r="V74" s="2">
        <v>0.30000000000000004</v>
      </c>
      <c r="W74" s="2">
        <v>0.58199999999999996</v>
      </c>
      <c r="X74" s="2">
        <v>0.79839999981224541</v>
      </c>
      <c r="Y74" s="2">
        <v>0.62008333333333332</v>
      </c>
      <c r="Z74" s="2">
        <v>0.70780799984335896</v>
      </c>
      <c r="AA74" s="2">
        <v>1</v>
      </c>
      <c r="AB74" s="2">
        <v>0.06</v>
      </c>
      <c r="AC74" s="2">
        <v>0.20139999974519016</v>
      </c>
      <c r="AD74" s="2">
        <v>0.43199999928474425</v>
      </c>
      <c r="AE74" s="2">
        <v>0.20749999999999999</v>
      </c>
      <c r="AF74" s="2">
        <v>0.97440000000000004</v>
      </c>
      <c r="AG74" s="2">
        <v>0.78178996987655847</v>
      </c>
      <c r="AH74" s="2">
        <v>0.94984646800000005</v>
      </c>
      <c r="AI74" s="2">
        <v>0.42387523036619457</v>
      </c>
      <c r="AJ74" s="2">
        <v>1</v>
      </c>
      <c r="AK74" s="2">
        <v>0.19435727150643195</v>
      </c>
      <c r="AL74" s="2">
        <v>0.26108433765315697</v>
      </c>
      <c r="AM74" s="2">
        <v>0.88500000000000001</v>
      </c>
      <c r="AN74" s="2">
        <v>0</v>
      </c>
      <c r="AO74" s="2">
        <v>5.3342816500711238E-2</v>
      </c>
      <c r="AP74" s="2">
        <v>0.76530399454878772</v>
      </c>
      <c r="AQ74" s="16">
        <v>0.48714880105580938</v>
      </c>
      <c r="AR74" s="2">
        <v>0.23399999999999999</v>
      </c>
      <c r="AS74" s="2">
        <v>0.3</v>
      </c>
      <c r="AT74" s="2">
        <v>0.8859999999999999</v>
      </c>
      <c r="AU74" s="2">
        <v>0.47299999999999998</v>
      </c>
      <c r="AV74" s="2">
        <v>0.3</v>
      </c>
      <c r="AW74" s="2">
        <v>0.67</v>
      </c>
      <c r="AX74" s="2">
        <v>0.58200000000000007</v>
      </c>
      <c r="AY74" s="2">
        <v>0.40328546135063947</v>
      </c>
      <c r="AZ74" s="2">
        <v>0.34997200960820107</v>
      </c>
      <c r="BA74" s="2">
        <v>0.27741710949930737</v>
      </c>
      <c r="BB74" s="2">
        <v>0.38266709967876</v>
      </c>
      <c r="BC74" s="2">
        <v>3.7465948644248501E-2</v>
      </c>
      <c r="BD74" s="2">
        <v>0.22706740874154865</v>
      </c>
      <c r="BE74" s="2">
        <v>0.52500000000000002</v>
      </c>
    </row>
    <row r="75" spans="1:57">
      <c r="A75" s="1" t="s">
        <v>162</v>
      </c>
      <c r="B75" s="1" t="s">
        <v>262</v>
      </c>
      <c r="C75" s="2" t="e">
        <v>#N/A</v>
      </c>
      <c r="D75" s="2">
        <v>0.70649999999999991</v>
      </c>
      <c r="E75" s="2">
        <v>1</v>
      </c>
      <c r="F75" s="2">
        <v>0.10559097661691065</v>
      </c>
      <c r="G75" s="2">
        <v>0.58149239138303876</v>
      </c>
      <c r="H75" s="11">
        <v>0.5983958419999873</v>
      </c>
      <c r="I75" s="2">
        <v>0.53666237349089774</v>
      </c>
      <c r="J75" s="2">
        <v>0.73540415409311122</v>
      </c>
      <c r="K75" s="2">
        <v>0.125</v>
      </c>
      <c r="L75" s="2">
        <v>0.47428571428571431</v>
      </c>
      <c r="M75" s="84">
        <v>0.46783806046743082</v>
      </c>
      <c r="N75" s="46">
        <v>0.35254313721396296</v>
      </c>
      <c r="O75" s="46">
        <v>0.40376868924256881</v>
      </c>
      <c r="P75" s="21">
        <v>3240</v>
      </c>
      <c r="Q75" s="22">
        <v>8.08</v>
      </c>
      <c r="R75" s="23">
        <v>0.73</v>
      </c>
      <c r="S75" s="2">
        <v>0.6629667816620668</v>
      </c>
      <c r="T75" s="2">
        <v>6.8050000000000003E-3</v>
      </c>
      <c r="U75" s="2">
        <v>9.7599999159574513E-2</v>
      </c>
      <c r="V75" s="2">
        <v>0.32499999999999996</v>
      </c>
      <c r="W75" s="2">
        <v>8.7999999999999995E-2</v>
      </c>
      <c r="X75" s="2">
        <v>0.22239999927580356</v>
      </c>
      <c r="Y75" s="2">
        <v>0.52233333333333332</v>
      </c>
      <c r="Z75" s="2">
        <v>0.72275599984005101</v>
      </c>
      <c r="AA75" s="2">
        <v>0.90534126984133334</v>
      </c>
      <c r="AB75" s="2">
        <v>0.3</v>
      </c>
      <c r="AC75" s="2">
        <v>0.37099999953061341</v>
      </c>
      <c r="AD75" s="2">
        <v>0.24839999958872791</v>
      </c>
      <c r="AE75" s="2">
        <v>0.3175</v>
      </c>
      <c r="AF75" s="2">
        <v>0.87</v>
      </c>
      <c r="AG75" s="2">
        <v>0.41158259392201924</v>
      </c>
      <c r="AH75" s="2">
        <v>0.39390862999999998</v>
      </c>
      <c r="AI75" s="2">
        <v>0.31148003931706808</v>
      </c>
      <c r="AJ75" s="2">
        <v>0.1689349241947696</v>
      </c>
      <c r="AK75" s="2">
        <v>3.7247819623189168E-2</v>
      </c>
      <c r="AL75" s="2">
        <v>0.54630976702912604</v>
      </c>
      <c r="AM75" s="2">
        <v>0.22499999999999998</v>
      </c>
      <c r="AN75" s="2">
        <v>0</v>
      </c>
      <c r="AO75" s="2">
        <v>7.6200152400304798E-3</v>
      </c>
      <c r="AP75" s="2">
        <v>0.93931999892327478</v>
      </c>
      <c r="AQ75" s="16">
        <v>0.36256275710337427</v>
      </c>
      <c r="AR75" s="2">
        <v>0.63400000000000001</v>
      </c>
      <c r="AS75" s="2">
        <v>0.4</v>
      </c>
      <c r="AT75" s="2">
        <v>0.55899999999999994</v>
      </c>
      <c r="AU75" s="2">
        <v>0.26200000000000001</v>
      </c>
      <c r="AV75" s="2">
        <v>0.3</v>
      </c>
      <c r="AW75" s="2">
        <v>0.71</v>
      </c>
      <c r="AX75" s="2">
        <v>0.71299999999999997</v>
      </c>
      <c r="AY75" s="2">
        <v>0.39585881695370573</v>
      </c>
      <c r="AZ75" s="2">
        <v>0.52176444250398979</v>
      </c>
      <c r="BA75" s="2">
        <v>0.39263022136905162</v>
      </c>
      <c r="BB75" s="2">
        <v>0.36836276036257176</v>
      </c>
      <c r="BC75" s="2">
        <v>0.1586448128929609</v>
      </c>
      <c r="BD75" s="2">
        <v>0.38242491676214341</v>
      </c>
      <c r="BE75" s="2">
        <v>0.65200000000000002</v>
      </c>
    </row>
    <row r="76" spans="1:57">
      <c r="A76" s="1" t="s">
        <v>121</v>
      </c>
      <c r="B76" s="1" t="s">
        <v>263</v>
      </c>
      <c r="C76" s="2">
        <v>0.51982504565776322</v>
      </c>
      <c r="D76" s="2">
        <v>0.9829</v>
      </c>
      <c r="E76" s="2">
        <v>0.33250892433788337</v>
      </c>
      <c r="F76" s="2">
        <v>0.34555688626226644</v>
      </c>
      <c r="G76" s="2">
        <v>0.6489936185793227</v>
      </c>
      <c r="H76" s="11">
        <v>0.56595689496744717</v>
      </c>
      <c r="I76" s="2">
        <v>1</v>
      </c>
      <c r="J76" s="2">
        <v>0.47491545372387206</v>
      </c>
      <c r="K76" s="2">
        <v>0.35</v>
      </c>
      <c r="L76" s="2">
        <v>1</v>
      </c>
      <c r="M76" s="84">
        <v>0.70622886343096802</v>
      </c>
      <c r="N76" s="46">
        <v>0.4663835113290109</v>
      </c>
      <c r="O76" s="46">
        <v>0.51054255152901129</v>
      </c>
      <c r="P76" s="21">
        <v>1151</v>
      </c>
      <c r="Q76" s="22">
        <v>7.05</v>
      </c>
      <c r="R76" s="23">
        <v>0.53</v>
      </c>
      <c r="S76" s="2">
        <v>0.16745359477124186</v>
      </c>
      <c r="T76" s="2">
        <v>8.5530000000000009E-2</v>
      </c>
      <c r="U76" s="2">
        <v>0.39519999943673612</v>
      </c>
      <c r="V76" s="2">
        <v>0.17500000000000004</v>
      </c>
      <c r="W76" s="2">
        <v>0.28533333333333333</v>
      </c>
      <c r="X76" s="2">
        <v>0.83679999984800812</v>
      </c>
      <c r="Y76" s="2">
        <v>0.71158333333333335</v>
      </c>
      <c r="Z76" s="2">
        <v>0.52297799988426275</v>
      </c>
      <c r="AA76" s="2">
        <v>1</v>
      </c>
      <c r="AB76" s="2">
        <v>0.08</v>
      </c>
      <c r="AC76" s="2">
        <v>0.58299999926239254</v>
      </c>
      <c r="AD76" s="2">
        <v>0.64799999892711635</v>
      </c>
      <c r="AE76" s="2">
        <v>0.22499999999999998</v>
      </c>
      <c r="AF76" s="2">
        <v>0.97560000000000002</v>
      </c>
      <c r="AG76" s="2">
        <v>0.5246785550029589</v>
      </c>
      <c r="AH76" s="2">
        <v>0.84234930399999997</v>
      </c>
      <c r="AI76" s="2">
        <v>0.37830666405227908</v>
      </c>
      <c r="AJ76" s="2">
        <v>0.27849223664058514</v>
      </c>
      <c r="AK76" s="2">
        <v>5.1016964782746872E-2</v>
      </c>
      <c r="AL76" s="2">
        <v>9.1850650691748303E-2</v>
      </c>
      <c r="AM76" s="2">
        <v>0.61499999999999999</v>
      </c>
      <c r="AN76" s="2">
        <v>0.55000000000000004</v>
      </c>
      <c r="AO76" s="2">
        <v>0.59869375907111755</v>
      </c>
      <c r="AP76" s="2">
        <v>0.80074000525433486</v>
      </c>
      <c r="AQ76" s="16">
        <v>0.47594193326217482</v>
      </c>
      <c r="AR76" s="2">
        <v>0.36</v>
      </c>
      <c r="AS76" s="2">
        <v>0.3</v>
      </c>
      <c r="AT76" s="2">
        <v>0.81499999999999995</v>
      </c>
      <c r="AU76" s="2">
        <v>0.91299999999999992</v>
      </c>
      <c r="AV76" s="2">
        <v>0.3</v>
      </c>
      <c r="AW76" s="2">
        <v>0.67099999999999993</v>
      </c>
      <c r="AX76" s="2">
        <v>0.79099999999999993</v>
      </c>
      <c r="AY76" s="2">
        <v>0.32693400904164893</v>
      </c>
      <c r="AZ76" s="2">
        <v>0.38162454701636711</v>
      </c>
      <c r="BA76" s="2">
        <v>0.27782128947157353</v>
      </c>
      <c r="BB76" s="2">
        <v>0.39997532059235852</v>
      </c>
      <c r="BC76" s="2" t="e">
        <v>#N/A</v>
      </c>
      <c r="BD76" s="2">
        <v>0.2351693929439615</v>
      </c>
      <c r="BE76" s="2">
        <v>0.69200000000000006</v>
      </c>
    </row>
    <row r="77" spans="1:57">
      <c r="A77" s="1" t="s">
        <v>119</v>
      </c>
      <c r="B77" s="1" t="s">
        <v>264</v>
      </c>
      <c r="C77" s="2">
        <v>0.42816672401344369</v>
      </c>
      <c r="D77" s="2">
        <v>0.17760000000000009</v>
      </c>
      <c r="E77" s="2">
        <v>1</v>
      </c>
      <c r="F77" s="2">
        <v>0.35407371471749643</v>
      </c>
      <c r="G77" s="2">
        <v>0.62199312770080917</v>
      </c>
      <c r="H77" s="11">
        <v>0.51636671328634987</v>
      </c>
      <c r="I77" s="2">
        <v>0.23661377833827832</v>
      </c>
      <c r="J77" s="2">
        <v>0.25307574596573151</v>
      </c>
      <c r="K77" s="2">
        <v>0.45</v>
      </c>
      <c r="L77" s="2">
        <v>0.49857142857142855</v>
      </c>
      <c r="M77" s="84">
        <v>0.35956523821885955</v>
      </c>
      <c r="N77" s="46">
        <v>0.31535302114222064</v>
      </c>
      <c r="O77" s="46">
        <v>0.35116869777940857</v>
      </c>
      <c r="P77" s="21">
        <v>3842</v>
      </c>
      <c r="Q77" s="22">
        <v>8.25</v>
      </c>
      <c r="R77" s="23">
        <v>0.73</v>
      </c>
      <c r="S77" s="2">
        <v>0.41525364349775784</v>
      </c>
      <c r="T77" s="2">
        <v>1.2450000000000001E-2</v>
      </c>
      <c r="U77" s="2">
        <v>0.17439999923110006</v>
      </c>
      <c r="V77" s="2">
        <v>0.27500000000000002</v>
      </c>
      <c r="W77" s="2">
        <v>7.0666666666666669E-2</v>
      </c>
      <c r="X77" s="2">
        <v>0.31839999936521057</v>
      </c>
      <c r="Y77" s="2">
        <v>0.49525000000000002</v>
      </c>
      <c r="Z77" s="2">
        <v>0.52176599988453087</v>
      </c>
      <c r="AA77" s="2">
        <v>0.82044859201050002</v>
      </c>
      <c r="AB77" s="2">
        <v>0.1</v>
      </c>
      <c r="AC77" s="2">
        <v>0.49819999936968085</v>
      </c>
      <c r="AD77" s="2">
        <v>0.15119999974966047</v>
      </c>
      <c r="AE77" s="2">
        <v>0.3175</v>
      </c>
      <c r="AF77" s="2">
        <v>0.90159999999999996</v>
      </c>
      <c r="AG77" s="2">
        <v>0.31383586212366821</v>
      </c>
      <c r="AH77" s="2">
        <v>0.32271762199999998</v>
      </c>
      <c r="AI77" s="2">
        <v>7.9590914155586182E-2</v>
      </c>
      <c r="AJ77" s="2">
        <v>0.10882521640644488</v>
      </c>
      <c r="AK77" s="2">
        <v>5.6285481636305333E-2</v>
      </c>
      <c r="AL77" s="2">
        <v>4.6211245771682702E-2</v>
      </c>
      <c r="AM77" s="2">
        <v>0.29700000000000004</v>
      </c>
      <c r="AN77" s="2">
        <v>0.71</v>
      </c>
      <c r="AO77" s="2">
        <v>0.14746626150683706</v>
      </c>
      <c r="AP77" s="2">
        <v>0.83272000229524401</v>
      </c>
      <c r="AQ77" s="16">
        <v>0.33278281273628652</v>
      </c>
      <c r="AR77" s="2">
        <v>0.63</v>
      </c>
      <c r="AS77" s="2">
        <v>0.6</v>
      </c>
      <c r="AT77" s="2">
        <v>0.84699999999999998</v>
      </c>
      <c r="AU77" s="2">
        <v>0.73499999999999999</v>
      </c>
      <c r="AV77" s="2">
        <v>0.6</v>
      </c>
      <c r="AW77" s="2">
        <v>0.70200000000000007</v>
      </c>
      <c r="AX77" s="2">
        <v>0.83700000000000008</v>
      </c>
      <c r="AY77" s="2">
        <v>0.44572870310939799</v>
      </c>
      <c r="AZ77" s="2">
        <v>0.40811688732661561</v>
      </c>
      <c r="BA77" s="2">
        <v>0.32341034680278202</v>
      </c>
      <c r="BB77" s="2">
        <v>1</v>
      </c>
      <c r="BC77" s="2">
        <v>0.2558165488096763</v>
      </c>
      <c r="BD77" s="2">
        <v>0.32740515016260213</v>
      </c>
      <c r="BE77" s="2">
        <v>0.316</v>
      </c>
    </row>
    <row r="78" spans="1:57">
      <c r="A78" s="1" t="s">
        <v>64</v>
      </c>
      <c r="B78" s="1" t="s">
        <v>265</v>
      </c>
      <c r="C78" s="2">
        <v>0.42784677285804085</v>
      </c>
      <c r="D78" s="2">
        <v>0.69879999999999998</v>
      </c>
      <c r="E78" s="2">
        <v>8.3035585306969389E-2</v>
      </c>
      <c r="F78" s="2">
        <v>0.11768929498571884</v>
      </c>
      <c r="G78" s="2">
        <v>9.8183749499547446E-4</v>
      </c>
      <c r="H78" s="11">
        <v>0.2656706981291449</v>
      </c>
      <c r="I78" s="2">
        <v>0</v>
      </c>
      <c r="J78" s="2">
        <v>0.21369868339873288</v>
      </c>
      <c r="K78" s="2">
        <v>0</v>
      </c>
      <c r="L78" s="2">
        <v>0</v>
      </c>
      <c r="M78" s="84">
        <v>5.342467084968322E-2</v>
      </c>
      <c r="N78" s="46">
        <v>0.19957429199089116</v>
      </c>
      <c r="O78" s="46">
        <v>0.19187379338866201</v>
      </c>
      <c r="P78" s="21">
        <v>20312</v>
      </c>
      <c r="Q78" s="22">
        <v>9.92</v>
      </c>
      <c r="R78" s="23">
        <v>0.88</v>
      </c>
      <c r="S78" s="2">
        <v>8.5789501231527093E-2</v>
      </c>
      <c r="T78" s="2">
        <v>5.9124999879859391E-2</v>
      </c>
      <c r="U78" s="2">
        <v>3.9999999105930328E-2</v>
      </c>
      <c r="V78" s="2">
        <v>0.625</v>
      </c>
      <c r="W78" s="2">
        <v>0</v>
      </c>
      <c r="X78" s="2">
        <v>3.9999999105930328E-2</v>
      </c>
      <c r="Y78" s="2">
        <v>0.23600000000000002</v>
      </c>
      <c r="Z78" s="2">
        <v>0.32420999992825089</v>
      </c>
      <c r="AA78" s="2">
        <v>0.82924602901577138</v>
      </c>
      <c r="AB78" s="2">
        <v>0.2</v>
      </c>
      <c r="AC78" s="2">
        <v>5.2999999932944776E-2</v>
      </c>
      <c r="AD78" s="2">
        <v>0</v>
      </c>
      <c r="AE78" s="2">
        <v>0.87499999999999989</v>
      </c>
      <c r="AF78" s="2">
        <v>0.49903999999999993</v>
      </c>
      <c r="AG78" s="2">
        <v>0.27902673038393289</v>
      </c>
      <c r="AH78" s="2">
        <v>4.4755244E-2</v>
      </c>
      <c r="AI78" s="2">
        <v>0</v>
      </c>
      <c r="AJ78" s="2">
        <v>4.7595160559083284E-3</v>
      </c>
      <c r="AK78" s="2">
        <v>0</v>
      </c>
      <c r="AL78" s="2">
        <v>0</v>
      </c>
      <c r="AM78" s="2">
        <v>0</v>
      </c>
      <c r="AN78" s="2">
        <v>0.56999999999999995</v>
      </c>
      <c r="AO78" s="2">
        <v>0.11717442249748912</v>
      </c>
      <c r="AP78" s="2">
        <v>0.63855999966338284</v>
      </c>
      <c r="AQ78" s="16">
        <v>0.23002860170003867</v>
      </c>
      <c r="AR78" s="2">
        <v>0.76800000000000002</v>
      </c>
      <c r="AS78" s="2">
        <v>0.7</v>
      </c>
      <c r="AT78" s="2">
        <v>0.68599999999999994</v>
      </c>
      <c r="AU78" s="2">
        <v>0.25900000000000001</v>
      </c>
      <c r="AV78" s="2">
        <v>0.75</v>
      </c>
      <c r="AW78" s="2">
        <v>0.74099999999999999</v>
      </c>
      <c r="AX78" s="2">
        <v>0.875</v>
      </c>
      <c r="AY78" s="2">
        <v>0.61868963859530146</v>
      </c>
      <c r="AZ78" s="2">
        <v>0.69938667370946317</v>
      </c>
      <c r="BA78" s="2">
        <v>0.59190102799417077</v>
      </c>
      <c r="BB78" s="2">
        <v>1</v>
      </c>
      <c r="BC78" s="2">
        <v>0.89166473225899889</v>
      </c>
      <c r="BD78" s="2">
        <v>0.66184516700785578</v>
      </c>
      <c r="BE78" s="2">
        <v>0.67599999999999993</v>
      </c>
    </row>
    <row r="79" spans="1:57">
      <c r="A79" s="1" t="s">
        <v>12</v>
      </c>
      <c r="B79" s="1" t="s">
        <v>266</v>
      </c>
      <c r="C79" s="2" t="e">
        <v>#N/A</v>
      </c>
      <c r="D79" s="2">
        <v>0.14879999999999993</v>
      </c>
      <c r="E79" s="2">
        <v>3.8031582068985124E-2</v>
      </c>
      <c r="F79" s="2">
        <v>0.16835016835016836</v>
      </c>
      <c r="G79" s="2">
        <v>0.15664375676748243</v>
      </c>
      <c r="H79" s="11">
        <v>0.12795637679665897</v>
      </c>
      <c r="I79" s="2">
        <v>0</v>
      </c>
      <c r="J79" s="2">
        <v>0.81998575256734818</v>
      </c>
      <c r="K79" s="2">
        <v>0</v>
      </c>
      <c r="L79" s="2">
        <v>0</v>
      </c>
      <c r="M79" s="84">
        <v>0.20499643814183705</v>
      </c>
      <c r="N79" s="46">
        <v>0.21815733344437974</v>
      </c>
      <c r="O79" s="46">
        <v>0.20289526179441686</v>
      </c>
      <c r="P79" s="21">
        <v>36795</v>
      </c>
      <c r="Q79" s="22">
        <v>10.51</v>
      </c>
      <c r="R79" s="23">
        <v>0.97</v>
      </c>
      <c r="S79" s="2">
        <v>0.60381584158415857</v>
      </c>
      <c r="T79" s="2">
        <v>1.068099997829646E-3</v>
      </c>
      <c r="U79" s="2">
        <v>3.9999999105930328E-2</v>
      </c>
      <c r="V79" s="2">
        <v>0.42500000000000004</v>
      </c>
      <c r="W79" s="2">
        <v>0</v>
      </c>
      <c r="X79" s="2">
        <v>3.9999999105930328E-2</v>
      </c>
      <c r="Y79" s="2">
        <v>0.44466666666666665</v>
      </c>
      <c r="Z79" s="2">
        <v>7.7971999982744455E-2</v>
      </c>
      <c r="AA79" s="2">
        <v>1</v>
      </c>
      <c r="AB79" s="2">
        <v>0.3</v>
      </c>
      <c r="AC79" s="2">
        <v>1</v>
      </c>
      <c r="AD79" s="2">
        <v>0</v>
      </c>
      <c r="AE79" s="2">
        <v>6.7499999999999991E-2</v>
      </c>
      <c r="AF79" s="2">
        <v>2.6079999999999992E-2</v>
      </c>
      <c r="AG79" s="2">
        <v>0.13375765707790865</v>
      </c>
      <c r="AH79" s="2">
        <v>9.3994778000000001E-2</v>
      </c>
      <c r="AI79" s="2">
        <v>0</v>
      </c>
      <c r="AJ79" s="2">
        <v>2.7712513376176038E-3</v>
      </c>
      <c r="AK79" s="2">
        <v>5.0171683975983053E-2</v>
      </c>
      <c r="AL79" s="2">
        <v>0.17163011571269601</v>
      </c>
      <c r="AM79" s="2">
        <v>0</v>
      </c>
      <c r="AN79" s="2">
        <v>0.77</v>
      </c>
      <c r="AO79" s="2">
        <v>0</v>
      </c>
      <c r="AP79" s="2">
        <v>0.64824034303239819</v>
      </c>
      <c r="AQ79" s="16">
        <v>0.24569451814916099</v>
      </c>
      <c r="AR79" s="2">
        <v>0.93</v>
      </c>
      <c r="AS79" s="2">
        <v>0.6</v>
      </c>
      <c r="AT79" s="2">
        <v>0.754</v>
      </c>
      <c r="AU79" s="2">
        <v>0.45799999999999996</v>
      </c>
      <c r="AV79" s="2">
        <v>0.65</v>
      </c>
      <c r="AW79" s="2">
        <v>0.69900000000000007</v>
      </c>
      <c r="AX79" s="2">
        <v>0.879</v>
      </c>
      <c r="AY79" s="2">
        <v>0.73897714944990212</v>
      </c>
      <c r="AZ79" s="2">
        <v>0.7910657238494303</v>
      </c>
      <c r="BA79" s="2">
        <v>0.90700144495673141</v>
      </c>
      <c r="BB79" s="2">
        <v>1</v>
      </c>
      <c r="BC79" s="2">
        <v>1</v>
      </c>
      <c r="BD79" s="2">
        <v>0.839878907954559</v>
      </c>
      <c r="BE79" s="2">
        <v>0.60799999999999998</v>
      </c>
    </row>
    <row r="80" spans="1:57">
      <c r="A80" s="1" t="s">
        <v>159</v>
      </c>
      <c r="B80" s="1" t="s">
        <v>267</v>
      </c>
      <c r="C80" s="2">
        <v>0.50735457998237354</v>
      </c>
      <c r="D80" s="2">
        <v>0.70179999999999998</v>
      </c>
      <c r="E80" s="2">
        <v>0.61974760040251808</v>
      </c>
      <c r="F80" s="2">
        <v>0.76906090925048265</v>
      </c>
      <c r="G80" s="2">
        <v>0.27119129464064862</v>
      </c>
      <c r="H80" s="11">
        <v>0.57383087685520462</v>
      </c>
      <c r="I80" s="2">
        <v>0.34862686660915981</v>
      </c>
      <c r="J80" s="2">
        <v>0</v>
      </c>
      <c r="K80" s="2">
        <v>0.82499999999999996</v>
      </c>
      <c r="L80" s="2">
        <v>0.42</v>
      </c>
      <c r="M80" s="84">
        <v>0.39840671665228994</v>
      </c>
      <c r="N80" s="46">
        <v>0.41069010527260835</v>
      </c>
      <c r="O80" s="46">
        <v>0.43391950840690252</v>
      </c>
      <c r="P80" s="21">
        <v>3296</v>
      </c>
      <c r="Q80" s="22">
        <v>8.1</v>
      </c>
      <c r="R80" s="23">
        <v>0.61</v>
      </c>
      <c r="S80" s="2">
        <v>1</v>
      </c>
      <c r="T80" s="2">
        <v>0</v>
      </c>
      <c r="U80" s="2">
        <v>0.1551999992132187</v>
      </c>
      <c r="V80" s="2">
        <v>0.30000000000000004</v>
      </c>
      <c r="W80" s="2">
        <v>0.21066666666666667</v>
      </c>
      <c r="X80" s="2">
        <v>0.7023999997228384</v>
      </c>
      <c r="Y80" s="2">
        <v>0.6825</v>
      </c>
      <c r="Z80" s="2">
        <v>0.70881799984313543</v>
      </c>
      <c r="AA80" s="2">
        <v>0.43856067276565125</v>
      </c>
      <c r="AB80" s="2">
        <v>1</v>
      </c>
      <c r="AC80" s="2">
        <v>1.0599999986588955E-2</v>
      </c>
      <c r="AD80" s="2">
        <v>1</v>
      </c>
      <c r="AE80" s="2">
        <v>0.44999999999999996</v>
      </c>
      <c r="AF80" s="2">
        <v>0.90007999999999999</v>
      </c>
      <c r="AG80" s="2">
        <v>0.47662095495820178</v>
      </c>
      <c r="AH80" s="2">
        <v>0.63295553599999999</v>
      </c>
      <c r="AI80" s="2">
        <v>1.1457939129364308E-2</v>
      </c>
      <c r="AJ80" s="2">
        <v>0.18297242948270184</v>
      </c>
      <c r="AK80" s="2">
        <v>2.5453535405301771E-2</v>
      </c>
      <c r="AL80" s="2">
        <v>6.2694538166016806E-2</v>
      </c>
      <c r="AM80" s="2">
        <v>0.35499999999999998</v>
      </c>
      <c r="AN80" s="2">
        <v>0.35</v>
      </c>
      <c r="AO80" s="2">
        <v>2.5729939896205759E-2</v>
      </c>
      <c r="AP80" s="2">
        <v>0.52632967018286014</v>
      </c>
      <c r="AQ80" s="16">
        <v>0.42533499505911471</v>
      </c>
      <c r="AR80" s="2">
        <v>0.36299999999999999</v>
      </c>
      <c r="AS80" s="2">
        <v>0.4</v>
      </c>
      <c r="AT80" s="2">
        <v>0.7340000000000001</v>
      </c>
      <c r="AU80" s="2">
        <v>0.7609999999999999</v>
      </c>
      <c r="AV80" s="2">
        <v>0.35</v>
      </c>
      <c r="AW80" s="2">
        <v>0.67500000000000004</v>
      </c>
      <c r="AX80" s="2">
        <v>0.67900000000000005</v>
      </c>
      <c r="AY80" s="2">
        <v>0.26479032885753834</v>
      </c>
      <c r="AZ80" s="2">
        <v>0.59255845827353359</v>
      </c>
      <c r="BA80" s="2">
        <v>0.4355429906040203</v>
      </c>
      <c r="BB80" s="2">
        <v>0.49993520869475783</v>
      </c>
      <c r="BC80" s="2">
        <v>0.18102560311541332</v>
      </c>
      <c r="BD80" s="2">
        <v>0.50972223404268724</v>
      </c>
      <c r="BE80" s="2">
        <v>0.57700000000000007</v>
      </c>
    </row>
    <row r="81" spans="1:57">
      <c r="A81" s="1" t="s">
        <v>107</v>
      </c>
      <c r="B81" s="1" t="s">
        <v>268</v>
      </c>
      <c r="C81" s="2">
        <v>0.45805282687479187</v>
      </c>
      <c r="D81" s="2">
        <v>0.18879999999999997</v>
      </c>
      <c r="E81" s="2">
        <v>0.4851026132280804</v>
      </c>
      <c r="F81" s="2">
        <v>0.79747217300440687</v>
      </c>
      <c r="G81" s="2">
        <v>0.43973981427084219</v>
      </c>
      <c r="H81" s="11">
        <v>0.47383348547562426</v>
      </c>
      <c r="I81" s="2">
        <v>1</v>
      </c>
      <c r="J81" s="2">
        <v>0</v>
      </c>
      <c r="K81" s="2">
        <v>0.77500000000000002</v>
      </c>
      <c r="L81" s="2">
        <v>0.32857142857142857</v>
      </c>
      <c r="M81" s="84">
        <v>0.52589285714285716</v>
      </c>
      <c r="N81" s="46">
        <v>0.2638128452526905</v>
      </c>
      <c r="O81" s="46">
        <v>0.3274014285458825</v>
      </c>
      <c r="P81" s="21">
        <v>4199</v>
      </c>
      <c r="Q81" s="22">
        <v>8.34</v>
      </c>
      <c r="R81" s="23">
        <v>0.73</v>
      </c>
      <c r="S81" s="2">
        <v>6.9100988210818295E-2</v>
      </c>
      <c r="T81" s="2">
        <v>5.6120000000000003E-2</v>
      </c>
      <c r="U81" s="2">
        <v>0.23199999928474424</v>
      </c>
      <c r="V81" s="2">
        <v>0.125</v>
      </c>
      <c r="W81" s="2">
        <v>8.666666666666667E-2</v>
      </c>
      <c r="X81" s="2">
        <v>0.50079999953508381</v>
      </c>
      <c r="Y81" s="2">
        <v>0.41483333333333333</v>
      </c>
      <c r="Z81" s="2">
        <v>0.47894199989400804</v>
      </c>
      <c r="AA81" s="2">
        <v>0.52210044439674363</v>
      </c>
      <c r="AB81" s="2">
        <v>0.06</v>
      </c>
      <c r="AC81" s="2">
        <v>0.14839999981224539</v>
      </c>
      <c r="AD81" s="2">
        <v>0.9803999973088503</v>
      </c>
      <c r="AE81" s="2">
        <v>7.4999999999999997E-2</v>
      </c>
      <c r="AF81" s="2">
        <v>0.89535999999999993</v>
      </c>
      <c r="AG81" s="2">
        <v>0.34076877922192272</v>
      </c>
      <c r="AH81" s="2">
        <v>0.50780437</v>
      </c>
      <c r="AI81" s="2">
        <v>1.8342910481040631E-2</v>
      </c>
      <c r="AJ81" s="2">
        <v>0.139408469340153</v>
      </c>
      <c r="AK81" s="2">
        <v>9.3275490516031942E-2</v>
      </c>
      <c r="AL81" s="2">
        <v>0.19620963744431999</v>
      </c>
      <c r="AM81" s="2">
        <v>0.35499999999999998</v>
      </c>
      <c r="AN81" s="2">
        <v>0</v>
      </c>
      <c r="AO81" s="2">
        <v>3.3120442489111654E-2</v>
      </c>
      <c r="AP81" s="2">
        <v>0.43257765063954678</v>
      </c>
      <c r="AQ81" s="16">
        <v>0.28171796577394242</v>
      </c>
      <c r="AR81" s="2">
        <v>0.53100000000000003</v>
      </c>
      <c r="AS81" s="2">
        <v>0.4</v>
      </c>
      <c r="AT81" s="2">
        <v>0.81900000000000006</v>
      </c>
      <c r="AU81" s="2">
        <v>0.8909999999999999</v>
      </c>
      <c r="AV81" s="2">
        <v>0.35</v>
      </c>
      <c r="AW81" s="2">
        <v>0.70799999999999996</v>
      </c>
      <c r="AX81" s="2">
        <v>0.77900000000000003</v>
      </c>
      <c r="AY81" s="2">
        <v>0.37286946779469771</v>
      </c>
      <c r="AZ81" s="2">
        <v>0.48959980652055829</v>
      </c>
      <c r="BA81" s="2">
        <v>0.35993111321114585</v>
      </c>
      <c r="BB81" s="2">
        <v>0.76173594347142315</v>
      </c>
      <c r="BC81" s="2">
        <v>0.33236393150361093</v>
      </c>
      <c r="BD81" s="2">
        <v>0.38916791180950372</v>
      </c>
      <c r="BE81" s="2">
        <v>0.50800000000000001</v>
      </c>
    </row>
    <row r="82" spans="1:57">
      <c r="A82" s="1" t="s">
        <v>63</v>
      </c>
      <c r="B82" s="1" t="s">
        <v>269</v>
      </c>
      <c r="C82" s="2">
        <v>0.50457076218666774</v>
      </c>
      <c r="D82" s="2">
        <v>0.59709999999999996</v>
      </c>
      <c r="E82" s="2">
        <v>0.32784257292125718</v>
      </c>
      <c r="F82" s="2">
        <v>0.40182444390923455</v>
      </c>
      <c r="G82" s="2">
        <v>0.8244968092896614</v>
      </c>
      <c r="H82" s="11">
        <v>0.53116691766136426</v>
      </c>
      <c r="I82" s="2">
        <v>0.33019580100016249</v>
      </c>
      <c r="J82" s="2">
        <v>5.8347969817408592E-2</v>
      </c>
      <c r="K82" s="2">
        <v>0.2</v>
      </c>
      <c r="L82" s="2" t="e">
        <v>#N/A</v>
      </c>
      <c r="M82" s="84">
        <v>0.19618125693919039</v>
      </c>
      <c r="N82" s="46">
        <v>0.21511925412455832</v>
      </c>
      <c r="O82" s="46">
        <v>0.26070974894099946</v>
      </c>
      <c r="P82" s="21">
        <v>11558</v>
      </c>
      <c r="Q82" s="22">
        <v>9.36</v>
      </c>
      <c r="R82" s="23">
        <v>0.78</v>
      </c>
      <c r="S82" s="2">
        <v>5.9731161971830975E-2</v>
      </c>
      <c r="T82" s="2">
        <v>0.74480999848656348</v>
      </c>
      <c r="U82" s="2">
        <v>0.25599999584257604</v>
      </c>
      <c r="V82" s="2">
        <v>0.625</v>
      </c>
      <c r="W82" s="2">
        <v>0.2</v>
      </c>
      <c r="X82" s="2">
        <v>0.33599999628961086</v>
      </c>
      <c r="Y82" s="2">
        <v>0.56741666666666668</v>
      </c>
      <c r="Z82" s="2">
        <v>0.31330199993066488</v>
      </c>
      <c r="AA82" s="2">
        <v>0.65828986972465331</v>
      </c>
      <c r="AB82" s="2">
        <v>0.04</v>
      </c>
      <c r="AC82" s="2">
        <v>0.20139999974519016</v>
      </c>
      <c r="AD82" s="2">
        <v>0.1859999991953373</v>
      </c>
      <c r="AE82" s="2">
        <v>7.4999999999999997E-2</v>
      </c>
      <c r="AF82" s="2">
        <v>0.86480000000000001</v>
      </c>
      <c r="AG82" s="2">
        <v>0.32833326701521881</v>
      </c>
      <c r="AH82" s="2">
        <v>0.212710766</v>
      </c>
      <c r="AI82" s="2">
        <v>4.7186893959557329E-4</v>
      </c>
      <c r="AJ82" s="2">
        <v>1.7112243445288906E-2</v>
      </c>
      <c r="AK82" s="2">
        <v>1.6313158811002971E-2</v>
      </c>
      <c r="AL82" s="2">
        <v>2.1085371934435899E-2</v>
      </c>
      <c r="AM82" s="2">
        <v>1.5999999999999903E-2</v>
      </c>
      <c r="AN82" s="2">
        <v>0</v>
      </c>
      <c r="AO82" s="2">
        <v>2.6710877774707563E-2</v>
      </c>
      <c r="AP82" s="2">
        <v>0.32566445274934142</v>
      </c>
      <c r="AQ82" s="16">
        <v>0.25383965393844515</v>
      </c>
      <c r="AR82" s="2">
        <v>0.69900000000000007</v>
      </c>
      <c r="AS82" s="2">
        <v>0.1</v>
      </c>
      <c r="AT82" s="2">
        <v>0.81099999999999994</v>
      </c>
      <c r="AU82" s="2">
        <v>0.79599999999999993</v>
      </c>
      <c r="AV82" s="2">
        <v>9.9000000022351736E-2</v>
      </c>
      <c r="AW82" s="2">
        <v>0.54700000000000004</v>
      </c>
      <c r="AX82" s="2">
        <v>0.502</v>
      </c>
      <c r="AY82" s="2">
        <v>0.19939607163812417</v>
      </c>
      <c r="AZ82" s="2">
        <v>0.20572301823337388</v>
      </c>
      <c r="BA82" s="2">
        <v>0.3356621556757069</v>
      </c>
      <c r="BB82" s="2">
        <v>0.79296831993763672</v>
      </c>
      <c r="BC82" s="2">
        <v>0.51602463011650557</v>
      </c>
      <c r="BD82" s="2">
        <v>0.32162263734940294</v>
      </c>
      <c r="BE82" s="2">
        <v>0.55100000000000005</v>
      </c>
    </row>
    <row r="83" spans="1:57">
      <c r="A83" s="1" t="s">
        <v>68</v>
      </c>
      <c r="B83" s="1" t="s">
        <v>270</v>
      </c>
      <c r="C83" s="2">
        <v>0.52182461630593835</v>
      </c>
      <c r="D83" s="2">
        <v>0.99409999999999998</v>
      </c>
      <c r="E83" s="2" t="e">
        <v>#N/A</v>
      </c>
      <c r="F83" s="2">
        <v>0.44339123537720715</v>
      </c>
      <c r="G83" s="2">
        <v>1</v>
      </c>
      <c r="H83" s="11">
        <v>0.73982896292078637</v>
      </c>
      <c r="I83" s="2">
        <v>0</v>
      </c>
      <c r="J83" s="2">
        <v>0.25281091294157776</v>
      </c>
      <c r="K83" s="2">
        <v>0.25</v>
      </c>
      <c r="L83" s="2">
        <v>0.75428571428571423</v>
      </c>
      <c r="M83" s="84">
        <v>0.31427415680682302</v>
      </c>
      <c r="N83" s="46">
        <v>0.37721308913011925</v>
      </c>
      <c r="O83" s="46">
        <v>0.42452592669557837</v>
      </c>
      <c r="P83" s="21">
        <v>3548</v>
      </c>
      <c r="Q83" s="22">
        <v>8.17</v>
      </c>
      <c r="R83" s="23" t="s">
        <v>460</v>
      </c>
      <c r="S83" s="2">
        <v>1</v>
      </c>
      <c r="T83" s="2">
        <v>1</v>
      </c>
      <c r="U83" s="2">
        <v>0.24159999929368492</v>
      </c>
      <c r="V83" s="2">
        <v>0.64999999999999991</v>
      </c>
      <c r="W83" s="2">
        <v>0.25533333333333336</v>
      </c>
      <c r="X83" s="2">
        <v>0.2991999993473291</v>
      </c>
      <c r="Y83" s="2">
        <v>0.73658333333333337</v>
      </c>
      <c r="Z83" s="2">
        <v>0.33834999992512166</v>
      </c>
      <c r="AA83" s="2">
        <v>0.92700000000000005</v>
      </c>
      <c r="AB83" s="2">
        <v>0.12</v>
      </c>
      <c r="AC83" s="2">
        <v>1</v>
      </c>
      <c r="AD83" s="2">
        <v>0.15119999974966047</v>
      </c>
      <c r="AE83" s="2">
        <v>0.78249999999999997</v>
      </c>
      <c r="AF83" s="2">
        <v>0.88959999999999995</v>
      </c>
      <c r="AG83" s="2">
        <v>0.39575055488288546</v>
      </c>
      <c r="AH83" s="2">
        <v>0.29499561000000002</v>
      </c>
      <c r="AI83" s="2">
        <v>3.1366376253858484E-2</v>
      </c>
      <c r="AJ83" s="2">
        <v>8.6817460005364569E-2</v>
      </c>
      <c r="AK83" s="2">
        <v>8.0217657215723964E-2</v>
      </c>
      <c r="AL83" s="2">
        <v>0.115953866963715</v>
      </c>
      <c r="AM83" s="2">
        <v>0.15000000000000002</v>
      </c>
      <c r="AN83" s="2">
        <v>0</v>
      </c>
      <c r="AO83" s="2">
        <v>3.4295905068934766E-3</v>
      </c>
      <c r="AP83" s="2">
        <v>0.30873997159834654</v>
      </c>
      <c r="AQ83" s="16">
        <v>0.41077657301705212</v>
      </c>
      <c r="AR83" s="2">
        <v>0.33600000143051145</v>
      </c>
      <c r="AS83" s="2">
        <v>8.4000000357627863E-2</v>
      </c>
      <c r="AT83" s="2">
        <v>8.4000000357627863E-2</v>
      </c>
      <c r="AU83" s="2">
        <v>8.568000036478042E-2</v>
      </c>
      <c r="AV83" s="2">
        <v>8.4000000357627863E-2</v>
      </c>
      <c r="AW83" s="2" t="e">
        <v>#N/A</v>
      </c>
      <c r="AX83" s="2">
        <v>0.33600000143051145</v>
      </c>
      <c r="AY83" s="2">
        <v>3.8575723119595826E-2</v>
      </c>
      <c r="AZ83" s="2">
        <v>0.26816118209764772</v>
      </c>
      <c r="BA83" s="2">
        <v>0.22645141607594593</v>
      </c>
      <c r="BB83" s="2">
        <v>0.68882969879380629</v>
      </c>
      <c r="BC83" s="2">
        <v>0.19516300630913569</v>
      </c>
      <c r="BD83" s="2">
        <v>0.13754882014882605</v>
      </c>
      <c r="BE83" s="2" t="e">
        <v>#N/A</v>
      </c>
    </row>
    <row r="84" spans="1:57">
      <c r="A84" s="1" t="s">
        <v>82</v>
      </c>
      <c r="B84" s="1" t="s">
        <v>271</v>
      </c>
      <c r="C84" s="2">
        <v>0.40558978580645388</v>
      </c>
      <c r="D84" s="2">
        <v>0.89649999999999996</v>
      </c>
      <c r="E84" s="2">
        <v>5.0534867100489607E-2</v>
      </c>
      <c r="F84" s="2">
        <v>0.11061365310183402</v>
      </c>
      <c r="G84" s="2">
        <v>0</v>
      </c>
      <c r="H84" s="11">
        <v>0.2926476612017555</v>
      </c>
      <c r="I84" s="2">
        <v>0.45060430625060527</v>
      </c>
      <c r="J84" s="2">
        <v>0.42292406655567161</v>
      </c>
      <c r="K84" s="2">
        <v>0.05</v>
      </c>
      <c r="L84" s="2">
        <v>0</v>
      </c>
      <c r="M84" s="84">
        <v>0.23088209320156922</v>
      </c>
      <c r="N84" s="46">
        <v>0.15073200718952398</v>
      </c>
      <c r="O84" s="46">
        <v>0.18194954095041302</v>
      </c>
      <c r="P84" s="21">
        <v>40697</v>
      </c>
      <c r="Q84" s="22">
        <v>10.61</v>
      </c>
      <c r="R84" s="23">
        <v>0.97</v>
      </c>
      <c r="S84" s="2">
        <v>0.16738239024390247</v>
      </c>
      <c r="T84" s="2">
        <v>0</v>
      </c>
      <c r="U84" s="2">
        <v>3.9999999105930328E-2</v>
      </c>
      <c r="V84" s="2">
        <v>0.19999999999999996</v>
      </c>
      <c r="W84" s="2">
        <v>0</v>
      </c>
      <c r="X84" s="2">
        <v>4.9599999114871007E-2</v>
      </c>
      <c r="Y84" s="2">
        <v>0.23600000000000002</v>
      </c>
      <c r="Z84" s="2">
        <v>0.3876379999142141</v>
      </c>
      <c r="AA84" s="2">
        <v>0.5</v>
      </c>
      <c r="AB84" s="2">
        <v>0.66</v>
      </c>
      <c r="AC84" s="2">
        <v>0.476999999396503</v>
      </c>
      <c r="AD84" s="2">
        <v>0</v>
      </c>
      <c r="AE84" s="2">
        <v>6.7499999999999991E-2</v>
      </c>
      <c r="AF84" s="2">
        <v>0.11824000000000001</v>
      </c>
      <c r="AG84" s="2">
        <v>0.16674887662083082</v>
      </c>
      <c r="AH84" s="2">
        <v>0.129753914</v>
      </c>
      <c r="AI84" s="2">
        <v>0</v>
      </c>
      <c r="AJ84" s="2">
        <v>1.463092798742205E-3</v>
      </c>
      <c r="AK84" s="2">
        <v>4.4979883013078564E-2</v>
      </c>
      <c r="AL84" s="2">
        <v>0.102094065942684</v>
      </c>
      <c r="AM84" s="2">
        <v>0</v>
      </c>
      <c r="AN84" s="2">
        <v>0.9</v>
      </c>
      <c r="AO84" s="2">
        <v>4.3547684714762669E-2</v>
      </c>
      <c r="AP84" s="2">
        <v>3.9999999105930328E-2</v>
      </c>
      <c r="AQ84" s="16">
        <v>0.18049782933214373</v>
      </c>
      <c r="AR84" s="2">
        <v>0.92799999999999994</v>
      </c>
      <c r="AS84" s="2">
        <v>0.8</v>
      </c>
      <c r="AT84" s="2">
        <v>0.71099999999999997</v>
      </c>
      <c r="AU84" s="2">
        <v>0.61799999999999999</v>
      </c>
      <c r="AV84" s="2">
        <v>0.95</v>
      </c>
      <c r="AW84" s="2">
        <v>0.79</v>
      </c>
      <c r="AX84" s="2">
        <v>0.875</v>
      </c>
      <c r="AY84" s="2">
        <v>0.69325868437685723</v>
      </c>
      <c r="AZ84" s="2">
        <v>0.77133728926698553</v>
      </c>
      <c r="BA84" s="2">
        <v>0.84135754497262449</v>
      </c>
      <c r="BB84" s="2">
        <v>1</v>
      </c>
      <c r="BC84" s="2">
        <v>0.79965216074473411</v>
      </c>
      <c r="BD84" s="2">
        <v>0.83913716948816242</v>
      </c>
      <c r="BE84" s="2">
        <v>0.79</v>
      </c>
    </row>
    <row r="85" spans="1:57">
      <c r="A85" s="1" t="s">
        <v>11</v>
      </c>
      <c r="B85" s="1" t="s">
        <v>272</v>
      </c>
      <c r="C85" s="2">
        <v>0.63375705738870514</v>
      </c>
      <c r="D85" s="2">
        <v>0.29290000000000005</v>
      </c>
      <c r="E85" s="2">
        <v>3.8927075481405699E-2</v>
      </c>
      <c r="F85" s="2">
        <v>0.28962811904203906</v>
      </c>
      <c r="G85" s="2">
        <v>0.35219276727618953</v>
      </c>
      <c r="H85" s="11">
        <v>0.32148100383766792</v>
      </c>
      <c r="I85" s="2">
        <v>5.9277679583712214E-3</v>
      </c>
      <c r="J85" s="2">
        <v>0.5256178788170498</v>
      </c>
      <c r="K85" s="2">
        <v>0</v>
      </c>
      <c r="L85" s="2">
        <v>0</v>
      </c>
      <c r="M85" s="84">
        <v>0.13288641169385526</v>
      </c>
      <c r="N85" s="46">
        <v>0.22227758370008968</v>
      </c>
      <c r="O85" s="46">
        <v>0.22647311135654283</v>
      </c>
      <c r="P85" s="21">
        <v>27656</v>
      </c>
      <c r="Q85" s="22">
        <v>10.23</v>
      </c>
      <c r="R85" s="23">
        <v>0.94</v>
      </c>
      <c r="S85" s="2">
        <v>0.5130555555555556</v>
      </c>
      <c r="T85" s="2">
        <v>1</v>
      </c>
      <c r="U85" s="2">
        <v>3.9999999105930328E-2</v>
      </c>
      <c r="V85" s="2">
        <v>0.44999999999999996</v>
      </c>
      <c r="W85" s="2">
        <v>0</v>
      </c>
      <c r="X85" s="2">
        <v>3.9999999105930328E-2</v>
      </c>
      <c r="Y85" s="2">
        <v>0.54108333333333336</v>
      </c>
      <c r="Z85" s="2">
        <v>8.4031999981403246E-2</v>
      </c>
      <c r="AA85" s="2">
        <v>0.26999342388400227</v>
      </c>
      <c r="AB85" s="2">
        <v>0.14000000000000001</v>
      </c>
      <c r="AC85" s="2">
        <v>0.82679999895393852</v>
      </c>
      <c r="AD85" s="2">
        <v>0</v>
      </c>
      <c r="AE85" s="2">
        <v>6.7499999999999991E-2</v>
      </c>
      <c r="AF85" s="2">
        <v>0.46335999999999999</v>
      </c>
      <c r="AG85" s="2">
        <v>0.14475316928327175</v>
      </c>
      <c r="AH85" s="2">
        <v>0.158163266</v>
      </c>
      <c r="AI85" s="2">
        <v>0</v>
      </c>
      <c r="AJ85" s="2">
        <v>5.0770966956353095E-3</v>
      </c>
      <c r="AK85" s="2">
        <v>1.1046744062714104E-2</v>
      </c>
      <c r="AL85" s="2">
        <v>5.3787903926616601E-2</v>
      </c>
      <c r="AM85" s="2">
        <v>0</v>
      </c>
      <c r="AN85" s="2">
        <v>0.85</v>
      </c>
      <c r="AO85" s="2">
        <v>0.13863216266173753</v>
      </c>
      <c r="AP85" s="2">
        <v>3.9999999105930328E-2</v>
      </c>
      <c r="AQ85" s="16">
        <v>0.24322019381899998</v>
      </c>
      <c r="AR85" s="2">
        <v>0.66400000000000003</v>
      </c>
      <c r="AS85" s="2">
        <v>0.7</v>
      </c>
      <c r="AT85" s="2">
        <v>0.58399999999999996</v>
      </c>
      <c r="AU85" s="2">
        <v>0.35399999999999998</v>
      </c>
      <c r="AV85" s="2">
        <v>0.85</v>
      </c>
      <c r="AW85" s="2">
        <v>0.78200000000000003</v>
      </c>
      <c r="AX85" s="2">
        <v>0.878</v>
      </c>
      <c r="AY85" s="2">
        <v>0.21279886697174016</v>
      </c>
      <c r="AZ85" s="2">
        <v>0.61474630544096187</v>
      </c>
      <c r="BA85" s="2">
        <v>0.65542486348122053</v>
      </c>
      <c r="BB85" s="2">
        <v>1</v>
      </c>
      <c r="BC85" s="2">
        <v>0.81914989790574988</v>
      </c>
      <c r="BD85" s="2">
        <v>0.66495105778720931</v>
      </c>
      <c r="BE85" s="2">
        <v>0.65400000000000003</v>
      </c>
    </row>
    <row r="86" spans="1:57">
      <c r="A86" s="1" t="s">
        <v>62</v>
      </c>
      <c r="B86" s="1" t="s">
        <v>273</v>
      </c>
      <c r="C86" s="2">
        <v>0.5988665181088122</v>
      </c>
      <c r="D86" s="2">
        <v>0.11239999999999994</v>
      </c>
      <c r="E86" s="2">
        <v>3.8894456980159572E-2</v>
      </c>
      <c r="F86" s="2">
        <v>0.16815898084689471</v>
      </c>
      <c r="G86" s="2">
        <v>0</v>
      </c>
      <c r="H86" s="11">
        <v>0.1836639911871733</v>
      </c>
      <c r="I86" s="2">
        <v>0.24294302553545466</v>
      </c>
      <c r="J86" s="2">
        <v>0</v>
      </c>
      <c r="K86" s="2" t="e">
        <v>#N/A</v>
      </c>
      <c r="L86" s="2">
        <v>0</v>
      </c>
      <c r="M86" s="84">
        <v>8.098100851181822E-2</v>
      </c>
      <c r="N86" s="46">
        <v>0.18337245706852615</v>
      </c>
      <c r="O86" s="46">
        <v>0.17100554423114445</v>
      </c>
      <c r="P86" s="21">
        <v>32430</v>
      </c>
      <c r="Q86" s="22">
        <v>10.39</v>
      </c>
      <c r="R86" s="23">
        <v>0.95</v>
      </c>
      <c r="S86" s="2">
        <v>0.51637460732984286</v>
      </c>
      <c r="T86" s="2">
        <v>0.2369</v>
      </c>
      <c r="U86" s="2">
        <v>3.9999999105930328E-2</v>
      </c>
      <c r="V86" s="2">
        <v>0.47499999999999998</v>
      </c>
      <c r="W86" s="2">
        <v>0</v>
      </c>
      <c r="X86" s="2">
        <v>0</v>
      </c>
      <c r="Y86" s="2">
        <v>0.26925000000000004</v>
      </c>
      <c r="Z86" s="2">
        <v>0.32077599992901085</v>
      </c>
      <c r="AA86" s="2">
        <v>0.54802589936704726</v>
      </c>
      <c r="AB86" s="2">
        <v>0.36</v>
      </c>
      <c r="AC86" s="2">
        <v>0.42399999946355821</v>
      </c>
      <c r="AD86" s="2">
        <v>0</v>
      </c>
      <c r="AE86" s="2">
        <v>6.7499999999999991E-2</v>
      </c>
      <c r="AF86" s="2">
        <v>0.39983999999999997</v>
      </c>
      <c r="AG86" s="2">
        <v>0.12665197121763361</v>
      </c>
      <c r="AH86" s="2">
        <v>8.3550914000000004E-2</v>
      </c>
      <c r="AI86" s="2">
        <v>0</v>
      </c>
      <c r="AJ86" s="2">
        <v>1.7071883385323602E-3</v>
      </c>
      <c r="AK86" s="2">
        <v>6.2864670518158736E-2</v>
      </c>
      <c r="AL86" s="2">
        <v>9.2841981604747201E-2</v>
      </c>
      <c r="AM86" s="2">
        <v>0</v>
      </c>
      <c r="AN86" s="2">
        <v>0.87</v>
      </c>
      <c r="AO86" s="2">
        <v>7.6494186441830425E-2</v>
      </c>
      <c r="AP86" s="2">
        <v>0.13999999687075615</v>
      </c>
      <c r="AQ86" s="16">
        <v>0.21299072559112697</v>
      </c>
      <c r="AR86" s="2">
        <v>0.77900000000000003</v>
      </c>
      <c r="AS86" s="2">
        <v>0.6</v>
      </c>
      <c r="AT86" s="2">
        <v>0.55200000000000005</v>
      </c>
      <c r="AU86" s="2">
        <v>0.312</v>
      </c>
      <c r="AV86" s="2">
        <v>0.75</v>
      </c>
      <c r="AW86" s="2">
        <v>0.79</v>
      </c>
      <c r="AX86" s="2">
        <v>0.875</v>
      </c>
      <c r="AY86" s="2">
        <v>0.60486450111260115</v>
      </c>
      <c r="AZ86" s="2">
        <v>0.70597202273570625</v>
      </c>
      <c r="BA86" s="2">
        <v>0.51084613561691972</v>
      </c>
      <c r="BB86" s="2">
        <v>1</v>
      </c>
      <c r="BC86" s="2">
        <v>0.92155926942969746</v>
      </c>
      <c r="BD86" s="2">
        <v>0.5768837037805572</v>
      </c>
      <c r="BE86" s="2">
        <v>0.58200000000000007</v>
      </c>
    </row>
    <row r="87" spans="1:57">
      <c r="A87" s="1" t="s">
        <v>104</v>
      </c>
      <c r="B87" s="1" t="s">
        <v>274</v>
      </c>
      <c r="C87" s="2">
        <v>0.57635881492383645</v>
      </c>
      <c r="D87" s="2">
        <v>0</v>
      </c>
      <c r="E87" s="2">
        <v>0.15299203555941618</v>
      </c>
      <c r="F87" s="2">
        <v>0.61166544042742266</v>
      </c>
      <c r="G87" s="2">
        <v>0.50765013818815952</v>
      </c>
      <c r="H87" s="11">
        <v>0.36973328581976694</v>
      </c>
      <c r="I87" s="2">
        <v>0.75154593044406481</v>
      </c>
      <c r="J87" s="2">
        <v>0.43132882721800903</v>
      </c>
      <c r="K87" s="2">
        <v>0</v>
      </c>
      <c r="L87" s="2">
        <v>0.86428571428571432</v>
      </c>
      <c r="M87" s="84">
        <v>0.51179011798694707</v>
      </c>
      <c r="N87" s="46">
        <v>0.32537721883751325</v>
      </c>
      <c r="O87" s="46">
        <v>0.35469333797414976</v>
      </c>
      <c r="P87" s="21">
        <v>7633</v>
      </c>
      <c r="Q87" s="22">
        <v>8.94</v>
      </c>
      <c r="R87" s="23">
        <v>0.77</v>
      </c>
      <c r="S87" s="2">
        <v>0.28841650992685469</v>
      </c>
      <c r="T87" s="2">
        <v>7.4543999722301954E-2</v>
      </c>
      <c r="U87" s="2">
        <v>9.7599999159574513E-2</v>
      </c>
      <c r="V87" s="2">
        <v>0.15000000000000002</v>
      </c>
      <c r="W87" s="2">
        <v>3.1333333333333331E-2</v>
      </c>
      <c r="X87" s="2">
        <v>0.2031999992579222</v>
      </c>
      <c r="Y87" s="2">
        <v>0.71158333333333335</v>
      </c>
      <c r="Z87" s="2">
        <v>0.46964999989606437</v>
      </c>
      <c r="AA87" s="2">
        <v>0.91453333333333331</v>
      </c>
      <c r="AB87" s="2">
        <v>0.1</v>
      </c>
      <c r="AC87" s="2">
        <v>1</v>
      </c>
      <c r="AD87" s="2">
        <v>0.3</v>
      </c>
      <c r="AE87" s="2">
        <v>0.3175</v>
      </c>
      <c r="AF87" s="2">
        <v>0.86599999999999999</v>
      </c>
      <c r="AG87" s="2">
        <v>0.32061158895924735</v>
      </c>
      <c r="AH87" s="2">
        <v>0.41623036600000002</v>
      </c>
      <c r="AI87" s="2">
        <v>1.845507404131581E-2</v>
      </c>
      <c r="AJ87" s="2">
        <v>5.7642531650445729E-2</v>
      </c>
      <c r="AK87" s="2">
        <v>6.9241615689747987E-2</v>
      </c>
      <c r="AL87" s="2">
        <v>7.8784836407009506E-2</v>
      </c>
      <c r="AM87" s="2">
        <v>7.999999999999996E-2</v>
      </c>
      <c r="AN87" s="2">
        <v>0.89</v>
      </c>
      <c r="AO87" s="2">
        <v>0.27700831024930744</v>
      </c>
      <c r="AP87" s="2">
        <v>0.34048000934206446</v>
      </c>
      <c r="AQ87" s="16">
        <v>0.33636728501257723</v>
      </c>
      <c r="AR87" s="2">
        <v>0.87</v>
      </c>
      <c r="AS87" s="2">
        <v>0.6</v>
      </c>
      <c r="AT87" s="2">
        <v>0.748</v>
      </c>
      <c r="AU87" s="2">
        <v>0.61799999999999999</v>
      </c>
      <c r="AV87" s="2">
        <v>0.85</v>
      </c>
      <c r="AW87" s="2">
        <v>0.68400000000000005</v>
      </c>
      <c r="AX87" s="2">
        <v>0.72199999999999998</v>
      </c>
      <c r="AY87" s="2">
        <v>0.43381127236666661</v>
      </c>
      <c r="AZ87" s="2">
        <v>0.60507814694169815</v>
      </c>
      <c r="BA87" s="2">
        <v>0.41299242599853614</v>
      </c>
      <c r="BB87" s="2">
        <v>1</v>
      </c>
      <c r="BC87" s="2">
        <v>0.33191794316626549</v>
      </c>
      <c r="BD87" s="2">
        <v>0.40316824764073561</v>
      </c>
      <c r="BE87" s="2">
        <v>0.7</v>
      </c>
    </row>
    <row r="88" spans="1:57">
      <c r="A88" s="1" t="s">
        <v>70</v>
      </c>
      <c r="B88" s="1" t="s">
        <v>275</v>
      </c>
      <c r="C88" s="2">
        <v>0.57463441035074792</v>
      </c>
      <c r="D88" s="2">
        <v>0.12180000000000002</v>
      </c>
      <c r="E88" s="2">
        <v>1.0364534413294617E-2</v>
      </c>
      <c r="F88" s="2">
        <v>0.54363844994677402</v>
      </c>
      <c r="G88" s="2">
        <v>0.13680248532963046</v>
      </c>
      <c r="H88" s="11">
        <v>0.27744797600808946</v>
      </c>
      <c r="I88" s="2">
        <v>0</v>
      </c>
      <c r="J88" s="2">
        <v>0.47242931514181702</v>
      </c>
      <c r="K88" s="2">
        <v>0</v>
      </c>
      <c r="L88" s="2">
        <v>0</v>
      </c>
      <c r="M88" s="84">
        <v>0.11810732878545425</v>
      </c>
      <c r="N88" s="46">
        <v>0.2374925044253442</v>
      </c>
      <c r="O88" s="46">
        <v>0.22907543337547043</v>
      </c>
      <c r="P88" s="21">
        <v>32418</v>
      </c>
      <c r="Q88" s="22">
        <v>10.39</v>
      </c>
      <c r="R88" s="23">
        <v>0.96</v>
      </c>
      <c r="S88" s="2">
        <v>0.44775485804416404</v>
      </c>
      <c r="T88" s="2">
        <v>0.2511599990643561</v>
      </c>
      <c r="U88" s="2">
        <v>3.9999999105930328E-2</v>
      </c>
      <c r="V88" s="2">
        <v>0.375</v>
      </c>
      <c r="W88" s="2">
        <v>0</v>
      </c>
      <c r="X88" s="2">
        <v>3.9999999105930328E-2</v>
      </c>
      <c r="Y88" s="2">
        <v>0.24566666666666667</v>
      </c>
      <c r="Z88" s="2">
        <v>0.33693599992543455</v>
      </c>
      <c r="AA88" s="2">
        <v>0.18537884700315499</v>
      </c>
      <c r="AB88" s="2">
        <v>0.14000000000000001</v>
      </c>
      <c r="AC88" s="2">
        <v>0.82679999895393852</v>
      </c>
      <c r="AD88" s="2">
        <v>0</v>
      </c>
      <c r="AE88" s="2">
        <v>0.85</v>
      </c>
      <c r="AF88" s="2">
        <v>0.66935999999999996</v>
      </c>
      <c r="AG88" s="2">
        <v>0.11431882779151292</v>
      </c>
      <c r="AH88" s="2">
        <v>0.22922636199999999</v>
      </c>
      <c r="AI88" s="2">
        <v>0</v>
      </c>
      <c r="AJ88" s="2">
        <v>2.1239581981740709E-3</v>
      </c>
      <c r="AK88" s="2">
        <v>7.192555178211299E-2</v>
      </c>
      <c r="AL88" s="2">
        <v>0.24077713962792199</v>
      </c>
      <c r="AM88" s="2">
        <v>0</v>
      </c>
      <c r="AN88" s="2">
        <v>0.82</v>
      </c>
      <c r="AO88" s="2">
        <v>3.2921810699588473E-2</v>
      </c>
      <c r="AP88" s="2">
        <v>0.25175686816847642</v>
      </c>
      <c r="AQ88" s="16">
        <v>0.25712945358905676</v>
      </c>
      <c r="AR88" s="2">
        <v>0.84499999999999997</v>
      </c>
      <c r="AS88" s="2">
        <v>0.5</v>
      </c>
      <c r="AT88" s="2">
        <v>0.67200000000000004</v>
      </c>
      <c r="AU88" s="2">
        <v>0.61099999999999999</v>
      </c>
      <c r="AV88" s="2">
        <v>0.6</v>
      </c>
      <c r="AW88" s="2">
        <v>0.88800000000000001</v>
      </c>
      <c r="AX88" s="2">
        <v>0.82400000000000007</v>
      </c>
      <c r="AY88" s="2">
        <v>0.68888856877185334</v>
      </c>
      <c r="AZ88" s="2">
        <v>0.70429152124380145</v>
      </c>
      <c r="BA88" s="2">
        <v>0.76726924145657827</v>
      </c>
      <c r="BB88" s="2">
        <v>0.99097444362292164</v>
      </c>
      <c r="BC88" s="2">
        <v>0.79584699502690448</v>
      </c>
      <c r="BD88" s="2">
        <v>0.76036698664448177</v>
      </c>
      <c r="BE88" s="2">
        <v>0.82400000000000007</v>
      </c>
    </row>
    <row r="89" spans="1:57">
      <c r="A89" s="1" t="s">
        <v>35</v>
      </c>
      <c r="B89" s="1" t="s">
        <v>276</v>
      </c>
      <c r="C89" s="2">
        <v>0.61566073824517809</v>
      </c>
      <c r="D89" s="2">
        <v>0.90880000000000005</v>
      </c>
      <c r="E89" s="2">
        <v>0.14125737068262836</v>
      </c>
      <c r="F89" s="2">
        <v>0.23337274305798114</v>
      </c>
      <c r="G89" s="2">
        <v>0.50724104146712623</v>
      </c>
      <c r="H89" s="11">
        <v>0.48126637869058281</v>
      </c>
      <c r="I89" s="2">
        <v>1.1546576917536421E-2</v>
      </c>
      <c r="J89" s="2">
        <v>0.18981204706294474</v>
      </c>
      <c r="K89" s="2">
        <v>2.5000000000000001E-2</v>
      </c>
      <c r="L89" s="2">
        <v>0.28000000000000003</v>
      </c>
      <c r="M89" s="84">
        <v>0.12658965599512029</v>
      </c>
      <c r="N89" s="46">
        <v>0.27299332759444578</v>
      </c>
      <c r="O89" s="46">
        <v>0.28680395090000282</v>
      </c>
      <c r="P89" s="21">
        <v>5597</v>
      </c>
      <c r="Q89" s="22">
        <v>8.6300000000000008</v>
      </c>
      <c r="R89" s="23">
        <v>0.77</v>
      </c>
      <c r="S89" s="2">
        <v>0.42288625776397515</v>
      </c>
      <c r="T89" s="2">
        <v>0.99370000000000003</v>
      </c>
      <c r="U89" s="2">
        <v>7.8399999141693155E-2</v>
      </c>
      <c r="V89" s="2">
        <v>0.5</v>
      </c>
      <c r="W89" s="2">
        <v>3.9333333333333331E-2</v>
      </c>
      <c r="X89" s="2">
        <v>5.9199999123811686E-2</v>
      </c>
      <c r="Y89" s="2">
        <v>0.54108333333333336</v>
      </c>
      <c r="Z89" s="2">
        <v>0.21755399995185434</v>
      </c>
      <c r="AA89" s="2">
        <v>0.90549563430919355</v>
      </c>
      <c r="AB89" s="2">
        <v>0.14000000000000001</v>
      </c>
      <c r="AC89" s="2">
        <v>1</v>
      </c>
      <c r="AD89" s="2">
        <v>5.7999999821186067E-2</v>
      </c>
      <c r="AE89" s="2">
        <v>7.4999999999999997E-2</v>
      </c>
      <c r="AF89" s="2">
        <v>0.64280000000000004</v>
      </c>
      <c r="AG89" s="2">
        <v>0.3038996279680739</v>
      </c>
      <c r="AH89" s="2">
        <v>0.19243986199999999</v>
      </c>
      <c r="AI89" s="2">
        <v>1.7436683557441185E-2</v>
      </c>
      <c r="AJ89" s="2">
        <v>5.1323467735878113E-2</v>
      </c>
      <c r="AK89" s="2">
        <v>6.914763723476438E-5</v>
      </c>
      <c r="AL89" s="2">
        <v>2.8998202182263998E-4</v>
      </c>
      <c r="AM89" s="2">
        <v>9.9999999999988987E-4</v>
      </c>
      <c r="AN89" s="2">
        <v>0.96</v>
      </c>
      <c r="AO89" s="2">
        <v>0</v>
      </c>
      <c r="AP89" s="2">
        <v>3.9999999105930328E-2</v>
      </c>
      <c r="AQ89" s="16">
        <v>0.30166297195019837</v>
      </c>
      <c r="AR89" s="2">
        <v>0.65599999999999992</v>
      </c>
      <c r="AS89" s="2">
        <v>0.6</v>
      </c>
      <c r="AT89" s="2">
        <v>0.83</v>
      </c>
      <c r="AU89" s="2">
        <v>0.55100000000000005</v>
      </c>
      <c r="AV89" s="2">
        <v>0.65</v>
      </c>
      <c r="AW89" s="2">
        <v>0.73199999999999998</v>
      </c>
      <c r="AX89" s="2">
        <v>0.78799999999999992</v>
      </c>
      <c r="AY89" s="2">
        <v>0.45514112974950383</v>
      </c>
      <c r="AZ89" s="2">
        <v>0.33188061466156454</v>
      </c>
      <c r="BA89" s="2">
        <v>0.55247492773483808</v>
      </c>
      <c r="BB89" s="2">
        <v>1</v>
      </c>
      <c r="BC89" s="2">
        <v>0.55754550909068323</v>
      </c>
      <c r="BD89" s="2">
        <v>0.57498278159109639</v>
      </c>
      <c r="BE89" s="2">
        <v>0.74199999999999999</v>
      </c>
    </row>
    <row r="90" spans="1:57">
      <c r="A90" s="1" t="s">
        <v>92</v>
      </c>
      <c r="B90" s="1" t="s">
        <v>277</v>
      </c>
      <c r="C90" s="2">
        <v>0.27170885913674181</v>
      </c>
      <c r="D90" s="2">
        <v>0.85819999999999996</v>
      </c>
      <c r="E90" s="2" t="e">
        <v>#N/A</v>
      </c>
      <c r="F90" s="2">
        <v>0.42025637706366414</v>
      </c>
      <c r="G90" s="2">
        <v>0.72999509121486361</v>
      </c>
      <c r="H90" s="11">
        <v>0.57004008185381738</v>
      </c>
      <c r="I90" s="2">
        <v>9.8886994817741894E-2</v>
      </c>
      <c r="J90" s="2">
        <v>6.4158354991614278E-2</v>
      </c>
      <c r="K90" s="2">
        <v>0</v>
      </c>
      <c r="L90" s="2">
        <v>0</v>
      </c>
      <c r="M90" s="84">
        <v>4.0761337452339043E-2</v>
      </c>
      <c r="N90" s="46">
        <v>0.24173291452893006</v>
      </c>
      <c r="O90" s="46">
        <v>0.26711623356887165</v>
      </c>
      <c r="P90" s="21">
        <v>11510</v>
      </c>
      <c r="Q90" s="22">
        <v>9.35</v>
      </c>
      <c r="R90" s="23">
        <v>0.8</v>
      </c>
      <c r="S90" s="2">
        <v>0.35263255813953481</v>
      </c>
      <c r="T90" s="2">
        <v>0.34727999870628118</v>
      </c>
      <c r="U90" s="2">
        <v>8.7999999150633834E-2</v>
      </c>
      <c r="V90" s="2">
        <v>0.8</v>
      </c>
      <c r="W90" s="2">
        <v>0.16600000000000001</v>
      </c>
      <c r="X90" s="2">
        <v>6.8799999132752365E-2</v>
      </c>
      <c r="Y90" s="2">
        <v>8.5833333333333421E-3</v>
      </c>
      <c r="Z90" s="2">
        <v>0.42197799990661444</v>
      </c>
      <c r="AA90" s="2">
        <v>0.99487129221733328</v>
      </c>
      <c r="AB90" s="2">
        <v>0.72</v>
      </c>
      <c r="AC90" s="2">
        <v>3.1799999959766866E-2</v>
      </c>
      <c r="AD90" s="2">
        <v>8.6399999856948864E-2</v>
      </c>
      <c r="AE90" s="2">
        <v>0.87499999999999989</v>
      </c>
      <c r="AF90" s="2">
        <v>0.37663999999999997</v>
      </c>
      <c r="AG90" s="2">
        <v>0.42431078905582453</v>
      </c>
      <c r="AH90" s="2">
        <v>0.15384615400000001</v>
      </c>
      <c r="AI90" s="2">
        <v>3.3521999578581436E-3</v>
      </c>
      <c r="AJ90" s="2">
        <v>2.7395674516448421E-2</v>
      </c>
      <c r="AK90" s="2">
        <v>0</v>
      </c>
      <c r="AL90" s="2">
        <v>0</v>
      </c>
      <c r="AM90" s="2">
        <v>0</v>
      </c>
      <c r="AN90" s="2">
        <v>0</v>
      </c>
      <c r="AO90" s="2">
        <v>1.66685187243027E-3</v>
      </c>
      <c r="AP90" s="2">
        <v>0.13715199919641019</v>
      </c>
      <c r="AQ90" s="16">
        <v>0.25357120204175709</v>
      </c>
      <c r="AR90" s="2">
        <v>0.73499999999999999</v>
      </c>
      <c r="AS90" s="2">
        <v>0.5</v>
      </c>
      <c r="AT90" s="2">
        <v>0.879</v>
      </c>
      <c r="AU90" s="2">
        <v>0.82099999999999995</v>
      </c>
      <c r="AV90" s="2">
        <v>0.3</v>
      </c>
      <c r="AW90" s="2">
        <v>0.65599999999999992</v>
      </c>
      <c r="AX90" s="2">
        <v>0.8590000000000001</v>
      </c>
      <c r="AY90" s="2">
        <v>0.62718768726342589</v>
      </c>
      <c r="AZ90" s="2">
        <v>0.2948069617063595</v>
      </c>
      <c r="BA90" s="2">
        <v>0.31910122939420571</v>
      </c>
      <c r="BB90" s="2">
        <v>1</v>
      </c>
      <c r="BC90" s="2">
        <v>0.58153052584558085</v>
      </c>
      <c r="BD90" s="2">
        <v>0.38917018447584634</v>
      </c>
      <c r="BE90" s="2">
        <v>0.83099999999999996</v>
      </c>
    </row>
    <row r="91" spans="1:57">
      <c r="A91" s="1" t="s">
        <v>176</v>
      </c>
      <c r="B91" s="1" t="s">
        <v>278</v>
      </c>
      <c r="C91" s="2">
        <v>0.53097807316754675</v>
      </c>
      <c r="D91" s="2">
        <v>0.32819999999999994</v>
      </c>
      <c r="E91" s="2">
        <v>0.71182137213146213</v>
      </c>
      <c r="F91" s="2">
        <v>0.53069979347275653</v>
      </c>
      <c r="G91" s="2">
        <v>0.54119620342578501</v>
      </c>
      <c r="H91" s="11">
        <v>0.52857908843951007</v>
      </c>
      <c r="I91" s="2">
        <v>0.25893714578580812</v>
      </c>
      <c r="J91" s="2">
        <v>0.41678917944197053</v>
      </c>
      <c r="K91" s="2">
        <v>0</v>
      </c>
      <c r="L91" s="2">
        <v>0.78142857142857147</v>
      </c>
      <c r="M91" s="84">
        <v>0.36428872416408753</v>
      </c>
      <c r="N91" s="46">
        <v>0.48753151317289084</v>
      </c>
      <c r="O91" s="46">
        <v>0.47881232287888731</v>
      </c>
      <c r="P91" s="21">
        <v>1573</v>
      </c>
      <c r="Q91" s="22">
        <v>7.36</v>
      </c>
      <c r="R91" s="23">
        <v>0.54</v>
      </c>
      <c r="S91" s="2">
        <v>0.92359132469402438</v>
      </c>
      <c r="T91" s="2">
        <v>8.9090000000000003E-2</v>
      </c>
      <c r="U91" s="2">
        <v>0.43359999947249894</v>
      </c>
      <c r="V91" s="2">
        <v>0.22499999999999998</v>
      </c>
      <c r="W91" s="2">
        <v>0.24133333333333334</v>
      </c>
      <c r="X91" s="2">
        <v>0.7023999997228384</v>
      </c>
      <c r="Y91" s="2">
        <v>0.24158333333333334</v>
      </c>
      <c r="Z91" s="2">
        <v>0.78880999982543287</v>
      </c>
      <c r="AA91" s="2">
        <v>0.94400358563091769</v>
      </c>
      <c r="AB91" s="2">
        <v>0.46</v>
      </c>
      <c r="AC91" s="2">
        <v>0.26499999966472387</v>
      </c>
      <c r="AD91" s="2">
        <v>0.45359999924898153</v>
      </c>
      <c r="AE91" s="2">
        <v>0.40749999999999997</v>
      </c>
      <c r="AF91" s="2">
        <v>0.94159999999999999</v>
      </c>
      <c r="AG91" s="2">
        <v>0.65864116976186726</v>
      </c>
      <c r="AH91" s="2">
        <v>0.87825474999999997</v>
      </c>
      <c r="AI91" s="2">
        <v>0.3642714248913852</v>
      </c>
      <c r="AJ91" s="2">
        <v>0.68755778720891869</v>
      </c>
      <c r="AK91" s="2">
        <v>4.1383757508185841E-3</v>
      </c>
      <c r="AL91" s="2">
        <v>9.1353185574827907E-3</v>
      </c>
      <c r="AM91" s="2">
        <v>0.85</v>
      </c>
      <c r="AN91" s="2">
        <v>0.5</v>
      </c>
      <c r="AO91" s="2">
        <v>2.8991109393119444E-2</v>
      </c>
      <c r="AP91" s="2">
        <v>0.87574400058927204</v>
      </c>
      <c r="AQ91" s="16">
        <v>0.49891022962828951</v>
      </c>
      <c r="AR91" s="2">
        <v>0.63400000000000001</v>
      </c>
      <c r="AS91" s="2">
        <v>0.5</v>
      </c>
      <c r="AT91" s="2">
        <v>0.78099999999999992</v>
      </c>
      <c r="AU91" s="2">
        <v>0.83099999999999996</v>
      </c>
      <c r="AV91" s="2">
        <v>0.45</v>
      </c>
      <c r="AW91" s="2">
        <v>0.72699999999999998</v>
      </c>
      <c r="AX91" s="2">
        <v>0.67900000000000005</v>
      </c>
      <c r="AY91" s="2">
        <v>0.24313750078835064</v>
      </c>
      <c r="AZ91" s="2">
        <v>0.43589330841896839</v>
      </c>
      <c r="BA91" s="2">
        <v>0.28053505762978209</v>
      </c>
      <c r="BB91" s="2">
        <v>0.53517431227562784</v>
      </c>
      <c r="BC91" s="2">
        <v>5.7307705727224371E-2</v>
      </c>
      <c r="BD91" s="2">
        <v>0.28726540465965056</v>
      </c>
      <c r="BE91" s="2">
        <v>0.63700000000000001</v>
      </c>
    </row>
    <row r="92" spans="1:57">
      <c r="A92" s="1" t="s">
        <v>124</v>
      </c>
      <c r="B92" s="1" t="s">
        <v>279</v>
      </c>
      <c r="C92" s="2" t="e">
        <v>#N/A</v>
      </c>
      <c r="D92" s="2">
        <v>0</v>
      </c>
      <c r="E92" s="2" t="e">
        <v>#N/A</v>
      </c>
      <c r="F92" s="2">
        <v>0.43287988513706049</v>
      </c>
      <c r="G92" s="2">
        <v>0.91899852736445908</v>
      </c>
      <c r="H92" s="11">
        <v>0.45062613750050651</v>
      </c>
      <c r="I92" s="2">
        <v>5.9174377096428803E-2</v>
      </c>
      <c r="J92" s="2">
        <v>1</v>
      </c>
      <c r="K92" s="2">
        <v>0.67500000000000004</v>
      </c>
      <c r="L92" s="2" t="e">
        <v>#N/A</v>
      </c>
      <c r="M92" s="84">
        <v>0.57805812569880966</v>
      </c>
      <c r="N92" s="46">
        <v>0.44983001241499637</v>
      </c>
      <c r="O92" s="46">
        <v>0.46549343903811169</v>
      </c>
      <c r="P92" s="21">
        <v>2432</v>
      </c>
      <c r="Q92" s="22">
        <v>7.8</v>
      </c>
      <c r="R92" s="23" t="s">
        <v>460</v>
      </c>
      <c r="S92" s="2">
        <v>0.42247009028601545</v>
      </c>
      <c r="T92" s="2">
        <v>0.5</v>
      </c>
      <c r="U92" s="2">
        <v>0.45099999863654372</v>
      </c>
      <c r="V92" s="2">
        <v>0.125</v>
      </c>
      <c r="W92" s="2">
        <v>0.13733333333333334</v>
      </c>
      <c r="X92" s="2">
        <v>0.72099999930709602</v>
      </c>
      <c r="Y92" s="2">
        <v>0.44466666666666665</v>
      </c>
      <c r="Z92" s="2">
        <v>0.5664079998746514</v>
      </c>
      <c r="AA92" s="2">
        <v>1</v>
      </c>
      <c r="AB92" s="2">
        <v>0.2</v>
      </c>
      <c r="AC92" s="2">
        <v>0.8691999989002942</v>
      </c>
      <c r="AD92" s="2">
        <v>0.3</v>
      </c>
      <c r="AE92" s="2">
        <v>0.76749999999999996</v>
      </c>
      <c r="AF92" s="2">
        <v>0.85543999999999998</v>
      </c>
      <c r="AG92" s="2">
        <v>0.60292194849489078</v>
      </c>
      <c r="AH92" s="2">
        <v>0.53185035400000003</v>
      </c>
      <c r="AI92" s="2">
        <v>0.27287719292561108</v>
      </c>
      <c r="AJ92" s="2">
        <v>0.5</v>
      </c>
      <c r="AK92" s="2">
        <v>4.1383757508185841E-3</v>
      </c>
      <c r="AL92" s="2" t="e">
        <v>#N/A</v>
      </c>
      <c r="AM92" s="2">
        <v>0.4</v>
      </c>
      <c r="AN92" s="2">
        <v>0</v>
      </c>
      <c r="AO92" s="2">
        <v>0</v>
      </c>
      <c r="AP92" s="2">
        <v>0.5</v>
      </c>
      <c r="AQ92" s="16">
        <v>0.44225243296417049</v>
      </c>
      <c r="AR92" s="2">
        <v>0.65599999999999992</v>
      </c>
      <c r="AS92" s="2">
        <v>0.3</v>
      </c>
      <c r="AT92" s="2">
        <v>0.42200000000000004</v>
      </c>
      <c r="AU92" s="2" t="e">
        <v>#N/A</v>
      </c>
      <c r="AV92" s="2">
        <v>0.25</v>
      </c>
      <c r="AW92" s="2">
        <v>0.71900000000000008</v>
      </c>
      <c r="AX92" s="2">
        <v>0.55399999999999994</v>
      </c>
      <c r="AY92" s="2">
        <v>0.78707871663121698</v>
      </c>
      <c r="AZ92" s="2">
        <v>0.6451161245314212</v>
      </c>
      <c r="BA92" s="2">
        <v>0.47836074431587894</v>
      </c>
      <c r="BB92" s="2">
        <v>1.121933806158756E-2</v>
      </c>
      <c r="BC92" s="2" t="e">
        <v>#N/A</v>
      </c>
      <c r="BD92" s="2">
        <v>0.53488764041772219</v>
      </c>
      <c r="BE92" s="2">
        <v>0.86099999999999999</v>
      </c>
    </row>
    <row r="93" spans="1:57">
      <c r="A93" s="1" t="s">
        <v>76</v>
      </c>
      <c r="B93" s="1" t="s">
        <v>280</v>
      </c>
      <c r="C93" s="2">
        <v>0.49309912224129282</v>
      </c>
      <c r="D93" s="2">
        <v>0.86</v>
      </c>
      <c r="E93" s="2" t="e">
        <v>#N/A</v>
      </c>
      <c r="F93" s="2">
        <v>0.29669559415063246</v>
      </c>
      <c r="G93" s="2">
        <v>1</v>
      </c>
      <c r="H93" s="11">
        <v>0.66244867909798133</v>
      </c>
      <c r="I93" s="2">
        <v>0.64011885463241813</v>
      </c>
      <c r="J93" s="2">
        <v>0.11935522602553722</v>
      </c>
      <c r="K93" s="2">
        <v>0</v>
      </c>
      <c r="L93" s="2" t="e">
        <v>#N/A</v>
      </c>
      <c r="M93" s="84">
        <v>0.25315802688598515</v>
      </c>
      <c r="N93" s="46">
        <v>0.42316842721101028</v>
      </c>
      <c r="O93" s="46">
        <v>0.43881568957873007</v>
      </c>
      <c r="P93" s="21">
        <v>1244</v>
      </c>
      <c r="Q93" s="22">
        <v>7.13</v>
      </c>
      <c r="R93" s="23" t="s">
        <v>460</v>
      </c>
      <c r="S93" s="2">
        <v>0.78105296442687766</v>
      </c>
      <c r="T93" s="2">
        <v>8.9510000000000006E-2</v>
      </c>
      <c r="U93" s="2">
        <v>3.9999999105930328E-2</v>
      </c>
      <c r="V93" s="2">
        <v>0.625</v>
      </c>
      <c r="W93" s="2">
        <v>0.2</v>
      </c>
      <c r="X93" s="2">
        <v>0.52799999736249448</v>
      </c>
      <c r="Y93" s="2">
        <v>0.26791666666666664</v>
      </c>
      <c r="Z93" s="2">
        <v>0.37329599991738793</v>
      </c>
      <c r="AA93" s="2">
        <v>1</v>
      </c>
      <c r="AB93" s="2">
        <v>0.64</v>
      </c>
      <c r="AC93" s="2">
        <v>0.24379999969154598</v>
      </c>
      <c r="AD93" s="2">
        <v>0.90719999782741068</v>
      </c>
      <c r="AE93" s="2">
        <v>0.76749999999999996</v>
      </c>
      <c r="AF93" s="2">
        <v>0.57200000000000006</v>
      </c>
      <c r="AG93" s="2">
        <v>0.41059824270159051</v>
      </c>
      <c r="AH93" s="2">
        <v>0.61538461600000005</v>
      </c>
      <c r="AI93" s="2">
        <v>0.27287719292561108</v>
      </c>
      <c r="AJ93" s="2">
        <v>0.11169616448397678</v>
      </c>
      <c r="AK93" s="2">
        <v>3.8317234314162271E-2</v>
      </c>
      <c r="AL93" s="2">
        <v>0.102154823842261</v>
      </c>
      <c r="AM93" s="2">
        <v>0.4</v>
      </c>
      <c r="AN93" s="2">
        <v>0.6</v>
      </c>
      <c r="AO93" s="2">
        <v>9.9659496719541565E-2</v>
      </c>
      <c r="AP93" s="2">
        <v>0.9739344131909381</v>
      </c>
      <c r="AQ93" s="16">
        <v>0.44416240871568302</v>
      </c>
      <c r="AR93" s="2">
        <v>0.36000000089406969</v>
      </c>
      <c r="AS93" s="2">
        <v>9.2000000178813934E-2</v>
      </c>
      <c r="AT93" s="2" t="e">
        <v>#N/A</v>
      </c>
      <c r="AU93" s="2" t="e">
        <v>#N/A</v>
      </c>
      <c r="AV93" s="2">
        <v>9.9000000022351736E-2</v>
      </c>
      <c r="AW93" s="2" t="e">
        <v>#N/A</v>
      </c>
      <c r="AX93" s="2" t="e">
        <v>#N/A</v>
      </c>
      <c r="AY93" s="2">
        <v>0.45156871352949646</v>
      </c>
      <c r="AZ93" s="2">
        <v>5.6468443513168334E-2</v>
      </c>
      <c r="BA93" s="2">
        <v>0.22506950614659163</v>
      </c>
      <c r="BB93" s="2">
        <v>3.2191266346441112E-3</v>
      </c>
      <c r="BC93" s="2" t="e">
        <v>#N/A</v>
      </c>
      <c r="BD93" s="2">
        <v>0.25233284317415944</v>
      </c>
      <c r="BE93" s="2" t="e">
        <v>#N/A</v>
      </c>
    </row>
    <row r="94" spans="1:57">
      <c r="A94" s="1" t="s">
        <v>31</v>
      </c>
      <c r="B94" s="1" t="s">
        <v>281</v>
      </c>
      <c r="C94" s="2">
        <v>0.59702734190882212</v>
      </c>
      <c r="D94" s="2">
        <v>0.65759999999999996</v>
      </c>
      <c r="E94" s="2">
        <v>2.927438407863131E-2</v>
      </c>
      <c r="F94" s="2">
        <v>0.38332352371783512</v>
      </c>
      <c r="G94" s="2">
        <v>1</v>
      </c>
      <c r="H94" s="11">
        <v>0.53344504994105768</v>
      </c>
      <c r="I94" s="2">
        <v>0.51286165029462716</v>
      </c>
      <c r="J94" s="2">
        <v>0.20591887145047535</v>
      </c>
      <c r="K94" s="2">
        <v>0</v>
      </c>
      <c r="L94" s="2">
        <v>0</v>
      </c>
      <c r="M94" s="84">
        <v>0.17969513043627564</v>
      </c>
      <c r="N94" s="46">
        <v>0.28549453232003358</v>
      </c>
      <c r="O94" s="46">
        <v>0.31023862264033936</v>
      </c>
      <c r="P94" s="21">
        <v>27100</v>
      </c>
      <c r="Q94" s="22">
        <v>10.210000000000001</v>
      </c>
      <c r="R94" s="23">
        <v>0.94</v>
      </c>
      <c r="S94" s="2">
        <v>0.44048862325804905</v>
      </c>
      <c r="T94" s="2">
        <v>0.3654</v>
      </c>
      <c r="U94" s="2">
        <v>5.9199999123811686E-2</v>
      </c>
      <c r="V94" s="2">
        <v>0.44999999999999996</v>
      </c>
      <c r="W94" s="2">
        <v>0</v>
      </c>
      <c r="X94" s="2">
        <v>3.9999999105930328E-2</v>
      </c>
      <c r="Y94" s="2">
        <v>0.29558333333333331</v>
      </c>
      <c r="Z94" s="2">
        <v>0.18503199995905162</v>
      </c>
      <c r="AA94" s="2">
        <v>0</v>
      </c>
      <c r="AB94" s="2">
        <v>0.64</v>
      </c>
      <c r="AC94" s="2">
        <v>0.81619999896734952</v>
      </c>
      <c r="AD94" s="2">
        <v>0</v>
      </c>
      <c r="AE94" s="2">
        <v>0.76749999999999996</v>
      </c>
      <c r="AF94" s="2">
        <v>0.63104000000000005</v>
      </c>
      <c r="AG94" s="2">
        <v>0.16721248637735986</v>
      </c>
      <c r="AH94" s="2">
        <v>0.13302752200000001</v>
      </c>
      <c r="AI94" s="2">
        <v>0</v>
      </c>
      <c r="AJ94" s="2">
        <v>5.5628572952177097E-3</v>
      </c>
      <c r="AK94" s="2">
        <v>5.0105846966243005E-2</v>
      </c>
      <c r="AL94" s="2">
        <v>6.1584707616121198E-2</v>
      </c>
      <c r="AM94" s="2">
        <v>0.74</v>
      </c>
      <c r="AN94" s="2">
        <v>0.81</v>
      </c>
      <c r="AO94" s="2">
        <v>0.17024349979364423</v>
      </c>
      <c r="AP94" s="2">
        <v>0.24639999929815526</v>
      </c>
      <c r="AQ94" s="16">
        <v>0.29477420304559443</v>
      </c>
      <c r="AR94" s="2">
        <v>0.91900000000000004</v>
      </c>
      <c r="AS94" s="2">
        <v>0.7</v>
      </c>
      <c r="AT94" s="2">
        <v>0.71099999999999997</v>
      </c>
      <c r="AU94" s="2">
        <v>0.74900000000000011</v>
      </c>
      <c r="AV94" s="2">
        <v>0.7</v>
      </c>
      <c r="AW94" s="2">
        <v>0.77400000000000002</v>
      </c>
      <c r="AX94" s="2">
        <v>0.70799999999999996</v>
      </c>
      <c r="AY94" s="2">
        <v>0.54213973221287803</v>
      </c>
      <c r="AZ94" s="2">
        <v>0.63689524712285162</v>
      </c>
      <c r="BA94" s="2">
        <v>0.60333682118038379</v>
      </c>
      <c r="BB94" s="2">
        <v>1</v>
      </c>
      <c r="BC94" s="2">
        <v>1</v>
      </c>
      <c r="BD94" s="2">
        <v>0.69787773670194364</v>
      </c>
      <c r="BE94" s="2">
        <v>0.47100000000000003</v>
      </c>
    </row>
    <row r="95" spans="1:57">
      <c r="A95" s="1" t="s">
        <v>3</v>
      </c>
      <c r="B95" s="1" t="s">
        <v>282</v>
      </c>
      <c r="C95" s="2">
        <v>0.65967121154059694</v>
      </c>
      <c r="D95" s="2">
        <v>0.90649999999999997</v>
      </c>
      <c r="E95" s="2">
        <v>9.3539110845527098E-3</v>
      </c>
      <c r="F95" s="2">
        <v>0.38066850967312543</v>
      </c>
      <c r="G95" s="2">
        <v>0.64224349585969431</v>
      </c>
      <c r="H95" s="11">
        <v>0.51968742563159387</v>
      </c>
      <c r="I95" s="2">
        <v>3.0242287577483869E-3</v>
      </c>
      <c r="J95" s="2">
        <v>1</v>
      </c>
      <c r="K95" s="2">
        <v>0</v>
      </c>
      <c r="L95" s="2">
        <v>0</v>
      </c>
      <c r="M95" s="84">
        <v>0.25075605718943711</v>
      </c>
      <c r="N95" s="46">
        <v>0.26046936365828072</v>
      </c>
      <c r="O95" s="46">
        <v>0.29856745711255922</v>
      </c>
      <c r="P95" s="21">
        <v>48631</v>
      </c>
      <c r="Q95" s="22">
        <v>10.79</v>
      </c>
      <c r="R95" s="23">
        <v>0.92</v>
      </c>
      <c r="S95" s="2">
        <v>0.25986313364055308</v>
      </c>
      <c r="T95" s="2">
        <v>1</v>
      </c>
      <c r="U95" s="2">
        <v>4.9599999114871007E-2</v>
      </c>
      <c r="V95" s="2">
        <v>0.6</v>
      </c>
      <c r="W95" s="2">
        <v>0</v>
      </c>
      <c r="X95" s="2">
        <v>3.9999999105930328E-2</v>
      </c>
      <c r="Y95" s="2">
        <v>0.54108333333333336</v>
      </c>
      <c r="Z95" s="2">
        <v>1.6361999996379016E-2</v>
      </c>
      <c r="AA95" s="2">
        <v>1</v>
      </c>
      <c r="AB95" s="2">
        <v>0.1</v>
      </c>
      <c r="AC95" s="2">
        <v>1</v>
      </c>
      <c r="AD95" s="2">
        <v>0.28999999999999998</v>
      </c>
      <c r="AE95" s="2">
        <v>7.4999999999999997E-2</v>
      </c>
      <c r="AF95" s="2">
        <v>0.67456000000000005</v>
      </c>
      <c r="AG95" s="2">
        <v>0.20298302299603932</v>
      </c>
      <c r="AH95" s="2">
        <v>0.22083333399999999</v>
      </c>
      <c r="AI95" s="2">
        <v>0</v>
      </c>
      <c r="AJ95" s="2">
        <v>5.7666970350424718E-3</v>
      </c>
      <c r="AK95" s="2">
        <v>8.079863216672134E-2</v>
      </c>
      <c r="AL95" s="2">
        <v>0.24163408012917101</v>
      </c>
      <c r="AM95" s="2">
        <v>0</v>
      </c>
      <c r="AN95" s="2">
        <v>0</v>
      </c>
      <c r="AO95" s="2">
        <v>8.4175084175084167E-2</v>
      </c>
      <c r="AP95" s="2">
        <v>0.25199999772012238</v>
      </c>
      <c r="AQ95" s="16">
        <v>0.28061080472555194</v>
      </c>
      <c r="AR95" s="2">
        <v>0.65799999999999992</v>
      </c>
      <c r="AS95" s="2">
        <v>0.5</v>
      </c>
      <c r="AT95" s="2">
        <v>0.99900000000000011</v>
      </c>
      <c r="AU95" s="2">
        <v>0.7659999999999999</v>
      </c>
      <c r="AV95" s="2">
        <v>0.55000000000000004</v>
      </c>
      <c r="AW95" s="2">
        <v>0.66400000000000003</v>
      </c>
      <c r="AX95" s="2">
        <v>0.82499999999999996</v>
      </c>
      <c r="AY95" s="2">
        <v>0.5826689174844214</v>
      </c>
      <c r="AZ95" s="2">
        <v>0.39249897457111194</v>
      </c>
      <c r="BA95" s="2">
        <v>0.58391963014333759</v>
      </c>
      <c r="BB95" s="2">
        <v>1</v>
      </c>
      <c r="BC95" s="2">
        <v>0.23765141786721031</v>
      </c>
      <c r="BD95" s="2">
        <v>0.61692961909775001</v>
      </c>
      <c r="BE95" s="2">
        <v>0.88</v>
      </c>
    </row>
    <row r="96" spans="1:57">
      <c r="A96" s="1" t="s">
        <v>144</v>
      </c>
      <c r="B96" s="1" t="s">
        <v>283</v>
      </c>
      <c r="C96" s="2">
        <v>0.45484725496334399</v>
      </c>
      <c r="D96" s="2">
        <v>0.7671</v>
      </c>
      <c r="E96" s="2">
        <v>0.76874336128065346</v>
      </c>
      <c r="F96" s="2">
        <v>0.55788704965697</v>
      </c>
      <c r="G96" s="2">
        <v>0.87849779104668868</v>
      </c>
      <c r="H96" s="11">
        <v>0.68541509138953116</v>
      </c>
      <c r="I96" s="2">
        <v>0.2671557247277076</v>
      </c>
      <c r="J96" s="2">
        <v>0.48545487579196611</v>
      </c>
      <c r="K96" s="2">
        <v>2.5000000000000001E-2</v>
      </c>
      <c r="L96" s="2">
        <v>0</v>
      </c>
      <c r="M96" s="84">
        <v>0.19440265012991845</v>
      </c>
      <c r="N96" s="46">
        <v>0.2630550444538382</v>
      </c>
      <c r="O96" s="46">
        <v>0.31872748861695299</v>
      </c>
      <c r="P96" s="21">
        <v>2283</v>
      </c>
      <c r="Q96" s="22">
        <v>7.73</v>
      </c>
      <c r="R96" s="23">
        <v>0.71</v>
      </c>
      <c r="S96" s="2">
        <v>5.8536198347107445E-2</v>
      </c>
      <c r="T96" s="2">
        <v>0.52403999804779888</v>
      </c>
      <c r="U96" s="2">
        <v>0.13599999919533734</v>
      </c>
      <c r="V96" s="2">
        <v>0.8</v>
      </c>
      <c r="W96" s="2">
        <v>0.16266666666666665</v>
      </c>
      <c r="X96" s="2">
        <v>0.10719999916851519</v>
      </c>
      <c r="Y96" s="2">
        <v>0.2485</v>
      </c>
      <c r="Z96" s="2">
        <v>0.64195599985793239</v>
      </c>
      <c r="AA96" s="2">
        <v>0.87534244112301207</v>
      </c>
      <c r="AB96" s="2">
        <v>0.6</v>
      </c>
      <c r="AC96" s="2">
        <v>0.30739999961107967</v>
      </c>
      <c r="AD96" s="2">
        <v>3.2399999946355819E-2</v>
      </c>
      <c r="AE96" s="2">
        <v>7.4999999999999997E-2</v>
      </c>
      <c r="AF96" s="2">
        <v>0.58952000000000004</v>
      </c>
      <c r="AG96" s="2">
        <v>0.4065006817221658</v>
      </c>
      <c r="AH96" s="2">
        <v>0.20162016199999999</v>
      </c>
      <c r="AI96" s="2">
        <v>0.12236787206291945</v>
      </c>
      <c r="AJ96" s="2">
        <v>5.7469047690594875E-2</v>
      </c>
      <c r="AK96" s="2">
        <v>0</v>
      </c>
      <c r="AL96" s="2">
        <v>0</v>
      </c>
      <c r="AM96" s="2">
        <v>0</v>
      </c>
      <c r="AN96" s="2">
        <v>0.96</v>
      </c>
      <c r="AO96" s="2">
        <v>7.8206465067778945E-3</v>
      </c>
      <c r="AP96" s="2">
        <v>0.25298000888076144</v>
      </c>
      <c r="AQ96" s="16">
        <v>0.29863832170112609</v>
      </c>
      <c r="AR96" s="2">
        <v>0.7659999999999999</v>
      </c>
      <c r="AS96" s="2">
        <v>0.5</v>
      </c>
      <c r="AT96" s="2">
        <v>0.92900000000000005</v>
      </c>
      <c r="AU96" s="2">
        <v>0.80200000000000005</v>
      </c>
      <c r="AV96" s="2">
        <v>0.5</v>
      </c>
      <c r="AW96" s="2">
        <v>0.622</v>
      </c>
      <c r="AX96" s="2">
        <v>0.75900000000000001</v>
      </c>
      <c r="AY96" s="2">
        <v>0.39279498300567989</v>
      </c>
      <c r="AZ96" s="2">
        <v>0.31075250883847244</v>
      </c>
      <c r="BA96" s="2">
        <v>0.25773572550458934</v>
      </c>
      <c r="BB96" s="2">
        <v>0.92755236832413679</v>
      </c>
      <c r="BC96" s="2">
        <v>0.71876616444799379</v>
      </c>
      <c r="BD96" s="2">
        <v>0.24515418466462569</v>
      </c>
      <c r="BE96" s="2">
        <v>0.82599999999999996</v>
      </c>
    </row>
    <row r="97" spans="1:57">
      <c r="A97" s="1" t="s">
        <v>154</v>
      </c>
      <c r="B97" s="1" t="s">
        <v>284</v>
      </c>
      <c r="C97" s="2">
        <v>0.45745331663096778</v>
      </c>
      <c r="D97" s="2">
        <v>6.0000000000000053E-2</v>
      </c>
      <c r="E97" s="2">
        <v>1</v>
      </c>
      <c r="F97" s="2">
        <v>0.64000586474508214</v>
      </c>
      <c r="G97" s="2">
        <v>1</v>
      </c>
      <c r="H97" s="11">
        <v>0.63149183627520999</v>
      </c>
      <c r="I97" s="2">
        <v>1</v>
      </c>
      <c r="J97" s="2">
        <v>0.43411812530344329</v>
      </c>
      <c r="K97" s="2">
        <v>1</v>
      </c>
      <c r="L97" s="2">
        <v>1</v>
      </c>
      <c r="M97" s="84">
        <v>0.85852953132586085</v>
      </c>
      <c r="N97" s="46">
        <v>0.43804845516943286</v>
      </c>
      <c r="O97" s="46">
        <v>0.51832546153775405</v>
      </c>
      <c r="P97" s="21">
        <v>2255</v>
      </c>
      <c r="Q97" s="22">
        <v>7.72</v>
      </c>
      <c r="R97" s="23">
        <v>0.62</v>
      </c>
      <c r="S97" s="2">
        <v>0.23213225806451618</v>
      </c>
      <c r="T97" s="2">
        <v>8.9959999999999988E-3</v>
      </c>
      <c r="U97" s="2">
        <v>0.4527999994903803</v>
      </c>
      <c r="V97" s="2">
        <v>0.27500000000000002</v>
      </c>
      <c r="W97" s="2">
        <v>0.16133333333333333</v>
      </c>
      <c r="X97" s="2">
        <v>0.49119999952614313</v>
      </c>
      <c r="Y97" s="2">
        <v>0.49116666666666664</v>
      </c>
      <c r="Z97" s="2">
        <v>0.68639599984809752</v>
      </c>
      <c r="AA97" s="2">
        <v>1</v>
      </c>
      <c r="AB97" s="2">
        <v>0.26</v>
      </c>
      <c r="AC97" s="2">
        <v>3.1799999959766866E-2</v>
      </c>
      <c r="AD97" s="2">
        <v>0.97199999839067464</v>
      </c>
      <c r="AE97" s="2">
        <v>0.76749999999999996</v>
      </c>
      <c r="AF97" s="2">
        <v>0.93944000000000005</v>
      </c>
      <c r="AG97" s="2">
        <v>0.45251933542356082</v>
      </c>
      <c r="AH97" s="2">
        <v>0.59968102000000001</v>
      </c>
      <c r="AI97" s="2">
        <v>0</v>
      </c>
      <c r="AJ97" s="2">
        <v>0.52798588524609991</v>
      </c>
      <c r="AK97" s="2">
        <v>0</v>
      </c>
      <c r="AL97" s="2">
        <v>0</v>
      </c>
      <c r="AM97" s="2">
        <v>0.44999999999999996</v>
      </c>
      <c r="AN97" s="2">
        <v>1</v>
      </c>
      <c r="AO97" s="2">
        <v>4.5493934142114389E-2</v>
      </c>
      <c r="AP97" s="2">
        <v>0.87001599987894296</v>
      </c>
      <c r="AQ97" s="16">
        <v>0.446477517915429</v>
      </c>
      <c r="AR97" s="2">
        <v>0.59399999999999997</v>
      </c>
      <c r="AS97" s="2">
        <v>0.2</v>
      </c>
      <c r="AT97" s="2">
        <v>0.80099999999999993</v>
      </c>
      <c r="AU97" s="2">
        <v>0.90300000000000002</v>
      </c>
      <c r="AV97" s="2">
        <v>0.25</v>
      </c>
      <c r="AW97" s="2">
        <v>0.73499999999999999</v>
      </c>
      <c r="AX97" s="2">
        <v>0.68400000000000005</v>
      </c>
      <c r="AY97" s="2">
        <v>0.4991933340631759</v>
      </c>
      <c r="AZ97" s="2">
        <v>0.16132517851708003</v>
      </c>
      <c r="BA97" s="2">
        <v>0.27359359950586593</v>
      </c>
      <c r="BB97" s="2">
        <v>0.56295327434313902</v>
      </c>
      <c r="BC97" s="2">
        <v>0.18329280017070473</v>
      </c>
      <c r="BD97" s="2">
        <v>0.31398807301632403</v>
      </c>
      <c r="BE97" s="2">
        <v>0.58899999999999997</v>
      </c>
    </row>
    <row r="98" spans="1:57">
      <c r="A98" s="1" t="s">
        <v>61</v>
      </c>
      <c r="B98" s="1" t="s">
        <v>285</v>
      </c>
      <c r="C98" s="2">
        <v>8.4005946329871684E-2</v>
      </c>
      <c r="D98" s="2">
        <v>0</v>
      </c>
      <c r="E98" s="2">
        <v>0.16826734986959582</v>
      </c>
      <c r="F98" s="2">
        <v>4.6536076891681655E-2</v>
      </c>
      <c r="G98" s="2">
        <v>0.53424153234563976</v>
      </c>
      <c r="H98" s="11">
        <v>0.16661018108735778</v>
      </c>
      <c r="I98" s="2">
        <v>0</v>
      </c>
      <c r="J98" s="2">
        <v>0.51769273886007083</v>
      </c>
      <c r="K98" s="2">
        <v>0.27500000000000002</v>
      </c>
      <c r="L98" s="2">
        <v>0</v>
      </c>
      <c r="M98" s="84">
        <v>0.19817318471501771</v>
      </c>
      <c r="N98" s="46">
        <v>0.2265488151917576</v>
      </c>
      <c r="O98" s="46">
        <v>0.21402773360300126</v>
      </c>
      <c r="P98" s="21">
        <v>16437</v>
      </c>
      <c r="Q98" s="22">
        <v>9.7100000000000009</v>
      </c>
      <c r="R98" s="23">
        <v>0.87</v>
      </c>
      <c r="S98" s="2">
        <v>0.4265325315005728</v>
      </c>
      <c r="T98" s="2">
        <v>1.3979999947920443E-2</v>
      </c>
      <c r="U98" s="2">
        <v>4.9599999114871007E-2</v>
      </c>
      <c r="V98" s="2">
        <v>0.75</v>
      </c>
      <c r="W98" s="2">
        <v>0</v>
      </c>
      <c r="X98" s="2">
        <v>0.25119999930262571</v>
      </c>
      <c r="Y98" s="2">
        <v>0.27966666666666667</v>
      </c>
      <c r="Z98" s="2">
        <v>0.32158399992883202</v>
      </c>
      <c r="AA98" s="2">
        <v>0.79290455840450003</v>
      </c>
      <c r="AB98" s="2">
        <v>0.08</v>
      </c>
      <c r="AC98" s="2">
        <v>0.15899999979883431</v>
      </c>
      <c r="AD98" s="2">
        <v>0</v>
      </c>
      <c r="AE98" s="2">
        <v>0.87499999999999989</v>
      </c>
      <c r="AF98" s="2">
        <v>0.56736000000000009</v>
      </c>
      <c r="AG98" s="2">
        <v>0.31302477919608407</v>
      </c>
      <c r="AH98" s="2">
        <v>7.6628351999999997E-2</v>
      </c>
      <c r="AI98" s="2">
        <v>0</v>
      </c>
      <c r="AJ98" s="2">
        <v>7.2923811937308678E-3</v>
      </c>
      <c r="AK98" s="2">
        <v>4.3853889263716993E-2</v>
      </c>
      <c r="AL98" s="2">
        <v>0.33647723622301101</v>
      </c>
      <c r="AM98" s="2">
        <v>0</v>
      </c>
      <c r="AN98" s="2">
        <v>0.84</v>
      </c>
      <c r="AO98" s="2">
        <v>0</v>
      </c>
      <c r="AP98" s="2">
        <v>3.9999999105930328E-2</v>
      </c>
      <c r="AQ98" s="16">
        <v>0.25933768298530402</v>
      </c>
      <c r="AR98" s="2">
        <v>0.72900000000000009</v>
      </c>
      <c r="AS98" s="2">
        <v>0.5</v>
      </c>
      <c r="AT98" s="2">
        <v>0.82700000000000007</v>
      </c>
      <c r="AU98" s="2">
        <v>0.57399999999999995</v>
      </c>
      <c r="AV98" s="2">
        <v>0.8</v>
      </c>
      <c r="AW98" s="2">
        <v>0.67</v>
      </c>
      <c r="AX98" s="2">
        <v>0.875</v>
      </c>
      <c r="AY98" s="2">
        <v>0.5872568256200017</v>
      </c>
      <c r="AZ98" s="2">
        <v>0.65683798695842466</v>
      </c>
      <c r="BA98" s="2">
        <v>0.55972747915897503</v>
      </c>
      <c r="BB98" s="2">
        <v>1</v>
      </c>
      <c r="BC98" s="2">
        <v>0.94907108659817718</v>
      </c>
      <c r="BD98" s="2">
        <v>0.66487291376826763</v>
      </c>
      <c r="BE98" s="2">
        <v>0.59099999999999997</v>
      </c>
    </row>
    <row r="99" spans="1:57">
      <c r="A99" s="1" t="s">
        <v>20</v>
      </c>
      <c r="B99" s="1" t="s">
        <v>286</v>
      </c>
      <c r="C99" s="2">
        <v>0.6124931048787321</v>
      </c>
      <c r="D99" s="2">
        <v>0.97240000000000004</v>
      </c>
      <c r="E99" s="2" t="e">
        <v>#N/A</v>
      </c>
      <c r="F99" s="2">
        <v>0.23093430695061976</v>
      </c>
      <c r="G99" s="2">
        <v>0.4534446080706156</v>
      </c>
      <c r="H99" s="11">
        <v>0.56731800497499185</v>
      </c>
      <c r="I99" s="2">
        <v>9.4761016995388303E-2</v>
      </c>
      <c r="J99" s="2">
        <v>0.6077613720849151</v>
      </c>
      <c r="K99" s="2">
        <v>0.32500000000000001</v>
      </c>
      <c r="L99" s="2">
        <v>0.75857142857142856</v>
      </c>
      <c r="M99" s="84">
        <v>0.44652345441293295</v>
      </c>
      <c r="N99" s="46">
        <v>0.25224420823472465</v>
      </c>
      <c r="O99" s="46">
        <v>0.32353166182303283</v>
      </c>
      <c r="P99" s="21">
        <v>13070</v>
      </c>
      <c r="Q99" s="22">
        <v>9.48</v>
      </c>
      <c r="R99" s="23">
        <v>0.8</v>
      </c>
      <c r="S99" s="2">
        <v>0.69269723113964699</v>
      </c>
      <c r="T99" s="2">
        <v>0.30854999937303362</v>
      </c>
      <c r="U99" s="2">
        <v>3.9999999105930328E-2</v>
      </c>
      <c r="V99" s="2">
        <v>0.44999999999999996</v>
      </c>
      <c r="W99" s="2">
        <v>2.6666666666666668E-2</v>
      </c>
      <c r="X99" s="2">
        <v>0.1179999978095293</v>
      </c>
      <c r="Y99" s="2">
        <v>0.54108333333333336</v>
      </c>
      <c r="Z99" s="2">
        <v>0.13049199997112154</v>
      </c>
      <c r="AA99" s="2">
        <v>0.70697700547651265</v>
      </c>
      <c r="AB99" s="2">
        <v>0.16</v>
      </c>
      <c r="AC99" s="2">
        <v>0.94339999880641701</v>
      </c>
      <c r="AD99" s="2">
        <v>0.03</v>
      </c>
      <c r="AE99" s="2">
        <v>7.4999999999999997E-2</v>
      </c>
      <c r="AF99" s="2">
        <v>0.62759999999999994</v>
      </c>
      <c r="AG99" s="2">
        <v>0.31669151090681591</v>
      </c>
      <c r="AH99" s="2">
        <v>0.133333334</v>
      </c>
      <c r="AI99" s="2">
        <v>1.3600463925690158E-2</v>
      </c>
      <c r="AJ99" s="2">
        <v>1.2943824648872422E-2</v>
      </c>
      <c r="AK99" s="2">
        <v>1.6118995598252122E-2</v>
      </c>
      <c r="AL99" s="2">
        <v>0.137457171820657</v>
      </c>
      <c r="AM99" s="2">
        <v>9.9999999999988987E-4</v>
      </c>
      <c r="AN99" s="2">
        <v>0.96</v>
      </c>
      <c r="AO99" s="2">
        <v>0.1466275659824047</v>
      </c>
      <c r="AP99" s="2">
        <v>0.33777998389114161</v>
      </c>
      <c r="AQ99" s="16">
        <v>0.28858412843566777</v>
      </c>
      <c r="AR99" s="2">
        <v>0.56600000000000006</v>
      </c>
      <c r="AS99" s="2">
        <v>0.6</v>
      </c>
      <c r="AT99" s="2">
        <v>0.91599999999999993</v>
      </c>
      <c r="AU99" s="2">
        <v>0.628</v>
      </c>
      <c r="AV99" s="2">
        <v>0.55000000000000004</v>
      </c>
      <c r="AW99" s="2">
        <v>0.71400000000000008</v>
      </c>
      <c r="AX99" s="2">
        <v>0.80500000000000005</v>
      </c>
      <c r="AY99" s="2">
        <v>0.20171420649406943</v>
      </c>
      <c r="AZ99" s="2">
        <v>0.43381617407221845</v>
      </c>
      <c r="BA99" s="2">
        <v>0.34211364632139396</v>
      </c>
      <c r="BB99" s="2">
        <v>0.39743789183632511</v>
      </c>
      <c r="BC99" s="2">
        <v>0.74276390588198338</v>
      </c>
      <c r="BD99" s="2">
        <v>0.37401621190661416</v>
      </c>
      <c r="BE99" s="2">
        <v>0.56999999999999995</v>
      </c>
    </row>
    <row r="100" spans="1:57">
      <c r="A100" s="1" t="s">
        <v>172</v>
      </c>
      <c r="B100" s="1" t="s">
        <v>287</v>
      </c>
      <c r="C100" s="2">
        <v>0.52467862998695503</v>
      </c>
      <c r="D100" s="2">
        <v>0.9859</v>
      </c>
      <c r="E100" s="2">
        <v>4.4188498059784455E-2</v>
      </c>
      <c r="F100" s="2">
        <v>9.8545005284295287E-2</v>
      </c>
      <c r="G100" s="2">
        <v>0.69624447761672148</v>
      </c>
      <c r="H100" s="11">
        <v>0.46991132218955123</v>
      </c>
      <c r="I100" s="2">
        <v>1</v>
      </c>
      <c r="J100" s="2">
        <v>0.415743785029351</v>
      </c>
      <c r="K100" s="2">
        <v>0.375</v>
      </c>
      <c r="L100" s="2">
        <v>0.76714285714285724</v>
      </c>
      <c r="M100" s="84">
        <v>0.63947166054305205</v>
      </c>
      <c r="N100" s="46">
        <v>0.4938672090447746</v>
      </c>
      <c r="O100" s="46">
        <v>0.50788655364225921</v>
      </c>
      <c r="P100" s="21">
        <v>1468</v>
      </c>
      <c r="Q100" s="22">
        <v>7.29</v>
      </c>
      <c r="R100" s="23">
        <v>0.51</v>
      </c>
      <c r="S100" s="2">
        <v>0.57349992890995261</v>
      </c>
      <c r="T100" s="2">
        <v>1.6549999999999999E-2</v>
      </c>
      <c r="U100" s="2">
        <v>0.18399999924004073</v>
      </c>
      <c r="V100" s="2">
        <v>0.375</v>
      </c>
      <c r="W100" s="2">
        <v>2.9333333333333333E-2</v>
      </c>
      <c r="X100" s="2">
        <v>0.72159999974071987</v>
      </c>
      <c r="Y100" s="2">
        <v>0.69216666666666671</v>
      </c>
      <c r="Z100" s="2">
        <v>0.74558199983499951</v>
      </c>
      <c r="AA100" s="2">
        <v>1</v>
      </c>
      <c r="AB100" s="2">
        <v>0.28000000000000003</v>
      </c>
      <c r="AC100" s="2">
        <v>0.57239999927580365</v>
      </c>
      <c r="AD100" s="2">
        <v>0.40319999903440473</v>
      </c>
      <c r="AE100" s="2">
        <v>0.40749999999999997</v>
      </c>
      <c r="AF100" s="2">
        <v>0.97119999999999995</v>
      </c>
      <c r="AG100" s="2">
        <v>0.83609740407347855</v>
      </c>
      <c r="AH100" s="2">
        <v>1</v>
      </c>
      <c r="AI100" s="2">
        <v>0.30706302278104564</v>
      </c>
      <c r="AJ100" s="2">
        <v>0.42066837477835878</v>
      </c>
      <c r="AK100" s="2">
        <v>0</v>
      </c>
      <c r="AL100" s="2">
        <v>0</v>
      </c>
      <c r="AM100" s="2">
        <v>0.84</v>
      </c>
      <c r="AN100" s="2">
        <v>1</v>
      </c>
      <c r="AO100" s="2">
        <v>0</v>
      </c>
      <c r="AP100" s="2">
        <v>0.84994000549573367</v>
      </c>
      <c r="AQ100" s="16">
        <v>0.50940836388185573</v>
      </c>
      <c r="AR100" s="2">
        <v>0.62</v>
      </c>
      <c r="AS100" s="2">
        <v>0.4</v>
      </c>
      <c r="AT100" s="2">
        <v>0.52</v>
      </c>
      <c r="AU100" s="2">
        <v>0.3</v>
      </c>
      <c r="AV100" s="2">
        <v>0.25</v>
      </c>
      <c r="AW100" s="2">
        <v>0.70299999999999996</v>
      </c>
      <c r="AX100" s="2">
        <v>0.63500000000000001</v>
      </c>
      <c r="AY100" s="2">
        <v>0.57039806243706037</v>
      </c>
      <c r="AZ100" s="2">
        <v>0.47315855403249413</v>
      </c>
      <c r="BA100" s="2">
        <v>0.5283688015570861</v>
      </c>
      <c r="BB100" s="2">
        <v>0.35177962956659692</v>
      </c>
      <c r="BC100" s="2">
        <v>4.7731571521343927E-2</v>
      </c>
      <c r="BD100" s="2">
        <v>0.44814753888511277</v>
      </c>
      <c r="BE100" s="2">
        <v>0.66099999999999992</v>
      </c>
    </row>
    <row r="101" spans="1:57">
      <c r="A101" s="1" t="s">
        <v>88</v>
      </c>
      <c r="B101" s="1" t="s">
        <v>288</v>
      </c>
      <c r="C101" s="2">
        <v>0.32066398664782336</v>
      </c>
      <c r="D101" s="2">
        <v>0.89590000000000003</v>
      </c>
      <c r="E101" s="2">
        <v>1</v>
      </c>
      <c r="F101" s="2">
        <v>0.46026387830042648</v>
      </c>
      <c r="G101" s="2">
        <v>0.52790050634704488</v>
      </c>
      <c r="H101" s="11">
        <v>0.64094567425905891</v>
      </c>
      <c r="I101" s="2">
        <v>0.13756379475834626</v>
      </c>
      <c r="J101" s="2">
        <v>0.33837558031364495</v>
      </c>
      <c r="K101" s="2">
        <v>0.52500000000000002</v>
      </c>
      <c r="L101" s="2">
        <v>0.97571428571428565</v>
      </c>
      <c r="M101" s="84">
        <v>0.49416341519656926</v>
      </c>
      <c r="N101" s="46">
        <v>0.52864236237859985</v>
      </c>
      <c r="O101" s="46">
        <v>0.54147874936872631</v>
      </c>
      <c r="P101" s="21">
        <v>396</v>
      </c>
      <c r="Q101" s="22">
        <v>5.98</v>
      </c>
      <c r="R101" s="23">
        <v>0.44</v>
      </c>
      <c r="S101" s="2">
        <v>0.64721813333333333</v>
      </c>
      <c r="T101" s="2">
        <v>7.6899999999999994E-4</v>
      </c>
      <c r="U101" s="2">
        <v>0.34719999939203261</v>
      </c>
      <c r="V101" s="2">
        <v>0.22499999999999998</v>
      </c>
      <c r="W101" s="2">
        <v>0.59</v>
      </c>
      <c r="X101" s="2">
        <v>0.83679999984800812</v>
      </c>
      <c r="Y101" s="2">
        <v>0.62008333333333332</v>
      </c>
      <c r="Z101" s="2">
        <v>0.39571799991242584</v>
      </c>
      <c r="AA101" s="2">
        <v>1</v>
      </c>
      <c r="AB101" s="2">
        <v>0.52</v>
      </c>
      <c r="AC101" s="2">
        <v>0.64659999918192623</v>
      </c>
      <c r="AD101" s="2">
        <v>0.62539999920874834</v>
      </c>
      <c r="AE101" s="2">
        <v>0.20749999999999999</v>
      </c>
      <c r="AF101" s="2">
        <v>0.98807999999999996</v>
      </c>
      <c r="AG101" s="2">
        <v>0.58134805749475971</v>
      </c>
      <c r="AH101" s="2">
        <v>0.97082557400000002</v>
      </c>
      <c r="AI101" s="2">
        <v>0.47469999989494682</v>
      </c>
      <c r="AJ101" s="2">
        <v>1</v>
      </c>
      <c r="AK101" s="2">
        <v>0.1</v>
      </c>
      <c r="AL101" s="2">
        <v>0.150830003833124</v>
      </c>
      <c r="AM101" s="2">
        <v>0.96699999999999997</v>
      </c>
      <c r="AN101" s="2">
        <v>0</v>
      </c>
      <c r="AO101" s="2">
        <v>1.5573089700996679E-2</v>
      </c>
      <c r="AP101" s="2">
        <v>0.9491600013167546</v>
      </c>
      <c r="AQ101" s="16">
        <v>0.53582521626876622</v>
      </c>
      <c r="AR101" s="2">
        <v>0.52800000000000002</v>
      </c>
      <c r="AS101" s="2">
        <v>0.2</v>
      </c>
      <c r="AT101" s="2">
        <v>0.67799999999999994</v>
      </c>
      <c r="AU101" s="2">
        <v>0.82299999999999995</v>
      </c>
      <c r="AV101" s="2">
        <v>0.2</v>
      </c>
      <c r="AW101" s="2">
        <v>0.65400000000000003</v>
      </c>
      <c r="AX101" s="2">
        <v>0.53799999999999992</v>
      </c>
      <c r="AY101" s="2">
        <v>0.30333453848940961</v>
      </c>
      <c r="AZ101" s="2">
        <v>0.43646025219082951</v>
      </c>
      <c r="BA101" s="2">
        <v>0.38976454677119154</v>
      </c>
      <c r="BB101" s="2">
        <v>0.2341858200028652</v>
      </c>
      <c r="BC101" s="2">
        <v>0.19872114396758378</v>
      </c>
      <c r="BD101" s="2">
        <v>0.28371055282547025</v>
      </c>
      <c r="BE101" s="2">
        <v>0.51300000000000001</v>
      </c>
    </row>
    <row r="102" spans="1:57">
      <c r="A102" s="1" t="s">
        <v>34</v>
      </c>
      <c r="B102" s="1" t="s">
        <v>289</v>
      </c>
      <c r="C102" s="2">
        <v>0.56989216926905595</v>
      </c>
      <c r="D102" s="2">
        <v>0.99350000000000005</v>
      </c>
      <c r="E102" s="2" t="e">
        <v>#N/A</v>
      </c>
      <c r="F102" s="2">
        <v>0.19033545862930876</v>
      </c>
      <c r="G102" s="2">
        <v>0.6489936185793227</v>
      </c>
      <c r="H102" s="11">
        <v>0.60068031161942181</v>
      </c>
      <c r="I102" s="2">
        <v>7.8934890507142669E-2</v>
      </c>
      <c r="J102" s="2">
        <v>0.17674301685620639</v>
      </c>
      <c r="K102" s="2">
        <v>2.5000000000000001E-2</v>
      </c>
      <c r="L102" s="2" t="e">
        <v>#N/A</v>
      </c>
      <c r="M102" s="84">
        <v>9.3559302454449697E-2</v>
      </c>
      <c r="N102" s="46">
        <v>0.29002142849067641</v>
      </c>
      <c r="O102" s="46">
        <v>0.31327736520276195</v>
      </c>
      <c r="P102" s="21">
        <v>16502</v>
      </c>
      <c r="Q102" s="22">
        <v>9.7100000000000009</v>
      </c>
      <c r="R102" s="23">
        <v>0.85</v>
      </c>
      <c r="S102" s="2">
        <v>0.53898026315789471</v>
      </c>
      <c r="T102" s="2">
        <v>1</v>
      </c>
      <c r="U102" s="2">
        <v>0.56799999758601194</v>
      </c>
      <c r="V102" s="2">
        <v>0.5</v>
      </c>
      <c r="W102" s="2">
        <v>0.2</v>
      </c>
      <c r="X102" s="2">
        <v>6.8799999132752365E-2</v>
      </c>
      <c r="Y102" s="2">
        <v>0.66583333333333339</v>
      </c>
      <c r="Z102" s="2">
        <v>0.22502799995020034</v>
      </c>
      <c r="AA102" s="2">
        <v>0.9545523809523333</v>
      </c>
      <c r="AB102" s="2">
        <v>0.32</v>
      </c>
      <c r="AC102" s="2">
        <v>0.89039999887347221</v>
      </c>
      <c r="AD102" s="2">
        <v>0.06</v>
      </c>
      <c r="AE102" s="2">
        <v>7.4999999999999997E-2</v>
      </c>
      <c r="AF102" s="2">
        <v>0.57600000000000007</v>
      </c>
      <c r="AG102" s="2">
        <v>0.27288319867089394</v>
      </c>
      <c r="AH102" s="2">
        <v>0.17602040799999999</v>
      </c>
      <c r="AI102" s="2">
        <v>1.0540326940367379E-2</v>
      </c>
      <c r="AJ102" s="2">
        <v>4.8432602618363345E-2</v>
      </c>
      <c r="AK102" s="2">
        <v>7.179170747141932E-3</v>
      </c>
      <c r="AL102" s="2">
        <v>0.15559427165075801</v>
      </c>
      <c r="AM102" s="2">
        <v>2.0000000000000018E-3</v>
      </c>
      <c r="AN102" s="2">
        <v>0</v>
      </c>
      <c r="AO102" s="2">
        <v>8.5249553860668127E-4</v>
      </c>
      <c r="AP102" s="2">
        <v>0.53095999146666473</v>
      </c>
      <c r="AQ102" s="16">
        <v>0.32696068494244973</v>
      </c>
      <c r="AR102" s="2">
        <v>0.2</v>
      </c>
      <c r="AS102" s="2">
        <v>0.2</v>
      </c>
      <c r="AT102" s="2">
        <v>0.81700000000000006</v>
      </c>
      <c r="AU102" s="2">
        <v>0.628</v>
      </c>
      <c r="AV102" s="2">
        <v>0.1</v>
      </c>
      <c r="AW102" s="2">
        <v>0.66400000000000003</v>
      </c>
      <c r="AX102" s="2">
        <v>0.85</v>
      </c>
      <c r="AY102" s="2">
        <v>0.62281522980751114</v>
      </c>
      <c r="AZ102" s="2">
        <v>0.12591005686827056</v>
      </c>
      <c r="BA102" s="2">
        <v>0.283098430374846</v>
      </c>
      <c r="BB102" s="2">
        <v>0.8573931940393007</v>
      </c>
      <c r="BC102" s="2">
        <v>0.68484195963476124</v>
      </c>
      <c r="BD102" s="2">
        <v>0.35103325860633189</v>
      </c>
      <c r="BE102" s="2">
        <v>0.2</v>
      </c>
    </row>
    <row r="103" spans="1:57">
      <c r="A103" s="1" t="s">
        <v>187</v>
      </c>
      <c r="B103" s="1" t="s">
        <v>290</v>
      </c>
      <c r="C103" s="2" t="e">
        <v>#N/A</v>
      </c>
      <c r="D103" s="2">
        <v>0.2229000000000001</v>
      </c>
      <c r="E103" s="2" t="e">
        <v>#N/A</v>
      </c>
      <c r="F103" s="2">
        <v>0</v>
      </c>
      <c r="G103" s="2">
        <v>0.57474226866341016</v>
      </c>
      <c r="H103" s="11">
        <v>0.26588075622113677</v>
      </c>
      <c r="I103" s="2">
        <v>0</v>
      </c>
      <c r="J103" s="2">
        <v>1</v>
      </c>
      <c r="K103" s="2" t="e">
        <v>#N/A</v>
      </c>
      <c r="L103" s="2">
        <v>0</v>
      </c>
      <c r="M103" s="84">
        <v>0.33333333333333331</v>
      </c>
      <c r="N103" s="46" t="e">
        <v>#N/A</v>
      </c>
      <c r="O103" s="46" t="e">
        <v>#N/A</v>
      </c>
      <c r="P103" s="21">
        <v>91696</v>
      </c>
      <c r="Q103" s="22">
        <v>11.43</v>
      </c>
      <c r="R103" s="23">
        <v>0.95</v>
      </c>
      <c r="S103" s="2">
        <v>0.41684782082324451</v>
      </c>
      <c r="T103" s="2">
        <v>1</v>
      </c>
      <c r="U103" s="2">
        <v>0</v>
      </c>
      <c r="V103" s="2">
        <v>0.55000000000000004</v>
      </c>
      <c r="W103" s="2">
        <v>0</v>
      </c>
      <c r="X103" s="2">
        <v>0</v>
      </c>
      <c r="Y103" s="2">
        <v>0.23600000000000002</v>
      </c>
      <c r="Z103" s="2">
        <v>0.86597399980835599</v>
      </c>
      <c r="AA103" s="2">
        <v>1</v>
      </c>
      <c r="AB103" s="2">
        <v>0.14000000000000001</v>
      </c>
      <c r="AC103" s="2">
        <v>0.89039999887347221</v>
      </c>
      <c r="AD103" s="2">
        <v>0</v>
      </c>
      <c r="AE103" s="2">
        <v>6.7499999999999991E-2</v>
      </c>
      <c r="AF103" s="2">
        <v>0.57600000000000007</v>
      </c>
      <c r="AG103" s="2">
        <v>0.11342438876628902</v>
      </c>
      <c r="AH103" s="2">
        <v>0.17602040799999999</v>
      </c>
      <c r="AI103" s="2">
        <v>1.0540326940367379E-2</v>
      </c>
      <c r="AJ103" s="2">
        <v>4.8432602618363345E-2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16">
        <v>0.25379748107625383</v>
      </c>
      <c r="AR103" s="2" t="e">
        <v>#N/A</v>
      </c>
      <c r="AS103" s="2" t="e">
        <v>#N/A</v>
      </c>
      <c r="AT103" s="2" t="e">
        <v>#N/A</v>
      </c>
      <c r="AU103" s="2" t="e">
        <v>#N/A</v>
      </c>
      <c r="AV103" s="2" t="e">
        <v>#N/A</v>
      </c>
      <c r="AW103" s="2" t="e">
        <v>#N/A</v>
      </c>
      <c r="AX103" s="2" t="e">
        <v>#N/A</v>
      </c>
      <c r="AY103" s="2">
        <v>0.81608627997516336</v>
      </c>
      <c r="AZ103" s="2">
        <v>0.78876039866281078</v>
      </c>
      <c r="BA103" s="2">
        <v>0.82508391098648237</v>
      </c>
      <c r="BB103" s="2">
        <v>1</v>
      </c>
      <c r="BC103" s="2">
        <v>0.50489773761307977</v>
      </c>
      <c r="BD103" s="2">
        <v>0.81895978370351052</v>
      </c>
      <c r="BE103" s="2" t="e">
        <v>#N/A</v>
      </c>
    </row>
    <row r="104" spans="1:57">
      <c r="A104" s="1" t="s">
        <v>67</v>
      </c>
      <c r="B104" s="1" t="s">
        <v>291</v>
      </c>
      <c r="C104" s="2">
        <v>0.34739218532032878</v>
      </c>
      <c r="D104" s="2">
        <v>0.14239999999999997</v>
      </c>
      <c r="E104" s="2">
        <v>0.11843576598703415</v>
      </c>
      <c r="F104" s="2">
        <v>8.7184875405573792E-2</v>
      </c>
      <c r="G104" s="2">
        <v>0.62199312770080917</v>
      </c>
      <c r="H104" s="11">
        <v>0.26348119088274913</v>
      </c>
      <c r="I104" s="2">
        <v>0</v>
      </c>
      <c r="J104" s="2">
        <v>0.20532136528180114</v>
      </c>
      <c r="K104" s="2" t="e">
        <v>#N/A</v>
      </c>
      <c r="L104" s="2">
        <v>0</v>
      </c>
      <c r="M104" s="84">
        <v>6.8440455093933719E-2</v>
      </c>
      <c r="N104" s="46">
        <v>0.23491910281175618</v>
      </c>
      <c r="O104" s="46">
        <v>0.21906746188701903</v>
      </c>
      <c r="P104" s="21">
        <v>17308</v>
      </c>
      <c r="Q104" s="22">
        <v>9.76</v>
      </c>
      <c r="R104" s="23">
        <v>0.87</v>
      </c>
      <c r="S104" s="2">
        <v>0.3801749143835616</v>
      </c>
      <c r="T104" s="2">
        <v>0.10504999978654088</v>
      </c>
      <c r="U104" s="2">
        <v>0</v>
      </c>
      <c r="V104" s="2">
        <v>0.7</v>
      </c>
      <c r="W104" s="2">
        <v>0</v>
      </c>
      <c r="X104" s="2">
        <v>0</v>
      </c>
      <c r="Y104" s="2">
        <v>0.27966666666666667</v>
      </c>
      <c r="Z104" s="2">
        <v>0.33249199992641804</v>
      </c>
      <c r="AA104" s="2">
        <v>0.8681126331811666</v>
      </c>
      <c r="AB104" s="2">
        <v>0.4</v>
      </c>
      <c r="AC104" s="2">
        <v>0.13779999982565641</v>
      </c>
      <c r="AD104" s="2">
        <v>0</v>
      </c>
      <c r="AE104" s="2">
        <v>0.87499999999999989</v>
      </c>
      <c r="AF104" s="2">
        <v>0.41408</v>
      </c>
      <c r="AG104" s="2">
        <v>0.32102321822792423</v>
      </c>
      <c r="AH104" s="2">
        <v>8.5967130000000003E-2</v>
      </c>
      <c r="AI104" s="2">
        <v>0</v>
      </c>
      <c r="AJ104" s="2">
        <v>4.4708195961565148E-3</v>
      </c>
      <c r="AK104" s="2">
        <v>2.3867680699263968E-2</v>
      </c>
      <c r="AL104" s="2">
        <v>5.0568407302369098E-2</v>
      </c>
      <c r="AM104" s="2">
        <v>0</v>
      </c>
      <c r="AN104" s="2">
        <v>0.59</v>
      </c>
      <c r="AO104" s="2">
        <v>0</v>
      </c>
      <c r="AP104" s="2">
        <v>0.72543999974429607</v>
      </c>
      <c r="AQ104" s="16">
        <v>0.26223806122250082</v>
      </c>
      <c r="AR104" s="2">
        <v>0.82</v>
      </c>
      <c r="AS104" s="2">
        <v>0.8</v>
      </c>
      <c r="AT104" s="2">
        <v>0.84599999999999997</v>
      </c>
      <c r="AU104" s="2">
        <v>0.63500000000000001</v>
      </c>
      <c r="AV104" s="2">
        <v>0.75</v>
      </c>
      <c r="AW104" s="2">
        <v>0.70799999999999996</v>
      </c>
      <c r="AX104" s="2">
        <v>0.875</v>
      </c>
      <c r="AY104" s="2">
        <v>0.63080823504411365</v>
      </c>
      <c r="AZ104" s="2">
        <v>0.67416955163366032</v>
      </c>
      <c r="BA104" s="2">
        <v>0.54944057550807313</v>
      </c>
      <c r="BB104" s="2">
        <v>1</v>
      </c>
      <c r="BC104" s="2">
        <v>1</v>
      </c>
      <c r="BD104" s="2">
        <v>0.64336142427102705</v>
      </c>
      <c r="BE104" s="2">
        <v>0.58499999999999996</v>
      </c>
    </row>
    <row r="105" spans="1:57">
      <c r="A105" s="1" t="s">
        <v>29</v>
      </c>
      <c r="B105" s="1" t="s">
        <v>292</v>
      </c>
      <c r="C105" s="2" t="e">
        <v>#N/A</v>
      </c>
      <c r="D105" s="2">
        <v>0</v>
      </c>
      <c r="E105" s="2">
        <v>1.8443048593638465E-2</v>
      </c>
      <c r="F105" s="2">
        <v>0</v>
      </c>
      <c r="G105" s="2">
        <v>0</v>
      </c>
      <c r="H105" s="11">
        <v>4.6107621484096162E-3</v>
      </c>
      <c r="I105" s="2">
        <v>0</v>
      </c>
      <c r="J105" s="2">
        <v>0.17025548006223612</v>
      </c>
      <c r="K105" s="2">
        <v>0</v>
      </c>
      <c r="L105" s="2">
        <v>0</v>
      </c>
      <c r="M105" s="84">
        <v>4.256387001555903E-2</v>
      </c>
      <c r="N105" s="46">
        <v>0.16329216659172788</v>
      </c>
      <c r="O105" s="46">
        <v>0.12461579663653798</v>
      </c>
      <c r="P105" s="21">
        <v>83820</v>
      </c>
      <c r="Q105" s="22">
        <v>11.34</v>
      </c>
      <c r="R105" s="23">
        <v>0.96</v>
      </c>
      <c r="S105" s="2">
        <v>0.220648381294964</v>
      </c>
      <c r="T105" s="2">
        <v>2.3303999913185835E-2</v>
      </c>
      <c r="U105" s="2">
        <v>3.9999999105930328E-2</v>
      </c>
      <c r="V105" s="2">
        <v>0.47499999999999998</v>
      </c>
      <c r="W105" s="2">
        <v>1.3333333333333333E-3</v>
      </c>
      <c r="X105" s="2">
        <v>3.9999999105930328E-2</v>
      </c>
      <c r="Y105" s="2">
        <v>0.23600000000000002</v>
      </c>
      <c r="Z105" s="2">
        <v>0.17856799996048209</v>
      </c>
      <c r="AA105" s="2">
        <v>0.53887096774200005</v>
      </c>
      <c r="AB105" s="2">
        <v>0.28000000000000003</v>
      </c>
      <c r="AC105" s="2">
        <v>0.98579999875277291</v>
      </c>
      <c r="AD105" s="2">
        <v>0</v>
      </c>
      <c r="AE105" s="2">
        <v>6.7499999999999991E-2</v>
      </c>
      <c r="AF105" s="2">
        <v>0.31823999999999997</v>
      </c>
      <c r="AG105" s="2">
        <v>0.15392702295035232</v>
      </c>
      <c r="AH105" s="2">
        <v>0.117924528</v>
      </c>
      <c r="AI105" s="2">
        <v>0</v>
      </c>
      <c r="AJ105" s="2">
        <v>6.9039760340647727E-3</v>
      </c>
      <c r="AK105" s="2">
        <v>0</v>
      </c>
      <c r="AL105" s="2">
        <v>0</v>
      </c>
      <c r="AM105" s="2">
        <v>0</v>
      </c>
      <c r="AN105" s="2">
        <v>0.98</v>
      </c>
      <c r="AO105" s="2">
        <v>0</v>
      </c>
      <c r="AP105" s="2">
        <v>0.11999999731779099</v>
      </c>
      <c r="AQ105" s="16">
        <v>0.1993341751462836</v>
      </c>
      <c r="AR105" s="2">
        <v>0.75099999999999989</v>
      </c>
      <c r="AS105" s="2">
        <v>0.8</v>
      </c>
      <c r="AT105" s="2">
        <v>0.65900000000000003</v>
      </c>
      <c r="AU105" s="2">
        <v>0.58499999999999996</v>
      </c>
      <c r="AV105" s="2">
        <v>0.95</v>
      </c>
      <c r="AW105" s="2">
        <v>0.78900000000000003</v>
      </c>
      <c r="AX105" s="2">
        <v>0.875</v>
      </c>
      <c r="AY105" s="2">
        <v>0.78583236363450792</v>
      </c>
      <c r="AZ105" s="2">
        <v>0.80678811199964251</v>
      </c>
      <c r="BA105" s="2">
        <v>0.8897471941813947</v>
      </c>
      <c r="BB105" s="2">
        <v>1</v>
      </c>
      <c r="BC105" s="2">
        <v>0.13082110882569636</v>
      </c>
      <c r="BD105" s="2">
        <v>0.86257355502014155</v>
      </c>
      <c r="BE105" s="2">
        <v>0.40399999999999997</v>
      </c>
    </row>
    <row r="106" spans="1:57">
      <c r="A106" s="1" t="s">
        <v>158</v>
      </c>
      <c r="B106" s="1" t="s">
        <v>293</v>
      </c>
      <c r="C106" s="2">
        <v>0.31762535020698957</v>
      </c>
      <c r="D106" s="2">
        <v>0.82000000000000006</v>
      </c>
      <c r="E106" s="2">
        <v>1</v>
      </c>
      <c r="F106" s="2">
        <v>0.95964952139001936</v>
      </c>
      <c r="G106" s="2">
        <v>0.56124202322415351</v>
      </c>
      <c r="H106" s="11">
        <v>0.73170337896423254</v>
      </c>
      <c r="I106" s="2">
        <v>0.19601706688715465</v>
      </c>
      <c r="J106" s="2">
        <v>0.28624889437980489</v>
      </c>
      <c r="K106" s="2">
        <v>0.125</v>
      </c>
      <c r="L106" s="2">
        <v>1</v>
      </c>
      <c r="M106" s="84">
        <v>0.40181649031673988</v>
      </c>
      <c r="N106" s="46">
        <v>0.49125599093019628</v>
      </c>
      <c r="O106" s="46">
        <v>0.51684626177008586</v>
      </c>
      <c r="P106" s="21">
        <v>1004</v>
      </c>
      <c r="Q106" s="22">
        <v>6.91</v>
      </c>
      <c r="R106" s="23">
        <v>0.54</v>
      </c>
      <c r="S106" s="2">
        <v>0.61482713498622588</v>
      </c>
      <c r="T106" s="2">
        <v>4.3560000000000001E-2</v>
      </c>
      <c r="U106" s="2">
        <v>0.6063999996334315</v>
      </c>
      <c r="V106" s="2">
        <v>0.19999999999999996</v>
      </c>
      <c r="W106" s="2">
        <v>0.36</v>
      </c>
      <c r="X106" s="2">
        <v>0.89439999990165231</v>
      </c>
      <c r="Y106" s="2">
        <v>0.5299166666666667</v>
      </c>
      <c r="Z106" s="2">
        <v>0.70841399984322495</v>
      </c>
      <c r="AA106" s="2">
        <v>0.97099900782415038</v>
      </c>
      <c r="AB106" s="2">
        <v>0.1</v>
      </c>
      <c r="AC106" s="2">
        <v>0.13779999982565641</v>
      </c>
      <c r="AD106" s="2">
        <v>1</v>
      </c>
      <c r="AE106" s="2">
        <v>0.20749999999999999</v>
      </c>
      <c r="AF106" s="2">
        <v>0.97431999999999996</v>
      </c>
      <c r="AG106" s="2">
        <v>0.54144343306735254</v>
      </c>
      <c r="AH106" s="2">
        <v>0.698032506</v>
      </c>
      <c r="AI106" s="2">
        <v>0.28594786925971849</v>
      </c>
      <c r="AJ106" s="2">
        <v>0.57738278522363418</v>
      </c>
      <c r="AK106" s="2">
        <v>2.736861370894195E-2</v>
      </c>
      <c r="AL106" s="2">
        <v>5.52040884424553E-2</v>
      </c>
      <c r="AM106" s="2">
        <v>0.81</v>
      </c>
      <c r="AN106" s="2">
        <v>0.67</v>
      </c>
      <c r="AO106" s="2">
        <v>5.1587165113319809E-3</v>
      </c>
      <c r="AP106" s="2">
        <v>0.90487999641729555</v>
      </c>
      <c r="AQ106" s="16">
        <v>0.49681478405465568</v>
      </c>
      <c r="AR106" s="2">
        <v>0.71900000000000008</v>
      </c>
      <c r="AS106" s="2">
        <v>0.5</v>
      </c>
      <c r="AT106" s="2">
        <v>0.873</v>
      </c>
      <c r="AU106" s="2">
        <v>0.88800000000000001</v>
      </c>
      <c r="AV106" s="2">
        <v>0.6</v>
      </c>
      <c r="AW106" s="2">
        <v>0.754</v>
      </c>
      <c r="AX106" s="2">
        <v>0.73199999999999998</v>
      </c>
      <c r="AY106" s="2">
        <v>0.36734380584781179</v>
      </c>
      <c r="AZ106" s="2">
        <v>0.3770260547603459</v>
      </c>
      <c r="BA106" s="2">
        <v>0.45117962258551508</v>
      </c>
      <c r="BB106" s="2">
        <v>0.33616150403283385</v>
      </c>
      <c r="BC106" s="2">
        <v>5.0668624297154005E-2</v>
      </c>
      <c r="BD106" s="2">
        <v>0.35439196949920604</v>
      </c>
      <c r="BE106" s="2">
        <v>0.46899999999999997</v>
      </c>
    </row>
    <row r="107" spans="1:57">
      <c r="A107" s="1" t="s">
        <v>180</v>
      </c>
      <c r="B107" s="1" t="s">
        <v>294</v>
      </c>
      <c r="C107" s="2">
        <v>0.50580212183015005</v>
      </c>
      <c r="D107" s="2">
        <v>5.1200000000000023E-2</v>
      </c>
      <c r="E107" s="2">
        <v>0.93627798880917956</v>
      </c>
      <c r="F107" s="2">
        <v>0.20154741042213964</v>
      </c>
      <c r="G107" s="2">
        <v>0.62874325042043755</v>
      </c>
      <c r="H107" s="11">
        <v>0.46471415429638141</v>
      </c>
      <c r="I107" s="2">
        <v>0.40913852646279997</v>
      </c>
      <c r="J107" s="2">
        <v>0.27578721138789325</v>
      </c>
      <c r="K107" s="2">
        <v>0</v>
      </c>
      <c r="L107" s="2">
        <v>0.98428571428571432</v>
      </c>
      <c r="M107" s="84">
        <v>0.41730286303410191</v>
      </c>
      <c r="N107" s="46">
        <v>0.49131395329259275</v>
      </c>
      <c r="O107" s="46">
        <v>0.4783126394739558</v>
      </c>
      <c r="P107" s="21">
        <v>794</v>
      </c>
      <c r="Q107" s="22">
        <v>6.68</v>
      </c>
      <c r="R107" s="23">
        <v>0.49</v>
      </c>
      <c r="S107" s="2">
        <v>0.12312357320099258</v>
      </c>
      <c r="T107" s="2">
        <v>6.7331999749168758E-2</v>
      </c>
      <c r="U107" s="2">
        <v>0.23199999928474424</v>
      </c>
      <c r="V107" s="2">
        <v>0.30000000000000004</v>
      </c>
      <c r="W107" s="2">
        <v>0.41133333333333333</v>
      </c>
      <c r="X107" s="2">
        <v>0.46239999949932098</v>
      </c>
      <c r="Y107" s="2">
        <v>0.60066666666666668</v>
      </c>
      <c r="Z107" s="2">
        <v>0.81506999981962136</v>
      </c>
      <c r="AA107" s="2">
        <v>0.997229047619</v>
      </c>
      <c r="AB107" s="2">
        <v>0.12</v>
      </c>
      <c r="AC107" s="2">
        <v>5.2999999932944776E-2</v>
      </c>
      <c r="AD107" s="2">
        <v>0.38879999935626985</v>
      </c>
      <c r="AE107" s="2">
        <v>0.40749999999999997</v>
      </c>
      <c r="AF107" s="2">
        <v>0.98728000000000005</v>
      </c>
      <c r="AG107" s="2">
        <v>0.68126532588049782</v>
      </c>
      <c r="AH107" s="2">
        <v>0.98634812199999999</v>
      </c>
      <c r="AI107" s="2">
        <v>1</v>
      </c>
      <c r="AJ107" s="2">
        <v>0.71236130358759553</v>
      </c>
      <c r="AK107" s="2">
        <v>0</v>
      </c>
      <c r="AL107" s="2">
        <v>0</v>
      </c>
      <c r="AM107" s="2">
        <v>0.91</v>
      </c>
      <c r="AN107" s="2">
        <v>0.98</v>
      </c>
      <c r="AO107" s="2">
        <v>0.19132653061224492</v>
      </c>
      <c r="AP107" s="2">
        <v>0.54979999540000002</v>
      </c>
      <c r="AQ107" s="16">
        <v>0.49903482899760016</v>
      </c>
      <c r="AR107" s="2">
        <v>0.44799999999999995</v>
      </c>
      <c r="AS107" s="2">
        <v>0.5</v>
      </c>
      <c r="AT107" s="2">
        <v>0.78900000000000003</v>
      </c>
      <c r="AU107" s="2">
        <v>0.45799999999999996</v>
      </c>
      <c r="AV107" s="2">
        <v>0.5</v>
      </c>
      <c r="AW107" s="2">
        <v>0.71</v>
      </c>
      <c r="AX107" s="2">
        <v>0.68599999999999994</v>
      </c>
      <c r="AY107" s="2">
        <v>0.48832321804568446</v>
      </c>
      <c r="AZ107" s="2">
        <v>0.45709268523705049</v>
      </c>
      <c r="BA107" s="2">
        <v>0.40641020366787417</v>
      </c>
      <c r="BB107" s="2">
        <v>0.17296258109151075</v>
      </c>
      <c r="BC107" s="2">
        <v>6.6228371523059902E-3</v>
      </c>
      <c r="BD107" s="2">
        <v>0.46202975435250382</v>
      </c>
      <c r="BE107" s="2">
        <v>0.59299999999999997</v>
      </c>
    </row>
    <row r="108" spans="1:57">
      <c r="A108" s="1" t="s">
        <v>55</v>
      </c>
      <c r="B108" s="1" t="s">
        <v>295</v>
      </c>
      <c r="C108" s="2">
        <v>0.43823677657739624</v>
      </c>
      <c r="D108" s="2">
        <v>0</v>
      </c>
      <c r="E108" s="2">
        <v>0.11356092258895077</v>
      </c>
      <c r="F108" s="2">
        <v>0.89746125947906374</v>
      </c>
      <c r="G108" s="2">
        <v>0.54774177778489663</v>
      </c>
      <c r="H108" s="11">
        <v>0.39940014728606144</v>
      </c>
      <c r="I108" s="2">
        <v>0.40002314761247681</v>
      </c>
      <c r="J108" s="2">
        <v>0</v>
      </c>
      <c r="K108" s="2">
        <v>2.5000000000000001E-2</v>
      </c>
      <c r="L108" s="2">
        <v>0</v>
      </c>
      <c r="M108" s="84">
        <v>0.10625578690311921</v>
      </c>
      <c r="N108" s="46">
        <v>0.22453042071810311</v>
      </c>
      <c r="O108" s="46">
        <v>0.23668951458415935</v>
      </c>
      <c r="P108" s="21">
        <v>14012</v>
      </c>
      <c r="Q108" s="22">
        <v>9.5500000000000007</v>
      </c>
      <c r="R108" s="23">
        <v>0.83</v>
      </c>
      <c r="S108" s="2">
        <v>1.8463235294117648E-2</v>
      </c>
      <c r="T108" s="2">
        <v>2.138E-2</v>
      </c>
      <c r="U108" s="2">
        <v>3.9999999105930328E-2</v>
      </c>
      <c r="V108" s="2">
        <v>0.15000000000000002</v>
      </c>
      <c r="W108" s="2">
        <v>2.1999999999999999E-2</v>
      </c>
      <c r="X108" s="2">
        <v>7.8399999141693155E-2</v>
      </c>
      <c r="Y108" s="2">
        <v>0.47866666666666663</v>
      </c>
      <c r="Z108" s="2">
        <v>0.29007199993580579</v>
      </c>
      <c r="AA108" s="2">
        <v>0.5</v>
      </c>
      <c r="AB108" s="2">
        <v>0.64</v>
      </c>
      <c r="AC108" s="2">
        <v>0.87979999888688321</v>
      </c>
      <c r="AD108" s="2">
        <v>6.5999999865889544E-2</v>
      </c>
      <c r="AE108" s="2">
        <v>0.76749999999999996</v>
      </c>
      <c r="AF108" s="2">
        <v>0.81552000000000002</v>
      </c>
      <c r="AG108" s="2">
        <v>0.27190961818218373</v>
      </c>
      <c r="AH108" s="2">
        <v>0.485564304</v>
      </c>
      <c r="AI108" s="2">
        <v>0</v>
      </c>
      <c r="AJ108" s="2">
        <v>2.1405690261597905E-2</v>
      </c>
      <c r="AK108" s="2">
        <v>6.2196356209579855E-2</v>
      </c>
      <c r="AL108" s="2">
        <v>0.235062208213485</v>
      </c>
      <c r="AM108" s="2">
        <v>5.9999999999998943E-3</v>
      </c>
      <c r="AN108" s="2">
        <v>0</v>
      </c>
      <c r="AO108" s="2">
        <v>6.3917211992086442E-2</v>
      </c>
      <c r="AP108" s="2">
        <v>0.23849011588390667</v>
      </c>
      <c r="AQ108" s="16">
        <v>0.25634780848499278</v>
      </c>
      <c r="AR108" s="2">
        <v>0.69900000000000007</v>
      </c>
      <c r="AS108" s="2">
        <v>0.5</v>
      </c>
      <c r="AT108" s="2">
        <v>0.84299999999999997</v>
      </c>
      <c r="AU108" s="2">
        <v>0.81299999999999994</v>
      </c>
      <c r="AV108" s="2">
        <v>0.3</v>
      </c>
      <c r="AW108" s="2">
        <v>0.76700000000000002</v>
      </c>
      <c r="AX108" s="2">
        <v>0.78700000000000003</v>
      </c>
      <c r="AY108" s="2">
        <v>0.5129015784705756</v>
      </c>
      <c r="AZ108" s="2">
        <v>0.3949269474309019</v>
      </c>
      <c r="BA108" s="2">
        <v>0.50416489466978165</v>
      </c>
      <c r="BB108" s="2">
        <v>1</v>
      </c>
      <c r="BC108" s="2">
        <v>0.49997005760849061</v>
      </c>
      <c r="BD108" s="2">
        <v>0.60835264247140108</v>
      </c>
      <c r="BE108" s="2">
        <v>0.71400000000000008</v>
      </c>
    </row>
    <row r="109" spans="1:57">
      <c r="A109" s="1" t="s">
        <v>137</v>
      </c>
      <c r="B109" s="1" t="s">
        <v>296</v>
      </c>
      <c r="C109" s="2" t="e">
        <v>#N/A</v>
      </c>
      <c r="D109" s="2">
        <v>1</v>
      </c>
      <c r="E109" s="2">
        <v>0.10344815369664735</v>
      </c>
      <c r="F109" s="2">
        <v>0.22222222222222224</v>
      </c>
      <c r="G109" s="2">
        <v>0.72999509121486361</v>
      </c>
      <c r="H109" s="11">
        <v>0.51391636678343333</v>
      </c>
      <c r="I109" s="2">
        <v>1</v>
      </c>
      <c r="J109" s="2">
        <v>1</v>
      </c>
      <c r="K109" s="2">
        <v>0.1</v>
      </c>
      <c r="L109" s="2">
        <v>0</v>
      </c>
      <c r="M109" s="84">
        <v>0.52500000000000002</v>
      </c>
      <c r="N109" s="46">
        <v>0.35765689792076594</v>
      </c>
      <c r="O109" s="46">
        <v>0.40161658739441058</v>
      </c>
      <c r="P109" s="21">
        <v>5476</v>
      </c>
      <c r="Q109" s="22">
        <v>8.61</v>
      </c>
      <c r="R109" s="23">
        <v>0.77</v>
      </c>
      <c r="S109" s="2">
        <v>0.12949722772277228</v>
      </c>
      <c r="T109" s="2">
        <v>0.15670000000000001</v>
      </c>
      <c r="U109" s="2">
        <v>0.12639999918639655</v>
      </c>
      <c r="V109" s="2">
        <v>0.125</v>
      </c>
      <c r="W109" s="2">
        <v>0.11133333333333334</v>
      </c>
      <c r="X109" s="2">
        <v>5.9199999123811686E-2</v>
      </c>
      <c r="Y109" s="2">
        <v>0.44466666666666665</v>
      </c>
      <c r="Z109" s="2">
        <v>0.61428199986405674</v>
      </c>
      <c r="AA109" s="2">
        <v>0.99124999999999996</v>
      </c>
      <c r="AB109" s="2">
        <v>0.08</v>
      </c>
      <c r="AC109" s="2">
        <v>1</v>
      </c>
      <c r="AD109" s="2">
        <v>0.84959999710321432</v>
      </c>
      <c r="AE109" s="2">
        <v>0.44999999999999996</v>
      </c>
      <c r="AF109" s="2">
        <v>0.69439999999999991</v>
      </c>
      <c r="AG109" s="2">
        <v>0.32562325725659746</v>
      </c>
      <c r="AH109" s="2">
        <v>0.166197184</v>
      </c>
      <c r="AI109" s="2">
        <v>1.2313090938775058E-2</v>
      </c>
      <c r="AJ109" s="2">
        <v>2.1161294161808009E-2</v>
      </c>
      <c r="AK109" s="2">
        <v>1</v>
      </c>
      <c r="AL109" s="2">
        <v>1</v>
      </c>
      <c r="AM109" s="2">
        <v>0</v>
      </c>
      <c r="AN109" s="2">
        <v>0.5</v>
      </c>
      <c r="AO109" s="2">
        <v>0</v>
      </c>
      <c r="AP109" s="2">
        <v>0</v>
      </c>
      <c r="AQ109" s="16">
        <v>0.36906766872322638</v>
      </c>
      <c r="AR109" s="2">
        <v>0.82299999999999995</v>
      </c>
      <c r="AS109" s="2">
        <v>0.3</v>
      </c>
      <c r="AT109" s="2">
        <v>0.95499999999999996</v>
      </c>
      <c r="AU109" s="2" t="e">
        <v>#N/A</v>
      </c>
      <c r="AV109" s="2">
        <v>0.35</v>
      </c>
      <c r="AW109" s="2">
        <v>0.69700000000000006</v>
      </c>
      <c r="AX109" s="2">
        <v>0.44500000000000001</v>
      </c>
      <c r="AY109" s="2">
        <v>0.47100411821427468</v>
      </c>
      <c r="AZ109" s="2">
        <v>0.47221927494023053</v>
      </c>
      <c r="BA109" s="2">
        <v>0.36385080311153317</v>
      </c>
      <c r="BB109" s="2">
        <v>1</v>
      </c>
      <c r="BC109" s="2">
        <v>2.5768914364257029E-3</v>
      </c>
      <c r="BD109" s="2">
        <v>0.4830369463323641</v>
      </c>
      <c r="BE109" s="2">
        <v>0.753</v>
      </c>
    </row>
    <row r="110" spans="1:57">
      <c r="A110" s="1" t="s">
        <v>152</v>
      </c>
      <c r="B110" s="1" t="s">
        <v>297</v>
      </c>
      <c r="C110" s="2">
        <v>0.44833112327075331</v>
      </c>
      <c r="D110" s="2">
        <v>0.85709999999999997</v>
      </c>
      <c r="E110" s="2">
        <v>0.76575957589128751</v>
      </c>
      <c r="F110" s="2">
        <v>0.17707250358307292</v>
      </c>
      <c r="G110" s="2">
        <v>1</v>
      </c>
      <c r="H110" s="11">
        <v>0.64965264054902272</v>
      </c>
      <c r="I110" s="2">
        <v>0.27907720042661432</v>
      </c>
      <c r="J110" s="2">
        <v>0.33123190318487944</v>
      </c>
      <c r="K110" s="2">
        <v>0.32500000000000001</v>
      </c>
      <c r="L110" s="2">
        <v>0.9414285714285715</v>
      </c>
      <c r="M110" s="84">
        <v>0.46918441876001632</v>
      </c>
      <c r="N110" s="46">
        <v>0.52008043469837306</v>
      </c>
      <c r="O110" s="46">
        <v>0.53354337304685251</v>
      </c>
      <c r="P110" s="21">
        <v>1185</v>
      </c>
      <c r="Q110" s="22">
        <v>7.08</v>
      </c>
      <c r="R110" s="23">
        <v>0.37</v>
      </c>
      <c r="S110" s="2">
        <v>0.21302745995423344</v>
      </c>
      <c r="T110" s="2">
        <v>6.5460000000000004E-2</v>
      </c>
      <c r="U110" s="2">
        <v>0.46239999949932098</v>
      </c>
      <c r="V110" s="2">
        <v>0.44999999999999996</v>
      </c>
      <c r="W110" s="2">
        <v>0.58666666666666667</v>
      </c>
      <c r="X110" s="2">
        <v>0.65439999967813489</v>
      </c>
      <c r="Y110" s="2">
        <v>0.66024999999999989</v>
      </c>
      <c r="Z110" s="2">
        <v>0.67932599984966235</v>
      </c>
      <c r="AA110" s="2">
        <v>0.98493092783500003</v>
      </c>
      <c r="AB110" s="2">
        <v>0.88</v>
      </c>
      <c r="AC110" s="2">
        <v>9.539999987930059E-2</v>
      </c>
      <c r="AD110" s="2">
        <v>1</v>
      </c>
      <c r="AE110" s="2">
        <v>0.20749999999999999</v>
      </c>
      <c r="AF110" s="2">
        <v>0.98407999999999995</v>
      </c>
      <c r="AG110" s="2">
        <v>0.77016273084133857</v>
      </c>
      <c r="AH110" s="2">
        <v>1</v>
      </c>
      <c r="AI110" s="2">
        <v>0.25854136120078364</v>
      </c>
      <c r="AJ110" s="2">
        <v>1</v>
      </c>
      <c r="AK110" s="2">
        <v>0</v>
      </c>
      <c r="AL110" s="2">
        <v>0</v>
      </c>
      <c r="AM110" s="2">
        <v>0.82600000000000007</v>
      </c>
      <c r="AN110" s="2">
        <v>0</v>
      </c>
      <c r="AO110" s="2">
        <v>8.6052172202689733E-3</v>
      </c>
      <c r="AP110" s="2">
        <v>0.82868020266452269</v>
      </c>
      <c r="AQ110" s="16">
        <v>0.52564294022038471</v>
      </c>
      <c r="AR110" s="2">
        <v>0.47499999999999998</v>
      </c>
      <c r="AS110" s="2">
        <v>0.4</v>
      </c>
      <c r="AT110" s="2">
        <v>0.60199999999999998</v>
      </c>
      <c r="AU110" s="2">
        <v>0.81099999999999994</v>
      </c>
      <c r="AV110" s="2">
        <v>0.5</v>
      </c>
      <c r="AW110" s="2">
        <v>0.73799999999999999</v>
      </c>
      <c r="AX110" s="2">
        <v>0.69599999999999995</v>
      </c>
      <c r="AY110" s="2">
        <v>0.44737104953779988</v>
      </c>
      <c r="AZ110" s="2">
        <v>0.53000484221707089</v>
      </c>
      <c r="BA110" s="2">
        <v>0.36346619040655609</v>
      </c>
      <c r="BB110" s="2">
        <v>0.31638231183905885</v>
      </c>
      <c r="BC110" s="2">
        <v>8.4947515733464748E-2</v>
      </c>
      <c r="BD110" s="2">
        <v>0.4178459249567047</v>
      </c>
      <c r="BE110" s="2">
        <v>0.67900000000000005</v>
      </c>
    </row>
    <row r="111" spans="1:57">
      <c r="A111" s="1" t="s">
        <v>8</v>
      </c>
      <c r="B111" s="1" t="s">
        <v>298</v>
      </c>
      <c r="C111" s="2" t="e">
        <v>#N/A</v>
      </c>
      <c r="D111" s="2">
        <v>8.1999999999999851E-3</v>
      </c>
      <c r="E111" s="2">
        <v>4.6124381966444819E-2</v>
      </c>
      <c r="F111" s="2">
        <v>0.19286314315059502</v>
      </c>
      <c r="G111" s="2">
        <v>0.3184421536780474</v>
      </c>
      <c r="H111" s="11">
        <v>0.1414074196987718</v>
      </c>
      <c r="I111" s="2">
        <v>0</v>
      </c>
      <c r="J111" s="2">
        <v>0.58622662720596497</v>
      </c>
      <c r="K111" s="2">
        <v>0</v>
      </c>
      <c r="L111" s="2">
        <v>0</v>
      </c>
      <c r="M111" s="84">
        <v>0.14655665680149124</v>
      </c>
      <c r="N111" s="46">
        <v>0.24176157980365387</v>
      </c>
      <c r="O111" s="46">
        <v>0.21501641336325811</v>
      </c>
      <c r="P111" s="21">
        <v>24814</v>
      </c>
      <c r="Q111" s="22">
        <v>10.119999999999999</v>
      </c>
      <c r="R111" s="23">
        <v>0.9</v>
      </c>
      <c r="S111" s="2">
        <v>0.64158529411764709</v>
      </c>
      <c r="T111" s="2">
        <v>0.85547999681308862</v>
      </c>
      <c r="U111" s="2">
        <v>3.9999999105930328E-2</v>
      </c>
      <c r="V111" s="2">
        <v>0.375</v>
      </c>
      <c r="W111" s="2">
        <v>0</v>
      </c>
      <c r="X111" s="2">
        <v>3.9999999105930328E-2</v>
      </c>
      <c r="Y111" s="2">
        <v>0.23600000000000002</v>
      </c>
      <c r="Z111" s="2">
        <v>5.5751999987661838E-2</v>
      </c>
      <c r="AA111" s="2">
        <v>0.68392156862749998</v>
      </c>
      <c r="AB111" s="2">
        <v>0.28000000000000003</v>
      </c>
      <c r="AC111" s="2">
        <v>1</v>
      </c>
      <c r="AD111" s="2">
        <v>0</v>
      </c>
      <c r="AE111" s="2">
        <v>6.7499999999999991E-2</v>
      </c>
      <c r="AF111" s="2">
        <v>0.48896000000000006</v>
      </c>
      <c r="AG111" s="2">
        <v>0.17089326686859119</v>
      </c>
      <c r="AH111" s="2">
        <v>0.11818181799999999</v>
      </c>
      <c r="AI111" s="2">
        <v>0</v>
      </c>
      <c r="AJ111" s="2">
        <v>2.8310736975661758E-3</v>
      </c>
      <c r="AK111" s="2">
        <v>0.16291566062593044</v>
      </c>
      <c r="AL111" s="2">
        <v>0.12943246848923701</v>
      </c>
      <c r="AM111" s="2">
        <v>0</v>
      </c>
      <c r="AN111" s="2">
        <v>1</v>
      </c>
      <c r="AO111" s="2">
        <v>0</v>
      </c>
      <c r="AP111" s="2">
        <v>0.15971199921742085</v>
      </c>
      <c r="AQ111" s="16">
        <v>0.27117354769402097</v>
      </c>
      <c r="AR111" s="2">
        <v>0.7</v>
      </c>
      <c r="AS111" s="2">
        <v>0.6</v>
      </c>
      <c r="AT111" s="2">
        <v>0.625</v>
      </c>
      <c r="AU111" s="2">
        <v>0.45600000000000002</v>
      </c>
      <c r="AV111" s="2">
        <v>0.7</v>
      </c>
      <c r="AW111" s="2">
        <v>0.78099999999999992</v>
      </c>
      <c r="AX111" s="2">
        <v>0.875</v>
      </c>
      <c r="AY111" s="2">
        <v>0.71038114996933432</v>
      </c>
      <c r="AZ111" s="2">
        <v>0.73861618120814188</v>
      </c>
      <c r="BA111" s="2">
        <v>0.67883508280805527</v>
      </c>
      <c r="BB111" s="2">
        <v>1</v>
      </c>
      <c r="BC111" s="2">
        <v>0.44146710898257679</v>
      </c>
      <c r="BD111" s="2">
        <v>0.79924679842397894</v>
      </c>
      <c r="BE111" s="2">
        <v>0.6</v>
      </c>
    </row>
    <row r="112" spans="1:57">
      <c r="A112" s="1" t="s">
        <v>53</v>
      </c>
      <c r="B112" s="1" t="s">
        <v>299</v>
      </c>
      <c r="C112" s="2" t="e">
        <v>#N/A</v>
      </c>
      <c r="D112" s="2">
        <v>0.78180000000000005</v>
      </c>
      <c r="E112" s="2" t="e">
        <v>#N/A</v>
      </c>
      <c r="F112" s="2">
        <v>0.44031584281833291</v>
      </c>
      <c r="G112" s="2">
        <v>0.75045000773426551</v>
      </c>
      <c r="H112" s="11">
        <v>0.65752195018419946</v>
      </c>
      <c r="I112" s="2">
        <v>0.21028614293866454</v>
      </c>
      <c r="J112" s="2">
        <v>0.96570022464845218</v>
      </c>
      <c r="K112" s="2">
        <v>0.75</v>
      </c>
      <c r="L112" s="2" t="e">
        <v>#N/A</v>
      </c>
      <c r="M112" s="84">
        <v>0.64199545586237228</v>
      </c>
      <c r="N112" s="46">
        <v>0.4838241260904948</v>
      </c>
      <c r="O112" s="46">
        <v>0.52931426062249587</v>
      </c>
      <c r="P112" s="21">
        <v>2900</v>
      </c>
      <c r="Q112" s="22">
        <v>7.97</v>
      </c>
      <c r="R112" s="23" t="s">
        <v>460</v>
      </c>
      <c r="S112" s="2">
        <v>0.81649827558025512</v>
      </c>
      <c r="T112" s="2">
        <v>0.5</v>
      </c>
      <c r="U112" s="2">
        <v>9.7599999159574513E-2</v>
      </c>
      <c r="V112" s="2">
        <v>9.9999999999999978E-2</v>
      </c>
      <c r="W112" s="2">
        <v>0.13466666666666666</v>
      </c>
      <c r="X112" s="2">
        <v>0.2991999993473291</v>
      </c>
      <c r="Y112" s="2">
        <v>0.44466666666666665</v>
      </c>
      <c r="Z112" s="2">
        <v>0.28845599993616339</v>
      </c>
      <c r="AA112" s="2">
        <v>1</v>
      </c>
      <c r="AB112" s="2">
        <v>0.2</v>
      </c>
      <c r="AC112" s="2">
        <v>1</v>
      </c>
      <c r="AD112" s="2">
        <v>0.3</v>
      </c>
      <c r="AE112" s="2">
        <v>0.76749999999999996</v>
      </c>
      <c r="AF112" s="2">
        <v>0.85407999999999995</v>
      </c>
      <c r="AG112" s="2">
        <v>0.65617560392327434</v>
      </c>
      <c r="AH112" s="2">
        <v>0.40400471199999999</v>
      </c>
      <c r="AI112" s="2">
        <v>0.58252623384608437</v>
      </c>
      <c r="AJ112" s="2">
        <v>0.5</v>
      </c>
      <c r="AK112" s="2">
        <v>0.75</v>
      </c>
      <c r="AL112" s="2">
        <v>0.99778454556316598</v>
      </c>
      <c r="AM112" s="2">
        <v>0.255</v>
      </c>
      <c r="AN112" s="2">
        <v>0.5</v>
      </c>
      <c r="AO112" s="2">
        <v>0</v>
      </c>
      <c r="AP112" s="2">
        <v>0.5</v>
      </c>
      <c r="AQ112" s="16">
        <v>0.49783994594538256</v>
      </c>
      <c r="AR112" s="2" t="e">
        <v>#N/A</v>
      </c>
      <c r="AS112" s="2" t="e">
        <v>#N/A</v>
      </c>
      <c r="AT112" s="2" t="e">
        <v>#N/A</v>
      </c>
      <c r="AU112" s="2" t="e">
        <v>#N/A</v>
      </c>
      <c r="AV112" s="2" t="e">
        <v>#N/A</v>
      </c>
      <c r="AW112" s="2" t="e">
        <v>#N/A</v>
      </c>
      <c r="AX112" s="2" t="e">
        <v>#N/A</v>
      </c>
      <c r="AY112" s="2">
        <v>0.78916907601115227</v>
      </c>
      <c r="AZ112" s="2">
        <v>0.72035672882714508</v>
      </c>
      <c r="BA112" s="2">
        <v>0.42749304671950483</v>
      </c>
      <c r="BB112" s="2">
        <v>1.802522976977633E-2</v>
      </c>
      <c r="BC112" s="2">
        <v>0.19503497785252227</v>
      </c>
      <c r="BD112" s="2">
        <v>0.43607620217735332</v>
      </c>
      <c r="BE112" s="2" t="e">
        <v>#N/A</v>
      </c>
    </row>
    <row r="113" spans="1:57">
      <c r="A113" s="1" t="s">
        <v>131</v>
      </c>
      <c r="B113" s="1" t="s">
        <v>300</v>
      </c>
      <c r="C113" s="2">
        <v>0.235149587696178</v>
      </c>
      <c r="D113" s="2">
        <v>0.96819999999999995</v>
      </c>
      <c r="E113" s="2">
        <v>0.677498219507366</v>
      </c>
      <c r="F113" s="2">
        <v>0.22968404275409959</v>
      </c>
      <c r="G113" s="2">
        <v>0.62199312770080917</v>
      </c>
      <c r="H113" s="11">
        <v>0.54650499553169063</v>
      </c>
      <c r="I113" s="2">
        <v>0.10076750934468691</v>
      </c>
      <c r="J113" s="2">
        <v>0.58477125359050863</v>
      </c>
      <c r="K113" s="2">
        <v>1</v>
      </c>
      <c r="L113" s="2" t="e">
        <v>#N/A</v>
      </c>
      <c r="M113" s="84">
        <v>0.56184625431173185</v>
      </c>
      <c r="N113" s="46">
        <v>0.49900152521141444</v>
      </c>
      <c r="O113" s="46">
        <v>0.51381656363573724</v>
      </c>
      <c r="P113" s="21">
        <v>1929</v>
      </c>
      <c r="Q113" s="22">
        <v>7.56</v>
      </c>
      <c r="R113" s="23">
        <v>0.52</v>
      </c>
      <c r="S113" s="2">
        <v>0.46430437062937063</v>
      </c>
      <c r="T113" s="2">
        <v>0.14029999999999998</v>
      </c>
      <c r="U113" s="2">
        <v>0.52959999956190584</v>
      </c>
      <c r="V113" s="2">
        <v>0.47499999999999998</v>
      </c>
      <c r="W113" s="2">
        <v>0.26</v>
      </c>
      <c r="X113" s="2">
        <v>0.7503999997675419</v>
      </c>
      <c r="Y113" s="2">
        <v>0.63950000000000007</v>
      </c>
      <c r="Z113" s="2">
        <v>0.59387999986857176</v>
      </c>
      <c r="AA113" s="2">
        <v>1</v>
      </c>
      <c r="AB113" s="2">
        <v>0.5</v>
      </c>
      <c r="AC113" s="2">
        <v>0.67839999914169313</v>
      </c>
      <c r="AD113" s="2">
        <v>0.75919999934732918</v>
      </c>
      <c r="AE113" s="2">
        <v>0.20749999999999999</v>
      </c>
      <c r="AF113" s="2">
        <v>0.96279999999999999</v>
      </c>
      <c r="AG113" s="2">
        <v>0.6108064770343915</v>
      </c>
      <c r="AH113" s="2">
        <v>0.81618168999999996</v>
      </c>
      <c r="AI113" s="2">
        <v>0.25820560073985793</v>
      </c>
      <c r="AJ113" s="2">
        <v>0.63159392423702987</v>
      </c>
      <c r="AK113" s="2">
        <v>1.6717658802714697E-2</v>
      </c>
      <c r="AL113" s="2">
        <v>0.29248158080123798</v>
      </c>
      <c r="AM113" s="2">
        <v>0.69900000000000007</v>
      </c>
      <c r="AN113" s="2">
        <v>0.15</v>
      </c>
      <c r="AO113" s="2">
        <v>8.7319297564761814E-3</v>
      </c>
      <c r="AP113" s="2">
        <v>0.74762879963994022</v>
      </c>
      <c r="AQ113" s="16">
        <v>0.50800966788866919</v>
      </c>
      <c r="AR113" s="2">
        <v>0.48299999999999998</v>
      </c>
      <c r="AS113" s="2">
        <v>0.4</v>
      </c>
      <c r="AT113" s="2">
        <v>0.75099999999999989</v>
      </c>
      <c r="AU113" s="2">
        <v>0.7340000000000001</v>
      </c>
      <c r="AV113" s="2">
        <v>0.3</v>
      </c>
      <c r="AW113" s="2">
        <v>0.78</v>
      </c>
      <c r="AX113" s="2">
        <v>0.69900000000000007</v>
      </c>
      <c r="AY113" s="2">
        <v>0.26861798536648129</v>
      </c>
      <c r="AZ113" s="2">
        <v>0.29987800997042602</v>
      </c>
      <c r="BA113" s="2">
        <v>0.36996929173576981</v>
      </c>
      <c r="BB113" s="2">
        <v>0.72948763627085655</v>
      </c>
      <c r="BC113" s="2">
        <v>5.3892488583596153E-2</v>
      </c>
      <c r="BD113" s="2">
        <v>0.33357028869485217</v>
      </c>
      <c r="BE113" s="2">
        <v>0.52500000000000002</v>
      </c>
    </row>
    <row r="114" spans="1:57">
      <c r="A114" s="1" t="s">
        <v>130</v>
      </c>
      <c r="B114" s="1" t="s">
        <v>301</v>
      </c>
      <c r="C114" s="2">
        <v>0.7583255426753619</v>
      </c>
      <c r="D114" s="2">
        <v>0.71710000000000007</v>
      </c>
      <c r="E114" s="2">
        <v>0.30942424386794948</v>
      </c>
      <c r="F114" s="2">
        <v>0.82715192823195027</v>
      </c>
      <c r="G114" s="2">
        <v>0.44689903371150397</v>
      </c>
      <c r="H114" s="11">
        <v>0.61178014969735317</v>
      </c>
      <c r="I114" s="2">
        <v>0.15291495874596864</v>
      </c>
      <c r="J114" s="2">
        <v>0.25024314689069621</v>
      </c>
      <c r="K114" s="2">
        <v>7.4999999999999997E-2</v>
      </c>
      <c r="L114" s="2">
        <v>0</v>
      </c>
      <c r="M114" s="84">
        <v>0.11953952640916622</v>
      </c>
      <c r="N114" s="46">
        <v>0.24619163080071474</v>
      </c>
      <c r="O114" s="46">
        <v>0.28623206040426014</v>
      </c>
      <c r="P114" s="21">
        <v>12838</v>
      </c>
      <c r="Q114" s="22">
        <v>9.4600000000000009</v>
      </c>
      <c r="R114" s="23">
        <v>0.8</v>
      </c>
      <c r="S114" s="2">
        <v>0.35880865856508531</v>
      </c>
      <c r="T114" s="2">
        <v>0.28984999941103162</v>
      </c>
      <c r="U114" s="2">
        <v>4.9599999114871007E-2</v>
      </c>
      <c r="V114" s="2">
        <v>7.5000000000000011E-2</v>
      </c>
      <c r="W114" s="2">
        <v>4.6666666666666671E-3</v>
      </c>
      <c r="X114" s="2">
        <v>0.12639999918639655</v>
      </c>
      <c r="Y114" s="2">
        <v>0.44466666666666665</v>
      </c>
      <c r="Z114" s="2">
        <v>0.58034599987156688</v>
      </c>
      <c r="AA114" s="2">
        <v>0.43559934318561933</v>
      </c>
      <c r="AB114" s="2">
        <v>0.34</v>
      </c>
      <c r="AC114" s="2">
        <v>1</v>
      </c>
      <c r="AD114" s="2">
        <v>0.2</v>
      </c>
      <c r="AE114" s="2">
        <v>0.20749999999999999</v>
      </c>
      <c r="AF114" s="2">
        <v>0.76600000000000001</v>
      </c>
      <c r="AG114" s="2">
        <v>0.30664194992184801</v>
      </c>
      <c r="AH114" s="2">
        <v>0.13720316599999999</v>
      </c>
      <c r="AI114" s="2">
        <v>1.658701902752922E-2</v>
      </c>
      <c r="AJ114" s="2">
        <v>1.6745494725604194E-2</v>
      </c>
      <c r="AK114" s="2">
        <v>0.75</v>
      </c>
      <c r="AL114" s="2">
        <v>9.4130101380787701E-2</v>
      </c>
      <c r="AM114" s="2">
        <v>5.9999999999998943E-3</v>
      </c>
      <c r="AN114" s="2">
        <v>0</v>
      </c>
      <c r="AO114" s="2">
        <v>0</v>
      </c>
      <c r="AP114" s="2">
        <v>5.8911999123543501E-2</v>
      </c>
      <c r="AQ114" s="16">
        <v>0.26102737761863398</v>
      </c>
      <c r="AR114" s="2">
        <v>0.82467000018618986</v>
      </c>
      <c r="AS114" s="2">
        <v>0.7</v>
      </c>
      <c r="AT114" s="2">
        <v>0.92500000000000004</v>
      </c>
      <c r="AU114" s="2">
        <v>0.83400000000000007</v>
      </c>
      <c r="AV114" s="2">
        <v>0.85</v>
      </c>
      <c r="AW114" s="2">
        <v>0.71200000000000008</v>
      </c>
      <c r="AX114" s="2">
        <v>0.85599999999999998</v>
      </c>
      <c r="AY114" s="2">
        <v>0.62082049030160036</v>
      </c>
      <c r="AZ114" s="2">
        <v>0.65680073051561727</v>
      </c>
      <c r="BA114" s="2">
        <v>0.64742474060941169</v>
      </c>
      <c r="BB114" s="2">
        <v>0.93734904825671339</v>
      </c>
      <c r="BC114" s="2">
        <v>0.35525664033085852</v>
      </c>
      <c r="BD114" s="2">
        <v>0.68641358011368037</v>
      </c>
      <c r="BE114" s="2">
        <v>0.78500000000000003</v>
      </c>
    </row>
    <row r="115" spans="1:57">
      <c r="A115" s="1" t="s">
        <v>39</v>
      </c>
      <c r="B115" s="1" t="s">
        <v>302</v>
      </c>
      <c r="C115" s="2">
        <v>0.51803112788155781</v>
      </c>
      <c r="D115" s="2">
        <v>0.37</v>
      </c>
      <c r="E115" s="2">
        <v>6.5889036154272981E-2</v>
      </c>
      <c r="F115" s="2">
        <v>0.64984640522875814</v>
      </c>
      <c r="G115" s="2">
        <v>0.21739486124413809</v>
      </c>
      <c r="H115" s="11">
        <v>0.36423228610174541</v>
      </c>
      <c r="I115" s="2">
        <v>0.15669793022634435</v>
      </c>
      <c r="J115" s="2">
        <v>0.17218497632912144</v>
      </c>
      <c r="K115" s="2">
        <v>0.55000000000000004</v>
      </c>
      <c r="L115" s="2">
        <v>0.20571428571428571</v>
      </c>
      <c r="M115" s="84">
        <v>0.27114929806743787</v>
      </c>
      <c r="N115" s="46">
        <v>0.26106085115908445</v>
      </c>
      <c r="O115" s="46">
        <v>0.27791572880595472</v>
      </c>
      <c r="P115" s="21">
        <v>14258</v>
      </c>
      <c r="Q115" s="22">
        <v>9.57</v>
      </c>
      <c r="R115" s="23">
        <v>0.85</v>
      </c>
      <c r="S115" s="2">
        <v>1</v>
      </c>
      <c r="T115" s="2">
        <v>0</v>
      </c>
      <c r="U115" s="2">
        <v>9.7599999159574513E-2</v>
      </c>
      <c r="V115" s="2">
        <v>0.32499999999999996</v>
      </c>
      <c r="W115" s="2">
        <v>1.5333333333333332E-2</v>
      </c>
      <c r="X115" s="2">
        <v>0.18399999924004073</v>
      </c>
      <c r="Y115" s="2">
        <v>0.65750000000000008</v>
      </c>
      <c r="Z115" s="2">
        <v>0.22724999994970857</v>
      </c>
      <c r="AA115" s="2">
        <v>0.87364513006088507</v>
      </c>
      <c r="AB115" s="2">
        <v>0.5</v>
      </c>
      <c r="AC115" s="2">
        <v>0.41339999947696926</v>
      </c>
      <c r="AD115" s="2">
        <v>0.12</v>
      </c>
      <c r="AE115" s="2">
        <v>0.3175</v>
      </c>
      <c r="AF115" s="2">
        <v>0.60936000000000001</v>
      </c>
      <c r="AG115" s="2">
        <v>0.25874330903743326</v>
      </c>
      <c r="AH115" s="2">
        <v>0.22006472399999999</v>
      </c>
      <c r="AI115" s="2">
        <v>1.2321354607273231E-4</v>
      </c>
      <c r="AJ115" s="2">
        <v>5.2498170094868249E-2</v>
      </c>
      <c r="AK115" s="2">
        <v>4.7688665635733873E-2</v>
      </c>
      <c r="AL115" s="2">
        <v>5.6621088264455201E-2</v>
      </c>
      <c r="AM115" s="2">
        <v>1.5000000000000013E-2</v>
      </c>
      <c r="AN115" s="2">
        <v>0</v>
      </c>
      <c r="AO115" s="2">
        <v>1.4660870907173537E-2</v>
      </c>
      <c r="AP115" s="2">
        <v>0.66131199968457222</v>
      </c>
      <c r="AQ115" s="16">
        <v>0.27780418759961745</v>
      </c>
      <c r="AR115" s="2">
        <v>0.83</v>
      </c>
      <c r="AS115" s="2">
        <v>0.6</v>
      </c>
      <c r="AT115" s="2">
        <v>0.83499999999999996</v>
      </c>
      <c r="AU115" s="2">
        <v>0.85199999999999998</v>
      </c>
      <c r="AV115" s="2">
        <v>0.65</v>
      </c>
      <c r="AW115" s="2">
        <v>0.76300000000000001</v>
      </c>
      <c r="AX115" s="2">
        <v>0.82</v>
      </c>
      <c r="AY115" s="2">
        <v>0.36468278903407747</v>
      </c>
      <c r="AZ115" s="2">
        <v>0.52593641238080058</v>
      </c>
      <c r="BA115" s="2">
        <v>0.4469064228038605</v>
      </c>
      <c r="BB115" s="2">
        <v>0.85525096807177226</v>
      </c>
      <c r="BC115" s="2">
        <v>0.3728870403472781</v>
      </c>
      <c r="BD115" s="2">
        <v>0.38755385631762296</v>
      </c>
      <c r="BE115" s="2">
        <v>0.61899999999999999</v>
      </c>
    </row>
    <row r="116" spans="1:57">
      <c r="A116" s="1" t="s">
        <v>175</v>
      </c>
      <c r="B116" s="1" t="s">
        <v>303</v>
      </c>
      <c r="C116" s="2" t="e">
        <v>#N/A</v>
      </c>
      <c r="D116" s="2">
        <v>0.81530000000000002</v>
      </c>
      <c r="E116" s="2" t="e">
        <v>#N/A</v>
      </c>
      <c r="F116" s="2">
        <v>0.72896986806528941</v>
      </c>
      <c r="G116" s="2">
        <v>0.9594992636822296</v>
      </c>
      <c r="H116" s="11">
        <v>0.83458971058250631</v>
      </c>
      <c r="I116" s="2">
        <v>0.50440852223437072</v>
      </c>
      <c r="J116" s="2">
        <v>0.25321832976982955</v>
      </c>
      <c r="K116" s="2">
        <v>1</v>
      </c>
      <c r="L116" s="2" t="e">
        <v>#N/A</v>
      </c>
      <c r="M116" s="84">
        <v>0.58587561733473337</v>
      </c>
      <c r="N116" s="46">
        <v>0.49977454810342098</v>
      </c>
      <c r="O116" s="46">
        <v>0.5609406114161688</v>
      </c>
      <c r="P116" s="21">
        <v>3088</v>
      </c>
      <c r="Q116" s="22">
        <v>8.0399999999999991</v>
      </c>
      <c r="R116" s="23" t="s">
        <v>460</v>
      </c>
      <c r="S116" s="2">
        <v>0.5</v>
      </c>
      <c r="T116" s="2">
        <v>0.5</v>
      </c>
      <c r="U116" s="2">
        <v>0.15399999789893626</v>
      </c>
      <c r="V116" s="2">
        <v>0.125</v>
      </c>
      <c r="W116" s="2">
        <v>5.5333333333333332E-2</v>
      </c>
      <c r="X116" s="2">
        <v>0.75699999939650298</v>
      </c>
      <c r="Y116" s="2">
        <v>0.44466666666666665</v>
      </c>
      <c r="Z116" s="2">
        <v>0.7815379998270422</v>
      </c>
      <c r="AA116" s="2">
        <v>1</v>
      </c>
      <c r="AB116" s="2">
        <v>0.08</v>
      </c>
      <c r="AC116" s="2">
        <v>1</v>
      </c>
      <c r="AD116" s="2">
        <v>0.3</v>
      </c>
      <c r="AE116" s="2">
        <v>0.76749999999999996</v>
      </c>
      <c r="AF116" s="2">
        <v>0.86448000000000003</v>
      </c>
      <c r="AG116" s="2">
        <v>0.38320593048095697</v>
      </c>
      <c r="AH116" s="2">
        <v>0.430997876</v>
      </c>
      <c r="AI116" s="2">
        <v>0.69400268081941419</v>
      </c>
      <c r="AJ116" s="2">
        <v>0.5</v>
      </c>
      <c r="AK116" s="2">
        <v>0.75</v>
      </c>
      <c r="AL116" s="2">
        <v>0.31234039898698202</v>
      </c>
      <c r="AM116" s="2">
        <v>0.45999999999999996</v>
      </c>
      <c r="AN116" s="2">
        <v>0</v>
      </c>
      <c r="AO116" s="2">
        <v>0</v>
      </c>
      <c r="AP116" s="2">
        <v>0.85649999929592013</v>
      </c>
      <c r="AQ116" s="16">
        <v>0.48819020344607306</v>
      </c>
      <c r="AR116" s="2">
        <v>0.59099999999999997</v>
      </c>
      <c r="AS116" s="2">
        <v>0.3</v>
      </c>
      <c r="AT116" s="2">
        <v>0.97499999999999998</v>
      </c>
      <c r="AU116" s="2" t="e">
        <v>#N/A</v>
      </c>
      <c r="AV116" s="2">
        <v>0.2</v>
      </c>
      <c r="AW116" s="2">
        <v>0.76700000000000002</v>
      </c>
      <c r="AX116" s="2">
        <v>0.81</v>
      </c>
      <c r="AY116" s="2">
        <v>0.75782101169708871</v>
      </c>
      <c r="AZ116" s="2">
        <v>0.70811810239197415</v>
      </c>
      <c r="BA116" s="2">
        <v>0.47874626200718529</v>
      </c>
      <c r="BB116" s="2">
        <v>0.37750162569031687</v>
      </c>
      <c r="BC116" s="2">
        <v>0.16109702947162838</v>
      </c>
      <c r="BD116" s="2">
        <v>0.51736582657655561</v>
      </c>
      <c r="BE116" s="2">
        <v>0.81799999999999995</v>
      </c>
    </row>
    <row r="117" spans="1:57">
      <c r="A117" s="1" t="s">
        <v>129</v>
      </c>
      <c r="B117" s="1" t="s">
        <v>304</v>
      </c>
      <c r="C117" s="2">
        <v>0.49921352348632309</v>
      </c>
      <c r="D117" s="2">
        <v>0.91820000000000002</v>
      </c>
      <c r="E117" s="2">
        <v>0.66092019847594108</v>
      </c>
      <c r="F117" s="2">
        <v>0.27755129019667435</v>
      </c>
      <c r="G117" s="2">
        <v>0.9594992636822296</v>
      </c>
      <c r="H117" s="11">
        <v>0.66307685516823356</v>
      </c>
      <c r="I117" s="2">
        <v>1</v>
      </c>
      <c r="J117" s="2">
        <v>0.4850165857098771</v>
      </c>
      <c r="K117" s="2">
        <v>0.27500000000000002</v>
      </c>
      <c r="L117" s="2" t="e">
        <v>#N/A</v>
      </c>
      <c r="M117" s="84">
        <v>0.58667219523662573</v>
      </c>
      <c r="N117" s="46">
        <v>0.25217108154261175</v>
      </c>
      <c r="O117" s="46">
        <v>0.35497512163061679</v>
      </c>
      <c r="P117" s="21">
        <v>2854</v>
      </c>
      <c r="Q117" s="22">
        <v>7.96</v>
      </c>
      <c r="R117" s="23">
        <v>0.72</v>
      </c>
      <c r="S117" s="2">
        <v>4.8980454545454563E-2</v>
      </c>
      <c r="T117" s="2">
        <v>0.16440000000000002</v>
      </c>
      <c r="U117" s="2">
        <v>0.13599999919533734</v>
      </c>
      <c r="V117" s="2">
        <v>0.55000000000000004</v>
      </c>
      <c r="W117" s="2">
        <v>0.01</v>
      </c>
      <c r="X117" s="2">
        <v>0.24159999929368492</v>
      </c>
      <c r="Y117" s="2">
        <v>0.27966666666666667</v>
      </c>
      <c r="Z117" s="2">
        <v>0.59105199986919765</v>
      </c>
      <c r="AA117" s="2">
        <v>0.88869201303682255</v>
      </c>
      <c r="AB117" s="2">
        <v>0.08</v>
      </c>
      <c r="AC117" s="2">
        <v>0.15899999979883431</v>
      </c>
      <c r="AD117" s="2">
        <v>0.05</v>
      </c>
      <c r="AE117" s="2">
        <v>0.87499999999999989</v>
      </c>
      <c r="AF117" s="2">
        <v>0.52055999999999991</v>
      </c>
      <c r="AG117" s="2">
        <v>0.38600678902015118</v>
      </c>
      <c r="AH117" s="2">
        <v>0.120408164</v>
      </c>
      <c r="AI117" s="2">
        <v>3.9603223161735632E-2</v>
      </c>
      <c r="AJ117" s="2">
        <v>1.2796799848998817E-2</v>
      </c>
      <c r="AK117" s="2">
        <v>2.2383562445238349E-2</v>
      </c>
      <c r="AL117" s="2">
        <v>2.0423356933776698E-2</v>
      </c>
      <c r="AM117" s="2">
        <v>0</v>
      </c>
      <c r="AN117" s="2">
        <v>0.97</v>
      </c>
      <c r="AO117" s="2">
        <v>0.18242626938279113</v>
      </c>
      <c r="AP117" s="2">
        <v>0.17631999923288832</v>
      </c>
      <c r="AQ117" s="16">
        <v>0.27188830401798242</v>
      </c>
      <c r="AR117" s="2">
        <v>0.70200000000000007</v>
      </c>
      <c r="AS117" s="2">
        <v>0.5</v>
      </c>
      <c r="AT117" s="2">
        <v>0.85099999999999998</v>
      </c>
      <c r="AU117" s="2">
        <v>0.43</v>
      </c>
      <c r="AV117" s="2">
        <v>0.3</v>
      </c>
      <c r="AW117" s="2">
        <v>0.67500000000000004</v>
      </c>
      <c r="AX117" s="2">
        <v>0.79900000000000004</v>
      </c>
      <c r="AY117" s="2">
        <v>0.4000261029317877</v>
      </c>
      <c r="AZ117" s="2">
        <v>0.43870645173674949</v>
      </c>
      <c r="BA117" s="2">
        <v>0.35421019675282645</v>
      </c>
      <c r="BB117" s="2">
        <v>0.85009299296063967</v>
      </c>
      <c r="BC117" s="2">
        <v>0.54157044869370163</v>
      </c>
      <c r="BD117" s="2">
        <v>0.41003090183137025</v>
      </c>
      <c r="BE117" s="2">
        <v>0.42700000000000005</v>
      </c>
    </row>
    <row r="118" spans="1:57">
      <c r="A118" s="1" t="s">
        <v>2</v>
      </c>
      <c r="B118" s="1" t="s">
        <v>305</v>
      </c>
      <c r="C118" s="2" t="e">
        <v>#N/A</v>
      </c>
      <c r="D118" s="2">
        <v>0</v>
      </c>
      <c r="E118" s="2" t="e">
        <v>#N/A</v>
      </c>
      <c r="F118" s="2">
        <v>0.5</v>
      </c>
      <c r="G118" s="2">
        <v>0.40639829739373357</v>
      </c>
      <c r="H118" s="11">
        <v>0.30213276579791121</v>
      </c>
      <c r="I118" s="2">
        <v>1.3098040229154717E-13</v>
      </c>
      <c r="J118" s="2">
        <v>1</v>
      </c>
      <c r="K118" s="2">
        <v>0</v>
      </c>
      <c r="L118" s="2">
        <v>0</v>
      </c>
      <c r="M118" s="84">
        <v>0.25000000000003275</v>
      </c>
      <c r="N118" s="46">
        <v>0.24338732509046909</v>
      </c>
      <c r="O118" s="46">
        <v>0.25308968579275593</v>
      </c>
      <c r="P118" s="21">
        <v>215163</v>
      </c>
      <c r="Q118" s="22">
        <v>12.28</v>
      </c>
      <c r="R118" s="23" t="s">
        <v>460</v>
      </c>
      <c r="S118" s="2">
        <v>3.4316583885209723E-2</v>
      </c>
      <c r="T118" s="2">
        <v>0.16440000000000002</v>
      </c>
      <c r="U118" s="2">
        <v>3.9999999105930328E-2</v>
      </c>
      <c r="V118" s="2">
        <v>0.5</v>
      </c>
      <c r="W118" s="2">
        <v>1.3333333333333333E-3</v>
      </c>
      <c r="X118" s="2">
        <v>3.9999999105930328E-2</v>
      </c>
      <c r="Y118" s="2">
        <v>0.23600000000000002</v>
      </c>
      <c r="Z118" s="2">
        <v>0</v>
      </c>
      <c r="AA118" s="2">
        <v>1</v>
      </c>
      <c r="AB118" s="2">
        <v>0.46</v>
      </c>
      <c r="AC118" s="2">
        <v>1</v>
      </c>
      <c r="AD118" s="2">
        <v>0</v>
      </c>
      <c r="AE118" s="2">
        <v>6.7499999999999991E-2</v>
      </c>
      <c r="AF118" s="2">
        <v>0</v>
      </c>
      <c r="AG118" s="2">
        <v>0.38600678902015118</v>
      </c>
      <c r="AH118" s="2">
        <v>0.114583334</v>
      </c>
      <c r="AI118" s="2">
        <v>0</v>
      </c>
      <c r="AJ118" s="2">
        <v>1.2796799848998817E-2</v>
      </c>
      <c r="AK118" s="2">
        <v>0.72699505478522253</v>
      </c>
      <c r="AL118" s="2">
        <v>0.727018195805616</v>
      </c>
      <c r="AM118" s="2">
        <v>0</v>
      </c>
      <c r="AN118" s="2">
        <v>0.97</v>
      </c>
      <c r="AO118" s="2">
        <v>0</v>
      </c>
      <c r="AP118" s="2">
        <v>3.9999999105930328E-2</v>
      </c>
      <c r="AQ118" s="16">
        <v>0.27170625366651341</v>
      </c>
      <c r="AR118" s="2" t="e">
        <v>#N/A</v>
      </c>
      <c r="AS118" s="2" t="e">
        <v>#N/A</v>
      </c>
      <c r="AT118" s="2" t="e">
        <v>#N/A</v>
      </c>
      <c r="AU118" s="2" t="e">
        <v>#N/A</v>
      </c>
      <c r="AV118" s="2" t="e">
        <v>#N/A</v>
      </c>
      <c r="AW118" s="2" t="e">
        <v>#N/A</v>
      </c>
      <c r="AX118" s="2" t="e">
        <v>#N/A</v>
      </c>
      <c r="AY118" s="2">
        <v>0.71573041748424115</v>
      </c>
      <c r="AZ118" s="2">
        <v>0.68038565788557248</v>
      </c>
      <c r="BA118" s="2" t="e">
        <v>#N/A</v>
      </c>
      <c r="BB118" s="2" t="e">
        <v>#N/A</v>
      </c>
      <c r="BC118" s="2" t="e">
        <v>#N/A</v>
      </c>
      <c r="BD118" s="2">
        <v>0.67558457630235724</v>
      </c>
      <c r="BE118" s="2" t="e">
        <v>#N/A</v>
      </c>
    </row>
    <row r="119" spans="1:57">
      <c r="A119" s="1" t="s">
        <v>66</v>
      </c>
      <c r="B119" s="1" t="s">
        <v>306</v>
      </c>
      <c r="C119" s="2">
        <v>0.49385039950864851</v>
      </c>
      <c r="D119" s="2">
        <v>0.71819999999999995</v>
      </c>
      <c r="E119" s="2">
        <v>0.17504746067647226</v>
      </c>
      <c r="F119" s="2">
        <v>0.25793879932490926</v>
      </c>
      <c r="G119" s="2">
        <v>0.98649975456074313</v>
      </c>
      <c r="H119" s="11">
        <v>0.52630728281415462</v>
      </c>
      <c r="I119" s="2">
        <v>1</v>
      </c>
      <c r="J119" s="2">
        <v>0.35218728387303805</v>
      </c>
      <c r="K119" s="2">
        <v>0.25</v>
      </c>
      <c r="L119" s="2">
        <v>0</v>
      </c>
      <c r="M119" s="84">
        <v>0.4005468209682595</v>
      </c>
      <c r="N119" s="46">
        <v>0.19640837186171958</v>
      </c>
      <c r="O119" s="46">
        <v>0.27113710977651762</v>
      </c>
      <c r="P119" s="21">
        <v>11159</v>
      </c>
      <c r="Q119" s="22">
        <v>9.32</v>
      </c>
      <c r="R119" s="23" t="e">
        <v>#N/A</v>
      </c>
      <c r="S119" s="2">
        <v>0.65254618284637145</v>
      </c>
      <c r="T119" s="2">
        <v>0.17665999964103102</v>
      </c>
      <c r="U119" s="2">
        <v>3.9999999105930328E-2</v>
      </c>
      <c r="V119" s="2">
        <v>0.6</v>
      </c>
      <c r="W119" s="2">
        <v>0</v>
      </c>
      <c r="X119" s="2">
        <v>0.14559999920427802</v>
      </c>
      <c r="Y119" s="2">
        <v>0.28591666666666671</v>
      </c>
      <c r="Z119" s="2">
        <v>0.32925999992713328</v>
      </c>
      <c r="AA119" s="2">
        <v>0.8794024938042132</v>
      </c>
      <c r="AB119" s="2">
        <v>0.32</v>
      </c>
      <c r="AC119" s="2">
        <v>0.29679999962449077</v>
      </c>
      <c r="AD119" s="2">
        <v>3.2399999946355819E-2</v>
      </c>
      <c r="AE119" s="2">
        <v>7.4999999999999997E-2</v>
      </c>
      <c r="AF119" s="2">
        <v>0.62269599999999992</v>
      </c>
      <c r="AG119" s="2">
        <v>0.2751427108681207</v>
      </c>
      <c r="AH119" s="2">
        <v>6.5217391999999999E-2</v>
      </c>
      <c r="AI119" s="2">
        <v>1.0225622232237023E-2</v>
      </c>
      <c r="AJ119" s="2">
        <v>3.550900856947353E-3</v>
      </c>
      <c r="AK119" s="2">
        <v>0</v>
      </c>
      <c r="AL119" s="2">
        <v>0</v>
      </c>
      <c r="AM119" s="2">
        <v>0</v>
      </c>
      <c r="AN119" s="2">
        <v>0.52</v>
      </c>
      <c r="AO119" s="2">
        <v>0.29492725127801811</v>
      </c>
      <c r="AP119" s="2">
        <v>0.45721599949449299</v>
      </c>
      <c r="AQ119" s="16">
        <v>0.25344005072901193</v>
      </c>
      <c r="AR119" s="2">
        <v>0.65200000000000002</v>
      </c>
      <c r="AS119" s="2">
        <v>0.6</v>
      </c>
      <c r="AT119" s="2">
        <v>0.89300000000000002</v>
      </c>
      <c r="AU119" s="2">
        <v>0.65900000000000003</v>
      </c>
      <c r="AV119" s="2">
        <v>0.6</v>
      </c>
      <c r="AW119" s="2">
        <v>0.79</v>
      </c>
      <c r="AX119" s="2">
        <v>0.83299999999999996</v>
      </c>
      <c r="AY119" s="2">
        <v>0.45714816390081603</v>
      </c>
      <c r="AZ119" s="2">
        <v>0.52549863357577031</v>
      </c>
      <c r="BA119" s="2">
        <v>0.49440378975826371</v>
      </c>
      <c r="BB119" s="2">
        <v>1</v>
      </c>
      <c r="BC119" s="2">
        <v>0.55380644623005826</v>
      </c>
      <c r="BD119" s="2">
        <v>0.45574899075891623</v>
      </c>
      <c r="BE119" s="2">
        <v>0.83099999999999996</v>
      </c>
    </row>
    <row r="120" spans="1:57">
      <c r="A120" s="1" t="s">
        <v>94</v>
      </c>
      <c r="B120" s="1" t="s">
        <v>307</v>
      </c>
      <c r="C120" s="2">
        <v>0</v>
      </c>
      <c r="D120" s="2">
        <v>0.30530000000000002</v>
      </c>
      <c r="E120" s="2">
        <v>0.89071113998368556</v>
      </c>
      <c r="F120" s="2">
        <v>0.24318072080481432</v>
      </c>
      <c r="G120" s="2">
        <v>0.58824251410266704</v>
      </c>
      <c r="H120" s="11">
        <v>0.40548687497823332</v>
      </c>
      <c r="I120" s="2">
        <v>8.5896167254482875E-2</v>
      </c>
      <c r="J120" s="2">
        <v>0.72793466947894203</v>
      </c>
      <c r="K120" s="2">
        <v>0.8</v>
      </c>
      <c r="L120" s="2">
        <v>0.82714285714285707</v>
      </c>
      <c r="M120" s="84">
        <v>0.61024342346907046</v>
      </c>
      <c r="N120" s="46">
        <v>0.36911170244269492</v>
      </c>
      <c r="O120" s="46">
        <v>0.40385117961794326</v>
      </c>
      <c r="P120" s="21">
        <v>3522</v>
      </c>
      <c r="Q120" s="22">
        <v>8.17</v>
      </c>
      <c r="R120" s="23">
        <v>0.73</v>
      </c>
      <c r="S120" s="2">
        <v>1</v>
      </c>
      <c r="T120" s="2">
        <v>1.7243999935761093E-2</v>
      </c>
      <c r="U120" s="2">
        <v>0.27039999932050707</v>
      </c>
      <c r="V120" s="2">
        <v>0.77499999999999991</v>
      </c>
      <c r="W120" s="2">
        <v>0.13</v>
      </c>
      <c r="X120" s="2">
        <v>0.51999999955296516</v>
      </c>
      <c r="Y120" s="2">
        <v>0.26791666666666664</v>
      </c>
      <c r="Z120" s="2">
        <v>0.43086599990464747</v>
      </c>
      <c r="AA120" s="2">
        <v>0.98639215686266668</v>
      </c>
      <c r="AB120" s="2">
        <v>0.5</v>
      </c>
      <c r="AC120" s="2">
        <v>0.74199999906122682</v>
      </c>
      <c r="AD120" s="2">
        <v>0.12099999975413085</v>
      </c>
      <c r="AE120" s="2">
        <v>0.76749999999999996</v>
      </c>
      <c r="AF120" s="2">
        <v>0.63895999999999997</v>
      </c>
      <c r="AG120" s="2">
        <v>0.42186723783403723</v>
      </c>
      <c r="AH120" s="2">
        <v>0.20227272800000001</v>
      </c>
      <c r="AI120" s="2">
        <v>0</v>
      </c>
      <c r="AJ120" s="2">
        <v>3.5420577369549552E-2</v>
      </c>
      <c r="AK120" s="2">
        <v>0</v>
      </c>
      <c r="AL120" s="2">
        <v>0</v>
      </c>
      <c r="AM120" s="2">
        <v>0.32999999999999996</v>
      </c>
      <c r="AN120" s="2">
        <v>0</v>
      </c>
      <c r="AO120" s="2">
        <v>3.8620973763485154E-3</v>
      </c>
      <c r="AP120" s="2">
        <v>0.97059999987483025</v>
      </c>
      <c r="AQ120" s="16">
        <v>0.38047089422972236</v>
      </c>
      <c r="AR120" s="2">
        <v>0.69</v>
      </c>
      <c r="AS120" s="2">
        <v>0.6</v>
      </c>
      <c r="AT120" s="2">
        <v>0.81900000000000006</v>
      </c>
      <c r="AU120" s="2">
        <v>0.56700000000000006</v>
      </c>
      <c r="AV120" s="2">
        <v>0.5</v>
      </c>
      <c r="AW120" s="2">
        <v>0.66500000000000004</v>
      </c>
      <c r="AX120" s="2">
        <v>0.79799999999999993</v>
      </c>
      <c r="AY120" s="2">
        <v>0.56443183673286279</v>
      </c>
      <c r="AZ120" s="2">
        <v>0.4901837554111147</v>
      </c>
      <c r="BA120" s="2">
        <v>0.34726209700435084</v>
      </c>
      <c r="BB120" s="2">
        <v>0.92622867552733712</v>
      </c>
      <c r="BC120" s="2">
        <v>0.74592511731126843</v>
      </c>
      <c r="BD120" s="2">
        <v>0.42210184483193647</v>
      </c>
      <c r="BE120" s="2">
        <v>0.75900000000000001</v>
      </c>
    </row>
    <row r="121" spans="1:57">
      <c r="A121" s="1" t="s">
        <v>87</v>
      </c>
      <c r="B121" s="1" t="s">
        <v>308</v>
      </c>
      <c r="C121" s="2" t="e">
        <v>#N/A</v>
      </c>
      <c r="D121" s="2">
        <v>0.22060000000000002</v>
      </c>
      <c r="E121" s="2" t="e">
        <v>#N/A</v>
      </c>
      <c r="F121" s="2" t="e">
        <v>#DIV/0!</v>
      </c>
      <c r="G121" s="2">
        <v>1</v>
      </c>
      <c r="H121" s="11" t="e">
        <v>#N/A</v>
      </c>
      <c r="I121" s="2">
        <v>0</v>
      </c>
      <c r="J121" s="2">
        <v>0.40188250097094547</v>
      </c>
      <c r="K121" s="2">
        <v>0.25</v>
      </c>
      <c r="L121" s="2">
        <v>0</v>
      </c>
      <c r="M121" s="84">
        <v>0.16297062524273637</v>
      </c>
      <c r="N121" s="46" t="e">
        <v>#N/A</v>
      </c>
      <c r="O121" s="46" t="e">
        <v>#N/A</v>
      </c>
      <c r="P121" s="21">
        <v>13086</v>
      </c>
      <c r="Q121" s="22">
        <v>9.48</v>
      </c>
      <c r="R121" s="23">
        <v>0.83</v>
      </c>
      <c r="S121" s="2">
        <v>0.5</v>
      </c>
      <c r="T121" s="2">
        <v>1.7243999935761093E-2</v>
      </c>
      <c r="U121" s="2">
        <v>5.9199999123811686E-2</v>
      </c>
      <c r="V121" s="2">
        <v>0.5</v>
      </c>
      <c r="W121" s="2">
        <v>0</v>
      </c>
      <c r="X121" s="2">
        <v>0.11679999917745587</v>
      </c>
      <c r="Y121" s="2">
        <v>0.28333333333333333</v>
      </c>
      <c r="Z121" s="2">
        <v>0.40561599991023539</v>
      </c>
      <c r="AA121" s="2">
        <v>1</v>
      </c>
      <c r="AB121" s="2">
        <v>0.5</v>
      </c>
      <c r="AC121" s="2">
        <v>0.466399999409914</v>
      </c>
      <c r="AD121" s="2">
        <v>6.9999999999999993E-2</v>
      </c>
      <c r="AE121" s="2">
        <v>7.4999999999999997E-2</v>
      </c>
      <c r="AF121" s="2">
        <v>0.61951999999999996</v>
      </c>
      <c r="AG121" s="2">
        <v>0.27732729623600927</v>
      </c>
      <c r="AH121" s="2">
        <v>4.9275362000000003E-2</v>
      </c>
      <c r="AI121" s="2">
        <v>1.097542265867109E-2</v>
      </c>
      <c r="AJ121" s="2">
        <v>6.5502972543688247E-3</v>
      </c>
      <c r="AK121" s="2">
        <v>0</v>
      </c>
      <c r="AL121" s="2" t="e">
        <v>#N/A</v>
      </c>
      <c r="AM121" s="2">
        <v>0</v>
      </c>
      <c r="AN121" s="2">
        <v>0</v>
      </c>
      <c r="AO121" s="2">
        <v>3.8620973763485154E-3</v>
      </c>
      <c r="AP121" s="2">
        <v>0.5</v>
      </c>
      <c r="AQ121" s="16">
        <v>0.23743929593112648</v>
      </c>
      <c r="AR121" s="2">
        <v>0.70099999999999996</v>
      </c>
      <c r="AS121" s="2">
        <v>0.5</v>
      </c>
      <c r="AT121" s="2">
        <v>0.9</v>
      </c>
      <c r="AU121" s="2">
        <v>0.54400000000000004</v>
      </c>
      <c r="AV121" s="2">
        <v>0.55000000000000004</v>
      </c>
      <c r="AW121" s="2">
        <v>0.73199999999999998</v>
      </c>
      <c r="AX121" s="2">
        <v>0.83200000000000007</v>
      </c>
      <c r="AY121" s="2">
        <v>0.60862536803699696</v>
      </c>
      <c r="AZ121" s="2">
        <v>0.5592284894392956</v>
      </c>
      <c r="BA121" s="2">
        <v>0.43762644032476183</v>
      </c>
      <c r="BB121" s="2">
        <v>1</v>
      </c>
      <c r="BC121" s="2" t="e">
        <v>#N/A</v>
      </c>
      <c r="BD121" s="2">
        <v>0.50733937329235745</v>
      </c>
      <c r="BE121" s="2">
        <v>0.8640000000000001</v>
      </c>
    </row>
    <row r="122" spans="1:57">
      <c r="A122" s="1" t="s">
        <v>100</v>
      </c>
      <c r="B122" s="1" t="s">
        <v>309</v>
      </c>
      <c r="C122" s="2">
        <v>0.52595828656091081</v>
      </c>
      <c r="D122" s="2">
        <v>0.90939999999999999</v>
      </c>
      <c r="E122" s="2">
        <v>0.20841175294360831</v>
      </c>
      <c r="F122" s="2">
        <v>0.24662421741003993</v>
      </c>
      <c r="G122" s="2">
        <v>0.20369006744436446</v>
      </c>
      <c r="H122" s="11">
        <v>0.41881686487178466</v>
      </c>
      <c r="I122" s="2">
        <v>0.30171223989237755</v>
      </c>
      <c r="J122" s="2">
        <v>0.11607129672795843</v>
      </c>
      <c r="K122" s="2">
        <v>0.77500000000000002</v>
      </c>
      <c r="L122" s="2">
        <v>0.18714285714285714</v>
      </c>
      <c r="M122" s="84">
        <v>0.34498159844079829</v>
      </c>
      <c r="N122" s="46">
        <v>0.37661608330287599</v>
      </c>
      <c r="O122" s="46">
        <v>0.37917565810276188</v>
      </c>
      <c r="P122" s="21">
        <v>4494</v>
      </c>
      <c r="Q122" s="22">
        <v>8.41</v>
      </c>
      <c r="R122" s="23">
        <v>0.65</v>
      </c>
      <c r="S122" s="2">
        <v>0.7247233353884095</v>
      </c>
      <c r="T122" s="2">
        <v>0.52091999805942168</v>
      </c>
      <c r="U122" s="2">
        <v>0.22239999927580356</v>
      </c>
      <c r="V122" s="2">
        <v>0.44999999999999996</v>
      </c>
      <c r="W122" s="2">
        <v>7.5999999999999998E-2</v>
      </c>
      <c r="X122" s="2">
        <v>0.33759999938309193</v>
      </c>
      <c r="Y122" s="2">
        <v>0.70741666666666669</v>
      </c>
      <c r="Z122" s="2">
        <v>0.44076399990245707</v>
      </c>
      <c r="AA122" s="2">
        <v>0.86602764707050672</v>
      </c>
      <c r="AB122" s="2">
        <v>0.5</v>
      </c>
      <c r="AC122" s="2">
        <v>0.66779999915510413</v>
      </c>
      <c r="AD122" s="2">
        <v>0.2239999994635582</v>
      </c>
      <c r="AE122" s="2">
        <v>0.78249999999999997</v>
      </c>
      <c r="AF122" s="2">
        <v>0.91480000000000006</v>
      </c>
      <c r="AG122" s="2">
        <v>0.33119781335935161</v>
      </c>
      <c r="AH122" s="2">
        <v>0.28184281799999999</v>
      </c>
      <c r="AI122" s="2">
        <v>1.9831854692611123E-3</v>
      </c>
      <c r="AJ122" s="2">
        <v>7.2238892897897491E-2</v>
      </c>
      <c r="AK122" s="2">
        <v>9.5991834659469189E-3</v>
      </c>
      <c r="AL122" s="2">
        <v>8.0356733011789E-2</v>
      </c>
      <c r="AM122" s="2">
        <v>3.0000000000000027E-2</v>
      </c>
      <c r="AN122" s="2">
        <v>0.96</v>
      </c>
      <c r="AO122" s="2">
        <v>3.3609679587721264E-2</v>
      </c>
      <c r="AP122" s="2">
        <v>0.34940799939408906</v>
      </c>
      <c r="AQ122" s="16">
        <v>0.39938283123129464</v>
      </c>
      <c r="AR122" s="2">
        <v>0.7609999999999999</v>
      </c>
      <c r="AS122" s="2">
        <v>0.6</v>
      </c>
      <c r="AT122" s="2">
        <v>0.68500000000000005</v>
      </c>
      <c r="AU122" s="2">
        <v>0.81499999999999995</v>
      </c>
      <c r="AV122" s="2">
        <v>0.6</v>
      </c>
      <c r="AW122" s="2">
        <v>0.78400000000000003</v>
      </c>
      <c r="AX122" s="2">
        <v>0.71200000000000008</v>
      </c>
      <c r="AY122" s="2">
        <v>0.4153893729269319</v>
      </c>
      <c r="AZ122" s="2">
        <v>0.34332688980426557</v>
      </c>
      <c r="BA122" s="2">
        <v>0.45416430062386537</v>
      </c>
      <c r="BB122" s="2">
        <v>0.87025884011792409</v>
      </c>
      <c r="BC122" s="2">
        <v>0.18220257004113682</v>
      </c>
      <c r="BD122" s="2">
        <v>0.46875841787864142</v>
      </c>
      <c r="BE122" s="2">
        <v>0.217</v>
      </c>
    </row>
    <row r="123" spans="1:57">
      <c r="A123" s="1" t="s">
        <v>142</v>
      </c>
      <c r="B123" s="1" t="s">
        <v>310</v>
      </c>
      <c r="C123" s="2">
        <v>0.34947751748170952</v>
      </c>
      <c r="D123" s="2">
        <v>9.2399999999999927E-2</v>
      </c>
      <c r="E123" s="2">
        <v>0.57315338224526691</v>
      </c>
      <c r="F123" s="2">
        <v>0.33468331905743459</v>
      </c>
      <c r="G123" s="2">
        <v>0.76374570481300563</v>
      </c>
      <c r="H123" s="11">
        <v>0.42269198471948333</v>
      </c>
      <c r="I123" s="2">
        <v>0.44585953668485317</v>
      </c>
      <c r="J123" s="2">
        <v>0.12031842990375133</v>
      </c>
      <c r="K123" s="2">
        <v>0.85</v>
      </c>
      <c r="L123" s="2">
        <v>1</v>
      </c>
      <c r="M123" s="84">
        <v>0.60404449164715113</v>
      </c>
      <c r="N123" s="46">
        <v>0.54330046813420896</v>
      </c>
      <c r="O123" s="46">
        <v>0.53238936743657683</v>
      </c>
      <c r="P123" s="21">
        <v>885</v>
      </c>
      <c r="Q123" s="22">
        <v>6.79</v>
      </c>
      <c r="R123" s="23">
        <v>0.4</v>
      </c>
      <c r="S123" s="2">
        <v>7.2339473684210509E-2</v>
      </c>
      <c r="T123" s="2">
        <v>3.4280000000000001E-3</v>
      </c>
      <c r="U123" s="2">
        <v>0.5487999995797872</v>
      </c>
      <c r="V123" s="2">
        <v>0.27500000000000002</v>
      </c>
      <c r="W123" s="2">
        <v>0.25866666666666666</v>
      </c>
      <c r="X123" s="2">
        <v>0.83679999984800812</v>
      </c>
      <c r="Y123" s="2">
        <v>0.46758333333333335</v>
      </c>
      <c r="Z123" s="2">
        <v>0.63003799986056985</v>
      </c>
      <c r="AA123" s="2">
        <v>1</v>
      </c>
      <c r="AB123" s="2">
        <v>0.9</v>
      </c>
      <c r="AC123" s="2">
        <v>0.34979999955743551</v>
      </c>
      <c r="AD123" s="2">
        <v>0.44719999961555007</v>
      </c>
      <c r="AE123" s="2">
        <v>0.40749999999999997</v>
      </c>
      <c r="AF123" s="2">
        <v>0.98543999999999998</v>
      </c>
      <c r="AG123" s="2">
        <v>0.78042630158260551</v>
      </c>
      <c r="AH123" s="2">
        <v>0.94846382600000001</v>
      </c>
      <c r="AI123" s="2">
        <v>0.72671984947517376</v>
      </c>
      <c r="AJ123" s="2">
        <v>0.69840056199959732</v>
      </c>
      <c r="AK123" s="2">
        <v>3.1629364680636235E-2</v>
      </c>
      <c r="AL123" s="2">
        <v>0.117911485471342</v>
      </c>
      <c r="AM123" s="2">
        <v>0.88300000000000001</v>
      </c>
      <c r="AN123" s="2">
        <v>1</v>
      </c>
      <c r="AO123" s="2">
        <v>1.9074747577507059E-2</v>
      </c>
      <c r="AP123" s="2">
        <v>0.80051199981421228</v>
      </c>
      <c r="AQ123" s="16">
        <v>0.54953056703110981</v>
      </c>
      <c r="AR123" s="2">
        <v>0.58700000000000008</v>
      </c>
      <c r="AS123" s="2">
        <v>0.5</v>
      </c>
      <c r="AT123" s="2">
        <v>0.77599999999999991</v>
      </c>
      <c r="AU123" s="2">
        <v>0.7609999999999999</v>
      </c>
      <c r="AV123" s="2">
        <v>0.5</v>
      </c>
      <c r="AW123" s="2">
        <v>0.74900000000000011</v>
      </c>
      <c r="AX123" s="2">
        <v>0.745</v>
      </c>
      <c r="AY123" s="2">
        <v>0.59484168253265013</v>
      </c>
      <c r="AZ123" s="2">
        <v>0.48660115823023292</v>
      </c>
      <c r="BA123" s="2">
        <v>0.41878496936418952</v>
      </c>
      <c r="BB123" s="2">
        <v>0.28687755566879936</v>
      </c>
      <c r="BC123" s="2">
        <v>1.8697628617864635E-2</v>
      </c>
      <c r="BD123" s="2">
        <v>0.38571619820028491</v>
      </c>
      <c r="BE123" s="2">
        <v>0.42</v>
      </c>
    </row>
    <row r="124" spans="1:57">
      <c r="A124" s="1" t="s">
        <v>150</v>
      </c>
      <c r="B124" s="1" t="s">
        <v>311</v>
      </c>
      <c r="C124" s="2">
        <v>0.46423938333337278</v>
      </c>
      <c r="D124" s="2">
        <v>0.65880000000000005</v>
      </c>
      <c r="E124" s="2" t="e">
        <v>#N/A</v>
      </c>
      <c r="F124" s="2">
        <v>0.55755006322474365</v>
      </c>
      <c r="G124" s="2">
        <v>0.71649484577560685</v>
      </c>
      <c r="H124" s="11">
        <v>0.59927107308343086</v>
      </c>
      <c r="I124" s="2">
        <v>1</v>
      </c>
      <c r="J124" s="2">
        <v>0.2393031251869886</v>
      </c>
      <c r="K124" s="2">
        <v>0.17499999999999999</v>
      </c>
      <c r="L124" s="2">
        <v>0.65142857142857147</v>
      </c>
      <c r="M124" s="84">
        <v>0.51643292415389008</v>
      </c>
      <c r="N124" s="46">
        <v>0.41540726652091875</v>
      </c>
      <c r="O124" s="46">
        <v>0.45551095328893221</v>
      </c>
      <c r="P124" s="21">
        <v>1250</v>
      </c>
      <c r="Q124" s="22">
        <v>7.13</v>
      </c>
      <c r="R124" s="23">
        <v>0.59</v>
      </c>
      <c r="S124" s="2">
        <v>0.37213686528497414</v>
      </c>
      <c r="T124" s="2">
        <v>2.8450000000000003E-2</v>
      </c>
      <c r="U124" s="2">
        <v>0.31839999936521057</v>
      </c>
      <c r="V124" s="2">
        <v>0.25</v>
      </c>
      <c r="W124" s="2">
        <v>0.252</v>
      </c>
      <c r="X124" s="2">
        <v>0.22239999927580356</v>
      </c>
      <c r="Y124" s="2">
        <v>0.71158333333333335</v>
      </c>
      <c r="Z124" s="2">
        <v>0.67427599985077991</v>
      </c>
      <c r="AA124" s="2">
        <v>0.74693986174442095</v>
      </c>
      <c r="AB124" s="2">
        <v>0.5</v>
      </c>
      <c r="AC124" s="2">
        <v>1.0599999986588955E-2</v>
      </c>
      <c r="AD124" s="2">
        <v>0.84359999768435956</v>
      </c>
      <c r="AE124" s="2">
        <v>0.44999999999999996</v>
      </c>
      <c r="AF124" s="2">
        <v>0.93144000000000005</v>
      </c>
      <c r="AG124" s="2">
        <v>0.51814680865541263</v>
      </c>
      <c r="AH124" s="2">
        <v>0.62508474599999997</v>
      </c>
      <c r="AI124" s="2">
        <v>0.10262967345828759</v>
      </c>
      <c r="AJ124" s="2">
        <v>0.14809522975268516</v>
      </c>
      <c r="AK124" s="2">
        <v>7.2616102553006254E-2</v>
      </c>
      <c r="AL124" s="2">
        <v>0.25779434714865301</v>
      </c>
      <c r="AM124" s="2">
        <v>0.87</v>
      </c>
      <c r="AN124" s="2">
        <v>0.42</v>
      </c>
      <c r="AO124" s="2">
        <v>1.1476312890194639E-2</v>
      </c>
      <c r="AP124" s="2">
        <v>0.8933499963151319</v>
      </c>
      <c r="AQ124" s="16">
        <v>0.42629246972078505</v>
      </c>
      <c r="AR124" s="2">
        <v>0.2</v>
      </c>
      <c r="AS124" s="2">
        <v>0.1</v>
      </c>
      <c r="AT124" s="2">
        <v>0.81900000000000006</v>
      </c>
      <c r="AU124" s="2">
        <v>0.9840000000000001</v>
      </c>
      <c r="AV124" s="2">
        <v>9.9000000022351736E-2</v>
      </c>
      <c r="AW124" s="2">
        <v>0.46500000000000002</v>
      </c>
      <c r="AX124" s="2">
        <v>0.72299999999999998</v>
      </c>
      <c r="AY124" s="2">
        <v>0.16033615674082058</v>
      </c>
      <c r="AZ124" s="2">
        <v>7.0412521202307052E-2</v>
      </c>
      <c r="BA124" s="2">
        <v>0.15254313761335414</v>
      </c>
      <c r="BB124" s="2">
        <v>9.8521034952928997E-3</v>
      </c>
      <c r="BC124" s="2">
        <v>0.14418284020570665</v>
      </c>
      <c r="BD124" s="2">
        <v>0.19862468153320273</v>
      </c>
      <c r="BE124" s="2">
        <v>0.2</v>
      </c>
    </row>
    <row r="125" spans="1:57">
      <c r="A125" s="1" t="s">
        <v>141</v>
      </c>
      <c r="B125" s="1" t="s">
        <v>312</v>
      </c>
      <c r="C125" s="2">
        <v>0</v>
      </c>
      <c r="D125" s="2">
        <v>0.1724</v>
      </c>
      <c r="E125" s="2">
        <v>0.23134038749929259</v>
      </c>
      <c r="F125" s="2">
        <v>0.31015338064435988</v>
      </c>
      <c r="G125" s="2">
        <v>0.70299460033635008</v>
      </c>
      <c r="H125" s="11">
        <v>0.28337767369600053</v>
      </c>
      <c r="I125" s="2">
        <v>0.42222960218896494</v>
      </c>
      <c r="J125" s="2">
        <v>0.43900539796522781</v>
      </c>
      <c r="K125" s="2">
        <v>1</v>
      </c>
      <c r="L125" s="2">
        <v>0.47857142857142859</v>
      </c>
      <c r="M125" s="84">
        <v>0.58495160718140538</v>
      </c>
      <c r="N125" s="46">
        <v>0.44252464240563311</v>
      </c>
      <c r="O125" s="46">
        <v>0.43567533984669149</v>
      </c>
      <c r="P125" s="21">
        <v>6410</v>
      </c>
      <c r="Q125" s="22">
        <v>8.77</v>
      </c>
      <c r="R125" s="23">
        <v>0.69</v>
      </c>
      <c r="S125" s="2">
        <v>0.64910205128205134</v>
      </c>
      <c r="T125" s="2">
        <v>2.0291999924406411E-2</v>
      </c>
      <c r="U125" s="2">
        <v>0.11679999917745587</v>
      </c>
      <c r="V125" s="2">
        <v>0.375</v>
      </c>
      <c r="W125" s="2">
        <v>1.4E-2</v>
      </c>
      <c r="X125" s="2">
        <v>0.68319999970495693</v>
      </c>
      <c r="Y125" s="2">
        <v>0.81700000000000006</v>
      </c>
      <c r="Z125" s="2">
        <v>0.63205799986012279</v>
      </c>
      <c r="AA125" s="2">
        <v>0.99952291666666671</v>
      </c>
      <c r="AB125" s="2">
        <v>0.06</v>
      </c>
      <c r="AC125" s="2">
        <v>0.63599999919533723</v>
      </c>
      <c r="AD125" s="2">
        <v>0.35639999940991396</v>
      </c>
      <c r="AE125" s="2">
        <v>0.40749999999999997</v>
      </c>
      <c r="AF125" s="2">
        <v>0.85887999999999998</v>
      </c>
      <c r="AG125" s="2">
        <v>0.52853915988460298</v>
      </c>
      <c r="AH125" s="2">
        <v>0.82665021599999999</v>
      </c>
      <c r="AI125" s="2">
        <v>0.15067138223065576</v>
      </c>
      <c r="AJ125" s="2">
        <v>0.15914293342318764</v>
      </c>
      <c r="AK125" s="2">
        <v>3.3172498624044629E-3</v>
      </c>
      <c r="AL125" s="2">
        <v>2.5929763944944E-2</v>
      </c>
      <c r="AM125" s="2">
        <v>0.65999999999999992</v>
      </c>
      <c r="AN125" s="2">
        <v>0.94</v>
      </c>
      <c r="AO125" s="2">
        <v>7.2878329628684908E-3</v>
      </c>
      <c r="AP125" s="2">
        <v>0.89247999794623634</v>
      </c>
      <c r="AQ125" s="16">
        <v>0.45082389589482524</v>
      </c>
      <c r="AR125" s="2">
        <v>0.73299999999999998</v>
      </c>
      <c r="AS125" s="2">
        <v>0.4</v>
      </c>
      <c r="AT125" s="2">
        <v>0.68299999999999994</v>
      </c>
      <c r="AU125" s="2">
        <v>0.69499999999999995</v>
      </c>
      <c r="AV125" s="2">
        <v>0.5</v>
      </c>
      <c r="AW125" s="2">
        <v>0.71</v>
      </c>
      <c r="AX125" s="2">
        <v>0.878</v>
      </c>
      <c r="AY125" s="2">
        <v>0.65928587525059368</v>
      </c>
      <c r="AZ125" s="2">
        <v>0.5602012347690597</v>
      </c>
      <c r="BA125" s="2">
        <v>0.54638059461294741</v>
      </c>
      <c r="BB125" s="2">
        <v>0.61658937243584566</v>
      </c>
      <c r="BC125" s="2">
        <v>0.12254194297126893</v>
      </c>
      <c r="BD125" s="2">
        <v>0.55243992934112662</v>
      </c>
      <c r="BE125" s="2">
        <v>0.872</v>
      </c>
    </row>
    <row r="126" spans="1:57">
      <c r="A126" s="1" t="s">
        <v>1</v>
      </c>
      <c r="B126" s="1" t="s">
        <v>313</v>
      </c>
      <c r="C126" s="2" t="e">
        <v>#N/A</v>
      </c>
      <c r="D126" s="2">
        <v>1</v>
      </c>
      <c r="E126" s="2" t="e">
        <v>#N/A</v>
      </c>
      <c r="F126" s="2" t="e">
        <v>#DIV/0!</v>
      </c>
      <c r="G126" s="2">
        <v>0.88524791376631706</v>
      </c>
      <c r="H126" s="11" t="e">
        <v>#N/A</v>
      </c>
      <c r="I126" s="2" t="e">
        <v>#N/A</v>
      </c>
      <c r="J126" s="2" t="e">
        <v>#N/A</v>
      </c>
      <c r="K126" s="2" t="e">
        <v>#N/A</v>
      </c>
      <c r="L126" s="2" t="e">
        <v>#N/A</v>
      </c>
      <c r="M126" s="84" t="e">
        <v>#N/A</v>
      </c>
      <c r="N126" s="46" t="e">
        <v>#N/A</v>
      </c>
      <c r="O126" s="46" t="e">
        <v>#N/A</v>
      </c>
      <c r="P126" s="21">
        <v>2500</v>
      </c>
      <c r="Q126" s="22">
        <v>7.82</v>
      </c>
      <c r="R126" s="23" t="s">
        <v>460</v>
      </c>
      <c r="S126" s="2">
        <v>0.3058360316494218</v>
      </c>
      <c r="T126" s="2">
        <v>0.5</v>
      </c>
      <c r="U126" s="2">
        <v>0.12</v>
      </c>
      <c r="V126" s="2">
        <v>0.125</v>
      </c>
      <c r="W126" s="2">
        <v>1.4E-2</v>
      </c>
      <c r="X126" s="2">
        <v>0.5</v>
      </c>
      <c r="Y126" s="2">
        <v>0.44466666666666665</v>
      </c>
      <c r="Z126" s="2">
        <v>0.9</v>
      </c>
      <c r="AA126" s="2">
        <v>1</v>
      </c>
      <c r="AB126" s="2">
        <v>0.46</v>
      </c>
      <c r="AC126" s="2">
        <v>1</v>
      </c>
      <c r="AD126" s="2">
        <v>0.3</v>
      </c>
      <c r="AE126" s="2">
        <v>0.76749999999999996</v>
      </c>
      <c r="AF126" s="2">
        <v>0.85887999999999998</v>
      </c>
      <c r="AG126" s="2">
        <v>0.52853915988460298</v>
      </c>
      <c r="AH126" s="2">
        <v>0.32410533400000002</v>
      </c>
      <c r="AI126" s="2">
        <v>0.15067138223065576</v>
      </c>
      <c r="AJ126" s="2">
        <v>0.15914293342318764</v>
      </c>
      <c r="AK126" s="2">
        <v>0.75</v>
      </c>
      <c r="AL126" s="2">
        <v>0.41984947043494902</v>
      </c>
      <c r="AM126" s="2">
        <v>9.9999999999988987E-4</v>
      </c>
      <c r="AN126" s="2">
        <v>0</v>
      </c>
      <c r="AO126" s="2">
        <v>7.2878329628684908E-3</v>
      </c>
      <c r="AP126" s="2">
        <v>0.5</v>
      </c>
      <c r="AQ126" s="16">
        <v>0.42235328380218123</v>
      </c>
      <c r="AR126" s="2" t="e">
        <v>#N/A</v>
      </c>
      <c r="AS126" s="2" t="e">
        <v>#N/A</v>
      </c>
      <c r="AT126" s="2" t="e">
        <v>#N/A</v>
      </c>
      <c r="AU126" s="2" t="e">
        <v>#N/A</v>
      </c>
      <c r="AV126" s="2" t="e">
        <v>#N/A</v>
      </c>
      <c r="AW126" s="2" t="e">
        <v>#N/A</v>
      </c>
      <c r="AX126" s="2" t="e">
        <v>#N/A</v>
      </c>
      <c r="AY126" s="2">
        <v>0.78916907601115227</v>
      </c>
      <c r="AZ126" s="2">
        <v>0.71005393028246799</v>
      </c>
      <c r="BA126" s="2">
        <v>0.42330196741928611</v>
      </c>
      <c r="BB126" s="2" t="e">
        <v>#N/A</v>
      </c>
      <c r="BC126" s="2" t="e">
        <v>#N/A</v>
      </c>
      <c r="BD126" s="2">
        <v>0.55558108627329161</v>
      </c>
      <c r="BE126" s="2" t="e">
        <v>#N/A</v>
      </c>
    </row>
    <row r="127" spans="1:57">
      <c r="A127" s="1" t="s">
        <v>183</v>
      </c>
      <c r="B127" s="1" t="s">
        <v>314</v>
      </c>
      <c r="C127" s="2">
        <v>0.51613293732873589</v>
      </c>
      <c r="D127" s="2">
        <v>0.37819999999999998</v>
      </c>
      <c r="E127" s="2">
        <v>1</v>
      </c>
      <c r="F127" s="2">
        <v>0.48968825205325617</v>
      </c>
      <c r="G127" s="2">
        <v>0.62199312770080917</v>
      </c>
      <c r="H127" s="11">
        <v>0.60120286341656026</v>
      </c>
      <c r="I127" s="2">
        <v>0.75356365463953912</v>
      </c>
      <c r="J127" s="2">
        <v>0.12885391295371659</v>
      </c>
      <c r="K127" s="2">
        <v>0.6</v>
      </c>
      <c r="L127" s="2">
        <v>0.83000000000000007</v>
      </c>
      <c r="M127" s="84">
        <v>0.57810439189831397</v>
      </c>
      <c r="N127" s="46">
        <v>0.42609774035535936</v>
      </c>
      <c r="O127" s="46">
        <v>0.47105386827892975</v>
      </c>
      <c r="P127" s="21">
        <v>1155</v>
      </c>
      <c r="Q127" s="22">
        <v>7.05</v>
      </c>
      <c r="R127" s="23">
        <v>0.55000000000000004</v>
      </c>
      <c r="S127" s="2">
        <v>0.50508637812002122</v>
      </c>
      <c r="T127" s="2">
        <v>4.7859999999999993E-2</v>
      </c>
      <c r="U127" s="2">
        <v>0.1551999992132187</v>
      </c>
      <c r="V127" s="2">
        <v>0.44999999999999996</v>
      </c>
      <c r="W127" s="2">
        <v>0.22466666666666665</v>
      </c>
      <c r="X127" s="2">
        <v>0.7023999997228384</v>
      </c>
      <c r="Y127" s="2">
        <v>0.40658333333333335</v>
      </c>
      <c r="Z127" s="2">
        <v>0.83102799981608999</v>
      </c>
      <c r="AA127" s="2">
        <v>0.70967888310324967</v>
      </c>
      <c r="AB127" s="2">
        <v>0.5</v>
      </c>
      <c r="AC127" s="2">
        <v>5.2999999932944776E-2</v>
      </c>
      <c r="AD127" s="2">
        <v>1</v>
      </c>
      <c r="AE127" s="2">
        <v>0.44999999999999996</v>
      </c>
      <c r="AF127" s="2">
        <v>0.96479999999999999</v>
      </c>
      <c r="AG127" s="2">
        <v>0.41955059392944005</v>
      </c>
      <c r="AH127" s="2">
        <v>0.66535432999999999</v>
      </c>
      <c r="AI127" s="2">
        <v>0.13879903281928319</v>
      </c>
      <c r="AJ127" s="2">
        <v>0.32304285232228575</v>
      </c>
      <c r="AK127" s="2">
        <v>0</v>
      </c>
      <c r="AL127" s="2">
        <v>0</v>
      </c>
      <c r="AM127" s="2">
        <v>0.56400000000000006</v>
      </c>
      <c r="AN127" s="2">
        <v>1</v>
      </c>
      <c r="AO127" s="2">
        <v>9.4175095919079174E-2</v>
      </c>
      <c r="AP127" s="2">
        <v>0.48617999900132414</v>
      </c>
      <c r="AQ127" s="16">
        <v>0.44547521516249072</v>
      </c>
      <c r="AR127" s="2">
        <v>0.59399999999999997</v>
      </c>
      <c r="AS127" s="2">
        <v>0.3</v>
      </c>
      <c r="AT127" s="2">
        <v>0.86599999999999999</v>
      </c>
      <c r="AU127" s="2">
        <v>0.92299999999999993</v>
      </c>
      <c r="AV127" s="2">
        <v>0.15</v>
      </c>
      <c r="AW127" s="2">
        <v>0.77800000000000002</v>
      </c>
      <c r="AX127" s="2">
        <v>0.58799999999999997</v>
      </c>
      <c r="AY127" s="2">
        <v>0.14197259158576053</v>
      </c>
      <c r="AZ127" s="2">
        <v>0.38606601658648099</v>
      </c>
      <c r="BA127" s="2">
        <v>0.35130995889650485</v>
      </c>
      <c r="BB127" s="2">
        <v>0.28569388429868076</v>
      </c>
      <c r="BC127" s="2">
        <v>6.9785005926987956E-2</v>
      </c>
      <c r="BD127" s="2">
        <v>0.30958559533532914</v>
      </c>
      <c r="BE127" s="2">
        <v>0.44700000000000001</v>
      </c>
    </row>
    <row r="128" spans="1:57">
      <c r="A128" s="1" t="s">
        <v>28</v>
      </c>
      <c r="B128" s="1" t="s">
        <v>315</v>
      </c>
      <c r="C128" s="2">
        <v>0.71589911213059909</v>
      </c>
      <c r="D128" s="2">
        <v>0.28120000000000001</v>
      </c>
      <c r="E128" s="2">
        <v>2.8699958818271792E-2</v>
      </c>
      <c r="F128" s="2">
        <v>6.8095752069085705E-2</v>
      </c>
      <c r="G128" s="2">
        <v>0</v>
      </c>
      <c r="H128" s="11">
        <v>0.21877896460359131</v>
      </c>
      <c r="I128" s="2">
        <v>0.6617550336837148</v>
      </c>
      <c r="J128" s="2">
        <v>0</v>
      </c>
      <c r="K128" s="2">
        <v>0</v>
      </c>
      <c r="L128" s="2">
        <v>0</v>
      </c>
      <c r="M128" s="84">
        <v>0.1654387584209287</v>
      </c>
      <c r="N128" s="46">
        <v>0.20179266301501289</v>
      </c>
      <c r="O128" s="46">
        <v>0.19995981118369641</v>
      </c>
      <c r="P128" s="21">
        <v>40676</v>
      </c>
      <c r="Q128" s="22">
        <v>10.61</v>
      </c>
      <c r="R128" s="23">
        <v>0.96</v>
      </c>
      <c r="S128" s="2">
        <v>3.2364950495049526E-2</v>
      </c>
      <c r="T128" s="2">
        <v>0</v>
      </c>
      <c r="U128" s="2">
        <v>3.9999999105930328E-2</v>
      </c>
      <c r="V128" s="2">
        <v>0.42500000000000004</v>
      </c>
      <c r="W128" s="2">
        <v>0</v>
      </c>
      <c r="X128" s="2">
        <v>3.9999999105930328E-2</v>
      </c>
      <c r="Y128" s="2">
        <v>0.26374999999999998</v>
      </c>
      <c r="Z128" s="2">
        <v>0.17816399996057153</v>
      </c>
      <c r="AA128" s="2">
        <v>0.445976192175774</v>
      </c>
      <c r="AB128" s="2">
        <v>0.06</v>
      </c>
      <c r="AC128" s="2">
        <v>1</v>
      </c>
      <c r="AD128" s="2">
        <v>0</v>
      </c>
      <c r="AE128" s="2">
        <v>6.7499999999999991E-2</v>
      </c>
      <c r="AF128" s="2">
        <v>0.68032000000000004</v>
      </c>
      <c r="AG128" s="2">
        <v>0.15630594978183665</v>
      </c>
      <c r="AH128" s="2">
        <v>0.13114754000000001</v>
      </c>
      <c r="AI128" s="2">
        <v>0</v>
      </c>
      <c r="AJ128" s="2">
        <v>3.6862825968309678E-3</v>
      </c>
      <c r="AK128" s="2">
        <v>0.74871754482898178</v>
      </c>
      <c r="AL128" s="2">
        <v>0.73900016982005901</v>
      </c>
      <c r="AM128" s="2">
        <v>0</v>
      </c>
      <c r="AN128" s="2">
        <v>0.19</v>
      </c>
      <c r="AO128" s="2">
        <v>0.13329383886255924</v>
      </c>
      <c r="AP128" s="2">
        <v>0.27999999597668646</v>
      </c>
      <c r="AQ128" s="16">
        <v>0.23396776927959209</v>
      </c>
      <c r="AR128" s="2">
        <v>0.82599999999999996</v>
      </c>
      <c r="AS128" s="2">
        <v>0.8</v>
      </c>
      <c r="AT128" s="2">
        <v>0.52</v>
      </c>
      <c r="AU128" s="2">
        <v>0.38400000000000001</v>
      </c>
      <c r="AV128" s="2">
        <v>0.9</v>
      </c>
      <c r="AW128" s="2">
        <v>0.81</v>
      </c>
      <c r="AX128" s="2">
        <v>0.875</v>
      </c>
      <c r="AY128" s="2">
        <v>0.687461967940452</v>
      </c>
      <c r="AZ128" s="2">
        <v>0.80717997052215584</v>
      </c>
      <c r="BA128" s="2">
        <v>0.91607700634389977</v>
      </c>
      <c r="BB128" s="2">
        <v>1</v>
      </c>
      <c r="BC128" s="2">
        <v>0.83111026363117468</v>
      </c>
      <c r="BD128" s="2">
        <v>0.85264736918026784</v>
      </c>
      <c r="BE128" s="2">
        <v>0.59099999999999997</v>
      </c>
    </row>
    <row r="129" spans="1:57">
      <c r="A129" s="1" t="s">
        <v>19</v>
      </c>
      <c r="B129" s="1" t="s">
        <v>316</v>
      </c>
      <c r="C129" s="2">
        <v>0</v>
      </c>
      <c r="D129" s="2">
        <v>0.16060000000000008</v>
      </c>
      <c r="E129" s="2">
        <v>0.33072195034178459</v>
      </c>
      <c r="F129" s="2">
        <v>0.57834432606122099</v>
      </c>
      <c r="G129" s="2">
        <v>0.11634756881022867</v>
      </c>
      <c r="H129" s="11">
        <v>0.23720276904264687</v>
      </c>
      <c r="I129" s="2">
        <v>5.7755477821231499E-2</v>
      </c>
      <c r="J129" s="2">
        <v>0.3863429331916457</v>
      </c>
      <c r="K129" s="2" t="e">
        <v>#N/A</v>
      </c>
      <c r="L129" s="2">
        <v>0</v>
      </c>
      <c r="M129" s="84">
        <v>0.14803280367095906</v>
      </c>
      <c r="N129" s="46">
        <v>0.20706850003516575</v>
      </c>
      <c r="O129" s="46">
        <v>0.20447845638609238</v>
      </c>
      <c r="P129" s="21">
        <v>28993</v>
      </c>
      <c r="Q129" s="22">
        <v>10.27</v>
      </c>
      <c r="R129" s="23">
        <v>0.95</v>
      </c>
      <c r="S129" s="2">
        <v>1</v>
      </c>
      <c r="T129" s="2">
        <v>1.4539999999999999E-2</v>
      </c>
      <c r="U129" s="2">
        <v>3.9999999105930328E-2</v>
      </c>
      <c r="V129" s="2">
        <v>9.9999999999999978E-2</v>
      </c>
      <c r="W129" s="2">
        <v>0</v>
      </c>
      <c r="X129" s="2">
        <v>0</v>
      </c>
      <c r="Y129" s="2">
        <v>0.13616666666666666</v>
      </c>
      <c r="Z129" s="2">
        <v>0.13453199997022749</v>
      </c>
      <c r="AA129" s="2">
        <v>0.46826183982147285</v>
      </c>
      <c r="AB129" s="2">
        <v>0.12</v>
      </c>
      <c r="AC129" s="2">
        <v>0.4451999994367361</v>
      </c>
      <c r="AD129" s="2">
        <v>0</v>
      </c>
      <c r="AE129" s="2">
        <v>0.85</v>
      </c>
      <c r="AF129" s="2">
        <v>0.37448000000000004</v>
      </c>
      <c r="AG129" s="2">
        <v>0.16109658393263859</v>
      </c>
      <c r="AH129" s="2">
        <v>7.1258907999999996E-2</v>
      </c>
      <c r="AI129" s="2">
        <v>0</v>
      </c>
      <c r="AJ129" s="2">
        <v>6.869097814094758E-3</v>
      </c>
      <c r="AK129" s="2">
        <v>3.0978471862597327E-2</v>
      </c>
      <c r="AL129" s="2">
        <v>0.14685605728470399</v>
      </c>
      <c r="AM129" s="2">
        <v>0</v>
      </c>
      <c r="AN129" s="2">
        <v>0.62</v>
      </c>
      <c r="AO129" s="2">
        <v>3.9221545702439208E-2</v>
      </c>
      <c r="AP129" s="2">
        <v>0.36745599941089746</v>
      </c>
      <c r="AQ129" s="16">
        <v>0.21362154870868352</v>
      </c>
      <c r="AR129" s="2">
        <v>0.99900000000000011</v>
      </c>
      <c r="AS129" s="2">
        <v>0.8</v>
      </c>
      <c r="AT129" s="2">
        <v>0.63600000000000001</v>
      </c>
      <c r="AU129" s="2">
        <v>0.51300000000000001</v>
      </c>
      <c r="AV129" s="2">
        <v>0.8</v>
      </c>
      <c r="AW129" s="2">
        <v>0.83099999999999996</v>
      </c>
      <c r="AX129" s="2">
        <v>0.86</v>
      </c>
      <c r="AY129" s="2">
        <v>0.69639742039330454</v>
      </c>
      <c r="AZ129" s="2">
        <v>0.79534878859862412</v>
      </c>
      <c r="BA129" s="2">
        <v>0.97058560000890437</v>
      </c>
      <c r="BB129" s="2">
        <v>1</v>
      </c>
      <c r="BC129" s="2">
        <v>1</v>
      </c>
      <c r="BD129" s="2">
        <v>0.87816190692932761</v>
      </c>
      <c r="BE129" s="2">
        <v>0.88800000000000001</v>
      </c>
    </row>
    <row r="130" spans="1:57">
      <c r="A130" s="1" t="s">
        <v>93</v>
      </c>
      <c r="B130" s="1" t="s">
        <v>317</v>
      </c>
      <c r="C130" s="2">
        <v>0.38982325466029155</v>
      </c>
      <c r="D130" s="2">
        <v>8.879999999999999E-2</v>
      </c>
      <c r="E130" s="2">
        <v>0.66756887655199615</v>
      </c>
      <c r="F130" s="2">
        <v>0.18760447235935152</v>
      </c>
      <c r="G130" s="2">
        <v>0.60849288226155229</v>
      </c>
      <c r="H130" s="11">
        <v>0.38845789716663831</v>
      </c>
      <c r="I130" s="2">
        <v>0.18068237546086696</v>
      </c>
      <c r="J130" s="2">
        <v>0.2635922544304648</v>
      </c>
      <c r="K130" s="2">
        <v>0.65</v>
      </c>
      <c r="L130" s="2">
        <v>0.65</v>
      </c>
      <c r="M130" s="84">
        <v>0.43606865747283297</v>
      </c>
      <c r="N130" s="46">
        <v>0.29926217388984111</v>
      </c>
      <c r="O130" s="46">
        <v>0.32935928148729426</v>
      </c>
      <c r="P130" s="21">
        <v>2641</v>
      </c>
      <c r="Q130" s="22">
        <v>7.88</v>
      </c>
      <c r="R130" s="23">
        <v>0.7</v>
      </c>
      <c r="S130" s="2">
        <v>0.24933190490167303</v>
      </c>
      <c r="T130" s="2">
        <v>6.5510000000000004E-3</v>
      </c>
      <c r="U130" s="2">
        <v>0.18399999924004073</v>
      </c>
      <c r="V130" s="2">
        <v>0.25</v>
      </c>
      <c r="W130" s="2">
        <v>6.8000000000000005E-2</v>
      </c>
      <c r="X130" s="2">
        <v>0.50079999953508381</v>
      </c>
      <c r="Y130" s="2">
        <v>0.49525000000000002</v>
      </c>
      <c r="Z130" s="2">
        <v>0.43409799990393216</v>
      </c>
      <c r="AA130" s="2">
        <v>0.94622105263150003</v>
      </c>
      <c r="AB130" s="2">
        <v>0.08</v>
      </c>
      <c r="AC130" s="2">
        <v>0.42399999946355821</v>
      </c>
      <c r="AD130" s="2">
        <v>6.4799999892711638E-2</v>
      </c>
      <c r="AE130" s="2">
        <v>0.22499999999999998</v>
      </c>
      <c r="AF130" s="2">
        <v>0.92759999999999998</v>
      </c>
      <c r="AG130" s="2">
        <v>0.29567359869211918</v>
      </c>
      <c r="AH130" s="2">
        <v>0.27060653200000001</v>
      </c>
      <c r="AI130" s="2">
        <v>0.11893083873068008</v>
      </c>
      <c r="AJ130" s="2">
        <v>8.6426016225701077E-2</v>
      </c>
      <c r="AK130" s="2">
        <v>6.150532955580687E-2</v>
      </c>
      <c r="AL130" s="2">
        <v>2.08678450589668E-2</v>
      </c>
      <c r="AM130" s="2">
        <v>0.27900000000000003</v>
      </c>
      <c r="AN130" s="2">
        <v>0.48</v>
      </c>
      <c r="AO130" s="2">
        <v>5.0004167013917827E-2</v>
      </c>
      <c r="AP130" s="2">
        <v>0.8871999998390675</v>
      </c>
      <c r="AQ130" s="16">
        <v>0.30857776177853163</v>
      </c>
      <c r="AR130" s="2">
        <v>0.55700000000000005</v>
      </c>
      <c r="AS130" s="2">
        <v>0.5</v>
      </c>
      <c r="AT130" s="2">
        <v>0.78400000000000003</v>
      </c>
      <c r="AU130" s="2">
        <v>0.78500000000000003</v>
      </c>
      <c r="AV130" s="2">
        <v>0.55000000000000004</v>
      </c>
      <c r="AW130" s="2">
        <v>0.6409999999999999</v>
      </c>
      <c r="AX130" s="2">
        <v>0.82799999999999996</v>
      </c>
      <c r="AY130" s="2">
        <v>0.39903375048016698</v>
      </c>
      <c r="AZ130" s="2">
        <v>0.40258765523834905</v>
      </c>
      <c r="BA130" s="2">
        <v>0.35005552570764253</v>
      </c>
      <c r="BB130" s="2">
        <v>0.61377789593853371</v>
      </c>
      <c r="BC130" s="2">
        <v>0.2217238493782053</v>
      </c>
      <c r="BD130" s="2">
        <v>0.33524123187375404</v>
      </c>
      <c r="BE130" s="2">
        <v>0.68299999999999994</v>
      </c>
    </row>
    <row r="131" spans="1:57">
      <c r="A131" s="1" t="s">
        <v>185</v>
      </c>
      <c r="B131" s="1" t="s">
        <v>318</v>
      </c>
      <c r="C131" s="2" t="e">
        <v>#N/A</v>
      </c>
      <c r="D131" s="2">
        <v>0.58409999999999995</v>
      </c>
      <c r="E131" s="2">
        <v>0.87680868126177092</v>
      </c>
      <c r="F131" s="2">
        <v>0.15789691467619571</v>
      </c>
      <c r="G131" s="2">
        <v>0.43973981427084219</v>
      </c>
      <c r="H131" s="11">
        <v>0.51463635255220219</v>
      </c>
      <c r="I131" s="2">
        <v>6.7801015393210096E-2</v>
      </c>
      <c r="J131" s="2">
        <v>0.43490641997869539</v>
      </c>
      <c r="K131" s="2">
        <v>0.75</v>
      </c>
      <c r="L131" s="2">
        <v>1</v>
      </c>
      <c r="M131" s="84">
        <v>0.56317685884297641</v>
      </c>
      <c r="N131" s="46">
        <v>0.53411907811809445</v>
      </c>
      <c r="O131" s="46">
        <v>0.53468930524142988</v>
      </c>
      <c r="P131" s="21">
        <v>690</v>
      </c>
      <c r="Q131" s="22">
        <v>6.54</v>
      </c>
      <c r="R131" s="23">
        <v>0.34</v>
      </c>
      <c r="S131" s="2">
        <v>2.9723684210526274E-2</v>
      </c>
      <c r="T131" s="2">
        <v>7.0250000000000007E-2</v>
      </c>
      <c r="U131" s="2">
        <v>0.53919999957084652</v>
      </c>
      <c r="V131" s="2">
        <v>0.4</v>
      </c>
      <c r="W131" s="2">
        <v>0.81933333333333336</v>
      </c>
      <c r="X131" s="2">
        <v>0.91359999991953367</v>
      </c>
      <c r="Y131" s="2">
        <v>0.63950000000000007</v>
      </c>
      <c r="Z131" s="2">
        <v>0.84213799981363113</v>
      </c>
      <c r="AA131" s="2">
        <v>0.9992782722693333</v>
      </c>
      <c r="AB131" s="2">
        <v>0.06</v>
      </c>
      <c r="AC131" s="2">
        <v>8.4799999892711642E-2</v>
      </c>
      <c r="AD131" s="2">
        <v>1</v>
      </c>
      <c r="AE131" s="2">
        <v>0.20749999999999999</v>
      </c>
      <c r="AF131" s="2">
        <v>0.99287999999999998</v>
      </c>
      <c r="AG131" s="2">
        <v>0.71309190151989532</v>
      </c>
      <c r="AH131" s="2">
        <v>1</v>
      </c>
      <c r="AI131" s="2">
        <v>0.32969012872803816</v>
      </c>
      <c r="AJ131" s="2">
        <v>1</v>
      </c>
      <c r="AK131" s="2">
        <v>0</v>
      </c>
      <c r="AL131" s="2">
        <v>0</v>
      </c>
      <c r="AM131" s="2">
        <v>0.90700000000000003</v>
      </c>
      <c r="AN131" s="2">
        <v>0.55000000000000004</v>
      </c>
      <c r="AO131" s="2">
        <v>8.2892555459066868E-3</v>
      </c>
      <c r="AP131" s="2">
        <v>0.8017599998153746</v>
      </c>
      <c r="AQ131" s="16">
        <v>0.53783477394246382</v>
      </c>
      <c r="AR131" s="2">
        <v>0.37200000000000005</v>
      </c>
      <c r="AS131" s="2">
        <v>0.4</v>
      </c>
      <c r="AT131" s="2">
        <v>0.65099999999999991</v>
      </c>
      <c r="AU131" s="2">
        <v>0.85099999999999998</v>
      </c>
      <c r="AV131" s="2">
        <v>0.5</v>
      </c>
      <c r="AW131" s="2">
        <v>0.77599999999999991</v>
      </c>
      <c r="AX131" s="2">
        <v>0.75700000000000001</v>
      </c>
      <c r="AY131" s="2">
        <v>0.26898486265313065</v>
      </c>
      <c r="AZ131" s="2">
        <v>0.36177742895559473</v>
      </c>
      <c r="BA131" s="2">
        <v>0.37024886264988932</v>
      </c>
      <c r="BB131" s="2">
        <v>0.1869771699786871</v>
      </c>
      <c r="BC131" s="2">
        <v>1.9660551433010293E-2</v>
      </c>
      <c r="BD131" s="2">
        <v>0.37299615989694479</v>
      </c>
      <c r="BE131" s="2">
        <v>0.40700000000000003</v>
      </c>
    </row>
    <row r="132" spans="1:57">
      <c r="A132" s="1" t="s">
        <v>118</v>
      </c>
      <c r="B132" s="1" t="s">
        <v>319</v>
      </c>
      <c r="C132" s="2">
        <v>0.51665852782874311</v>
      </c>
      <c r="D132" s="2">
        <v>0.24060000000000004</v>
      </c>
      <c r="E132" s="2">
        <v>0.53153716373450055</v>
      </c>
      <c r="F132" s="2">
        <v>0.5339488512346825</v>
      </c>
      <c r="G132" s="2">
        <v>0.48699067330824097</v>
      </c>
      <c r="H132" s="11">
        <v>0.46194704322123348</v>
      </c>
      <c r="I132" s="2">
        <v>0.28949637412683954</v>
      </c>
      <c r="J132" s="2">
        <v>4.8676020342992614E-2</v>
      </c>
      <c r="K132" s="2">
        <v>0.2</v>
      </c>
      <c r="L132" s="2">
        <v>0.8957142857142858</v>
      </c>
      <c r="M132" s="84">
        <v>0.35847167004602953</v>
      </c>
      <c r="N132" s="46">
        <v>0.47043153061902648</v>
      </c>
      <c r="O132" s="46">
        <v>0.45557511003475515</v>
      </c>
      <c r="P132" s="21">
        <v>2203</v>
      </c>
      <c r="Q132" s="22">
        <v>7.7</v>
      </c>
      <c r="R132" s="23">
        <v>0.51</v>
      </c>
      <c r="S132" s="2">
        <v>1</v>
      </c>
      <c r="T132" s="2">
        <v>3.6019999999999996E-2</v>
      </c>
      <c r="U132" s="2">
        <v>0.44319999948143962</v>
      </c>
      <c r="V132" s="2">
        <v>0.30000000000000004</v>
      </c>
      <c r="W132" s="2">
        <v>0.37333333333333335</v>
      </c>
      <c r="X132" s="2">
        <v>0.69279999971389772</v>
      </c>
      <c r="Y132" s="2">
        <v>0.42316666666666669</v>
      </c>
      <c r="Z132" s="2">
        <v>0.5142919998861849</v>
      </c>
      <c r="AA132" s="2">
        <v>0.97788013333333335</v>
      </c>
      <c r="AB132" s="2">
        <v>0.22</v>
      </c>
      <c r="AC132" s="2">
        <v>0.12719999983906746</v>
      </c>
      <c r="AD132" s="2">
        <v>0.93599999919533727</v>
      </c>
      <c r="AE132" s="2">
        <v>0.20749999999999999</v>
      </c>
      <c r="AF132" s="2">
        <v>0.90400000000000003</v>
      </c>
      <c r="AG132" s="2">
        <v>0.78015516011893871</v>
      </c>
      <c r="AH132" s="2">
        <v>0.96913220799999999</v>
      </c>
      <c r="AI132" s="2">
        <v>4.9074339609839639E-2</v>
      </c>
      <c r="AJ132" s="2">
        <v>1</v>
      </c>
      <c r="AK132" s="2">
        <v>1.4878801093305617E-2</v>
      </c>
      <c r="AL132" s="2">
        <v>6.0776866111679401E-2</v>
      </c>
      <c r="AM132" s="2">
        <v>0.53200000000000003</v>
      </c>
      <c r="AN132" s="2">
        <v>0</v>
      </c>
      <c r="AO132" s="2">
        <v>2.9645245232056392E-2</v>
      </c>
      <c r="AP132" s="2">
        <v>0.85</v>
      </c>
      <c r="AQ132" s="16">
        <v>0.47671061465062831</v>
      </c>
      <c r="AR132" s="2">
        <v>0.53200000000000003</v>
      </c>
      <c r="AS132" s="2">
        <v>0.4</v>
      </c>
      <c r="AT132" s="2">
        <v>0.84400000000000008</v>
      </c>
      <c r="AU132" s="2">
        <v>0.64700000000000002</v>
      </c>
      <c r="AV132" s="2">
        <v>0.4</v>
      </c>
      <c r="AW132" s="2">
        <v>0.754</v>
      </c>
      <c r="AX132" s="2">
        <v>0.67200000000000004</v>
      </c>
      <c r="AY132" s="2">
        <v>0.11331812525617391</v>
      </c>
      <c r="AZ132" s="2">
        <v>0.33119187302119585</v>
      </c>
      <c r="BA132" s="2">
        <v>0.28909784710988273</v>
      </c>
      <c r="BB132" s="2">
        <v>0.51967827196846006</v>
      </c>
      <c r="BC132" s="2">
        <v>0.1295065288930615</v>
      </c>
      <c r="BD132" s="2">
        <v>0.25838524330716345</v>
      </c>
      <c r="BE132" s="2">
        <v>0.85699999999999998</v>
      </c>
    </row>
    <row r="133" spans="1:57">
      <c r="A133" s="1" t="s">
        <v>38</v>
      </c>
      <c r="B133" s="1" t="s">
        <v>320</v>
      </c>
      <c r="C133" s="2">
        <v>0.27948877857268228</v>
      </c>
      <c r="D133" s="2">
        <v>0.25529999999999997</v>
      </c>
      <c r="E133" s="2">
        <v>3.370223930102461E-2</v>
      </c>
      <c r="F133" s="2">
        <v>0.12477695872502481</v>
      </c>
      <c r="G133" s="2">
        <v>0</v>
      </c>
      <c r="H133" s="11">
        <v>0.13865359531974633</v>
      </c>
      <c r="I133" s="2">
        <v>3.3237865120910558E-2</v>
      </c>
      <c r="J133" s="2">
        <v>0.1919386513303413</v>
      </c>
      <c r="K133" s="2">
        <v>0</v>
      </c>
      <c r="L133" s="2">
        <v>0</v>
      </c>
      <c r="M133" s="84">
        <v>5.6294129112812966E-2</v>
      </c>
      <c r="N133" s="46">
        <v>0.15035367206743214</v>
      </c>
      <c r="O133" s="46">
        <v>0.13717977644449558</v>
      </c>
      <c r="P133" s="21">
        <v>56214</v>
      </c>
      <c r="Q133" s="22">
        <v>10.94</v>
      </c>
      <c r="R133" s="23">
        <v>0.97</v>
      </c>
      <c r="S133" s="2">
        <v>0.92627742112986045</v>
      </c>
      <c r="T133" s="2">
        <v>8.4633999828025702E-3</v>
      </c>
      <c r="U133" s="2">
        <v>3.9999999105930328E-2</v>
      </c>
      <c r="V133" s="2">
        <v>0.55000000000000004</v>
      </c>
      <c r="W133" s="2">
        <v>0</v>
      </c>
      <c r="X133" s="2">
        <v>3.9999999105930328E-2</v>
      </c>
      <c r="Y133" s="2">
        <v>1.5499999999999995E-2</v>
      </c>
      <c r="Z133" s="2">
        <v>0.22684599994979798</v>
      </c>
      <c r="AA133" s="2">
        <v>0.58098112756492992</v>
      </c>
      <c r="AB133" s="2">
        <v>0.1</v>
      </c>
      <c r="AC133" s="2">
        <v>0.466399999409914</v>
      </c>
      <c r="AD133" s="2">
        <v>0</v>
      </c>
      <c r="AE133" s="2">
        <v>6.7499999999999991E-2</v>
      </c>
      <c r="AF133" s="2">
        <v>8.3520000000000039E-2</v>
      </c>
      <c r="AG133" s="2">
        <v>0.14976390099525561</v>
      </c>
      <c r="AH133" s="2">
        <v>0.12676056399999999</v>
      </c>
      <c r="AI133" s="2">
        <v>0</v>
      </c>
      <c r="AJ133" s="2">
        <v>3.4375067970448363E-3</v>
      </c>
      <c r="AK133" s="2">
        <v>4.1550519834411048E-2</v>
      </c>
      <c r="AL133" s="2">
        <v>8.6320587824525202E-2</v>
      </c>
      <c r="AM133" s="2">
        <v>0</v>
      </c>
      <c r="AN133" s="2">
        <v>0.64</v>
      </c>
      <c r="AO133" s="2">
        <v>1.4789010122255817E-2</v>
      </c>
      <c r="AP133" s="2">
        <v>0.24376999892108142</v>
      </c>
      <c r="AQ133" s="16">
        <v>0.18382833478098914</v>
      </c>
      <c r="AR133" s="2">
        <v>0.88800000000000001</v>
      </c>
      <c r="AS133" s="2">
        <v>0.6</v>
      </c>
      <c r="AT133" s="2">
        <v>0.505</v>
      </c>
      <c r="AU133" s="2">
        <v>0.498</v>
      </c>
      <c r="AV133" s="2">
        <v>0.65</v>
      </c>
      <c r="AW133" s="2">
        <v>0.74199999999999999</v>
      </c>
      <c r="AX133" s="2">
        <v>0.89200000000000002</v>
      </c>
      <c r="AY133" s="2">
        <v>0.73522581753230631</v>
      </c>
      <c r="AZ133" s="2">
        <v>0.81046269790276604</v>
      </c>
      <c r="BA133" s="2">
        <v>0.88340997270322608</v>
      </c>
      <c r="BB133" s="2">
        <v>1</v>
      </c>
      <c r="BC133" s="2">
        <v>1</v>
      </c>
      <c r="BD133" s="2">
        <v>0.87176141587779266</v>
      </c>
      <c r="BE133" s="2">
        <v>0.47100000000000003</v>
      </c>
    </row>
    <row r="134" spans="1:57">
      <c r="A134" s="1" t="s">
        <v>52</v>
      </c>
      <c r="B134" s="1" t="s">
        <v>321</v>
      </c>
      <c r="C134" s="2">
        <v>0.52207385644551763</v>
      </c>
      <c r="D134" s="2">
        <v>0.37819999999999998</v>
      </c>
      <c r="E134" s="2">
        <v>0.10360097858133875</v>
      </c>
      <c r="F134" s="2">
        <v>0.2706336590498995</v>
      </c>
      <c r="G134" s="2">
        <v>1</v>
      </c>
      <c r="H134" s="11">
        <v>0.45490169881535109</v>
      </c>
      <c r="I134" s="2">
        <v>1.0904211011911177E-2</v>
      </c>
      <c r="J134" s="2">
        <v>0.32321466904246299</v>
      </c>
      <c r="K134" s="2">
        <v>0.9</v>
      </c>
      <c r="L134" s="2">
        <v>0</v>
      </c>
      <c r="M134" s="84">
        <v>0.30852972001359358</v>
      </c>
      <c r="N134" s="46">
        <v>0.26003987695621089</v>
      </c>
      <c r="O134" s="46">
        <v>0.2954419521539452</v>
      </c>
      <c r="P134" s="21">
        <v>25462</v>
      </c>
      <c r="Q134" s="22">
        <v>10.14</v>
      </c>
      <c r="R134" s="23">
        <v>0.85</v>
      </c>
      <c r="S134" s="2">
        <v>0.4216333333333333</v>
      </c>
      <c r="T134" s="2">
        <v>0.95226999806500967</v>
      </c>
      <c r="U134" s="2">
        <v>0.1551999992132187</v>
      </c>
      <c r="V134" s="2">
        <v>0.35</v>
      </c>
      <c r="W134" s="2">
        <v>0</v>
      </c>
      <c r="X134" s="2">
        <v>0.30399999611079698</v>
      </c>
      <c r="Y134" s="2">
        <v>0.54108333333333336</v>
      </c>
      <c r="Z134" s="2">
        <v>0.28623399993665516</v>
      </c>
      <c r="AA134" s="2">
        <v>0.5</v>
      </c>
      <c r="AB134" s="2">
        <v>0.18</v>
      </c>
      <c r="AC134" s="2">
        <v>1</v>
      </c>
      <c r="AD134" s="2">
        <v>0.16119999930262566</v>
      </c>
      <c r="AE134" s="2">
        <v>7.4999999999999997E-2</v>
      </c>
      <c r="AF134" s="2">
        <v>0.68351999999999991</v>
      </c>
      <c r="AG134" s="2">
        <v>0.24246618400842013</v>
      </c>
      <c r="AH134" s="2">
        <v>6.2059238000000003E-2</v>
      </c>
      <c r="AI134" s="2">
        <v>0</v>
      </c>
      <c r="AJ134" s="2">
        <v>1.6706202745637971E-2</v>
      </c>
      <c r="AK134" s="2">
        <v>1.3777088819041827E-2</v>
      </c>
      <c r="AL134" s="2">
        <v>0.18263317430403</v>
      </c>
      <c r="AM134" s="2">
        <v>2.0000000000000018E-2</v>
      </c>
      <c r="AN134" s="2">
        <v>0</v>
      </c>
      <c r="AO134" s="2">
        <v>0</v>
      </c>
      <c r="AP134" s="2">
        <v>0.58278399961143734</v>
      </c>
      <c r="AQ134" s="16">
        <v>0.28044027278264749</v>
      </c>
      <c r="AR134" s="2">
        <v>0.66900000000000004</v>
      </c>
      <c r="AS134" s="2">
        <v>0.6</v>
      </c>
      <c r="AT134" s="2">
        <v>0.98499999999999999</v>
      </c>
      <c r="AU134" s="2">
        <v>0.57399999999999995</v>
      </c>
      <c r="AV134" s="2">
        <v>0.55000000000000004</v>
      </c>
      <c r="AW134" s="2">
        <v>0.64800000000000002</v>
      </c>
      <c r="AX134" s="2">
        <v>0.83400000000000007</v>
      </c>
      <c r="AY134" s="2">
        <v>0.6608168136597834</v>
      </c>
      <c r="AZ134" s="2">
        <v>0.28708463802264494</v>
      </c>
      <c r="BA134" s="2">
        <v>0.59476944752227345</v>
      </c>
      <c r="BB134" s="2">
        <v>1</v>
      </c>
      <c r="BC134" s="2">
        <v>0.37388976437012927</v>
      </c>
      <c r="BD134" s="2">
        <v>0.63533107775515874</v>
      </c>
      <c r="BE134" s="2">
        <v>0.8640000000000001</v>
      </c>
    </row>
    <row r="135" spans="1:57">
      <c r="A135" s="1" t="s">
        <v>143</v>
      </c>
      <c r="B135" s="1" t="s">
        <v>322</v>
      </c>
      <c r="C135" s="2">
        <v>0.51136903703688164</v>
      </c>
      <c r="D135" s="2">
        <v>0.41120000000000001</v>
      </c>
      <c r="E135" s="2">
        <v>0.65764860430199867</v>
      </c>
      <c r="F135" s="2">
        <v>0.34048467319893616</v>
      </c>
      <c r="G135" s="2">
        <v>0.37898870979418631</v>
      </c>
      <c r="H135" s="11">
        <v>0.45993820486640058</v>
      </c>
      <c r="I135" s="2">
        <v>0.31688222422021545</v>
      </c>
      <c r="J135" s="2">
        <v>0.14905995428172933</v>
      </c>
      <c r="K135" s="2">
        <v>1</v>
      </c>
      <c r="L135" s="2">
        <v>0.6657142857142857</v>
      </c>
      <c r="M135" s="84">
        <v>0.53291411605405759</v>
      </c>
      <c r="N135" s="46">
        <v>0.37390452422062742</v>
      </c>
      <c r="O135" s="46">
        <v>0.40621382029828151</v>
      </c>
      <c r="P135" s="21">
        <v>2609</v>
      </c>
      <c r="Q135" s="22">
        <v>7.87</v>
      </c>
      <c r="R135" s="23">
        <v>0.56999999999999995</v>
      </c>
      <c r="S135" s="2">
        <v>1</v>
      </c>
      <c r="T135" s="2">
        <v>0</v>
      </c>
      <c r="U135" s="2">
        <v>0.13599999919533734</v>
      </c>
      <c r="V135" s="2">
        <v>0.5</v>
      </c>
      <c r="W135" s="2">
        <v>0.13666666666666666</v>
      </c>
      <c r="X135" s="2">
        <v>0.56799999959766867</v>
      </c>
      <c r="Y135" s="2">
        <v>0.58816666666666662</v>
      </c>
      <c r="Z135" s="2">
        <v>0.64054199985824523</v>
      </c>
      <c r="AA135" s="2">
        <v>0.22778001670999992</v>
      </c>
      <c r="AB135" s="2">
        <v>0.1</v>
      </c>
      <c r="AC135" s="2">
        <v>1.0599999986588955E-2</v>
      </c>
      <c r="AD135" s="2">
        <v>1</v>
      </c>
      <c r="AE135" s="2">
        <v>0.78249999999999997</v>
      </c>
      <c r="AF135" s="2">
        <v>0.91256000000000004</v>
      </c>
      <c r="AG135" s="2">
        <v>0.42264132563963552</v>
      </c>
      <c r="AH135" s="2">
        <v>0.65042016800000002</v>
      </c>
      <c r="AI135" s="2">
        <v>3.733892799823673E-2</v>
      </c>
      <c r="AJ135" s="2">
        <v>0.27845489362061721</v>
      </c>
      <c r="AK135" s="2">
        <v>2.826456720282975E-2</v>
      </c>
      <c r="AL135" s="2">
        <v>2.9429240533700302E-2</v>
      </c>
      <c r="AM135" s="2">
        <v>0.42399999999999993</v>
      </c>
      <c r="AN135" s="2">
        <v>0.47</v>
      </c>
      <c r="AO135" s="2">
        <v>3.6970734744707349E-2</v>
      </c>
      <c r="AP135" s="2">
        <v>0.39868630860726884</v>
      </c>
      <c r="AQ135" s="16">
        <v>0.39079256312617378</v>
      </c>
      <c r="AR135" s="2">
        <v>0.71700000000000008</v>
      </c>
      <c r="AS135" s="2">
        <v>0.4</v>
      </c>
      <c r="AT135" s="2">
        <v>0.80500000000000005</v>
      </c>
      <c r="AU135" s="2">
        <v>0.88800000000000001</v>
      </c>
      <c r="AV135" s="2">
        <v>0.3</v>
      </c>
      <c r="AW135" s="2">
        <v>0.69400000000000006</v>
      </c>
      <c r="AX135" s="2">
        <v>0.67</v>
      </c>
      <c r="AY135" s="2">
        <v>0</v>
      </c>
      <c r="AZ135" s="2">
        <v>0.30253102867078063</v>
      </c>
      <c r="BA135" s="2">
        <v>0.28282209931094543</v>
      </c>
      <c r="BB135" s="2">
        <v>0.66748649471350952</v>
      </c>
      <c r="BC135" s="2">
        <v>9.0671695734757127E-2</v>
      </c>
      <c r="BD135" s="2">
        <v>0.31683845423056212</v>
      </c>
      <c r="BE135" s="2">
        <v>0.498</v>
      </c>
    </row>
    <row r="136" spans="1:57">
      <c r="A136" s="1" t="s">
        <v>30</v>
      </c>
      <c r="B136" s="1" t="s">
        <v>323</v>
      </c>
      <c r="C136" s="2" t="e">
        <v>#N/A</v>
      </c>
      <c r="D136" s="2">
        <v>0.8659</v>
      </c>
      <c r="E136" s="2" t="e">
        <v>#N/A</v>
      </c>
      <c r="F136" s="2">
        <v>0.55436650136886934</v>
      </c>
      <c r="G136" s="2">
        <v>0.94599901824297272</v>
      </c>
      <c r="H136" s="11">
        <v>0.78875517320394728</v>
      </c>
      <c r="I136" s="2">
        <v>1</v>
      </c>
      <c r="J136" s="2">
        <v>0.92902757774685263</v>
      </c>
      <c r="K136" s="2">
        <v>1</v>
      </c>
      <c r="L136" s="2" t="e">
        <v>#N/A</v>
      </c>
      <c r="M136" s="84">
        <v>0.97634252591561754</v>
      </c>
      <c r="N136" s="46">
        <v>0.38110707475577404</v>
      </c>
      <c r="O136" s="46">
        <v>0.51502168981275098</v>
      </c>
      <c r="P136" s="21">
        <v>8100</v>
      </c>
      <c r="Q136" s="22">
        <v>9</v>
      </c>
      <c r="R136" s="23" t="s">
        <v>460</v>
      </c>
      <c r="S136" s="2">
        <v>0.40596198751018192</v>
      </c>
      <c r="T136" s="2">
        <v>0.5</v>
      </c>
      <c r="U136" s="2">
        <v>0.24399999812245365</v>
      </c>
      <c r="V136" s="2">
        <v>9.9999999999999978E-2</v>
      </c>
      <c r="W136" s="2">
        <v>2.6666666666666668E-2</v>
      </c>
      <c r="X136" s="2">
        <v>0.25299999814480545</v>
      </c>
      <c r="Y136" s="2">
        <v>0.44466666666666665</v>
      </c>
      <c r="Z136" s="2">
        <v>0.18604199995882809</v>
      </c>
      <c r="AA136" s="2">
        <v>1</v>
      </c>
      <c r="AB136" s="2">
        <v>0.06</v>
      </c>
      <c r="AC136" s="2">
        <v>1</v>
      </c>
      <c r="AD136" s="2">
        <v>0.3</v>
      </c>
      <c r="AE136" s="2">
        <v>0.76749999999999996</v>
      </c>
      <c r="AF136" s="2">
        <v>0.65999999999999992</v>
      </c>
      <c r="AG136" s="2">
        <v>0.45567316764138877</v>
      </c>
      <c r="AH136" s="2">
        <v>0.37696334999999997</v>
      </c>
      <c r="AI136" s="2">
        <v>0.46459999989718198</v>
      </c>
      <c r="AJ136" s="2">
        <v>0.5</v>
      </c>
      <c r="AK136" s="2">
        <v>0.19322973000418731</v>
      </c>
      <c r="AL136" s="2">
        <v>0.51496675914453205</v>
      </c>
      <c r="AM136" s="2">
        <v>5.0000000000000044E-3</v>
      </c>
      <c r="AN136" s="2">
        <v>0.5</v>
      </c>
      <c r="AO136" s="2">
        <v>0</v>
      </c>
      <c r="AP136" s="2">
        <v>0.5</v>
      </c>
      <c r="AQ136" s="16">
        <v>0.39409459682320386</v>
      </c>
      <c r="AR136" s="2" t="e">
        <v>#N/A</v>
      </c>
      <c r="AS136" s="2" t="e">
        <v>#N/A</v>
      </c>
      <c r="AT136" s="2" t="e">
        <v>#N/A</v>
      </c>
      <c r="AU136" s="2" t="e">
        <v>#N/A</v>
      </c>
      <c r="AV136" s="2" t="e">
        <v>#N/A</v>
      </c>
      <c r="AW136" s="2" t="e">
        <v>#N/A</v>
      </c>
      <c r="AX136" s="2" t="e">
        <v>#N/A</v>
      </c>
      <c r="AY136" s="2">
        <v>0.78916907601115227</v>
      </c>
      <c r="AZ136" s="2">
        <v>0.75158939559427762</v>
      </c>
      <c r="BA136" s="2">
        <v>0.42330196741928611</v>
      </c>
      <c r="BB136" s="2">
        <v>0.70947344356965836</v>
      </c>
      <c r="BC136" s="2">
        <v>0.45446004193485212</v>
      </c>
      <c r="BD136" s="2">
        <v>0.6421779206826489</v>
      </c>
      <c r="BE136" s="2" t="e">
        <v>#N/A</v>
      </c>
    </row>
    <row r="137" spans="1:57">
      <c r="A137" s="1" t="s">
        <v>49</v>
      </c>
      <c r="B137" s="1" t="s">
        <v>324</v>
      </c>
      <c r="C137" s="2">
        <v>0.43386030822234778</v>
      </c>
      <c r="D137" s="2">
        <v>9.2399999999999927E-2</v>
      </c>
      <c r="E137" s="2">
        <v>0.29309216728210308</v>
      </c>
      <c r="F137" s="2">
        <v>0.48236230716945494</v>
      </c>
      <c r="G137" s="2">
        <v>0.30535100495982404</v>
      </c>
      <c r="H137" s="11">
        <v>0.32141315752674593</v>
      </c>
      <c r="I137" s="2">
        <v>0.3415902724373614</v>
      </c>
      <c r="J137" s="2">
        <v>0.6057389230493142</v>
      </c>
      <c r="K137" s="2">
        <v>0.6</v>
      </c>
      <c r="L137" s="2">
        <v>0.32857142857142857</v>
      </c>
      <c r="M137" s="84">
        <v>0.46897515601452605</v>
      </c>
      <c r="N137" s="46">
        <v>0.30251536458590561</v>
      </c>
      <c r="O137" s="46">
        <v>0.32555561096222935</v>
      </c>
      <c r="P137" s="21">
        <v>13057</v>
      </c>
      <c r="Q137" s="22">
        <v>9.48</v>
      </c>
      <c r="R137" s="23">
        <v>0.84</v>
      </c>
      <c r="S137" s="2">
        <v>0.63399782939832439</v>
      </c>
      <c r="T137" s="2">
        <v>3.0520000000000005E-3</v>
      </c>
      <c r="U137" s="2">
        <v>0.10719999916851519</v>
      </c>
      <c r="V137" s="2">
        <v>0.19999999999999996</v>
      </c>
      <c r="W137" s="2">
        <v>3.6666666666666667E-2</v>
      </c>
      <c r="X137" s="2">
        <v>0.33759999938309193</v>
      </c>
      <c r="Y137" s="2">
        <v>0.49525000000000002</v>
      </c>
      <c r="Z137" s="2">
        <v>0.26259999994188549</v>
      </c>
      <c r="AA137" s="2">
        <v>0.94121958637466663</v>
      </c>
      <c r="AB137" s="2">
        <v>0.08</v>
      </c>
      <c r="AC137" s="2">
        <v>0.80559999898076062</v>
      </c>
      <c r="AD137" s="2">
        <v>0.3</v>
      </c>
      <c r="AE137" s="2">
        <v>0.3175</v>
      </c>
      <c r="AF137" s="2">
        <v>0.76919999999999999</v>
      </c>
      <c r="AG137" s="2">
        <v>0.24731348157391098</v>
      </c>
      <c r="AH137" s="2">
        <v>0.337614678</v>
      </c>
      <c r="AI137" s="2">
        <v>9.9005047978089743E-4</v>
      </c>
      <c r="AJ137" s="2">
        <v>5.0055551736968129E-2</v>
      </c>
      <c r="AK137" s="2">
        <v>4.4881928840523271E-2</v>
      </c>
      <c r="AL137" s="2">
        <v>7.3612317997076598E-2</v>
      </c>
      <c r="AM137" s="2">
        <v>0.11900000000000011</v>
      </c>
      <c r="AN137" s="2">
        <v>0.91</v>
      </c>
      <c r="AO137" s="2">
        <v>0.14124293785310735</v>
      </c>
      <c r="AP137" s="2">
        <v>0.63385599965900186</v>
      </c>
      <c r="AQ137" s="16">
        <v>0.32701887608559499</v>
      </c>
      <c r="AR137" s="2">
        <v>0.75900000000000001</v>
      </c>
      <c r="AS137" s="2">
        <v>0.7</v>
      </c>
      <c r="AT137" s="2">
        <v>0.82599999999999996</v>
      </c>
      <c r="AU137" s="2">
        <v>0.9</v>
      </c>
      <c r="AV137" s="2">
        <v>0.65</v>
      </c>
      <c r="AW137" s="2">
        <v>0.73199999999999998</v>
      </c>
      <c r="AX137" s="2">
        <v>0.75800000000000001</v>
      </c>
      <c r="AY137" s="2">
        <v>0.52887625106546776</v>
      </c>
      <c r="AZ137" s="2">
        <v>0.61179903537911084</v>
      </c>
      <c r="BA137" s="2">
        <v>0.4480520726024449</v>
      </c>
      <c r="BB137" s="2">
        <v>1</v>
      </c>
      <c r="BC137" s="2">
        <v>0.61860685771897961</v>
      </c>
      <c r="BD137" s="2">
        <v>0.48227421046878921</v>
      </c>
      <c r="BE137" s="2">
        <v>0.41299999999999998</v>
      </c>
    </row>
    <row r="138" spans="1:57">
      <c r="A138" s="1" t="s">
        <v>190</v>
      </c>
      <c r="B138" s="1" t="s">
        <v>325</v>
      </c>
      <c r="C138" s="2">
        <v>0.31756653933478884</v>
      </c>
      <c r="D138" s="2">
        <v>0.85819999999999996</v>
      </c>
      <c r="E138" s="2">
        <v>1</v>
      </c>
      <c r="F138" s="2">
        <v>0.63160067265053055</v>
      </c>
      <c r="G138" s="2">
        <v>0.58169693974355541</v>
      </c>
      <c r="H138" s="11">
        <v>0.67781283034577489</v>
      </c>
      <c r="I138" s="2">
        <v>0</v>
      </c>
      <c r="J138" s="2">
        <v>0.3909340237201776</v>
      </c>
      <c r="K138" s="2">
        <v>0.75</v>
      </c>
      <c r="L138" s="2" t="e">
        <v>#N/A</v>
      </c>
      <c r="M138" s="84">
        <v>0.38031134124005916</v>
      </c>
      <c r="N138" s="46">
        <v>0.47233071884485517</v>
      </c>
      <c r="O138" s="46">
        <v>0.49231050815047372</v>
      </c>
      <c r="P138" s="21">
        <v>2281</v>
      </c>
      <c r="Q138" s="22">
        <v>7.73</v>
      </c>
      <c r="R138" s="23">
        <v>0.54</v>
      </c>
      <c r="S138" s="2">
        <v>0.63714336252189141</v>
      </c>
      <c r="T138" s="2">
        <v>3.39E-4</v>
      </c>
      <c r="U138" s="2">
        <v>0.61599999964237218</v>
      </c>
      <c r="V138" s="2">
        <v>0.125</v>
      </c>
      <c r="W138" s="2">
        <v>0.192</v>
      </c>
      <c r="X138" s="2">
        <v>0.56799999959766867</v>
      </c>
      <c r="Y138" s="2">
        <v>0.49116666666666664</v>
      </c>
      <c r="Z138" s="2">
        <v>0.88354799980446697</v>
      </c>
      <c r="AA138" s="2">
        <v>0.86906790123449995</v>
      </c>
      <c r="AB138" s="2">
        <v>0.14000000000000001</v>
      </c>
      <c r="AC138" s="2">
        <v>1</v>
      </c>
      <c r="AD138" s="2">
        <v>0.54</v>
      </c>
      <c r="AE138" s="2">
        <v>0.76749999999999996</v>
      </c>
      <c r="AF138" s="2">
        <v>0.97536</v>
      </c>
      <c r="AG138" s="2">
        <v>0.52686033061474569</v>
      </c>
      <c r="AH138" s="2">
        <v>0.617549668</v>
      </c>
      <c r="AI138" s="2">
        <v>0.20199403045129785</v>
      </c>
      <c r="AJ138" s="2">
        <v>0.2774654394414679</v>
      </c>
      <c r="AK138" s="2">
        <v>2.1615336702716526E-2</v>
      </c>
      <c r="AL138" s="2">
        <v>2.7365348741470199E-2</v>
      </c>
      <c r="AM138" s="2">
        <v>0.9</v>
      </c>
      <c r="AN138" s="2">
        <v>0.3</v>
      </c>
      <c r="AO138" s="2">
        <v>9.9368458243165661E-3</v>
      </c>
      <c r="AP138" s="2">
        <v>0.97129999985918403</v>
      </c>
      <c r="AQ138" s="16">
        <v>0.48580049704594858</v>
      </c>
      <c r="AR138" s="2">
        <v>0.59099999999999997</v>
      </c>
      <c r="AS138" s="2">
        <v>0.3</v>
      </c>
      <c r="AT138" s="2">
        <v>0.65</v>
      </c>
      <c r="AU138" s="2">
        <v>0.63300000000000001</v>
      </c>
      <c r="AV138" s="2">
        <v>0.35</v>
      </c>
      <c r="AW138" s="2">
        <v>0.72599999999999998</v>
      </c>
      <c r="AX138" s="2">
        <v>0.86199999999999999</v>
      </c>
      <c r="AY138" s="2">
        <v>0.37891925353308498</v>
      </c>
      <c r="AZ138" s="2">
        <v>0.52221526662297113</v>
      </c>
      <c r="BA138" s="2">
        <v>0.22562978471811396</v>
      </c>
      <c r="BB138" s="2">
        <v>0.14705535033018624</v>
      </c>
      <c r="BC138" s="2">
        <v>2.2517597284815671E-2</v>
      </c>
      <c r="BD138" s="2">
        <v>0.30702368842549504</v>
      </c>
      <c r="BE138" s="2">
        <v>0.83299999999999996</v>
      </c>
    </row>
    <row r="139" spans="1:57">
      <c r="A139" s="1" t="s">
        <v>86</v>
      </c>
      <c r="B139" s="1" t="s">
        <v>326</v>
      </c>
      <c r="C139" s="2">
        <v>0</v>
      </c>
      <c r="D139" s="2">
        <v>0.68059999999999998</v>
      </c>
      <c r="E139" s="2" t="e">
        <v>#N/A</v>
      </c>
      <c r="F139" s="2">
        <v>0.29380549515955334</v>
      </c>
      <c r="G139" s="2">
        <v>0.59499263682229553</v>
      </c>
      <c r="H139" s="11">
        <v>0.39234953299546221</v>
      </c>
      <c r="I139" s="2">
        <v>0.27839852684592847</v>
      </c>
      <c r="J139" s="2">
        <v>0.58758460340106289</v>
      </c>
      <c r="K139" s="2">
        <v>1</v>
      </c>
      <c r="L139" s="2">
        <v>0.25142857142857145</v>
      </c>
      <c r="M139" s="84">
        <v>0.52935292541889067</v>
      </c>
      <c r="N139" s="46">
        <v>0.28610784214925428</v>
      </c>
      <c r="O139" s="46">
        <v>0.33168932055257505</v>
      </c>
      <c r="P139" s="21">
        <v>4523</v>
      </c>
      <c r="Q139" s="22">
        <v>8.42</v>
      </c>
      <c r="R139" s="23">
        <v>0.76</v>
      </c>
      <c r="S139" s="2">
        <v>0.23660553851397409</v>
      </c>
      <c r="T139" s="2">
        <v>1.4580000000000001E-3</v>
      </c>
      <c r="U139" s="2">
        <v>0.17439999923110006</v>
      </c>
      <c r="V139" s="2">
        <v>0.32499999999999996</v>
      </c>
      <c r="W139" s="2">
        <v>3.7333333333333336E-2</v>
      </c>
      <c r="X139" s="2">
        <v>0.32799999937415125</v>
      </c>
      <c r="Y139" s="2">
        <v>0.76291666666666669</v>
      </c>
      <c r="Z139" s="2">
        <v>0.39490999991260467</v>
      </c>
      <c r="AA139" s="2">
        <v>0.88862579365083338</v>
      </c>
      <c r="AB139" s="2">
        <v>0.24</v>
      </c>
      <c r="AC139" s="2">
        <v>9.539999987930059E-2</v>
      </c>
      <c r="AD139" s="2">
        <v>0.54</v>
      </c>
      <c r="AE139" s="2">
        <v>0.3175</v>
      </c>
      <c r="AF139" s="2">
        <v>0.83960000000000001</v>
      </c>
      <c r="AG139" s="2">
        <v>0.31981221334874765</v>
      </c>
      <c r="AH139" s="2">
        <v>0.29855537799999998</v>
      </c>
      <c r="AI139" s="2">
        <v>1.7366341824656753E-2</v>
      </c>
      <c r="AJ139" s="2">
        <v>8.2867576408760205E-2</v>
      </c>
      <c r="AK139" s="2">
        <v>0</v>
      </c>
      <c r="AL139" s="2">
        <v>0</v>
      </c>
      <c r="AM139" s="2">
        <v>5.5000000000000049E-2</v>
      </c>
      <c r="AN139" s="2">
        <v>1</v>
      </c>
      <c r="AO139" s="2">
        <v>1.5101938082053862E-2</v>
      </c>
      <c r="AP139" s="2">
        <v>0.58344000418815667</v>
      </c>
      <c r="AQ139" s="16">
        <v>0.3147455326005974</v>
      </c>
      <c r="AR139" s="2">
        <v>0.60899999999999999</v>
      </c>
      <c r="AS139" s="2">
        <v>0.6</v>
      </c>
      <c r="AT139" s="2">
        <v>0.96599999999999997</v>
      </c>
      <c r="AU139" s="2">
        <v>0.91700000000000004</v>
      </c>
      <c r="AV139" s="2">
        <v>0.65</v>
      </c>
      <c r="AW139" s="2">
        <v>0.754</v>
      </c>
      <c r="AX139" s="2">
        <v>0.83499999999999996</v>
      </c>
      <c r="AY139" s="2">
        <v>0.30445980820243262</v>
      </c>
      <c r="AZ139" s="2">
        <v>0.45235901622879027</v>
      </c>
      <c r="BA139" s="2">
        <v>0.32572822435175108</v>
      </c>
      <c r="BB139" s="2">
        <v>0.97347357059407247</v>
      </c>
      <c r="BC139" s="2">
        <v>0.38341002054701373</v>
      </c>
      <c r="BD139" s="2">
        <v>0.30548538220290966</v>
      </c>
      <c r="BE139" s="2">
        <v>0.26100000000000001</v>
      </c>
    </row>
    <row r="140" spans="1:57">
      <c r="A140" s="1" t="s">
        <v>37</v>
      </c>
      <c r="B140" s="1" t="s">
        <v>327</v>
      </c>
      <c r="C140" s="2">
        <v>0.29136945491986632</v>
      </c>
      <c r="D140" s="2">
        <v>0.21120000000000005</v>
      </c>
      <c r="E140" s="2">
        <v>0.29504474404761305</v>
      </c>
      <c r="F140" s="2">
        <v>0.64598549217271417</v>
      </c>
      <c r="G140" s="2">
        <v>1</v>
      </c>
      <c r="H140" s="11">
        <v>0.48871993822803877</v>
      </c>
      <c r="I140" s="2">
        <v>6.4910989580878029E-2</v>
      </c>
      <c r="J140" s="2">
        <v>0.47063797253348483</v>
      </c>
      <c r="K140" s="2">
        <v>1</v>
      </c>
      <c r="L140" s="2">
        <v>0.51571428571428568</v>
      </c>
      <c r="M140" s="84">
        <v>0.51281581195716208</v>
      </c>
      <c r="N140" s="46">
        <v>0.31570069855053312</v>
      </c>
      <c r="O140" s="46">
        <v>0.36580847588429211</v>
      </c>
      <c r="P140" s="21">
        <v>8629</v>
      </c>
      <c r="Q140" s="22">
        <v>9.06</v>
      </c>
      <c r="R140" s="23">
        <v>0.81</v>
      </c>
      <c r="S140" s="2">
        <v>0.43419003984063748</v>
      </c>
      <c r="T140" s="2">
        <v>1.01E-2</v>
      </c>
      <c r="U140" s="2">
        <v>0.21279999926686288</v>
      </c>
      <c r="V140" s="2">
        <v>0.32499999999999996</v>
      </c>
      <c r="W140" s="2">
        <v>4.5999999999999999E-2</v>
      </c>
      <c r="X140" s="2">
        <v>0.34719999939203261</v>
      </c>
      <c r="Y140" s="2">
        <v>0.59099999999999997</v>
      </c>
      <c r="Z140" s="2">
        <v>0.28784999993629756</v>
      </c>
      <c r="AA140" s="2">
        <v>0.86407031963466663</v>
      </c>
      <c r="AB140" s="2">
        <v>0.36</v>
      </c>
      <c r="AC140" s="2">
        <v>0.54059999931603675</v>
      </c>
      <c r="AD140" s="2">
        <v>5.3999999910593031E-2</v>
      </c>
      <c r="AE140" s="2">
        <v>0.22499999999999998</v>
      </c>
      <c r="AF140" s="2">
        <v>0.87559999999999993</v>
      </c>
      <c r="AG140" s="2">
        <v>0.29337147186070867</v>
      </c>
      <c r="AH140" s="2">
        <v>0.56535947799999997</v>
      </c>
      <c r="AI140" s="2">
        <v>9.6788237863580338E-3</v>
      </c>
      <c r="AJ140" s="2">
        <v>7.0005117199817835E-2</v>
      </c>
      <c r="AK140" s="2">
        <v>4.6021735040835728E-3</v>
      </c>
      <c r="AL140" s="2">
        <v>1.7865612563228599E-2</v>
      </c>
      <c r="AM140" s="2">
        <v>0.23099999999999998</v>
      </c>
      <c r="AN140" s="2">
        <v>0.65</v>
      </c>
      <c r="AO140" s="2">
        <v>1.8749999999999999E-2</v>
      </c>
      <c r="AP140" s="2">
        <v>0.87229534319578939</v>
      </c>
      <c r="AQ140" s="16">
        <v>0.32943076572529634</v>
      </c>
      <c r="AR140" s="2">
        <v>0.65799999999999992</v>
      </c>
      <c r="AS140" s="2">
        <v>0.6</v>
      </c>
      <c r="AT140" s="2">
        <v>0.79500000000000004</v>
      </c>
      <c r="AU140" s="2">
        <v>0.92299999999999993</v>
      </c>
      <c r="AV140" s="2">
        <v>0.7</v>
      </c>
      <c r="AW140" s="2">
        <v>0.81599999999999995</v>
      </c>
      <c r="AX140" s="2">
        <v>0.85</v>
      </c>
      <c r="AY140" s="2">
        <v>0.31603427278685325</v>
      </c>
      <c r="AZ140" s="2">
        <v>0.50871854191908772</v>
      </c>
      <c r="BA140" s="2">
        <v>0.42885815802282429</v>
      </c>
      <c r="BB140" s="2">
        <v>0.93161340664848258</v>
      </c>
      <c r="BC140" s="2">
        <v>0.45310249802352059</v>
      </c>
      <c r="BD140" s="2">
        <v>0.37018255110460901</v>
      </c>
      <c r="BE140" s="2">
        <v>0.66099999999999992</v>
      </c>
    </row>
    <row r="141" spans="1:57">
      <c r="A141" s="1" t="s">
        <v>73</v>
      </c>
      <c r="B141" s="1" t="s">
        <v>328</v>
      </c>
      <c r="C141" s="2">
        <v>0.53604401748672248</v>
      </c>
      <c r="D141" s="2">
        <v>0.36</v>
      </c>
      <c r="E141" s="2">
        <v>0.46946339024984779</v>
      </c>
      <c r="F141" s="2">
        <v>0.82991741741741742</v>
      </c>
      <c r="G141" s="2">
        <v>0.5006954671080146</v>
      </c>
      <c r="H141" s="11">
        <v>0.53922405845240051</v>
      </c>
      <c r="I141" s="2">
        <v>0.3326791663206039</v>
      </c>
      <c r="J141" s="2">
        <v>0.12539952941903906</v>
      </c>
      <c r="K141" s="2">
        <v>0.27500000000000002</v>
      </c>
      <c r="L141" s="2">
        <v>0.5842857142857143</v>
      </c>
      <c r="M141" s="84">
        <v>0.3293411025063393</v>
      </c>
      <c r="N141" s="46">
        <v>0.2808829375783552</v>
      </c>
      <c r="O141" s="46">
        <v>0.325899248611148</v>
      </c>
      <c r="P141" s="21">
        <v>3542</v>
      </c>
      <c r="Q141" s="22">
        <v>8.17</v>
      </c>
      <c r="R141" s="23">
        <v>0.75</v>
      </c>
      <c r="S141" s="2">
        <v>0.12827533666794924</v>
      </c>
      <c r="T141" s="2">
        <v>0</v>
      </c>
      <c r="U141" s="2">
        <v>0.12639999918639655</v>
      </c>
      <c r="V141" s="2">
        <v>9.9999999999999978E-2</v>
      </c>
      <c r="W141" s="2">
        <v>6.4000000000000001E-2</v>
      </c>
      <c r="X141" s="2">
        <v>0.27039999932050707</v>
      </c>
      <c r="Y141" s="2">
        <v>0.49116666666666664</v>
      </c>
      <c r="Z141" s="2">
        <v>0.3468339999232441</v>
      </c>
      <c r="AA141" s="2">
        <v>0.7813801886791667</v>
      </c>
      <c r="AB141" s="2">
        <v>0.08</v>
      </c>
      <c r="AC141" s="2">
        <v>0.26499999966472387</v>
      </c>
      <c r="AD141" s="2">
        <v>0.3</v>
      </c>
      <c r="AE141" s="2">
        <v>0.76749999999999996</v>
      </c>
      <c r="AF141" s="2">
        <v>0.66775999999999991</v>
      </c>
      <c r="AG141" s="2">
        <v>0.32077830115452488</v>
      </c>
      <c r="AH141" s="2">
        <v>0.522033898</v>
      </c>
      <c r="AI141" s="2">
        <v>4.3430002434588749E-2</v>
      </c>
      <c r="AJ141" s="2">
        <v>8.0018194811209767E-2</v>
      </c>
      <c r="AK141" s="2">
        <v>7.677140298733115E-2</v>
      </c>
      <c r="AL141" s="2">
        <v>0.17703882549799699</v>
      </c>
      <c r="AM141" s="2">
        <v>0.14000000000000001</v>
      </c>
      <c r="AN141" s="2">
        <v>0.53</v>
      </c>
      <c r="AO141" s="2">
        <v>0.13582855418050105</v>
      </c>
      <c r="AP141" s="2">
        <v>0.91486000296680481</v>
      </c>
      <c r="AQ141" s="16">
        <v>0.30539480717256712</v>
      </c>
      <c r="AR141" s="2">
        <v>0.48100000000000004</v>
      </c>
      <c r="AS141" s="2">
        <v>0.5</v>
      </c>
      <c r="AT141" s="2">
        <v>0.78799999999999992</v>
      </c>
      <c r="AU141" s="2">
        <v>0.91200000000000003</v>
      </c>
      <c r="AV141" s="2">
        <v>0.4</v>
      </c>
      <c r="AW141" s="2">
        <v>0.72699999999999998</v>
      </c>
      <c r="AX141" s="2">
        <v>0.77800000000000002</v>
      </c>
      <c r="AY141" s="2">
        <v>0.21938916482529569</v>
      </c>
      <c r="AZ141" s="2">
        <v>0.47685928067759492</v>
      </c>
      <c r="BA141" s="2">
        <v>0.35910180246732715</v>
      </c>
      <c r="BB141" s="2">
        <v>0.89079296345647885</v>
      </c>
      <c r="BC141" s="2">
        <v>0.39348864036646491</v>
      </c>
      <c r="BD141" s="2">
        <v>0.3948222358844673</v>
      </c>
      <c r="BE141" s="2">
        <v>0.51900000000000002</v>
      </c>
    </row>
    <row r="142" spans="1:57">
      <c r="A142" s="1" t="s">
        <v>81</v>
      </c>
      <c r="B142" s="1" t="s">
        <v>329</v>
      </c>
      <c r="C142" s="2">
        <v>0.49188701329532769</v>
      </c>
      <c r="D142" s="2">
        <v>0</v>
      </c>
      <c r="E142" s="2">
        <v>0.15874268937844044</v>
      </c>
      <c r="F142" s="2">
        <v>0.12263147213569947</v>
      </c>
      <c r="G142" s="2">
        <v>0</v>
      </c>
      <c r="H142" s="11">
        <v>0.15465223496189354</v>
      </c>
      <c r="I142" s="2">
        <v>0</v>
      </c>
      <c r="J142" s="2">
        <v>0</v>
      </c>
      <c r="K142" s="2">
        <v>0.4</v>
      </c>
      <c r="L142" s="2">
        <v>0</v>
      </c>
      <c r="M142" s="84">
        <v>0.1</v>
      </c>
      <c r="N142" s="46">
        <v>0.14627522058468675</v>
      </c>
      <c r="O142" s="46">
        <v>0.14193534754066517</v>
      </c>
      <c r="P142" s="21">
        <v>18905</v>
      </c>
      <c r="Q142" s="22">
        <v>9.85</v>
      </c>
      <c r="R142" s="23">
        <v>0.88</v>
      </c>
      <c r="S142" s="2">
        <v>0.33954403794037941</v>
      </c>
      <c r="T142" s="2">
        <v>0</v>
      </c>
      <c r="U142" s="2">
        <v>3.9999999105930328E-2</v>
      </c>
      <c r="V142" s="2">
        <v>0.625</v>
      </c>
      <c r="W142" s="2">
        <v>0</v>
      </c>
      <c r="X142" s="2">
        <v>0.13599999919533734</v>
      </c>
      <c r="Y142" s="2">
        <v>0.23183333333333334</v>
      </c>
      <c r="Z142" s="2">
        <v>0.39127399991340939</v>
      </c>
      <c r="AA142" s="2">
        <v>0.67822152464093954</v>
      </c>
      <c r="AB142" s="2">
        <v>0.06</v>
      </c>
      <c r="AC142" s="2">
        <v>0.1165999998524785</v>
      </c>
      <c r="AD142" s="2">
        <v>0</v>
      </c>
      <c r="AE142" s="2">
        <v>7.4999999999999997E-2</v>
      </c>
      <c r="AF142" s="2">
        <v>0.59928000000000003</v>
      </c>
      <c r="AG142" s="2">
        <v>0.24976312060058148</v>
      </c>
      <c r="AH142" s="2">
        <v>8.9171974000000001E-2</v>
      </c>
      <c r="AI142" s="2">
        <v>0</v>
      </c>
      <c r="AJ142" s="2">
        <v>1.9598667383151371E-3</v>
      </c>
      <c r="AK142" s="2">
        <v>1.9555589171861513E-2</v>
      </c>
      <c r="AL142" s="2">
        <v>2.5313311200472002E-2</v>
      </c>
      <c r="AM142" s="2">
        <v>0</v>
      </c>
      <c r="AN142" s="2">
        <v>0.3</v>
      </c>
      <c r="AO142" s="2">
        <v>1.4790468364831553E-2</v>
      </c>
      <c r="AP142" s="2">
        <v>0.34574759167867997</v>
      </c>
      <c r="AQ142" s="16">
        <v>0.18079395065568957</v>
      </c>
      <c r="AR142" s="2">
        <v>0.622</v>
      </c>
      <c r="AS142" s="2">
        <v>0.6</v>
      </c>
      <c r="AT142" s="2">
        <v>0.74900000000000011</v>
      </c>
      <c r="AU142" s="2">
        <v>0.46799999999999997</v>
      </c>
      <c r="AV142" s="2">
        <v>0.6</v>
      </c>
      <c r="AW142" s="2">
        <v>0.78099999999999992</v>
      </c>
      <c r="AX142" s="2">
        <v>0.875</v>
      </c>
      <c r="AY142" s="2">
        <v>0.67951576829747018</v>
      </c>
      <c r="AZ142" s="2">
        <v>0.70306514086893412</v>
      </c>
      <c r="BA142" s="2">
        <v>0.59556699193452545</v>
      </c>
      <c r="BB142" s="2">
        <v>1</v>
      </c>
      <c r="BC142" s="2">
        <v>0.95217586374392582</v>
      </c>
      <c r="BD142" s="2">
        <v>0.63520045018434912</v>
      </c>
      <c r="BE142" s="2">
        <v>0.61499999999999999</v>
      </c>
    </row>
    <row r="143" spans="1:57">
      <c r="A143" s="1" t="s">
        <v>91</v>
      </c>
      <c r="B143" s="1" t="s">
        <v>330</v>
      </c>
      <c r="C143" s="2">
        <v>0.5817669253194927</v>
      </c>
      <c r="D143" s="2">
        <v>0.51</v>
      </c>
      <c r="E143" s="2">
        <v>3.7851268166837218E-2</v>
      </c>
      <c r="F143" s="2">
        <v>0.2653214869111723</v>
      </c>
      <c r="G143" s="2">
        <v>0</v>
      </c>
      <c r="H143" s="11">
        <v>0.27898793607950045</v>
      </c>
      <c r="I143" s="2">
        <v>1</v>
      </c>
      <c r="J143" s="2">
        <v>0.48161778241865727</v>
      </c>
      <c r="K143" s="2">
        <v>0</v>
      </c>
      <c r="L143" s="2">
        <v>0</v>
      </c>
      <c r="M143" s="84">
        <v>0.37040444560466435</v>
      </c>
      <c r="N143" s="46">
        <v>0.21397964649425563</v>
      </c>
      <c r="O143" s="46">
        <v>0.24278996905085742</v>
      </c>
      <c r="P143" s="21">
        <v>24920</v>
      </c>
      <c r="Q143" s="22">
        <v>10.119999999999999</v>
      </c>
      <c r="R143" s="23">
        <v>0.91</v>
      </c>
      <c r="S143" s="2">
        <v>0.94999198949441888</v>
      </c>
      <c r="T143" s="2">
        <v>0.1232</v>
      </c>
      <c r="U143" s="2">
        <v>4.9599999114871007E-2</v>
      </c>
      <c r="V143" s="2">
        <v>0.375</v>
      </c>
      <c r="W143" s="2">
        <v>0</v>
      </c>
      <c r="X143" s="2">
        <v>3.9999999105930328E-2</v>
      </c>
      <c r="Y143" s="2">
        <v>0.29975000000000002</v>
      </c>
      <c r="Z143" s="2">
        <v>0.40319199991077181</v>
      </c>
      <c r="AA143" s="2">
        <v>0.48544967491190205</v>
      </c>
      <c r="AB143" s="2">
        <v>0.18</v>
      </c>
      <c r="AC143" s="2">
        <v>0.85859999891370542</v>
      </c>
      <c r="AD143" s="2">
        <v>0</v>
      </c>
      <c r="AE143" s="2">
        <v>6.7499999999999991E-2</v>
      </c>
      <c r="AF143" s="2">
        <v>0.48640000000000005</v>
      </c>
      <c r="AG143" s="2">
        <v>0.17840468150973465</v>
      </c>
      <c r="AH143" s="2">
        <v>0.19658119600000001</v>
      </c>
      <c r="AI143" s="2">
        <v>0</v>
      </c>
      <c r="AJ143" s="2">
        <v>2.6539590977184384E-3</v>
      </c>
      <c r="AK143" s="2">
        <v>2.3553347609705032E-2</v>
      </c>
      <c r="AL143" s="2">
        <v>5.4811007844475602E-2</v>
      </c>
      <c r="AM143" s="2">
        <v>0</v>
      </c>
      <c r="AN143" s="2">
        <v>0.82</v>
      </c>
      <c r="AO143" s="2">
        <v>8.1967213114754092E-2</v>
      </c>
      <c r="AP143" s="2">
        <v>0.24319999769330025</v>
      </c>
      <c r="AQ143" s="16">
        <v>0.24666062768005362</v>
      </c>
      <c r="AR143" s="2">
        <v>0.80500000000000005</v>
      </c>
      <c r="AS143" s="2">
        <v>0.6</v>
      </c>
      <c r="AT143" s="2">
        <v>0.61</v>
      </c>
      <c r="AU143" s="2">
        <v>0.371</v>
      </c>
      <c r="AV143" s="2">
        <v>0.7</v>
      </c>
      <c r="AW143" s="2">
        <v>0.79700000000000004</v>
      </c>
      <c r="AX143" s="2">
        <v>0.875</v>
      </c>
      <c r="AY143" s="2">
        <v>0.65657857531574848</v>
      </c>
      <c r="AZ143" s="2">
        <v>0.73980171758287794</v>
      </c>
      <c r="BA143" s="2">
        <v>0.71389542456469846</v>
      </c>
      <c r="BB143" s="2">
        <v>1</v>
      </c>
      <c r="BC143" s="2">
        <v>0.82544173791160969</v>
      </c>
      <c r="BD143" s="2">
        <v>0.70535074205744608</v>
      </c>
      <c r="BE143" s="2">
        <v>0.37</v>
      </c>
    </row>
    <row r="144" spans="1:57">
      <c r="A144" s="1" t="s">
        <v>5</v>
      </c>
      <c r="B144" s="1" t="s">
        <v>331</v>
      </c>
      <c r="C144" s="2">
        <v>0.57143757782490834</v>
      </c>
      <c r="D144" s="2">
        <v>0.86119999999999997</v>
      </c>
      <c r="E144" s="2" t="e">
        <v>#N/A</v>
      </c>
      <c r="F144" s="2">
        <v>0.32527182478151839</v>
      </c>
      <c r="G144" s="2">
        <v>0.75699558209337736</v>
      </c>
      <c r="H144" s="11">
        <v>0.62872624617495099</v>
      </c>
      <c r="I144" s="2">
        <v>4.3501589803083742E-3</v>
      </c>
      <c r="J144" s="2">
        <v>0.25563936875681342</v>
      </c>
      <c r="K144" s="2">
        <v>0</v>
      </c>
      <c r="L144" s="2">
        <v>0</v>
      </c>
      <c r="M144" s="84">
        <v>6.4997381934280452E-2</v>
      </c>
      <c r="N144" s="46">
        <v>0.2628310971464865</v>
      </c>
      <c r="O144" s="46">
        <v>0.29428991182204711</v>
      </c>
      <c r="P144" s="21">
        <v>91379</v>
      </c>
      <c r="Q144" s="22">
        <v>11.42</v>
      </c>
      <c r="R144" s="23">
        <v>0.91</v>
      </c>
      <c r="S144" s="2">
        <v>1</v>
      </c>
      <c r="T144" s="2">
        <v>1</v>
      </c>
      <c r="U144" s="2">
        <v>3.9999999105930328E-2</v>
      </c>
      <c r="V144" s="2">
        <v>0.52500000000000002</v>
      </c>
      <c r="W144" s="2">
        <v>4.0000000000000001E-3</v>
      </c>
      <c r="X144" s="2">
        <v>3.9999999105930328E-2</v>
      </c>
      <c r="Y144" s="2">
        <v>0.54108333333333336</v>
      </c>
      <c r="Z144" s="2">
        <v>4.3227999990433454E-2</v>
      </c>
      <c r="AA144" s="2">
        <v>0.53846153846150002</v>
      </c>
      <c r="AB144" s="2">
        <v>0.28000000000000003</v>
      </c>
      <c r="AC144" s="2">
        <v>1</v>
      </c>
      <c r="AD144" s="2">
        <v>0</v>
      </c>
      <c r="AE144" s="2">
        <v>7.4999999999999997E-2</v>
      </c>
      <c r="AF144" s="2">
        <v>0.48463999999999996</v>
      </c>
      <c r="AG144" s="2">
        <v>0.24191172547131801</v>
      </c>
      <c r="AH144" s="2">
        <v>0.13507625200000001</v>
      </c>
      <c r="AI144" s="2">
        <v>0</v>
      </c>
      <c r="AJ144" s="2">
        <v>5.8659853149571157E-3</v>
      </c>
      <c r="AK144" s="2">
        <v>0.22988831188903622</v>
      </c>
      <c r="AL144" s="2">
        <v>0.33104463039743398</v>
      </c>
      <c r="AM144" s="2">
        <v>1.3000000000000012E-2</v>
      </c>
      <c r="AN144" s="2">
        <v>0</v>
      </c>
      <c r="AO144" s="2">
        <v>0</v>
      </c>
      <c r="AP144" s="2">
        <v>0.27999999597668646</v>
      </c>
      <c r="AQ144" s="16">
        <v>0.28367499046027328</v>
      </c>
      <c r="AR144" s="2">
        <v>0.73699999999999999</v>
      </c>
      <c r="AS144" s="2">
        <v>0.5</v>
      </c>
      <c r="AT144" s="2">
        <v>0.99900000000000011</v>
      </c>
      <c r="AU144" s="2">
        <v>0.73699999999999999</v>
      </c>
      <c r="AV144" s="2">
        <v>0.45</v>
      </c>
      <c r="AW144" s="2">
        <v>0.65900000000000003</v>
      </c>
      <c r="AX144" s="2">
        <v>0.82200000000000006</v>
      </c>
      <c r="AY144" s="2">
        <v>0.72127978737970633</v>
      </c>
      <c r="AZ144" s="2">
        <v>0.32379710394941413</v>
      </c>
      <c r="BA144" s="2">
        <v>0.82455129243555292</v>
      </c>
      <c r="BB144" s="2">
        <v>1</v>
      </c>
      <c r="BC144" s="2">
        <v>0.14481154288983769</v>
      </c>
      <c r="BD144" s="2">
        <v>0.68986007348834522</v>
      </c>
      <c r="BE144" s="2">
        <v>0.69099999999999995</v>
      </c>
    </row>
    <row r="145" spans="1:57">
      <c r="A145" s="1" t="s">
        <v>103</v>
      </c>
      <c r="B145" s="1" t="s">
        <v>332</v>
      </c>
      <c r="C145" s="2">
        <v>0.42830474733897861</v>
      </c>
      <c r="D145" s="2">
        <v>0.59759999999999991</v>
      </c>
      <c r="E145" s="2" t="e">
        <v>#N/A</v>
      </c>
      <c r="F145" s="2">
        <v>0.18819335144243543</v>
      </c>
      <c r="G145" s="2">
        <v>0.18998527364459095</v>
      </c>
      <c r="H145" s="11">
        <v>0.35102084310650117</v>
      </c>
      <c r="I145" s="2" t="e">
        <v>#N/A</v>
      </c>
      <c r="J145" s="2" t="e">
        <v>#N/A</v>
      </c>
      <c r="K145" s="2" t="e">
        <v>#N/A</v>
      </c>
      <c r="L145" s="2">
        <v>0</v>
      </c>
      <c r="M145" s="84" t="e">
        <v>#N/A</v>
      </c>
      <c r="N145" s="46">
        <v>0.23381724586661129</v>
      </c>
      <c r="O145" s="46" t="e">
        <v>#N/A</v>
      </c>
      <c r="P145" s="21">
        <v>14199</v>
      </c>
      <c r="Q145" s="22">
        <v>9.56</v>
      </c>
      <c r="R145" s="23">
        <v>0.84</v>
      </c>
      <c r="S145" s="2">
        <v>0.21017202797202805</v>
      </c>
      <c r="T145" s="2">
        <v>0</v>
      </c>
      <c r="U145" s="2">
        <v>0</v>
      </c>
      <c r="V145" s="2">
        <v>0.67500000000000004</v>
      </c>
      <c r="W145" s="2">
        <v>4.0000000000000001E-3</v>
      </c>
      <c r="X145" s="2">
        <v>0.28000000000000003</v>
      </c>
      <c r="Y145" s="2">
        <v>0.54108333333333336</v>
      </c>
      <c r="Z145" s="2">
        <v>0.46035799989812076</v>
      </c>
      <c r="AA145" s="2">
        <v>1</v>
      </c>
      <c r="AB145" s="2">
        <v>0.16</v>
      </c>
      <c r="AC145" s="2">
        <v>0.13779999982565641</v>
      </c>
      <c r="AD145" s="2">
        <v>0.03</v>
      </c>
      <c r="AE145" s="2">
        <v>7.4999999999999997E-2</v>
      </c>
      <c r="AF145" s="2">
        <v>0.6790719999999999</v>
      </c>
      <c r="AG145" s="2">
        <v>0.24191172547131801</v>
      </c>
      <c r="AH145" s="2">
        <v>0.103683492</v>
      </c>
      <c r="AI145" s="2">
        <v>0</v>
      </c>
      <c r="AJ145" s="2">
        <v>9.5357792318022591E-3</v>
      </c>
      <c r="AK145" s="2">
        <v>3.6266029652120037E-2</v>
      </c>
      <c r="AL145" s="2">
        <v>3.41823568080762E-2</v>
      </c>
      <c r="AM145" s="2">
        <v>0</v>
      </c>
      <c r="AN145" s="2">
        <v>0.1</v>
      </c>
      <c r="AO145" s="2">
        <v>0</v>
      </c>
      <c r="AP145" s="2">
        <v>0.73423999250197292</v>
      </c>
      <c r="AQ145" s="16">
        <v>0.22967936402893444</v>
      </c>
      <c r="AR145" s="2">
        <v>0.72499999999999998</v>
      </c>
      <c r="AS145" s="2">
        <v>0.5</v>
      </c>
      <c r="AT145" s="2">
        <v>0.85799999999999998</v>
      </c>
      <c r="AU145" s="2">
        <v>0.59799999999999998</v>
      </c>
      <c r="AV145" s="2">
        <v>0.75</v>
      </c>
      <c r="AW145" s="2">
        <v>0.73299999999999998</v>
      </c>
      <c r="AX145" s="2">
        <v>0.875</v>
      </c>
      <c r="AY145" s="2">
        <v>0.57935871402902195</v>
      </c>
      <c r="AZ145" s="2">
        <v>0.59149415170244202</v>
      </c>
      <c r="BA145" s="2">
        <v>0.47441365606642372</v>
      </c>
      <c r="BB145" s="2">
        <v>1</v>
      </c>
      <c r="BC145" s="2">
        <v>0.89906345226588946</v>
      </c>
      <c r="BD145" s="2">
        <v>0.5199300298991707</v>
      </c>
      <c r="BE145" s="2">
        <v>0.60399999999999998</v>
      </c>
    </row>
    <row r="146" spans="1:57">
      <c r="A146" s="1" t="s">
        <v>48</v>
      </c>
      <c r="B146" s="1" t="s">
        <v>333</v>
      </c>
      <c r="C146" s="2">
        <v>2.2874193902855611E-2</v>
      </c>
      <c r="D146" s="2">
        <v>0.46650000000000003</v>
      </c>
      <c r="E146" s="2">
        <v>0.26876622483262824</v>
      </c>
      <c r="F146" s="2">
        <v>0.26607681079172013</v>
      </c>
      <c r="G146" s="2">
        <v>0</v>
      </c>
      <c r="H146" s="11">
        <v>0.20484344590544082</v>
      </c>
      <c r="I146" s="2">
        <v>0.19475346108324373</v>
      </c>
      <c r="J146" s="2">
        <v>3.1908278166781403E-3</v>
      </c>
      <c r="K146" s="2">
        <v>0.57499999999999996</v>
      </c>
      <c r="L146" s="2">
        <v>0</v>
      </c>
      <c r="M146" s="84">
        <v>0.19323607222498046</v>
      </c>
      <c r="N146" s="46">
        <v>0.27504325260751777</v>
      </c>
      <c r="O146" s="46">
        <v>0.25449089639416828</v>
      </c>
      <c r="P146" s="21">
        <v>18932</v>
      </c>
      <c r="Q146" s="22">
        <v>9.85</v>
      </c>
      <c r="R146" s="23">
        <v>0.82</v>
      </c>
      <c r="S146" s="2">
        <v>1</v>
      </c>
      <c r="T146" s="2">
        <v>1.7627999934330583E-2</v>
      </c>
      <c r="U146" s="2">
        <v>7.8399999141693155E-2</v>
      </c>
      <c r="V146" s="2">
        <v>0.97500000000000009</v>
      </c>
      <c r="W146" s="2">
        <v>3.3333333333333335E-3</v>
      </c>
      <c r="X146" s="2">
        <v>0.16479999922215938</v>
      </c>
      <c r="Y146" s="2">
        <v>0.2734166666666667</v>
      </c>
      <c r="Z146" s="2">
        <v>0.27451799993924797</v>
      </c>
      <c r="AA146" s="2">
        <v>0.95382055363763696</v>
      </c>
      <c r="AB146" s="2">
        <v>1</v>
      </c>
      <c r="AC146" s="2">
        <v>3.1799999959766866E-2</v>
      </c>
      <c r="AD146" s="2">
        <v>0.05</v>
      </c>
      <c r="AE146" s="2">
        <v>0.87499999999999989</v>
      </c>
      <c r="AF146" s="2">
        <v>0.3144880000000001</v>
      </c>
      <c r="AG146" s="2">
        <v>0.3973830231770884</v>
      </c>
      <c r="AH146" s="2">
        <v>0.138266796</v>
      </c>
      <c r="AI146" s="2">
        <v>0</v>
      </c>
      <c r="AJ146" s="2">
        <v>1.3998009467966158E-2</v>
      </c>
      <c r="AK146" s="2">
        <v>1.6662488420424136E-2</v>
      </c>
      <c r="AL146" s="2">
        <v>2.44347857486415E-2</v>
      </c>
      <c r="AM146" s="2">
        <v>0</v>
      </c>
      <c r="AN146" s="2">
        <v>0</v>
      </c>
      <c r="AO146" s="2">
        <v>2.5644563901979149E-3</v>
      </c>
      <c r="AP146" s="2">
        <v>0.24743599892631163</v>
      </c>
      <c r="AQ146" s="16">
        <v>0.28553958791522771</v>
      </c>
      <c r="AR146" s="2">
        <v>0.52200000000000002</v>
      </c>
      <c r="AS146" s="2">
        <v>0.4</v>
      </c>
      <c r="AT146" s="2">
        <v>0.82299999999999995</v>
      </c>
      <c r="AU146" s="2">
        <v>0.66500000000000004</v>
      </c>
      <c r="AV146" s="2">
        <v>0.25</v>
      </c>
      <c r="AW146" s="2">
        <v>0.626</v>
      </c>
      <c r="AX146" s="2">
        <v>0.68400000000000005</v>
      </c>
      <c r="AY146" s="2">
        <v>0.35647173602925253</v>
      </c>
      <c r="AZ146" s="2">
        <v>0.31224242879055453</v>
      </c>
      <c r="BA146" s="2">
        <v>0.27786520163843365</v>
      </c>
      <c r="BB146" s="2">
        <v>1</v>
      </c>
      <c r="BC146" s="2">
        <v>1</v>
      </c>
      <c r="BD146" s="2">
        <v>0.34699671117311948</v>
      </c>
      <c r="BE146" s="2">
        <v>0.59599999999999997</v>
      </c>
    </row>
    <row r="147" spans="1:57">
      <c r="A147" s="1" t="s">
        <v>182</v>
      </c>
      <c r="B147" s="1" t="s">
        <v>334</v>
      </c>
      <c r="C147" s="2">
        <v>0.51389282921105806</v>
      </c>
      <c r="D147" s="2">
        <v>0.43059999999999998</v>
      </c>
      <c r="E147" s="2">
        <v>1</v>
      </c>
      <c r="F147" s="2">
        <v>0.23790232832568814</v>
      </c>
      <c r="G147" s="2">
        <v>0.72999509121486361</v>
      </c>
      <c r="H147" s="11">
        <v>0.58247804975032191</v>
      </c>
      <c r="I147" s="2">
        <v>0.24977570360049742</v>
      </c>
      <c r="J147" s="2">
        <v>0.67249003144653763</v>
      </c>
      <c r="K147" s="2">
        <v>0</v>
      </c>
      <c r="L147" s="2">
        <v>0.92999999999999994</v>
      </c>
      <c r="M147" s="84">
        <v>0.46306643376175871</v>
      </c>
      <c r="N147" s="46">
        <v>0.50452512136330008</v>
      </c>
      <c r="O147" s="46">
        <v>0.51131087565205591</v>
      </c>
      <c r="P147" s="21">
        <v>1136</v>
      </c>
      <c r="Q147" s="22">
        <v>7.04</v>
      </c>
      <c r="R147" s="23">
        <v>0.46</v>
      </c>
      <c r="S147" s="2">
        <v>0.37583349535080302</v>
      </c>
      <c r="T147" s="2">
        <v>1.5789999999999998E-2</v>
      </c>
      <c r="U147" s="2">
        <v>0.37599999941885476</v>
      </c>
      <c r="V147" s="2">
        <v>0.30000000000000004</v>
      </c>
      <c r="W147" s="2">
        <v>0.64666666666666661</v>
      </c>
      <c r="X147" s="2">
        <v>0.48159999951720234</v>
      </c>
      <c r="Y147" s="2">
        <v>0.71575</v>
      </c>
      <c r="Z147" s="2">
        <v>0.82193799981810145</v>
      </c>
      <c r="AA147" s="2">
        <v>0.98610852713183328</v>
      </c>
      <c r="AB147" s="2">
        <v>0.24</v>
      </c>
      <c r="AC147" s="2">
        <v>0.28619999963790183</v>
      </c>
      <c r="AD147" s="2">
        <v>0.48399999901652341</v>
      </c>
      <c r="AE147" s="2">
        <v>0.40749999999999997</v>
      </c>
      <c r="AF147" s="2">
        <v>0.98007999999999995</v>
      </c>
      <c r="AG147" s="2">
        <v>0.73748620398163978</v>
      </c>
      <c r="AH147" s="2">
        <v>0.83391731000000002</v>
      </c>
      <c r="AI147" s="2">
        <v>0.5372269186851093</v>
      </c>
      <c r="AJ147" s="2">
        <v>0.74553174683907941</v>
      </c>
      <c r="AK147" s="2">
        <v>0</v>
      </c>
      <c r="AL147" s="2">
        <v>0</v>
      </c>
      <c r="AM147" s="2">
        <v>0.95199999999999996</v>
      </c>
      <c r="AN147" s="2">
        <v>0.33</v>
      </c>
      <c r="AO147" s="2">
        <v>0.24321037697608427</v>
      </c>
      <c r="AP147" s="2">
        <v>0.8327999994903803</v>
      </c>
      <c r="AQ147" s="16">
        <v>0.51373496843875743</v>
      </c>
      <c r="AR147" s="2">
        <v>0.745</v>
      </c>
      <c r="AS147" s="2">
        <v>0.4</v>
      </c>
      <c r="AT147" s="2">
        <v>0.77099999999999991</v>
      </c>
      <c r="AU147" s="2">
        <v>0.75599999999999989</v>
      </c>
      <c r="AV147" s="2">
        <v>0.4</v>
      </c>
      <c r="AW147" s="2">
        <v>0.66900000000000004</v>
      </c>
      <c r="AX147" s="2">
        <v>0.67400000000000004</v>
      </c>
      <c r="AY147" s="2">
        <v>0.43549390309242914</v>
      </c>
      <c r="AZ147" s="2">
        <v>0.2455031720329349</v>
      </c>
      <c r="BA147" s="2">
        <v>0.52489087075193275</v>
      </c>
      <c r="BB147" s="2">
        <v>0.26728149342466173</v>
      </c>
      <c r="BC147" s="2">
        <v>6.8147074301100188E-2</v>
      </c>
      <c r="BD147" s="2">
        <v>0.39987888242928316</v>
      </c>
      <c r="BE147" s="2">
        <v>0.89200000000000002</v>
      </c>
    </row>
    <row r="148" spans="1:57">
      <c r="A148" s="1" t="s">
        <v>151</v>
      </c>
      <c r="B148" s="1" t="s">
        <v>335</v>
      </c>
      <c r="C148" s="2" t="e">
        <v>#N/A</v>
      </c>
      <c r="D148" s="2">
        <v>0.93940000000000001</v>
      </c>
      <c r="E148" s="2">
        <v>9.2342285465020726E-2</v>
      </c>
      <c r="F148" s="2">
        <v>0.50616282090035103</v>
      </c>
      <c r="G148" s="2">
        <v>0.72324496849523523</v>
      </c>
      <c r="H148" s="11">
        <v>0.5652875187151517</v>
      </c>
      <c r="I148" s="2">
        <v>4.9485751445164067E-2</v>
      </c>
      <c r="J148" s="2">
        <v>0.95303555470012558</v>
      </c>
      <c r="K148" s="2">
        <v>0</v>
      </c>
      <c r="L148" s="2">
        <v>0</v>
      </c>
      <c r="M148" s="84">
        <v>0.25063032653632239</v>
      </c>
      <c r="N148" s="46">
        <v>0.33002619881993828</v>
      </c>
      <c r="O148" s="46">
        <v>0.35604811125453234</v>
      </c>
      <c r="P148" s="21">
        <v>14527</v>
      </c>
      <c r="Q148" s="22">
        <v>9.58</v>
      </c>
      <c r="R148" s="23">
        <v>0.84</v>
      </c>
      <c r="S148" s="2">
        <v>0.57196935856688802</v>
      </c>
      <c r="T148" s="2">
        <v>0.5</v>
      </c>
      <c r="U148" s="2">
        <v>4.9599999114871007E-2</v>
      </c>
      <c r="V148" s="2">
        <v>0.15000000000000002</v>
      </c>
      <c r="W148" s="2">
        <v>1.8666666666666668E-2</v>
      </c>
      <c r="X148" s="2">
        <v>7.8399999141693155E-2</v>
      </c>
      <c r="Y148" s="2">
        <v>0.71158333333333335</v>
      </c>
      <c r="Z148" s="2">
        <v>0.68316399984881282</v>
      </c>
      <c r="AA148" s="2">
        <v>0.97791666666666666</v>
      </c>
      <c r="AB148" s="2">
        <v>0.3</v>
      </c>
      <c r="AC148" s="2">
        <v>0.83739999894052752</v>
      </c>
      <c r="AD148" s="2">
        <v>0.3</v>
      </c>
      <c r="AE148" s="2">
        <v>0.3175</v>
      </c>
      <c r="AF148" s="2">
        <v>0.72398399999999996</v>
      </c>
      <c r="AG148" s="2">
        <v>0.50154536075126943</v>
      </c>
      <c r="AH148" s="2">
        <v>0.15762274000000001</v>
      </c>
      <c r="AI148" s="2">
        <v>0</v>
      </c>
      <c r="AJ148" s="2">
        <v>0.5</v>
      </c>
      <c r="AK148" s="2">
        <v>0.17441193075236577</v>
      </c>
      <c r="AL148" s="2">
        <v>0.170847449676337</v>
      </c>
      <c r="AM148" s="2">
        <v>0.13</v>
      </c>
      <c r="AN148" s="2">
        <v>0</v>
      </c>
      <c r="AO148" s="2">
        <v>0</v>
      </c>
      <c r="AP148" s="2">
        <v>0.66849999791011216</v>
      </c>
      <c r="AQ148" s="16">
        <v>0.35512964589039764</v>
      </c>
      <c r="AR148" s="2" t="e">
        <v>#N/A</v>
      </c>
      <c r="AS148" s="2" t="e">
        <v>#N/A</v>
      </c>
      <c r="AT148" s="2" t="e">
        <v>#N/A</v>
      </c>
      <c r="AU148" s="2" t="e">
        <v>#N/A</v>
      </c>
      <c r="AV148" s="2" t="e">
        <v>#N/A</v>
      </c>
      <c r="AW148" s="2" t="e">
        <v>#N/A</v>
      </c>
      <c r="AX148" s="2" t="e">
        <v>#N/A</v>
      </c>
      <c r="AY148" s="2">
        <v>0.73248306884888659</v>
      </c>
      <c r="AZ148" s="2">
        <v>0.7030148045536595</v>
      </c>
      <c r="BA148" s="2">
        <v>0.71896559425421214</v>
      </c>
      <c r="BB148" s="2">
        <v>1</v>
      </c>
      <c r="BC148" s="2">
        <v>0.26299671428571431</v>
      </c>
      <c r="BD148" s="2">
        <v>0.64791308327976949</v>
      </c>
      <c r="BE148" s="2" t="e">
        <v>#N/A</v>
      </c>
    </row>
    <row r="149" spans="1:57">
      <c r="A149" s="1" t="s">
        <v>161</v>
      </c>
      <c r="B149" s="1" t="s">
        <v>336</v>
      </c>
      <c r="C149" s="2" t="e">
        <v>#N/A</v>
      </c>
      <c r="D149" s="2">
        <v>0.38240000000000007</v>
      </c>
      <c r="E149" s="2">
        <v>7.4455909318911669E-4</v>
      </c>
      <c r="F149" s="2">
        <v>0.33090422819365478</v>
      </c>
      <c r="G149" s="2">
        <v>0.72999509121486361</v>
      </c>
      <c r="H149" s="11">
        <v>0.36101096962542689</v>
      </c>
      <c r="I149" s="2">
        <v>0.12973585527246331</v>
      </c>
      <c r="J149" s="2">
        <v>0.31486931796742135</v>
      </c>
      <c r="K149" s="2">
        <v>0</v>
      </c>
      <c r="L149" s="2">
        <v>0.17</v>
      </c>
      <c r="M149" s="84">
        <v>0.15365129330997118</v>
      </c>
      <c r="N149" s="46">
        <v>0.34523046346204328</v>
      </c>
      <c r="O149" s="46">
        <v>0.3243997316501836</v>
      </c>
      <c r="P149" s="21">
        <v>9605</v>
      </c>
      <c r="Q149" s="22">
        <v>9.17</v>
      </c>
      <c r="R149" s="23">
        <v>0.82</v>
      </c>
      <c r="S149" s="2">
        <v>0.76809602743641048</v>
      </c>
      <c r="T149" s="2">
        <v>0.5</v>
      </c>
      <c r="U149" s="2">
        <v>5.9199999123811686E-2</v>
      </c>
      <c r="V149" s="2">
        <v>0.125</v>
      </c>
      <c r="W149" s="2">
        <v>1.3333333333333333E-3</v>
      </c>
      <c r="X149" s="2">
        <v>0.21679999761283397</v>
      </c>
      <c r="Y149" s="2">
        <v>0.71158333333333335</v>
      </c>
      <c r="Z149" s="2">
        <v>0.72800799983888864</v>
      </c>
      <c r="AA149" s="2">
        <v>1</v>
      </c>
      <c r="AB149" s="2">
        <v>0.3</v>
      </c>
      <c r="AC149" s="2">
        <v>1</v>
      </c>
      <c r="AD149" s="2">
        <v>0.3</v>
      </c>
      <c r="AE149" s="2">
        <v>0.3175</v>
      </c>
      <c r="AF149" s="2">
        <v>0.87575999999999998</v>
      </c>
      <c r="AG149" s="2">
        <v>0.39069316748000915</v>
      </c>
      <c r="AH149" s="2">
        <v>0.248847926</v>
      </c>
      <c r="AI149" s="2">
        <v>1.9634822296854728E-2</v>
      </c>
      <c r="AJ149" s="2">
        <v>0.5</v>
      </c>
      <c r="AK149" s="2">
        <v>4.0567494042948862E-2</v>
      </c>
      <c r="AL149" s="2">
        <v>4.2824159881293102E-2</v>
      </c>
      <c r="AM149" s="2">
        <v>1.0000000000000009E-2</v>
      </c>
      <c r="AN149" s="2">
        <v>0</v>
      </c>
      <c r="AO149" s="2">
        <v>0</v>
      </c>
      <c r="AP149" s="2">
        <v>0.5</v>
      </c>
      <c r="AQ149" s="16">
        <v>0.3606603441824881</v>
      </c>
      <c r="AR149" s="2">
        <v>0.88400000000000001</v>
      </c>
      <c r="AS149" s="2">
        <v>0.4</v>
      </c>
      <c r="AT149" s="2">
        <v>0.73199999999999998</v>
      </c>
      <c r="AU149" s="2">
        <v>0.71400000000000008</v>
      </c>
      <c r="AV149" s="2">
        <v>0.55000000000000004</v>
      </c>
      <c r="AW149" s="2">
        <v>0.80099999999999993</v>
      </c>
      <c r="AX149" s="2">
        <v>0.71900000000000008</v>
      </c>
      <c r="AY149" s="2">
        <v>0.64845468361798442</v>
      </c>
      <c r="AZ149" s="2">
        <v>0.7508318882541748</v>
      </c>
      <c r="BA149" s="2">
        <v>0.75054591106323942</v>
      </c>
      <c r="BB149" s="2">
        <v>1</v>
      </c>
      <c r="BC149" s="2">
        <v>0.22685694433693296</v>
      </c>
      <c r="BD149" s="2">
        <v>0.66619709958823847</v>
      </c>
      <c r="BE149" s="2">
        <v>0.84200000000000008</v>
      </c>
    </row>
    <row r="150" spans="1:57">
      <c r="A150" s="1" t="s">
        <v>120</v>
      </c>
      <c r="B150" s="1" t="s">
        <v>337</v>
      </c>
      <c r="C150" s="2" t="e">
        <v>#N/A</v>
      </c>
      <c r="D150" s="2">
        <v>0.58289999999999997</v>
      </c>
      <c r="E150" s="2">
        <v>0.14297523247015961</v>
      </c>
      <c r="F150" s="2">
        <v>0.15113608241917445</v>
      </c>
      <c r="G150" s="2">
        <v>0.71649484577560685</v>
      </c>
      <c r="H150" s="11">
        <v>0.39837654016623525</v>
      </c>
      <c r="I150" s="2">
        <v>1</v>
      </c>
      <c r="J150" s="2">
        <v>0.63460123762650877</v>
      </c>
      <c r="K150" s="2" t="e">
        <v>#N/A</v>
      </c>
      <c r="L150" s="2">
        <v>0</v>
      </c>
      <c r="M150" s="84">
        <v>0.54486707920883626</v>
      </c>
      <c r="N150" s="46">
        <v>0.30770686296922195</v>
      </c>
      <c r="O150" s="46">
        <v>0.35019138572508635</v>
      </c>
      <c r="P150" s="21">
        <v>9154</v>
      </c>
      <c r="Q150" s="22">
        <v>9.1199999999999992</v>
      </c>
      <c r="R150" s="23">
        <v>0.77</v>
      </c>
      <c r="S150" s="2">
        <v>0.60079080267558527</v>
      </c>
      <c r="T150" s="2">
        <v>0.5</v>
      </c>
      <c r="U150" s="2">
        <v>6.9999999999999951E-2</v>
      </c>
      <c r="V150" s="2">
        <v>0.125</v>
      </c>
      <c r="W150" s="2">
        <v>0</v>
      </c>
      <c r="X150" s="2">
        <v>4.0000000000000036E-2</v>
      </c>
      <c r="Y150" s="2">
        <v>0.71158333333333335</v>
      </c>
      <c r="Z150" s="2">
        <v>0.5310579998824746</v>
      </c>
      <c r="AA150" s="2">
        <v>1</v>
      </c>
      <c r="AB150" s="2">
        <v>0.3</v>
      </c>
      <c r="AC150" s="2">
        <v>1</v>
      </c>
      <c r="AD150" s="2">
        <v>0.3</v>
      </c>
      <c r="AE150" s="2">
        <v>0.3175</v>
      </c>
      <c r="AF150" s="2">
        <v>0.78806399999999999</v>
      </c>
      <c r="AG150" s="2">
        <v>0.32417389140159003</v>
      </c>
      <c r="AH150" s="2">
        <v>0.299089726</v>
      </c>
      <c r="AI150" s="2">
        <v>2.2734526870468751E-2</v>
      </c>
      <c r="AJ150" s="2">
        <v>0.5</v>
      </c>
      <c r="AK150" s="2">
        <v>0.10892550279601591</v>
      </c>
      <c r="AL150" s="2">
        <v>9.1147246059120904E-2</v>
      </c>
      <c r="AM150" s="2">
        <v>1.0000000000000009E-2</v>
      </c>
      <c r="AN150" s="2">
        <v>0</v>
      </c>
      <c r="AO150" s="2">
        <v>0</v>
      </c>
      <c r="AP150" s="2">
        <v>0.39799999780952933</v>
      </c>
      <c r="AQ150" s="16">
        <v>0.33491945945117158</v>
      </c>
      <c r="AR150" s="2">
        <v>0.79900000000000004</v>
      </c>
      <c r="AS150" s="2">
        <v>0.4</v>
      </c>
      <c r="AT150" s="2">
        <v>0.72499999999999998</v>
      </c>
      <c r="AU150" s="2">
        <v>0.6409999999999999</v>
      </c>
      <c r="AV150" s="2">
        <v>0.55000000000000004</v>
      </c>
      <c r="AW150" s="2">
        <v>0.71299999999999997</v>
      </c>
      <c r="AX150" s="2">
        <v>0.73299999999999998</v>
      </c>
      <c r="AY150" s="2">
        <v>0.6777123885521108</v>
      </c>
      <c r="AZ150" s="2">
        <v>0.71652456621968186</v>
      </c>
      <c r="BA150" s="2">
        <v>0.71896559425421214</v>
      </c>
      <c r="BB150" s="2">
        <v>1</v>
      </c>
      <c r="BC150" s="2" t="e">
        <v>#N/A</v>
      </c>
      <c r="BD150" s="2">
        <v>0.67446210249635308</v>
      </c>
      <c r="BE150" s="2">
        <v>0.77599999999999991</v>
      </c>
    </row>
    <row r="151" spans="1:57">
      <c r="A151" s="1" t="s">
        <v>174</v>
      </c>
      <c r="B151" s="1" t="s">
        <v>338</v>
      </c>
      <c r="C151" s="2" t="e">
        <v>#N/A</v>
      </c>
      <c r="D151" s="2">
        <v>0.96499999999999997</v>
      </c>
      <c r="E151" s="2" t="e">
        <v>#N/A</v>
      </c>
      <c r="F151" s="2">
        <v>0.64678686095388027</v>
      </c>
      <c r="G151" s="2">
        <v>0.77049582753263401</v>
      </c>
      <c r="H151" s="11">
        <v>0.79409422949550468</v>
      </c>
      <c r="I151" s="2">
        <v>1</v>
      </c>
      <c r="J151" s="2">
        <v>1</v>
      </c>
      <c r="K151" s="2">
        <v>0</v>
      </c>
      <c r="L151" s="2">
        <v>0</v>
      </c>
      <c r="M151" s="84">
        <v>0.5</v>
      </c>
      <c r="N151" s="46">
        <v>0.38235213643241872</v>
      </c>
      <c r="O151" s="46">
        <v>0.45899764914713859</v>
      </c>
      <c r="P151" s="21">
        <v>4405</v>
      </c>
      <c r="Q151" s="22">
        <v>8.39</v>
      </c>
      <c r="R151" s="23">
        <v>0.77</v>
      </c>
      <c r="S151" s="2">
        <v>0.2086134938998738</v>
      </c>
      <c r="T151" s="2">
        <v>0.5</v>
      </c>
      <c r="U151" s="2">
        <v>0.2079999980330467</v>
      </c>
      <c r="V151" s="2">
        <v>4.9999999999999989E-2</v>
      </c>
      <c r="W151" s="2">
        <v>4.2000000000000003E-2</v>
      </c>
      <c r="X151" s="2">
        <v>3.9999999105930328E-2</v>
      </c>
      <c r="Y151" s="2">
        <v>0.44466666666666665</v>
      </c>
      <c r="Z151" s="2">
        <v>0.77567999982833868</v>
      </c>
      <c r="AA151" s="2">
        <v>0.99693333333333334</v>
      </c>
      <c r="AB151" s="2">
        <v>0.08</v>
      </c>
      <c r="AC151" s="2">
        <v>1</v>
      </c>
      <c r="AD151" s="2">
        <v>0.3</v>
      </c>
      <c r="AE151" s="2">
        <v>0.76749999999999996</v>
      </c>
      <c r="AF151" s="2">
        <v>0.94079999999999997</v>
      </c>
      <c r="AG151" s="2">
        <v>0.32233865237548998</v>
      </c>
      <c r="AH151" s="2">
        <v>0.425438596</v>
      </c>
      <c r="AI151" s="2">
        <v>0.12711532726886884</v>
      </c>
      <c r="AJ151" s="2">
        <v>0.5</v>
      </c>
      <c r="AK151" s="2">
        <v>8.3589982106898345E-2</v>
      </c>
      <c r="AL151" s="2">
        <v>0.235714343154588</v>
      </c>
      <c r="AM151" s="2">
        <v>3.0000000000000027E-2</v>
      </c>
      <c r="AN151" s="2">
        <v>0</v>
      </c>
      <c r="AO151" s="2">
        <v>0.53003533568904593</v>
      </c>
      <c r="AP151" s="2">
        <v>0.85789999959999996</v>
      </c>
      <c r="AQ151" s="16">
        <v>0.39443023862758664</v>
      </c>
      <c r="AR151" s="2">
        <v>0.73199999999999998</v>
      </c>
      <c r="AS151" s="2">
        <v>0.3</v>
      </c>
      <c r="AT151" s="2">
        <v>0.79599999999999993</v>
      </c>
      <c r="AU151" s="2">
        <v>0.67500000000000004</v>
      </c>
      <c r="AV151" s="2">
        <v>0.3</v>
      </c>
      <c r="AW151" s="2">
        <v>0.73799999999999999</v>
      </c>
      <c r="AX151" s="2">
        <v>0.7</v>
      </c>
      <c r="AY151" s="2">
        <v>0.71463586031967297</v>
      </c>
      <c r="AZ151" s="2">
        <v>0.60709802990041195</v>
      </c>
      <c r="BA151" s="2">
        <v>0.52068279512667082</v>
      </c>
      <c r="BB151" s="2">
        <v>0.92873198191461548</v>
      </c>
      <c r="BC151" s="2">
        <v>8.7246594713787942E-2</v>
      </c>
      <c r="BD151" s="2">
        <v>0.62809508325698959</v>
      </c>
      <c r="BE151" s="2">
        <v>0.80799999999999994</v>
      </c>
    </row>
    <row r="152" spans="1:57">
      <c r="A152" s="1" t="s">
        <v>7</v>
      </c>
      <c r="B152" s="1" t="s">
        <v>339</v>
      </c>
      <c r="C152" s="2" t="e">
        <v>#N/A</v>
      </c>
      <c r="D152" s="2">
        <v>1</v>
      </c>
      <c r="E152" s="2" t="e">
        <v>#N/A</v>
      </c>
      <c r="F152" s="2">
        <v>0</v>
      </c>
      <c r="G152" s="2">
        <v>0.76374570481300563</v>
      </c>
      <c r="H152" s="11">
        <v>0.58791523493766851</v>
      </c>
      <c r="I152" s="2">
        <v>3.8119182150658154E-2</v>
      </c>
      <c r="J152" s="2">
        <v>6.9261041113221955E-2</v>
      </c>
      <c r="K152" s="2" t="e">
        <v>#N/A</v>
      </c>
      <c r="L152" s="2" t="e">
        <v>#N/A</v>
      </c>
      <c r="M152" s="84" t="e">
        <v>#N/A</v>
      </c>
      <c r="N152" s="46">
        <v>0.18587195144821328</v>
      </c>
      <c r="O152" s="46" t="e">
        <v>#N/A</v>
      </c>
      <c r="P152" s="21">
        <v>35928</v>
      </c>
      <c r="Q152" s="22">
        <v>10.49</v>
      </c>
      <c r="R152" s="23" t="s">
        <v>460</v>
      </c>
      <c r="S152" s="2">
        <v>0.16512093023255814</v>
      </c>
      <c r="T152" s="2">
        <v>0.5</v>
      </c>
      <c r="U152" s="2">
        <v>0</v>
      </c>
      <c r="V152" s="2">
        <v>0.52500000000000002</v>
      </c>
      <c r="W152" s="2">
        <v>0</v>
      </c>
      <c r="X152" s="2">
        <v>0</v>
      </c>
      <c r="Y152" s="2">
        <v>0.23600000000000002</v>
      </c>
      <c r="Z152" s="2">
        <v>5.7973999987170101E-2</v>
      </c>
      <c r="AA152" s="2">
        <v>1</v>
      </c>
      <c r="AB152" s="2">
        <v>0.08</v>
      </c>
      <c r="AC152" s="2">
        <v>1</v>
      </c>
      <c r="AD152" s="2">
        <v>0</v>
      </c>
      <c r="AE152" s="2">
        <v>6.7499999999999991E-2</v>
      </c>
      <c r="AF152" s="2">
        <v>0.94079999999999997</v>
      </c>
      <c r="AG152" s="2">
        <v>5.62731707317079E-2</v>
      </c>
      <c r="AH152" s="2">
        <v>0.110144928</v>
      </c>
      <c r="AI152" s="2">
        <v>0</v>
      </c>
      <c r="AJ152" s="2">
        <v>0.5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  <c r="AQ152" s="16">
        <v>0.21828387620630985</v>
      </c>
      <c r="AR152" s="2" t="e">
        <v>#N/A</v>
      </c>
      <c r="AS152" s="2" t="e">
        <v>#N/A</v>
      </c>
      <c r="AT152" s="2" t="e">
        <v>#N/A</v>
      </c>
      <c r="AU152" s="2" t="e">
        <v>#N/A</v>
      </c>
      <c r="AV152" s="2" t="e">
        <v>#N/A</v>
      </c>
      <c r="AW152" s="2" t="e">
        <v>#N/A</v>
      </c>
      <c r="AX152" s="2" t="e">
        <v>#N/A</v>
      </c>
      <c r="AY152" s="2">
        <v>0.78916907601115227</v>
      </c>
      <c r="AZ152" s="2">
        <v>0.7426889387417468</v>
      </c>
      <c r="BA152" s="2" t="e">
        <v>#N/A</v>
      </c>
      <c r="BB152" s="2">
        <v>0.83940097313155304</v>
      </c>
      <c r="BC152" s="2" t="e">
        <v>#N/A</v>
      </c>
      <c r="BD152" s="2">
        <v>0.67558457630235724</v>
      </c>
      <c r="BE152" s="2" t="e">
        <v>#N/A</v>
      </c>
    </row>
    <row r="153" spans="1:57">
      <c r="A153" s="1" t="s">
        <v>80</v>
      </c>
      <c r="B153" s="1" t="s">
        <v>340</v>
      </c>
      <c r="C153" s="2" t="e">
        <v>#N/A</v>
      </c>
      <c r="D153" s="2">
        <v>1</v>
      </c>
      <c r="E153" s="2" t="e">
        <v>#N/A</v>
      </c>
      <c r="F153" s="2">
        <v>0.82847268182415645</v>
      </c>
      <c r="G153" s="2">
        <v>0.7367452139344921</v>
      </c>
      <c r="H153" s="11">
        <v>0.85507263191954941</v>
      </c>
      <c r="I153" s="2">
        <v>0.37748021215470279</v>
      </c>
      <c r="J153" s="2">
        <v>0.71428536771090745</v>
      </c>
      <c r="K153" s="2">
        <v>0.27500000000000002</v>
      </c>
      <c r="L153" s="2" t="e">
        <v>#N/A</v>
      </c>
      <c r="M153" s="84">
        <v>0.45558852662187005</v>
      </c>
      <c r="N153" s="46">
        <v>0.42571015541007878</v>
      </c>
      <c r="O153" s="46">
        <v>0.49438669684627623</v>
      </c>
      <c r="P153" s="21">
        <v>1820</v>
      </c>
      <c r="Q153" s="22">
        <v>7.51</v>
      </c>
      <c r="R153" s="23">
        <v>0.65</v>
      </c>
      <c r="S153" s="2">
        <v>0.56146163873370569</v>
      </c>
      <c r="T153" s="2">
        <v>3.2109999999999999E-3</v>
      </c>
      <c r="U153" s="2">
        <v>0.14559999920427802</v>
      </c>
      <c r="V153" s="2">
        <v>0.15000000000000002</v>
      </c>
      <c r="W153" s="2">
        <v>0.28533333333333333</v>
      </c>
      <c r="X153" s="2">
        <v>0.7503999997675419</v>
      </c>
      <c r="Y153" s="2">
        <v>0.62008333333333332</v>
      </c>
      <c r="Z153" s="2">
        <v>0.39006199991367752</v>
      </c>
      <c r="AA153" s="2">
        <v>1</v>
      </c>
      <c r="AB153" s="2">
        <v>0.08</v>
      </c>
      <c r="AC153" s="2">
        <v>1</v>
      </c>
      <c r="AD153" s="2">
        <v>0.12959999978542328</v>
      </c>
      <c r="AE153" s="2">
        <v>0.20749999999999999</v>
      </c>
      <c r="AF153" s="2">
        <v>0.88600000000000001</v>
      </c>
      <c r="AG153" s="2">
        <v>0.44180339395016444</v>
      </c>
      <c r="AH153" s="2">
        <v>0.60064585599999998</v>
      </c>
      <c r="AI153" s="2">
        <v>0.39098554997347323</v>
      </c>
      <c r="AJ153" s="2">
        <v>0.5</v>
      </c>
      <c r="AK153" s="2">
        <v>0.75</v>
      </c>
      <c r="AL153" s="2">
        <v>0.26040545514607499</v>
      </c>
      <c r="AM153" s="2">
        <v>0.51500000000000001</v>
      </c>
      <c r="AN153" s="2">
        <v>0</v>
      </c>
      <c r="AO153" s="2">
        <v>0</v>
      </c>
      <c r="AP153" s="2">
        <v>0.44158000980612355</v>
      </c>
      <c r="AQ153" s="16">
        <v>0.42123631537279699</v>
      </c>
      <c r="AR153" s="2">
        <v>0.435</v>
      </c>
      <c r="AS153" s="2">
        <v>0.3</v>
      </c>
      <c r="AT153" s="2">
        <v>0.871</v>
      </c>
      <c r="AU153" s="2">
        <v>0.52500000000000002</v>
      </c>
      <c r="AV153" s="2">
        <v>0.45</v>
      </c>
      <c r="AW153" s="2">
        <v>0.59</v>
      </c>
      <c r="AX153" s="2">
        <v>0.66599999999999993</v>
      </c>
      <c r="AY153" s="2">
        <v>0.54276296869204677</v>
      </c>
      <c r="AZ153" s="2">
        <v>0.5338364436143459</v>
      </c>
      <c r="BA153" s="2">
        <v>0.42144353744692398</v>
      </c>
      <c r="BB153" s="2">
        <v>0.43255199542806388</v>
      </c>
      <c r="BC153" s="2">
        <v>5.8150571428571433E-2</v>
      </c>
      <c r="BD153" s="2">
        <v>0.35569039326845309</v>
      </c>
      <c r="BE153" s="2">
        <v>0.47600000000000003</v>
      </c>
    </row>
    <row r="154" spans="1:57">
      <c r="A154" s="1" t="s">
        <v>27</v>
      </c>
      <c r="B154" s="1" t="s">
        <v>341</v>
      </c>
      <c r="C154" s="2">
        <v>0.58974367326764199</v>
      </c>
      <c r="D154" s="2">
        <v>0</v>
      </c>
      <c r="E154" s="2">
        <v>0.1975756438159772</v>
      </c>
      <c r="F154" s="2">
        <v>0.23287762194059314</v>
      </c>
      <c r="G154" s="2">
        <v>0.66924398673820795</v>
      </c>
      <c r="H154" s="11">
        <v>0.33788818515248409</v>
      </c>
      <c r="I154" s="2">
        <v>0.34299822506677052</v>
      </c>
      <c r="J154" s="2">
        <v>0.15895165433607228</v>
      </c>
      <c r="K154" s="2" t="e">
        <v>#N/A</v>
      </c>
      <c r="L154" s="2">
        <v>0.25714285714285712</v>
      </c>
      <c r="M154" s="84">
        <v>0.25303091218189994</v>
      </c>
      <c r="N154" s="46">
        <v>0.29970448782638004</v>
      </c>
      <c r="O154" s="46">
        <v>0.29983249340373153</v>
      </c>
      <c r="P154" s="21">
        <v>23480</v>
      </c>
      <c r="Q154" s="22">
        <v>10.06</v>
      </c>
      <c r="R154" s="23">
        <v>0.84</v>
      </c>
      <c r="S154" s="2">
        <v>0.28689601648351654</v>
      </c>
      <c r="T154" s="2">
        <v>1</v>
      </c>
      <c r="U154" s="2">
        <v>9.9999999999999978E-2</v>
      </c>
      <c r="V154" s="2">
        <v>0.52500000000000002</v>
      </c>
      <c r="W154" s="2">
        <v>0</v>
      </c>
      <c r="X154" s="2">
        <v>0.7503999997675419</v>
      </c>
      <c r="Y154" s="2">
        <v>0.47033333333333333</v>
      </c>
      <c r="Z154" s="2">
        <v>0.179173999960348</v>
      </c>
      <c r="AA154" s="2">
        <v>0.87469046237183334</v>
      </c>
      <c r="AB154" s="2">
        <v>0.1</v>
      </c>
      <c r="AC154" s="2">
        <v>0.932799998819828</v>
      </c>
      <c r="AD154" s="2">
        <v>0.27999999999999997</v>
      </c>
      <c r="AE154" s="2">
        <v>7.4999999999999997E-2</v>
      </c>
      <c r="AF154" s="2">
        <v>0.84088000000000007</v>
      </c>
      <c r="AG154" s="2">
        <v>0.29611426210716363</v>
      </c>
      <c r="AH154" s="2">
        <v>0.21553884800000001</v>
      </c>
      <c r="AI154" s="2">
        <v>0</v>
      </c>
      <c r="AJ154" s="2">
        <v>2.0632234982262833E-2</v>
      </c>
      <c r="AK154" s="2">
        <v>7.0476808090587902E-3</v>
      </c>
      <c r="AL154" s="2">
        <v>0.13462215009415199</v>
      </c>
      <c r="AM154" s="2">
        <v>1.0000000000000009E-2</v>
      </c>
      <c r="AN154" s="2">
        <v>0</v>
      </c>
      <c r="AO154" s="2">
        <v>3.0000000000000001E-3</v>
      </c>
      <c r="AP154" s="2">
        <v>0.80677000573010815</v>
      </c>
      <c r="AQ154" s="16">
        <v>0.32953745801913109</v>
      </c>
      <c r="AR154" s="2">
        <v>0.84599999999999997</v>
      </c>
      <c r="AS154" s="2">
        <v>0.5</v>
      </c>
      <c r="AT154" s="2">
        <v>0.996</v>
      </c>
      <c r="AU154" s="2">
        <v>0.68099999999999994</v>
      </c>
      <c r="AV154" s="2">
        <v>0.45</v>
      </c>
      <c r="AW154" s="2">
        <v>0.623</v>
      </c>
      <c r="AX154" s="2">
        <v>0.82499999999999996</v>
      </c>
      <c r="AY154" s="2">
        <v>0.42726489378908683</v>
      </c>
      <c r="AZ154" s="2">
        <v>0.14879869426740142</v>
      </c>
      <c r="BA154" s="2">
        <v>0.52899993462779904</v>
      </c>
      <c r="BB154" s="2">
        <v>1</v>
      </c>
      <c r="BC154" s="2">
        <v>0.46354246724751352</v>
      </c>
      <c r="BD154" s="2">
        <v>0.52444497525287737</v>
      </c>
      <c r="BE154" s="2">
        <v>0.74400000000000011</v>
      </c>
    </row>
    <row r="155" spans="1:57">
      <c r="A155" s="1" t="s">
        <v>128</v>
      </c>
      <c r="B155" s="1" t="s">
        <v>342</v>
      </c>
      <c r="C155" s="2">
        <v>0.49187203261920431</v>
      </c>
      <c r="D155" s="2">
        <v>5.2999999999999714E-3</v>
      </c>
      <c r="E155" s="2">
        <v>0.32847875789909148</v>
      </c>
      <c r="F155" s="2">
        <v>0.19803092824394497</v>
      </c>
      <c r="G155" s="2">
        <v>0.27814596572079375</v>
      </c>
      <c r="H155" s="11">
        <v>0.26036553689660691</v>
      </c>
      <c r="I155" s="2">
        <v>0.11409564045286986</v>
      </c>
      <c r="J155" s="2">
        <v>0.62387963981950922</v>
      </c>
      <c r="K155" s="2">
        <v>0.77500000000000002</v>
      </c>
      <c r="L155" s="2">
        <v>0.55428571428571427</v>
      </c>
      <c r="M155" s="84">
        <v>0.51681524863952333</v>
      </c>
      <c r="N155" s="46">
        <v>0.47536360406836337</v>
      </c>
      <c r="O155" s="46">
        <v>0.44781258111157118</v>
      </c>
      <c r="P155" s="21">
        <v>1817</v>
      </c>
      <c r="Q155" s="22">
        <v>7.5</v>
      </c>
      <c r="R155" s="23">
        <v>0.46</v>
      </c>
      <c r="S155" s="2">
        <v>0.30450518867924531</v>
      </c>
      <c r="T155" s="2">
        <v>5.7239999999999999E-2</v>
      </c>
      <c r="U155" s="2">
        <v>0.33759999938309193</v>
      </c>
      <c r="V155" s="2">
        <v>0.32499999999999996</v>
      </c>
      <c r="W155" s="2">
        <v>0.35333333333333333</v>
      </c>
      <c r="X155" s="2">
        <v>0.51039999954402449</v>
      </c>
      <c r="Y155" s="2">
        <v>0.88633333333333331</v>
      </c>
      <c r="Z155" s="2">
        <v>0.57933599987179041</v>
      </c>
      <c r="AA155" s="2">
        <v>0.98873807362822608</v>
      </c>
      <c r="AB155" s="2">
        <v>0.5</v>
      </c>
      <c r="AC155" s="2">
        <v>0.75259999904781572</v>
      </c>
      <c r="AD155" s="2">
        <v>0.32999999932944774</v>
      </c>
      <c r="AE155" s="2">
        <v>0.20749999999999999</v>
      </c>
      <c r="AF155" s="2">
        <v>0.97848000000000002</v>
      </c>
      <c r="AG155" s="2">
        <v>0.63257037949368422</v>
      </c>
      <c r="AH155" s="2">
        <v>0.826298702</v>
      </c>
      <c r="AI155" s="2">
        <v>0.141361846612716</v>
      </c>
      <c r="AJ155" s="2">
        <v>0.55968555607884818</v>
      </c>
      <c r="AK155" s="2">
        <v>7.4530056941375461E-2</v>
      </c>
      <c r="AL155" s="2">
        <v>0.31479057632968399</v>
      </c>
      <c r="AM155" s="2">
        <v>0.58000000000000007</v>
      </c>
      <c r="AN155" s="2">
        <v>0.61</v>
      </c>
      <c r="AO155" s="2">
        <v>4.674596166831143E-2</v>
      </c>
      <c r="AP155" s="2">
        <v>0.74836399710638324</v>
      </c>
      <c r="AQ155" s="16">
        <v>0.48522554176588789</v>
      </c>
      <c r="AR155" s="2">
        <v>0.63100000000000001</v>
      </c>
      <c r="AS155" s="2">
        <v>0.4</v>
      </c>
      <c r="AT155" s="2">
        <v>0.64700000000000002</v>
      </c>
      <c r="AU155" s="2">
        <v>0.77800000000000002</v>
      </c>
      <c r="AV155" s="2">
        <v>0.35</v>
      </c>
      <c r="AW155" s="2">
        <v>0.752</v>
      </c>
      <c r="AX155" s="2">
        <v>0.69700000000000006</v>
      </c>
      <c r="AY155" s="2">
        <v>0.47095986241941146</v>
      </c>
      <c r="AZ155" s="2">
        <v>0.4382938106842923</v>
      </c>
      <c r="BA155" s="2">
        <v>0.39530495613934274</v>
      </c>
      <c r="BB155" s="2">
        <v>0.60567281859832167</v>
      </c>
      <c r="BC155" s="2">
        <v>0.11379116573997694</v>
      </c>
      <c r="BD155" s="2">
        <v>0.43894419633100218</v>
      </c>
      <c r="BE155" s="2">
        <v>0.41899999999999998</v>
      </c>
    </row>
    <row r="156" spans="1:57">
      <c r="A156" s="1" t="s">
        <v>106</v>
      </c>
      <c r="B156" s="1" t="s">
        <v>343</v>
      </c>
      <c r="C156" s="2">
        <v>0.49110114923246129</v>
      </c>
      <c r="D156" s="2">
        <v>0.65</v>
      </c>
      <c r="E156" s="2" t="e">
        <v>#N/A</v>
      </c>
      <c r="F156" s="2" t="e">
        <v>#N/A</v>
      </c>
      <c r="G156" s="2">
        <v>1</v>
      </c>
      <c r="H156" s="11">
        <v>0.71370038307748718</v>
      </c>
      <c r="I156" s="2">
        <v>0</v>
      </c>
      <c r="J156" s="2">
        <v>0.27480080983796279</v>
      </c>
      <c r="K156" s="2">
        <v>0.2</v>
      </c>
      <c r="L156" s="2">
        <v>0</v>
      </c>
      <c r="M156" s="84">
        <v>0.1187002024594907</v>
      </c>
      <c r="N156" s="46">
        <v>0.22195639221102992</v>
      </c>
      <c r="O156" s="46">
        <v>0.28394715570576112</v>
      </c>
      <c r="P156" s="21">
        <v>11893</v>
      </c>
      <c r="Q156" s="22">
        <v>9.3800000000000008</v>
      </c>
      <c r="R156" s="23">
        <v>0.83</v>
      </c>
      <c r="S156" s="2">
        <v>0.5</v>
      </c>
      <c r="T156" s="2">
        <v>5.7239999999999999E-2</v>
      </c>
      <c r="U156" s="2">
        <v>4.9599999114871007E-2</v>
      </c>
      <c r="V156" s="2">
        <v>0.5</v>
      </c>
      <c r="W156" s="2">
        <v>0</v>
      </c>
      <c r="X156" s="2">
        <v>0.11679999917745587</v>
      </c>
      <c r="Y156" s="2">
        <v>0.28666666666666668</v>
      </c>
      <c r="Z156" s="2">
        <v>0.48257799989320338</v>
      </c>
      <c r="AA156" s="2">
        <v>0.80281337930987551</v>
      </c>
      <c r="AB156" s="2">
        <v>0.32</v>
      </c>
      <c r="AC156" s="2">
        <v>1.0999999977648259E-2</v>
      </c>
      <c r="AD156" s="2">
        <v>0.01</v>
      </c>
      <c r="AE156" s="2">
        <v>7.4999999999999997E-2</v>
      </c>
      <c r="AF156" s="2">
        <v>0.65999999999999992</v>
      </c>
      <c r="AG156" s="2">
        <v>0.28617755965888592</v>
      </c>
      <c r="AH156" s="2">
        <v>4.4444444E-2</v>
      </c>
      <c r="AI156" s="2">
        <v>4.3848969503296033E-3</v>
      </c>
      <c r="AJ156" s="2">
        <v>3.4519614970324095E-3</v>
      </c>
      <c r="AK156" s="2">
        <v>7.4530056941375461E-2</v>
      </c>
      <c r="AL156" s="2" t="e">
        <v>#N/A</v>
      </c>
      <c r="AM156" s="2">
        <v>0</v>
      </c>
      <c r="AN156" s="2">
        <v>0.54</v>
      </c>
      <c r="AO156" s="2">
        <v>4.674596166831143E-2</v>
      </c>
      <c r="AP156" s="2">
        <v>0.54169599957317116</v>
      </c>
      <c r="AQ156" s="16">
        <v>0.23535343149690552</v>
      </c>
      <c r="AR156" s="2">
        <v>0.58899999999999997</v>
      </c>
      <c r="AS156" s="2">
        <v>0.5</v>
      </c>
      <c r="AT156" s="2">
        <v>0.83200000000000007</v>
      </c>
      <c r="AU156" s="2">
        <v>0.41399999999999998</v>
      </c>
      <c r="AV156" s="2">
        <v>0.5</v>
      </c>
      <c r="AW156" s="2">
        <v>0.64500000000000002</v>
      </c>
      <c r="AX156" s="2">
        <v>0.752</v>
      </c>
      <c r="AY156" s="2">
        <v>0.4009055779157854</v>
      </c>
      <c r="AZ156" s="2">
        <v>0.56299703082245756</v>
      </c>
      <c r="BA156" s="2">
        <v>0.46274402197765829</v>
      </c>
      <c r="BB156" s="2">
        <v>1</v>
      </c>
      <c r="BC156" s="2">
        <v>0.70501676158774684</v>
      </c>
      <c r="BD156" s="2">
        <v>0.41856679280689546</v>
      </c>
      <c r="BE156" s="2">
        <v>0.72199999999999998</v>
      </c>
    </row>
    <row r="157" spans="1:57">
      <c r="A157" s="1" t="s">
        <v>102</v>
      </c>
      <c r="B157" s="1" t="s">
        <v>344</v>
      </c>
      <c r="C157" s="2" t="e">
        <v>#N/A</v>
      </c>
      <c r="D157" s="2">
        <v>0.25</v>
      </c>
      <c r="E157" s="2">
        <v>3.1453177259147383E-2</v>
      </c>
      <c r="F157" s="2">
        <v>0.73677722678512014</v>
      </c>
      <c r="G157" s="2">
        <v>0.57494681702392714</v>
      </c>
      <c r="H157" s="11">
        <v>0.39829430526704868</v>
      </c>
      <c r="I157" s="2">
        <v>0</v>
      </c>
      <c r="J157" s="2">
        <v>0.63329826173201564</v>
      </c>
      <c r="K157" s="2" t="e">
        <v>#N/A</v>
      </c>
      <c r="L157" s="2" t="e">
        <v>#N/A</v>
      </c>
      <c r="M157" s="84" t="e">
        <v>#N/A</v>
      </c>
      <c r="N157" s="46">
        <v>0.32692239317750854</v>
      </c>
      <c r="O157" s="46" t="e">
        <v>#N/A</v>
      </c>
      <c r="P157" s="21">
        <v>19587</v>
      </c>
      <c r="Q157" s="22">
        <v>9.8800000000000008</v>
      </c>
      <c r="R157" s="23">
        <v>0.85</v>
      </c>
      <c r="S157" s="2">
        <v>0.3914651453224342</v>
      </c>
      <c r="T157" s="2">
        <v>0.5</v>
      </c>
      <c r="U157" s="2">
        <v>0</v>
      </c>
      <c r="V157" s="2">
        <v>0.125</v>
      </c>
      <c r="W157" s="2">
        <v>0</v>
      </c>
      <c r="X157" s="2">
        <v>3.0000000000000027E-2</v>
      </c>
      <c r="Y157" s="2">
        <v>0.44466666666666665</v>
      </c>
      <c r="Z157" s="2">
        <v>0.45631799989901478</v>
      </c>
      <c r="AA157" s="2">
        <v>0.95166666666666666</v>
      </c>
      <c r="AB157" s="2">
        <v>0</v>
      </c>
      <c r="AC157" s="2">
        <v>1</v>
      </c>
      <c r="AD157" s="2">
        <v>0.3</v>
      </c>
      <c r="AE157" s="2">
        <v>0.20749999999999999</v>
      </c>
      <c r="AF157" s="2">
        <v>0.56200000000000006</v>
      </c>
      <c r="AG157" s="2">
        <v>0.29526243771612715</v>
      </c>
      <c r="AH157" s="2">
        <v>0.37817258799999998</v>
      </c>
      <c r="AI157" s="2">
        <v>1.4451198883901886E-2</v>
      </c>
      <c r="AJ157" s="2">
        <v>0.5</v>
      </c>
      <c r="AK157" s="2">
        <v>0.2003868703324948</v>
      </c>
      <c r="AL157" s="2">
        <v>0.17425087683402701</v>
      </c>
      <c r="AM157" s="2">
        <v>4.0000000000000036E-2</v>
      </c>
      <c r="AN157" s="2">
        <v>0</v>
      </c>
      <c r="AO157" s="2">
        <v>1</v>
      </c>
      <c r="AP157" s="2">
        <v>7.4015747201609972E-2</v>
      </c>
      <c r="AQ157" s="16">
        <v>0.31854817489678933</v>
      </c>
      <c r="AR157" s="2">
        <v>0.64200000000000002</v>
      </c>
      <c r="AS157" s="2">
        <v>0.3</v>
      </c>
      <c r="AT157" s="2">
        <v>0.76400000000000001</v>
      </c>
      <c r="AU157" s="2">
        <v>9.3000000000000013E-2</v>
      </c>
      <c r="AV157" s="2">
        <v>0.5</v>
      </c>
      <c r="AW157" s="2">
        <v>0.57899999999999996</v>
      </c>
      <c r="AX157" s="2">
        <v>0.33399999999999996</v>
      </c>
      <c r="AY157" s="2">
        <v>0.64086223293576539</v>
      </c>
      <c r="AZ157" s="2">
        <v>0.507650718355807</v>
      </c>
      <c r="BA157" s="2">
        <v>0.56450260445281342</v>
      </c>
      <c r="BB157" s="2">
        <v>1</v>
      </c>
      <c r="BC157" s="2" t="e">
        <v>#N/A</v>
      </c>
      <c r="BD157" s="2">
        <v>0.51493057509005935</v>
      </c>
      <c r="BE157" s="2">
        <v>0.59799999999999998</v>
      </c>
    </row>
    <row r="158" spans="1:57">
      <c r="A158" s="1" t="s">
        <v>136</v>
      </c>
      <c r="B158" s="1" t="s">
        <v>345</v>
      </c>
      <c r="C158" s="2">
        <v>0.43573411978268095</v>
      </c>
      <c r="D158" s="2">
        <v>0.70940000000000003</v>
      </c>
      <c r="E158" s="2">
        <v>0.94040650030297812</v>
      </c>
      <c r="F158" s="2">
        <v>0.43950117665168803</v>
      </c>
      <c r="G158" s="2">
        <v>0.60174275954192391</v>
      </c>
      <c r="H158" s="11">
        <v>0.62535691125585413</v>
      </c>
      <c r="I158" s="2">
        <v>0.18933760589187509</v>
      </c>
      <c r="J158" s="2">
        <v>0.42831367354363464</v>
      </c>
      <c r="K158" s="2">
        <v>0.45</v>
      </c>
      <c r="L158" s="2">
        <v>1</v>
      </c>
      <c r="M158" s="84">
        <v>0.51691281985887749</v>
      </c>
      <c r="N158" s="46">
        <v>0.55594509345682586</v>
      </c>
      <c r="O158" s="46">
        <v>0.56173085086904861</v>
      </c>
      <c r="P158" s="21">
        <v>808</v>
      </c>
      <c r="Q158" s="22">
        <v>6.69</v>
      </c>
      <c r="R158" s="23">
        <v>0.37</v>
      </c>
      <c r="S158" s="2">
        <v>1</v>
      </c>
      <c r="T158" s="2">
        <v>3.0830000000000002E-3</v>
      </c>
      <c r="U158" s="2">
        <v>0.52959999956190584</v>
      </c>
      <c r="V158" s="2">
        <v>0.25</v>
      </c>
      <c r="W158" s="2">
        <v>0.98199999999999998</v>
      </c>
      <c r="X158" s="2">
        <v>0.87519999988377095</v>
      </c>
      <c r="Y158" s="2">
        <v>0.62008333333333332</v>
      </c>
      <c r="Z158" s="2">
        <v>0.62539199986159799</v>
      </c>
      <c r="AA158" s="2">
        <v>1</v>
      </c>
      <c r="AB158" s="2">
        <v>0.24</v>
      </c>
      <c r="AC158" s="2">
        <v>0.22259999971836805</v>
      </c>
      <c r="AD158" s="2">
        <v>0.9239999981224537</v>
      </c>
      <c r="AE158" s="2">
        <v>0.20749999999999999</v>
      </c>
      <c r="AF158" s="2">
        <v>0.99192000000000002</v>
      </c>
      <c r="AG158" s="2">
        <v>0.78608046744152904</v>
      </c>
      <c r="AH158" s="2">
        <v>1</v>
      </c>
      <c r="AI158" s="2">
        <v>0.20585358617344368</v>
      </c>
      <c r="AJ158" s="2">
        <v>1</v>
      </c>
      <c r="AK158" s="2">
        <v>6.4526520341839505E-2</v>
      </c>
      <c r="AL158" s="2">
        <v>9.6793483454035698E-2</v>
      </c>
      <c r="AM158" s="2">
        <v>0.94899999999999995</v>
      </c>
      <c r="AN158" s="2">
        <v>0</v>
      </c>
      <c r="AO158" s="2">
        <v>2.0943870427254957E-2</v>
      </c>
      <c r="AP158" s="2">
        <v>0.93279999971389771</v>
      </c>
      <c r="AQ158" s="16">
        <v>0.56364067741805968</v>
      </c>
      <c r="AR158" s="2">
        <v>0.54600000000000004</v>
      </c>
      <c r="AS158" s="2">
        <v>0.2</v>
      </c>
      <c r="AT158" s="2">
        <v>0.80900000000000005</v>
      </c>
      <c r="AU158" s="2">
        <v>0.80500000000000005</v>
      </c>
      <c r="AV158" s="2">
        <v>0.4</v>
      </c>
      <c r="AW158" s="2">
        <v>0.71700000000000008</v>
      </c>
      <c r="AX158" s="2">
        <v>0.628</v>
      </c>
      <c r="AY158" s="2">
        <v>0.4209007457587205</v>
      </c>
      <c r="AZ158" s="2">
        <v>0.44855964457686931</v>
      </c>
      <c r="BA158" s="2">
        <v>0.3063138665905446</v>
      </c>
      <c r="BB158" s="2">
        <v>0.22399833164920718</v>
      </c>
      <c r="BC158" s="2">
        <v>2.4599520104731831E-2</v>
      </c>
      <c r="BD158" s="2">
        <v>0.30712185602785258</v>
      </c>
      <c r="BE158" s="2">
        <v>0.39</v>
      </c>
    </row>
    <row r="159" spans="1:57">
      <c r="A159" s="1" t="s">
        <v>0</v>
      </c>
      <c r="B159" s="1" t="s">
        <v>346</v>
      </c>
      <c r="C159" s="2">
        <v>0.68813985978521763</v>
      </c>
      <c r="D159" s="2">
        <v>0.71530000000000005</v>
      </c>
      <c r="E159" s="2">
        <v>1.8321490079435282E-5</v>
      </c>
      <c r="F159" s="2">
        <v>0.72025441118166922</v>
      </c>
      <c r="G159" s="2">
        <v>0.66944853509872471</v>
      </c>
      <c r="H159" s="11">
        <v>0.55863222551113823</v>
      </c>
      <c r="I159" s="2">
        <v>0</v>
      </c>
      <c r="J159" s="2">
        <v>1</v>
      </c>
      <c r="K159" s="2">
        <v>0</v>
      </c>
      <c r="L159" s="2">
        <v>0</v>
      </c>
      <c r="M159" s="84">
        <v>0.25</v>
      </c>
      <c r="N159" s="46">
        <v>0.28141294690244967</v>
      </c>
      <c r="O159" s="46">
        <v>0.31960823797619647</v>
      </c>
      <c r="P159" s="21">
        <v>50633</v>
      </c>
      <c r="Q159" s="22">
        <v>10.83</v>
      </c>
      <c r="R159" s="23">
        <v>0.94</v>
      </c>
      <c r="S159" s="2">
        <v>0.27339188514357055</v>
      </c>
      <c r="T159" s="2">
        <v>0.5</v>
      </c>
      <c r="U159" s="2">
        <v>3.9999999105930328E-2</v>
      </c>
      <c r="V159" s="2">
        <v>0.17500000000000004</v>
      </c>
      <c r="W159" s="2">
        <v>0</v>
      </c>
      <c r="X159" s="2">
        <v>3.9999999105930328E-2</v>
      </c>
      <c r="Y159" s="2">
        <v>0.49116666666666664</v>
      </c>
      <c r="Z159" s="2">
        <v>0</v>
      </c>
      <c r="AA159" s="2">
        <v>1</v>
      </c>
      <c r="AB159" s="2">
        <v>0.08</v>
      </c>
      <c r="AC159" s="2">
        <v>1</v>
      </c>
      <c r="AD159" s="2">
        <v>0.02</v>
      </c>
      <c r="AE159" s="2">
        <v>0.85</v>
      </c>
      <c r="AF159" s="2">
        <v>0.61735999999999991</v>
      </c>
      <c r="AG159" s="2">
        <v>0.14976390099525561</v>
      </c>
      <c r="AH159" s="2">
        <v>0.33</v>
      </c>
      <c r="AI159" s="2">
        <v>0</v>
      </c>
      <c r="AJ159" s="2">
        <v>2.6091574577569534E-3</v>
      </c>
      <c r="AK159" s="2">
        <v>0.17942110480394582</v>
      </c>
      <c r="AL159" s="2">
        <v>0.149891532087291</v>
      </c>
      <c r="AM159" s="2">
        <v>0</v>
      </c>
      <c r="AN159" s="2">
        <v>1</v>
      </c>
      <c r="AO159" s="2">
        <v>0</v>
      </c>
      <c r="AP159" s="2">
        <v>3.9999999105930328E-2</v>
      </c>
      <c r="AQ159" s="16">
        <v>0.28910851018634487</v>
      </c>
      <c r="AR159" s="2">
        <v>0.98199999999999998</v>
      </c>
      <c r="AS159" s="2">
        <v>0.5</v>
      </c>
      <c r="AT159" s="2">
        <v>0.90700000000000003</v>
      </c>
      <c r="AU159" s="2">
        <v>0.95299999999999996</v>
      </c>
      <c r="AV159" s="2">
        <v>0.75</v>
      </c>
      <c r="AW159" s="2">
        <v>0.80900000000000005</v>
      </c>
      <c r="AX159" s="2">
        <v>0.9</v>
      </c>
      <c r="AY159" s="2">
        <v>0.7275778076445748</v>
      </c>
      <c r="AZ159" s="2">
        <v>0.41981092725156693</v>
      </c>
      <c r="BA159" s="2">
        <v>0.94770227240076532</v>
      </c>
      <c r="BB159" s="2">
        <v>1</v>
      </c>
      <c r="BC159" s="2" t="e">
        <v>#N/A</v>
      </c>
      <c r="BD159" s="2">
        <v>0.81907535259275799</v>
      </c>
      <c r="BE159" s="2">
        <v>0.9890000000000001</v>
      </c>
    </row>
    <row r="160" spans="1:57">
      <c r="A160" s="1" t="s">
        <v>99</v>
      </c>
      <c r="B160" s="1" t="s">
        <v>347</v>
      </c>
      <c r="C160" s="2">
        <v>0.45255629583081447</v>
      </c>
      <c r="D160" s="2">
        <v>0.15529999999999999</v>
      </c>
      <c r="E160" s="2">
        <v>9.5154302806631549E-2</v>
      </c>
      <c r="F160" s="2">
        <v>0.16568595812228609</v>
      </c>
      <c r="G160" s="2">
        <v>0.20348551908384782</v>
      </c>
      <c r="H160" s="11">
        <v>0.21443641516871598</v>
      </c>
      <c r="I160" s="2">
        <v>0.38596623278677894</v>
      </c>
      <c r="J160" s="2" t="e">
        <v>#N/A</v>
      </c>
      <c r="K160" s="2">
        <v>2.5000000000000001E-2</v>
      </c>
      <c r="L160" s="2">
        <v>0</v>
      </c>
      <c r="M160" s="84">
        <v>0.13698874426225965</v>
      </c>
      <c r="N160" s="46">
        <v>0.18668607800269502</v>
      </c>
      <c r="O160" s="46">
        <v>0.18486675530173635</v>
      </c>
      <c r="P160" s="21">
        <v>22882</v>
      </c>
      <c r="Q160" s="22">
        <v>10.039999999999999</v>
      </c>
      <c r="R160" s="23">
        <v>0.88</v>
      </c>
      <c r="S160" s="2">
        <v>0.33009416332665337</v>
      </c>
      <c r="T160" s="2">
        <v>1.5102999969311059E-2</v>
      </c>
      <c r="U160" s="2">
        <v>3.9999999105930328E-2</v>
      </c>
      <c r="V160" s="2">
        <v>0.625</v>
      </c>
      <c r="W160" s="2">
        <v>0</v>
      </c>
      <c r="X160" s="2">
        <v>3.9999999105930328E-2</v>
      </c>
      <c r="Y160" s="2">
        <v>0.23600000000000002</v>
      </c>
      <c r="Z160" s="2">
        <v>0.43753199990317226</v>
      </c>
      <c r="AA160" s="2">
        <v>0.76987312910972039</v>
      </c>
      <c r="AB160" s="2">
        <v>0.56000000000000005</v>
      </c>
      <c r="AC160" s="2">
        <v>0.19079999975860118</v>
      </c>
      <c r="AD160" s="2">
        <v>0</v>
      </c>
      <c r="AE160" s="2">
        <v>7.4999999999999997E-2</v>
      </c>
      <c r="AF160" s="2">
        <v>0.49680000000000002</v>
      </c>
      <c r="AG160" s="2">
        <v>0.26363394988179356</v>
      </c>
      <c r="AH160" s="2">
        <v>0.103397342</v>
      </c>
      <c r="AI160" s="2">
        <v>0</v>
      </c>
      <c r="AJ160" s="2">
        <v>1.9485198183248919E-3</v>
      </c>
      <c r="AK160" s="2">
        <v>0</v>
      </c>
      <c r="AL160" s="2">
        <v>0</v>
      </c>
      <c r="AM160" s="2">
        <v>0</v>
      </c>
      <c r="AN160" s="2">
        <v>0.71</v>
      </c>
      <c r="AO160" s="2">
        <v>9.355509355509356E-2</v>
      </c>
      <c r="AP160" s="2">
        <v>0.1993240096677823</v>
      </c>
      <c r="AQ160" s="16">
        <v>0.21616921688342972</v>
      </c>
      <c r="AR160" s="2">
        <v>0.72599999999999998</v>
      </c>
      <c r="AS160" s="2">
        <v>0.7</v>
      </c>
      <c r="AT160" s="2">
        <v>0.84</v>
      </c>
      <c r="AU160" s="2">
        <v>0.64500000000000002</v>
      </c>
      <c r="AV160" s="2">
        <v>0.7</v>
      </c>
      <c r="AW160" s="2">
        <v>0.78200000000000003</v>
      </c>
      <c r="AX160" s="2">
        <v>0.875</v>
      </c>
      <c r="AY160" s="2">
        <v>0.67549996866899331</v>
      </c>
      <c r="AZ160" s="2">
        <v>0.67255971943457116</v>
      </c>
      <c r="BA160" s="2">
        <v>0.56426021060430476</v>
      </c>
      <c r="BB160" s="2">
        <v>1</v>
      </c>
      <c r="BC160" s="2">
        <v>0.73534285782769848</v>
      </c>
      <c r="BD160" s="2">
        <v>0.62953567269709132</v>
      </c>
      <c r="BE160" s="2">
        <v>0.65099999999999991</v>
      </c>
    </row>
    <row r="161" spans="1:57">
      <c r="A161" s="1" t="s">
        <v>117</v>
      </c>
      <c r="B161" s="1" t="s">
        <v>348</v>
      </c>
      <c r="C161" s="2">
        <v>0.44013253499942562</v>
      </c>
      <c r="D161" s="2">
        <v>0.23120000000000007</v>
      </c>
      <c r="E161" s="2" t="e">
        <v>#N/A</v>
      </c>
      <c r="F161" s="2">
        <v>0.14389732423086216</v>
      </c>
      <c r="G161" s="2">
        <v>0.18343969928547943</v>
      </c>
      <c r="H161" s="11">
        <v>0.2496673896289418</v>
      </c>
      <c r="I161" s="2">
        <v>0</v>
      </c>
      <c r="J161" s="2">
        <v>0.23429981855122323</v>
      </c>
      <c r="K161" s="2">
        <v>0</v>
      </c>
      <c r="L161" s="2">
        <v>0</v>
      </c>
      <c r="M161" s="84">
        <v>5.8574954637805807E-2</v>
      </c>
      <c r="N161" s="46">
        <v>0.17733067440079164</v>
      </c>
      <c r="O161" s="46">
        <v>0.17389615007014947</v>
      </c>
      <c r="P161" s="21">
        <v>27133</v>
      </c>
      <c r="Q161" s="22">
        <v>10.210000000000001</v>
      </c>
      <c r="R161" s="23">
        <v>0.93</v>
      </c>
      <c r="S161" s="2">
        <v>8.6843070229956465E-2</v>
      </c>
      <c r="T161" s="2">
        <v>2.9559999999999999E-2</v>
      </c>
      <c r="U161" s="2">
        <v>4.9599999114871007E-2</v>
      </c>
      <c r="V161" s="2">
        <v>0.6</v>
      </c>
      <c r="W161" s="2">
        <v>0</v>
      </c>
      <c r="X161" s="2">
        <v>3.9999999105930328E-2</v>
      </c>
      <c r="Y161" s="2">
        <v>0.28591666666666671</v>
      </c>
      <c r="Z161" s="2">
        <v>0.52216999988444146</v>
      </c>
      <c r="AA161" s="2">
        <v>0.51944182053169374</v>
      </c>
      <c r="AB161" s="2">
        <v>0.28000000000000003</v>
      </c>
      <c r="AC161" s="2">
        <v>0.57239999927580365</v>
      </c>
      <c r="AD161" s="2">
        <v>0</v>
      </c>
      <c r="AE161" s="2">
        <v>6.7499999999999991E-2</v>
      </c>
      <c r="AF161" s="2">
        <v>0.47575999999999996</v>
      </c>
      <c r="AG161" s="2">
        <v>0.1837010717585682</v>
      </c>
      <c r="AH161" s="2">
        <v>8.8235294000000006E-2</v>
      </c>
      <c r="AI161" s="2">
        <v>0</v>
      </c>
      <c r="AJ161" s="2">
        <v>6.2771924746036082E-3</v>
      </c>
      <c r="AK161" s="2">
        <v>1.6441820291072341E-3</v>
      </c>
      <c r="AL161" s="2">
        <v>1.48715457560635E-2</v>
      </c>
      <c r="AM161" s="2">
        <v>0</v>
      </c>
      <c r="AN161" s="2">
        <v>0.64</v>
      </c>
      <c r="AO161" s="2">
        <v>0</v>
      </c>
      <c r="AP161" s="2">
        <v>3.9999999105930328E-2</v>
      </c>
      <c r="AQ161" s="16">
        <v>0.18766336833056815</v>
      </c>
      <c r="AR161" s="2">
        <v>0.83299999999999996</v>
      </c>
      <c r="AS161" s="2">
        <v>0.5</v>
      </c>
      <c r="AT161" s="2">
        <v>0.64</v>
      </c>
      <c r="AU161" s="2">
        <v>0.46100000000000002</v>
      </c>
      <c r="AV161" s="2">
        <v>0.7</v>
      </c>
      <c r="AW161" s="2">
        <v>0.76</v>
      </c>
      <c r="AX161" s="2">
        <v>0.875</v>
      </c>
      <c r="AY161" s="2">
        <v>0.67206189756230983</v>
      </c>
      <c r="AZ161" s="2">
        <v>0.69539418644437156</v>
      </c>
      <c r="BA161" s="2">
        <v>0.70918699620603909</v>
      </c>
      <c r="BB161" s="2">
        <v>1</v>
      </c>
      <c r="BC161" s="2">
        <v>1</v>
      </c>
      <c r="BD161" s="2">
        <v>0.7202761285994248</v>
      </c>
      <c r="BE161" s="2">
        <v>0.435</v>
      </c>
    </row>
    <row r="162" spans="1:57">
      <c r="A162" s="1" t="s">
        <v>181</v>
      </c>
      <c r="B162" s="1" t="s">
        <v>349</v>
      </c>
      <c r="C162" s="2" t="e">
        <v>#N/A</v>
      </c>
      <c r="D162" s="2">
        <v>0.99470000000000003</v>
      </c>
      <c r="E162" s="2" t="e">
        <v>#N/A</v>
      </c>
      <c r="F162" s="2">
        <v>0.58961312782620068</v>
      </c>
      <c r="G162" s="2">
        <v>0.66249386401857957</v>
      </c>
      <c r="H162" s="11">
        <v>0.74893566394825994</v>
      </c>
      <c r="I162" s="2">
        <v>0.32863207517563275</v>
      </c>
      <c r="J162" s="2">
        <v>0.92951768331491014</v>
      </c>
      <c r="K162" s="2">
        <v>1</v>
      </c>
      <c r="L162" s="2" t="e">
        <v>#N/A</v>
      </c>
      <c r="M162" s="84">
        <v>0.75271658616351422</v>
      </c>
      <c r="N162" s="46">
        <v>0.48173624709307505</v>
      </c>
      <c r="O162" s="46">
        <v>0.55506710892815636</v>
      </c>
      <c r="P162" s="21">
        <v>2547</v>
      </c>
      <c r="Q162" s="22">
        <v>7.84</v>
      </c>
      <c r="R162" s="23">
        <v>0.61</v>
      </c>
      <c r="S162" s="2">
        <v>1</v>
      </c>
      <c r="T162" s="2">
        <v>0.5</v>
      </c>
      <c r="U162" s="2">
        <v>0.3789999984577298</v>
      </c>
      <c r="V162" s="2">
        <v>9.9999999999999978E-2</v>
      </c>
      <c r="W162" s="2">
        <v>5.6000000000000001E-2</v>
      </c>
      <c r="X162" s="2">
        <v>0.7389999993517995</v>
      </c>
      <c r="Y162" s="2">
        <v>0.44466666666666665</v>
      </c>
      <c r="Z162" s="2">
        <v>0.82537199981734144</v>
      </c>
      <c r="AA162" s="2">
        <v>1</v>
      </c>
      <c r="AB162" s="2">
        <v>0.26</v>
      </c>
      <c r="AC162" s="2">
        <v>1</v>
      </c>
      <c r="AD162" s="2">
        <v>0.3</v>
      </c>
      <c r="AE162" s="2">
        <v>0.76749999999999996</v>
      </c>
      <c r="AF162" s="2">
        <v>0.92711999999999994</v>
      </c>
      <c r="AG162" s="2">
        <v>0.42790353052258501</v>
      </c>
      <c r="AH162" s="2">
        <v>0.46335697399999998</v>
      </c>
      <c r="AI162" s="2">
        <v>0.29674641767832877</v>
      </c>
      <c r="AJ162" s="2">
        <v>0.1115926179240658</v>
      </c>
      <c r="AK162" s="2">
        <v>0.10354566382345434</v>
      </c>
      <c r="AL162" s="2">
        <v>0.194672185468558</v>
      </c>
      <c r="AM162" s="2">
        <v>0.85599999999999998</v>
      </c>
      <c r="AN162" s="2">
        <v>0</v>
      </c>
      <c r="AO162" s="2">
        <v>0</v>
      </c>
      <c r="AP162" s="2">
        <v>0.97999199943443116</v>
      </c>
      <c r="AQ162" s="16">
        <v>0.48885283554770659</v>
      </c>
      <c r="AR162" s="2">
        <v>0.63200000000000001</v>
      </c>
      <c r="AS162" s="2">
        <v>0.3</v>
      </c>
      <c r="AT162" s="2">
        <v>0.67900000000000005</v>
      </c>
      <c r="AU162" s="2" t="e">
        <v>#N/A</v>
      </c>
      <c r="AV162" s="2">
        <v>0.1</v>
      </c>
      <c r="AW162" s="2">
        <v>0.65500000000000003</v>
      </c>
      <c r="AX162" s="2">
        <v>0.65200000000000002</v>
      </c>
      <c r="AY162" s="2">
        <v>0.56904746623346336</v>
      </c>
      <c r="AZ162" s="2">
        <v>0.53694099683360896</v>
      </c>
      <c r="BA162" s="2">
        <v>0.42705086759864497</v>
      </c>
      <c r="BB162" s="2">
        <v>6.3077011310760545E-2</v>
      </c>
      <c r="BC162" s="2" t="e">
        <v>#N/A</v>
      </c>
      <c r="BD162" s="2">
        <v>0.36700040545213169</v>
      </c>
      <c r="BE162" s="2">
        <v>0.68400000000000005</v>
      </c>
    </row>
    <row r="163" spans="1:57">
      <c r="A163" s="1" t="s">
        <v>140</v>
      </c>
      <c r="B163" s="1" t="s">
        <v>350</v>
      </c>
      <c r="C163" s="2">
        <v>0.50384012591868321</v>
      </c>
      <c r="D163" s="2">
        <v>0.96589999999999998</v>
      </c>
      <c r="E163" s="2" t="e">
        <v>#N/A</v>
      </c>
      <c r="F163" s="2">
        <v>0.2399904600703017</v>
      </c>
      <c r="G163" s="2">
        <v>0.88524791376631706</v>
      </c>
      <c r="H163" s="11">
        <v>0.64874462493882556</v>
      </c>
      <c r="I163" s="2">
        <v>0.25867287983341586</v>
      </c>
      <c r="J163" s="2">
        <v>0.47118670568069632</v>
      </c>
      <c r="K163" s="2">
        <v>1</v>
      </c>
      <c r="L163" s="2">
        <v>1</v>
      </c>
      <c r="M163" s="84">
        <v>0.68246489637852803</v>
      </c>
      <c r="N163" s="46">
        <v>0.53364219930013301</v>
      </c>
      <c r="O163" s="46">
        <v>0.56912107555792213</v>
      </c>
      <c r="P163" s="21">
        <v>600</v>
      </c>
      <c r="Q163" s="22">
        <v>6.4</v>
      </c>
      <c r="R163" s="23" t="s">
        <v>460</v>
      </c>
      <c r="S163" s="2">
        <v>0.50159030837004404</v>
      </c>
      <c r="T163" s="2">
        <v>0.24683999949842694</v>
      </c>
      <c r="U163" s="2">
        <v>0.71199999973177908</v>
      </c>
      <c r="V163" s="2">
        <v>0.25</v>
      </c>
      <c r="W163" s="2">
        <v>0.59</v>
      </c>
      <c r="X163" s="2">
        <v>0.77919999979436394</v>
      </c>
      <c r="Y163" s="2">
        <v>0.39683333333333337</v>
      </c>
      <c r="Z163" s="2">
        <v>0.63670399985909454</v>
      </c>
      <c r="AA163" s="2">
        <v>1</v>
      </c>
      <c r="AB163" s="2">
        <v>0.02</v>
      </c>
      <c r="AC163" s="2">
        <v>1</v>
      </c>
      <c r="AD163" s="2">
        <v>1</v>
      </c>
      <c r="AE163" s="2">
        <v>0.78249999999999997</v>
      </c>
      <c r="AF163" s="2">
        <v>0.99280000000000002</v>
      </c>
      <c r="AG163" s="2">
        <v>0.74315956984058118</v>
      </c>
      <c r="AH163" s="2">
        <v>0.77392218800000001</v>
      </c>
      <c r="AI163" s="2">
        <v>0.29674641767832877</v>
      </c>
      <c r="AJ163" s="2">
        <v>1</v>
      </c>
      <c r="AK163" s="2">
        <v>1.0012375942229652E-2</v>
      </c>
      <c r="AL163" s="2">
        <v>4.9785423036339198E-2</v>
      </c>
      <c r="AM163" s="2">
        <v>0</v>
      </c>
      <c r="AN163" s="2">
        <v>0</v>
      </c>
      <c r="AO163" s="2">
        <v>2.6301527082602735E-2</v>
      </c>
      <c r="AP163" s="2">
        <v>0.90323999796724896</v>
      </c>
      <c r="AQ163" s="16">
        <v>0.5296514641722655</v>
      </c>
      <c r="AR163" s="2" t="e">
        <v>#N/A</v>
      </c>
      <c r="AS163" s="2" t="e">
        <v>#N/A</v>
      </c>
      <c r="AT163" s="2" t="e">
        <v>#N/A</v>
      </c>
      <c r="AU163" s="2" t="e">
        <v>#N/A</v>
      </c>
      <c r="AV163" s="2" t="e">
        <v>#N/A</v>
      </c>
      <c r="AW163" s="2" t="e">
        <v>#N/A</v>
      </c>
      <c r="AX163" s="2" t="e">
        <v>#N/A</v>
      </c>
      <c r="AY163" s="2">
        <v>0</v>
      </c>
      <c r="AZ163" s="2">
        <v>0.10551059612433597</v>
      </c>
      <c r="BA163" s="2">
        <v>0.15674136774983757</v>
      </c>
      <c r="BB163" s="2">
        <v>7.72024994031828E-2</v>
      </c>
      <c r="BC163" s="2" t="e">
        <v>#N/A</v>
      </c>
      <c r="BD163" s="2">
        <v>0</v>
      </c>
      <c r="BE163" s="2" t="e">
        <v>#N/A</v>
      </c>
    </row>
    <row r="164" spans="1:57">
      <c r="A164" s="1" t="s">
        <v>79</v>
      </c>
      <c r="B164" s="1" t="s">
        <v>351</v>
      </c>
      <c r="C164" s="2">
        <v>0.48171790519838598</v>
      </c>
      <c r="D164" s="2">
        <v>0.93500000000000005</v>
      </c>
      <c r="E164" s="2">
        <v>0.10082171865092814</v>
      </c>
      <c r="F164" s="2">
        <v>0.40112395552976904</v>
      </c>
      <c r="G164" s="2">
        <v>0.20348551908384782</v>
      </c>
      <c r="H164" s="11">
        <v>0.4244298196925862</v>
      </c>
      <c r="I164" s="2">
        <v>0.28891095796176453</v>
      </c>
      <c r="J164" s="2">
        <v>2.7106443309744346E-2</v>
      </c>
      <c r="K164" s="2">
        <v>0.47499999999999998</v>
      </c>
      <c r="L164" s="2">
        <v>0.32857142857142857</v>
      </c>
      <c r="M164" s="84">
        <v>0.27989720746073432</v>
      </c>
      <c r="N164" s="46">
        <v>0.36038851889372431</v>
      </c>
      <c r="O164" s="46">
        <v>0.36033522368955306</v>
      </c>
      <c r="P164" s="21">
        <v>10278</v>
      </c>
      <c r="Q164" s="22">
        <v>9.24</v>
      </c>
      <c r="R164" s="23">
        <v>0.68</v>
      </c>
      <c r="S164" s="2">
        <v>0.6071823549257761</v>
      </c>
      <c r="T164" s="2">
        <v>0.29951999888420106</v>
      </c>
      <c r="U164" s="2">
        <v>0.12639999918639655</v>
      </c>
      <c r="V164" s="2">
        <v>0.35</v>
      </c>
      <c r="W164" s="2">
        <v>6.933333333333333E-2</v>
      </c>
      <c r="X164" s="2">
        <v>0.26079999931156639</v>
      </c>
      <c r="Y164" s="2">
        <v>0.62974999999999992</v>
      </c>
      <c r="Z164" s="2">
        <v>0.39167799991331997</v>
      </c>
      <c r="AA164" s="2">
        <v>0.91717804597700003</v>
      </c>
      <c r="AB164" s="2">
        <v>0.5</v>
      </c>
      <c r="AC164" s="2">
        <v>0.26499999966472387</v>
      </c>
      <c r="AD164" s="2">
        <v>0.3305999990925193</v>
      </c>
      <c r="AE164" s="2">
        <v>0.40749999999999997</v>
      </c>
      <c r="AF164" s="2">
        <v>0.7752</v>
      </c>
      <c r="AG164" s="2">
        <v>0.71163691615268632</v>
      </c>
      <c r="AH164" s="2">
        <v>1</v>
      </c>
      <c r="AI164" s="2">
        <v>1.9222745599645923E-2</v>
      </c>
      <c r="AJ164" s="2">
        <v>0.25767633089848019</v>
      </c>
      <c r="AK164" s="2">
        <v>1.4127374470356338E-3</v>
      </c>
      <c r="AL164" s="2">
        <v>1.04820979531015E-2</v>
      </c>
      <c r="AM164" s="2">
        <v>0.25</v>
      </c>
      <c r="AN164" s="2">
        <v>0</v>
      </c>
      <c r="AO164" s="2">
        <v>1.8526600080693637E-2</v>
      </c>
      <c r="AP164" s="2">
        <v>0.85814000553596681</v>
      </c>
      <c r="AQ164" s="16">
        <v>0.37738496516485198</v>
      </c>
      <c r="AR164" s="2">
        <v>0.73</v>
      </c>
      <c r="AS164" s="2">
        <v>0.6</v>
      </c>
      <c r="AT164" s="2">
        <v>0.69099999999999995</v>
      </c>
      <c r="AU164" s="2">
        <v>0.76800000000000002</v>
      </c>
      <c r="AV164" s="2">
        <v>0.45</v>
      </c>
      <c r="AW164" s="2">
        <v>0.70200000000000007</v>
      </c>
      <c r="AX164" s="2">
        <v>0.76</v>
      </c>
      <c r="AY164" s="2">
        <v>0.50381562540425118</v>
      </c>
      <c r="AZ164" s="2">
        <v>0.61181914366412937</v>
      </c>
      <c r="BA164" s="2">
        <v>0.52033232051384259</v>
      </c>
      <c r="BB164" s="2">
        <v>1</v>
      </c>
      <c r="BC164" s="2" t="e">
        <v>#N/A</v>
      </c>
      <c r="BD164" s="2">
        <v>0.51113637667730394</v>
      </c>
      <c r="BE164" s="2">
        <v>0.59</v>
      </c>
    </row>
    <row r="165" spans="1:57">
      <c r="A165" s="1" t="s">
        <v>36</v>
      </c>
      <c r="B165" s="1" t="s">
        <v>352</v>
      </c>
      <c r="C165" s="2">
        <v>0.5893211189084574</v>
      </c>
      <c r="D165" s="2">
        <v>0.49590000000000001</v>
      </c>
      <c r="E165" s="2">
        <v>5.0421953371404704E-2</v>
      </c>
      <c r="F165" s="2">
        <v>0.37245902435612138</v>
      </c>
      <c r="G165" s="2">
        <v>0</v>
      </c>
      <c r="H165" s="11">
        <v>0.30162041932719674</v>
      </c>
      <c r="I165" s="2">
        <v>0.24069394224273089</v>
      </c>
      <c r="J165" s="2">
        <v>9.1503763601324506E-2</v>
      </c>
      <c r="K165" s="2">
        <v>0</v>
      </c>
      <c r="L165" s="2">
        <v>0</v>
      </c>
      <c r="M165" s="84">
        <v>8.3049426461013848E-2</v>
      </c>
      <c r="N165" s="46">
        <v>0.19043812801351434</v>
      </c>
      <c r="O165" s="46">
        <v>0.19426711741831462</v>
      </c>
      <c r="P165" s="21">
        <v>32150</v>
      </c>
      <c r="Q165" s="22">
        <v>10.38</v>
      </c>
      <c r="R165" s="23">
        <v>0.96</v>
      </c>
      <c r="S165" s="2">
        <v>0.95494868735083527</v>
      </c>
      <c r="T165" s="2">
        <v>0</v>
      </c>
      <c r="U165" s="2">
        <v>3.9999999105930328E-2</v>
      </c>
      <c r="V165" s="2">
        <v>0.5</v>
      </c>
      <c r="W165" s="2">
        <v>0</v>
      </c>
      <c r="X165" s="2">
        <v>3.9999999105930328E-2</v>
      </c>
      <c r="Y165" s="2">
        <v>0.29008333333333336</v>
      </c>
      <c r="Z165" s="2">
        <v>0.22967399994917212</v>
      </c>
      <c r="AA165" s="2">
        <v>0.70410359282007362</v>
      </c>
      <c r="AB165" s="2">
        <v>0.32</v>
      </c>
      <c r="AC165" s="2">
        <v>0.39219999950379131</v>
      </c>
      <c r="AD165" s="2">
        <v>0</v>
      </c>
      <c r="AE165" s="2">
        <v>6.7499999999999991E-2</v>
      </c>
      <c r="AF165" s="2">
        <v>0.49719999999999998</v>
      </c>
      <c r="AG165" s="2">
        <v>0.1431094619646669</v>
      </c>
      <c r="AH165" s="2">
        <v>0.12060301599999999</v>
      </c>
      <c r="AI165" s="2">
        <v>0</v>
      </c>
      <c r="AJ165" s="2">
        <v>2.2772838380422595E-3</v>
      </c>
      <c r="AK165" s="2">
        <v>1.3060807626335526E-2</v>
      </c>
      <c r="AL165" s="2">
        <v>7.7373712561670305E-2</v>
      </c>
      <c r="AM165" s="2">
        <v>0</v>
      </c>
      <c r="AN165" s="2">
        <v>0.79</v>
      </c>
      <c r="AO165" s="2">
        <v>1.803679506192633E-2</v>
      </c>
      <c r="AP165" s="2">
        <v>0.14859999690204861</v>
      </c>
      <c r="AQ165" s="16">
        <v>0.22286544521348983</v>
      </c>
      <c r="AR165" s="2">
        <v>0.75800000000000001</v>
      </c>
      <c r="AS165" s="2">
        <v>0.8</v>
      </c>
      <c r="AT165" s="2">
        <v>0.58099999999999996</v>
      </c>
      <c r="AU165" s="2">
        <v>0.54799999999999993</v>
      </c>
      <c r="AV165" s="2">
        <v>0.8</v>
      </c>
      <c r="AW165" s="2">
        <v>0.77700000000000002</v>
      </c>
      <c r="AX165" s="2">
        <v>0.875</v>
      </c>
      <c r="AY165" s="2">
        <v>0.46439941265175955</v>
      </c>
      <c r="AZ165" s="2">
        <v>0.73507898920429127</v>
      </c>
      <c r="BA165" s="2">
        <v>0.70012285307520927</v>
      </c>
      <c r="BB165" s="2">
        <v>1</v>
      </c>
      <c r="BC165" s="2">
        <v>0.96797718947292766</v>
      </c>
      <c r="BD165" s="2">
        <v>0.72439824248121976</v>
      </c>
      <c r="BE165" s="2">
        <v>0.47299999999999998</v>
      </c>
    </row>
    <row r="166" spans="1:57">
      <c r="A166" s="1" t="s">
        <v>186</v>
      </c>
      <c r="B166" s="1" t="s">
        <v>353</v>
      </c>
      <c r="C166" s="2">
        <v>0.54543704894018452</v>
      </c>
      <c r="D166" s="2">
        <v>0.14760000000000006</v>
      </c>
      <c r="E166" s="2">
        <v>0.26628527662793006</v>
      </c>
      <c r="F166" s="2">
        <v>0.73474303601528002</v>
      </c>
      <c r="G166" s="2">
        <v>0.45324005971009884</v>
      </c>
      <c r="H166" s="11">
        <v>0.42946108425869872</v>
      </c>
      <c r="I166" s="2">
        <v>0</v>
      </c>
      <c r="J166" s="2">
        <v>0.16907363456165594</v>
      </c>
      <c r="K166" s="2">
        <v>0</v>
      </c>
      <c r="L166" s="2" t="e">
        <v>#N/A</v>
      </c>
      <c r="M166" s="84">
        <v>5.635787818721865E-2</v>
      </c>
      <c r="N166" s="46">
        <v>0.27492073086097685</v>
      </c>
      <c r="O166" s="46">
        <v>0.27184346893047917</v>
      </c>
      <c r="P166" s="21">
        <v>4772</v>
      </c>
      <c r="Q166" s="22">
        <v>8.4700000000000006</v>
      </c>
      <c r="R166" s="23">
        <v>0.76</v>
      </c>
      <c r="S166" s="2">
        <v>7.758574057037719E-2</v>
      </c>
      <c r="T166" s="2">
        <v>0.26982999945171182</v>
      </c>
      <c r="U166" s="2">
        <v>0.13599999919533734</v>
      </c>
      <c r="V166" s="2">
        <v>0.15000000000000002</v>
      </c>
      <c r="W166" s="2">
        <v>2.8000000000000001E-2</v>
      </c>
      <c r="X166" s="2">
        <v>0.12639999918639655</v>
      </c>
      <c r="Y166" s="2">
        <v>0.4453333333333333</v>
      </c>
      <c r="Z166" s="2">
        <v>0.85748999981023377</v>
      </c>
      <c r="AA166" s="2">
        <v>0.52618133333333339</v>
      </c>
      <c r="AB166" s="2">
        <v>0.36</v>
      </c>
      <c r="AC166" s="2">
        <v>0.40279999949038031</v>
      </c>
      <c r="AD166" s="2">
        <v>0.3</v>
      </c>
      <c r="AE166" s="2">
        <v>7.4999999999999997E-2</v>
      </c>
      <c r="AF166" s="2">
        <v>0.88344</v>
      </c>
      <c r="AG166" s="2">
        <v>0.2767592572110894</v>
      </c>
      <c r="AH166" s="2">
        <v>0.16898395799999999</v>
      </c>
      <c r="AI166" s="2">
        <v>1.9719256670736041E-2</v>
      </c>
      <c r="AJ166" s="2">
        <v>2.3545144979758657E-2</v>
      </c>
      <c r="AK166" s="2">
        <v>8.2579139883161373E-2</v>
      </c>
      <c r="AL166" s="2">
        <v>0.117909652069053</v>
      </c>
      <c r="AM166" s="2">
        <v>0.2340000000000001</v>
      </c>
      <c r="AN166" s="2">
        <v>0.69</v>
      </c>
      <c r="AO166" s="2">
        <v>0.37134457682190936</v>
      </c>
      <c r="AP166" s="2">
        <v>0.30339999746531243</v>
      </c>
      <c r="AQ166" s="16">
        <v>0.28859589114467171</v>
      </c>
      <c r="AR166" s="2">
        <v>0.71799999999999997</v>
      </c>
      <c r="AS166" s="2">
        <v>0.4</v>
      </c>
      <c r="AT166" s="2">
        <v>0.73499999999999999</v>
      </c>
      <c r="AU166" s="2">
        <v>0.83900000000000008</v>
      </c>
      <c r="AV166" s="2">
        <v>0.15</v>
      </c>
      <c r="AW166" s="2">
        <v>0.56799999999999995</v>
      </c>
      <c r="AX166" s="2">
        <v>0.622</v>
      </c>
      <c r="AY166" s="2">
        <v>0.23700116534278201</v>
      </c>
      <c r="AZ166" s="2">
        <v>0.40082935296658972</v>
      </c>
      <c r="BA166" s="2">
        <v>0.42856604254078789</v>
      </c>
      <c r="BB166" s="2">
        <v>0.76365642490228258</v>
      </c>
      <c r="BC166" s="2" t="e">
        <v>#N/A</v>
      </c>
      <c r="BD166" s="2">
        <v>0.48515473199963655</v>
      </c>
      <c r="BE166" s="2">
        <v>0.70700000000000007</v>
      </c>
    </row>
    <row r="167" spans="1:57">
      <c r="A167" s="1" t="s">
        <v>125</v>
      </c>
      <c r="B167" s="1" t="s">
        <v>354</v>
      </c>
      <c r="C167" s="2">
        <v>0.42046871813700748</v>
      </c>
      <c r="D167" s="2">
        <v>0.71120000000000005</v>
      </c>
      <c r="E167" s="2">
        <v>1</v>
      </c>
      <c r="F167" s="2">
        <v>0.21020698559694048</v>
      </c>
      <c r="G167" s="2">
        <v>0.6894943548970931</v>
      </c>
      <c r="H167" s="11">
        <v>0.60627401172620821</v>
      </c>
      <c r="I167" s="2">
        <v>0.39383996356729734</v>
      </c>
      <c r="J167" s="2">
        <v>0.23249447243107071</v>
      </c>
      <c r="K167" s="2">
        <v>0.92500000000000004</v>
      </c>
      <c r="L167" s="2" t="e">
        <v>#N/A</v>
      </c>
      <c r="M167" s="84">
        <v>0.51711147866612273</v>
      </c>
      <c r="N167" s="46">
        <v>0.49345968390510775</v>
      </c>
      <c r="O167" s="46">
        <v>0.51341964809145813</v>
      </c>
      <c r="P167" s="21">
        <v>2210</v>
      </c>
      <c r="Q167" s="22">
        <v>7.7</v>
      </c>
      <c r="R167" s="23">
        <v>0.53</v>
      </c>
      <c r="S167" s="2">
        <v>1</v>
      </c>
      <c r="T167" s="2">
        <v>0.69095999742597347</v>
      </c>
      <c r="U167" s="2">
        <v>0.4527999994903803</v>
      </c>
      <c r="V167" s="2">
        <v>0.375</v>
      </c>
      <c r="W167" s="2">
        <v>0.17</v>
      </c>
      <c r="X167" s="2">
        <v>0.67359999969601625</v>
      </c>
      <c r="Y167" s="2">
        <v>0.94450000000000001</v>
      </c>
      <c r="Z167" s="2">
        <v>0.56236799987554553</v>
      </c>
      <c r="AA167" s="2">
        <v>0.98148871620895217</v>
      </c>
      <c r="AB167" s="2">
        <v>0.06</v>
      </c>
      <c r="AC167" s="2">
        <v>0.24379999969154598</v>
      </c>
      <c r="AD167" s="2">
        <v>1</v>
      </c>
      <c r="AE167" s="2">
        <v>0.78249999999999997</v>
      </c>
      <c r="AF167" s="2">
        <v>0.94399999999999995</v>
      </c>
      <c r="AG167" s="2">
        <v>0.58356120871633466</v>
      </c>
      <c r="AH167" s="2">
        <v>0.53023909999999996</v>
      </c>
      <c r="AI167" s="2">
        <v>3.1826035535756754E-2</v>
      </c>
      <c r="AJ167" s="2">
        <v>0.81290215508116237</v>
      </c>
      <c r="AK167" s="2">
        <v>1.3117162498819748E-3</v>
      </c>
      <c r="AL167" s="2">
        <v>5.5283365736773201E-3</v>
      </c>
      <c r="AM167" s="2">
        <v>0.68599999999999994</v>
      </c>
      <c r="AN167" s="2">
        <v>0</v>
      </c>
      <c r="AO167" s="2">
        <v>7.575757575757576E-3</v>
      </c>
      <c r="AP167" s="2">
        <v>0.70234000477153724</v>
      </c>
      <c r="AQ167" s="16">
        <v>0.51009587612052154</v>
      </c>
      <c r="AR167" s="2">
        <v>0.44000000245869159</v>
      </c>
      <c r="AS167" s="2">
        <v>0.2400000013411045</v>
      </c>
      <c r="AT167" s="2">
        <v>0.59760000333935026</v>
      </c>
      <c r="AU167" s="2">
        <v>0.72080000402778377</v>
      </c>
      <c r="AV167" s="2">
        <v>0.2400000013411045</v>
      </c>
      <c r="AW167" s="2">
        <v>0.38160000213235618</v>
      </c>
      <c r="AX167" s="2">
        <v>0.2960000016540289</v>
      </c>
      <c r="AY167" s="2">
        <v>0</v>
      </c>
      <c r="AZ167" s="2">
        <v>0.1859858584863982</v>
      </c>
      <c r="BA167" s="2">
        <v>0.25370761823533899</v>
      </c>
      <c r="BB167" s="2">
        <v>0.39916992015741909</v>
      </c>
      <c r="BC167" s="2">
        <v>6.7760800378642974E-2</v>
      </c>
      <c r="BD167" s="2">
        <v>0.23392584893979951</v>
      </c>
      <c r="BE167" s="2" t="e">
        <v>#N/A</v>
      </c>
    </row>
    <row r="168" spans="1:57">
      <c r="A168" s="1" t="s">
        <v>42</v>
      </c>
      <c r="B168" s="1" t="s">
        <v>355</v>
      </c>
      <c r="C168" s="2" t="e">
        <v>#N/A</v>
      </c>
      <c r="D168" s="2">
        <v>0.41179999999999994</v>
      </c>
      <c r="E168" s="2" t="e">
        <v>#N/A</v>
      </c>
      <c r="F168" s="2">
        <v>9.9779897285399863E-2</v>
      </c>
      <c r="G168" s="2">
        <v>0.69644902597723846</v>
      </c>
      <c r="H168" s="11">
        <v>0.40267630775421276</v>
      </c>
      <c r="I168" s="2">
        <v>0.24649399795436139</v>
      </c>
      <c r="J168" s="2">
        <v>0.80408847466052014</v>
      </c>
      <c r="K168" s="2">
        <v>0.6</v>
      </c>
      <c r="L168" s="2">
        <v>5.5714285714285716E-2</v>
      </c>
      <c r="M168" s="84">
        <v>0.42657418958229176</v>
      </c>
      <c r="N168" s="46">
        <v>0.29158552971087726</v>
      </c>
      <c r="O168" s="46">
        <v>0.32477972758064499</v>
      </c>
      <c r="P168" s="21">
        <v>7459</v>
      </c>
      <c r="Q168" s="22">
        <v>8.92</v>
      </c>
      <c r="R168" s="23">
        <v>0.77</v>
      </c>
      <c r="S168" s="2">
        <v>0.54557938972162734</v>
      </c>
      <c r="T168" s="2">
        <v>5.4920000000000004E-3</v>
      </c>
      <c r="U168" s="2">
        <v>0.10719999916851519</v>
      </c>
      <c r="V168" s="2">
        <v>0.32499999999999996</v>
      </c>
      <c r="W168" s="2">
        <v>2.8666666666666667E-2</v>
      </c>
      <c r="X168" s="2">
        <v>0.19359999924898152</v>
      </c>
      <c r="Y168" s="2">
        <v>0.52233333333333332</v>
      </c>
      <c r="Z168" s="2">
        <v>0.24987399994470177</v>
      </c>
      <c r="AA168" s="2">
        <v>0.5</v>
      </c>
      <c r="AB168" s="2">
        <v>0.28000000000000003</v>
      </c>
      <c r="AC168" s="2">
        <v>0.27559999965131282</v>
      </c>
      <c r="AD168" s="2">
        <v>8.6399999856948864E-2</v>
      </c>
      <c r="AE168" s="2">
        <v>0.3175</v>
      </c>
      <c r="AF168" s="2">
        <v>0.8992</v>
      </c>
      <c r="AG168" s="2">
        <v>0.37478696461945871</v>
      </c>
      <c r="AH168" s="2">
        <v>0.32642486999999998</v>
      </c>
      <c r="AI168" s="2">
        <v>3.2994211898098237E-2</v>
      </c>
      <c r="AJ168" s="2">
        <v>6.4557249064501263E-2</v>
      </c>
      <c r="AK168" s="2">
        <v>5.3078200158802706E-2</v>
      </c>
      <c r="AL168" s="2">
        <v>0.76156668254306104</v>
      </c>
      <c r="AM168" s="2">
        <v>0.21400000000000008</v>
      </c>
      <c r="AN168" s="2">
        <v>0.75</v>
      </c>
      <c r="AO168" s="2">
        <v>0</v>
      </c>
      <c r="AP168" s="2">
        <v>0.77424999917857351</v>
      </c>
      <c r="AQ168" s="16">
        <v>0.32033764854394103</v>
      </c>
      <c r="AR168" s="2">
        <v>0.41</v>
      </c>
      <c r="AS168" s="2">
        <v>0.3</v>
      </c>
      <c r="AT168" s="2">
        <v>0.66900000000000004</v>
      </c>
      <c r="AU168" s="2">
        <v>0.77800000000000002</v>
      </c>
      <c r="AV168" s="2">
        <v>0.15</v>
      </c>
      <c r="AW168" s="2">
        <v>0.67799999999999994</v>
      </c>
      <c r="AX168" s="2">
        <v>0.66400000000000003</v>
      </c>
      <c r="AY168" s="2">
        <v>0.53515303771765566</v>
      </c>
      <c r="AZ168" s="2">
        <v>0.58140836112451222</v>
      </c>
      <c r="BA168" s="2">
        <v>0.43434046400683479</v>
      </c>
      <c r="BB168" s="2">
        <v>1</v>
      </c>
      <c r="BC168" s="2">
        <v>0.17596300000000001</v>
      </c>
      <c r="BD168" s="2">
        <v>0.47501545527296785</v>
      </c>
      <c r="BE168" s="2">
        <v>0.84499999999999997</v>
      </c>
    </row>
    <row r="169" spans="1:57">
      <c r="A169" s="1" t="s">
        <v>171</v>
      </c>
      <c r="B169" s="1" t="s">
        <v>356</v>
      </c>
      <c r="C169" s="2">
        <v>0.51558059983215121</v>
      </c>
      <c r="D169" s="2">
        <v>0.82289999999999996</v>
      </c>
      <c r="E169" s="2">
        <v>0.72757947384950261</v>
      </c>
      <c r="F169" s="2">
        <v>0.17335202440005751</v>
      </c>
      <c r="G169" s="2">
        <v>0.75024545937374887</v>
      </c>
      <c r="H169" s="11">
        <v>0.59793151149109203</v>
      </c>
      <c r="I169" s="2">
        <v>0.36692927352163068</v>
      </c>
      <c r="J169" s="2">
        <v>0.21501706318179242</v>
      </c>
      <c r="K169" s="2">
        <v>0.2</v>
      </c>
      <c r="L169" s="2" t="e">
        <v>#N/A</v>
      </c>
      <c r="M169" s="84">
        <v>0.26064877890114108</v>
      </c>
      <c r="N169" s="46">
        <v>0.43637555590543825</v>
      </c>
      <c r="O169" s="46">
        <v>0.4395535155997134</v>
      </c>
      <c r="P169" s="21">
        <v>4998</v>
      </c>
      <c r="Q169" s="22">
        <v>8.52</v>
      </c>
      <c r="R169" s="23">
        <v>0.56999999999999995</v>
      </c>
      <c r="S169" s="2">
        <v>8.0657869040781163E-2</v>
      </c>
      <c r="T169" s="2">
        <v>0.23100000000000001</v>
      </c>
      <c r="U169" s="2">
        <v>0.33759999938309193</v>
      </c>
      <c r="V169" s="2">
        <v>0.30000000000000004</v>
      </c>
      <c r="W169" s="2">
        <v>0.16800000000000001</v>
      </c>
      <c r="X169" s="2">
        <v>0.47199999950826166</v>
      </c>
      <c r="Y169" s="2">
        <v>0.69216666666666671</v>
      </c>
      <c r="Z169" s="2">
        <v>0.75527799983285382</v>
      </c>
      <c r="AA169" s="2">
        <v>1</v>
      </c>
      <c r="AB169" s="2">
        <v>0.1</v>
      </c>
      <c r="AC169" s="2">
        <v>0.8691999989002942</v>
      </c>
      <c r="AD169" s="2">
        <v>0.22000000000000003</v>
      </c>
      <c r="AE169" s="2">
        <v>0.40749999999999997</v>
      </c>
      <c r="AF169" s="2">
        <v>0.73520000000000008</v>
      </c>
      <c r="AG169" s="2">
        <v>0.82130825284019149</v>
      </c>
      <c r="AH169" s="2">
        <v>1</v>
      </c>
      <c r="AI169" s="2">
        <v>0.12333193049570611</v>
      </c>
      <c r="AJ169" s="2">
        <v>0.34451997888382224</v>
      </c>
      <c r="AK169" s="2">
        <v>0</v>
      </c>
      <c r="AL169" s="2">
        <v>0</v>
      </c>
      <c r="AM169" s="2">
        <v>0.70300000000000007</v>
      </c>
      <c r="AN169" s="2">
        <v>0.7</v>
      </c>
      <c r="AO169" s="2">
        <v>8.7209302325581384E-2</v>
      </c>
      <c r="AP169" s="2">
        <v>0.70010000229999991</v>
      </c>
      <c r="AQ169" s="16">
        <v>0.4520030000073853</v>
      </c>
      <c r="AR169" s="2">
        <v>0.67200000000000004</v>
      </c>
      <c r="AS169" s="2">
        <v>0.4</v>
      </c>
      <c r="AT169" s="2">
        <v>0.63100000000000001</v>
      </c>
      <c r="AU169" s="2">
        <v>0.55500000000000005</v>
      </c>
      <c r="AV169" s="2">
        <v>0.55000000000000004</v>
      </c>
      <c r="AW169" s="2">
        <v>0.68799999999999994</v>
      </c>
      <c r="AX169" s="2">
        <v>0.74900000000000011</v>
      </c>
      <c r="AY169" s="2">
        <v>0.50467641830273202</v>
      </c>
      <c r="AZ169" s="2">
        <v>0.26000782690941382</v>
      </c>
      <c r="BA169" s="2">
        <v>0.44682525202443008</v>
      </c>
      <c r="BB169" s="2">
        <v>0.60897803776990489</v>
      </c>
      <c r="BC169" s="2">
        <v>5.7659948683498156E-2</v>
      </c>
      <c r="BD169" s="2">
        <v>0.37466009238422415</v>
      </c>
      <c r="BE169" s="2">
        <v>0.68400000000000005</v>
      </c>
    </row>
    <row r="170" spans="1:57">
      <c r="A170" s="1" t="s">
        <v>24</v>
      </c>
      <c r="B170" s="1" t="s">
        <v>357</v>
      </c>
      <c r="C170" s="2">
        <v>0</v>
      </c>
      <c r="D170" s="2">
        <v>0.53759999999999997</v>
      </c>
      <c r="E170" s="2">
        <v>6.7712054410601824E-2</v>
      </c>
      <c r="F170" s="2">
        <v>5.906429335924035E-2</v>
      </c>
      <c r="G170" s="2">
        <v>0</v>
      </c>
      <c r="H170" s="11">
        <v>0.13287526955396842</v>
      </c>
      <c r="I170" s="2">
        <v>5.4743231340028092E-2</v>
      </c>
      <c r="J170" s="2">
        <v>8.8291073048676241E-2</v>
      </c>
      <c r="K170" s="2">
        <v>0</v>
      </c>
      <c r="L170" s="2">
        <v>0</v>
      </c>
      <c r="M170" s="84">
        <v>3.5758576097176087E-2</v>
      </c>
      <c r="N170" s="46">
        <v>0.19362180775449547</v>
      </c>
      <c r="O170" s="46">
        <v>0.16528284964443751</v>
      </c>
      <c r="P170" s="21">
        <v>37377</v>
      </c>
      <c r="Q170" s="22">
        <v>10.53</v>
      </c>
      <c r="R170" s="23">
        <v>0.96</v>
      </c>
      <c r="S170" s="2">
        <v>1</v>
      </c>
      <c r="T170" s="2">
        <v>1.653299996640533E-2</v>
      </c>
      <c r="U170" s="2">
        <v>3.9999999105930328E-2</v>
      </c>
      <c r="V170" s="2">
        <v>0.64999999999999991</v>
      </c>
      <c r="W170" s="2">
        <v>0</v>
      </c>
      <c r="X170" s="2">
        <v>3.9999999105930328E-2</v>
      </c>
      <c r="Y170" s="2">
        <v>1.5499999999999995E-2</v>
      </c>
      <c r="Z170" s="2">
        <v>0.15533799996562303</v>
      </c>
      <c r="AA170" s="2">
        <v>0.76312135059666675</v>
      </c>
      <c r="AB170" s="2">
        <v>0.52</v>
      </c>
      <c r="AC170" s="2">
        <v>0.14839999981224539</v>
      </c>
      <c r="AD170" s="2">
        <v>0</v>
      </c>
      <c r="AE170" s="2">
        <v>6.7499999999999991E-2</v>
      </c>
      <c r="AF170" s="2">
        <v>0.25056</v>
      </c>
      <c r="AG170" s="2">
        <v>0.1402463204985861</v>
      </c>
      <c r="AH170" s="2">
        <v>9.7560975999999994E-2</v>
      </c>
      <c r="AI170" s="2">
        <v>0</v>
      </c>
      <c r="AJ170" s="2">
        <v>2.2753996180438791E-3</v>
      </c>
      <c r="AK170" s="2">
        <v>1.8779315698323262E-2</v>
      </c>
      <c r="AL170" s="2">
        <v>7.1766598898714201E-2</v>
      </c>
      <c r="AM170" s="2">
        <v>0</v>
      </c>
      <c r="AN170" s="2">
        <v>0.66</v>
      </c>
      <c r="AO170" s="2">
        <v>0</v>
      </c>
      <c r="AP170" s="2">
        <v>0.77372799978926776</v>
      </c>
      <c r="AQ170" s="16">
        <v>0.22630453996065569</v>
      </c>
      <c r="AR170" s="2">
        <v>0.95499999999999996</v>
      </c>
      <c r="AS170" s="2">
        <v>0.8</v>
      </c>
      <c r="AT170" s="2">
        <v>0.36700000000000005</v>
      </c>
      <c r="AU170" s="2">
        <v>0.17300000000000001</v>
      </c>
      <c r="AV170" s="2">
        <v>0.85</v>
      </c>
      <c r="AW170" s="2">
        <v>0.79500000000000004</v>
      </c>
      <c r="AX170" s="2">
        <v>0.875</v>
      </c>
      <c r="AY170" s="2">
        <v>0.71785948516003972</v>
      </c>
      <c r="AZ170" s="2">
        <v>0.80802204038196024</v>
      </c>
      <c r="BA170" s="2">
        <v>0.94146378501850836</v>
      </c>
      <c r="BB170" s="2">
        <v>1</v>
      </c>
      <c r="BC170" s="2">
        <v>0.97444553233609443</v>
      </c>
      <c r="BD170" s="2">
        <v>0.88157493314474922</v>
      </c>
      <c r="BE170" s="2">
        <v>0.54899999999999993</v>
      </c>
    </row>
    <row r="171" spans="1:57">
      <c r="A171" s="1" t="s">
        <v>47</v>
      </c>
      <c r="B171" s="1" t="s">
        <v>358</v>
      </c>
      <c r="C171" s="2">
        <v>0.55598239791010506</v>
      </c>
      <c r="D171" s="2">
        <v>1.9399999999999973E-2</v>
      </c>
      <c r="E171" s="2">
        <v>3.5479861163656652E-2</v>
      </c>
      <c r="F171" s="2">
        <v>5.6254105604523652E-2</v>
      </c>
      <c r="G171" s="2">
        <v>0</v>
      </c>
      <c r="H171" s="11">
        <v>0.13342327293565709</v>
      </c>
      <c r="I171" s="2">
        <v>3.8990690615085456E-2</v>
      </c>
      <c r="J171" s="2">
        <v>0.14243230299526521</v>
      </c>
      <c r="K171" s="2">
        <v>0</v>
      </c>
      <c r="L171" s="2">
        <v>0</v>
      </c>
      <c r="M171" s="84">
        <v>4.5355748402587666E-2</v>
      </c>
      <c r="N171" s="46">
        <v>0.13858244171683301</v>
      </c>
      <c r="O171" s="46">
        <v>0.12650054422704934</v>
      </c>
      <c r="P171" s="21">
        <v>45224</v>
      </c>
      <c r="Q171" s="22">
        <v>10.72</v>
      </c>
      <c r="R171" s="23">
        <v>0.96</v>
      </c>
      <c r="S171" s="2">
        <v>0.37857357954545451</v>
      </c>
      <c r="T171" s="2">
        <v>4.8860000000000001E-2</v>
      </c>
      <c r="U171" s="2">
        <v>3.9999999105930328E-2</v>
      </c>
      <c r="V171" s="2">
        <v>0.55000000000000004</v>
      </c>
      <c r="W171" s="2">
        <v>0</v>
      </c>
      <c r="X171" s="2">
        <v>3.9999999105930328E-2</v>
      </c>
      <c r="Y171" s="2">
        <v>0.23600000000000002</v>
      </c>
      <c r="Z171" s="2">
        <v>0.26724599994085729</v>
      </c>
      <c r="AA171" s="2">
        <v>0.622814107274</v>
      </c>
      <c r="AB171" s="2">
        <v>0.16</v>
      </c>
      <c r="AC171" s="2">
        <v>0.57239999927580365</v>
      </c>
      <c r="AD171" s="2">
        <v>0</v>
      </c>
      <c r="AE171" s="2">
        <v>6.7499999999999991E-2</v>
      </c>
      <c r="AF171" s="2">
        <v>3.5999999999999921E-2</v>
      </c>
      <c r="AG171" s="2">
        <v>0.12249521804303076</v>
      </c>
      <c r="AH171" s="2">
        <v>9.1891892000000003E-2</v>
      </c>
      <c r="AI171" s="2">
        <v>0</v>
      </c>
      <c r="AJ171" s="2">
        <v>3.4187670370609464E-3</v>
      </c>
      <c r="AK171" s="2">
        <v>0</v>
      </c>
      <c r="AL171" s="2">
        <v>0</v>
      </c>
      <c r="AM171" s="2">
        <v>0</v>
      </c>
      <c r="AN171" s="2">
        <v>0.78</v>
      </c>
      <c r="AO171" s="2">
        <v>0.1125</v>
      </c>
      <c r="AP171" s="2">
        <v>3.9999999105930328E-2</v>
      </c>
      <c r="AQ171" s="16">
        <v>0.17373748168474992</v>
      </c>
      <c r="AR171" s="2">
        <v>0.81200000000000006</v>
      </c>
      <c r="AS171" s="2">
        <v>0.8</v>
      </c>
      <c r="AT171" s="2">
        <v>0.68200000000000005</v>
      </c>
      <c r="AU171" s="2">
        <v>0.68900000000000006</v>
      </c>
      <c r="AV171" s="2">
        <v>0.8</v>
      </c>
      <c r="AW171" s="2">
        <v>0.81299999999999994</v>
      </c>
      <c r="AX171" s="2">
        <v>0.9</v>
      </c>
      <c r="AY171" s="2">
        <v>0.74030236048084674</v>
      </c>
      <c r="AZ171" s="2">
        <v>0.80881904776689029</v>
      </c>
      <c r="BA171" s="2">
        <v>0.89812436139724094</v>
      </c>
      <c r="BB171" s="2">
        <v>1</v>
      </c>
      <c r="BC171" s="2">
        <v>0.67745101777378258</v>
      </c>
      <c r="BD171" s="2">
        <v>0.84663473713814952</v>
      </c>
      <c r="BE171" s="2">
        <v>0.81799999999999995</v>
      </c>
    </row>
    <row r="172" spans="1:57">
      <c r="A172" s="1" t="s">
        <v>101</v>
      </c>
      <c r="B172" s="1" t="s">
        <v>359</v>
      </c>
      <c r="C172" s="2">
        <v>0.51680852482493334</v>
      </c>
      <c r="D172" s="2">
        <v>0.96240000000000003</v>
      </c>
      <c r="E172" s="2">
        <v>0.44344717266321659</v>
      </c>
      <c r="F172" s="2">
        <v>0.50396112689655892</v>
      </c>
      <c r="G172" s="2">
        <v>0.64244804422021118</v>
      </c>
      <c r="H172" s="11">
        <v>0.61381297372098409</v>
      </c>
      <c r="I172" s="2">
        <v>0.14733940110652613</v>
      </c>
      <c r="J172" s="2">
        <v>0.24997483605147042</v>
      </c>
      <c r="K172" s="2">
        <v>2.5000000000000001E-2</v>
      </c>
      <c r="L172" s="2">
        <v>0.32142857142857145</v>
      </c>
      <c r="M172" s="84">
        <v>0.18593570214664201</v>
      </c>
      <c r="N172" s="46">
        <v>0.24844554384309456</v>
      </c>
      <c r="O172" s="46">
        <v>0.29622729483108357</v>
      </c>
      <c r="P172" s="21">
        <v>4730</v>
      </c>
      <c r="Q172" s="22">
        <v>8.4600000000000009</v>
      </c>
      <c r="R172" s="23">
        <v>0.74</v>
      </c>
      <c r="S172" s="2">
        <v>0.86647558139534886</v>
      </c>
      <c r="T172" s="2">
        <v>1</v>
      </c>
      <c r="U172" s="2">
        <v>0.14559999920427802</v>
      </c>
      <c r="V172" s="2">
        <v>0.57499999999999996</v>
      </c>
      <c r="W172" s="2">
        <v>3.5999999999999997E-2</v>
      </c>
      <c r="X172" s="2">
        <v>7.8399999141693155E-2</v>
      </c>
      <c r="Y172" s="2">
        <v>0.54108333333333336</v>
      </c>
      <c r="Z172" s="2">
        <v>0.45894399989843365</v>
      </c>
      <c r="AA172" s="2">
        <v>0.7557820081518124</v>
      </c>
      <c r="AB172" s="2">
        <v>0.14000000000000001</v>
      </c>
      <c r="AC172" s="2">
        <v>0.28619999963790183</v>
      </c>
      <c r="AD172" s="2">
        <v>0.19439999967813493</v>
      </c>
      <c r="AE172" s="2">
        <v>7.4999999999999997E-2</v>
      </c>
      <c r="AF172" s="2">
        <v>0.80559999999999998</v>
      </c>
      <c r="AG172" s="2">
        <v>0.27487391086787061</v>
      </c>
      <c r="AH172" s="2">
        <v>0.15555555600000001</v>
      </c>
      <c r="AI172" s="2">
        <v>1.0254021432430739E-2</v>
      </c>
      <c r="AJ172" s="2">
        <v>4.252679232344047E-2</v>
      </c>
      <c r="AK172" s="2">
        <v>5.3849077602487064E-4</v>
      </c>
      <c r="AL172" s="2">
        <v>6.1777839027265602E-3</v>
      </c>
      <c r="AM172" s="2">
        <v>7.2999999999999954E-2</v>
      </c>
      <c r="AN172" s="2">
        <v>0</v>
      </c>
      <c r="AO172" s="2">
        <v>0</v>
      </c>
      <c r="AP172" s="2">
        <v>0.12611199918612837</v>
      </c>
      <c r="AQ172" s="16">
        <v>0.27698014478873156</v>
      </c>
      <c r="AR172" s="2">
        <v>0.59200000000000008</v>
      </c>
      <c r="AS172" s="2">
        <v>0.2</v>
      </c>
      <c r="AT172" s="2">
        <v>0.87</v>
      </c>
      <c r="AU172" s="2">
        <v>0.80200000000000005</v>
      </c>
      <c r="AV172" s="2">
        <v>0.2</v>
      </c>
      <c r="AW172" s="2">
        <v>0.63300000000000001</v>
      </c>
      <c r="AX172" s="2">
        <v>0.54</v>
      </c>
      <c r="AY172" s="2">
        <v>0.36473254260419841</v>
      </c>
      <c r="AZ172" s="2">
        <v>0.17676060729329618</v>
      </c>
      <c r="BA172" s="2">
        <v>0.31036777218321565</v>
      </c>
      <c r="BB172" s="2">
        <v>0.50571945902621995</v>
      </c>
      <c r="BC172" s="2">
        <v>0.21103642857142857</v>
      </c>
      <c r="BD172" s="2">
        <v>0.4075934541755924</v>
      </c>
      <c r="BE172" s="2">
        <v>0.64700000000000002</v>
      </c>
    </row>
    <row r="173" spans="1:57">
      <c r="A173" s="1" t="s">
        <v>167</v>
      </c>
      <c r="B173" s="1" t="s">
        <v>360</v>
      </c>
      <c r="C173" s="2">
        <v>0.51379885776226331</v>
      </c>
      <c r="D173" s="2">
        <v>0.75649999999999995</v>
      </c>
      <c r="E173" s="2">
        <v>0.72051296485259964</v>
      </c>
      <c r="F173" s="2">
        <v>0.30203036191423915</v>
      </c>
      <c r="G173" s="2">
        <v>0.8244968092896614</v>
      </c>
      <c r="H173" s="11">
        <v>0.62346779876375269</v>
      </c>
      <c r="I173" s="2">
        <v>2.7073528681749615E-2</v>
      </c>
      <c r="J173" s="2">
        <v>0.41699354902522601</v>
      </c>
      <c r="K173" s="2">
        <v>2.5000000000000001E-2</v>
      </c>
      <c r="L173" s="2" t="e">
        <v>#N/A</v>
      </c>
      <c r="M173" s="84">
        <v>0.15635569256899187</v>
      </c>
      <c r="N173" s="46">
        <v>0.34858529567330515</v>
      </c>
      <c r="O173" s="46">
        <v>0.36693360182588042</v>
      </c>
      <c r="P173" s="21">
        <v>1972</v>
      </c>
      <c r="Q173" s="22">
        <v>7.59</v>
      </c>
      <c r="R173" s="23">
        <v>0.69</v>
      </c>
      <c r="S173" s="2">
        <v>0.28319159999999999</v>
      </c>
      <c r="T173" s="2">
        <v>0.89807999665439131</v>
      </c>
      <c r="U173" s="2">
        <v>0.32799999937415125</v>
      </c>
      <c r="V173" s="2">
        <v>0.77499999999999991</v>
      </c>
      <c r="W173" s="2">
        <v>0.36733333333333335</v>
      </c>
      <c r="X173" s="2">
        <v>9.7599999159574513E-2</v>
      </c>
      <c r="Y173" s="2">
        <v>0.2485</v>
      </c>
      <c r="Z173" s="2">
        <v>0.74255199983567</v>
      </c>
      <c r="AA173" s="2">
        <v>0.84979902686693498</v>
      </c>
      <c r="AB173" s="2">
        <v>0.38</v>
      </c>
      <c r="AC173" s="2">
        <v>0.61479999922215933</v>
      </c>
      <c r="AD173" s="2">
        <v>0.56179999928921454</v>
      </c>
      <c r="AE173" s="2">
        <v>7.4999999999999997E-2</v>
      </c>
      <c r="AF173" s="2">
        <v>0.63777600000000001</v>
      </c>
      <c r="AG173" s="2">
        <v>0.41845713051378741</v>
      </c>
      <c r="AH173" s="2">
        <v>0.46356275400000002</v>
      </c>
      <c r="AI173" s="2">
        <v>0.11812528727385835</v>
      </c>
      <c r="AJ173" s="2">
        <v>6.1007372867553034E-2</v>
      </c>
      <c r="AK173" s="2">
        <v>0</v>
      </c>
      <c r="AL173" s="2">
        <v>0</v>
      </c>
      <c r="AM173" s="2">
        <v>0</v>
      </c>
      <c r="AN173" s="2">
        <v>0.99</v>
      </c>
      <c r="AO173" s="2">
        <v>0.12860817376393255</v>
      </c>
      <c r="AP173" s="2">
        <v>0.17300003050000001</v>
      </c>
      <c r="AQ173" s="16">
        <v>0.3838413626106067</v>
      </c>
      <c r="AR173" s="2">
        <v>0.57399999999999995</v>
      </c>
      <c r="AS173" s="2">
        <v>0.4</v>
      </c>
      <c r="AT173" s="2">
        <v>0.88900000000000001</v>
      </c>
      <c r="AU173" s="2">
        <v>0.78</v>
      </c>
      <c r="AV173" s="2">
        <v>0.25</v>
      </c>
      <c r="AW173" s="2">
        <v>0.58399999999999996</v>
      </c>
      <c r="AX173" s="2">
        <v>0.82499999999999996</v>
      </c>
      <c r="AY173" s="2">
        <v>0.30163261337661695</v>
      </c>
      <c r="AZ173" s="2">
        <v>0.23764635307041929</v>
      </c>
      <c r="BA173" s="2">
        <v>0.28084553865289491</v>
      </c>
      <c r="BB173" s="2">
        <v>0.77529158676540311</v>
      </c>
      <c r="BC173" s="2">
        <v>0.27936923149164605</v>
      </c>
      <c r="BD173" s="2">
        <v>0.25914496093437583</v>
      </c>
      <c r="BE173" s="2">
        <v>0.54400000000000004</v>
      </c>
    </row>
    <row r="174" spans="1:57">
      <c r="A174" s="1" t="s">
        <v>170</v>
      </c>
      <c r="B174" s="1" t="s">
        <v>361</v>
      </c>
      <c r="C174" s="2">
        <v>0.50898871881517416</v>
      </c>
      <c r="D174" s="2">
        <v>1.8000000000000238E-3</v>
      </c>
      <c r="E174" s="2" t="e">
        <v>#N/A</v>
      </c>
      <c r="F174" s="2">
        <v>0.75784719513065057</v>
      </c>
      <c r="G174" s="2">
        <v>1</v>
      </c>
      <c r="H174" s="11">
        <v>0.56715897848645613</v>
      </c>
      <c r="I174" s="2">
        <v>0.28201307665599357</v>
      </c>
      <c r="J174" s="2">
        <v>0.26130262477542548</v>
      </c>
      <c r="K174" s="2">
        <v>0.27500000000000002</v>
      </c>
      <c r="L174" s="2">
        <v>0.90714285714285714</v>
      </c>
      <c r="M174" s="84">
        <v>0.43136463964356908</v>
      </c>
      <c r="N174" s="46">
        <v>0.50076979094621688</v>
      </c>
      <c r="O174" s="46">
        <v>0.50241601314290185</v>
      </c>
      <c r="P174" s="21">
        <v>1362</v>
      </c>
      <c r="Q174" s="22">
        <v>7.22</v>
      </c>
      <c r="R174" s="23">
        <v>0.53</v>
      </c>
      <c r="S174" s="2">
        <v>0.33765399373531713</v>
      </c>
      <c r="T174" s="2">
        <v>5.3849999999999995E-2</v>
      </c>
      <c r="U174" s="2">
        <v>0.48159999951720234</v>
      </c>
      <c r="V174" s="2">
        <v>0.27500000000000002</v>
      </c>
      <c r="W174" s="2">
        <v>0.21466666666666667</v>
      </c>
      <c r="X174" s="2">
        <v>0.76959999978542326</v>
      </c>
      <c r="Y174" s="2">
        <v>0.50224999999999997</v>
      </c>
      <c r="Z174" s="2">
        <v>0.74780399983450774</v>
      </c>
      <c r="AA174" s="2">
        <v>0.99008854166666671</v>
      </c>
      <c r="AB174" s="2">
        <v>0.24</v>
      </c>
      <c r="AC174" s="2">
        <v>0.15899999979883431</v>
      </c>
      <c r="AD174" s="2">
        <v>0.41439999900758268</v>
      </c>
      <c r="AE174" s="2">
        <v>0.40749999999999997</v>
      </c>
      <c r="AF174" s="2">
        <v>0.98975999999999997</v>
      </c>
      <c r="AG174" s="2">
        <v>0.63158134534642252</v>
      </c>
      <c r="AH174" s="2">
        <v>0.94960534399999996</v>
      </c>
      <c r="AI174" s="2">
        <v>0.57034110642278102</v>
      </c>
      <c r="AJ174" s="2">
        <v>1</v>
      </c>
      <c r="AK174" s="2">
        <v>3.4233914853065762E-3</v>
      </c>
      <c r="AL174" s="2">
        <v>2.2521697348586101E-2</v>
      </c>
      <c r="AM174" s="2">
        <v>0.88500000000000001</v>
      </c>
      <c r="AN174" s="2">
        <v>0.63</v>
      </c>
      <c r="AO174" s="2">
        <v>2.2013998645292392E-2</v>
      </c>
      <c r="AP174" s="2">
        <v>0.92915199993401765</v>
      </c>
      <c r="AQ174" s="16">
        <v>0.50945050346644194</v>
      </c>
      <c r="AR174" s="2">
        <v>0.45500000000000002</v>
      </c>
      <c r="AS174" s="2">
        <v>0.5</v>
      </c>
      <c r="AT174" s="2">
        <v>0.80299999999999994</v>
      </c>
      <c r="AU174" s="2">
        <v>0.82599999999999996</v>
      </c>
      <c r="AV174" s="2">
        <v>0.65</v>
      </c>
      <c r="AW174" s="2">
        <v>0.70799999999999996</v>
      </c>
      <c r="AX174" s="2">
        <v>0.70499999999999996</v>
      </c>
      <c r="AY174" s="2">
        <v>0.51641733450866789</v>
      </c>
      <c r="AZ174" s="2">
        <v>0.47209683833776683</v>
      </c>
      <c r="BA174" s="2">
        <v>0.41714814318243193</v>
      </c>
      <c r="BB174" s="2">
        <v>0.43934274212621999</v>
      </c>
      <c r="BC174" s="2">
        <v>1.8612642903367855E-2</v>
      </c>
      <c r="BD174" s="2">
        <v>0.41312728127243331</v>
      </c>
      <c r="BE174" s="2">
        <v>0.58399999999999996</v>
      </c>
    </row>
    <row r="175" spans="1:57">
      <c r="A175" s="1" t="s">
        <v>149</v>
      </c>
      <c r="B175" s="1" t="s">
        <v>362</v>
      </c>
      <c r="C175" s="2">
        <v>0.53456752960809706</v>
      </c>
      <c r="D175" s="2">
        <v>0.22349999999999992</v>
      </c>
      <c r="E175" s="2">
        <v>0.52753685128909966</v>
      </c>
      <c r="F175" s="2">
        <v>0.63131313131313138</v>
      </c>
      <c r="G175" s="2">
        <v>0.50724104146712623</v>
      </c>
      <c r="H175" s="11">
        <v>0.48483171073549086</v>
      </c>
      <c r="I175" s="2">
        <v>0.83223811094794531</v>
      </c>
      <c r="J175" s="2">
        <v>0.28121629437210732</v>
      </c>
      <c r="K175" s="2">
        <v>0</v>
      </c>
      <c r="L175" s="2">
        <v>0.38571428571428573</v>
      </c>
      <c r="M175" s="84">
        <v>0.37479217275858456</v>
      </c>
      <c r="N175" s="46">
        <v>0.22512041268026409</v>
      </c>
      <c r="O175" s="46">
        <v>0.28261264087994337</v>
      </c>
      <c r="P175" s="21">
        <v>7995</v>
      </c>
      <c r="Q175" s="22">
        <v>8.99</v>
      </c>
      <c r="R175" s="23">
        <v>0.78</v>
      </c>
      <c r="S175" s="2">
        <v>0.38206340579710146</v>
      </c>
      <c r="T175" s="2">
        <v>0.13070000000000001</v>
      </c>
      <c r="U175" s="2">
        <v>5.9199999123811686E-2</v>
      </c>
      <c r="V175" s="2">
        <v>0.22499999999999998</v>
      </c>
      <c r="W175" s="2">
        <v>3.9333333333333331E-2</v>
      </c>
      <c r="X175" s="2">
        <v>7.8399999141693155E-2</v>
      </c>
      <c r="Y175" s="2">
        <v>0.5299166666666667</v>
      </c>
      <c r="Z175" s="2">
        <v>0.67003399985171852</v>
      </c>
      <c r="AA175" s="2">
        <v>0.78186491228066668</v>
      </c>
      <c r="AB175" s="2">
        <v>0.5</v>
      </c>
      <c r="AC175" s="2">
        <v>0.12719999983906746</v>
      </c>
      <c r="AD175" s="2">
        <v>4.3999999910593036E-2</v>
      </c>
      <c r="AE175" s="2">
        <v>7.4999999999999997E-2</v>
      </c>
      <c r="AF175" s="2">
        <v>0.91535999999999995</v>
      </c>
      <c r="AG175" s="2">
        <v>0.37788565730527068</v>
      </c>
      <c r="AH175" s="2">
        <v>0.32762312599999999</v>
      </c>
      <c r="AI175" s="2">
        <v>5.4177736117010222E-3</v>
      </c>
      <c r="AJ175" s="2">
        <v>2.1894574241177623E-2</v>
      </c>
      <c r="AK175" s="2">
        <v>6.9209849247744093E-2</v>
      </c>
      <c r="AL175" s="2">
        <v>0.26319040322522902</v>
      </c>
      <c r="AM175" s="2">
        <v>7.0000000000000062E-3</v>
      </c>
      <c r="AN175" s="2">
        <v>0.43</v>
      </c>
      <c r="AO175" s="2">
        <v>8.8081583119653931E-2</v>
      </c>
      <c r="AP175" s="2">
        <v>0.2119999955967069</v>
      </c>
      <c r="AQ175" s="16">
        <v>0.26501563659550559</v>
      </c>
      <c r="AR175" s="2">
        <v>0.70700000000000007</v>
      </c>
      <c r="AS175" s="2">
        <v>0.7</v>
      </c>
      <c r="AT175" s="2">
        <v>0.747</v>
      </c>
      <c r="AU175" s="2">
        <v>0.89800000000000002</v>
      </c>
      <c r="AV175" s="2">
        <v>0.4</v>
      </c>
      <c r="AW175" s="2">
        <v>0.66400000000000003</v>
      </c>
      <c r="AX175" s="2">
        <v>0.75900000000000001</v>
      </c>
      <c r="AY175" s="2">
        <v>0.28117429668784027</v>
      </c>
      <c r="AZ175" s="2">
        <v>0.4201411808586869</v>
      </c>
      <c r="BA175" s="2">
        <v>0.45412392369784149</v>
      </c>
      <c r="BB175" s="2">
        <v>1</v>
      </c>
      <c r="BC175" s="2">
        <v>0.63082418157099585</v>
      </c>
      <c r="BD175" s="2">
        <v>0.4735314053385265</v>
      </c>
      <c r="BE175" s="2">
        <v>0.73599999999999999</v>
      </c>
    </row>
    <row r="176" spans="1:57">
      <c r="A176" s="1" t="s">
        <v>164</v>
      </c>
      <c r="B176" s="1" t="s">
        <v>363</v>
      </c>
      <c r="C176" s="2">
        <v>0.45656202769762955</v>
      </c>
      <c r="D176" s="2">
        <v>0.65179999999999993</v>
      </c>
      <c r="E176" s="2" t="e">
        <v>#N/A</v>
      </c>
      <c r="F176" s="2" t="e">
        <v>#N/A</v>
      </c>
      <c r="G176" s="2">
        <v>1</v>
      </c>
      <c r="H176" s="11">
        <v>0.70278734256587649</v>
      </c>
      <c r="I176" s="2" t="e">
        <v>#N/A</v>
      </c>
      <c r="J176" s="2" t="e">
        <v>#N/A</v>
      </c>
      <c r="K176" s="2" t="e">
        <v>#N/A</v>
      </c>
      <c r="L176" s="2" t="e">
        <v>#N/A</v>
      </c>
      <c r="M176" s="84" t="e">
        <v>#N/A</v>
      </c>
      <c r="N176" s="46">
        <v>0.48109525694356803</v>
      </c>
      <c r="O176" s="46" t="e">
        <v>#N/A</v>
      </c>
      <c r="P176" s="21">
        <v>805</v>
      </c>
      <c r="Q176" s="22">
        <v>6.69</v>
      </c>
      <c r="R176" s="23">
        <v>0.49</v>
      </c>
      <c r="S176" s="2">
        <v>0.5</v>
      </c>
      <c r="T176" s="2">
        <v>0.5</v>
      </c>
      <c r="U176" s="2">
        <v>0.31000000000000005</v>
      </c>
      <c r="V176" s="2">
        <v>0.17500000000000004</v>
      </c>
      <c r="W176" s="2">
        <v>9.9333333333333329E-2</v>
      </c>
      <c r="X176" s="2">
        <v>0.5</v>
      </c>
      <c r="Y176" s="2">
        <v>0.5299166666666667</v>
      </c>
      <c r="Z176" s="2">
        <v>0.73022999983839698</v>
      </c>
      <c r="AA176" s="2">
        <v>1</v>
      </c>
      <c r="AB176" s="2">
        <v>0.04</v>
      </c>
      <c r="AC176" s="2">
        <v>0.34979999955743551</v>
      </c>
      <c r="AD176" s="2">
        <v>1</v>
      </c>
      <c r="AE176" s="2">
        <v>0.44999999999999996</v>
      </c>
      <c r="AF176" s="2">
        <v>0.90439999999999998</v>
      </c>
      <c r="AG176" s="2">
        <v>0.37788565730527068</v>
      </c>
      <c r="AH176" s="2">
        <v>0.84170616200000004</v>
      </c>
      <c r="AI176" s="2">
        <v>0</v>
      </c>
      <c r="AJ176" s="2">
        <v>0.58719559523519838</v>
      </c>
      <c r="AK176" s="2">
        <v>0.75</v>
      </c>
      <c r="AL176" s="2">
        <v>3.4949750731594703E-2</v>
      </c>
      <c r="AM176" s="2">
        <v>0.78</v>
      </c>
      <c r="AN176" s="2">
        <v>0.5</v>
      </c>
      <c r="AO176" s="2">
        <v>8.8081583119653931E-2</v>
      </c>
      <c r="AP176" s="2">
        <v>0.5</v>
      </c>
      <c r="AQ176" s="16">
        <v>0.48118744782448131</v>
      </c>
      <c r="AR176" s="2">
        <v>0.46200000000000002</v>
      </c>
      <c r="AS176" s="2">
        <v>0.2</v>
      </c>
      <c r="AT176" s="2">
        <v>0.64700000000000002</v>
      </c>
      <c r="AU176" s="2">
        <v>0.54100000000000004</v>
      </c>
      <c r="AV176" s="2">
        <v>0.2</v>
      </c>
      <c r="AW176" s="2">
        <v>0.72499999999999998</v>
      </c>
      <c r="AX176" s="2">
        <v>0.73</v>
      </c>
      <c r="AY176" s="2">
        <v>0.40431720445399605</v>
      </c>
      <c r="AZ176" s="2">
        <v>0.51750519303001563</v>
      </c>
      <c r="BA176" s="2">
        <v>0.30483264736815308</v>
      </c>
      <c r="BB176" s="2" t="e">
        <v>#N/A</v>
      </c>
      <c r="BC176" s="2" t="e">
        <v>#N/A</v>
      </c>
      <c r="BD176" s="2">
        <v>0.25298278043372358</v>
      </c>
      <c r="BE176" s="2">
        <v>0.65599999999999992</v>
      </c>
    </row>
    <row r="177" spans="1:57">
      <c r="A177" s="1" t="s">
        <v>127</v>
      </c>
      <c r="B177" s="1" t="s">
        <v>364</v>
      </c>
      <c r="C177" s="2">
        <v>0.52301812192809372</v>
      </c>
      <c r="D177" s="2">
        <v>0.33650000000000002</v>
      </c>
      <c r="E177" s="2">
        <v>0.46422731438565373</v>
      </c>
      <c r="F177" s="2">
        <v>0.12860278591306715</v>
      </c>
      <c r="G177" s="2">
        <v>1</v>
      </c>
      <c r="H177" s="11">
        <v>0.4904696444453629</v>
      </c>
      <c r="I177" s="2">
        <v>0.38505790548853436</v>
      </c>
      <c r="J177" s="2">
        <v>0.76746123098452479</v>
      </c>
      <c r="K177" s="2">
        <v>0.52500000000000002</v>
      </c>
      <c r="L177" s="2">
        <v>0.88714285714285712</v>
      </c>
      <c r="M177" s="84">
        <v>0.64116549840397907</v>
      </c>
      <c r="N177" s="46">
        <v>0.5090392101147706</v>
      </c>
      <c r="O177" s="46">
        <v>0.52224094723021897</v>
      </c>
      <c r="P177" s="21">
        <v>850</v>
      </c>
      <c r="Q177" s="22">
        <v>6.75</v>
      </c>
      <c r="R177" s="23">
        <v>0.5</v>
      </c>
      <c r="S177" s="2">
        <v>0.97807481159420295</v>
      </c>
      <c r="T177" s="2">
        <v>1.15E-2</v>
      </c>
      <c r="U177" s="2">
        <v>0.42399999946355815</v>
      </c>
      <c r="V177" s="2">
        <v>0.30000000000000004</v>
      </c>
      <c r="W177" s="2">
        <v>0.27933333333333332</v>
      </c>
      <c r="X177" s="2">
        <v>0.88479999989271163</v>
      </c>
      <c r="Y177" s="2">
        <v>0.62008333333333332</v>
      </c>
      <c r="Z177" s="2">
        <v>0.57872999987192453</v>
      </c>
      <c r="AA177" s="2">
        <v>0.99190582655833337</v>
      </c>
      <c r="AB177" s="2">
        <v>1</v>
      </c>
      <c r="AC177" s="2">
        <v>0.18019999977201226</v>
      </c>
      <c r="AD177" s="2">
        <v>0.33279999971389773</v>
      </c>
      <c r="AE177" s="2">
        <v>0.20749999999999999</v>
      </c>
      <c r="AF177" s="2">
        <v>0.98495999999999995</v>
      </c>
      <c r="AG177" s="2">
        <v>0.49985670132130466</v>
      </c>
      <c r="AH177" s="2">
        <v>0.89816124399999997</v>
      </c>
      <c r="AI177" s="2">
        <v>0.17585188180208319</v>
      </c>
      <c r="AJ177" s="2">
        <v>0.39024534554451296</v>
      </c>
      <c r="AK177" s="2">
        <v>9.1709478619887708E-3</v>
      </c>
      <c r="AL177" s="2">
        <v>0.11909779706789</v>
      </c>
      <c r="AM177" s="2">
        <v>0.8</v>
      </c>
      <c r="AN177" s="2">
        <v>0.78</v>
      </c>
      <c r="AO177" s="2">
        <v>0.11031439602868176</v>
      </c>
      <c r="AP177" s="2">
        <v>0.80259999971836804</v>
      </c>
      <c r="AQ177" s="16">
        <v>0.51496606736992245</v>
      </c>
      <c r="AR177" s="2">
        <v>0.36799999999999999</v>
      </c>
      <c r="AS177" s="2">
        <v>0.3</v>
      </c>
      <c r="AT177" s="2">
        <v>0.56200000000000006</v>
      </c>
      <c r="AU177" s="2">
        <v>0.86</v>
      </c>
      <c r="AV177" s="2">
        <v>0.25</v>
      </c>
      <c r="AW177" s="2">
        <v>0.745</v>
      </c>
      <c r="AX177" s="2">
        <v>0.628</v>
      </c>
      <c r="AY177" s="2">
        <v>0.4577518873795528</v>
      </c>
      <c r="AZ177" s="2">
        <v>0.29478296996356046</v>
      </c>
      <c r="BA177" s="2">
        <v>0.28620153625930378</v>
      </c>
      <c r="BB177" s="2">
        <v>0.36353045578329329</v>
      </c>
      <c r="BC177" s="2">
        <v>7.1095422958575183E-2</v>
      </c>
      <c r="BD177" s="2">
        <v>0.3227597282598923</v>
      </c>
      <c r="BE177" s="2">
        <v>0.433</v>
      </c>
    </row>
    <row r="178" spans="1:57">
      <c r="A178" s="1" t="s">
        <v>169</v>
      </c>
      <c r="B178" s="1" t="s">
        <v>365</v>
      </c>
      <c r="C178" s="2" t="e">
        <v>#N/A</v>
      </c>
      <c r="D178" s="2">
        <v>8.0600000000000005E-2</v>
      </c>
      <c r="E178" s="2">
        <v>1</v>
      </c>
      <c r="F178" s="2">
        <v>0.52434255915541994</v>
      </c>
      <c r="G178" s="2">
        <v>0.67599410945783645</v>
      </c>
      <c r="H178" s="11">
        <v>0.5702341671533141</v>
      </c>
      <c r="I178" s="2">
        <v>0.99454283433372015</v>
      </c>
      <c r="J178" s="2">
        <v>1</v>
      </c>
      <c r="K178" s="2">
        <v>0.05</v>
      </c>
      <c r="L178" s="2" t="e">
        <v>#N/A</v>
      </c>
      <c r="M178" s="84">
        <v>0.6815142781112401</v>
      </c>
      <c r="N178" s="46">
        <v>0.34644203478426333</v>
      </c>
      <c r="O178" s="46">
        <v>0.42096475100102576</v>
      </c>
      <c r="P178" s="21">
        <v>4466</v>
      </c>
      <c r="Q178" s="22">
        <v>8.4</v>
      </c>
      <c r="R178" s="23">
        <v>0.77</v>
      </c>
      <c r="S178" s="2">
        <v>0.14074945606694558</v>
      </c>
      <c r="T178" s="2">
        <v>0.5</v>
      </c>
      <c r="U178" s="2">
        <v>3.9999999105930328E-2</v>
      </c>
      <c r="V178" s="2">
        <v>4.9999999999999989E-2</v>
      </c>
      <c r="W178" s="2">
        <v>3.6666666666666667E-2</v>
      </c>
      <c r="X178" s="2">
        <v>7.8399999141693155E-2</v>
      </c>
      <c r="Y178" s="2">
        <v>0.44466666666666665</v>
      </c>
      <c r="Z178" s="2">
        <v>0.75709599983245124</v>
      </c>
      <c r="AA178" s="2">
        <v>0.8876666666666666</v>
      </c>
      <c r="AB178" s="2">
        <v>0.16</v>
      </c>
      <c r="AC178" s="2">
        <v>1</v>
      </c>
      <c r="AD178" s="2">
        <v>0.3</v>
      </c>
      <c r="AE178" s="2">
        <v>0.76749999999999996</v>
      </c>
      <c r="AF178" s="2">
        <v>0.85950400000000005</v>
      </c>
      <c r="AG178" s="2">
        <v>0.31997143286109064</v>
      </c>
      <c r="AH178" s="2">
        <v>0.39678899000000001</v>
      </c>
      <c r="AI178" s="2">
        <v>4.2243346001251361E-2</v>
      </c>
      <c r="AJ178" s="2">
        <v>0.5</v>
      </c>
      <c r="AK178" s="2">
        <v>0.40180280121320683</v>
      </c>
      <c r="AL178" s="2">
        <v>0.42953491524639298</v>
      </c>
      <c r="AM178" s="2">
        <v>7.7000000000000068E-2</v>
      </c>
      <c r="AN178" s="2">
        <v>0</v>
      </c>
      <c r="AO178" s="2">
        <v>0</v>
      </c>
      <c r="AP178" s="2">
        <v>0.77859999891370535</v>
      </c>
      <c r="AQ178" s="16">
        <v>0.37367462243261124</v>
      </c>
      <c r="AR178" s="2">
        <v>0.78200000000000003</v>
      </c>
      <c r="AS178" s="2">
        <v>0.2</v>
      </c>
      <c r="AT178" s="2">
        <v>0.82799999999999996</v>
      </c>
      <c r="AU178" s="2">
        <v>0.70799999999999996</v>
      </c>
      <c r="AV178" s="2">
        <v>0.25</v>
      </c>
      <c r="AW178" s="2">
        <v>0.63500000000000001</v>
      </c>
      <c r="AX178" s="2">
        <v>0.56200000000000006</v>
      </c>
      <c r="AY178" s="2">
        <v>0.53978976129933487</v>
      </c>
      <c r="AZ178" s="2">
        <v>0.48931439398326215</v>
      </c>
      <c r="BA178" s="2">
        <v>0.36085052000733114</v>
      </c>
      <c r="BB178" s="2">
        <v>0.56075485503248756</v>
      </c>
      <c r="BC178" s="2">
        <v>8.0204205958745306E-2</v>
      </c>
      <c r="BD178" s="2">
        <v>0.4944489184475519</v>
      </c>
      <c r="BE178" s="2">
        <v>0.93700000000000006</v>
      </c>
    </row>
    <row r="179" spans="1:57">
      <c r="A179" s="1" t="s">
        <v>189</v>
      </c>
      <c r="B179" s="1" t="s">
        <v>366</v>
      </c>
      <c r="C179" s="2" t="e">
        <v>#N/A</v>
      </c>
      <c r="D179" s="2">
        <v>1.2900000000000023E-2</v>
      </c>
      <c r="E179" s="2">
        <v>1.8949570862084198E-2</v>
      </c>
      <c r="F179" s="2">
        <v>5.0775720916684391E-2</v>
      </c>
      <c r="G179" s="2">
        <v>0.56124202322415351</v>
      </c>
      <c r="H179" s="11">
        <v>0.16096682875073054</v>
      </c>
      <c r="I179" s="2">
        <v>1</v>
      </c>
      <c r="J179" s="2">
        <v>0.30927290687014308</v>
      </c>
      <c r="K179" s="2">
        <v>0</v>
      </c>
      <c r="L179" s="2">
        <v>0.35285714285714287</v>
      </c>
      <c r="M179" s="84">
        <v>0.41553251243182143</v>
      </c>
      <c r="N179" s="46">
        <v>0.3003347732480402</v>
      </c>
      <c r="O179" s="46">
        <v>0.29318178034648196</v>
      </c>
      <c r="P179" s="21">
        <v>25572</v>
      </c>
      <c r="Q179" s="22">
        <v>10.15</v>
      </c>
      <c r="R179" s="23">
        <v>0.84</v>
      </c>
      <c r="S179" s="2">
        <v>0.71039423489069853</v>
      </c>
      <c r="T179" s="2">
        <v>7.237199973039328E-2</v>
      </c>
      <c r="U179" s="2">
        <v>9.7599999159574513E-2</v>
      </c>
      <c r="V179" s="2">
        <v>0.19999999999999996</v>
      </c>
      <c r="W179" s="2">
        <v>3.3333333333333335E-3</v>
      </c>
      <c r="X179" s="2">
        <v>0.11679999917745587</v>
      </c>
      <c r="Y179" s="2">
        <v>0.71158333333333335</v>
      </c>
      <c r="Z179" s="2">
        <v>0.87304399980679148</v>
      </c>
      <c r="AA179" s="2">
        <v>0.37272727272727302</v>
      </c>
      <c r="AB179" s="2">
        <v>0.5</v>
      </c>
      <c r="AC179" s="2">
        <v>1</v>
      </c>
      <c r="AD179" s="2">
        <v>0.05</v>
      </c>
      <c r="AE179" s="2">
        <v>0.3175</v>
      </c>
      <c r="AF179" s="2">
        <v>0.76360000000000006</v>
      </c>
      <c r="AG179" s="2">
        <v>0.36868604754060552</v>
      </c>
      <c r="AH179" s="2">
        <v>0.24528301799999999</v>
      </c>
      <c r="AI179" s="2">
        <v>2.3430208052814794E-3</v>
      </c>
      <c r="AJ179" s="2">
        <v>2.4537025218905953E-2</v>
      </c>
      <c r="AK179" s="2">
        <v>9.2918162989990172E-2</v>
      </c>
      <c r="AL179" s="2">
        <v>0.12578938824183999</v>
      </c>
      <c r="AM179" s="2">
        <v>1.0000000000000009E-2</v>
      </c>
      <c r="AN179" s="2">
        <v>0</v>
      </c>
      <c r="AO179" s="2">
        <v>0.58479532163742687</v>
      </c>
      <c r="AP179" s="2">
        <v>0.58098001049008685</v>
      </c>
      <c r="AQ179" s="16">
        <v>0.32601192362845793</v>
      </c>
      <c r="AR179" s="2">
        <v>0.59</v>
      </c>
      <c r="AS179" s="2">
        <v>0.7</v>
      </c>
      <c r="AT179" s="2">
        <v>0.80799999999999994</v>
      </c>
      <c r="AU179" s="2">
        <v>0.72299999999999998</v>
      </c>
      <c r="AV179" s="2">
        <v>0.6</v>
      </c>
      <c r="AW179" s="2">
        <v>0.69299999999999995</v>
      </c>
      <c r="AX179" s="2">
        <v>0.81700000000000006</v>
      </c>
      <c r="AY179" s="2">
        <v>0.50426371228540312</v>
      </c>
      <c r="AZ179" s="2">
        <v>0.59868000976297298</v>
      </c>
      <c r="BA179" s="2">
        <v>0.48169891509958457</v>
      </c>
      <c r="BB179" s="2">
        <v>1</v>
      </c>
      <c r="BC179" s="2">
        <v>0.14879712894097022</v>
      </c>
      <c r="BD179" s="2">
        <v>0.46275569489901452</v>
      </c>
      <c r="BE179" s="2">
        <v>0.78</v>
      </c>
    </row>
    <row r="180" spans="1:57">
      <c r="A180" s="1" t="s">
        <v>65</v>
      </c>
      <c r="B180" s="1" t="s">
        <v>367</v>
      </c>
      <c r="C180" s="2">
        <v>0.51494730512146036</v>
      </c>
      <c r="D180" s="2">
        <v>0.92589999999999995</v>
      </c>
      <c r="E180" s="2">
        <v>0.19703345498472327</v>
      </c>
      <c r="F180" s="2">
        <v>0.27379242537283777</v>
      </c>
      <c r="G180" s="2">
        <v>0.14989363404785405</v>
      </c>
      <c r="H180" s="11">
        <v>0.41231336390537515</v>
      </c>
      <c r="I180" s="2">
        <v>0.28565790485057696</v>
      </c>
      <c r="J180" s="2">
        <v>1.1428413591479192E-2</v>
      </c>
      <c r="K180" s="2">
        <v>0.8</v>
      </c>
      <c r="L180" s="2" t="e">
        <v>#N/A</v>
      </c>
      <c r="M180" s="84">
        <v>0.36569543948068545</v>
      </c>
      <c r="N180" s="46">
        <v>0.28431020857436645</v>
      </c>
      <c r="O180" s="46">
        <v>0.31356950252225491</v>
      </c>
      <c r="P180" s="21">
        <v>8273</v>
      </c>
      <c r="Q180" s="22">
        <v>9.02</v>
      </c>
      <c r="R180" s="23">
        <v>0.77</v>
      </c>
      <c r="S180" s="2">
        <v>0.74961259484066767</v>
      </c>
      <c r="T180" s="2">
        <v>0.74087999724000697</v>
      </c>
      <c r="U180" s="2">
        <v>9.7599999159574513E-2</v>
      </c>
      <c r="V180" s="2">
        <v>0.47499999999999998</v>
      </c>
      <c r="W180" s="2">
        <v>4.2666666666666665E-2</v>
      </c>
      <c r="X180" s="2">
        <v>0.18399999924004073</v>
      </c>
      <c r="Y180" s="2">
        <v>0.66583333333333339</v>
      </c>
      <c r="Z180" s="2">
        <v>0.33430999992601573</v>
      </c>
      <c r="AA180" s="2">
        <v>0.90635577136285883</v>
      </c>
      <c r="AB180" s="2">
        <v>0.28000000000000003</v>
      </c>
      <c r="AC180" s="2">
        <v>0.75259999904781572</v>
      </c>
      <c r="AD180" s="2">
        <v>2.1599999964237216E-2</v>
      </c>
      <c r="AE180" s="2">
        <v>7.4999999999999997E-2</v>
      </c>
      <c r="AF180" s="2">
        <v>0.77359999999999995</v>
      </c>
      <c r="AG180" s="2">
        <v>0.27339316940307701</v>
      </c>
      <c r="AH180" s="2">
        <v>0.42204724399999999</v>
      </c>
      <c r="AI180" s="2">
        <v>1.2139076998513569E-2</v>
      </c>
      <c r="AJ180" s="2">
        <v>3.0218688994021525E-2</v>
      </c>
      <c r="AK180" s="2">
        <v>3.3031196831601516E-2</v>
      </c>
      <c r="AL180" s="2">
        <v>0.147664530976194</v>
      </c>
      <c r="AM180" s="2">
        <v>5.0000000000000044E-3</v>
      </c>
      <c r="AN180" s="2">
        <v>0.18</v>
      </c>
      <c r="AO180" s="2">
        <v>1.9309989701338827E-2</v>
      </c>
      <c r="AP180" s="2">
        <v>0.27827199932783842</v>
      </c>
      <c r="AQ180" s="16">
        <v>0.31250559404224182</v>
      </c>
      <c r="AR180" s="2">
        <v>0.80200000000000005</v>
      </c>
      <c r="AS180" s="2">
        <v>0.3</v>
      </c>
      <c r="AT180" s="2">
        <v>0.74400000000000011</v>
      </c>
      <c r="AU180" s="2">
        <v>0.78500000000000003</v>
      </c>
      <c r="AV180" s="2">
        <v>0.35</v>
      </c>
      <c r="AW180" s="2">
        <v>0.76500000000000001</v>
      </c>
      <c r="AX180" s="2">
        <v>0.53500000000000003</v>
      </c>
      <c r="AY180" s="2">
        <v>0.54503549918383265</v>
      </c>
      <c r="AZ180" s="2">
        <v>0.24879720437488304</v>
      </c>
      <c r="BA180" s="2">
        <v>0.503441566985949</v>
      </c>
      <c r="BB180" s="2">
        <v>1</v>
      </c>
      <c r="BC180" s="2">
        <v>0.46216992043042932</v>
      </c>
      <c r="BD180" s="2">
        <v>0.54328006184778832</v>
      </c>
      <c r="BE180" s="2">
        <v>0.67400000000000004</v>
      </c>
    </row>
    <row r="181" spans="1:57">
      <c r="A181" s="1" t="s">
        <v>57</v>
      </c>
      <c r="B181" s="1" t="s">
        <v>368</v>
      </c>
      <c r="C181" s="2">
        <v>0.50753485936201614</v>
      </c>
      <c r="D181" s="2">
        <v>0.88880000000000003</v>
      </c>
      <c r="E181" s="2">
        <v>0.12452022753930157</v>
      </c>
      <c r="F181" s="2">
        <v>0.2571706968948495</v>
      </c>
      <c r="G181" s="2">
        <v>0.33173785075678752</v>
      </c>
      <c r="H181" s="11">
        <v>0.42195272691059094</v>
      </c>
      <c r="I181" s="2">
        <v>0.26454745641579264</v>
      </c>
      <c r="J181" s="2">
        <v>0.15407176027272099</v>
      </c>
      <c r="K181" s="2">
        <v>0.55000000000000004</v>
      </c>
      <c r="L181" s="2">
        <v>0.18571428571428572</v>
      </c>
      <c r="M181" s="84">
        <v>0.28858337560069985</v>
      </c>
      <c r="N181" s="46">
        <v>0.25843107282487315</v>
      </c>
      <c r="O181" s="46">
        <v>0.286861905598567</v>
      </c>
      <c r="P181" s="21">
        <v>13668</v>
      </c>
      <c r="Q181" s="22">
        <v>9.52</v>
      </c>
      <c r="R181" s="23">
        <v>0.81</v>
      </c>
      <c r="S181" s="2">
        <v>1</v>
      </c>
      <c r="T181" s="2">
        <v>0.20646999958045778</v>
      </c>
      <c r="U181" s="2">
        <v>4.9599999114871007E-2</v>
      </c>
      <c r="V181" s="2">
        <v>0.55000000000000004</v>
      </c>
      <c r="W181" s="2">
        <v>5.6666666666666664E-2</v>
      </c>
      <c r="X181" s="2">
        <v>0.13599999919533734</v>
      </c>
      <c r="Y181" s="2">
        <v>0.39133333333333337</v>
      </c>
      <c r="Z181" s="2">
        <v>0.31168599993102253</v>
      </c>
      <c r="AA181" s="2">
        <v>0.71883087731082163</v>
      </c>
      <c r="AB181" s="2">
        <v>0.38</v>
      </c>
      <c r="AC181" s="2">
        <v>0.1165999998524785</v>
      </c>
      <c r="AD181" s="2">
        <v>3.1199999973177912E-2</v>
      </c>
      <c r="AE181" s="2">
        <v>7.4999999999999997E-2</v>
      </c>
      <c r="AF181" s="2">
        <v>0.80832000000000004</v>
      </c>
      <c r="AG181" s="2">
        <v>0.31968249627545586</v>
      </c>
      <c r="AH181" s="2">
        <v>0.15727003000000001</v>
      </c>
      <c r="AI181" s="2">
        <v>0</v>
      </c>
      <c r="AJ181" s="2">
        <v>1.3843284768099172E-2</v>
      </c>
      <c r="AK181" s="2">
        <v>1.1706164787661334E-2</v>
      </c>
      <c r="AL181" s="2">
        <v>3.6734833849850199E-2</v>
      </c>
      <c r="AM181" s="2">
        <v>0</v>
      </c>
      <c r="AN181" s="2">
        <v>0.75</v>
      </c>
      <c r="AO181" s="2">
        <v>2.5336850174759298E-2</v>
      </c>
      <c r="AP181" s="2">
        <v>0.73479999832808973</v>
      </c>
      <c r="AQ181" s="16">
        <v>0.28671168888092008</v>
      </c>
      <c r="AR181" s="2">
        <v>0.68900000000000006</v>
      </c>
      <c r="AS181" s="2">
        <v>0.5</v>
      </c>
      <c r="AT181" s="2">
        <v>0.78099999999999992</v>
      </c>
      <c r="AU181" s="2">
        <v>0.82900000000000007</v>
      </c>
      <c r="AV181" s="2">
        <v>0.65</v>
      </c>
      <c r="AW181" s="2">
        <v>0.7</v>
      </c>
      <c r="AX181" s="2">
        <v>0.8640000000000001</v>
      </c>
      <c r="AY181" s="2">
        <v>0.32528327762879378</v>
      </c>
      <c r="AZ181" s="2">
        <v>0.4765269404461499</v>
      </c>
      <c r="BA181" s="2">
        <v>0.51843034774881702</v>
      </c>
      <c r="BB181" s="2">
        <v>0.92303493045559515</v>
      </c>
      <c r="BC181" s="2">
        <v>0.52615734906145073</v>
      </c>
      <c r="BD181" s="2">
        <v>0.52413032304716256</v>
      </c>
      <c r="BE181" s="2">
        <v>0.41100000000000003</v>
      </c>
    </row>
    <row r="182" spans="1:57">
      <c r="A182" s="1" t="s">
        <v>114</v>
      </c>
      <c r="B182" s="1" t="s">
        <v>369</v>
      </c>
      <c r="C182" s="2">
        <v>0.34172878492033942</v>
      </c>
      <c r="D182" s="2">
        <v>0.82120000000000004</v>
      </c>
      <c r="E182" s="2" t="e">
        <v>#N/A</v>
      </c>
      <c r="F182" s="2">
        <v>0.33705029490021698</v>
      </c>
      <c r="G182" s="2">
        <v>0.80424644113077615</v>
      </c>
      <c r="H182" s="11">
        <v>0.57605638023783312</v>
      </c>
      <c r="I182" s="2">
        <v>0.35893093467165693</v>
      </c>
      <c r="J182" s="2">
        <v>0.22977073599862108</v>
      </c>
      <c r="K182" s="2">
        <v>0.05</v>
      </c>
      <c r="L182" s="2">
        <v>0</v>
      </c>
      <c r="M182" s="84">
        <v>0.15967541766756951</v>
      </c>
      <c r="N182" s="46">
        <v>0.25679736244970092</v>
      </c>
      <c r="O182" s="46">
        <v>0.2933975839591596</v>
      </c>
      <c r="P182" s="21">
        <v>7242</v>
      </c>
      <c r="Q182" s="22">
        <v>8.89</v>
      </c>
      <c r="R182" s="23">
        <v>0.74</v>
      </c>
      <c r="S182" s="2">
        <v>0.336379268292683</v>
      </c>
      <c r="T182" s="2">
        <v>1</v>
      </c>
      <c r="U182" s="2">
        <v>0.17000000000000004</v>
      </c>
      <c r="V182" s="2">
        <v>0.625</v>
      </c>
      <c r="W182" s="2">
        <v>0.29933333333333334</v>
      </c>
      <c r="X182" s="2">
        <v>5.9199999123811686E-2</v>
      </c>
      <c r="Y182" s="2">
        <v>0.2485</v>
      </c>
      <c r="Z182" s="2">
        <v>0.5144939998861402</v>
      </c>
      <c r="AA182" s="2">
        <v>1</v>
      </c>
      <c r="AB182" s="2">
        <v>0.12</v>
      </c>
      <c r="AC182" s="2">
        <v>6.3599999919533731E-2</v>
      </c>
      <c r="AD182" s="2">
        <v>0.17599999964237215</v>
      </c>
      <c r="AE182" s="2">
        <v>7.4999999999999997E-2</v>
      </c>
      <c r="AF182" s="2">
        <v>0.62416000000000005</v>
      </c>
      <c r="AG182" s="2">
        <v>0.45543258420676036</v>
      </c>
      <c r="AH182" s="2">
        <v>0.26433120999999998</v>
      </c>
      <c r="AI182" s="2">
        <v>6.2991353251059734E-3</v>
      </c>
      <c r="AJ182" s="2">
        <v>5.2029655035271023E-2</v>
      </c>
      <c r="AK182" s="2">
        <v>0</v>
      </c>
      <c r="AL182" s="2">
        <v>0</v>
      </c>
      <c r="AM182" s="2">
        <v>0</v>
      </c>
      <c r="AN182" s="2">
        <v>0</v>
      </c>
      <c r="AO182" s="2">
        <v>3.1919647607090416E-3</v>
      </c>
      <c r="AP182" s="2">
        <v>0.33416002174306958</v>
      </c>
      <c r="AQ182" s="16">
        <v>0.26779629880286626</v>
      </c>
      <c r="AR182" s="2">
        <v>0.3</v>
      </c>
      <c r="AS182" s="2">
        <v>0.1</v>
      </c>
      <c r="AT182" s="2">
        <v>0.90200000000000002</v>
      </c>
      <c r="AU182" s="2">
        <v>0.94700000000000006</v>
      </c>
      <c r="AV182" s="2">
        <v>9.9000000022351736E-2</v>
      </c>
      <c r="AW182" s="2">
        <v>0.628</v>
      </c>
      <c r="AX182" s="2">
        <v>0.79200000000000004</v>
      </c>
      <c r="AY182" s="2">
        <v>0.53586897401464328</v>
      </c>
      <c r="AZ182" s="2">
        <v>9.2466610388722087E-2</v>
      </c>
      <c r="BA182" s="2">
        <v>0.21652667116872007</v>
      </c>
      <c r="BB182" s="2">
        <v>0.32290380155086351</v>
      </c>
      <c r="BC182" s="2" t="e">
        <v>#N/A</v>
      </c>
      <c r="BD182" s="2">
        <v>0.22826261755568461</v>
      </c>
      <c r="BE182" s="2">
        <v>0.3</v>
      </c>
    </row>
    <row r="183" spans="1:57">
      <c r="A183" s="1" t="s">
        <v>113</v>
      </c>
      <c r="B183" s="1" t="s">
        <v>370</v>
      </c>
      <c r="C183" s="2" t="e">
        <v>#N/A</v>
      </c>
      <c r="D183" s="2">
        <v>0.99650000000000005</v>
      </c>
      <c r="E183" s="2" t="e">
        <v>#N/A</v>
      </c>
      <c r="F183" s="2" t="e">
        <v>#N/A</v>
      </c>
      <c r="G183" s="2">
        <v>0.84474717744854655</v>
      </c>
      <c r="H183" s="11" t="e">
        <v>#N/A</v>
      </c>
      <c r="I183" s="2" t="e">
        <v>#N/A</v>
      </c>
      <c r="J183" s="2" t="e">
        <v>#N/A</v>
      </c>
      <c r="K183" s="2">
        <v>0.17499999999999999</v>
      </c>
      <c r="L183" s="2" t="e">
        <v>#N/A</v>
      </c>
      <c r="M183" s="84" t="e">
        <v>#N/A</v>
      </c>
      <c r="N183" s="46">
        <v>0.45030088655824108</v>
      </c>
      <c r="O183" s="46" t="e">
        <v>#N/A</v>
      </c>
      <c r="P183" s="21">
        <v>1600</v>
      </c>
      <c r="Q183" s="22">
        <v>7.38</v>
      </c>
      <c r="R183" s="23" t="s">
        <v>460</v>
      </c>
      <c r="S183" s="2">
        <v>0.67020999717593899</v>
      </c>
      <c r="T183" s="2">
        <v>1</v>
      </c>
      <c r="U183" s="2">
        <v>6.8799999132752365E-2</v>
      </c>
      <c r="V183" s="2">
        <v>7.5000000000000011E-2</v>
      </c>
      <c r="W183" s="2">
        <v>9.8666666666666666E-2</v>
      </c>
      <c r="X183" s="2">
        <v>0.19359999924898152</v>
      </c>
      <c r="Y183" s="2">
        <v>0.44466666666666665</v>
      </c>
      <c r="Z183" s="2">
        <v>0.50560599988810717</v>
      </c>
      <c r="AA183" s="2">
        <v>1</v>
      </c>
      <c r="AB183" s="2">
        <v>0.42</v>
      </c>
      <c r="AC183" s="2">
        <v>1</v>
      </c>
      <c r="AD183" s="2">
        <v>0.3</v>
      </c>
      <c r="AE183" s="2">
        <v>0.76749999999999996</v>
      </c>
      <c r="AF183" s="2">
        <v>0.71631999999999996</v>
      </c>
      <c r="AG183" s="2">
        <v>0.45543258420676036</v>
      </c>
      <c r="AH183" s="2">
        <v>0.398203592</v>
      </c>
      <c r="AI183" s="2">
        <v>0.16149051485326144</v>
      </c>
      <c r="AJ183" s="2">
        <v>5.2029655035271023E-2</v>
      </c>
      <c r="AK183" s="2">
        <v>0.75</v>
      </c>
      <c r="AL183" s="2">
        <v>0.99495920975555097</v>
      </c>
      <c r="AM183" s="2">
        <v>2.0000000000000018E-2</v>
      </c>
      <c r="AN183" s="2">
        <v>0</v>
      </c>
      <c r="AO183" s="2">
        <v>3.1919647607090416E-3</v>
      </c>
      <c r="AP183" s="2">
        <v>0.5</v>
      </c>
      <c r="AQ183" s="16">
        <v>0.44148653539127775</v>
      </c>
      <c r="AR183" s="2" t="e">
        <v>#N/A</v>
      </c>
      <c r="AS183" s="2" t="e">
        <v>#N/A</v>
      </c>
      <c r="AT183" s="2" t="e">
        <v>#N/A</v>
      </c>
      <c r="AU183" s="2" t="e">
        <v>#N/A</v>
      </c>
      <c r="AV183" s="2" t="e">
        <v>#N/A</v>
      </c>
      <c r="AW183" s="2" t="e">
        <v>#N/A</v>
      </c>
      <c r="AX183" s="2" t="e">
        <v>#N/A</v>
      </c>
      <c r="AY183" s="2">
        <v>0.78707871663121698</v>
      </c>
      <c r="AZ183" s="2">
        <v>0.66012875213592914</v>
      </c>
      <c r="BA183" s="2">
        <v>0.46525289759652855</v>
      </c>
      <c r="BB183" s="2">
        <v>0.13834349625940442</v>
      </c>
      <c r="BC183" s="2" t="e">
        <v>#N/A</v>
      </c>
      <c r="BD183" s="2">
        <v>0.7022949095597637</v>
      </c>
      <c r="BE183" s="2" t="e">
        <v>#N/A</v>
      </c>
    </row>
    <row r="184" spans="1:57">
      <c r="A184" s="1" t="s">
        <v>188</v>
      </c>
      <c r="B184" s="1" t="s">
        <v>371</v>
      </c>
      <c r="C184" s="2">
        <v>0.56979127608099178</v>
      </c>
      <c r="D184" s="2">
        <v>0.34239999999999993</v>
      </c>
      <c r="E184" s="2">
        <v>1</v>
      </c>
      <c r="F184" s="2">
        <v>0.31330843259909041</v>
      </c>
      <c r="G184" s="2">
        <v>0.58149239138303876</v>
      </c>
      <c r="H184" s="11">
        <v>0.56139842001262419</v>
      </c>
      <c r="I184" s="2">
        <v>0.18836116227028815</v>
      </c>
      <c r="J184" s="2">
        <v>0.37063874173627037</v>
      </c>
      <c r="K184" s="2">
        <v>0</v>
      </c>
      <c r="L184" s="2">
        <v>0.85857142857142854</v>
      </c>
      <c r="M184" s="84">
        <v>0.35439283314449677</v>
      </c>
      <c r="N184" s="46">
        <v>0.49775610584587726</v>
      </c>
      <c r="O184" s="46">
        <v>0.4900215143315807</v>
      </c>
      <c r="P184" s="21">
        <v>1217</v>
      </c>
      <c r="Q184" s="22">
        <v>7.1</v>
      </c>
      <c r="R184" s="23">
        <v>0.51</v>
      </c>
      <c r="S184" s="2">
        <v>0.86128743789921924</v>
      </c>
      <c r="T184" s="2">
        <v>4.9940000000000002E-3</v>
      </c>
      <c r="U184" s="2">
        <v>0.35679999940097329</v>
      </c>
      <c r="V184" s="2">
        <v>0.27500000000000002</v>
      </c>
      <c r="W184" s="2">
        <v>0.28466666666666668</v>
      </c>
      <c r="X184" s="2">
        <v>0.53919999957084652</v>
      </c>
      <c r="Y184" s="2">
        <v>0.39958333333333335</v>
      </c>
      <c r="Z184" s="2">
        <v>0.87728599980585276</v>
      </c>
      <c r="AA184" s="2">
        <v>0.99440235988199999</v>
      </c>
      <c r="AB184" s="2">
        <v>0.24</v>
      </c>
      <c r="AC184" s="2">
        <v>0.20139999974519016</v>
      </c>
      <c r="AD184" s="2">
        <v>0.49679999917745582</v>
      </c>
      <c r="AE184" s="2">
        <v>0.40749999999999997</v>
      </c>
      <c r="AF184" s="2">
        <v>0.93823999999999996</v>
      </c>
      <c r="AG184" s="2">
        <v>0.68879781369239246</v>
      </c>
      <c r="AH184" s="2">
        <v>0.86307938200000001</v>
      </c>
      <c r="AI184" s="2">
        <v>0.21107024172728919</v>
      </c>
      <c r="AJ184" s="2">
        <v>0.7357523697074867</v>
      </c>
      <c r="AK184" s="2">
        <v>0</v>
      </c>
      <c r="AL184" s="2">
        <v>0</v>
      </c>
      <c r="AM184" s="2">
        <v>0.91</v>
      </c>
      <c r="AN184" s="2">
        <v>1</v>
      </c>
      <c r="AO184" s="2">
        <v>6.8493150684931503E-2</v>
      </c>
      <c r="AP184" s="2">
        <v>0.77</v>
      </c>
      <c r="AQ184" s="16">
        <v>0.50518136472056829</v>
      </c>
      <c r="AR184" s="2">
        <v>0.56999999999999995</v>
      </c>
      <c r="AS184" s="2">
        <v>0.6</v>
      </c>
      <c r="AT184" s="2">
        <v>0.80500000000000005</v>
      </c>
      <c r="AU184" s="2">
        <v>0.85499999999999998</v>
      </c>
      <c r="AV184" s="2">
        <v>0.45</v>
      </c>
      <c r="AW184" s="2">
        <v>0.78099999999999992</v>
      </c>
      <c r="AX184" s="2">
        <v>0.72099999999999997</v>
      </c>
      <c r="AY184" s="2">
        <v>0.28998112225394962</v>
      </c>
      <c r="AZ184" s="2">
        <v>0.40369123284423847</v>
      </c>
      <c r="BA184" s="2">
        <v>0.32752613539968645</v>
      </c>
      <c r="BB184" s="2">
        <v>0.3155655763889727</v>
      </c>
      <c r="BC184" s="2">
        <v>5.7924900013077998E-2</v>
      </c>
      <c r="BD184" s="2">
        <v>0.41440399063351591</v>
      </c>
      <c r="BE184" s="2">
        <v>0.88099999999999989</v>
      </c>
    </row>
    <row r="185" spans="1:57">
      <c r="A185" s="1" t="s">
        <v>60</v>
      </c>
      <c r="B185" s="1" t="s">
        <v>372</v>
      </c>
      <c r="C185" s="2">
        <v>0.42844527292219081</v>
      </c>
      <c r="D185" s="2">
        <v>0.79649999999999999</v>
      </c>
      <c r="E185" s="2">
        <v>0.46691267890720406</v>
      </c>
      <c r="F185" s="2">
        <v>0.30349790866404769</v>
      </c>
      <c r="G185" s="2">
        <v>0.18323515092496245</v>
      </c>
      <c r="H185" s="11">
        <v>0.43571820228368097</v>
      </c>
      <c r="I185" s="2">
        <v>0</v>
      </c>
      <c r="J185" s="2">
        <v>0</v>
      </c>
      <c r="K185" s="2">
        <v>0.17499999999999999</v>
      </c>
      <c r="L185" s="2">
        <v>0</v>
      </c>
      <c r="M185" s="84">
        <v>4.3749999999999997E-2</v>
      </c>
      <c r="N185" s="46">
        <v>0.2418877512903522</v>
      </c>
      <c r="O185" s="46">
        <v>0.24723930431475327</v>
      </c>
      <c r="P185" s="21">
        <v>6318</v>
      </c>
      <c r="Q185" s="22">
        <v>8.75</v>
      </c>
      <c r="R185" s="23">
        <v>0.8</v>
      </c>
      <c r="S185" s="2">
        <v>0.12170258620689652</v>
      </c>
      <c r="T185" s="2">
        <v>0.27560000000000001</v>
      </c>
      <c r="U185" s="2">
        <v>5.9199999123811686E-2</v>
      </c>
      <c r="V185" s="2">
        <v>0.72500000000000009</v>
      </c>
      <c r="W185" s="2">
        <v>2E-3</v>
      </c>
      <c r="X185" s="2">
        <v>8.7999999150633834E-2</v>
      </c>
      <c r="Y185" s="2">
        <v>0.23874999999999999</v>
      </c>
      <c r="Z185" s="2">
        <v>0.32279599992856384</v>
      </c>
      <c r="AA185" s="2">
        <v>0.89273005271482098</v>
      </c>
      <c r="AB185" s="2">
        <v>1</v>
      </c>
      <c r="AC185" s="2">
        <v>3.1799999959766866E-2</v>
      </c>
      <c r="AD185" s="2">
        <v>2.3199999928474428E-2</v>
      </c>
      <c r="AE185" s="2">
        <v>0.87499999999999989</v>
      </c>
      <c r="AF185" s="2">
        <v>0.411968</v>
      </c>
      <c r="AG185" s="2">
        <v>0.38957190121859386</v>
      </c>
      <c r="AH185" s="2">
        <v>0.18270165199999999</v>
      </c>
      <c r="AI185" s="2">
        <v>5.2594506072360606E-3</v>
      </c>
      <c r="AJ185" s="2">
        <v>8.8071645924286367E-3</v>
      </c>
      <c r="AK185" s="2">
        <v>2.0583973291919251E-2</v>
      </c>
      <c r="AL185" s="2">
        <v>2.6547972431963201E-2</v>
      </c>
      <c r="AM185" s="2">
        <v>0</v>
      </c>
      <c r="AN185" s="2">
        <v>0.44</v>
      </c>
      <c r="AO185" s="2">
        <v>1.5535187199005747E-2</v>
      </c>
      <c r="AP185" s="2">
        <v>6.1023999125510486E-2</v>
      </c>
      <c r="AQ185" s="16">
        <v>0.25907408072831772</v>
      </c>
      <c r="AR185" s="2">
        <v>0.38700000000000001</v>
      </c>
      <c r="AS185" s="2">
        <v>0.3</v>
      </c>
      <c r="AT185" s="2">
        <v>0.77900000000000003</v>
      </c>
      <c r="AU185" s="2">
        <v>0.41100000000000003</v>
      </c>
      <c r="AV185" s="2">
        <v>0.2</v>
      </c>
      <c r="AW185" s="2">
        <v>0.61199999999999999</v>
      </c>
      <c r="AX185" s="2">
        <v>0.82599999999999996</v>
      </c>
      <c r="AY185" s="2">
        <v>0.44651697973539023</v>
      </c>
      <c r="AZ185" s="2">
        <v>0.4875299229882864</v>
      </c>
      <c r="BA185" s="2">
        <v>0.32132198350566982</v>
      </c>
      <c r="BB185" s="2">
        <v>1</v>
      </c>
      <c r="BC185" s="2">
        <v>1</v>
      </c>
      <c r="BD185" s="2">
        <v>0.35483017012996376</v>
      </c>
      <c r="BE185" s="2">
        <v>0.57700000000000007</v>
      </c>
    </row>
    <row r="186" spans="1:57">
      <c r="A186" s="1" t="s">
        <v>33</v>
      </c>
      <c r="B186" s="1" t="s">
        <v>373</v>
      </c>
      <c r="C186" s="2">
        <v>0.68318052955698438</v>
      </c>
      <c r="D186" s="2">
        <v>0.13060000000000005</v>
      </c>
      <c r="E186" s="2">
        <v>2.2863597452478939E-2</v>
      </c>
      <c r="F186" s="2">
        <v>0.50653111608657053</v>
      </c>
      <c r="G186" s="2">
        <v>0.80486008621232619</v>
      </c>
      <c r="H186" s="11">
        <v>0.42960706586167208</v>
      </c>
      <c r="I186" s="2">
        <v>4.8501953061600902E-3</v>
      </c>
      <c r="J186" s="2">
        <v>0.23917937978156115</v>
      </c>
      <c r="K186" s="2">
        <v>7.4999999999999997E-2</v>
      </c>
      <c r="L186" s="2">
        <v>0</v>
      </c>
      <c r="M186" s="84">
        <v>7.9757393771930307E-2</v>
      </c>
      <c r="N186" s="46">
        <v>0.26933054316460192</v>
      </c>
      <c r="O186" s="46">
        <v>0.27063630122262211</v>
      </c>
      <c r="P186" s="21">
        <v>57744</v>
      </c>
      <c r="Q186" s="22">
        <v>10.96</v>
      </c>
      <c r="R186" s="23">
        <v>0.9</v>
      </c>
      <c r="S186" s="2">
        <v>0.67665259900990105</v>
      </c>
      <c r="T186" s="2">
        <v>1</v>
      </c>
      <c r="U186" s="2">
        <v>3.9999999105930328E-2</v>
      </c>
      <c r="V186" s="2">
        <v>0.5</v>
      </c>
      <c r="W186" s="2">
        <v>6.6666666666666671E-3</v>
      </c>
      <c r="X186" s="2">
        <v>6.8799999132752365E-2</v>
      </c>
      <c r="Y186" s="2">
        <v>0.54108333333333336</v>
      </c>
      <c r="Z186" s="2">
        <v>0.22280599995069203</v>
      </c>
      <c r="AA186" s="2">
        <v>0.5</v>
      </c>
      <c r="AB186" s="2">
        <v>0.36</v>
      </c>
      <c r="AC186" s="2">
        <v>1</v>
      </c>
      <c r="AD186" s="2">
        <v>0.32</v>
      </c>
      <c r="AE186" s="2">
        <v>7.4999999999999997E-2</v>
      </c>
      <c r="AF186" s="2">
        <v>0.68200000000000005</v>
      </c>
      <c r="AG186" s="2">
        <v>0.20723699373170745</v>
      </c>
      <c r="AH186" s="2">
        <v>0.28239845200000002</v>
      </c>
      <c r="AI186" s="2">
        <v>0</v>
      </c>
      <c r="AJ186" s="2">
        <v>6.2225482746505849E-3</v>
      </c>
      <c r="AK186" s="2">
        <v>6.0429217412360542E-2</v>
      </c>
      <c r="AL186" s="2">
        <v>0.21641434477615101</v>
      </c>
      <c r="AM186" s="2">
        <v>0</v>
      </c>
      <c r="AN186" s="2">
        <v>0</v>
      </c>
      <c r="AO186" s="2">
        <v>0</v>
      </c>
      <c r="AP186" s="2">
        <v>0.19999999552965164</v>
      </c>
      <c r="AQ186" s="16">
        <v>0.29023792287182493</v>
      </c>
      <c r="AR186" s="2">
        <v>0.67400000000000004</v>
      </c>
      <c r="AS186" s="2">
        <v>0.5</v>
      </c>
      <c r="AT186" s="2">
        <v>0.99900000000000011</v>
      </c>
      <c r="AU186" s="2">
        <v>0.80900000000000005</v>
      </c>
      <c r="AV186" s="2">
        <v>0.35</v>
      </c>
      <c r="AW186" s="2">
        <v>0.68799999999999994</v>
      </c>
      <c r="AX186" s="2">
        <v>0.82799999999999996</v>
      </c>
      <c r="AY186" s="2">
        <v>0.67966484047546849</v>
      </c>
      <c r="AZ186" s="2">
        <v>0.32745398763697581</v>
      </c>
      <c r="BA186" s="2">
        <v>0.70537062238963733</v>
      </c>
      <c r="BB186" s="2">
        <v>1</v>
      </c>
      <c r="BC186" s="2">
        <v>0.42998641723993741</v>
      </c>
      <c r="BD186" s="2">
        <v>0.60394930621325371</v>
      </c>
      <c r="BE186" s="2">
        <v>0.79299999999999993</v>
      </c>
    </row>
    <row r="187" spans="1:57">
      <c r="A187" s="1" t="s">
        <v>14</v>
      </c>
      <c r="B187" s="1" t="s">
        <v>374</v>
      </c>
      <c r="C187" s="2">
        <v>0.57222761455983306</v>
      </c>
      <c r="D187" s="2">
        <v>0</v>
      </c>
      <c r="E187" s="2">
        <v>1.3322046410885325E-2</v>
      </c>
      <c r="F187" s="2">
        <v>0.17222220153446818</v>
      </c>
      <c r="G187" s="2">
        <v>0</v>
      </c>
      <c r="H187" s="11">
        <v>0.15155437250103732</v>
      </c>
      <c r="I187" s="2">
        <v>6.6016789287003955E-2</v>
      </c>
      <c r="J187" s="2">
        <v>7.7097574226436219E-2</v>
      </c>
      <c r="K187" s="2">
        <v>0</v>
      </c>
      <c r="L187" s="2">
        <v>0</v>
      </c>
      <c r="M187" s="84">
        <v>3.5778590878360043E-2</v>
      </c>
      <c r="N187" s="46">
        <v>0.16386213909167979</v>
      </c>
      <c r="O187" s="46">
        <v>0.14647204740057398</v>
      </c>
      <c r="P187" s="21">
        <v>35155</v>
      </c>
      <c r="Q187" s="22">
        <v>10.47</v>
      </c>
      <c r="R187" s="23">
        <v>0.95</v>
      </c>
      <c r="S187" s="2">
        <v>0.30024881808838644</v>
      </c>
      <c r="T187" s="2">
        <v>9.6975999802947049E-2</v>
      </c>
      <c r="U187" s="2">
        <v>3.9999999105930328E-2</v>
      </c>
      <c r="V187" s="2">
        <v>0.30000000000000004</v>
      </c>
      <c r="W187" s="2">
        <v>0</v>
      </c>
      <c r="X187" s="2">
        <v>3.9999999105930328E-2</v>
      </c>
      <c r="Y187" s="2">
        <v>0.22075000000000003</v>
      </c>
      <c r="Z187" s="2">
        <v>0.10079799997769295</v>
      </c>
      <c r="AA187" s="2">
        <v>0.65306688870383334</v>
      </c>
      <c r="AB187" s="2">
        <v>1</v>
      </c>
      <c r="AC187" s="2">
        <v>0.24379999969154598</v>
      </c>
      <c r="AD187" s="2">
        <v>0</v>
      </c>
      <c r="AE187" s="2">
        <v>6.7499999999999991E-2</v>
      </c>
      <c r="AF187" s="2">
        <v>0.36887999999999999</v>
      </c>
      <c r="AG187" s="2">
        <v>0.16585537418097318</v>
      </c>
      <c r="AH187" s="2">
        <v>0.15584415600000001</v>
      </c>
      <c r="AI187" s="2">
        <v>0</v>
      </c>
      <c r="AJ187" s="2">
        <v>5.5428032352349502E-3</v>
      </c>
      <c r="AK187" s="2">
        <v>9.0033750858380224E-2</v>
      </c>
      <c r="AL187" s="2">
        <v>0.117410344315455</v>
      </c>
      <c r="AM187" s="2">
        <v>0</v>
      </c>
      <c r="AN187" s="2">
        <v>0.2</v>
      </c>
      <c r="AO187" s="2">
        <v>8.6801967511263581E-2</v>
      </c>
      <c r="AP187" s="2">
        <v>3.9999999105930328E-2</v>
      </c>
      <c r="AQ187" s="16">
        <v>0.178896170820146</v>
      </c>
      <c r="AR187" s="2">
        <v>0.94900000000000007</v>
      </c>
      <c r="AS187" s="2">
        <v>0.8</v>
      </c>
      <c r="AT187" s="2">
        <v>0.61799999999999999</v>
      </c>
      <c r="AU187" s="2">
        <v>0.41899999999999998</v>
      </c>
      <c r="AV187" s="2">
        <v>0.9</v>
      </c>
      <c r="AW187" s="2">
        <v>0.73699999999999999</v>
      </c>
      <c r="AX187" s="2">
        <v>0.875</v>
      </c>
      <c r="AY187" s="2">
        <v>0.56016589819177176</v>
      </c>
      <c r="AZ187" s="2">
        <v>0.75849673413325946</v>
      </c>
      <c r="BA187" s="2">
        <v>0.80571505809158217</v>
      </c>
      <c r="BB187" s="2">
        <v>1</v>
      </c>
      <c r="BC187" s="2">
        <v>0.78740832073333122</v>
      </c>
      <c r="BD187" s="2">
        <v>0.83776308463533788</v>
      </c>
      <c r="BE187" s="2">
        <v>0.72799999999999998</v>
      </c>
    </row>
    <row r="188" spans="1:57">
      <c r="A188" s="1" t="s">
        <v>6</v>
      </c>
      <c r="B188" s="1" t="s">
        <v>375</v>
      </c>
      <c r="C188" s="2">
        <v>0.3454819194641765</v>
      </c>
      <c r="D188" s="2">
        <v>0.50649999999999995</v>
      </c>
      <c r="E188" s="2">
        <v>3.9133610374423276E-2</v>
      </c>
      <c r="F188" s="2">
        <v>0.58748301730757879</v>
      </c>
      <c r="G188" s="2">
        <v>0</v>
      </c>
      <c r="H188" s="11">
        <v>0.2957197094292357</v>
      </c>
      <c r="I188" s="2">
        <v>0.27518975534980578</v>
      </c>
      <c r="J188" s="2">
        <v>0</v>
      </c>
      <c r="K188" s="2">
        <v>2.5000000000000001E-2</v>
      </c>
      <c r="L188" s="2">
        <v>0</v>
      </c>
      <c r="M188" s="84">
        <v>7.504743883745145E-2</v>
      </c>
      <c r="N188" s="46">
        <v>0.18054363107450833</v>
      </c>
      <c r="O188" s="46">
        <v>0.18520713479649042</v>
      </c>
      <c r="P188" s="21">
        <v>45989</v>
      </c>
      <c r="Q188" s="22">
        <v>10.74</v>
      </c>
      <c r="R188" s="23">
        <v>0.96</v>
      </c>
      <c r="S188" s="2">
        <v>0.44886118421052623</v>
      </c>
      <c r="T188" s="2">
        <v>0.17126999965198336</v>
      </c>
      <c r="U188" s="2">
        <v>4.9599999114871007E-2</v>
      </c>
      <c r="V188" s="2">
        <v>0.64999999999999991</v>
      </c>
      <c r="W188" s="2">
        <v>0</v>
      </c>
      <c r="X188" s="2">
        <v>3.9999999105930328E-2</v>
      </c>
      <c r="Y188" s="2">
        <v>0.22908333333333336</v>
      </c>
      <c r="Z188" s="2">
        <v>0.18179999995976687</v>
      </c>
      <c r="AA188" s="2">
        <v>0.82819745845549997</v>
      </c>
      <c r="AB188" s="2">
        <v>0.08</v>
      </c>
      <c r="AC188" s="2">
        <v>3.1799999959766866E-2</v>
      </c>
      <c r="AD188" s="2">
        <v>0</v>
      </c>
      <c r="AE188" s="2">
        <v>0.92499999999999993</v>
      </c>
      <c r="AF188" s="2">
        <v>0.3934399999999999</v>
      </c>
      <c r="AG188" s="2">
        <v>0.193970730305561</v>
      </c>
      <c r="AH188" s="2">
        <v>0.134653466</v>
      </c>
      <c r="AI188" s="2">
        <v>0</v>
      </c>
      <c r="AJ188" s="2">
        <v>1.2337274809393861E-2</v>
      </c>
      <c r="AK188" s="2">
        <v>2.5695687870945429E-2</v>
      </c>
      <c r="AL188" s="2">
        <v>8.0748953173138599E-2</v>
      </c>
      <c r="AM188" s="2">
        <v>0</v>
      </c>
      <c r="AN188" s="2">
        <v>0.27</v>
      </c>
      <c r="AO188" s="2">
        <v>8.1860570710069504E-3</v>
      </c>
      <c r="AP188" s="2">
        <v>0.35324799939766516</v>
      </c>
      <c r="AQ188" s="16">
        <v>0.21282883926747451</v>
      </c>
      <c r="AR188" s="2">
        <v>0.91299999999999992</v>
      </c>
      <c r="AS188" s="2">
        <v>0.7</v>
      </c>
      <c r="AT188" s="2">
        <v>0.67500000000000004</v>
      </c>
      <c r="AU188" s="2">
        <v>0.57999999999999996</v>
      </c>
      <c r="AV188" s="2">
        <v>0.75</v>
      </c>
      <c r="AW188" s="2">
        <v>0.78099999999999992</v>
      </c>
      <c r="AX188" s="2">
        <v>0.86900000000000011</v>
      </c>
      <c r="AY188" s="2">
        <v>0.58115889124083031</v>
      </c>
      <c r="AZ188" s="2">
        <v>0.72076941128638194</v>
      </c>
      <c r="BA188" s="2">
        <v>0.73397769055691986</v>
      </c>
      <c r="BB188" s="2">
        <v>1</v>
      </c>
      <c r="BC188" s="2">
        <v>1</v>
      </c>
      <c r="BD188" s="2">
        <v>0.80195970775483505</v>
      </c>
      <c r="BE188" s="2">
        <v>0.94799999999999995</v>
      </c>
    </row>
    <row r="189" spans="1:57">
      <c r="A189" s="1" t="s">
        <v>10</v>
      </c>
      <c r="B189" s="1" t="s">
        <v>376</v>
      </c>
      <c r="C189" s="2">
        <v>0</v>
      </c>
      <c r="D189" s="2">
        <v>0.98529999999999995</v>
      </c>
      <c r="E189" s="2">
        <v>0.26558633596689502</v>
      </c>
      <c r="F189" s="2">
        <v>0.31093077509288125</v>
      </c>
      <c r="G189" s="2">
        <v>0.29860088224019565</v>
      </c>
      <c r="H189" s="11">
        <v>0.3720835986599943</v>
      </c>
      <c r="I189" s="2">
        <v>0.15560708252374419</v>
      </c>
      <c r="J189" s="2">
        <v>0.60933661853883125</v>
      </c>
      <c r="K189" s="2">
        <v>2.5000000000000001E-2</v>
      </c>
      <c r="L189" s="2">
        <v>0</v>
      </c>
      <c r="M189" s="84">
        <v>0.19748592526564387</v>
      </c>
      <c r="N189" s="46">
        <v>0.18580276801468162</v>
      </c>
      <c r="O189" s="46">
        <v>0.21544327656711834</v>
      </c>
      <c r="P189" s="21">
        <v>13189</v>
      </c>
      <c r="Q189" s="22">
        <v>9.49</v>
      </c>
      <c r="R189" s="23">
        <v>0.87</v>
      </c>
      <c r="S189" s="2">
        <v>0.45199570312499998</v>
      </c>
      <c r="T189" s="2">
        <v>2.6329999999999999E-2</v>
      </c>
      <c r="U189" s="2">
        <v>3.9999999105930328E-2</v>
      </c>
      <c r="V189" s="2">
        <v>0.17500000000000004</v>
      </c>
      <c r="W189" s="2">
        <v>2E-3</v>
      </c>
      <c r="X189" s="2">
        <v>3.9999999105930328E-2</v>
      </c>
      <c r="Y189" s="2">
        <v>0.505</v>
      </c>
      <c r="Z189" s="2">
        <v>7.6759999983012583E-2</v>
      </c>
      <c r="AA189" s="2">
        <v>0.79067882240715692</v>
      </c>
      <c r="AB189" s="2">
        <v>0.12</v>
      </c>
      <c r="AC189" s="2">
        <v>0.12719999983906746</v>
      </c>
      <c r="AD189" s="2">
        <v>9.2799999713897713E-2</v>
      </c>
      <c r="AE189" s="2">
        <v>0.3175</v>
      </c>
      <c r="AF189" s="2">
        <v>0.47911999999999999</v>
      </c>
      <c r="AG189" s="2">
        <v>0.24116994986087203</v>
      </c>
      <c r="AH189" s="2">
        <v>0.175159236</v>
      </c>
      <c r="AI189" s="2">
        <v>3.6238920181980177E-4</v>
      </c>
      <c r="AJ189" s="2">
        <v>1.5200780646932158E-2</v>
      </c>
      <c r="AK189" s="2">
        <v>3.7999023968467029E-2</v>
      </c>
      <c r="AL189" s="2">
        <v>0.10576699467832</v>
      </c>
      <c r="AM189" s="2">
        <v>5.0000000000000044E-3</v>
      </c>
      <c r="AN189" s="2">
        <v>0.84</v>
      </c>
      <c r="AO189" s="2">
        <v>4.2852245457661982E-2</v>
      </c>
      <c r="AP189" s="2">
        <v>0.5</v>
      </c>
      <c r="AQ189" s="16">
        <v>0.21699563096225283</v>
      </c>
      <c r="AR189" s="2">
        <v>0.63100000000000001</v>
      </c>
      <c r="AS189" s="2">
        <v>0.3</v>
      </c>
      <c r="AT189" s="2">
        <v>0.81700000000000006</v>
      </c>
      <c r="AU189" s="2">
        <v>0.72599999999999998</v>
      </c>
      <c r="AV189" s="2">
        <v>0.75</v>
      </c>
      <c r="AW189" s="2">
        <v>0.72299999999999998</v>
      </c>
      <c r="AX189" s="2">
        <v>0.82799999999999996</v>
      </c>
      <c r="AY189" s="2">
        <v>0.67486130431561031</v>
      </c>
      <c r="AZ189" s="2">
        <v>0.71741357176995135</v>
      </c>
      <c r="BA189" s="2">
        <v>0.74159205475722101</v>
      </c>
      <c r="BB189" s="2">
        <v>1</v>
      </c>
      <c r="BC189" s="2">
        <v>0.89021773797193704</v>
      </c>
      <c r="BD189" s="2">
        <v>0.64318444053637813</v>
      </c>
      <c r="BE189" s="2">
        <v>0.76200000000000001</v>
      </c>
    </row>
    <row r="190" spans="1:57">
      <c r="A190" s="1" t="s">
        <v>139</v>
      </c>
      <c r="B190" s="1" t="s">
        <v>377</v>
      </c>
      <c r="C190" s="2">
        <v>0.48209859718121284</v>
      </c>
      <c r="D190" s="2">
        <v>0.87119999999999997</v>
      </c>
      <c r="E190" s="2">
        <v>1</v>
      </c>
      <c r="F190" s="2">
        <v>0.39435474981760893</v>
      </c>
      <c r="G190" s="2">
        <v>0.79074619569151938</v>
      </c>
      <c r="H190" s="11">
        <v>0.70767990853806817</v>
      </c>
      <c r="I190" s="2">
        <v>3.8560777984418641E-2</v>
      </c>
      <c r="J190" s="2">
        <v>0.16092362049855374</v>
      </c>
      <c r="K190" s="2">
        <v>0</v>
      </c>
      <c r="L190" s="2" t="e">
        <v>#N/A</v>
      </c>
      <c r="M190" s="84">
        <v>6.6494799494324131E-2</v>
      </c>
      <c r="N190" s="46">
        <v>0.23664226603738905</v>
      </c>
      <c r="O190" s="46">
        <v>0.28738767047166586</v>
      </c>
      <c r="P190" s="21">
        <v>2875</v>
      </c>
      <c r="Q190" s="22">
        <v>7.96</v>
      </c>
      <c r="R190" s="23">
        <v>0.71</v>
      </c>
      <c r="S190" s="2">
        <v>2.9275647668393752E-2</v>
      </c>
      <c r="T190" s="2">
        <v>1</v>
      </c>
      <c r="U190" s="2">
        <v>0.16479999922215938</v>
      </c>
      <c r="V190" s="2">
        <v>0.72500000000000009</v>
      </c>
      <c r="W190" s="2">
        <v>0.21666666666666667</v>
      </c>
      <c r="X190" s="2">
        <v>3.9999999105930328E-2</v>
      </c>
      <c r="Y190" s="2">
        <v>0.33441666666666664</v>
      </c>
      <c r="Z190" s="2">
        <v>0.63771399985887112</v>
      </c>
      <c r="AA190" s="2">
        <v>1</v>
      </c>
      <c r="AB190" s="2">
        <v>0.18</v>
      </c>
      <c r="AC190" s="2">
        <v>0.15899999979883431</v>
      </c>
      <c r="AD190" s="2">
        <v>8.6399999856948864E-2</v>
      </c>
      <c r="AE190" s="2">
        <v>7.4999999999999997E-2</v>
      </c>
      <c r="AF190" s="2">
        <v>0.35824</v>
      </c>
      <c r="AG190" s="2">
        <v>0.39908245732501169</v>
      </c>
      <c r="AH190" s="2">
        <v>0.21095334600000001</v>
      </c>
      <c r="AI190" s="2">
        <v>1.8363054840136176E-2</v>
      </c>
      <c r="AJ190" s="2">
        <v>1.913941638354618E-2</v>
      </c>
      <c r="AK190" s="2">
        <v>0</v>
      </c>
      <c r="AL190" s="2">
        <v>0</v>
      </c>
      <c r="AM190" s="2">
        <v>0</v>
      </c>
      <c r="AN190" s="2">
        <v>0.05</v>
      </c>
      <c r="AO190" s="2">
        <v>0</v>
      </c>
      <c r="AP190" s="2">
        <v>0.28413997147764714</v>
      </c>
      <c r="AQ190" s="16">
        <v>0.2495079677029505</v>
      </c>
      <c r="AR190" s="2">
        <v>0.67799999999999994</v>
      </c>
      <c r="AS190" s="2">
        <v>0.1</v>
      </c>
      <c r="AT190" s="2">
        <v>0.88400000000000001</v>
      </c>
      <c r="AU190" s="2">
        <v>0.72599999999999998</v>
      </c>
      <c r="AV190" s="2">
        <v>0.1</v>
      </c>
      <c r="AW190" s="2">
        <v>0.624</v>
      </c>
      <c r="AX190" s="2">
        <v>0.65099999999999991</v>
      </c>
      <c r="AY190" s="2">
        <v>0.3203320740805734</v>
      </c>
      <c r="AZ190" s="2">
        <v>0.11797251771908349</v>
      </c>
      <c r="BA190" s="2">
        <v>0.24974034298268269</v>
      </c>
      <c r="BB190" s="2">
        <v>0.65039940807925334</v>
      </c>
      <c r="BC190" s="2">
        <v>0.13825406574550003</v>
      </c>
      <c r="BD190" s="2">
        <v>0.25874127440099509</v>
      </c>
      <c r="BE190" s="2">
        <v>0.61099999999999999</v>
      </c>
    </row>
    <row r="191" spans="1:57">
      <c r="A191" s="1" t="s">
        <v>168</v>
      </c>
      <c r="B191" s="1" t="s">
        <v>378</v>
      </c>
      <c r="C191" s="2" t="e">
        <v>#N/A</v>
      </c>
      <c r="D191" s="2">
        <v>0.75409999999999999</v>
      </c>
      <c r="E191" s="2">
        <v>0.66807257453966129</v>
      </c>
      <c r="F191" s="2">
        <v>0.54371594986710581</v>
      </c>
      <c r="G191" s="2">
        <v>0.68969890325760996</v>
      </c>
      <c r="H191" s="11">
        <v>0.66389685691609435</v>
      </c>
      <c r="I191" s="2">
        <v>0.33404767871165059</v>
      </c>
      <c r="J191" s="2">
        <v>0.91589807114645749</v>
      </c>
      <c r="K191" s="2">
        <v>0.45</v>
      </c>
      <c r="L191" s="2" t="e">
        <v>#N/A</v>
      </c>
      <c r="M191" s="84">
        <v>0.56664858328603607</v>
      </c>
      <c r="N191" s="46">
        <v>0.40884989618379097</v>
      </c>
      <c r="O191" s="46">
        <v>0.46662048867077577</v>
      </c>
      <c r="P191" s="21">
        <v>4438</v>
      </c>
      <c r="Q191" s="22">
        <v>8.4</v>
      </c>
      <c r="R191" s="23">
        <v>0.69</v>
      </c>
      <c r="S191" s="2">
        <v>0.21233297236743837</v>
      </c>
      <c r="T191" s="2">
        <v>0.5</v>
      </c>
      <c r="U191" s="2">
        <v>0.2031999992579222</v>
      </c>
      <c r="V191" s="2">
        <v>9.9999999999999978E-2</v>
      </c>
      <c r="W191" s="2">
        <v>2.7333333333333334E-2</v>
      </c>
      <c r="X191" s="2">
        <v>0.50079999953508381</v>
      </c>
      <c r="Y191" s="2">
        <v>0.44466666666666665</v>
      </c>
      <c r="Z191" s="2">
        <v>0.7556819998327643</v>
      </c>
      <c r="AA191" s="2">
        <v>1</v>
      </c>
      <c r="AB191" s="2">
        <v>0.14000000000000001</v>
      </c>
      <c r="AC191" s="2">
        <v>0.99639999873936169</v>
      </c>
      <c r="AD191" s="2">
        <v>0.22000000000000003</v>
      </c>
      <c r="AE191" s="2">
        <v>0.76749999999999996</v>
      </c>
      <c r="AF191" s="2">
        <v>0.92271999999999998</v>
      </c>
      <c r="AG191" s="2">
        <v>0.35039125727966447</v>
      </c>
      <c r="AH191" s="2">
        <v>0.39237668199999998</v>
      </c>
      <c r="AI191" s="2">
        <v>0.14139977483970761</v>
      </c>
      <c r="AJ191" s="2">
        <v>0.5</v>
      </c>
      <c r="AK191" s="2">
        <v>7.3794291779240906E-2</v>
      </c>
      <c r="AL191" s="2">
        <v>4.5264538682378903E-2</v>
      </c>
      <c r="AM191" s="2">
        <v>0.81</v>
      </c>
      <c r="AN191" s="2">
        <v>0</v>
      </c>
      <c r="AO191" s="2">
        <v>0.12305168170631665</v>
      </c>
      <c r="AP191" s="2">
        <v>0.80402000215442804</v>
      </c>
      <c r="AQ191" s="16">
        <v>0.41795554992392936</v>
      </c>
      <c r="AR191" s="2">
        <v>0.68700000000000006</v>
      </c>
      <c r="AS191" s="2">
        <v>0.4</v>
      </c>
      <c r="AT191" s="2">
        <v>0.94900000000000007</v>
      </c>
      <c r="AU191" s="2">
        <v>0.84299999999999997</v>
      </c>
      <c r="AV191" s="2">
        <v>0.2</v>
      </c>
      <c r="AW191" s="2">
        <v>0.76800000000000002</v>
      </c>
      <c r="AX191" s="2">
        <v>0.55100000000000005</v>
      </c>
      <c r="AY191" s="2">
        <v>0.75050658559521666</v>
      </c>
      <c r="AZ191" s="2">
        <v>0.61497757682337872</v>
      </c>
      <c r="BA191" s="2">
        <v>0.57893540540076527</v>
      </c>
      <c r="BB191" s="2">
        <v>0.58008407439656995</v>
      </c>
      <c r="BC191" s="2">
        <v>5.9920708754064779E-2</v>
      </c>
      <c r="BD191" s="2">
        <v>0.58017686738982355</v>
      </c>
      <c r="BE191" s="2">
        <v>0.55000000000000004</v>
      </c>
    </row>
    <row r="192" spans="1:57">
      <c r="A192" s="1" t="s">
        <v>9</v>
      </c>
      <c r="B192" s="1" t="s">
        <v>379</v>
      </c>
      <c r="C192" s="2">
        <v>0.36977962398963782</v>
      </c>
      <c r="D192" s="2">
        <v>0</v>
      </c>
      <c r="E192" s="2">
        <v>0.25777400387812877</v>
      </c>
      <c r="F192" s="2">
        <v>0.35007905738447503</v>
      </c>
      <c r="G192" s="2">
        <v>0.25769104920139174</v>
      </c>
      <c r="H192" s="11">
        <v>0.24706474689072669</v>
      </c>
      <c r="I192" s="2">
        <v>0.11518313369305226</v>
      </c>
      <c r="J192" s="2">
        <v>2.0005932712415436E-2</v>
      </c>
      <c r="K192" s="2">
        <v>0.92500000000000004</v>
      </c>
      <c r="L192" s="2">
        <v>0.45714285714285713</v>
      </c>
      <c r="M192" s="84">
        <v>0.37933298088708117</v>
      </c>
      <c r="N192" s="46">
        <v>0.22441711028689174</v>
      </c>
      <c r="O192" s="46">
        <v>0.24662625166325336</v>
      </c>
      <c r="P192" s="21">
        <v>12323</v>
      </c>
      <c r="Q192" s="22">
        <v>9.42</v>
      </c>
      <c r="R192" s="23">
        <v>0.84</v>
      </c>
      <c r="S192" s="2">
        <v>0.58033781906906901</v>
      </c>
      <c r="T192" s="2">
        <v>7.3470000000000002E-3</v>
      </c>
      <c r="U192" s="2">
        <v>0.16299999792128805</v>
      </c>
      <c r="V192" s="2">
        <v>0.30000000000000004</v>
      </c>
      <c r="W192" s="2">
        <v>0.02</v>
      </c>
      <c r="X192" s="2">
        <v>0.18099999796599153</v>
      </c>
      <c r="Y192" s="2">
        <v>0.60899999999999999</v>
      </c>
      <c r="Z192" s="2">
        <v>6.4033999985828996E-2</v>
      </c>
      <c r="AA192" s="2">
        <v>0.6118611111111667</v>
      </c>
      <c r="AB192" s="2">
        <v>0.02</v>
      </c>
      <c r="AC192" s="2">
        <v>0.41339999947696926</v>
      </c>
      <c r="AD192" s="2">
        <v>8.9599999785423282E-2</v>
      </c>
      <c r="AE192" s="2">
        <v>0.3175</v>
      </c>
      <c r="AF192" s="2">
        <v>0.79959999999999998</v>
      </c>
      <c r="AG192" s="2">
        <v>0.28785779380679144</v>
      </c>
      <c r="AH192" s="2">
        <v>0.234710744</v>
      </c>
      <c r="AI192" s="2">
        <v>1.1989515067346669E-4</v>
      </c>
      <c r="AJ192" s="2">
        <v>4.8496358778308539E-2</v>
      </c>
      <c r="AK192" s="2">
        <v>3.6076843881421336E-2</v>
      </c>
      <c r="AL192" s="2">
        <v>6.7862859324012301E-2</v>
      </c>
      <c r="AM192" s="2">
        <v>1.0000000000000009E-2</v>
      </c>
      <c r="AN192" s="2">
        <v>0.23</v>
      </c>
      <c r="AO192" s="2">
        <v>2.0407006405532564E-2</v>
      </c>
      <c r="AP192" s="2">
        <v>0.72448001119416672</v>
      </c>
      <c r="AQ192" s="16">
        <v>0.24319547657736015</v>
      </c>
      <c r="AR192" s="2">
        <v>0.503</v>
      </c>
      <c r="AS192" s="2">
        <v>0.2</v>
      </c>
      <c r="AT192" s="2">
        <v>0.74</v>
      </c>
      <c r="AU192" s="2">
        <v>0.61799999999999999</v>
      </c>
      <c r="AV192" s="2">
        <v>0.05</v>
      </c>
      <c r="AW192" s="2">
        <v>0.47700000000000004</v>
      </c>
      <c r="AX192" s="2">
        <v>0.57200000000000006</v>
      </c>
      <c r="AY192" s="2">
        <v>0.22071325590783819</v>
      </c>
      <c r="AZ192" s="2">
        <v>0.34305110793078836</v>
      </c>
      <c r="BA192" s="2">
        <v>0.26309767081982904</v>
      </c>
      <c r="BB192" s="2">
        <v>1</v>
      </c>
      <c r="BC192" s="2">
        <v>1</v>
      </c>
      <c r="BD192" s="2">
        <v>0.1860158040089647</v>
      </c>
      <c r="BE192" s="2">
        <v>0.36200000000000004</v>
      </c>
    </row>
    <row r="193" spans="1:57">
      <c r="A193" s="1" t="s">
        <v>160</v>
      </c>
      <c r="B193" s="1" t="s">
        <v>380</v>
      </c>
      <c r="C193" s="2">
        <v>0.48626706311765178</v>
      </c>
      <c r="D193" s="2">
        <v>0.63349999999999995</v>
      </c>
      <c r="E193" s="2">
        <v>0.81395543129530523</v>
      </c>
      <c r="F193" s="2">
        <v>0.76472883593510688</v>
      </c>
      <c r="G193" s="2">
        <v>0.6489936185793227</v>
      </c>
      <c r="H193" s="11">
        <v>0.66948898978547733</v>
      </c>
      <c r="I193" s="2">
        <v>0.79697981467190881</v>
      </c>
      <c r="J193" s="2">
        <v>0.20901734860060392</v>
      </c>
      <c r="K193" s="2">
        <v>0.67500000000000004</v>
      </c>
      <c r="L193" s="2">
        <v>0.50285714285714289</v>
      </c>
      <c r="M193" s="84">
        <v>0.5459635765324139</v>
      </c>
      <c r="N193" s="46">
        <v>0.27016880610970867</v>
      </c>
      <c r="O193" s="46">
        <v>0.36410153338454698</v>
      </c>
      <c r="P193" s="21">
        <v>2953</v>
      </c>
      <c r="Q193" s="22">
        <v>7.99</v>
      </c>
      <c r="R193" s="23">
        <v>0.73</v>
      </c>
      <c r="S193" s="2">
        <v>0.13173223684210525</v>
      </c>
      <c r="T193" s="2">
        <v>9.2780000000000001E-2</v>
      </c>
      <c r="U193" s="2">
        <v>9.7599999159574513E-2</v>
      </c>
      <c r="V193" s="2">
        <v>0.25</v>
      </c>
      <c r="W193" s="2">
        <v>4.3333333333333335E-2</v>
      </c>
      <c r="X193" s="2">
        <v>0.27999999932944775</v>
      </c>
      <c r="Y193" s="2">
        <v>0.37600000000000006</v>
      </c>
      <c r="Z193" s="2">
        <v>0.72396799983978266</v>
      </c>
      <c r="AA193" s="2">
        <v>0.52238201058200007</v>
      </c>
      <c r="AB193" s="2">
        <v>0.06</v>
      </c>
      <c r="AC193" s="2">
        <v>9.539999987930059E-2</v>
      </c>
      <c r="AD193" s="2">
        <v>0.53999999910593033</v>
      </c>
      <c r="AE193" s="2">
        <v>0.76749999999999996</v>
      </c>
      <c r="AF193" s="2">
        <v>0.86168</v>
      </c>
      <c r="AG193" s="2">
        <v>0.2720679011091599</v>
      </c>
      <c r="AH193" s="2">
        <v>0.30691823800000001</v>
      </c>
      <c r="AI193" s="2">
        <v>1.7170000006300205E-2</v>
      </c>
      <c r="AJ193" s="2">
        <v>3.0535409293749247E-2</v>
      </c>
      <c r="AK193" s="2">
        <v>0.20206007662727885</v>
      </c>
      <c r="AL193" s="2">
        <v>0.55096713685635501</v>
      </c>
      <c r="AM193" s="2">
        <v>0.10999999999999999</v>
      </c>
      <c r="AN193" s="2">
        <v>0.23</v>
      </c>
      <c r="AO193" s="2">
        <v>0.10158996355661624</v>
      </c>
      <c r="AP193" s="2">
        <v>0.55233313900931058</v>
      </c>
      <c r="AQ193" s="16">
        <v>0.3006673934387602</v>
      </c>
      <c r="AR193" s="2">
        <v>0.60699999999999998</v>
      </c>
      <c r="AS193" s="2">
        <v>0.3</v>
      </c>
      <c r="AT193" s="2">
        <v>0.7609999999999999</v>
      </c>
      <c r="AU193" s="2">
        <v>0.7340000000000001</v>
      </c>
      <c r="AV193" s="2">
        <v>0.2</v>
      </c>
      <c r="AW193" s="2">
        <v>0.58099999999999996</v>
      </c>
      <c r="AX193" s="2">
        <v>0.68900000000000006</v>
      </c>
      <c r="AY193" s="2">
        <v>0.53813285466140914</v>
      </c>
      <c r="AZ193" s="2">
        <v>0.19836249464841962</v>
      </c>
      <c r="BA193" s="2">
        <v>0.39725785862878871</v>
      </c>
      <c r="BB193" s="2">
        <v>1</v>
      </c>
      <c r="BC193" s="2">
        <v>0.11343774627086572</v>
      </c>
      <c r="BD193" s="2">
        <v>0.41568552629134176</v>
      </c>
      <c r="BE193" s="2">
        <v>0.68400000000000005</v>
      </c>
    </row>
    <row r="194" spans="1:57">
      <c r="A194" s="1" t="s">
        <v>153</v>
      </c>
      <c r="B194" s="1" t="s">
        <v>381</v>
      </c>
      <c r="C194" s="2">
        <v>0.49506417371802125</v>
      </c>
      <c r="D194" s="2">
        <v>0.99439999999999995</v>
      </c>
      <c r="E194" s="2" t="e">
        <v>#N/A</v>
      </c>
      <c r="F194" s="2">
        <v>0.36713318135422596</v>
      </c>
      <c r="G194" s="2">
        <v>0.65574374129895108</v>
      </c>
      <c r="H194" s="11">
        <v>0.62808527409279957</v>
      </c>
      <c r="I194" s="2">
        <v>0.30101024183633923</v>
      </c>
      <c r="J194" s="2">
        <v>0.29457352562216998</v>
      </c>
      <c r="K194" s="2">
        <v>1</v>
      </c>
      <c r="L194" s="2">
        <v>1</v>
      </c>
      <c r="M194" s="84">
        <v>0.64889594186462729</v>
      </c>
      <c r="N194" s="46">
        <v>0.47087801862313006</v>
      </c>
      <c r="O194" s="46">
        <v>0.5162752298447767</v>
      </c>
      <c r="P194" s="21">
        <v>2470</v>
      </c>
      <c r="Q194" s="22">
        <v>7.81</v>
      </c>
      <c r="R194" s="23">
        <v>0.57999999999999996</v>
      </c>
      <c r="S194" s="2">
        <v>0.3762800391389432</v>
      </c>
      <c r="T194" s="2">
        <v>1</v>
      </c>
      <c r="U194" s="2">
        <v>0.40479999944567679</v>
      </c>
      <c r="V194" s="2">
        <v>0.35</v>
      </c>
      <c r="W194" s="2">
        <v>0.25133333333333335</v>
      </c>
      <c r="X194" s="2">
        <v>0.50079999953508381</v>
      </c>
      <c r="Y194" s="2">
        <v>0.55766666666666664</v>
      </c>
      <c r="Z194" s="2">
        <v>0.69467799984626477</v>
      </c>
      <c r="AA194" s="2">
        <v>0.94358301024951496</v>
      </c>
      <c r="AB194" s="2">
        <v>0.04</v>
      </c>
      <c r="AC194" s="2">
        <v>0.85859999891370542</v>
      </c>
      <c r="AD194" s="2">
        <v>1</v>
      </c>
      <c r="AE194" s="2">
        <v>0.78249999999999997</v>
      </c>
      <c r="AF194" s="2">
        <v>0.9496</v>
      </c>
      <c r="AG194" s="2">
        <v>0.4920043696066746</v>
      </c>
      <c r="AH194" s="2">
        <v>0.41061946999999999</v>
      </c>
      <c r="AI194" s="2">
        <v>5.3027475063964789E-2</v>
      </c>
      <c r="AJ194" s="2">
        <v>0.28675046817348565</v>
      </c>
      <c r="AK194" s="2">
        <v>7.6349217347524779E-3</v>
      </c>
      <c r="AL194" s="2">
        <v>2.3693721684414099E-2</v>
      </c>
      <c r="AM194" s="2">
        <v>0.61799999999999999</v>
      </c>
      <c r="AN194" s="2">
        <v>0</v>
      </c>
      <c r="AO194" s="2">
        <v>3.1251775669072106E-2</v>
      </c>
      <c r="AP194" s="2">
        <v>0.92170000152453979</v>
      </c>
      <c r="AQ194" s="16">
        <v>0.48143846877442042</v>
      </c>
      <c r="AR194" s="2">
        <v>0.74400000000000011</v>
      </c>
      <c r="AS194" s="2">
        <v>0.3</v>
      </c>
      <c r="AT194" s="2">
        <v>0.83200000000000007</v>
      </c>
      <c r="AU194" s="2">
        <v>0.51300000000000001</v>
      </c>
      <c r="AV194" s="2">
        <v>0.45</v>
      </c>
      <c r="AW194" s="2">
        <v>0.65099999999999991</v>
      </c>
      <c r="AX194" s="2">
        <v>0.7609999999999999</v>
      </c>
      <c r="AY194" s="2">
        <v>4.3367034878583864E-2</v>
      </c>
      <c r="AZ194" s="2">
        <v>0.24896760382781657</v>
      </c>
      <c r="BA194" s="2">
        <v>0.29666924014584684</v>
      </c>
      <c r="BB194" s="2">
        <v>0.17922648732514707</v>
      </c>
      <c r="BC194" s="2">
        <v>0.13732876305307076</v>
      </c>
      <c r="BD194" s="2">
        <v>0.27194444847089916</v>
      </c>
      <c r="BE194" s="2">
        <v>0.65400000000000003</v>
      </c>
    </row>
    <row r="195" spans="1:57">
      <c r="A195" s="1" t="s">
        <v>145</v>
      </c>
      <c r="B195" s="1" t="s">
        <v>382</v>
      </c>
      <c r="C195" s="2">
        <v>0.34341076245893976</v>
      </c>
      <c r="D195" s="2">
        <v>0.99859839104724013</v>
      </c>
      <c r="E195" s="2">
        <v>0.50736258661180422</v>
      </c>
      <c r="F195" s="2">
        <v>0.16102775791793172</v>
      </c>
      <c r="G195" s="2">
        <v>0.68274423217746483</v>
      </c>
      <c r="H195" s="11">
        <v>0.53862874604267608</v>
      </c>
      <c r="I195" s="2">
        <v>0.12432522961780776</v>
      </c>
      <c r="J195" s="2">
        <v>0.30625120140593148</v>
      </c>
      <c r="K195" s="2">
        <v>0.4</v>
      </c>
      <c r="L195" s="2">
        <v>0.81857142857142851</v>
      </c>
      <c r="M195" s="84">
        <v>0.41228696489879191</v>
      </c>
      <c r="N195" s="46">
        <v>0.53218719446422769</v>
      </c>
      <c r="O195" s="46">
        <v>0.51862982596818208</v>
      </c>
      <c r="P195" s="21">
        <v>1430</v>
      </c>
      <c r="Q195" s="22">
        <v>7.27</v>
      </c>
      <c r="R195" s="23">
        <v>0.48</v>
      </c>
      <c r="S195" s="2">
        <v>0.39770447347585114</v>
      </c>
      <c r="T195" s="2">
        <v>1.9847999926060438E-2</v>
      </c>
      <c r="U195" s="2">
        <v>0.42399999946355815</v>
      </c>
      <c r="V195" s="2">
        <v>0.32499999999999996</v>
      </c>
      <c r="W195" s="2">
        <v>0.33533333333333332</v>
      </c>
      <c r="X195" s="2">
        <v>0.52959999956190584</v>
      </c>
      <c r="Y195" s="2">
        <v>0.71575</v>
      </c>
      <c r="Z195" s="2">
        <v>0.65084399985596531</v>
      </c>
      <c r="AA195" s="2">
        <v>0.91650530785566664</v>
      </c>
      <c r="AB195" s="2">
        <v>0.22</v>
      </c>
      <c r="AC195" s="2">
        <v>0.20139999974519016</v>
      </c>
      <c r="AD195" s="2">
        <v>0.30739999961107967</v>
      </c>
      <c r="AE195" s="2">
        <v>0.40749999999999997</v>
      </c>
      <c r="AF195" s="2">
        <v>0.96720000000000006</v>
      </c>
      <c r="AG195" s="2">
        <v>0.82840148211509135</v>
      </c>
      <c r="AH195" s="2">
        <v>0.92626505999999997</v>
      </c>
      <c r="AI195" s="2">
        <v>0.50805115585256599</v>
      </c>
      <c r="AJ195" s="2">
        <v>0.69153345396550092</v>
      </c>
      <c r="AK195" s="2">
        <v>0</v>
      </c>
      <c r="AL195" s="2">
        <v>0</v>
      </c>
      <c r="AM195" s="2">
        <v>0.81200000000000006</v>
      </c>
      <c r="AN195" s="2">
        <v>1</v>
      </c>
      <c r="AO195" s="2">
        <v>1</v>
      </c>
      <c r="AP195" s="2">
        <v>0.78</v>
      </c>
      <c r="AQ195" s="16">
        <v>0.54018067769840694</v>
      </c>
      <c r="AR195" s="2">
        <v>0.66400000000000003</v>
      </c>
      <c r="AS195" s="2">
        <v>0.5</v>
      </c>
      <c r="AT195" s="2">
        <v>0.72400000000000009</v>
      </c>
      <c r="AU195" s="2">
        <v>0.82599999999999996</v>
      </c>
      <c r="AV195" s="2">
        <v>0.5</v>
      </c>
      <c r="AW195" s="2">
        <v>0.63300000000000001</v>
      </c>
      <c r="AX195" s="2">
        <v>0.79900000000000004</v>
      </c>
      <c r="AY195" s="2">
        <v>0.60058659603918341</v>
      </c>
      <c r="AZ195" s="2">
        <v>0.44660018796961082</v>
      </c>
      <c r="BA195" s="2">
        <v>0.39989174058000099</v>
      </c>
      <c r="BB195" s="2">
        <v>0.3747361653023259</v>
      </c>
      <c r="BC195" s="2">
        <v>2.7473143010661005E-2</v>
      </c>
      <c r="BD195" s="2">
        <v>0.40499284359157867</v>
      </c>
      <c r="BE195" s="2">
        <v>0.56999999999999995</v>
      </c>
    </row>
    <row r="196" spans="1:57">
      <c r="A196" s="1" t="s">
        <v>138</v>
      </c>
      <c r="B196" s="1" t="s">
        <v>383</v>
      </c>
      <c r="C196" s="2">
        <v>0.51978125304598533</v>
      </c>
      <c r="D196" s="2">
        <v>0.99827650170444926</v>
      </c>
      <c r="E196" s="2">
        <v>1</v>
      </c>
      <c r="F196" s="2">
        <v>0.18864757056577322</v>
      </c>
      <c r="G196" s="2">
        <v>0.72999509121486361</v>
      </c>
      <c r="H196" s="11">
        <v>0.68734008330621421</v>
      </c>
      <c r="I196" s="2">
        <v>0.81023215934330262</v>
      </c>
      <c r="J196" s="2">
        <v>0.34123694085309736</v>
      </c>
      <c r="K196" s="2">
        <v>0.47499999999999998</v>
      </c>
      <c r="L196" s="2">
        <v>0.34428571428571431</v>
      </c>
      <c r="M196" s="84">
        <v>0.49268870362052852</v>
      </c>
      <c r="N196" s="46">
        <v>0.44705814048574682</v>
      </c>
      <c r="O196" s="46">
        <v>0.48899547280821548</v>
      </c>
      <c r="P196" s="21">
        <v>395</v>
      </c>
      <c r="Q196" s="22">
        <v>5.98</v>
      </c>
      <c r="R196" s="23" t="s">
        <v>460</v>
      </c>
      <c r="S196" s="2">
        <v>0.328224506683641</v>
      </c>
      <c r="T196" s="2">
        <v>0.2102</v>
      </c>
      <c r="U196" s="2">
        <v>0.21279999926686288</v>
      </c>
      <c r="V196" s="2">
        <v>0.35</v>
      </c>
      <c r="W196" s="2">
        <v>0.17066666666666666</v>
      </c>
      <c r="X196" s="2">
        <v>0.57759999960660935</v>
      </c>
      <c r="Y196" s="2">
        <v>0.69216666666666671</v>
      </c>
      <c r="Z196" s="2">
        <v>0.62801799986101681</v>
      </c>
      <c r="AA196" s="2">
        <v>0.95348838248433332</v>
      </c>
      <c r="AB196" s="2">
        <v>0.44</v>
      </c>
      <c r="AC196" s="2">
        <v>0.29679999962449077</v>
      </c>
      <c r="AD196" s="2">
        <v>0.35199999928474429</v>
      </c>
      <c r="AE196" s="2">
        <v>0.40749999999999997</v>
      </c>
      <c r="AF196" s="2">
        <v>0.95840000000000003</v>
      </c>
      <c r="AG196" s="2">
        <v>0.85108323823377563</v>
      </c>
      <c r="AH196" s="2">
        <v>1</v>
      </c>
      <c r="AI196" s="2">
        <v>6.4709871252766019E-2</v>
      </c>
      <c r="AJ196" s="2">
        <v>0.61527120017106218</v>
      </c>
      <c r="AK196" s="2">
        <v>0</v>
      </c>
      <c r="AL196" s="2">
        <v>0</v>
      </c>
      <c r="AM196" s="2">
        <v>0.58499999999999996</v>
      </c>
      <c r="AN196" s="2">
        <v>0.57999999999999996</v>
      </c>
      <c r="AO196" s="2">
        <v>1.5509887553315237E-2</v>
      </c>
      <c r="AP196" s="2">
        <v>0.84039999932050702</v>
      </c>
      <c r="AQ196" s="16">
        <v>0.46374326736151916</v>
      </c>
      <c r="AR196" s="2">
        <v>0.3</v>
      </c>
      <c r="AS196" s="2">
        <v>0.1</v>
      </c>
      <c r="AT196" s="2">
        <v>0.58399999999999996</v>
      </c>
      <c r="AU196" s="2">
        <v>4.5540000010281793E-2</v>
      </c>
      <c r="AV196" s="2">
        <v>9.9000000022351736E-2</v>
      </c>
      <c r="AW196" s="2">
        <v>0.11528000035136937</v>
      </c>
      <c r="AX196" s="2">
        <v>0.44799999999999995</v>
      </c>
      <c r="AY196" s="2">
        <v>0.21563486489252465</v>
      </c>
      <c r="AZ196" s="2">
        <v>0.19237459735243459</v>
      </c>
      <c r="BA196" s="2">
        <v>0.20510644675898576</v>
      </c>
      <c r="BB196" s="2">
        <v>0.2627291184406616</v>
      </c>
      <c r="BC196" s="2">
        <v>4.5351834977471119E-2</v>
      </c>
      <c r="BD196" s="2">
        <v>0.12107668034454208</v>
      </c>
      <c r="BE196" s="2">
        <v>0.48200000000000004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Explanation</vt:lpstr>
      <vt:lpstr>New Data</vt:lpstr>
      <vt:lpstr>Graphics &amp; Tables</vt:lpstr>
      <vt:lpstr>Correlation matrix</vt:lpstr>
      <vt:lpstr>Urban Data</vt:lpstr>
      <vt:lpstr>Nat Cap Scores </vt:lpstr>
      <vt:lpstr>Threatened Data</vt:lpstr>
      <vt:lpstr>Existing 2011 Scores </vt:lpstr>
      <vt:lpstr>Full Set of Scores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2012-07-17T04:55:11Z</dcterms:created>
  <dcterms:modified xsi:type="dcterms:W3CDTF">2012-07-26T14:58:44Z</dcterms:modified>
</cp:coreProperties>
</file>