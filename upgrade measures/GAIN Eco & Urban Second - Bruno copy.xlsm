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221" codeName="{00000000-0000-0000-0000-000000000000}"/>
  <workbookPr showInkAnnotation="0" codeName="ThisWorkbook" autoCompressPictures="0"/>
  <bookViews>
    <workbookView xWindow="340" yWindow="140" windowWidth="49800" windowHeight="25340" tabRatio="613" activeTab="5"/>
  </bookViews>
  <sheets>
    <sheet name="Explanation" sheetId="17" r:id="rId1"/>
    <sheet name="New Data" sheetId="9" r:id="rId2"/>
    <sheet name="Graphics &amp; Tables" sheetId="14" r:id="rId3"/>
    <sheet name="Correl Matrix" sheetId="18" r:id="rId4"/>
    <sheet name="Aid correl" sheetId="19" r:id="rId5"/>
    <sheet name="Shout" sheetId="21" r:id="rId6"/>
  </sheets>
  <externalReferences>
    <externalReference r:id="rId7"/>
    <externalReference r:id="rId8"/>
    <externalReference r:id="rId9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9" i="9" l="1"/>
  <c r="V19" i="9"/>
  <c r="C19" i="9"/>
  <c r="S19" i="9"/>
  <c r="U19" i="9"/>
  <c r="W19" i="9"/>
  <c r="X19" i="9"/>
  <c r="Y19" i="9"/>
  <c r="Z19" i="9"/>
  <c r="AA19" i="9"/>
  <c r="AB19" i="9"/>
  <c r="AC19" i="9"/>
  <c r="AD19" i="9"/>
  <c r="AE19" i="9"/>
  <c r="AF19" i="9"/>
  <c r="AI19" i="9"/>
  <c r="AJ19" i="9"/>
  <c r="T20" i="9"/>
  <c r="V20" i="9"/>
  <c r="C20" i="9"/>
  <c r="S20" i="9"/>
  <c r="U20" i="9"/>
  <c r="W20" i="9"/>
  <c r="X20" i="9"/>
  <c r="Y20" i="9"/>
  <c r="Z20" i="9"/>
  <c r="AA20" i="9"/>
  <c r="AB20" i="9"/>
  <c r="AC20" i="9"/>
  <c r="AD20" i="9"/>
  <c r="AE20" i="9"/>
  <c r="AF20" i="9"/>
  <c r="AI20" i="9"/>
  <c r="AJ20" i="9"/>
  <c r="T21" i="9"/>
  <c r="V21" i="9"/>
  <c r="C21" i="9"/>
  <c r="S21" i="9"/>
  <c r="U21" i="9"/>
  <c r="W21" i="9"/>
  <c r="X21" i="9"/>
  <c r="Y21" i="9"/>
  <c r="Z21" i="9"/>
  <c r="AA21" i="9"/>
  <c r="AB21" i="9"/>
  <c r="AC21" i="9"/>
  <c r="AD21" i="9"/>
  <c r="AE21" i="9"/>
  <c r="AF21" i="9"/>
  <c r="AI21" i="9"/>
  <c r="AJ21" i="9"/>
  <c r="T22" i="9"/>
  <c r="V22" i="9"/>
  <c r="C22" i="9"/>
  <c r="S22" i="9"/>
  <c r="U22" i="9"/>
  <c r="W22" i="9"/>
  <c r="X22" i="9"/>
  <c r="Y22" i="9"/>
  <c r="Z22" i="9"/>
  <c r="AA22" i="9"/>
  <c r="AB22" i="9"/>
  <c r="AC22" i="9"/>
  <c r="AD22" i="9"/>
  <c r="AE22" i="9"/>
  <c r="AF22" i="9"/>
  <c r="AI22" i="9"/>
  <c r="AJ22" i="9"/>
  <c r="T23" i="9"/>
  <c r="V23" i="9"/>
  <c r="C23" i="9"/>
  <c r="S23" i="9"/>
  <c r="U23" i="9"/>
  <c r="W23" i="9"/>
  <c r="X23" i="9"/>
  <c r="Y23" i="9"/>
  <c r="Z23" i="9"/>
  <c r="AA23" i="9"/>
  <c r="AB23" i="9"/>
  <c r="AC23" i="9"/>
  <c r="AD23" i="9"/>
  <c r="AE23" i="9"/>
  <c r="AF23" i="9"/>
  <c r="AI23" i="9"/>
  <c r="AJ23" i="9"/>
  <c r="T24" i="9"/>
  <c r="V24" i="9"/>
  <c r="C24" i="9"/>
  <c r="S24" i="9"/>
  <c r="U24" i="9"/>
  <c r="W24" i="9"/>
  <c r="X24" i="9"/>
  <c r="Y24" i="9"/>
  <c r="Z24" i="9"/>
  <c r="AA24" i="9"/>
  <c r="AB24" i="9"/>
  <c r="AC24" i="9"/>
  <c r="AD24" i="9"/>
  <c r="AE24" i="9"/>
  <c r="AF24" i="9"/>
  <c r="AI24" i="9"/>
  <c r="AJ24" i="9"/>
  <c r="T25" i="9"/>
  <c r="V25" i="9"/>
  <c r="C25" i="9"/>
  <c r="S25" i="9"/>
  <c r="U25" i="9"/>
  <c r="W25" i="9"/>
  <c r="X25" i="9"/>
  <c r="Y25" i="9"/>
  <c r="Z25" i="9"/>
  <c r="AA25" i="9"/>
  <c r="AB25" i="9"/>
  <c r="AC25" i="9"/>
  <c r="AD25" i="9"/>
  <c r="AE25" i="9"/>
  <c r="AF25" i="9"/>
  <c r="AI25" i="9"/>
  <c r="AJ25" i="9"/>
  <c r="T26" i="9"/>
  <c r="V26" i="9"/>
  <c r="C26" i="9"/>
  <c r="S26" i="9"/>
  <c r="U26" i="9"/>
  <c r="W26" i="9"/>
  <c r="X26" i="9"/>
  <c r="Y26" i="9"/>
  <c r="Z26" i="9"/>
  <c r="AA26" i="9"/>
  <c r="AB26" i="9"/>
  <c r="AC26" i="9"/>
  <c r="AD26" i="9"/>
  <c r="AE26" i="9"/>
  <c r="AF26" i="9"/>
  <c r="AI26" i="9"/>
  <c r="AJ26" i="9"/>
  <c r="T27" i="9"/>
  <c r="V27" i="9"/>
  <c r="C27" i="9"/>
  <c r="S27" i="9"/>
  <c r="U27" i="9"/>
  <c r="W27" i="9"/>
  <c r="X27" i="9"/>
  <c r="Y27" i="9"/>
  <c r="Z27" i="9"/>
  <c r="AA27" i="9"/>
  <c r="AB27" i="9"/>
  <c r="AC27" i="9"/>
  <c r="AD27" i="9"/>
  <c r="AE27" i="9"/>
  <c r="AF27" i="9"/>
  <c r="AI27" i="9"/>
  <c r="AJ27" i="9"/>
  <c r="T28" i="9"/>
  <c r="V28" i="9"/>
  <c r="C28" i="9"/>
  <c r="S28" i="9"/>
  <c r="U28" i="9"/>
  <c r="W28" i="9"/>
  <c r="X28" i="9"/>
  <c r="Y28" i="9"/>
  <c r="Z28" i="9"/>
  <c r="AA28" i="9"/>
  <c r="AB28" i="9"/>
  <c r="AC28" i="9"/>
  <c r="AD28" i="9"/>
  <c r="AE28" i="9"/>
  <c r="AF28" i="9"/>
  <c r="AI28" i="9"/>
  <c r="AJ28" i="9"/>
  <c r="T29" i="9"/>
  <c r="V29" i="9"/>
  <c r="C29" i="9"/>
  <c r="S29" i="9"/>
  <c r="U29" i="9"/>
  <c r="W29" i="9"/>
  <c r="X29" i="9"/>
  <c r="Y29" i="9"/>
  <c r="Z29" i="9"/>
  <c r="AA29" i="9"/>
  <c r="AB29" i="9"/>
  <c r="AC29" i="9"/>
  <c r="AD29" i="9"/>
  <c r="AE29" i="9"/>
  <c r="AF29" i="9"/>
  <c r="AI29" i="9"/>
  <c r="AJ29" i="9"/>
  <c r="T30" i="9"/>
  <c r="V30" i="9"/>
  <c r="C30" i="9"/>
  <c r="S30" i="9"/>
  <c r="U30" i="9"/>
  <c r="W30" i="9"/>
  <c r="X30" i="9"/>
  <c r="Y30" i="9"/>
  <c r="Z30" i="9"/>
  <c r="AA30" i="9"/>
  <c r="AB30" i="9"/>
  <c r="AC30" i="9"/>
  <c r="AD30" i="9"/>
  <c r="AE30" i="9"/>
  <c r="AF30" i="9"/>
  <c r="AI30" i="9"/>
  <c r="AJ30" i="9"/>
  <c r="T31" i="9"/>
  <c r="V31" i="9"/>
  <c r="C31" i="9"/>
  <c r="S31" i="9"/>
  <c r="U31" i="9"/>
  <c r="W31" i="9"/>
  <c r="X31" i="9"/>
  <c r="Y31" i="9"/>
  <c r="Z31" i="9"/>
  <c r="AA31" i="9"/>
  <c r="AB31" i="9"/>
  <c r="AC31" i="9"/>
  <c r="AD31" i="9"/>
  <c r="AE31" i="9"/>
  <c r="AF31" i="9"/>
  <c r="AI31" i="9"/>
  <c r="AJ31" i="9"/>
  <c r="T32" i="9"/>
  <c r="V32" i="9"/>
  <c r="C32" i="9"/>
  <c r="S32" i="9"/>
  <c r="U32" i="9"/>
  <c r="W32" i="9"/>
  <c r="X32" i="9"/>
  <c r="Y32" i="9"/>
  <c r="Z32" i="9"/>
  <c r="AA32" i="9"/>
  <c r="AB32" i="9"/>
  <c r="AC32" i="9"/>
  <c r="AD32" i="9"/>
  <c r="AE32" i="9"/>
  <c r="AF32" i="9"/>
  <c r="AI32" i="9"/>
  <c r="AJ32" i="9"/>
  <c r="T33" i="9"/>
  <c r="V33" i="9"/>
  <c r="C33" i="9"/>
  <c r="S33" i="9"/>
  <c r="U33" i="9"/>
  <c r="W33" i="9"/>
  <c r="X33" i="9"/>
  <c r="Y33" i="9"/>
  <c r="Z33" i="9"/>
  <c r="AA33" i="9"/>
  <c r="AB33" i="9"/>
  <c r="AC33" i="9"/>
  <c r="AD33" i="9"/>
  <c r="AE33" i="9"/>
  <c r="AF33" i="9"/>
  <c r="AI33" i="9"/>
  <c r="AJ33" i="9"/>
  <c r="T34" i="9"/>
  <c r="V34" i="9"/>
  <c r="C34" i="9"/>
  <c r="S34" i="9"/>
  <c r="U34" i="9"/>
  <c r="W34" i="9"/>
  <c r="X34" i="9"/>
  <c r="Y34" i="9"/>
  <c r="Z34" i="9"/>
  <c r="AA34" i="9"/>
  <c r="AB34" i="9"/>
  <c r="AC34" i="9"/>
  <c r="AD34" i="9"/>
  <c r="AE34" i="9"/>
  <c r="AF34" i="9"/>
  <c r="AI34" i="9"/>
  <c r="AJ34" i="9"/>
  <c r="T35" i="9"/>
  <c r="V35" i="9"/>
  <c r="C35" i="9"/>
  <c r="S35" i="9"/>
  <c r="U35" i="9"/>
  <c r="W35" i="9"/>
  <c r="X35" i="9"/>
  <c r="Y35" i="9"/>
  <c r="Z35" i="9"/>
  <c r="AA35" i="9"/>
  <c r="AB35" i="9"/>
  <c r="AC35" i="9"/>
  <c r="AD35" i="9"/>
  <c r="AE35" i="9"/>
  <c r="AF35" i="9"/>
  <c r="AI35" i="9"/>
  <c r="AJ35" i="9"/>
  <c r="T36" i="9"/>
  <c r="V36" i="9"/>
  <c r="C36" i="9"/>
  <c r="S36" i="9"/>
  <c r="U36" i="9"/>
  <c r="W36" i="9"/>
  <c r="X36" i="9"/>
  <c r="Y36" i="9"/>
  <c r="Z36" i="9"/>
  <c r="AA36" i="9"/>
  <c r="AB36" i="9"/>
  <c r="AC36" i="9"/>
  <c r="AD36" i="9"/>
  <c r="AE36" i="9"/>
  <c r="AF36" i="9"/>
  <c r="AI36" i="9"/>
  <c r="AJ36" i="9"/>
  <c r="T37" i="9"/>
  <c r="V37" i="9"/>
  <c r="C37" i="9"/>
  <c r="S37" i="9"/>
  <c r="U37" i="9"/>
  <c r="W37" i="9"/>
  <c r="X37" i="9"/>
  <c r="Y37" i="9"/>
  <c r="Z37" i="9"/>
  <c r="AA37" i="9"/>
  <c r="AB37" i="9"/>
  <c r="AC37" i="9"/>
  <c r="AD37" i="9"/>
  <c r="AE37" i="9"/>
  <c r="AF37" i="9"/>
  <c r="AI37" i="9"/>
  <c r="AJ37" i="9"/>
  <c r="T38" i="9"/>
  <c r="V38" i="9"/>
  <c r="C38" i="9"/>
  <c r="S38" i="9"/>
  <c r="U38" i="9"/>
  <c r="W38" i="9"/>
  <c r="X38" i="9"/>
  <c r="Y38" i="9"/>
  <c r="Z38" i="9"/>
  <c r="AA38" i="9"/>
  <c r="AB38" i="9"/>
  <c r="AC38" i="9"/>
  <c r="AD38" i="9"/>
  <c r="AE38" i="9"/>
  <c r="AF38" i="9"/>
  <c r="AI38" i="9"/>
  <c r="AJ38" i="9"/>
  <c r="T39" i="9"/>
  <c r="V39" i="9"/>
  <c r="C39" i="9"/>
  <c r="S39" i="9"/>
  <c r="U39" i="9"/>
  <c r="W39" i="9"/>
  <c r="X39" i="9"/>
  <c r="Y39" i="9"/>
  <c r="Z39" i="9"/>
  <c r="AA39" i="9"/>
  <c r="AB39" i="9"/>
  <c r="AC39" i="9"/>
  <c r="AD39" i="9"/>
  <c r="AE39" i="9"/>
  <c r="AF39" i="9"/>
  <c r="AI39" i="9"/>
  <c r="AJ39" i="9"/>
  <c r="T40" i="9"/>
  <c r="V40" i="9"/>
  <c r="C40" i="9"/>
  <c r="S40" i="9"/>
  <c r="U40" i="9"/>
  <c r="W40" i="9"/>
  <c r="X40" i="9"/>
  <c r="Y40" i="9"/>
  <c r="Z40" i="9"/>
  <c r="AA40" i="9"/>
  <c r="AB40" i="9"/>
  <c r="AC40" i="9"/>
  <c r="AD40" i="9"/>
  <c r="AE40" i="9"/>
  <c r="AF40" i="9"/>
  <c r="AI40" i="9"/>
  <c r="AJ40" i="9"/>
  <c r="T41" i="9"/>
  <c r="V41" i="9"/>
  <c r="C41" i="9"/>
  <c r="S41" i="9"/>
  <c r="U41" i="9"/>
  <c r="W41" i="9"/>
  <c r="X41" i="9"/>
  <c r="Y41" i="9"/>
  <c r="Z41" i="9"/>
  <c r="AA41" i="9"/>
  <c r="AB41" i="9"/>
  <c r="AC41" i="9"/>
  <c r="AD41" i="9"/>
  <c r="AE41" i="9"/>
  <c r="AF41" i="9"/>
  <c r="AI41" i="9"/>
  <c r="AJ41" i="9"/>
  <c r="T42" i="9"/>
  <c r="V42" i="9"/>
  <c r="C42" i="9"/>
  <c r="S42" i="9"/>
  <c r="U42" i="9"/>
  <c r="W42" i="9"/>
  <c r="X42" i="9"/>
  <c r="Y42" i="9"/>
  <c r="Z42" i="9"/>
  <c r="AA42" i="9"/>
  <c r="AB42" i="9"/>
  <c r="AC42" i="9"/>
  <c r="AD42" i="9"/>
  <c r="AE42" i="9"/>
  <c r="AF42" i="9"/>
  <c r="AI42" i="9"/>
  <c r="AJ42" i="9"/>
  <c r="T43" i="9"/>
  <c r="V43" i="9"/>
  <c r="C43" i="9"/>
  <c r="S43" i="9"/>
  <c r="U43" i="9"/>
  <c r="W43" i="9"/>
  <c r="X43" i="9"/>
  <c r="Y43" i="9"/>
  <c r="Z43" i="9"/>
  <c r="AA43" i="9"/>
  <c r="AB43" i="9"/>
  <c r="AC43" i="9"/>
  <c r="AD43" i="9"/>
  <c r="AE43" i="9"/>
  <c r="AF43" i="9"/>
  <c r="AI43" i="9"/>
  <c r="AJ43" i="9"/>
  <c r="T44" i="9"/>
  <c r="V44" i="9"/>
  <c r="C44" i="9"/>
  <c r="S44" i="9"/>
  <c r="U44" i="9"/>
  <c r="W44" i="9"/>
  <c r="X44" i="9"/>
  <c r="Y44" i="9"/>
  <c r="Z44" i="9"/>
  <c r="AA44" i="9"/>
  <c r="AB44" i="9"/>
  <c r="AC44" i="9"/>
  <c r="AD44" i="9"/>
  <c r="AE44" i="9"/>
  <c r="AF44" i="9"/>
  <c r="AI44" i="9"/>
  <c r="AJ44" i="9"/>
  <c r="T45" i="9"/>
  <c r="V45" i="9"/>
  <c r="C45" i="9"/>
  <c r="S45" i="9"/>
  <c r="U45" i="9"/>
  <c r="W45" i="9"/>
  <c r="X45" i="9"/>
  <c r="Y45" i="9"/>
  <c r="Z45" i="9"/>
  <c r="AA45" i="9"/>
  <c r="AB45" i="9"/>
  <c r="AC45" i="9"/>
  <c r="AD45" i="9"/>
  <c r="AE45" i="9"/>
  <c r="AF45" i="9"/>
  <c r="AI45" i="9"/>
  <c r="AJ45" i="9"/>
  <c r="T46" i="9"/>
  <c r="V46" i="9"/>
  <c r="C46" i="9"/>
  <c r="S46" i="9"/>
  <c r="U46" i="9"/>
  <c r="W46" i="9"/>
  <c r="X46" i="9"/>
  <c r="Y46" i="9"/>
  <c r="Z46" i="9"/>
  <c r="AA46" i="9"/>
  <c r="AB46" i="9"/>
  <c r="AC46" i="9"/>
  <c r="AD46" i="9"/>
  <c r="AE46" i="9"/>
  <c r="AF46" i="9"/>
  <c r="AI46" i="9"/>
  <c r="AJ46" i="9"/>
  <c r="T47" i="9"/>
  <c r="V47" i="9"/>
  <c r="C47" i="9"/>
  <c r="S47" i="9"/>
  <c r="U47" i="9"/>
  <c r="W47" i="9"/>
  <c r="X47" i="9"/>
  <c r="Y47" i="9"/>
  <c r="Z47" i="9"/>
  <c r="AA47" i="9"/>
  <c r="AB47" i="9"/>
  <c r="AC47" i="9"/>
  <c r="AD47" i="9"/>
  <c r="AE47" i="9"/>
  <c r="AF47" i="9"/>
  <c r="AI47" i="9"/>
  <c r="AJ47" i="9"/>
  <c r="T48" i="9"/>
  <c r="V48" i="9"/>
  <c r="C48" i="9"/>
  <c r="S48" i="9"/>
  <c r="U48" i="9"/>
  <c r="W48" i="9"/>
  <c r="X48" i="9"/>
  <c r="Y48" i="9"/>
  <c r="Z48" i="9"/>
  <c r="AA48" i="9"/>
  <c r="AB48" i="9"/>
  <c r="AC48" i="9"/>
  <c r="AD48" i="9"/>
  <c r="AE48" i="9"/>
  <c r="AF48" i="9"/>
  <c r="AI48" i="9"/>
  <c r="AJ48" i="9"/>
  <c r="T49" i="9"/>
  <c r="V49" i="9"/>
  <c r="C49" i="9"/>
  <c r="S49" i="9"/>
  <c r="U49" i="9"/>
  <c r="W49" i="9"/>
  <c r="X49" i="9"/>
  <c r="Y49" i="9"/>
  <c r="Z49" i="9"/>
  <c r="AA49" i="9"/>
  <c r="AB49" i="9"/>
  <c r="AC49" i="9"/>
  <c r="AD49" i="9"/>
  <c r="AE49" i="9"/>
  <c r="AF49" i="9"/>
  <c r="AI49" i="9"/>
  <c r="AJ49" i="9"/>
  <c r="T50" i="9"/>
  <c r="V50" i="9"/>
  <c r="C50" i="9"/>
  <c r="S50" i="9"/>
  <c r="U50" i="9"/>
  <c r="W50" i="9"/>
  <c r="X50" i="9"/>
  <c r="Y50" i="9"/>
  <c r="Z50" i="9"/>
  <c r="AA50" i="9"/>
  <c r="AB50" i="9"/>
  <c r="AC50" i="9"/>
  <c r="AD50" i="9"/>
  <c r="AE50" i="9"/>
  <c r="AF50" i="9"/>
  <c r="AI50" i="9"/>
  <c r="AJ50" i="9"/>
  <c r="T51" i="9"/>
  <c r="V51" i="9"/>
  <c r="C51" i="9"/>
  <c r="S51" i="9"/>
  <c r="U51" i="9"/>
  <c r="W51" i="9"/>
  <c r="X51" i="9"/>
  <c r="Y51" i="9"/>
  <c r="Z51" i="9"/>
  <c r="AA51" i="9"/>
  <c r="AB51" i="9"/>
  <c r="AC51" i="9"/>
  <c r="AD51" i="9"/>
  <c r="AE51" i="9"/>
  <c r="AF51" i="9"/>
  <c r="AI51" i="9"/>
  <c r="AJ51" i="9"/>
  <c r="T52" i="9"/>
  <c r="V52" i="9"/>
  <c r="C52" i="9"/>
  <c r="S52" i="9"/>
  <c r="U52" i="9"/>
  <c r="W52" i="9"/>
  <c r="X52" i="9"/>
  <c r="Y52" i="9"/>
  <c r="Z52" i="9"/>
  <c r="AA52" i="9"/>
  <c r="AB52" i="9"/>
  <c r="AC52" i="9"/>
  <c r="AD52" i="9"/>
  <c r="AE52" i="9"/>
  <c r="AF52" i="9"/>
  <c r="AI52" i="9"/>
  <c r="AJ52" i="9"/>
  <c r="T53" i="9"/>
  <c r="V53" i="9"/>
  <c r="C53" i="9"/>
  <c r="S53" i="9"/>
  <c r="U53" i="9"/>
  <c r="W53" i="9"/>
  <c r="X53" i="9"/>
  <c r="Y53" i="9"/>
  <c r="Z53" i="9"/>
  <c r="AA53" i="9"/>
  <c r="AB53" i="9"/>
  <c r="AC53" i="9"/>
  <c r="AD53" i="9"/>
  <c r="AE53" i="9"/>
  <c r="AF53" i="9"/>
  <c r="AI53" i="9"/>
  <c r="AJ53" i="9"/>
  <c r="T54" i="9"/>
  <c r="V54" i="9"/>
  <c r="C54" i="9"/>
  <c r="S54" i="9"/>
  <c r="U54" i="9"/>
  <c r="W54" i="9"/>
  <c r="X54" i="9"/>
  <c r="Y54" i="9"/>
  <c r="Z54" i="9"/>
  <c r="AA54" i="9"/>
  <c r="AB54" i="9"/>
  <c r="AC54" i="9"/>
  <c r="AD54" i="9"/>
  <c r="AE54" i="9"/>
  <c r="AF54" i="9"/>
  <c r="AI54" i="9"/>
  <c r="AJ54" i="9"/>
  <c r="T55" i="9"/>
  <c r="V55" i="9"/>
  <c r="C55" i="9"/>
  <c r="S55" i="9"/>
  <c r="U55" i="9"/>
  <c r="W55" i="9"/>
  <c r="X55" i="9"/>
  <c r="Y55" i="9"/>
  <c r="Z55" i="9"/>
  <c r="AA55" i="9"/>
  <c r="AB55" i="9"/>
  <c r="AC55" i="9"/>
  <c r="AD55" i="9"/>
  <c r="AE55" i="9"/>
  <c r="AF55" i="9"/>
  <c r="AI55" i="9"/>
  <c r="AJ55" i="9"/>
  <c r="T56" i="9"/>
  <c r="V56" i="9"/>
  <c r="C56" i="9"/>
  <c r="S56" i="9"/>
  <c r="U56" i="9"/>
  <c r="W56" i="9"/>
  <c r="X56" i="9"/>
  <c r="Y56" i="9"/>
  <c r="Z56" i="9"/>
  <c r="AA56" i="9"/>
  <c r="AB56" i="9"/>
  <c r="AC56" i="9"/>
  <c r="AD56" i="9"/>
  <c r="AE56" i="9"/>
  <c r="AF56" i="9"/>
  <c r="AI56" i="9"/>
  <c r="AJ56" i="9"/>
  <c r="T57" i="9"/>
  <c r="V57" i="9"/>
  <c r="C57" i="9"/>
  <c r="S57" i="9"/>
  <c r="U57" i="9"/>
  <c r="W57" i="9"/>
  <c r="X57" i="9"/>
  <c r="Y57" i="9"/>
  <c r="Z57" i="9"/>
  <c r="AA57" i="9"/>
  <c r="AB57" i="9"/>
  <c r="AC57" i="9"/>
  <c r="AD57" i="9"/>
  <c r="AE57" i="9"/>
  <c r="AF57" i="9"/>
  <c r="AI57" i="9"/>
  <c r="AJ57" i="9"/>
  <c r="T58" i="9"/>
  <c r="V58" i="9"/>
  <c r="C58" i="9"/>
  <c r="S58" i="9"/>
  <c r="U58" i="9"/>
  <c r="W58" i="9"/>
  <c r="X58" i="9"/>
  <c r="Y58" i="9"/>
  <c r="Z58" i="9"/>
  <c r="AA58" i="9"/>
  <c r="AB58" i="9"/>
  <c r="AC58" i="9"/>
  <c r="AD58" i="9"/>
  <c r="AE58" i="9"/>
  <c r="AF58" i="9"/>
  <c r="AI58" i="9"/>
  <c r="AJ58" i="9"/>
  <c r="T59" i="9"/>
  <c r="V59" i="9"/>
  <c r="C59" i="9"/>
  <c r="S59" i="9"/>
  <c r="U59" i="9"/>
  <c r="W59" i="9"/>
  <c r="X59" i="9"/>
  <c r="Y59" i="9"/>
  <c r="Z59" i="9"/>
  <c r="AA59" i="9"/>
  <c r="AB59" i="9"/>
  <c r="AC59" i="9"/>
  <c r="AD59" i="9"/>
  <c r="AE59" i="9"/>
  <c r="AF59" i="9"/>
  <c r="AI59" i="9"/>
  <c r="AJ59" i="9"/>
  <c r="T60" i="9"/>
  <c r="V60" i="9"/>
  <c r="C60" i="9"/>
  <c r="S60" i="9"/>
  <c r="U60" i="9"/>
  <c r="W60" i="9"/>
  <c r="X60" i="9"/>
  <c r="Y60" i="9"/>
  <c r="Z60" i="9"/>
  <c r="AA60" i="9"/>
  <c r="AB60" i="9"/>
  <c r="AC60" i="9"/>
  <c r="AD60" i="9"/>
  <c r="AE60" i="9"/>
  <c r="AF60" i="9"/>
  <c r="AI60" i="9"/>
  <c r="AJ60" i="9"/>
  <c r="T61" i="9"/>
  <c r="V61" i="9"/>
  <c r="C61" i="9"/>
  <c r="S61" i="9"/>
  <c r="U61" i="9"/>
  <c r="W61" i="9"/>
  <c r="X61" i="9"/>
  <c r="Y61" i="9"/>
  <c r="Z61" i="9"/>
  <c r="AA61" i="9"/>
  <c r="AB61" i="9"/>
  <c r="AC61" i="9"/>
  <c r="AD61" i="9"/>
  <c r="AE61" i="9"/>
  <c r="AF61" i="9"/>
  <c r="AI61" i="9"/>
  <c r="AJ61" i="9"/>
  <c r="T62" i="9"/>
  <c r="V62" i="9"/>
  <c r="C62" i="9"/>
  <c r="S62" i="9"/>
  <c r="U62" i="9"/>
  <c r="W62" i="9"/>
  <c r="X62" i="9"/>
  <c r="Y62" i="9"/>
  <c r="Z62" i="9"/>
  <c r="AA62" i="9"/>
  <c r="AB62" i="9"/>
  <c r="AC62" i="9"/>
  <c r="AD62" i="9"/>
  <c r="AE62" i="9"/>
  <c r="AF62" i="9"/>
  <c r="AI62" i="9"/>
  <c r="AJ62" i="9"/>
  <c r="T63" i="9"/>
  <c r="V63" i="9"/>
  <c r="C63" i="9"/>
  <c r="S63" i="9"/>
  <c r="U63" i="9"/>
  <c r="W63" i="9"/>
  <c r="X63" i="9"/>
  <c r="Y63" i="9"/>
  <c r="Z63" i="9"/>
  <c r="AA63" i="9"/>
  <c r="AB63" i="9"/>
  <c r="AC63" i="9"/>
  <c r="AD63" i="9"/>
  <c r="AE63" i="9"/>
  <c r="AF63" i="9"/>
  <c r="AI63" i="9"/>
  <c r="AJ63" i="9"/>
  <c r="T64" i="9"/>
  <c r="V64" i="9"/>
  <c r="C64" i="9"/>
  <c r="S64" i="9"/>
  <c r="U64" i="9"/>
  <c r="W64" i="9"/>
  <c r="X64" i="9"/>
  <c r="Y64" i="9"/>
  <c r="Z64" i="9"/>
  <c r="AA64" i="9"/>
  <c r="AB64" i="9"/>
  <c r="AC64" i="9"/>
  <c r="AD64" i="9"/>
  <c r="AE64" i="9"/>
  <c r="AF64" i="9"/>
  <c r="AI64" i="9"/>
  <c r="AJ64" i="9"/>
  <c r="T65" i="9"/>
  <c r="V65" i="9"/>
  <c r="C65" i="9"/>
  <c r="S65" i="9"/>
  <c r="U65" i="9"/>
  <c r="W65" i="9"/>
  <c r="X65" i="9"/>
  <c r="Y65" i="9"/>
  <c r="Z65" i="9"/>
  <c r="AA65" i="9"/>
  <c r="AB65" i="9"/>
  <c r="AC65" i="9"/>
  <c r="AD65" i="9"/>
  <c r="AE65" i="9"/>
  <c r="AF65" i="9"/>
  <c r="AI65" i="9"/>
  <c r="AJ65" i="9"/>
  <c r="T66" i="9"/>
  <c r="V66" i="9"/>
  <c r="C66" i="9"/>
  <c r="S66" i="9"/>
  <c r="U66" i="9"/>
  <c r="W66" i="9"/>
  <c r="X66" i="9"/>
  <c r="Y66" i="9"/>
  <c r="Z66" i="9"/>
  <c r="AA66" i="9"/>
  <c r="AB66" i="9"/>
  <c r="AC66" i="9"/>
  <c r="AD66" i="9"/>
  <c r="AE66" i="9"/>
  <c r="AF66" i="9"/>
  <c r="AI66" i="9"/>
  <c r="AJ66" i="9"/>
  <c r="T67" i="9"/>
  <c r="V67" i="9"/>
  <c r="C67" i="9"/>
  <c r="S67" i="9"/>
  <c r="U67" i="9"/>
  <c r="W67" i="9"/>
  <c r="X67" i="9"/>
  <c r="Y67" i="9"/>
  <c r="Z67" i="9"/>
  <c r="AA67" i="9"/>
  <c r="AB67" i="9"/>
  <c r="AC67" i="9"/>
  <c r="AD67" i="9"/>
  <c r="AE67" i="9"/>
  <c r="AF67" i="9"/>
  <c r="AI67" i="9"/>
  <c r="AJ67" i="9"/>
  <c r="T68" i="9"/>
  <c r="V68" i="9"/>
  <c r="C68" i="9"/>
  <c r="S68" i="9"/>
  <c r="U68" i="9"/>
  <c r="W68" i="9"/>
  <c r="X68" i="9"/>
  <c r="Y68" i="9"/>
  <c r="Z68" i="9"/>
  <c r="AA68" i="9"/>
  <c r="AB68" i="9"/>
  <c r="AC68" i="9"/>
  <c r="AD68" i="9"/>
  <c r="AE68" i="9"/>
  <c r="AF68" i="9"/>
  <c r="AI68" i="9"/>
  <c r="AJ68" i="9"/>
  <c r="T69" i="9"/>
  <c r="V69" i="9"/>
  <c r="C69" i="9"/>
  <c r="S69" i="9"/>
  <c r="U69" i="9"/>
  <c r="W69" i="9"/>
  <c r="X69" i="9"/>
  <c r="Y69" i="9"/>
  <c r="Z69" i="9"/>
  <c r="AA69" i="9"/>
  <c r="AB69" i="9"/>
  <c r="AC69" i="9"/>
  <c r="AD69" i="9"/>
  <c r="AE69" i="9"/>
  <c r="AF69" i="9"/>
  <c r="AI69" i="9"/>
  <c r="AJ69" i="9"/>
  <c r="T70" i="9"/>
  <c r="V70" i="9"/>
  <c r="C70" i="9"/>
  <c r="S70" i="9"/>
  <c r="U70" i="9"/>
  <c r="W70" i="9"/>
  <c r="X70" i="9"/>
  <c r="Y70" i="9"/>
  <c r="Z70" i="9"/>
  <c r="AA70" i="9"/>
  <c r="AB70" i="9"/>
  <c r="AC70" i="9"/>
  <c r="AD70" i="9"/>
  <c r="AE70" i="9"/>
  <c r="AF70" i="9"/>
  <c r="AI70" i="9"/>
  <c r="AJ70" i="9"/>
  <c r="T71" i="9"/>
  <c r="V71" i="9"/>
  <c r="C71" i="9"/>
  <c r="S71" i="9"/>
  <c r="U71" i="9"/>
  <c r="W71" i="9"/>
  <c r="X71" i="9"/>
  <c r="Y71" i="9"/>
  <c r="Z71" i="9"/>
  <c r="AA71" i="9"/>
  <c r="AB71" i="9"/>
  <c r="AC71" i="9"/>
  <c r="AD71" i="9"/>
  <c r="AE71" i="9"/>
  <c r="AF71" i="9"/>
  <c r="AI71" i="9"/>
  <c r="AJ71" i="9"/>
  <c r="T72" i="9"/>
  <c r="V72" i="9"/>
  <c r="C72" i="9"/>
  <c r="S72" i="9"/>
  <c r="U72" i="9"/>
  <c r="W72" i="9"/>
  <c r="X72" i="9"/>
  <c r="Y72" i="9"/>
  <c r="Z72" i="9"/>
  <c r="AA72" i="9"/>
  <c r="AB72" i="9"/>
  <c r="AC72" i="9"/>
  <c r="AD72" i="9"/>
  <c r="AE72" i="9"/>
  <c r="AF72" i="9"/>
  <c r="AI72" i="9"/>
  <c r="AJ72" i="9"/>
  <c r="T73" i="9"/>
  <c r="V73" i="9"/>
  <c r="C73" i="9"/>
  <c r="S73" i="9"/>
  <c r="U73" i="9"/>
  <c r="W73" i="9"/>
  <c r="X73" i="9"/>
  <c r="Y73" i="9"/>
  <c r="Z73" i="9"/>
  <c r="AA73" i="9"/>
  <c r="AB73" i="9"/>
  <c r="AC73" i="9"/>
  <c r="AD73" i="9"/>
  <c r="AE73" i="9"/>
  <c r="AF73" i="9"/>
  <c r="AI73" i="9"/>
  <c r="AJ73" i="9"/>
  <c r="T74" i="9"/>
  <c r="V74" i="9"/>
  <c r="C74" i="9"/>
  <c r="S74" i="9"/>
  <c r="U74" i="9"/>
  <c r="W74" i="9"/>
  <c r="X74" i="9"/>
  <c r="Y74" i="9"/>
  <c r="Z74" i="9"/>
  <c r="AA74" i="9"/>
  <c r="AB74" i="9"/>
  <c r="AC74" i="9"/>
  <c r="AD74" i="9"/>
  <c r="AE74" i="9"/>
  <c r="AF74" i="9"/>
  <c r="AI74" i="9"/>
  <c r="AJ74" i="9"/>
  <c r="T75" i="9"/>
  <c r="V75" i="9"/>
  <c r="C75" i="9"/>
  <c r="S75" i="9"/>
  <c r="U75" i="9"/>
  <c r="W75" i="9"/>
  <c r="X75" i="9"/>
  <c r="Y75" i="9"/>
  <c r="Z75" i="9"/>
  <c r="AA75" i="9"/>
  <c r="AB75" i="9"/>
  <c r="AC75" i="9"/>
  <c r="AD75" i="9"/>
  <c r="AE75" i="9"/>
  <c r="AF75" i="9"/>
  <c r="AI75" i="9"/>
  <c r="AJ75" i="9"/>
  <c r="T76" i="9"/>
  <c r="V76" i="9"/>
  <c r="C76" i="9"/>
  <c r="S76" i="9"/>
  <c r="U76" i="9"/>
  <c r="W76" i="9"/>
  <c r="X76" i="9"/>
  <c r="Y76" i="9"/>
  <c r="Z76" i="9"/>
  <c r="AA76" i="9"/>
  <c r="AB76" i="9"/>
  <c r="AC76" i="9"/>
  <c r="AD76" i="9"/>
  <c r="AE76" i="9"/>
  <c r="AF76" i="9"/>
  <c r="AI76" i="9"/>
  <c r="AJ76" i="9"/>
  <c r="T77" i="9"/>
  <c r="V77" i="9"/>
  <c r="C77" i="9"/>
  <c r="S77" i="9"/>
  <c r="U77" i="9"/>
  <c r="W77" i="9"/>
  <c r="X77" i="9"/>
  <c r="Y77" i="9"/>
  <c r="Z77" i="9"/>
  <c r="AA77" i="9"/>
  <c r="AB77" i="9"/>
  <c r="AC77" i="9"/>
  <c r="AD77" i="9"/>
  <c r="AE77" i="9"/>
  <c r="AF77" i="9"/>
  <c r="AI77" i="9"/>
  <c r="AJ77" i="9"/>
  <c r="T78" i="9"/>
  <c r="V78" i="9"/>
  <c r="C78" i="9"/>
  <c r="S78" i="9"/>
  <c r="U78" i="9"/>
  <c r="W78" i="9"/>
  <c r="X78" i="9"/>
  <c r="Y78" i="9"/>
  <c r="Z78" i="9"/>
  <c r="AA78" i="9"/>
  <c r="AB78" i="9"/>
  <c r="AC78" i="9"/>
  <c r="AD78" i="9"/>
  <c r="AE78" i="9"/>
  <c r="AF78" i="9"/>
  <c r="AI78" i="9"/>
  <c r="AJ78" i="9"/>
  <c r="T79" i="9"/>
  <c r="V79" i="9"/>
  <c r="C79" i="9"/>
  <c r="S79" i="9"/>
  <c r="U79" i="9"/>
  <c r="W79" i="9"/>
  <c r="X79" i="9"/>
  <c r="Y79" i="9"/>
  <c r="Z79" i="9"/>
  <c r="AA79" i="9"/>
  <c r="AB79" i="9"/>
  <c r="AC79" i="9"/>
  <c r="AD79" i="9"/>
  <c r="AE79" i="9"/>
  <c r="AF79" i="9"/>
  <c r="AI79" i="9"/>
  <c r="AJ79" i="9"/>
  <c r="T80" i="9"/>
  <c r="V80" i="9"/>
  <c r="C80" i="9"/>
  <c r="S80" i="9"/>
  <c r="U80" i="9"/>
  <c r="W80" i="9"/>
  <c r="X80" i="9"/>
  <c r="Y80" i="9"/>
  <c r="Z80" i="9"/>
  <c r="AA80" i="9"/>
  <c r="AB80" i="9"/>
  <c r="AC80" i="9"/>
  <c r="AD80" i="9"/>
  <c r="AE80" i="9"/>
  <c r="AF80" i="9"/>
  <c r="AI80" i="9"/>
  <c r="AJ80" i="9"/>
  <c r="T81" i="9"/>
  <c r="V81" i="9"/>
  <c r="C81" i="9"/>
  <c r="S81" i="9"/>
  <c r="U81" i="9"/>
  <c r="W81" i="9"/>
  <c r="X81" i="9"/>
  <c r="Y81" i="9"/>
  <c r="Z81" i="9"/>
  <c r="AA81" i="9"/>
  <c r="AB81" i="9"/>
  <c r="AC81" i="9"/>
  <c r="AD81" i="9"/>
  <c r="AE81" i="9"/>
  <c r="AF81" i="9"/>
  <c r="AI81" i="9"/>
  <c r="AJ81" i="9"/>
  <c r="T82" i="9"/>
  <c r="V82" i="9"/>
  <c r="C82" i="9"/>
  <c r="S82" i="9"/>
  <c r="U82" i="9"/>
  <c r="W82" i="9"/>
  <c r="X82" i="9"/>
  <c r="Y82" i="9"/>
  <c r="Z82" i="9"/>
  <c r="AA82" i="9"/>
  <c r="AB82" i="9"/>
  <c r="AC82" i="9"/>
  <c r="AD82" i="9"/>
  <c r="AE82" i="9"/>
  <c r="AF82" i="9"/>
  <c r="AI82" i="9"/>
  <c r="AJ82" i="9"/>
  <c r="T83" i="9"/>
  <c r="V83" i="9"/>
  <c r="C83" i="9"/>
  <c r="S83" i="9"/>
  <c r="U83" i="9"/>
  <c r="W83" i="9"/>
  <c r="X83" i="9"/>
  <c r="Y83" i="9"/>
  <c r="Z83" i="9"/>
  <c r="AA83" i="9"/>
  <c r="AB83" i="9"/>
  <c r="AC83" i="9"/>
  <c r="AD83" i="9"/>
  <c r="AE83" i="9"/>
  <c r="AF83" i="9"/>
  <c r="AI83" i="9"/>
  <c r="AJ83" i="9"/>
  <c r="T84" i="9"/>
  <c r="V84" i="9"/>
  <c r="C84" i="9"/>
  <c r="S84" i="9"/>
  <c r="U84" i="9"/>
  <c r="W84" i="9"/>
  <c r="X84" i="9"/>
  <c r="Y84" i="9"/>
  <c r="Z84" i="9"/>
  <c r="AA84" i="9"/>
  <c r="AB84" i="9"/>
  <c r="AC84" i="9"/>
  <c r="AD84" i="9"/>
  <c r="AE84" i="9"/>
  <c r="AF84" i="9"/>
  <c r="AI84" i="9"/>
  <c r="AJ84" i="9"/>
  <c r="T85" i="9"/>
  <c r="V85" i="9"/>
  <c r="C85" i="9"/>
  <c r="S85" i="9"/>
  <c r="U85" i="9"/>
  <c r="W85" i="9"/>
  <c r="X85" i="9"/>
  <c r="Y85" i="9"/>
  <c r="Z85" i="9"/>
  <c r="AA85" i="9"/>
  <c r="AB85" i="9"/>
  <c r="AC85" i="9"/>
  <c r="AD85" i="9"/>
  <c r="AE85" i="9"/>
  <c r="AF85" i="9"/>
  <c r="AI85" i="9"/>
  <c r="AJ85" i="9"/>
  <c r="T86" i="9"/>
  <c r="V86" i="9"/>
  <c r="C86" i="9"/>
  <c r="S86" i="9"/>
  <c r="U86" i="9"/>
  <c r="W86" i="9"/>
  <c r="X86" i="9"/>
  <c r="Y86" i="9"/>
  <c r="Z86" i="9"/>
  <c r="AA86" i="9"/>
  <c r="AB86" i="9"/>
  <c r="AC86" i="9"/>
  <c r="AD86" i="9"/>
  <c r="AE86" i="9"/>
  <c r="AF86" i="9"/>
  <c r="AI86" i="9"/>
  <c r="AJ86" i="9"/>
  <c r="T87" i="9"/>
  <c r="V87" i="9"/>
  <c r="C87" i="9"/>
  <c r="S87" i="9"/>
  <c r="U87" i="9"/>
  <c r="W87" i="9"/>
  <c r="X87" i="9"/>
  <c r="Y87" i="9"/>
  <c r="Z87" i="9"/>
  <c r="AA87" i="9"/>
  <c r="AB87" i="9"/>
  <c r="AC87" i="9"/>
  <c r="AD87" i="9"/>
  <c r="AE87" i="9"/>
  <c r="AF87" i="9"/>
  <c r="AI87" i="9"/>
  <c r="AJ87" i="9"/>
  <c r="T88" i="9"/>
  <c r="V88" i="9"/>
  <c r="C88" i="9"/>
  <c r="S88" i="9"/>
  <c r="U88" i="9"/>
  <c r="W88" i="9"/>
  <c r="X88" i="9"/>
  <c r="Y88" i="9"/>
  <c r="Z88" i="9"/>
  <c r="AA88" i="9"/>
  <c r="AB88" i="9"/>
  <c r="AC88" i="9"/>
  <c r="AD88" i="9"/>
  <c r="AE88" i="9"/>
  <c r="AF88" i="9"/>
  <c r="AI88" i="9"/>
  <c r="AJ88" i="9"/>
  <c r="T89" i="9"/>
  <c r="V89" i="9"/>
  <c r="C89" i="9"/>
  <c r="S89" i="9"/>
  <c r="U89" i="9"/>
  <c r="W89" i="9"/>
  <c r="X89" i="9"/>
  <c r="Y89" i="9"/>
  <c r="Z89" i="9"/>
  <c r="AA89" i="9"/>
  <c r="AB89" i="9"/>
  <c r="AC89" i="9"/>
  <c r="AD89" i="9"/>
  <c r="AE89" i="9"/>
  <c r="AF89" i="9"/>
  <c r="AI89" i="9"/>
  <c r="AJ89" i="9"/>
  <c r="T90" i="9"/>
  <c r="V90" i="9"/>
  <c r="C90" i="9"/>
  <c r="S90" i="9"/>
  <c r="U90" i="9"/>
  <c r="W90" i="9"/>
  <c r="X90" i="9"/>
  <c r="Y90" i="9"/>
  <c r="Z90" i="9"/>
  <c r="AA90" i="9"/>
  <c r="AB90" i="9"/>
  <c r="AC90" i="9"/>
  <c r="AD90" i="9"/>
  <c r="AE90" i="9"/>
  <c r="AF90" i="9"/>
  <c r="AI90" i="9"/>
  <c r="AJ90" i="9"/>
  <c r="T91" i="9"/>
  <c r="V91" i="9"/>
  <c r="C91" i="9"/>
  <c r="S91" i="9"/>
  <c r="U91" i="9"/>
  <c r="W91" i="9"/>
  <c r="X91" i="9"/>
  <c r="Y91" i="9"/>
  <c r="Z91" i="9"/>
  <c r="AA91" i="9"/>
  <c r="AB91" i="9"/>
  <c r="AC91" i="9"/>
  <c r="AD91" i="9"/>
  <c r="AE91" i="9"/>
  <c r="AF91" i="9"/>
  <c r="AI91" i="9"/>
  <c r="AJ91" i="9"/>
  <c r="T92" i="9"/>
  <c r="V92" i="9"/>
  <c r="C92" i="9"/>
  <c r="S92" i="9"/>
  <c r="U92" i="9"/>
  <c r="W92" i="9"/>
  <c r="X92" i="9"/>
  <c r="Y92" i="9"/>
  <c r="Z92" i="9"/>
  <c r="AA92" i="9"/>
  <c r="AB92" i="9"/>
  <c r="AC92" i="9"/>
  <c r="AD92" i="9"/>
  <c r="AE92" i="9"/>
  <c r="AF92" i="9"/>
  <c r="AI92" i="9"/>
  <c r="AJ92" i="9"/>
  <c r="T93" i="9"/>
  <c r="V93" i="9"/>
  <c r="C93" i="9"/>
  <c r="S93" i="9"/>
  <c r="U93" i="9"/>
  <c r="W93" i="9"/>
  <c r="X93" i="9"/>
  <c r="Y93" i="9"/>
  <c r="Z93" i="9"/>
  <c r="AA93" i="9"/>
  <c r="AB93" i="9"/>
  <c r="AC93" i="9"/>
  <c r="AD93" i="9"/>
  <c r="AE93" i="9"/>
  <c r="AF93" i="9"/>
  <c r="AI93" i="9"/>
  <c r="AJ93" i="9"/>
  <c r="T94" i="9"/>
  <c r="V94" i="9"/>
  <c r="C94" i="9"/>
  <c r="S94" i="9"/>
  <c r="U94" i="9"/>
  <c r="W94" i="9"/>
  <c r="X94" i="9"/>
  <c r="Y94" i="9"/>
  <c r="Z94" i="9"/>
  <c r="AA94" i="9"/>
  <c r="AB94" i="9"/>
  <c r="AC94" i="9"/>
  <c r="AD94" i="9"/>
  <c r="AE94" i="9"/>
  <c r="AF94" i="9"/>
  <c r="AI94" i="9"/>
  <c r="AJ94" i="9"/>
  <c r="T95" i="9"/>
  <c r="V95" i="9"/>
  <c r="C95" i="9"/>
  <c r="S95" i="9"/>
  <c r="U95" i="9"/>
  <c r="W95" i="9"/>
  <c r="X95" i="9"/>
  <c r="Y95" i="9"/>
  <c r="Z95" i="9"/>
  <c r="AA95" i="9"/>
  <c r="AB95" i="9"/>
  <c r="AC95" i="9"/>
  <c r="AD95" i="9"/>
  <c r="AE95" i="9"/>
  <c r="AF95" i="9"/>
  <c r="AI95" i="9"/>
  <c r="AJ95" i="9"/>
  <c r="T96" i="9"/>
  <c r="V96" i="9"/>
  <c r="C96" i="9"/>
  <c r="S96" i="9"/>
  <c r="U96" i="9"/>
  <c r="W96" i="9"/>
  <c r="X96" i="9"/>
  <c r="Y96" i="9"/>
  <c r="Z96" i="9"/>
  <c r="AA96" i="9"/>
  <c r="AB96" i="9"/>
  <c r="AC96" i="9"/>
  <c r="AD96" i="9"/>
  <c r="AE96" i="9"/>
  <c r="AF96" i="9"/>
  <c r="AI96" i="9"/>
  <c r="AJ96" i="9"/>
  <c r="T97" i="9"/>
  <c r="V97" i="9"/>
  <c r="C97" i="9"/>
  <c r="S97" i="9"/>
  <c r="U97" i="9"/>
  <c r="W97" i="9"/>
  <c r="X97" i="9"/>
  <c r="Y97" i="9"/>
  <c r="Z97" i="9"/>
  <c r="AA97" i="9"/>
  <c r="AB97" i="9"/>
  <c r="AC97" i="9"/>
  <c r="AD97" i="9"/>
  <c r="AE97" i="9"/>
  <c r="AF97" i="9"/>
  <c r="AI97" i="9"/>
  <c r="AJ97" i="9"/>
  <c r="T98" i="9"/>
  <c r="V98" i="9"/>
  <c r="C98" i="9"/>
  <c r="S98" i="9"/>
  <c r="U98" i="9"/>
  <c r="W98" i="9"/>
  <c r="X98" i="9"/>
  <c r="Y98" i="9"/>
  <c r="Z98" i="9"/>
  <c r="AA98" i="9"/>
  <c r="AB98" i="9"/>
  <c r="AC98" i="9"/>
  <c r="AD98" i="9"/>
  <c r="AE98" i="9"/>
  <c r="AF98" i="9"/>
  <c r="AI98" i="9"/>
  <c r="AJ98" i="9"/>
  <c r="T99" i="9"/>
  <c r="V99" i="9"/>
  <c r="C99" i="9"/>
  <c r="S99" i="9"/>
  <c r="U99" i="9"/>
  <c r="W99" i="9"/>
  <c r="X99" i="9"/>
  <c r="Y99" i="9"/>
  <c r="Z99" i="9"/>
  <c r="AA99" i="9"/>
  <c r="AB99" i="9"/>
  <c r="AC99" i="9"/>
  <c r="AD99" i="9"/>
  <c r="AE99" i="9"/>
  <c r="AF99" i="9"/>
  <c r="AI99" i="9"/>
  <c r="AJ99" i="9"/>
  <c r="T100" i="9"/>
  <c r="V100" i="9"/>
  <c r="C100" i="9"/>
  <c r="S100" i="9"/>
  <c r="U100" i="9"/>
  <c r="W100" i="9"/>
  <c r="X100" i="9"/>
  <c r="Y100" i="9"/>
  <c r="Z100" i="9"/>
  <c r="AA100" i="9"/>
  <c r="AB100" i="9"/>
  <c r="AC100" i="9"/>
  <c r="AD100" i="9"/>
  <c r="AE100" i="9"/>
  <c r="AF100" i="9"/>
  <c r="AI100" i="9"/>
  <c r="AJ100" i="9"/>
  <c r="T101" i="9"/>
  <c r="V101" i="9"/>
  <c r="C101" i="9"/>
  <c r="S101" i="9"/>
  <c r="U101" i="9"/>
  <c r="W101" i="9"/>
  <c r="X101" i="9"/>
  <c r="Y101" i="9"/>
  <c r="Z101" i="9"/>
  <c r="AA101" i="9"/>
  <c r="AB101" i="9"/>
  <c r="AC101" i="9"/>
  <c r="AD101" i="9"/>
  <c r="AE101" i="9"/>
  <c r="AF101" i="9"/>
  <c r="AI101" i="9"/>
  <c r="AJ101" i="9"/>
  <c r="T102" i="9"/>
  <c r="V102" i="9"/>
  <c r="C102" i="9"/>
  <c r="S102" i="9"/>
  <c r="U102" i="9"/>
  <c r="W102" i="9"/>
  <c r="X102" i="9"/>
  <c r="Y102" i="9"/>
  <c r="Z102" i="9"/>
  <c r="AA102" i="9"/>
  <c r="AB102" i="9"/>
  <c r="AC102" i="9"/>
  <c r="AD102" i="9"/>
  <c r="AE102" i="9"/>
  <c r="AF102" i="9"/>
  <c r="AI102" i="9"/>
  <c r="AJ102" i="9"/>
  <c r="T103" i="9"/>
  <c r="V103" i="9"/>
  <c r="C103" i="9"/>
  <c r="S103" i="9"/>
  <c r="U103" i="9"/>
  <c r="W103" i="9"/>
  <c r="X103" i="9"/>
  <c r="Y103" i="9"/>
  <c r="Z103" i="9"/>
  <c r="AA103" i="9"/>
  <c r="AB103" i="9"/>
  <c r="AC103" i="9"/>
  <c r="AD103" i="9"/>
  <c r="AE103" i="9"/>
  <c r="AF103" i="9"/>
  <c r="AI103" i="9"/>
  <c r="AJ103" i="9"/>
  <c r="T104" i="9"/>
  <c r="V104" i="9"/>
  <c r="C104" i="9"/>
  <c r="S104" i="9"/>
  <c r="U104" i="9"/>
  <c r="W104" i="9"/>
  <c r="X104" i="9"/>
  <c r="Y104" i="9"/>
  <c r="Z104" i="9"/>
  <c r="AA104" i="9"/>
  <c r="AB104" i="9"/>
  <c r="AC104" i="9"/>
  <c r="AD104" i="9"/>
  <c r="AE104" i="9"/>
  <c r="AF104" i="9"/>
  <c r="AI104" i="9"/>
  <c r="AJ104" i="9"/>
  <c r="T105" i="9"/>
  <c r="V105" i="9"/>
  <c r="C105" i="9"/>
  <c r="S105" i="9"/>
  <c r="U105" i="9"/>
  <c r="W105" i="9"/>
  <c r="X105" i="9"/>
  <c r="Y105" i="9"/>
  <c r="Z105" i="9"/>
  <c r="AA105" i="9"/>
  <c r="AB105" i="9"/>
  <c r="AC105" i="9"/>
  <c r="AD105" i="9"/>
  <c r="AE105" i="9"/>
  <c r="AF105" i="9"/>
  <c r="AI105" i="9"/>
  <c r="AJ105" i="9"/>
  <c r="T106" i="9"/>
  <c r="V106" i="9"/>
  <c r="C106" i="9"/>
  <c r="S106" i="9"/>
  <c r="U106" i="9"/>
  <c r="W106" i="9"/>
  <c r="X106" i="9"/>
  <c r="Y106" i="9"/>
  <c r="Z106" i="9"/>
  <c r="AA106" i="9"/>
  <c r="AB106" i="9"/>
  <c r="AC106" i="9"/>
  <c r="AD106" i="9"/>
  <c r="AE106" i="9"/>
  <c r="AF106" i="9"/>
  <c r="AI106" i="9"/>
  <c r="AJ106" i="9"/>
  <c r="T107" i="9"/>
  <c r="V107" i="9"/>
  <c r="C107" i="9"/>
  <c r="S107" i="9"/>
  <c r="U107" i="9"/>
  <c r="W107" i="9"/>
  <c r="X107" i="9"/>
  <c r="Y107" i="9"/>
  <c r="Z107" i="9"/>
  <c r="AA107" i="9"/>
  <c r="AB107" i="9"/>
  <c r="AC107" i="9"/>
  <c r="AD107" i="9"/>
  <c r="AE107" i="9"/>
  <c r="AF107" i="9"/>
  <c r="AI107" i="9"/>
  <c r="AJ107" i="9"/>
  <c r="T108" i="9"/>
  <c r="V108" i="9"/>
  <c r="C108" i="9"/>
  <c r="S108" i="9"/>
  <c r="U108" i="9"/>
  <c r="W108" i="9"/>
  <c r="X108" i="9"/>
  <c r="Y108" i="9"/>
  <c r="Z108" i="9"/>
  <c r="AA108" i="9"/>
  <c r="AB108" i="9"/>
  <c r="AC108" i="9"/>
  <c r="AD108" i="9"/>
  <c r="AE108" i="9"/>
  <c r="AF108" i="9"/>
  <c r="AI108" i="9"/>
  <c r="AJ108" i="9"/>
  <c r="T109" i="9"/>
  <c r="V109" i="9"/>
  <c r="C109" i="9"/>
  <c r="S109" i="9"/>
  <c r="U109" i="9"/>
  <c r="W109" i="9"/>
  <c r="X109" i="9"/>
  <c r="Y109" i="9"/>
  <c r="Z109" i="9"/>
  <c r="AA109" i="9"/>
  <c r="AB109" i="9"/>
  <c r="AC109" i="9"/>
  <c r="AD109" i="9"/>
  <c r="AE109" i="9"/>
  <c r="AF109" i="9"/>
  <c r="AI109" i="9"/>
  <c r="AJ109" i="9"/>
  <c r="T110" i="9"/>
  <c r="V110" i="9"/>
  <c r="C110" i="9"/>
  <c r="S110" i="9"/>
  <c r="U110" i="9"/>
  <c r="W110" i="9"/>
  <c r="X110" i="9"/>
  <c r="Y110" i="9"/>
  <c r="Z110" i="9"/>
  <c r="AA110" i="9"/>
  <c r="AB110" i="9"/>
  <c r="AC110" i="9"/>
  <c r="AD110" i="9"/>
  <c r="AE110" i="9"/>
  <c r="AF110" i="9"/>
  <c r="AI110" i="9"/>
  <c r="AJ110" i="9"/>
  <c r="T111" i="9"/>
  <c r="V111" i="9"/>
  <c r="C111" i="9"/>
  <c r="S111" i="9"/>
  <c r="U111" i="9"/>
  <c r="W111" i="9"/>
  <c r="X111" i="9"/>
  <c r="Y111" i="9"/>
  <c r="Z111" i="9"/>
  <c r="AA111" i="9"/>
  <c r="AB111" i="9"/>
  <c r="AC111" i="9"/>
  <c r="AD111" i="9"/>
  <c r="AE111" i="9"/>
  <c r="AF111" i="9"/>
  <c r="AI111" i="9"/>
  <c r="AJ111" i="9"/>
  <c r="T112" i="9"/>
  <c r="V112" i="9"/>
  <c r="C112" i="9"/>
  <c r="S112" i="9"/>
  <c r="U112" i="9"/>
  <c r="W112" i="9"/>
  <c r="X112" i="9"/>
  <c r="Y112" i="9"/>
  <c r="Z112" i="9"/>
  <c r="AA112" i="9"/>
  <c r="AB112" i="9"/>
  <c r="AC112" i="9"/>
  <c r="AD112" i="9"/>
  <c r="AE112" i="9"/>
  <c r="AF112" i="9"/>
  <c r="AI112" i="9"/>
  <c r="AJ112" i="9"/>
  <c r="T113" i="9"/>
  <c r="V113" i="9"/>
  <c r="C113" i="9"/>
  <c r="S113" i="9"/>
  <c r="U113" i="9"/>
  <c r="W113" i="9"/>
  <c r="X113" i="9"/>
  <c r="Y113" i="9"/>
  <c r="Z113" i="9"/>
  <c r="AA113" i="9"/>
  <c r="AB113" i="9"/>
  <c r="AC113" i="9"/>
  <c r="AD113" i="9"/>
  <c r="AE113" i="9"/>
  <c r="AF113" i="9"/>
  <c r="AI113" i="9"/>
  <c r="AJ113" i="9"/>
  <c r="T114" i="9"/>
  <c r="V114" i="9"/>
  <c r="C114" i="9"/>
  <c r="S114" i="9"/>
  <c r="U114" i="9"/>
  <c r="W114" i="9"/>
  <c r="X114" i="9"/>
  <c r="Y114" i="9"/>
  <c r="Z114" i="9"/>
  <c r="AA114" i="9"/>
  <c r="AB114" i="9"/>
  <c r="AC114" i="9"/>
  <c r="AD114" i="9"/>
  <c r="AE114" i="9"/>
  <c r="AF114" i="9"/>
  <c r="AI114" i="9"/>
  <c r="AJ114" i="9"/>
  <c r="T115" i="9"/>
  <c r="V115" i="9"/>
  <c r="C115" i="9"/>
  <c r="S115" i="9"/>
  <c r="U115" i="9"/>
  <c r="W115" i="9"/>
  <c r="X115" i="9"/>
  <c r="Y115" i="9"/>
  <c r="Z115" i="9"/>
  <c r="AA115" i="9"/>
  <c r="AB115" i="9"/>
  <c r="AC115" i="9"/>
  <c r="AD115" i="9"/>
  <c r="AE115" i="9"/>
  <c r="AF115" i="9"/>
  <c r="AI115" i="9"/>
  <c r="AJ115" i="9"/>
  <c r="T116" i="9"/>
  <c r="V116" i="9"/>
  <c r="C116" i="9"/>
  <c r="S116" i="9"/>
  <c r="U116" i="9"/>
  <c r="W116" i="9"/>
  <c r="X116" i="9"/>
  <c r="Y116" i="9"/>
  <c r="Z116" i="9"/>
  <c r="AA116" i="9"/>
  <c r="AB116" i="9"/>
  <c r="AC116" i="9"/>
  <c r="AD116" i="9"/>
  <c r="AE116" i="9"/>
  <c r="AF116" i="9"/>
  <c r="AI116" i="9"/>
  <c r="AJ116" i="9"/>
  <c r="T117" i="9"/>
  <c r="V117" i="9"/>
  <c r="C117" i="9"/>
  <c r="S117" i="9"/>
  <c r="U117" i="9"/>
  <c r="W117" i="9"/>
  <c r="X117" i="9"/>
  <c r="Y117" i="9"/>
  <c r="Z117" i="9"/>
  <c r="AA117" i="9"/>
  <c r="AB117" i="9"/>
  <c r="AC117" i="9"/>
  <c r="AD117" i="9"/>
  <c r="AE117" i="9"/>
  <c r="AF117" i="9"/>
  <c r="AI117" i="9"/>
  <c r="AJ117" i="9"/>
  <c r="T118" i="9"/>
  <c r="V118" i="9"/>
  <c r="C118" i="9"/>
  <c r="S118" i="9"/>
  <c r="U118" i="9"/>
  <c r="W118" i="9"/>
  <c r="X118" i="9"/>
  <c r="Y118" i="9"/>
  <c r="Z118" i="9"/>
  <c r="AA118" i="9"/>
  <c r="AB118" i="9"/>
  <c r="AC118" i="9"/>
  <c r="AD118" i="9"/>
  <c r="AE118" i="9"/>
  <c r="AF118" i="9"/>
  <c r="AI118" i="9"/>
  <c r="AJ118" i="9"/>
  <c r="T119" i="9"/>
  <c r="V119" i="9"/>
  <c r="C119" i="9"/>
  <c r="S119" i="9"/>
  <c r="U119" i="9"/>
  <c r="W119" i="9"/>
  <c r="X119" i="9"/>
  <c r="Y119" i="9"/>
  <c r="Z119" i="9"/>
  <c r="AA119" i="9"/>
  <c r="AB119" i="9"/>
  <c r="AC119" i="9"/>
  <c r="AD119" i="9"/>
  <c r="AE119" i="9"/>
  <c r="AF119" i="9"/>
  <c r="AI119" i="9"/>
  <c r="AJ119" i="9"/>
  <c r="T120" i="9"/>
  <c r="V120" i="9"/>
  <c r="C120" i="9"/>
  <c r="S120" i="9"/>
  <c r="U120" i="9"/>
  <c r="W120" i="9"/>
  <c r="X120" i="9"/>
  <c r="Y120" i="9"/>
  <c r="Z120" i="9"/>
  <c r="AA120" i="9"/>
  <c r="AB120" i="9"/>
  <c r="AC120" i="9"/>
  <c r="AD120" i="9"/>
  <c r="AE120" i="9"/>
  <c r="AF120" i="9"/>
  <c r="AI120" i="9"/>
  <c r="AJ120" i="9"/>
  <c r="T121" i="9"/>
  <c r="V121" i="9"/>
  <c r="C121" i="9"/>
  <c r="S121" i="9"/>
  <c r="U121" i="9"/>
  <c r="W121" i="9"/>
  <c r="X121" i="9"/>
  <c r="Y121" i="9"/>
  <c r="Z121" i="9"/>
  <c r="AA121" i="9"/>
  <c r="AB121" i="9"/>
  <c r="AC121" i="9"/>
  <c r="AD121" i="9"/>
  <c r="AE121" i="9"/>
  <c r="AF121" i="9"/>
  <c r="AI121" i="9"/>
  <c r="AJ121" i="9"/>
  <c r="T122" i="9"/>
  <c r="V122" i="9"/>
  <c r="C122" i="9"/>
  <c r="S122" i="9"/>
  <c r="U122" i="9"/>
  <c r="W122" i="9"/>
  <c r="X122" i="9"/>
  <c r="Y122" i="9"/>
  <c r="Z122" i="9"/>
  <c r="AA122" i="9"/>
  <c r="AB122" i="9"/>
  <c r="AC122" i="9"/>
  <c r="AD122" i="9"/>
  <c r="AE122" i="9"/>
  <c r="AF122" i="9"/>
  <c r="AI122" i="9"/>
  <c r="AJ122" i="9"/>
  <c r="T123" i="9"/>
  <c r="V123" i="9"/>
  <c r="C123" i="9"/>
  <c r="S123" i="9"/>
  <c r="U123" i="9"/>
  <c r="W123" i="9"/>
  <c r="X123" i="9"/>
  <c r="Y123" i="9"/>
  <c r="Z123" i="9"/>
  <c r="AA123" i="9"/>
  <c r="AB123" i="9"/>
  <c r="AC123" i="9"/>
  <c r="AD123" i="9"/>
  <c r="AE123" i="9"/>
  <c r="AF123" i="9"/>
  <c r="AI123" i="9"/>
  <c r="AJ123" i="9"/>
  <c r="T124" i="9"/>
  <c r="V124" i="9"/>
  <c r="C124" i="9"/>
  <c r="S124" i="9"/>
  <c r="U124" i="9"/>
  <c r="W124" i="9"/>
  <c r="X124" i="9"/>
  <c r="Y124" i="9"/>
  <c r="Z124" i="9"/>
  <c r="AA124" i="9"/>
  <c r="AB124" i="9"/>
  <c r="AC124" i="9"/>
  <c r="AD124" i="9"/>
  <c r="AE124" i="9"/>
  <c r="AF124" i="9"/>
  <c r="AI124" i="9"/>
  <c r="AJ124" i="9"/>
  <c r="T125" i="9"/>
  <c r="V125" i="9"/>
  <c r="C125" i="9"/>
  <c r="S125" i="9"/>
  <c r="U125" i="9"/>
  <c r="W125" i="9"/>
  <c r="X125" i="9"/>
  <c r="Y125" i="9"/>
  <c r="Z125" i="9"/>
  <c r="AA125" i="9"/>
  <c r="AB125" i="9"/>
  <c r="AC125" i="9"/>
  <c r="AD125" i="9"/>
  <c r="AE125" i="9"/>
  <c r="AF125" i="9"/>
  <c r="AI125" i="9"/>
  <c r="AJ125" i="9"/>
  <c r="T126" i="9"/>
  <c r="V126" i="9"/>
  <c r="C126" i="9"/>
  <c r="S126" i="9"/>
  <c r="U126" i="9"/>
  <c r="W126" i="9"/>
  <c r="X126" i="9"/>
  <c r="Y126" i="9"/>
  <c r="Z126" i="9"/>
  <c r="AA126" i="9"/>
  <c r="AB126" i="9"/>
  <c r="AC126" i="9"/>
  <c r="AD126" i="9"/>
  <c r="AE126" i="9"/>
  <c r="AF126" i="9"/>
  <c r="AI126" i="9"/>
  <c r="AJ126" i="9"/>
  <c r="T127" i="9"/>
  <c r="V127" i="9"/>
  <c r="C127" i="9"/>
  <c r="S127" i="9"/>
  <c r="U127" i="9"/>
  <c r="W127" i="9"/>
  <c r="X127" i="9"/>
  <c r="Y127" i="9"/>
  <c r="Z127" i="9"/>
  <c r="AA127" i="9"/>
  <c r="AB127" i="9"/>
  <c r="AC127" i="9"/>
  <c r="AD127" i="9"/>
  <c r="AE127" i="9"/>
  <c r="AF127" i="9"/>
  <c r="AI127" i="9"/>
  <c r="AJ127" i="9"/>
  <c r="T128" i="9"/>
  <c r="V128" i="9"/>
  <c r="C128" i="9"/>
  <c r="S128" i="9"/>
  <c r="U128" i="9"/>
  <c r="W128" i="9"/>
  <c r="X128" i="9"/>
  <c r="Y128" i="9"/>
  <c r="Z128" i="9"/>
  <c r="AA128" i="9"/>
  <c r="AB128" i="9"/>
  <c r="AC128" i="9"/>
  <c r="AD128" i="9"/>
  <c r="AE128" i="9"/>
  <c r="AF128" i="9"/>
  <c r="AI128" i="9"/>
  <c r="AJ128" i="9"/>
  <c r="T129" i="9"/>
  <c r="V129" i="9"/>
  <c r="C129" i="9"/>
  <c r="S129" i="9"/>
  <c r="U129" i="9"/>
  <c r="W129" i="9"/>
  <c r="X129" i="9"/>
  <c r="Y129" i="9"/>
  <c r="Z129" i="9"/>
  <c r="AA129" i="9"/>
  <c r="AB129" i="9"/>
  <c r="AC129" i="9"/>
  <c r="AD129" i="9"/>
  <c r="AE129" i="9"/>
  <c r="AF129" i="9"/>
  <c r="AI129" i="9"/>
  <c r="AJ129" i="9"/>
  <c r="T130" i="9"/>
  <c r="V130" i="9"/>
  <c r="C130" i="9"/>
  <c r="S130" i="9"/>
  <c r="U130" i="9"/>
  <c r="W130" i="9"/>
  <c r="X130" i="9"/>
  <c r="Y130" i="9"/>
  <c r="Z130" i="9"/>
  <c r="AA130" i="9"/>
  <c r="AB130" i="9"/>
  <c r="AC130" i="9"/>
  <c r="AD130" i="9"/>
  <c r="AE130" i="9"/>
  <c r="AF130" i="9"/>
  <c r="AI130" i="9"/>
  <c r="AJ130" i="9"/>
  <c r="T131" i="9"/>
  <c r="V131" i="9"/>
  <c r="C131" i="9"/>
  <c r="S131" i="9"/>
  <c r="U131" i="9"/>
  <c r="W131" i="9"/>
  <c r="X131" i="9"/>
  <c r="Y131" i="9"/>
  <c r="Z131" i="9"/>
  <c r="AA131" i="9"/>
  <c r="AB131" i="9"/>
  <c r="AC131" i="9"/>
  <c r="AD131" i="9"/>
  <c r="AE131" i="9"/>
  <c r="AF131" i="9"/>
  <c r="AI131" i="9"/>
  <c r="AJ131" i="9"/>
  <c r="T132" i="9"/>
  <c r="V132" i="9"/>
  <c r="C132" i="9"/>
  <c r="S132" i="9"/>
  <c r="U132" i="9"/>
  <c r="W132" i="9"/>
  <c r="X132" i="9"/>
  <c r="Y132" i="9"/>
  <c r="Z132" i="9"/>
  <c r="AA132" i="9"/>
  <c r="AB132" i="9"/>
  <c r="AC132" i="9"/>
  <c r="AD132" i="9"/>
  <c r="AE132" i="9"/>
  <c r="AF132" i="9"/>
  <c r="AI132" i="9"/>
  <c r="AJ132" i="9"/>
  <c r="T133" i="9"/>
  <c r="V133" i="9"/>
  <c r="C133" i="9"/>
  <c r="S133" i="9"/>
  <c r="U133" i="9"/>
  <c r="W133" i="9"/>
  <c r="X133" i="9"/>
  <c r="Y133" i="9"/>
  <c r="Z133" i="9"/>
  <c r="AA133" i="9"/>
  <c r="AB133" i="9"/>
  <c r="AC133" i="9"/>
  <c r="AD133" i="9"/>
  <c r="AE133" i="9"/>
  <c r="AF133" i="9"/>
  <c r="AI133" i="9"/>
  <c r="AJ133" i="9"/>
  <c r="T134" i="9"/>
  <c r="V134" i="9"/>
  <c r="C134" i="9"/>
  <c r="S134" i="9"/>
  <c r="U134" i="9"/>
  <c r="W134" i="9"/>
  <c r="X134" i="9"/>
  <c r="Y134" i="9"/>
  <c r="Z134" i="9"/>
  <c r="AA134" i="9"/>
  <c r="AB134" i="9"/>
  <c r="AC134" i="9"/>
  <c r="AD134" i="9"/>
  <c r="AE134" i="9"/>
  <c r="AF134" i="9"/>
  <c r="AI134" i="9"/>
  <c r="AJ134" i="9"/>
  <c r="T135" i="9"/>
  <c r="V135" i="9"/>
  <c r="C135" i="9"/>
  <c r="S135" i="9"/>
  <c r="U135" i="9"/>
  <c r="W135" i="9"/>
  <c r="X135" i="9"/>
  <c r="Y135" i="9"/>
  <c r="Z135" i="9"/>
  <c r="AA135" i="9"/>
  <c r="AB135" i="9"/>
  <c r="AC135" i="9"/>
  <c r="AD135" i="9"/>
  <c r="AE135" i="9"/>
  <c r="AF135" i="9"/>
  <c r="AI135" i="9"/>
  <c r="AJ135" i="9"/>
  <c r="T136" i="9"/>
  <c r="V136" i="9"/>
  <c r="C136" i="9"/>
  <c r="S136" i="9"/>
  <c r="U136" i="9"/>
  <c r="W136" i="9"/>
  <c r="X136" i="9"/>
  <c r="Y136" i="9"/>
  <c r="Z136" i="9"/>
  <c r="AA136" i="9"/>
  <c r="AB136" i="9"/>
  <c r="AC136" i="9"/>
  <c r="AD136" i="9"/>
  <c r="AE136" i="9"/>
  <c r="AF136" i="9"/>
  <c r="AI136" i="9"/>
  <c r="AJ136" i="9"/>
  <c r="T137" i="9"/>
  <c r="V137" i="9"/>
  <c r="C137" i="9"/>
  <c r="S137" i="9"/>
  <c r="U137" i="9"/>
  <c r="W137" i="9"/>
  <c r="X137" i="9"/>
  <c r="Y137" i="9"/>
  <c r="Z137" i="9"/>
  <c r="AA137" i="9"/>
  <c r="AB137" i="9"/>
  <c r="AC137" i="9"/>
  <c r="AD137" i="9"/>
  <c r="AE137" i="9"/>
  <c r="AF137" i="9"/>
  <c r="AI137" i="9"/>
  <c r="AJ137" i="9"/>
  <c r="T138" i="9"/>
  <c r="V138" i="9"/>
  <c r="C138" i="9"/>
  <c r="S138" i="9"/>
  <c r="U138" i="9"/>
  <c r="W138" i="9"/>
  <c r="X138" i="9"/>
  <c r="Y138" i="9"/>
  <c r="Z138" i="9"/>
  <c r="AA138" i="9"/>
  <c r="AB138" i="9"/>
  <c r="AC138" i="9"/>
  <c r="AD138" i="9"/>
  <c r="AE138" i="9"/>
  <c r="AF138" i="9"/>
  <c r="AI138" i="9"/>
  <c r="AJ138" i="9"/>
  <c r="T139" i="9"/>
  <c r="V139" i="9"/>
  <c r="C139" i="9"/>
  <c r="S139" i="9"/>
  <c r="U139" i="9"/>
  <c r="W139" i="9"/>
  <c r="X139" i="9"/>
  <c r="Y139" i="9"/>
  <c r="Z139" i="9"/>
  <c r="AA139" i="9"/>
  <c r="AB139" i="9"/>
  <c r="AC139" i="9"/>
  <c r="AD139" i="9"/>
  <c r="AE139" i="9"/>
  <c r="AF139" i="9"/>
  <c r="AI139" i="9"/>
  <c r="AJ139" i="9"/>
  <c r="T140" i="9"/>
  <c r="V140" i="9"/>
  <c r="C140" i="9"/>
  <c r="S140" i="9"/>
  <c r="U140" i="9"/>
  <c r="W140" i="9"/>
  <c r="X140" i="9"/>
  <c r="Y140" i="9"/>
  <c r="Z140" i="9"/>
  <c r="AA140" i="9"/>
  <c r="AB140" i="9"/>
  <c r="AC140" i="9"/>
  <c r="AD140" i="9"/>
  <c r="AE140" i="9"/>
  <c r="AF140" i="9"/>
  <c r="AI140" i="9"/>
  <c r="AJ140" i="9"/>
  <c r="T141" i="9"/>
  <c r="V141" i="9"/>
  <c r="C141" i="9"/>
  <c r="S141" i="9"/>
  <c r="U141" i="9"/>
  <c r="W141" i="9"/>
  <c r="X141" i="9"/>
  <c r="Y141" i="9"/>
  <c r="Z141" i="9"/>
  <c r="AA141" i="9"/>
  <c r="AB141" i="9"/>
  <c r="AC141" i="9"/>
  <c r="AD141" i="9"/>
  <c r="AE141" i="9"/>
  <c r="AF141" i="9"/>
  <c r="AI141" i="9"/>
  <c r="AJ141" i="9"/>
  <c r="T142" i="9"/>
  <c r="V142" i="9"/>
  <c r="C142" i="9"/>
  <c r="S142" i="9"/>
  <c r="U142" i="9"/>
  <c r="W142" i="9"/>
  <c r="X142" i="9"/>
  <c r="Y142" i="9"/>
  <c r="Z142" i="9"/>
  <c r="AA142" i="9"/>
  <c r="AB142" i="9"/>
  <c r="AC142" i="9"/>
  <c r="AD142" i="9"/>
  <c r="AE142" i="9"/>
  <c r="AF142" i="9"/>
  <c r="AI142" i="9"/>
  <c r="AJ142" i="9"/>
  <c r="T143" i="9"/>
  <c r="V143" i="9"/>
  <c r="C143" i="9"/>
  <c r="S143" i="9"/>
  <c r="U143" i="9"/>
  <c r="W143" i="9"/>
  <c r="X143" i="9"/>
  <c r="Y143" i="9"/>
  <c r="Z143" i="9"/>
  <c r="AA143" i="9"/>
  <c r="AB143" i="9"/>
  <c r="AC143" i="9"/>
  <c r="AD143" i="9"/>
  <c r="AE143" i="9"/>
  <c r="AF143" i="9"/>
  <c r="AI143" i="9"/>
  <c r="AJ143" i="9"/>
  <c r="T144" i="9"/>
  <c r="V144" i="9"/>
  <c r="C144" i="9"/>
  <c r="S144" i="9"/>
  <c r="U144" i="9"/>
  <c r="W144" i="9"/>
  <c r="X144" i="9"/>
  <c r="Y144" i="9"/>
  <c r="Z144" i="9"/>
  <c r="AA144" i="9"/>
  <c r="AB144" i="9"/>
  <c r="AC144" i="9"/>
  <c r="AD144" i="9"/>
  <c r="AE144" i="9"/>
  <c r="AF144" i="9"/>
  <c r="AI144" i="9"/>
  <c r="AJ144" i="9"/>
  <c r="T145" i="9"/>
  <c r="V145" i="9"/>
  <c r="C145" i="9"/>
  <c r="S145" i="9"/>
  <c r="U145" i="9"/>
  <c r="W145" i="9"/>
  <c r="X145" i="9"/>
  <c r="Y145" i="9"/>
  <c r="Z145" i="9"/>
  <c r="AA145" i="9"/>
  <c r="AB145" i="9"/>
  <c r="AC145" i="9"/>
  <c r="AD145" i="9"/>
  <c r="AE145" i="9"/>
  <c r="AF145" i="9"/>
  <c r="AI145" i="9"/>
  <c r="AJ145" i="9"/>
  <c r="T146" i="9"/>
  <c r="V146" i="9"/>
  <c r="C146" i="9"/>
  <c r="S146" i="9"/>
  <c r="U146" i="9"/>
  <c r="W146" i="9"/>
  <c r="X146" i="9"/>
  <c r="Y146" i="9"/>
  <c r="Z146" i="9"/>
  <c r="AA146" i="9"/>
  <c r="AB146" i="9"/>
  <c r="AC146" i="9"/>
  <c r="AD146" i="9"/>
  <c r="AE146" i="9"/>
  <c r="AF146" i="9"/>
  <c r="AI146" i="9"/>
  <c r="AJ146" i="9"/>
  <c r="T147" i="9"/>
  <c r="V147" i="9"/>
  <c r="C147" i="9"/>
  <c r="S147" i="9"/>
  <c r="U147" i="9"/>
  <c r="W147" i="9"/>
  <c r="X147" i="9"/>
  <c r="Y147" i="9"/>
  <c r="Z147" i="9"/>
  <c r="AA147" i="9"/>
  <c r="AB147" i="9"/>
  <c r="AC147" i="9"/>
  <c r="AD147" i="9"/>
  <c r="AE147" i="9"/>
  <c r="AF147" i="9"/>
  <c r="AI147" i="9"/>
  <c r="AJ147" i="9"/>
  <c r="T148" i="9"/>
  <c r="V148" i="9"/>
  <c r="C148" i="9"/>
  <c r="S148" i="9"/>
  <c r="U148" i="9"/>
  <c r="W148" i="9"/>
  <c r="X148" i="9"/>
  <c r="Y148" i="9"/>
  <c r="Z148" i="9"/>
  <c r="AA148" i="9"/>
  <c r="AB148" i="9"/>
  <c r="AC148" i="9"/>
  <c r="AD148" i="9"/>
  <c r="AE148" i="9"/>
  <c r="AF148" i="9"/>
  <c r="AI148" i="9"/>
  <c r="AJ148" i="9"/>
  <c r="T149" i="9"/>
  <c r="V149" i="9"/>
  <c r="C149" i="9"/>
  <c r="S149" i="9"/>
  <c r="U149" i="9"/>
  <c r="W149" i="9"/>
  <c r="X149" i="9"/>
  <c r="Y149" i="9"/>
  <c r="Z149" i="9"/>
  <c r="AA149" i="9"/>
  <c r="AB149" i="9"/>
  <c r="AC149" i="9"/>
  <c r="AD149" i="9"/>
  <c r="AE149" i="9"/>
  <c r="AF149" i="9"/>
  <c r="AI149" i="9"/>
  <c r="AJ149" i="9"/>
  <c r="T150" i="9"/>
  <c r="V150" i="9"/>
  <c r="C150" i="9"/>
  <c r="S150" i="9"/>
  <c r="U150" i="9"/>
  <c r="W150" i="9"/>
  <c r="X150" i="9"/>
  <c r="Y150" i="9"/>
  <c r="Z150" i="9"/>
  <c r="AA150" i="9"/>
  <c r="AB150" i="9"/>
  <c r="AC150" i="9"/>
  <c r="AD150" i="9"/>
  <c r="AE150" i="9"/>
  <c r="AF150" i="9"/>
  <c r="AI150" i="9"/>
  <c r="AJ150" i="9"/>
  <c r="T151" i="9"/>
  <c r="V151" i="9"/>
  <c r="C151" i="9"/>
  <c r="S151" i="9"/>
  <c r="U151" i="9"/>
  <c r="W151" i="9"/>
  <c r="X151" i="9"/>
  <c r="Y151" i="9"/>
  <c r="Z151" i="9"/>
  <c r="AA151" i="9"/>
  <c r="AB151" i="9"/>
  <c r="AC151" i="9"/>
  <c r="AD151" i="9"/>
  <c r="AE151" i="9"/>
  <c r="AF151" i="9"/>
  <c r="AI151" i="9"/>
  <c r="AJ151" i="9"/>
  <c r="T152" i="9"/>
  <c r="V152" i="9"/>
  <c r="C152" i="9"/>
  <c r="S152" i="9"/>
  <c r="U152" i="9"/>
  <c r="W152" i="9"/>
  <c r="X152" i="9"/>
  <c r="Y152" i="9"/>
  <c r="Z152" i="9"/>
  <c r="AA152" i="9"/>
  <c r="AB152" i="9"/>
  <c r="AC152" i="9"/>
  <c r="AD152" i="9"/>
  <c r="AE152" i="9"/>
  <c r="AF152" i="9"/>
  <c r="AI152" i="9"/>
  <c r="AJ152" i="9"/>
  <c r="T153" i="9"/>
  <c r="V153" i="9"/>
  <c r="C153" i="9"/>
  <c r="S153" i="9"/>
  <c r="U153" i="9"/>
  <c r="W153" i="9"/>
  <c r="X153" i="9"/>
  <c r="Y153" i="9"/>
  <c r="Z153" i="9"/>
  <c r="AA153" i="9"/>
  <c r="AB153" i="9"/>
  <c r="AC153" i="9"/>
  <c r="AD153" i="9"/>
  <c r="AE153" i="9"/>
  <c r="AF153" i="9"/>
  <c r="AI153" i="9"/>
  <c r="AJ153" i="9"/>
  <c r="T154" i="9"/>
  <c r="V154" i="9"/>
  <c r="C154" i="9"/>
  <c r="S154" i="9"/>
  <c r="U154" i="9"/>
  <c r="W154" i="9"/>
  <c r="X154" i="9"/>
  <c r="Y154" i="9"/>
  <c r="Z154" i="9"/>
  <c r="AA154" i="9"/>
  <c r="AB154" i="9"/>
  <c r="AC154" i="9"/>
  <c r="AD154" i="9"/>
  <c r="AE154" i="9"/>
  <c r="AF154" i="9"/>
  <c r="AI154" i="9"/>
  <c r="AJ154" i="9"/>
  <c r="T155" i="9"/>
  <c r="V155" i="9"/>
  <c r="C155" i="9"/>
  <c r="S155" i="9"/>
  <c r="U155" i="9"/>
  <c r="W155" i="9"/>
  <c r="X155" i="9"/>
  <c r="Y155" i="9"/>
  <c r="Z155" i="9"/>
  <c r="AA155" i="9"/>
  <c r="AB155" i="9"/>
  <c r="AC155" i="9"/>
  <c r="AD155" i="9"/>
  <c r="AE155" i="9"/>
  <c r="AF155" i="9"/>
  <c r="AI155" i="9"/>
  <c r="AJ155" i="9"/>
  <c r="T156" i="9"/>
  <c r="V156" i="9"/>
  <c r="C156" i="9"/>
  <c r="S156" i="9"/>
  <c r="U156" i="9"/>
  <c r="W156" i="9"/>
  <c r="X156" i="9"/>
  <c r="Y156" i="9"/>
  <c r="Z156" i="9"/>
  <c r="AA156" i="9"/>
  <c r="AB156" i="9"/>
  <c r="AC156" i="9"/>
  <c r="AD156" i="9"/>
  <c r="AE156" i="9"/>
  <c r="AF156" i="9"/>
  <c r="AI156" i="9"/>
  <c r="AJ156" i="9"/>
  <c r="T157" i="9"/>
  <c r="V157" i="9"/>
  <c r="C157" i="9"/>
  <c r="S157" i="9"/>
  <c r="U157" i="9"/>
  <c r="W157" i="9"/>
  <c r="X157" i="9"/>
  <c r="Y157" i="9"/>
  <c r="Z157" i="9"/>
  <c r="AA157" i="9"/>
  <c r="AB157" i="9"/>
  <c r="AC157" i="9"/>
  <c r="AD157" i="9"/>
  <c r="AE157" i="9"/>
  <c r="AF157" i="9"/>
  <c r="AI157" i="9"/>
  <c r="AJ157" i="9"/>
  <c r="T158" i="9"/>
  <c r="V158" i="9"/>
  <c r="C158" i="9"/>
  <c r="S158" i="9"/>
  <c r="U158" i="9"/>
  <c r="W158" i="9"/>
  <c r="X158" i="9"/>
  <c r="Y158" i="9"/>
  <c r="Z158" i="9"/>
  <c r="AA158" i="9"/>
  <c r="AB158" i="9"/>
  <c r="AC158" i="9"/>
  <c r="AD158" i="9"/>
  <c r="AE158" i="9"/>
  <c r="AF158" i="9"/>
  <c r="AI158" i="9"/>
  <c r="AJ158" i="9"/>
  <c r="T159" i="9"/>
  <c r="V159" i="9"/>
  <c r="C159" i="9"/>
  <c r="S159" i="9"/>
  <c r="U159" i="9"/>
  <c r="W159" i="9"/>
  <c r="X159" i="9"/>
  <c r="Y159" i="9"/>
  <c r="Z159" i="9"/>
  <c r="AA159" i="9"/>
  <c r="AB159" i="9"/>
  <c r="AC159" i="9"/>
  <c r="AD159" i="9"/>
  <c r="AE159" i="9"/>
  <c r="AF159" i="9"/>
  <c r="AI159" i="9"/>
  <c r="AJ159" i="9"/>
  <c r="T160" i="9"/>
  <c r="V160" i="9"/>
  <c r="C160" i="9"/>
  <c r="S160" i="9"/>
  <c r="U160" i="9"/>
  <c r="W160" i="9"/>
  <c r="X160" i="9"/>
  <c r="Y160" i="9"/>
  <c r="Z160" i="9"/>
  <c r="AA160" i="9"/>
  <c r="AB160" i="9"/>
  <c r="AC160" i="9"/>
  <c r="AD160" i="9"/>
  <c r="AE160" i="9"/>
  <c r="AF160" i="9"/>
  <c r="AI160" i="9"/>
  <c r="AJ160" i="9"/>
  <c r="T161" i="9"/>
  <c r="V161" i="9"/>
  <c r="C161" i="9"/>
  <c r="S161" i="9"/>
  <c r="U161" i="9"/>
  <c r="W161" i="9"/>
  <c r="X161" i="9"/>
  <c r="Y161" i="9"/>
  <c r="Z161" i="9"/>
  <c r="AA161" i="9"/>
  <c r="AB161" i="9"/>
  <c r="AC161" i="9"/>
  <c r="AD161" i="9"/>
  <c r="AE161" i="9"/>
  <c r="AF161" i="9"/>
  <c r="AI161" i="9"/>
  <c r="AJ161" i="9"/>
  <c r="T162" i="9"/>
  <c r="V162" i="9"/>
  <c r="C162" i="9"/>
  <c r="S162" i="9"/>
  <c r="U162" i="9"/>
  <c r="W162" i="9"/>
  <c r="X162" i="9"/>
  <c r="Y162" i="9"/>
  <c r="Z162" i="9"/>
  <c r="AA162" i="9"/>
  <c r="AB162" i="9"/>
  <c r="AC162" i="9"/>
  <c r="AD162" i="9"/>
  <c r="AE162" i="9"/>
  <c r="AF162" i="9"/>
  <c r="AI162" i="9"/>
  <c r="AJ162" i="9"/>
  <c r="T163" i="9"/>
  <c r="V163" i="9"/>
  <c r="C163" i="9"/>
  <c r="S163" i="9"/>
  <c r="U163" i="9"/>
  <c r="W163" i="9"/>
  <c r="X163" i="9"/>
  <c r="Y163" i="9"/>
  <c r="Z163" i="9"/>
  <c r="AA163" i="9"/>
  <c r="AB163" i="9"/>
  <c r="AC163" i="9"/>
  <c r="AD163" i="9"/>
  <c r="AE163" i="9"/>
  <c r="AF163" i="9"/>
  <c r="AI163" i="9"/>
  <c r="AJ163" i="9"/>
  <c r="T164" i="9"/>
  <c r="V164" i="9"/>
  <c r="C164" i="9"/>
  <c r="S164" i="9"/>
  <c r="U164" i="9"/>
  <c r="W164" i="9"/>
  <c r="X164" i="9"/>
  <c r="Y164" i="9"/>
  <c r="Z164" i="9"/>
  <c r="AA164" i="9"/>
  <c r="AB164" i="9"/>
  <c r="AC164" i="9"/>
  <c r="AD164" i="9"/>
  <c r="AE164" i="9"/>
  <c r="AF164" i="9"/>
  <c r="AI164" i="9"/>
  <c r="AJ164" i="9"/>
  <c r="T165" i="9"/>
  <c r="V165" i="9"/>
  <c r="C165" i="9"/>
  <c r="S165" i="9"/>
  <c r="U165" i="9"/>
  <c r="W165" i="9"/>
  <c r="X165" i="9"/>
  <c r="Y165" i="9"/>
  <c r="Z165" i="9"/>
  <c r="AA165" i="9"/>
  <c r="AB165" i="9"/>
  <c r="AC165" i="9"/>
  <c r="AD165" i="9"/>
  <c r="AE165" i="9"/>
  <c r="AF165" i="9"/>
  <c r="AI165" i="9"/>
  <c r="AJ165" i="9"/>
  <c r="T166" i="9"/>
  <c r="V166" i="9"/>
  <c r="C166" i="9"/>
  <c r="S166" i="9"/>
  <c r="U166" i="9"/>
  <c r="W166" i="9"/>
  <c r="X166" i="9"/>
  <c r="Y166" i="9"/>
  <c r="Z166" i="9"/>
  <c r="AA166" i="9"/>
  <c r="AB166" i="9"/>
  <c r="AC166" i="9"/>
  <c r="AD166" i="9"/>
  <c r="AE166" i="9"/>
  <c r="AF166" i="9"/>
  <c r="AI166" i="9"/>
  <c r="AJ166" i="9"/>
  <c r="T167" i="9"/>
  <c r="V167" i="9"/>
  <c r="C167" i="9"/>
  <c r="S167" i="9"/>
  <c r="U167" i="9"/>
  <c r="W167" i="9"/>
  <c r="X167" i="9"/>
  <c r="Y167" i="9"/>
  <c r="Z167" i="9"/>
  <c r="AA167" i="9"/>
  <c r="AB167" i="9"/>
  <c r="AC167" i="9"/>
  <c r="AD167" i="9"/>
  <c r="AE167" i="9"/>
  <c r="AF167" i="9"/>
  <c r="AI167" i="9"/>
  <c r="AJ167" i="9"/>
  <c r="T168" i="9"/>
  <c r="V168" i="9"/>
  <c r="C168" i="9"/>
  <c r="S168" i="9"/>
  <c r="U168" i="9"/>
  <c r="W168" i="9"/>
  <c r="X168" i="9"/>
  <c r="Y168" i="9"/>
  <c r="Z168" i="9"/>
  <c r="AA168" i="9"/>
  <c r="AB168" i="9"/>
  <c r="AC168" i="9"/>
  <c r="AD168" i="9"/>
  <c r="AE168" i="9"/>
  <c r="AF168" i="9"/>
  <c r="AI168" i="9"/>
  <c r="AJ168" i="9"/>
  <c r="T169" i="9"/>
  <c r="V169" i="9"/>
  <c r="C169" i="9"/>
  <c r="S169" i="9"/>
  <c r="U169" i="9"/>
  <c r="W169" i="9"/>
  <c r="X169" i="9"/>
  <c r="Y169" i="9"/>
  <c r="Z169" i="9"/>
  <c r="AA169" i="9"/>
  <c r="AB169" i="9"/>
  <c r="AC169" i="9"/>
  <c r="AD169" i="9"/>
  <c r="AE169" i="9"/>
  <c r="AF169" i="9"/>
  <c r="AI169" i="9"/>
  <c r="AJ169" i="9"/>
  <c r="T170" i="9"/>
  <c r="V170" i="9"/>
  <c r="C170" i="9"/>
  <c r="S170" i="9"/>
  <c r="U170" i="9"/>
  <c r="W170" i="9"/>
  <c r="X170" i="9"/>
  <c r="Y170" i="9"/>
  <c r="Z170" i="9"/>
  <c r="AA170" i="9"/>
  <c r="AB170" i="9"/>
  <c r="AC170" i="9"/>
  <c r="AD170" i="9"/>
  <c r="AE170" i="9"/>
  <c r="AF170" i="9"/>
  <c r="AI170" i="9"/>
  <c r="AJ170" i="9"/>
  <c r="T171" i="9"/>
  <c r="V171" i="9"/>
  <c r="C171" i="9"/>
  <c r="S171" i="9"/>
  <c r="U171" i="9"/>
  <c r="W171" i="9"/>
  <c r="X171" i="9"/>
  <c r="Y171" i="9"/>
  <c r="Z171" i="9"/>
  <c r="AA171" i="9"/>
  <c r="AB171" i="9"/>
  <c r="AC171" i="9"/>
  <c r="AD171" i="9"/>
  <c r="AE171" i="9"/>
  <c r="AF171" i="9"/>
  <c r="AI171" i="9"/>
  <c r="AJ171" i="9"/>
  <c r="T172" i="9"/>
  <c r="V172" i="9"/>
  <c r="C172" i="9"/>
  <c r="S172" i="9"/>
  <c r="U172" i="9"/>
  <c r="W172" i="9"/>
  <c r="X172" i="9"/>
  <c r="Y172" i="9"/>
  <c r="Z172" i="9"/>
  <c r="AA172" i="9"/>
  <c r="AB172" i="9"/>
  <c r="AC172" i="9"/>
  <c r="AD172" i="9"/>
  <c r="AE172" i="9"/>
  <c r="AF172" i="9"/>
  <c r="AI172" i="9"/>
  <c r="AJ172" i="9"/>
  <c r="T173" i="9"/>
  <c r="V173" i="9"/>
  <c r="C173" i="9"/>
  <c r="S173" i="9"/>
  <c r="U173" i="9"/>
  <c r="W173" i="9"/>
  <c r="X173" i="9"/>
  <c r="Y173" i="9"/>
  <c r="Z173" i="9"/>
  <c r="AA173" i="9"/>
  <c r="AB173" i="9"/>
  <c r="AC173" i="9"/>
  <c r="AD173" i="9"/>
  <c r="AE173" i="9"/>
  <c r="AF173" i="9"/>
  <c r="AI173" i="9"/>
  <c r="AJ173" i="9"/>
  <c r="T174" i="9"/>
  <c r="V174" i="9"/>
  <c r="C174" i="9"/>
  <c r="S174" i="9"/>
  <c r="U174" i="9"/>
  <c r="W174" i="9"/>
  <c r="X174" i="9"/>
  <c r="Y174" i="9"/>
  <c r="Z174" i="9"/>
  <c r="AA174" i="9"/>
  <c r="AB174" i="9"/>
  <c r="AC174" i="9"/>
  <c r="AD174" i="9"/>
  <c r="AE174" i="9"/>
  <c r="AF174" i="9"/>
  <c r="AI174" i="9"/>
  <c r="AJ174" i="9"/>
  <c r="T175" i="9"/>
  <c r="V175" i="9"/>
  <c r="C175" i="9"/>
  <c r="S175" i="9"/>
  <c r="U175" i="9"/>
  <c r="W175" i="9"/>
  <c r="X175" i="9"/>
  <c r="Y175" i="9"/>
  <c r="Z175" i="9"/>
  <c r="AA175" i="9"/>
  <c r="AB175" i="9"/>
  <c r="AC175" i="9"/>
  <c r="AD175" i="9"/>
  <c r="AE175" i="9"/>
  <c r="AF175" i="9"/>
  <c r="AI175" i="9"/>
  <c r="AJ175" i="9"/>
  <c r="T176" i="9"/>
  <c r="V176" i="9"/>
  <c r="C176" i="9"/>
  <c r="S176" i="9"/>
  <c r="U176" i="9"/>
  <c r="W176" i="9"/>
  <c r="X176" i="9"/>
  <c r="Y176" i="9"/>
  <c r="Z176" i="9"/>
  <c r="AA176" i="9"/>
  <c r="AB176" i="9"/>
  <c r="AC176" i="9"/>
  <c r="AD176" i="9"/>
  <c r="AE176" i="9"/>
  <c r="AF176" i="9"/>
  <c r="AI176" i="9"/>
  <c r="AJ176" i="9"/>
  <c r="T177" i="9"/>
  <c r="V177" i="9"/>
  <c r="C177" i="9"/>
  <c r="S177" i="9"/>
  <c r="U177" i="9"/>
  <c r="W177" i="9"/>
  <c r="X177" i="9"/>
  <c r="Y177" i="9"/>
  <c r="Z177" i="9"/>
  <c r="AA177" i="9"/>
  <c r="AB177" i="9"/>
  <c r="AC177" i="9"/>
  <c r="AD177" i="9"/>
  <c r="AE177" i="9"/>
  <c r="AF177" i="9"/>
  <c r="AI177" i="9"/>
  <c r="AJ177" i="9"/>
  <c r="T178" i="9"/>
  <c r="V178" i="9"/>
  <c r="C178" i="9"/>
  <c r="S178" i="9"/>
  <c r="U178" i="9"/>
  <c r="W178" i="9"/>
  <c r="X178" i="9"/>
  <c r="Y178" i="9"/>
  <c r="Z178" i="9"/>
  <c r="AA178" i="9"/>
  <c r="AB178" i="9"/>
  <c r="AC178" i="9"/>
  <c r="AD178" i="9"/>
  <c r="AE178" i="9"/>
  <c r="AF178" i="9"/>
  <c r="AI178" i="9"/>
  <c r="AJ178" i="9"/>
  <c r="T179" i="9"/>
  <c r="V179" i="9"/>
  <c r="C179" i="9"/>
  <c r="S179" i="9"/>
  <c r="U179" i="9"/>
  <c r="W179" i="9"/>
  <c r="X179" i="9"/>
  <c r="Y179" i="9"/>
  <c r="Z179" i="9"/>
  <c r="AA179" i="9"/>
  <c r="AB179" i="9"/>
  <c r="AC179" i="9"/>
  <c r="AD179" i="9"/>
  <c r="AE179" i="9"/>
  <c r="AF179" i="9"/>
  <c r="AI179" i="9"/>
  <c r="AJ179" i="9"/>
  <c r="T180" i="9"/>
  <c r="V180" i="9"/>
  <c r="C180" i="9"/>
  <c r="S180" i="9"/>
  <c r="U180" i="9"/>
  <c r="W180" i="9"/>
  <c r="X180" i="9"/>
  <c r="Y180" i="9"/>
  <c r="Z180" i="9"/>
  <c r="AA180" i="9"/>
  <c r="AB180" i="9"/>
  <c r="AC180" i="9"/>
  <c r="AD180" i="9"/>
  <c r="AE180" i="9"/>
  <c r="AF180" i="9"/>
  <c r="AI180" i="9"/>
  <c r="AJ180" i="9"/>
  <c r="T181" i="9"/>
  <c r="V181" i="9"/>
  <c r="C181" i="9"/>
  <c r="S181" i="9"/>
  <c r="U181" i="9"/>
  <c r="W181" i="9"/>
  <c r="X181" i="9"/>
  <c r="Y181" i="9"/>
  <c r="Z181" i="9"/>
  <c r="AA181" i="9"/>
  <c r="AB181" i="9"/>
  <c r="AC181" i="9"/>
  <c r="AD181" i="9"/>
  <c r="AE181" i="9"/>
  <c r="AF181" i="9"/>
  <c r="AI181" i="9"/>
  <c r="AJ181" i="9"/>
  <c r="T182" i="9"/>
  <c r="V182" i="9"/>
  <c r="C182" i="9"/>
  <c r="S182" i="9"/>
  <c r="U182" i="9"/>
  <c r="W182" i="9"/>
  <c r="X182" i="9"/>
  <c r="Y182" i="9"/>
  <c r="Z182" i="9"/>
  <c r="AA182" i="9"/>
  <c r="AB182" i="9"/>
  <c r="AC182" i="9"/>
  <c r="AD182" i="9"/>
  <c r="AE182" i="9"/>
  <c r="AF182" i="9"/>
  <c r="AI182" i="9"/>
  <c r="AJ182" i="9"/>
  <c r="T183" i="9"/>
  <c r="V183" i="9"/>
  <c r="C183" i="9"/>
  <c r="S183" i="9"/>
  <c r="U183" i="9"/>
  <c r="W183" i="9"/>
  <c r="X183" i="9"/>
  <c r="Y183" i="9"/>
  <c r="Z183" i="9"/>
  <c r="AA183" i="9"/>
  <c r="AB183" i="9"/>
  <c r="AC183" i="9"/>
  <c r="AD183" i="9"/>
  <c r="AE183" i="9"/>
  <c r="AF183" i="9"/>
  <c r="AI183" i="9"/>
  <c r="AJ183" i="9"/>
  <c r="T184" i="9"/>
  <c r="V184" i="9"/>
  <c r="C184" i="9"/>
  <c r="S184" i="9"/>
  <c r="U184" i="9"/>
  <c r="W184" i="9"/>
  <c r="X184" i="9"/>
  <c r="Y184" i="9"/>
  <c r="Z184" i="9"/>
  <c r="AA184" i="9"/>
  <c r="AB184" i="9"/>
  <c r="AC184" i="9"/>
  <c r="AD184" i="9"/>
  <c r="AE184" i="9"/>
  <c r="AF184" i="9"/>
  <c r="AI184" i="9"/>
  <c r="AJ184" i="9"/>
  <c r="T185" i="9"/>
  <c r="V185" i="9"/>
  <c r="C185" i="9"/>
  <c r="S185" i="9"/>
  <c r="U185" i="9"/>
  <c r="W185" i="9"/>
  <c r="X185" i="9"/>
  <c r="Y185" i="9"/>
  <c r="Z185" i="9"/>
  <c r="AA185" i="9"/>
  <c r="AB185" i="9"/>
  <c r="AC185" i="9"/>
  <c r="AD185" i="9"/>
  <c r="AE185" i="9"/>
  <c r="AF185" i="9"/>
  <c r="AI185" i="9"/>
  <c r="AJ185" i="9"/>
  <c r="T186" i="9"/>
  <c r="V186" i="9"/>
  <c r="C186" i="9"/>
  <c r="S186" i="9"/>
  <c r="U186" i="9"/>
  <c r="W186" i="9"/>
  <c r="X186" i="9"/>
  <c r="Y186" i="9"/>
  <c r="Z186" i="9"/>
  <c r="AA186" i="9"/>
  <c r="AB186" i="9"/>
  <c r="AC186" i="9"/>
  <c r="AD186" i="9"/>
  <c r="AE186" i="9"/>
  <c r="AF186" i="9"/>
  <c r="AI186" i="9"/>
  <c r="AJ186" i="9"/>
  <c r="T187" i="9"/>
  <c r="V187" i="9"/>
  <c r="C187" i="9"/>
  <c r="S187" i="9"/>
  <c r="U187" i="9"/>
  <c r="W187" i="9"/>
  <c r="X187" i="9"/>
  <c r="Y187" i="9"/>
  <c r="Z187" i="9"/>
  <c r="AA187" i="9"/>
  <c r="AB187" i="9"/>
  <c r="AC187" i="9"/>
  <c r="AD187" i="9"/>
  <c r="AE187" i="9"/>
  <c r="AF187" i="9"/>
  <c r="AI187" i="9"/>
  <c r="AJ187" i="9"/>
  <c r="T188" i="9"/>
  <c r="V188" i="9"/>
  <c r="C188" i="9"/>
  <c r="S188" i="9"/>
  <c r="U188" i="9"/>
  <c r="W188" i="9"/>
  <c r="X188" i="9"/>
  <c r="Y188" i="9"/>
  <c r="Z188" i="9"/>
  <c r="AA188" i="9"/>
  <c r="AB188" i="9"/>
  <c r="AC188" i="9"/>
  <c r="AD188" i="9"/>
  <c r="AE188" i="9"/>
  <c r="AF188" i="9"/>
  <c r="AI188" i="9"/>
  <c r="AJ188" i="9"/>
  <c r="T189" i="9"/>
  <c r="V189" i="9"/>
  <c r="C189" i="9"/>
  <c r="S189" i="9"/>
  <c r="U189" i="9"/>
  <c r="W189" i="9"/>
  <c r="X189" i="9"/>
  <c r="Y189" i="9"/>
  <c r="Z189" i="9"/>
  <c r="AA189" i="9"/>
  <c r="AB189" i="9"/>
  <c r="AC189" i="9"/>
  <c r="AD189" i="9"/>
  <c r="AE189" i="9"/>
  <c r="AF189" i="9"/>
  <c r="AI189" i="9"/>
  <c r="AJ189" i="9"/>
  <c r="T190" i="9"/>
  <c r="V190" i="9"/>
  <c r="C190" i="9"/>
  <c r="S190" i="9"/>
  <c r="U190" i="9"/>
  <c r="W190" i="9"/>
  <c r="X190" i="9"/>
  <c r="Y190" i="9"/>
  <c r="Z190" i="9"/>
  <c r="AA190" i="9"/>
  <c r="AB190" i="9"/>
  <c r="AC190" i="9"/>
  <c r="AD190" i="9"/>
  <c r="AE190" i="9"/>
  <c r="AF190" i="9"/>
  <c r="AI190" i="9"/>
  <c r="AJ190" i="9"/>
  <c r="T191" i="9"/>
  <c r="V191" i="9"/>
  <c r="C191" i="9"/>
  <c r="S191" i="9"/>
  <c r="U191" i="9"/>
  <c r="W191" i="9"/>
  <c r="X191" i="9"/>
  <c r="Y191" i="9"/>
  <c r="Z191" i="9"/>
  <c r="AA191" i="9"/>
  <c r="AB191" i="9"/>
  <c r="AC191" i="9"/>
  <c r="AD191" i="9"/>
  <c r="AE191" i="9"/>
  <c r="AF191" i="9"/>
  <c r="AI191" i="9"/>
  <c r="AJ191" i="9"/>
  <c r="T192" i="9"/>
  <c r="V192" i="9"/>
  <c r="C192" i="9"/>
  <c r="S192" i="9"/>
  <c r="U192" i="9"/>
  <c r="W192" i="9"/>
  <c r="X192" i="9"/>
  <c r="Y192" i="9"/>
  <c r="Z192" i="9"/>
  <c r="AA192" i="9"/>
  <c r="AB192" i="9"/>
  <c r="AC192" i="9"/>
  <c r="AD192" i="9"/>
  <c r="AE192" i="9"/>
  <c r="AF192" i="9"/>
  <c r="AI192" i="9"/>
  <c r="AJ192" i="9"/>
  <c r="T193" i="9"/>
  <c r="V193" i="9"/>
  <c r="C193" i="9"/>
  <c r="S193" i="9"/>
  <c r="U193" i="9"/>
  <c r="W193" i="9"/>
  <c r="X193" i="9"/>
  <c r="Y193" i="9"/>
  <c r="Z193" i="9"/>
  <c r="AA193" i="9"/>
  <c r="AB193" i="9"/>
  <c r="AC193" i="9"/>
  <c r="AD193" i="9"/>
  <c r="AE193" i="9"/>
  <c r="AF193" i="9"/>
  <c r="AI193" i="9"/>
  <c r="AJ193" i="9"/>
  <c r="T194" i="9"/>
  <c r="V194" i="9"/>
  <c r="C194" i="9"/>
  <c r="S194" i="9"/>
  <c r="U194" i="9"/>
  <c r="W194" i="9"/>
  <c r="X194" i="9"/>
  <c r="Y194" i="9"/>
  <c r="Z194" i="9"/>
  <c r="AA194" i="9"/>
  <c r="AB194" i="9"/>
  <c r="AC194" i="9"/>
  <c r="AD194" i="9"/>
  <c r="AE194" i="9"/>
  <c r="AF194" i="9"/>
  <c r="AI194" i="9"/>
  <c r="AJ194" i="9"/>
  <c r="T195" i="9"/>
  <c r="V195" i="9"/>
  <c r="C195" i="9"/>
  <c r="S195" i="9"/>
  <c r="U195" i="9"/>
  <c r="W195" i="9"/>
  <c r="X195" i="9"/>
  <c r="Y195" i="9"/>
  <c r="Z195" i="9"/>
  <c r="AA195" i="9"/>
  <c r="AB195" i="9"/>
  <c r="AC195" i="9"/>
  <c r="AD195" i="9"/>
  <c r="AE195" i="9"/>
  <c r="AF195" i="9"/>
  <c r="AI195" i="9"/>
  <c r="AJ195" i="9"/>
  <c r="T196" i="9"/>
  <c r="V196" i="9"/>
  <c r="C196" i="9"/>
  <c r="S196" i="9"/>
  <c r="U196" i="9"/>
  <c r="W196" i="9"/>
  <c r="X196" i="9"/>
  <c r="Y196" i="9"/>
  <c r="Z196" i="9"/>
  <c r="AA196" i="9"/>
  <c r="AB196" i="9"/>
  <c r="AC196" i="9"/>
  <c r="AD196" i="9"/>
  <c r="AE196" i="9"/>
  <c r="AF196" i="9"/>
  <c r="AI196" i="9"/>
  <c r="AJ196" i="9"/>
  <c r="T197" i="9"/>
  <c r="V197" i="9"/>
  <c r="C197" i="9"/>
  <c r="S197" i="9"/>
  <c r="U197" i="9"/>
  <c r="W197" i="9"/>
  <c r="X197" i="9"/>
  <c r="Y197" i="9"/>
  <c r="Z197" i="9"/>
  <c r="AA197" i="9"/>
  <c r="AB197" i="9"/>
  <c r="AC197" i="9"/>
  <c r="AD197" i="9"/>
  <c r="AE197" i="9"/>
  <c r="AF197" i="9"/>
  <c r="AI197" i="9"/>
  <c r="AJ197" i="9"/>
  <c r="T198" i="9"/>
  <c r="V198" i="9"/>
  <c r="C198" i="9"/>
  <c r="S198" i="9"/>
  <c r="U198" i="9"/>
  <c r="W198" i="9"/>
  <c r="X198" i="9"/>
  <c r="Y198" i="9"/>
  <c r="Z198" i="9"/>
  <c r="AA198" i="9"/>
  <c r="AB198" i="9"/>
  <c r="AC198" i="9"/>
  <c r="AD198" i="9"/>
  <c r="AE198" i="9"/>
  <c r="AF198" i="9"/>
  <c r="AI198" i="9"/>
  <c r="AJ198" i="9"/>
  <c r="T199" i="9"/>
  <c r="V199" i="9"/>
  <c r="C199" i="9"/>
  <c r="S199" i="9"/>
  <c r="U199" i="9"/>
  <c r="W199" i="9"/>
  <c r="X199" i="9"/>
  <c r="Y199" i="9"/>
  <c r="Z199" i="9"/>
  <c r="AA199" i="9"/>
  <c r="AB199" i="9"/>
  <c r="AC199" i="9"/>
  <c r="AD199" i="9"/>
  <c r="AE199" i="9"/>
  <c r="AF199" i="9"/>
  <c r="AI199" i="9"/>
  <c r="AJ199" i="9"/>
  <c r="T200" i="9"/>
  <c r="V200" i="9"/>
  <c r="C200" i="9"/>
  <c r="S200" i="9"/>
  <c r="U200" i="9"/>
  <c r="W200" i="9"/>
  <c r="X200" i="9"/>
  <c r="Y200" i="9"/>
  <c r="Z200" i="9"/>
  <c r="AA200" i="9"/>
  <c r="AB200" i="9"/>
  <c r="AC200" i="9"/>
  <c r="AD200" i="9"/>
  <c r="AE200" i="9"/>
  <c r="AF200" i="9"/>
  <c r="AI200" i="9"/>
  <c r="AJ200" i="9"/>
  <c r="T201" i="9"/>
  <c r="V201" i="9"/>
  <c r="C201" i="9"/>
  <c r="S201" i="9"/>
  <c r="U201" i="9"/>
  <c r="W201" i="9"/>
  <c r="X201" i="9"/>
  <c r="Y201" i="9"/>
  <c r="Z201" i="9"/>
  <c r="AA201" i="9"/>
  <c r="AB201" i="9"/>
  <c r="AC201" i="9"/>
  <c r="AD201" i="9"/>
  <c r="AE201" i="9"/>
  <c r="AF201" i="9"/>
  <c r="AI201" i="9"/>
  <c r="AJ201" i="9"/>
  <c r="T202" i="9"/>
  <c r="V202" i="9"/>
  <c r="C202" i="9"/>
  <c r="S202" i="9"/>
  <c r="U202" i="9"/>
  <c r="W202" i="9"/>
  <c r="X202" i="9"/>
  <c r="Y202" i="9"/>
  <c r="Z202" i="9"/>
  <c r="AA202" i="9"/>
  <c r="AB202" i="9"/>
  <c r="AC202" i="9"/>
  <c r="AD202" i="9"/>
  <c r="AE202" i="9"/>
  <c r="AF202" i="9"/>
  <c r="AI202" i="9"/>
  <c r="AJ202" i="9"/>
  <c r="T203" i="9"/>
  <c r="V203" i="9"/>
  <c r="C203" i="9"/>
  <c r="S203" i="9"/>
  <c r="U203" i="9"/>
  <c r="W203" i="9"/>
  <c r="X203" i="9"/>
  <c r="Y203" i="9"/>
  <c r="Z203" i="9"/>
  <c r="AA203" i="9"/>
  <c r="AB203" i="9"/>
  <c r="AC203" i="9"/>
  <c r="AD203" i="9"/>
  <c r="AE203" i="9"/>
  <c r="AF203" i="9"/>
  <c r="AI203" i="9"/>
  <c r="AJ203" i="9"/>
  <c r="T204" i="9"/>
  <c r="V204" i="9"/>
  <c r="C204" i="9"/>
  <c r="S204" i="9"/>
  <c r="U204" i="9"/>
  <c r="W204" i="9"/>
  <c r="X204" i="9"/>
  <c r="Y204" i="9"/>
  <c r="Z204" i="9"/>
  <c r="AA204" i="9"/>
  <c r="AB204" i="9"/>
  <c r="AC204" i="9"/>
  <c r="AD204" i="9"/>
  <c r="AE204" i="9"/>
  <c r="AF204" i="9"/>
  <c r="AI204" i="9"/>
  <c r="AJ204" i="9"/>
  <c r="T205" i="9"/>
  <c r="V205" i="9"/>
  <c r="C205" i="9"/>
  <c r="S205" i="9"/>
  <c r="U205" i="9"/>
  <c r="W205" i="9"/>
  <c r="X205" i="9"/>
  <c r="Y205" i="9"/>
  <c r="Z205" i="9"/>
  <c r="AA205" i="9"/>
  <c r="AB205" i="9"/>
  <c r="AC205" i="9"/>
  <c r="AD205" i="9"/>
  <c r="AE205" i="9"/>
  <c r="AF205" i="9"/>
  <c r="AI205" i="9"/>
  <c r="AJ205" i="9"/>
  <c r="T206" i="9"/>
  <c r="V206" i="9"/>
  <c r="C206" i="9"/>
  <c r="S206" i="9"/>
  <c r="U206" i="9"/>
  <c r="W206" i="9"/>
  <c r="X206" i="9"/>
  <c r="Y206" i="9"/>
  <c r="Z206" i="9"/>
  <c r="AA206" i="9"/>
  <c r="AB206" i="9"/>
  <c r="AC206" i="9"/>
  <c r="AD206" i="9"/>
  <c r="AE206" i="9"/>
  <c r="AF206" i="9"/>
  <c r="AI206" i="9"/>
  <c r="AJ206" i="9"/>
  <c r="T207" i="9"/>
  <c r="V207" i="9"/>
  <c r="C207" i="9"/>
  <c r="S207" i="9"/>
  <c r="U207" i="9"/>
  <c r="W207" i="9"/>
  <c r="X207" i="9"/>
  <c r="Y207" i="9"/>
  <c r="Z207" i="9"/>
  <c r="AA207" i="9"/>
  <c r="AB207" i="9"/>
  <c r="AC207" i="9"/>
  <c r="AD207" i="9"/>
  <c r="AE207" i="9"/>
  <c r="AF207" i="9"/>
  <c r="AI207" i="9"/>
  <c r="AJ207" i="9"/>
  <c r="T208" i="9"/>
  <c r="V208" i="9"/>
  <c r="C208" i="9"/>
  <c r="S208" i="9"/>
  <c r="U208" i="9"/>
  <c r="W208" i="9"/>
  <c r="X208" i="9"/>
  <c r="Y208" i="9"/>
  <c r="Z208" i="9"/>
  <c r="AA208" i="9"/>
  <c r="AB208" i="9"/>
  <c r="AC208" i="9"/>
  <c r="AD208" i="9"/>
  <c r="AE208" i="9"/>
  <c r="AF208" i="9"/>
  <c r="AI208" i="9"/>
  <c r="AJ208" i="9"/>
  <c r="T209" i="9"/>
  <c r="V209" i="9"/>
  <c r="C209" i="9"/>
  <c r="S209" i="9"/>
  <c r="U209" i="9"/>
  <c r="W209" i="9"/>
  <c r="X209" i="9"/>
  <c r="Y209" i="9"/>
  <c r="Z209" i="9"/>
  <c r="AA209" i="9"/>
  <c r="AB209" i="9"/>
  <c r="AC209" i="9"/>
  <c r="AD209" i="9"/>
  <c r="AE209" i="9"/>
  <c r="AF209" i="9"/>
  <c r="AI209" i="9"/>
  <c r="AJ209" i="9"/>
  <c r="T18" i="9"/>
  <c r="V18" i="9"/>
  <c r="C18" i="9"/>
  <c r="S18" i="9"/>
  <c r="U18" i="9"/>
  <c r="W18" i="9"/>
  <c r="X18" i="9"/>
  <c r="Y18" i="9"/>
  <c r="Z18" i="9"/>
  <c r="AA18" i="9"/>
  <c r="AB18" i="9"/>
  <c r="AC18" i="9"/>
  <c r="AD18" i="9"/>
  <c r="AE18" i="9"/>
  <c r="AF18" i="9"/>
  <c r="AI18" i="9"/>
  <c r="AJ18" i="9"/>
  <c r="AN19" i="9"/>
  <c r="AO19" i="9"/>
  <c r="AP19" i="9"/>
  <c r="AQ19" i="9"/>
  <c r="AN20" i="9"/>
  <c r="AO20" i="9"/>
  <c r="AP20" i="9"/>
  <c r="AQ20" i="9"/>
  <c r="AN21" i="9"/>
  <c r="AO21" i="9"/>
  <c r="AP21" i="9"/>
  <c r="AQ21" i="9"/>
  <c r="AN22" i="9"/>
  <c r="AO22" i="9"/>
  <c r="AP22" i="9"/>
  <c r="AQ22" i="9"/>
  <c r="AN23" i="9"/>
  <c r="AO23" i="9"/>
  <c r="AP23" i="9"/>
  <c r="AQ23" i="9"/>
  <c r="AN24" i="9"/>
  <c r="AO24" i="9"/>
  <c r="AP24" i="9"/>
  <c r="AQ24" i="9"/>
  <c r="AN25" i="9"/>
  <c r="AO25" i="9"/>
  <c r="AP25" i="9"/>
  <c r="AQ25" i="9"/>
  <c r="AN26" i="9"/>
  <c r="AO26" i="9"/>
  <c r="AP26" i="9"/>
  <c r="AQ26" i="9"/>
  <c r="AN27" i="9"/>
  <c r="AO27" i="9"/>
  <c r="AP27" i="9"/>
  <c r="AQ27" i="9"/>
  <c r="AN28" i="9"/>
  <c r="AO28" i="9"/>
  <c r="AP28" i="9"/>
  <c r="AQ28" i="9"/>
  <c r="AN29" i="9"/>
  <c r="AO29" i="9"/>
  <c r="AP29" i="9"/>
  <c r="AQ29" i="9"/>
  <c r="AN30" i="9"/>
  <c r="AO30" i="9"/>
  <c r="AP30" i="9"/>
  <c r="AQ30" i="9"/>
  <c r="AN31" i="9"/>
  <c r="AO31" i="9"/>
  <c r="AP31" i="9"/>
  <c r="AQ31" i="9"/>
  <c r="AN32" i="9"/>
  <c r="AO32" i="9"/>
  <c r="AP32" i="9"/>
  <c r="AQ32" i="9"/>
  <c r="AN33" i="9"/>
  <c r="AO33" i="9"/>
  <c r="AP33" i="9"/>
  <c r="AQ33" i="9"/>
  <c r="AN34" i="9"/>
  <c r="AO34" i="9"/>
  <c r="AP34" i="9"/>
  <c r="AQ34" i="9"/>
  <c r="AN35" i="9"/>
  <c r="AO35" i="9"/>
  <c r="AP35" i="9"/>
  <c r="AQ35" i="9"/>
  <c r="AN36" i="9"/>
  <c r="AO36" i="9"/>
  <c r="AP36" i="9"/>
  <c r="AQ36" i="9"/>
  <c r="AN37" i="9"/>
  <c r="AO37" i="9"/>
  <c r="AP37" i="9"/>
  <c r="AQ37" i="9"/>
  <c r="AN38" i="9"/>
  <c r="AO38" i="9"/>
  <c r="AP38" i="9"/>
  <c r="AQ38" i="9"/>
  <c r="AN39" i="9"/>
  <c r="AO39" i="9"/>
  <c r="AP39" i="9"/>
  <c r="AQ39" i="9"/>
  <c r="AN40" i="9"/>
  <c r="AO40" i="9"/>
  <c r="AP40" i="9"/>
  <c r="AQ40" i="9"/>
  <c r="AN41" i="9"/>
  <c r="AO41" i="9"/>
  <c r="AP41" i="9"/>
  <c r="AQ41" i="9"/>
  <c r="AN42" i="9"/>
  <c r="AO42" i="9"/>
  <c r="AP42" i="9"/>
  <c r="AQ42" i="9"/>
  <c r="AN43" i="9"/>
  <c r="AO43" i="9"/>
  <c r="AP43" i="9"/>
  <c r="AQ43" i="9"/>
  <c r="AN44" i="9"/>
  <c r="AO44" i="9"/>
  <c r="AP44" i="9"/>
  <c r="AQ44" i="9"/>
  <c r="AN45" i="9"/>
  <c r="AO45" i="9"/>
  <c r="AP45" i="9"/>
  <c r="AQ45" i="9"/>
  <c r="AN46" i="9"/>
  <c r="AO46" i="9"/>
  <c r="AP46" i="9"/>
  <c r="AQ46" i="9"/>
  <c r="AN47" i="9"/>
  <c r="AO47" i="9"/>
  <c r="AP47" i="9"/>
  <c r="AQ47" i="9"/>
  <c r="AN48" i="9"/>
  <c r="AO48" i="9"/>
  <c r="AP48" i="9"/>
  <c r="AQ48" i="9"/>
  <c r="AN49" i="9"/>
  <c r="AO49" i="9"/>
  <c r="AP49" i="9"/>
  <c r="AQ49" i="9"/>
  <c r="AN50" i="9"/>
  <c r="AO50" i="9"/>
  <c r="AP50" i="9"/>
  <c r="AQ50" i="9"/>
  <c r="AN51" i="9"/>
  <c r="AO51" i="9"/>
  <c r="AP51" i="9"/>
  <c r="AQ51" i="9"/>
  <c r="AN52" i="9"/>
  <c r="AO52" i="9"/>
  <c r="AP52" i="9"/>
  <c r="AQ52" i="9"/>
  <c r="AN53" i="9"/>
  <c r="AO53" i="9"/>
  <c r="AP53" i="9"/>
  <c r="AQ53" i="9"/>
  <c r="AN54" i="9"/>
  <c r="AO54" i="9"/>
  <c r="AP54" i="9"/>
  <c r="AQ54" i="9"/>
  <c r="AN55" i="9"/>
  <c r="AO55" i="9"/>
  <c r="AP55" i="9"/>
  <c r="AQ55" i="9"/>
  <c r="AN56" i="9"/>
  <c r="AO56" i="9"/>
  <c r="AP56" i="9"/>
  <c r="AQ56" i="9"/>
  <c r="AN57" i="9"/>
  <c r="AO57" i="9"/>
  <c r="AP57" i="9"/>
  <c r="AQ57" i="9"/>
  <c r="AN58" i="9"/>
  <c r="AO58" i="9"/>
  <c r="AP58" i="9"/>
  <c r="AQ58" i="9"/>
  <c r="AN59" i="9"/>
  <c r="AO59" i="9"/>
  <c r="AP59" i="9"/>
  <c r="AQ59" i="9"/>
  <c r="AN60" i="9"/>
  <c r="AO60" i="9"/>
  <c r="AP60" i="9"/>
  <c r="AQ60" i="9"/>
  <c r="AN61" i="9"/>
  <c r="AO61" i="9"/>
  <c r="AP61" i="9"/>
  <c r="AQ61" i="9"/>
  <c r="AN62" i="9"/>
  <c r="AO62" i="9"/>
  <c r="AP62" i="9"/>
  <c r="AQ62" i="9"/>
  <c r="AN63" i="9"/>
  <c r="AO63" i="9"/>
  <c r="AP63" i="9"/>
  <c r="AQ63" i="9"/>
  <c r="AN64" i="9"/>
  <c r="AO64" i="9"/>
  <c r="AP64" i="9"/>
  <c r="AQ64" i="9"/>
  <c r="AN65" i="9"/>
  <c r="AO65" i="9"/>
  <c r="AP65" i="9"/>
  <c r="AQ65" i="9"/>
  <c r="AN66" i="9"/>
  <c r="AO66" i="9"/>
  <c r="AP66" i="9"/>
  <c r="AQ66" i="9"/>
  <c r="AN67" i="9"/>
  <c r="AO67" i="9"/>
  <c r="AP67" i="9"/>
  <c r="AQ67" i="9"/>
  <c r="AN68" i="9"/>
  <c r="AO68" i="9"/>
  <c r="AP68" i="9"/>
  <c r="AQ68" i="9"/>
  <c r="AN69" i="9"/>
  <c r="AO69" i="9"/>
  <c r="AP69" i="9"/>
  <c r="AQ69" i="9"/>
  <c r="AN70" i="9"/>
  <c r="AO70" i="9"/>
  <c r="AP70" i="9"/>
  <c r="AQ70" i="9"/>
  <c r="AN71" i="9"/>
  <c r="AO71" i="9"/>
  <c r="AP71" i="9"/>
  <c r="AQ71" i="9"/>
  <c r="AN72" i="9"/>
  <c r="AO72" i="9"/>
  <c r="AP72" i="9"/>
  <c r="AQ72" i="9"/>
  <c r="AN73" i="9"/>
  <c r="AO73" i="9"/>
  <c r="AP73" i="9"/>
  <c r="AQ73" i="9"/>
  <c r="AN74" i="9"/>
  <c r="AO74" i="9"/>
  <c r="AP74" i="9"/>
  <c r="AQ74" i="9"/>
  <c r="AN75" i="9"/>
  <c r="AO75" i="9"/>
  <c r="AP75" i="9"/>
  <c r="AQ75" i="9"/>
  <c r="AN76" i="9"/>
  <c r="AO76" i="9"/>
  <c r="AP76" i="9"/>
  <c r="AQ76" i="9"/>
  <c r="AN77" i="9"/>
  <c r="AO77" i="9"/>
  <c r="AP77" i="9"/>
  <c r="AQ77" i="9"/>
  <c r="AN78" i="9"/>
  <c r="AO78" i="9"/>
  <c r="AP78" i="9"/>
  <c r="AQ78" i="9"/>
  <c r="AN79" i="9"/>
  <c r="AO79" i="9"/>
  <c r="AP79" i="9"/>
  <c r="AQ79" i="9"/>
  <c r="AN80" i="9"/>
  <c r="AO80" i="9"/>
  <c r="AP80" i="9"/>
  <c r="AQ80" i="9"/>
  <c r="AN81" i="9"/>
  <c r="AO81" i="9"/>
  <c r="AP81" i="9"/>
  <c r="AQ81" i="9"/>
  <c r="AN82" i="9"/>
  <c r="AO82" i="9"/>
  <c r="AP82" i="9"/>
  <c r="AQ82" i="9"/>
  <c r="AN83" i="9"/>
  <c r="AO83" i="9"/>
  <c r="AP83" i="9"/>
  <c r="AQ83" i="9"/>
  <c r="AN84" i="9"/>
  <c r="AO84" i="9"/>
  <c r="AP84" i="9"/>
  <c r="AQ84" i="9"/>
  <c r="AN85" i="9"/>
  <c r="AO85" i="9"/>
  <c r="AP85" i="9"/>
  <c r="AQ85" i="9"/>
  <c r="AN86" i="9"/>
  <c r="AO86" i="9"/>
  <c r="AP86" i="9"/>
  <c r="AQ86" i="9"/>
  <c r="AN87" i="9"/>
  <c r="AO87" i="9"/>
  <c r="AP87" i="9"/>
  <c r="AQ87" i="9"/>
  <c r="AN88" i="9"/>
  <c r="AO88" i="9"/>
  <c r="AP88" i="9"/>
  <c r="AQ88" i="9"/>
  <c r="AN89" i="9"/>
  <c r="AO89" i="9"/>
  <c r="AP89" i="9"/>
  <c r="AQ89" i="9"/>
  <c r="AN90" i="9"/>
  <c r="AO90" i="9"/>
  <c r="AP90" i="9"/>
  <c r="AQ90" i="9"/>
  <c r="AN91" i="9"/>
  <c r="AO91" i="9"/>
  <c r="AP91" i="9"/>
  <c r="AQ91" i="9"/>
  <c r="AN92" i="9"/>
  <c r="AO92" i="9"/>
  <c r="AP92" i="9"/>
  <c r="AQ92" i="9"/>
  <c r="AN93" i="9"/>
  <c r="AO93" i="9"/>
  <c r="AP93" i="9"/>
  <c r="AQ93" i="9"/>
  <c r="AN94" i="9"/>
  <c r="AO94" i="9"/>
  <c r="AP94" i="9"/>
  <c r="AQ94" i="9"/>
  <c r="AN95" i="9"/>
  <c r="AO95" i="9"/>
  <c r="AP95" i="9"/>
  <c r="AQ95" i="9"/>
  <c r="AN96" i="9"/>
  <c r="AO96" i="9"/>
  <c r="AP96" i="9"/>
  <c r="AQ96" i="9"/>
  <c r="AN97" i="9"/>
  <c r="AO97" i="9"/>
  <c r="AP97" i="9"/>
  <c r="AQ97" i="9"/>
  <c r="AN98" i="9"/>
  <c r="AO98" i="9"/>
  <c r="AP98" i="9"/>
  <c r="AQ98" i="9"/>
  <c r="AN99" i="9"/>
  <c r="AO99" i="9"/>
  <c r="AP99" i="9"/>
  <c r="AQ99" i="9"/>
  <c r="AN100" i="9"/>
  <c r="AO100" i="9"/>
  <c r="AP100" i="9"/>
  <c r="AQ100" i="9"/>
  <c r="AN101" i="9"/>
  <c r="AO101" i="9"/>
  <c r="AP101" i="9"/>
  <c r="AQ101" i="9"/>
  <c r="AN102" i="9"/>
  <c r="AO102" i="9"/>
  <c r="AP102" i="9"/>
  <c r="AQ102" i="9"/>
  <c r="AN103" i="9"/>
  <c r="AO103" i="9"/>
  <c r="AP103" i="9"/>
  <c r="AQ103" i="9"/>
  <c r="AN104" i="9"/>
  <c r="AO104" i="9"/>
  <c r="AP104" i="9"/>
  <c r="AQ104" i="9"/>
  <c r="AN105" i="9"/>
  <c r="AO105" i="9"/>
  <c r="AP105" i="9"/>
  <c r="AQ105" i="9"/>
  <c r="AN106" i="9"/>
  <c r="AO106" i="9"/>
  <c r="AP106" i="9"/>
  <c r="AQ106" i="9"/>
  <c r="AN107" i="9"/>
  <c r="AO107" i="9"/>
  <c r="AP107" i="9"/>
  <c r="AQ107" i="9"/>
  <c r="AN108" i="9"/>
  <c r="AO108" i="9"/>
  <c r="AP108" i="9"/>
  <c r="AQ108" i="9"/>
  <c r="AN109" i="9"/>
  <c r="AO109" i="9"/>
  <c r="AP109" i="9"/>
  <c r="AQ109" i="9"/>
  <c r="AN110" i="9"/>
  <c r="AO110" i="9"/>
  <c r="AP110" i="9"/>
  <c r="AQ110" i="9"/>
  <c r="AN111" i="9"/>
  <c r="AO111" i="9"/>
  <c r="AP111" i="9"/>
  <c r="AQ111" i="9"/>
  <c r="AN112" i="9"/>
  <c r="AO112" i="9"/>
  <c r="AP112" i="9"/>
  <c r="AQ112" i="9"/>
  <c r="AN113" i="9"/>
  <c r="AO113" i="9"/>
  <c r="AP113" i="9"/>
  <c r="AQ113" i="9"/>
  <c r="AN114" i="9"/>
  <c r="AO114" i="9"/>
  <c r="AP114" i="9"/>
  <c r="AQ114" i="9"/>
  <c r="AN115" i="9"/>
  <c r="AO115" i="9"/>
  <c r="AP115" i="9"/>
  <c r="AQ115" i="9"/>
  <c r="AN116" i="9"/>
  <c r="AO116" i="9"/>
  <c r="AP116" i="9"/>
  <c r="AQ116" i="9"/>
  <c r="AN117" i="9"/>
  <c r="AO117" i="9"/>
  <c r="AP117" i="9"/>
  <c r="AQ117" i="9"/>
  <c r="AN118" i="9"/>
  <c r="AO118" i="9"/>
  <c r="AP118" i="9"/>
  <c r="AQ118" i="9"/>
  <c r="AN119" i="9"/>
  <c r="AO119" i="9"/>
  <c r="AP119" i="9"/>
  <c r="AQ119" i="9"/>
  <c r="AN120" i="9"/>
  <c r="AO120" i="9"/>
  <c r="AP120" i="9"/>
  <c r="AQ120" i="9"/>
  <c r="AN121" i="9"/>
  <c r="AO121" i="9"/>
  <c r="AP121" i="9"/>
  <c r="AQ121" i="9"/>
  <c r="AN122" i="9"/>
  <c r="AO122" i="9"/>
  <c r="AP122" i="9"/>
  <c r="AQ122" i="9"/>
  <c r="AN123" i="9"/>
  <c r="AO123" i="9"/>
  <c r="AP123" i="9"/>
  <c r="AQ123" i="9"/>
  <c r="AN124" i="9"/>
  <c r="AO124" i="9"/>
  <c r="AP124" i="9"/>
  <c r="AQ124" i="9"/>
  <c r="AN125" i="9"/>
  <c r="AO125" i="9"/>
  <c r="AP125" i="9"/>
  <c r="AQ125" i="9"/>
  <c r="AN126" i="9"/>
  <c r="AO126" i="9"/>
  <c r="AP126" i="9"/>
  <c r="AQ126" i="9"/>
  <c r="AN127" i="9"/>
  <c r="AO127" i="9"/>
  <c r="AP127" i="9"/>
  <c r="AQ127" i="9"/>
  <c r="AN128" i="9"/>
  <c r="AO128" i="9"/>
  <c r="AP128" i="9"/>
  <c r="AQ128" i="9"/>
  <c r="AN129" i="9"/>
  <c r="AO129" i="9"/>
  <c r="AP129" i="9"/>
  <c r="AQ129" i="9"/>
  <c r="AN130" i="9"/>
  <c r="AO130" i="9"/>
  <c r="AP130" i="9"/>
  <c r="AQ130" i="9"/>
  <c r="AN131" i="9"/>
  <c r="AO131" i="9"/>
  <c r="AP131" i="9"/>
  <c r="AQ131" i="9"/>
  <c r="AN132" i="9"/>
  <c r="AO132" i="9"/>
  <c r="AP132" i="9"/>
  <c r="AQ132" i="9"/>
  <c r="AN133" i="9"/>
  <c r="AO133" i="9"/>
  <c r="AP133" i="9"/>
  <c r="AQ133" i="9"/>
  <c r="AN134" i="9"/>
  <c r="AO134" i="9"/>
  <c r="AP134" i="9"/>
  <c r="AQ134" i="9"/>
  <c r="AN135" i="9"/>
  <c r="AO135" i="9"/>
  <c r="AP135" i="9"/>
  <c r="AQ135" i="9"/>
  <c r="AN136" i="9"/>
  <c r="AO136" i="9"/>
  <c r="AP136" i="9"/>
  <c r="AQ136" i="9"/>
  <c r="AN137" i="9"/>
  <c r="AO137" i="9"/>
  <c r="AP137" i="9"/>
  <c r="AQ137" i="9"/>
  <c r="AN138" i="9"/>
  <c r="AO138" i="9"/>
  <c r="AP138" i="9"/>
  <c r="AQ138" i="9"/>
  <c r="AN139" i="9"/>
  <c r="AO139" i="9"/>
  <c r="AP139" i="9"/>
  <c r="AQ139" i="9"/>
  <c r="AN140" i="9"/>
  <c r="AO140" i="9"/>
  <c r="AP140" i="9"/>
  <c r="AQ140" i="9"/>
  <c r="AN141" i="9"/>
  <c r="AO141" i="9"/>
  <c r="AP141" i="9"/>
  <c r="AQ141" i="9"/>
  <c r="AN142" i="9"/>
  <c r="AO142" i="9"/>
  <c r="AP142" i="9"/>
  <c r="AQ142" i="9"/>
  <c r="AN143" i="9"/>
  <c r="AO143" i="9"/>
  <c r="AP143" i="9"/>
  <c r="AQ143" i="9"/>
  <c r="AN144" i="9"/>
  <c r="AO144" i="9"/>
  <c r="AP144" i="9"/>
  <c r="AQ144" i="9"/>
  <c r="AN145" i="9"/>
  <c r="AO145" i="9"/>
  <c r="AP145" i="9"/>
  <c r="AQ145" i="9"/>
  <c r="AN146" i="9"/>
  <c r="AO146" i="9"/>
  <c r="AP146" i="9"/>
  <c r="AQ146" i="9"/>
  <c r="AN147" i="9"/>
  <c r="AO147" i="9"/>
  <c r="AP147" i="9"/>
  <c r="AQ147" i="9"/>
  <c r="AN148" i="9"/>
  <c r="AO148" i="9"/>
  <c r="AP148" i="9"/>
  <c r="AQ148" i="9"/>
  <c r="AN149" i="9"/>
  <c r="AO149" i="9"/>
  <c r="AP149" i="9"/>
  <c r="AQ149" i="9"/>
  <c r="AN150" i="9"/>
  <c r="AO150" i="9"/>
  <c r="AP150" i="9"/>
  <c r="AQ150" i="9"/>
  <c r="AN151" i="9"/>
  <c r="AO151" i="9"/>
  <c r="AP151" i="9"/>
  <c r="AQ151" i="9"/>
  <c r="AN152" i="9"/>
  <c r="AO152" i="9"/>
  <c r="AP152" i="9"/>
  <c r="AQ152" i="9"/>
  <c r="AN153" i="9"/>
  <c r="AO153" i="9"/>
  <c r="AP153" i="9"/>
  <c r="AQ153" i="9"/>
  <c r="AN154" i="9"/>
  <c r="AO154" i="9"/>
  <c r="AP154" i="9"/>
  <c r="AQ154" i="9"/>
  <c r="AN155" i="9"/>
  <c r="AO155" i="9"/>
  <c r="AP155" i="9"/>
  <c r="AQ155" i="9"/>
  <c r="AN156" i="9"/>
  <c r="AO156" i="9"/>
  <c r="AP156" i="9"/>
  <c r="AQ156" i="9"/>
  <c r="AN157" i="9"/>
  <c r="AO157" i="9"/>
  <c r="AP157" i="9"/>
  <c r="AQ157" i="9"/>
  <c r="AN158" i="9"/>
  <c r="AO158" i="9"/>
  <c r="AP158" i="9"/>
  <c r="AQ158" i="9"/>
  <c r="AN159" i="9"/>
  <c r="AO159" i="9"/>
  <c r="AP159" i="9"/>
  <c r="AQ159" i="9"/>
  <c r="AN160" i="9"/>
  <c r="AO160" i="9"/>
  <c r="AP160" i="9"/>
  <c r="AQ160" i="9"/>
  <c r="AN161" i="9"/>
  <c r="AO161" i="9"/>
  <c r="AP161" i="9"/>
  <c r="AQ161" i="9"/>
  <c r="AN162" i="9"/>
  <c r="AO162" i="9"/>
  <c r="AP162" i="9"/>
  <c r="AQ162" i="9"/>
  <c r="AN163" i="9"/>
  <c r="AO163" i="9"/>
  <c r="AP163" i="9"/>
  <c r="AQ163" i="9"/>
  <c r="AN164" i="9"/>
  <c r="AO164" i="9"/>
  <c r="AP164" i="9"/>
  <c r="AQ164" i="9"/>
  <c r="AN165" i="9"/>
  <c r="AO165" i="9"/>
  <c r="AP165" i="9"/>
  <c r="AQ165" i="9"/>
  <c r="AN166" i="9"/>
  <c r="AO166" i="9"/>
  <c r="AP166" i="9"/>
  <c r="AQ166" i="9"/>
  <c r="AN167" i="9"/>
  <c r="AO167" i="9"/>
  <c r="AP167" i="9"/>
  <c r="AQ167" i="9"/>
  <c r="AN168" i="9"/>
  <c r="AO168" i="9"/>
  <c r="AP168" i="9"/>
  <c r="AQ168" i="9"/>
  <c r="AN169" i="9"/>
  <c r="AO169" i="9"/>
  <c r="AP169" i="9"/>
  <c r="AQ169" i="9"/>
  <c r="AN170" i="9"/>
  <c r="AO170" i="9"/>
  <c r="AP170" i="9"/>
  <c r="AQ170" i="9"/>
  <c r="AN171" i="9"/>
  <c r="AO171" i="9"/>
  <c r="AP171" i="9"/>
  <c r="AQ171" i="9"/>
  <c r="AN172" i="9"/>
  <c r="AO172" i="9"/>
  <c r="AP172" i="9"/>
  <c r="AQ172" i="9"/>
  <c r="AN173" i="9"/>
  <c r="AO173" i="9"/>
  <c r="AP173" i="9"/>
  <c r="AQ173" i="9"/>
  <c r="AN174" i="9"/>
  <c r="AO174" i="9"/>
  <c r="AP174" i="9"/>
  <c r="AQ174" i="9"/>
  <c r="AN175" i="9"/>
  <c r="AO175" i="9"/>
  <c r="AP175" i="9"/>
  <c r="AQ175" i="9"/>
  <c r="AN176" i="9"/>
  <c r="AO176" i="9"/>
  <c r="AP176" i="9"/>
  <c r="AQ176" i="9"/>
  <c r="AN177" i="9"/>
  <c r="AO177" i="9"/>
  <c r="AP177" i="9"/>
  <c r="AQ177" i="9"/>
  <c r="AN178" i="9"/>
  <c r="AO178" i="9"/>
  <c r="AP178" i="9"/>
  <c r="AQ178" i="9"/>
  <c r="AN179" i="9"/>
  <c r="AO179" i="9"/>
  <c r="AP179" i="9"/>
  <c r="AQ179" i="9"/>
  <c r="AN180" i="9"/>
  <c r="AO180" i="9"/>
  <c r="AP180" i="9"/>
  <c r="AQ180" i="9"/>
  <c r="AN181" i="9"/>
  <c r="AO181" i="9"/>
  <c r="AP181" i="9"/>
  <c r="AQ181" i="9"/>
  <c r="AN182" i="9"/>
  <c r="AO182" i="9"/>
  <c r="AP182" i="9"/>
  <c r="AQ182" i="9"/>
  <c r="AN183" i="9"/>
  <c r="AO183" i="9"/>
  <c r="AP183" i="9"/>
  <c r="AQ183" i="9"/>
  <c r="AN184" i="9"/>
  <c r="AO184" i="9"/>
  <c r="AP184" i="9"/>
  <c r="AQ184" i="9"/>
  <c r="AN185" i="9"/>
  <c r="AO185" i="9"/>
  <c r="AP185" i="9"/>
  <c r="AQ185" i="9"/>
  <c r="AN186" i="9"/>
  <c r="AO186" i="9"/>
  <c r="AP186" i="9"/>
  <c r="AQ186" i="9"/>
  <c r="AN187" i="9"/>
  <c r="AO187" i="9"/>
  <c r="AP187" i="9"/>
  <c r="AQ187" i="9"/>
  <c r="AN188" i="9"/>
  <c r="AO188" i="9"/>
  <c r="AP188" i="9"/>
  <c r="AQ188" i="9"/>
  <c r="AN189" i="9"/>
  <c r="AO189" i="9"/>
  <c r="AP189" i="9"/>
  <c r="AQ189" i="9"/>
  <c r="AN190" i="9"/>
  <c r="AO190" i="9"/>
  <c r="AP190" i="9"/>
  <c r="AQ190" i="9"/>
  <c r="AN191" i="9"/>
  <c r="AO191" i="9"/>
  <c r="AP191" i="9"/>
  <c r="AQ191" i="9"/>
  <c r="AN192" i="9"/>
  <c r="AO192" i="9"/>
  <c r="AP192" i="9"/>
  <c r="AQ192" i="9"/>
  <c r="AN193" i="9"/>
  <c r="AO193" i="9"/>
  <c r="AP193" i="9"/>
  <c r="AQ193" i="9"/>
  <c r="AN194" i="9"/>
  <c r="AO194" i="9"/>
  <c r="AP194" i="9"/>
  <c r="AQ194" i="9"/>
  <c r="AN195" i="9"/>
  <c r="AO195" i="9"/>
  <c r="AP195" i="9"/>
  <c r="AQ195" i="9"/>
  <c r="AN196" i="9"/>
  <c r="AO196" i="9"/>
  <c r="AP196" i="9"/>
  <c r="AQ196" i="9"/>
  <c r="AN197" i="9"/>
  <c r="AO197" i="9"/>
  <c r="AP197" i="9"/>
  <c r="AQ197" i="9"/>
  <c r="AN198" i="9"/>
  <c r="AO198" i="9"/>
  <c r="AP198" i="9"/>
  <c r="AQ198" i="9"/>
  <c r="AN199" i="9"/>
  <c r="AO199" i="9"/>
  <c r="AP199" i="9"/>
  <c r="AQ199" i="9"/>
  <c r="AN200" i="9"/>
  <c r="AO200" i="9"/>
  <c r="AP200" i="9"/>
  <c r="AQ200" i="9"/>
  <c r="AN201" i="9"/>
  <c r="AO201" i="9"/>
  <c r="AP201" i="9"/>
  <c r="AQ201" i="9"/>
  <c r="AN202" i="9"/>
  <c r="AO202" i="9"/>
  <c r="AP202" i="9"/>
  <c r="AQ202" i="9"/>
  <c r="AN203" i="9"/>
  <c r="AO203" i="9"/>
  <c r="AP203" i="9"/>
  <c r="AQ203" i="9"/>
  <c r="AN204" i="9"/>
  <c r="AO204" i="9"/>
  <c r="AP204" i="9"/>
  <c r="AQ204" i="9"/>
  <c r="AN205" i="9"/>
  <c r="AO205" i="9"/>
  <c r="AP205" i="9"/>
  <c r="AQ205" i="9"/>
  <c r="AN206" i="9"/>
  <c r="AO206" i="9"/>
  <c r="AP206" i="9"/>
  <c r="AQ206" i="9"/>
  <c r="AN207" i="9"/>
  <c r="AO207" i="9"/>
  <c r="AP207" i="9"/>
  <c r="AQ207" i="9"/>
  <c r="AN208" i="9"/>
  <c r="AO208" i="9"/>
  <c r="AP208" i="9"/>
  <c r="AQ208" i="9"/>
  <c r="AN209" i="9"/>
  <c r="AO209" i="9"/>
  <c r="AP209" i="9"/>
  <c r="AQ209" i="9"/>
  <c r="AN18" i="9"/>
  <c r="AO18" i="9"/>
  <c r="AP18" i="9"/>
  <c r="AQ18" i="9"/>
  <c r="AQ3" i="9"/>
  <c r="AQ4" i="9"/>
  <c r="AQ5" i="9"/>
  <c r="AQ6" i="9"/>
  <c r="AQ7" i="9"/>
  <c r="AQ8" i="9"/>
  <c r="AQ9" i="9"/>
  <c r="AQ10" i="9"/>
  <c r="AQ11" i="9"/>
  <c r="AQ12" i="9"/>
  <c r="AN3" i="9"/>
  <c r="AO3" i="9"/>
  <c r="AP3" i="9"/>
  <c r="AN4" i="9"/>
  <c r="AO4" i="9"/>
  <c r="AP4" i="9"/>
  <c r="AN5" i="9"/>
  <c r="AO5" i="9"/>
  <c r="AP5" i="9"/>
  <c r="AN6" i="9"/>
  <c r="AO6" i="9"/>
  <c r="AP6" i="9"/>
  <c r="AN7" i="9"/>
  <c r="AO7" i="9"/>
  <c r="AP7" i="9"/>
  <c r="AN8" i="9"/>
  <c r="AO8" i="9"/>
  <c r="AP8" i="9"/>
  <c r="AN9" i="9"/>
  <c r="AO9" i="9"/>
  <c r="AP9" i="9"/>
  <c r="AN10" i="9"/>
  <c r="AO10" i="9"/>
  <c r="AP10" i="9"/>
  <c r="AN11" i="9"/>
  <c r="AO11" i="9"/>
  <c r="AP11" i="9"/>
  <c r="AN12" i="9"/>
  <c r="AO12" i="9"/>
  <c r="AP12" i="9"/>
  <c r="AK18" i="9"/>
  <c r="AL18" i="9"/>
  <c r="AK19" i="9"/>
  <c r="AL19" i="9"/>
  <c r="AK20" i="9"/>
  <c r="AL20" i="9"/>
  <c r="AK21" i="9"/>
  <c r="AL21" i="9"/>
  <c r="AK22" i="9"/>
  <c r="AL22" i="9"/>
  <c r="AK23" i="9"/>
  <c r="AL23" i="9"/>
  <c r="AK24" i="9"/>
  <c r="AL24" i="9"/>
  <c r="AK25" i="9"/>
  <c r="AL25" i="9"/>
  <c r="AK26" i="9"/>
  <c r="AL26" i="9"/>
  <c r="AK27" i="9"/>
  <c r="AL27" i="9"/>
  <c r="AK28" i="9"/>
  <c r="AL28" i="9"/>
  <c r="AK29" i="9"/>
  <c r="AL29" i="9"/>
  <c r="AK30" i="9"/>
  <c r="AL30" i="9"/>
  <c r="AK31" i="9"/>
  <c r="AL31" i="9"/>
  <c r="AK32" i="9"/>
  <c r="AL32" i="9"/>
  <c r="AK33" i="9"/>
  <c r="AL33" i="9"/>
  <c r="AK34" i="9"/>
  <c r="AL34" i="9"/>
  <c r="AK35" i="9"/>
  <c r="AL35" i="9"/>
  <c r="AK36" i="9"/>
  <c r="AL36" i="9"/>
  <c r="AK37" i="9"/>
  <c r="AL37" i="9"/>
  <c r="AK38" i="9"/>
  <c r="AL38" i="9"/>
  <c r="AK39" i="9"/>
  <c r="AL39" i="9"/>
  <c r="AK40" i="9"/>
  <c r="AL40" i="9"/>
  <c r="AK41" i="9"/>
  <c r="AL41" i="9"/>
  <c r="AK42" i="9"/>
  <c r="AL42" i="9"/>
  <c r="AK43" i="9"/>
  <c r="AL43" i="9"/>
  <c r="AK44" i="9"/>
  <c r="AL44" i="9"/>
  <c r="AK45" i="9"/>
  <c r="AL45" i="9"/>
  <c r="AK46" i="9"/>
  <c r="AL46" i="9"/>
  <c r="AK47" i="9"/>
  <c r="AL47" i="9"/>
  <c r="AK48" i="9"/>
  <c r="AL48" i="9"/>
  <c r="AK49" i="9"/>
  <c r="AL49" i="9"/>
  <c r="AK50" i="9"/>
  <c r="AL50" i="9"/>
  <c r="AK51" i="9"/>
  <c r="AL51" i="9"/>
  <c r="AK52" i="9"/>
  <c r="AL52" i="9"/>
  <c r="AK53" i="9"/>
  <c r="AL53" i="9"/>
  <c r="AK54" i="9"/>
  <c r="AL54" i="9"/>
  <c r="AK55" i="9"/>
  <c r="AL55" i="9"/>
  <c r="AK56" i="9"/>
  <c r="AL56" i="9"/>
  <c r="AK57" i="9"/>
  <c r="AL57" i="9"/>
  <c r="AK58" i="9"/>
  <c r="AL58" i="9"/>
  <c r="AK59" i="9"/>
  <c r="AL59" i="9"/>
  <c r="AK60" i="9"/>
  <c r="AL60" i="9"/>
  <c r="AK61" i="9"/>
  <c r="AL61" i="9"/>
  <c r="AK62" i="9"/>
  <c r="AL62" i="9"/>
  <c r="AK63" i="9"/>
  <c r="AL63" i="9"/>
  <c r="AK64" i="9"/>
  <c r="AL64" i="9"/>
  <c r="AK65" i="9"/>
  <c r="AL65" i="9"/>
  <c r="AK66" i="9"/>
  <c r="AL66" i="9"/>
  <c r="AK67" i="9"/>
  <c r="AL67" i="9"/>
  <c r="AK68" i="9"/>
  <c r="AL68" i="9"/>
  <c r="AK69" i="9"/>
  <c r="AL69" i="9"/>
  <c r="AK70" i="9"/>
  <c r="AL70" i="9"/>
  <c r="AK71" i="9"/>
  <c r="AL71" i="9"/>
  <c r="AK72" i="9"/>
  <c r="AL72" i="9"/>
  <c r="AK73" i="9"/>
  <c r="AL73" i="9"/>
  <c r="AK74" i="9"/>
  <c r="AL74" i="9"/>
  <c r="AK75" i="9"/>
  <c r="AL75" i="9"/>
  <c r="AK76" i="9"/>
  <c r="AL76" i="9"/>
  <c r="AK77" i="9"/>
  <c r="AL77" i="9"/>
  <c r="AK78" i="9"/>
  <c r="AL78" i="9"/>
  <c r="AK79" i="9"/>
  <c r="AL79" i="9"/>
  <c r="AK80" i="9"/>
  <c r="AL80" i="9"/>
  <c r="AK81" i="9"/>
  <c r="AL81" i="9"/>
  <c r="AK82" i="9"/>
  <c r="AL82" i="9"/>
  <c r="AK83" i="9"/>
  <c r="AL83" i="9"/>
  <c r="AK84" i="9"/>
  <c r="AL84" i="9"/>
  <c r="AK85" i="9"/>
  <c r="AL85" i="9"/>
  <c r="AK86" i="9"/>
  <c r="AL86" i="9"/>
  <c r="AK87" i="9"/>
  <c r="AL87" i="9"/>
  <c r="AK88" i="9"/>
  <c r="AL88" i="9"/>
  <c r="AK89" i="9"/>
  <c r="AL89" i="9"/>
  <c r="AK90" i="9"/>
  <c r="AL90" i="9"/>
  <c r="AK91" i="9"/>
  <c r="AL91" i="9"/>
  <c r="AK92" i="9"/>
  <c r="AL92" i="9"/>
  <c r="AK93" i="9"/>
  <c r="AL93" i="9"/>
  <c r="AK94" i="9"/>
  <c r="AL94" i="9"/>
  <c r="AK95" i="9"/>
  <c r="AL95" i="9"/>
  <c r="AK96" i="9"/>
  <c r="AL96" i="9"/>
  <c r="AK97" i="9"/>
  <c r="AL97" i="9"/>
  <c r="AK98" i="9"/>
  <c r="AL98" i="9"/>
  <c r="AK99" i="9"/>
  <c r="AL99" i="9"/>
  <c r="AK100" i="9"/>
  <c r="AL100" i="9"/>
  <c r="AK101" i="9"/>
  <c r="AL101" i="9"/>
  <c r="AK102" i="9"/>
  <c r="AL102" i="9"/>
  <c r="AK103" i="9"/>
  <c r="AL103" i="9"/>
  <c r="AK104" i="9"/>
  <c r="AL104" i="9"/>
  <c r="AK105" i="9"/>
  <c r="AL105" i="9"/>
  <c r="AK106" i="9"/>
  <c r="AL106" i="9"/>
  <c r="AK107" i="9"/>
  <c r="AL107" i="9"/>
  <c r="AK108" i="9"/>
  <c r="AL108" i="9"/>
  <c r="AK109" i="9"/>
  <c r="AL109" i="9"/>
  <c r="AK110" i="9"/>
  <c r="AL110" i="9"/>
  <c r="AK111" i="9"/>
  <c r="AL111" i="9"/>
  <c r="AK112" i="9"/>
  <c r="AL112" i="9"/>
  <c r="AK113" i="9"/>
  <c r="AL113" i="9"/>
  <c r="AK114" i="9"/>
  <c r="AL114" i="9"/>
  <c r="AK115" i="9"/>
  <c r="AL115" i="9"/>
  <c r="AK116" i="9"/>
  <c r="AL116" i="9"/>
  <c r="AK117" i="9"/>
  <c r="AL117" i="9"/>
  <c r="AK118" i="9"/>
  <c r="AL118" i="9"/>
  <c r="AK119" i="9"/>
  <c r="AL119" i="9"/>
  <c r="AK120" i="9"/>
  <c r="AL120" i="9"/>
  <c r="AK121" i="9"/>
  <c r="AL121" i="9"/>
  <c r="AK122" i="9"/>
  <c r="AL122" i="9"/>
  <c r="AK123" i="9"/>
  <c r="AL123" i="9"/>
  <c r="AK124" i="9"/>
  <c r="AL124" i="9"/>
  <c r="AK125" i="9"/>
  <c r="AL125" i="9"/>
  <c r="AK126" i="9"/>
  <c r="AL126" i="9"/>
  <c r="AK127" i="9"/>
  <c r="AL127" i="9"/>
  <c r="AK128" i="9"/>
  <c r="AL128" i="9"/>
  <c r="AK129" i="9"/>
  <c r="AL129" i="9"/>
  <c r="AK130" i="9"/>
  <c r="AL130" i="9"/>
  <c r="AK131" i="9"/>
  <c r="AL131" i="9"/>
  <c r="AK132" i="9"/>
  <c r="AL132" i="9"/>
  <c r="AK133" i="9"/>
  <c r="AL133" i="9"/>
  <c r="AK134" i="9"/>
  <c r="AL134" i="9"/>
  <c r="AK135" i="9"/>
  <c r="AL135" i="9"/>
  <c r="AK136" i="9"/>
  <c r="AL136" i="9"/>
  <c r="AK137" i="9"/>
  <c r="AL137" i="9"/>
  <c r="AK138" i="9"/>
  <c r="AL138" i="9"/>
  <c r="AK139" i="9"/>
  <c r="AL139" i="9"/>
  <c r="AK140" i="9"/>
  <c r="AL140" i="9"/>
  <c r="AK141" i="9"/>
  <c r="AL141" i="9"/>
  <c r="AK142" i="9"/>
  <c r="AL142" i="9"/>
  <c r="AK143" i="9"/>
  <c r="AL143" i="9"/>
  <c r="AK144" i="9"/>
  <c r="AL144" i="9"/>
  <c r="AK145" i="9"/>
  <c r="AL145" i="9"/>
  <c r="AK146" i="9"/>
  <c r="AL146" i="9"/>
  <c r="AK147" i="9"/>
  <c r="AL147" i="9"/>
  <c r="AK148" i="9"/>
  <c r="AL148" i="9"/>
  <c r="AK149" i="9"/>
  <c r="AL149" i="9"/>
  <c r="AK150" i="9"/>
  <c r="AL150" i="9"/>
  <c r="AK151" i="9"/>
  <c r="AL151" i="9"/>
  <c r="AK152" i="9"/>
  <c r="AL152" i="9"/>
  <c r="AK153" i="9"/>
  <c r="AL153" i="9"/>
  <c r="AK154" i="9"/>
  <c r="AL154" i="9"/>
  <c r="AK155" i="9"/>
  <c r="AL155" i="9"/>
  <c r="AK156" i="9"/>
  <c r="AL156" i="9"/>
  <c r="AK157" i="9"/>
  <c r="AL157" i="9"/>
  <c r="AK158" i="9"/>
  <c r="AL158" i="9"/>
  <c r="AK159" i="9"/>
  <c r="AL159" i="9"/>
  <c r="AK160" i="9"/>
  <c r="AL160" i="9"/>
  <c r="AK161" i="9"/>
  <c r="AL161" i="9"/>
  <c r="AK162" i="9"/>
  <c r="AL162" i="9"/>
  <c r="AK163" i="9"/>
  <c r="AL163" i="9"/>
  <c r="AK164" i="9"/>
  <c r="AL164" i="9"/>
  <c r="AK165" i="9"/>
  <c r="AL165" i="9"/>
  <c r="AK166" i="9"/>
  <c r="AL166" i="9"/>
  <c r="AK167" i="9"/>
  <c r="AL167" i="9"/>
  <c r="AK168" i="9"/>
  <c r="AL168" i="9"/>
  <c r="AK169" i="9"/>
  <c r="AL169" i="9"/>
  <c r="AK170" i="9"/>
  <c r="AL170" i="9"/>
  <c r="AK171" i="9"/>
  <c r="AL171" i="9"/>
  <c r="AK172" i="9"/>
  <c r="AL172" i="9"/>
  <c r="AK173" i="9"/>
  <c r="AL173" i="9"/>
  <c r="AK174" i="9"/>
  <c r="AL174" i="9"/>
  <c r="AK175" i="9"/>
  <c r="AL175" i="9"/>
  <c r="AK176" i="9"/>
  <c r="AL176" i="9"/>
  <c r="AK177" i="9"/>
  <c r="AL177" i="9"/>
  <c r="AK178" i="9"/>
  <c r="AL178" i="9"/>
  <c r="AK179" i="9"/>
  <c r="AL179" i="9"/>
  <c r="AK180" i="9"/>
  <c r="AL180" i="9"/>
  <c r="AK181" i="9"/>
  <c r="AL181" i="9"/>
  <c r="AK182" i="9"/>
  <c r="AL182" i="9"/>
  <c r="AK183" i="9"/>
  <c r="AL183" i="9"/>
  <c r="AK184" i="9"/>
  <c r="AL184" i="9"/>
  <c r="AK185" i="9"/>
  <c r="AL185" i="9"/>
  <c r="AK186" i="9"/>
  <c r="AL186" i="9"/>
  <c r="AK187" i="9"/>
  <c r="AL187" i="9"/>
  <c r="AK188" i="9"/>
  <c r="AL188" i="9"/>
  <c r="AK189" i="9"/>
  <c r="AL189" i="9"/>
  <c r="AK190" i="9"/>
  <c r="AL190" i="9"/>
  <c r="AK191" i="9"/>
  <c r="AL191" i="9"/>
  <c r="AK192" i="9"/>
  <c r="AL192" i="9"/>
  <c r="AK193" i="9"/>
  <c r="AL193" i="9"/>
  <c r="AK194" i="9"/>
  <c r="AL194" i="9"/>
  <c r="AK195" i="9"/>
  <c r="AL195" i="9"/>
  <c r="AK196" i="9"/>
  <c r="AL196" i="9"/>
  <c r="AK197" i="9"/>
  <c r="AL197" i="9"/>
  <c r="AK198" i="9"/>
  <c r="AL198" i="9"/>
  <c r="AK199" i="9"/>
  <c r="AL199" i="9"/>
  <c r="AK200" i="9"/>
  <c r="AL200" i="9"/>
  <c r="AK201" i="9"/>
  <c r="AL201" i="9"/>
  <c r="AK202" i="9"/>
  <c r="AL202" i="9"/>
  <c r="AK203" i="9"/>
  <c r="AL203" i="9"/>
  <c r="AK204" i="9"/>
  <c r="AL204" i="9"/>
  <c r="AK205" i="9"/>
  <c r="AL205" i="9"/>
  <c r="AK206" i="9"/>
  <c r="AL206" i="9"/>
  <c r="AK207" i="9"/>
  <c r="AL207" i="9"/>
  <c r="AK208" i="9"/>
  <c r="AL208" i="9"/>
  <c r="AK209" i="9"/>
  <c r="AL209" i="9"/>
  <c r="AL3" i="9"/>
  <c r="AL4" i="9"/>
  <c r="AL5" i="9"/>
  <c r="AL6" i="9"/>
  <c r="AL7" i="9"/>
  <c r="AL8" i="9"/>
  <c r="AL9" i="9"/>
  <c r="AL10" i="9"/>
  <c r="AL11" i="9"/>
  <c r="AL12" i="9"/>
  <c r="E7" i="9"/>
  <c r="F7" i="9"/>
  <c r="G7" i="9"/>
  <c r="H7" i="9"/>
  <c r="J7" i="9"/>
  <c r="K7" i="9"/>
  <c r="L7" i="9"/>
  <c r="M7" i="9"/>
  <c r="N7" i="9"/>
  <c r="O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H7" i="9"/>
  <c r="AI7" i="9"/>
  <c r="AK7" i="9"/>
  <c r="E8" i="9"/>
  <c r="F8" i="9"/>
  <c r="G8" i="9"/>
  <c r="H8" i="9"/>
  <c r="J8" i="9"/>
  <c r="K8" i="9"/>
  <c r="L8" i="9"/>
  <c r="M8" i="9"/>
  <c r="N8" i="9"/>
  <c r="O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H8" i="9"/>
  <c r="AI8" i="9"/>
  <c r="AK8" i="9"/>
  <c r="D8" i="9"/>
  <c r="D7" i="9"/>
  <c r="AA3" i="9"/>
  <c r="AB3" i="9"/>
  <c r="AC3" i="9"/>
  <c r="AD3" i="9"/>
  <c r="AE3" i="9"/>
  <c r="AA4" i="9"/>
  <c r="AB4" i="9"/>
  <c r="AC4" i="9"/>
  <c r="AD4" i="9"/>
  <c r="AE4" i="9"/>
  <c r="AA5" i="9"/>
  <c r="AB5" i="9"/>
  <c r="AC5" i="9"/>
  <c r="AD5" i="9"/>
  <c r="AE5" i="9"/>
  <c r="AA6" i="9"/>
  <c r="AB6" i="9"/>
  <c r="AC6" i="9"/>
  <c r="AD6" i="9"/>
  <c r="AE6" i="9"/>
  <c r="AA9" i="9"/>
  <c r="AB9" i="9"/>
  <c r="AC9" i="9"/>
  <c r="AD9" i="9"/>
  <c r="AE9" i="9"/>
  <c r="AA10" i="9"/>
  <c r="AB10" i="9"/>
  <c r="AC10" i="9"/>
  <c r="AD10" i="9"/>
  <c r="AE10" i="9"/>
  <c r="AA11" i="9"/>
  <c r="AB11" i="9"/>
  <c r="AC11" i="9"/>
  <c r="AD11" i="9"/>
  <c r="AE11" i="9"/>
  <c r="AA12" i="9"/>
  <c r="AB12" i="9"/>
  <c r="AC12" i="9"/>
  <c r="AD12" i="9"/>
  <c r="AE12" i="9"/>
  <c r="J3" i="9"/>
  <c r="K3" i="9"/>
  <c r="M3" i="9"/>
  <c r="L3" i="9"/>
  <c r="N3" i="9"/>
  <c r="O3" i="9"/>
  <c r="J4" i="9"/>
  <c r="K4" i="9"/>
  <c r="M4" i="9"/>
  <c r="L4" i="9"/>
  <c r="N4" i="9"/>
  <c r="O4" i="9"/>
  <c r="J5" i="9"/>
  <c r="K5" i="9"/>
  <c r="M5" i="9"/>
  <c r="L5" i="9"/>
  <c r="N5" i="9"/>
  <c r="O5" i="9"/>
  <c r="J6" i="9"/>
  <c r="K6" i="9"/>
  <c r="M6" i="9"/>
  <c r="L6" i="9"/>
  <c r="N6" i="9"/>
  <c r="O6" i="9"/>
  <c r="J9" i="9"/>
  <c r="K9" i="9"/>
  <c r="M9" i="9"/>
  <c r="L9" i="9"/>
  <c r="N9" i="9"/>
  <c r="O9" i="9"/>
  <c r="J10" i="9"/>
  <c r="K10" i="9"/>
  <c r="M10" i="9"/>
  <c r="L10" i="9"/>
  <c r="N10" i="9"/>
  <c r="O10" i="9"/>
  <c r="J11" i="9"/>
  <c r="K11" i="9"/>
  <c r="M11" i="9"/>
  <c r="L11" i="9"/>
  <c r="N11" i="9"/>
  <c r="O11" i="9"/>
  <c r="J12" i="9"/>
  <c r="K12" i="9"/>
  <c r="M12" i="9"/>
  <c r="L12" i="9"/>
  <c r="N12" i="9"/>
  <c r="O12" i="9"/>
  <c r="AK3" i="9"/>
  <c r="AK4" i="9"/>
  <c r="AK5" i="9"/>
  <c r="AK6" i="9"/>
  <c r="AK9" i="9"/>
  <c r="AK10" i="9"/>
  <c r="AK11" i="9"/>
  <c r="AK12" i="9"/>
  <c r="D1" i="14"/>
  <c r="C1" i="14"/>
  <c r="G197" i="14"/>
  <c r="G198" i="14"/>
  <c r="G199" i="14"/>
  <c r="G200" i="14"/>
  <c r="G201" i="14"/>
  <c r="G202" i="14"/>
  <c r="AH3" i="9"/>
  <c r="AI3" i="9"/>
  <c r="AH4" i="9"/>
  <c r="AI4" i="9"/>
  <c r="AH5" i="9"/>
  <c r="AI5" i="9"/>
  <c r="AH6" i="9"/>
  <c r="AI6" i="9"/>
  <c r="AH9" i="9"/>
  <c r="AI9" i="9"/>
  <c r="AH10" i="9"/>
  <c r="AI10" i="9"/>
  <c r="AH11" i="9"/>
  <c r="AI11" i="9"/>
  <c r="AH12" i="9"/>
  <c r="AI12" i="9"/>
  <c r="AF3" i="9"/>
  <c r="AF4" i="9"/>
  <c r="AF5" i="9"/>
  <c r="AF6" i="9"/>
  <c r="AF9" i="9"/>
  <c r="AF10" i="9"/>
  <c r="AF11" i="9"/>
  <c r="AF12" i="9"/>
  <c r="Z12" i="9"/>
  <c r="Y12" i="9"/>
  <c r="X12" i="9"/>
  <c r="W12" i="9"/>
  <c r="V12" i="9"/>
  <c r="U12" i="9"/>
  <c r="T12" i="9"/>
  <c r="Z11" i="9"/>
  <c r="Y11" i="9"/>
  <c r="X11" i="9"/>
  <c r="W11" i="9"/>
  <c r="V11" i="9"/>
  <c r="U11" i="9"/>
  <c r="T11" i="9"/>
  <c r="Z10" i="9"/>
  <c r="Y10" i="9"/>
  <c r="X10" i="9"/>
  <c r="W10" i="9"/>
  <c r="V10" i="9"/>
  <c r="U10" i="9"/>
  <c r="T10" i="9"/>
  <c r="Z9" i="9"/>
  <c r="Y9" i="9"/>
  <c r="X9" i="9"/>
  <c r="W9" i="9"/>
  <c r="V9" i="9"/>
  <c r="U9" i="9"/>
  <c r="T9" i="9"/>
  <c r="Z6" i="9"/>
  <c r="Y6" i="9"/>
  <c r="X6" i="9"/>
  <c r="W6" i="9"/>
  <c r="V6" i="9"/>
  <c r="U6" i="9"/>
  <c r="T6" i="9"/>
  <c r="Z5" i="9"/>
  <c r="Y5" i="9"/>
  <c r="X5" i="9"/>
  <c r="W5" i="9"/>
  <c r="V5" i="9"/>
  <c r="U5" i="9"/>
  <c r="T5" i="9"/>
  <c r="Z4" i="9"/>
  <c r="Y4" i="9"/>
  <c r="X4" i="9"/>
  <c r="W4" i="9"/>
  <c r="V4" i="9"/>
  <c r="U4" i="9"/>
  <c r="T4" i="9"/>
  <c r="Z3" i="9"/>
  <c r="Y3" i="9"/>
  <c r="X3" i="9"/>
  <c r="W3" i="9"/>
  <c r="V3" i="9"/>
  <c r="U3" i="9"/>
  <c r="T3" i="9"/>
  <c r="H12" i="9"/>
  <c r="G12" i="9"/>
  <c r="F12" i="9"/>
  <c r="E12" i="9"/>
  <c r="D12" i="9"/>
  <c r="H11" i="9"/>
  <c r="G11" i="9"/>
  <c r="F11" i="9"/>
  <c r="E11" i="9"/>
  <c r="D11" i="9"/>
  <c r="H10" i="9"/>
  <c r="G10" i="9"/>
  <c r="F10" i="9"/>
  <c r="E10" i="9"/>
  <c r="D10" i="9"/>
  <c r="H9" i="9"/>
  <c r="G9" i="9"/>
  <c r="F9" i="9"/>
  <c r="E9" i="9"/>
  <c r="D9" i="9"/>
  <c r="H6" i="9"/>
  <c r="G6" i="9"/>
  <c r="F6" i="9"/>
  <c r="E6" i="9"/>
  <c r="D6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G1" i="14" a="1"/>
  <c r="G1" i="14"/>
</calcChain>
</file>

<file path=xl/comments1.xml><?xml version="1.0" encoding="utf-8"?>
<comments xmlns="http://schemas.openxmlformats.org/spreadsheetml/2006/main">
  <authors>
    <author>Ian Noble</author>
  </authors>
  <commentList>
    <comment ref="D1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Chose to be symetrical about the zero point (also median) and to give a mean score as close to the range 03. to 0.4as possible</t>
        </r>
      </text>
    </comment>
  </commentList>
</comments>
</file>

<file path=xl/sharedStrings.xml><?xml version="1.0" encoding="utf-8"?>
<sst xmlns="http://schemas.openxmlformats.org/spreadsheetml/2006/main" count="2400" uniqueCount="506">
  <si>
    <t>SGP</t>
  </si>
  <si>
    <t>NRU</t>
  </si>
  <si>
    <t>MCO</t>
  </si>
  <si>
    <t>KWT</t>
  </si>
  <si>
    <t>BEL</t>
  </si>
  <si>
    <t>QAT</t>
  </si>
  <si>
    <t>USA</t>
  </si>
  <si>
    <t>SMR</t>
  </si>
  <si>
    <t>MLT</t>
  </si>
  <si>
    <t>VEN</t>
  </si>
  <si>
    <t>URY</t>
  </si>
  <si>
    <t>ISR</t>
  </si>
  <si>
    <t>ISL</t>
  </si>
  <si>
    <t>ARG</t>
  </si>
  <si>
    <t>GBR</t>
  </si>
  <si>
    <t>BHR</t>
  </si>
  <si>
    <t>AUS</t>
  </si>
  <si>
    <t>AND</t>
  </si>
  <si>
    <t>CHL</t>
  </si>
  <si>
    <t>NZL</t>
  </si>
  <si>
    <t>LBN</t>
  </si>
  <si>
    <t>DJI</t>
  </si>
  <si>
    <t>DNK</t>
  </si>
  <si>
    <t>BRA</t>
  </si>
  <si>
    <t>SWE</t>
  </si>
  <si>
    <t>GAB</t>
  </si>
  <si>
    <t>BHS</t>
  </si>
  <si>
    <t>SAU</t>
  </si>
  <si>
    <t>NLD</t>
  </si>
  <si>
    <t>LUX</t>
  </si>
  <si>
    <t>PLW</t>
  </si>
  <si>
    <t>KOR</t>
  </si>
  <si>
    <t>CAN</t>
  </si>
  <si>
    <t>ARE</t>
  </si>
  <si>
    <t>LBY</t>
  </si>
  <si>
    <t>JOR</t>
  </si>
  <si>
    <t>ESP</t>
  </si>
  <si>
    <t>PER</t>
  </si>
  <si>
    <t>NOR</t>
  </si>
  <si>
    <t>MEX</t>
  </si>
  <si>
    <t>FRA</t>
  </si>
  <si>
    <t>CUB</t>
  </si>
  <si>
    <t>SUR</t>
  </si>
  <si>
    <t>BRN</t>
  </si>
  <si>
    <t>DEU</t>
  </si>
  <si>
    <t>DMA</t>
  </si>
  <si>
    <t>COL</t>
  </si>
  <si>
    <t>CHE</t>
  </si>
  <si>
    <t>RUS</t>
  </si>
  <si>
    <t>PAN</t>
  </si>
  <si>
    <t>CZE</t>
  </si>
  <si>
    <t>BLR</t>
  </si>
  <si>
    <t>OMN</t>
  </si>
  <si>
    <t>MHL</t>
  </si>
  <si>
    <t>BGR</t>
  </si>
  <si>
    <t>MYS</t>
  </si>
  <si>
    <t>CYP</t>
  </si>
  <si>
    <t>TUR</t>
  </si>
  <si>
    <t>EST</t>
  </si>
  <si>
    <t>DOM</t>
  </si>
  <si>
    <t>UKR</t>
  </si>
  <si>
    <t>LVA</t>
  </si>
  <si>
    <t>ITA</t>
  </si>
  <si>
    <t>IRN</t>
  </si>
  <si>
    <t>HUN</t>
  </si>
  <si>
    <t>TUN</t>
  </si>
  <si>
    <t>MKD</t>
  </si>
  <si>
    <t>LTU</t>
  </si>
  <si>
    <t>IRQ</t>
  </si>
  <si>
    <t>AUT</t>
  </si>
  <si>
    <t>JPN</t>
  </si>
  <si>
    <t>ECU</t>
  </si>
  <si>
    <t>BOL</t>
  </si>
  <si>
    <t>PHL</t>
  </si>
  <si>
    <t>DZA</t>
  </si>
  <si>
    <t>ARM</t>
  </si>
  <si>
    <t>PRK</t>
  </si>
  <si>
    <t>FIN</t>
  </si>
  <si>
    <t>CRI</t>
  </si>
  <si>
    <t>ZAF</t>
  </si>
  <si>
    <t>STP</t>
  </si>
  <si>
    <t>POL</t>
  </si>
  <si>
    <t>IRL</t>
  </si>
  <si>
    <t>GRC</t>
  </si>
  <si>
    <t>SLV</t>
  </si>
  <si>
    <t>COG</t>
  </si>
  <si>
    <t>PRY</t>
  </si>
  <si>
    <t>MNE</t>
  </si>
  <si>
    <t>LBR</t>
  </si>
  <si>
    <t>CPV</t>
  </si>
  <si>
    <t>BWA</t>
  </si>
  <si>
    <t>PRT</t>
  </si>
  <si>
    <t>KAZ</t>
  </si>
  <si>
    <t>NIC</t>
  </si>
  <si>
    <t>MNG</t>
  </si>
  <si>
    <t>GMB</t>
  </si>
  <si>
    <t>HRV</t>
  </si>
  <si>
    <t>CMR</t>
  </si>
  <si>
    <t>AGO</t>
  </si>
  <si>
    <t>SVK</t>
  </si>
  <si>
    <t>MAR</t>
  </si>
  <si>
    <t>SYR</t>
  </si>
  <si>
    <t>SYC</t>
  </si>
  <si>
    <t>ROU</t>
  </si>
  <si>
    <t>JAM</t>
  </si>
  <si>
    <t>GEO</t>
  </si>
  <si>
    <t>SRB</t>
  </si>
  <si>
    <t>IDN</t>
  </si>
  <si>
    <t>FJI</t>
  </si>
  <si>
    <t>BLZ</t>
  </si>
  <si>
    <t>AZE</t>
  </si>
  <si>
    <t>CHN</t>
  </si>
  <si>
    <t>GHA</t>
  </si>
  <si>
    <t>TUV</t>
  </si>
  <si>
    <t>TKM</t>
  </si>
  <si>
    <t>GTM</t>
  </si>
  <si>
    <t>CIV</t>
  </si>
  <si>
    <t>SVN</t>
  </si>
  <si>
    <t>NGA</t>
  </si>
  <si>
    <t>HND</t>
  </si>
  <si>
    <t>VCT</t>
  </si>
  <si>
    <t>HTI</t>
  </si>
  <si>
    <t>BIH</t>
  </si>
  <si>
    <t>ALB</t>
  </si>
  <si>
    <t>KIR</t>
  </si>
  <si>
    <t>SDN</t>
  </si>
  <si>
    <t>EGY</t>
  </si>
  <si>
    <t>TGO</t>
  </si>
  <si>
    <t>SEN</t>
  </si>
  <si>
    <t>MDA</t>
  </si>
  <si>
    <t>MUS</t>
  </si>
  <si>
    <t>MRT</t>
  </si>
  <si>
    <t>BEN</t>
  </si>
  <si>
    <t>BRB</t>
  </si>
  <si>
    <t>GNQ</t>
  </si>
  <si>
    <t>CAF</t>
  </si>
  <si>
    <t>SLE</t>
  </si>
  <si>
    <t>MDV</t>
  </si>
  <si>
    <t>ZWE</t>
  </si>
  <si>
    <t>UZB</t>
  </si>
  <si>
    <t>SOM</t>
  </si>
  <si>
    <t>NAM</t>
  </si>
  <si>
    <t>MOZ</t>
  </si>
  <si>
    <t>PAK</t>
  </si>
  <si>
    <t>KGZ</t>
  </si>
  <si>
    <t>ZMB</t>
  </si>
  <si>
    <t>BTN</t>
  </si>
  <si>
    <t>GIN</t>
  </si>
  <si>
    <t>COD</t>
  </si>
  <si>
    <t>THA</t>
  </si>
  <si>
    <t>MMR</t>
  </si>
  <si>
    <t>KNA</t>
  </si>
  <si>
    <t>MLI</t>
  </si>
  <si>
    <t>YEM</t>
  </si>
  <si>
    <t>LAO</t>
  </si>
  <si>
    <t>GRD</t>
  </si>
  <si>
    <t>GNB</t>
  </si>
  <si>
    <t>ATG</t>
  </si>
  <si>
    <t>MDG</t>
  </si>
  <si>
    <t>IND</t>
  </si>
  <si>
    <t>VNM</t>
  </si>
  <si>
    <t>LCA</t>
  </si>
  <si>
    <t>GUY</t>
  </si>
  <si>
    <t>COM</t>
  </si>
  <si>
    <t>TLS</t>
  </si>
  <si>
    <t>TCD</t>
  </si>
  <si>
    <t>BGD</t>
  </si>
  <si>
    <t>TJK</t>
  </si>
  <si>
    <t>VUT</t>
  </si>
  <si>
    <t>TON</t>
  </si>
  <si>
    <t>TZA</t>
  </si>
  <si>
    <t>SWZ</t>
  </si>
  <si>
    <t>LSO</t>
  </si>
  <si>
    <t>AFG</t>
  </si>
  <si>
    <t>WSM</t>
  </si>
  <si>
    <t>FSM</t>
  </si>
  <si>
    <t>KEN</t>
  </si>
  <si>
    <t>KHM</t>
  </si>
  <si>
    <t>ERI</t>
  </si>
  <si>
    <t>BFA</t>
  </si>
  <si>
    <t>MWI</t>
  </si>
  <si>
    <t>SLB</t>
  </si>
  <si>
    <t>RWA</t>
  </si>
  <si>
    <t>NPL</t>
  </si>
  <si>
    <t>ETH</t>
  </si>
  <si>
    <t>NER</t>
  </si>
  <si>
    <t>LKA</t>
  </si>
  <si>
    <t>LIE</t>
  </si>
  <si>
    <t>UGA</t>
  </si>
  <si>
    <t>TTO</t>
  </si>
  <si>
    <t>PNG</t>
  </si>
  <si>
    <t>BDI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</si>
  <si>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</si>
  <si>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</si>
  <si>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</si>
  <si>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</si>
  <si>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</si>
  <si>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</si>
  <si>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</si>
  <si>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</si>
  <si>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</si>
  <si>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</si>
  <si>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</si>
  <si>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</si>
  <si>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</si>
  <si>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 xml:space="preserve">Bangladesh </t>
  </si>
  <si>
    <t>Barbados</t>
  </si>
  <si>
    <t>Belarus</t>
  </si>
  <si>
    <t>Belgium</t>
  </si>
  <si>
    <t>Belize</t>
  </si>
  <si>
    <t>Benin</t>
  </si>
  <si>
    <t>Bhutan</t>
  </si>
  <si>
    <t>Bolivia, Plurinational State of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</si>
  <si>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</si>
  <si>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</si>
  <si>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</si>
  <si>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</si>
  <si>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</si>
  <si>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</si>
  <si>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</si>
  <si>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</si>
  <si>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</si>
  <si>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</si>
  <si>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</si>
  <si>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</si>
  <si>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</si>
  <si>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</si>
  <si>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</si>
  <si>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</si>
  <si>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</si>
  <si>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</t>
  </si>
  <si>
    <t>Congo, the Democratic Republic of the</t>
  </si>
  <si>
    <t>Costa Rica</t>
  </si>
  <si>
    <t>Côte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</si>
  <si>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</si>
  <si>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</si>
  <si>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</si>
  <si>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</si>
  <si>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</si>
  <si>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</si>
  <si>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</si>
  <si>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</si>
  <si>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</si>
  <si>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</si>
  <si>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</si>
  <si>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</si>
  <si>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</si>
  <si>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</si>
  <si>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</si>
  <si>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</si>
  <si>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</si>
  <si>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</si>
  <si>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</si>
  <si>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</si>
  <si>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</si>
  <si>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</si>
  <si>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</si>
  <si>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</si>
  <si>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</si>
  <si>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</si>
  <si>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</si>
  <si>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</si>
  <si>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</si>
  <si>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</si>
  <si>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</si>
  <si>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</si>
  <si>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</si>
  <si>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</si>
  <si>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</si>
  <si>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</si>
  <si>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</si>
  <si>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</si>
  <si>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</si>
  <si>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</si>
  <si>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</si>
  <si>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</si>
  <si>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</si>
  <si>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</si>
  <si>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</si>
  <si>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</si>
  <si>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Democratic People's Republic of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</si>
  <si>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</si>
  <si>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</si>
  <si>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</si>
  <si>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</si>
  <si>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</si>
  <si>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</si>
  <si>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</si>
  <si>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</si>
  <si>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Libyan Arab Jamahiriya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</si>
  <si>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</si>
  <si>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</si>
  <si>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</si>
  <si>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</si>
  <si>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</si>
  <si>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</si>
  <si>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</si>
  <si>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</si>
  <si>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</si>
  <si>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</si>
  <si>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</si>
  <si>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</si>
  <si>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</si>
  <si>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Federated States of</t>
  </si>
  <si>
    <t>Moldova, Republic of</t>
  </si>
  <si>
    <t>Monaco</t>
  </si>
  <si>
    <t>Macedonia</t>
  </si>
  <si>
    <t>Mongolia</t>
  </si>
  <si>
    <t>Montenegro</t>
  </si>
  <si>
    <t>Morocco</t>
  </si>
  <si>
    <t>Mozambique</t>
  </si>
  <si>
    <t>Myanmar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</si>
  <si>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</si>
  <si>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</si>
  <si>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</si>
  <si>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</si>
  <si>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</si>
  <si>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</si>
  <si>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</si>
  <si>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</si>
  <si>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</si>
  <si>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</si>
  <si>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</si>
  <si>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</si>
  <si>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</si>
  <si>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</si>
  <si>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</si>
  <si>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</si>
  <si>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</si>
  <si>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</si>
  <si>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</si>
  <si>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</si>
  <si>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</si>
  <si>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</si>
  <si>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</si>
  <si>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</si>
  <si>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</si>
  <si>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</si>
  <si>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</si>
  <si>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</si>
  <si>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</si>
  <si>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</si>
  <si>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</si>
  <si>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</si>
  <si>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</si>
  <si>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</si>
  <si>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</si>
  <si>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</si>
  <si>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</si>
  <si>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</si>
  <si>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</si>
  <si>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</si>
  <si>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</si>
  <si>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</si>
  <si>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</si>
  <si>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</si>
  <si>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</si>
  <si>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</si>
  <si>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</si>
  <si>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Syrian Arab Republic</t>
  </si>
  <si>
    <t>Tajikistan</t>
  </si>
  <si>
    <t>Tanzania, United Republic of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</si>
  <si>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</si>
  <si>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</si>
  <si>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</si>
  <si>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</si>
  <si>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</si>
  <si>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</si>
  <si>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</si>
  <si>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</si>
  <si>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</si>
  <si>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</si>
  <si>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</si>
  <si>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</si>
  <si>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</si>
  <si>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</si>
  <si>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</si>
  <si>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</si>
  <si>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</si>
  <si>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Bolivarian Republic of</t>
  </si>
  <si>
    <t>Viet Nam</t>
  </si>
  <si>
    <t>Yemen</t>
  </si>
  <si>
    <t>Zambia</t>
  </si>
  <si>
    <t>Zimbabwe</t>
  </si>
  <si>
    <t>% Urban in largest city</t>
  </si>
  <si>
    <t>Mean</t>
  </si>
  <si>
    <t>St Dev</t>
  </si>
  <si>
    <t>Count</t>
  </si>
  <si>
    <t>% excess urban popn growth</t>
  </si>
  <si>
    <t>% Urban population living in slums</t>
  </si>
  <si>
    <t>tbd</t>
  </si>
  <si>
    <t>Net Ecological Footprint Score</t>
  </si>
  <si>
    <t>PACOV</t>
  </si>
  <si>
    <t>Nat Cap dependency</t>
  </si>
  <si>
    <t>Threatened Spp Overall</t>
  </si>
  <si>
    <t>Weighted Treaties</t>
  </si>
  <si>
    <t>Total Eco-Services</t>
  </si>
  <si>
    <t>Water d-Ppt</t>
  </si>
  <si>
    <t>Water Use</t>
  </si>
  <si>
    <t>Water Acess</t>
  </si>
  <si>
    <t>Water d-Temp</t>
  </si>
  <si>
    <t>Water Disease</t>
  </si>
  <si>
    <t>Water Sanit</t>
  </si>
  <si>
    <t>Agric Yld Proj</t>
  </si>
  <si>
    <t>Agric rural popn</t>
  </si>
  <si>
    <t>Agric Capacity</t>
  </si>
  <si>
    <t>Agric Yield CV</t>
  </si>
  <si>
    <t>Agric Imports</t>
  </si>
  <si>
    <t>Agric Malnutr</t>
  </si>
  <si>
    <t>Health DALYs</t>
  </si>
  <si>
    <t>Health Staff</t>
  </si>
  <si>
    <t>Health Longev</t>
  </si>
  <si>
    <t>Health Disease</t>
  </si>
  <si>
    <t>Health External</t>
  </si>
  <si>
    <t>Health Matern</t>
  </si>
  <si>
    <t>Coast Area</t>
  </si>
  <si>
    <t>Coast Popn</t>
  </si>
  <si>
    <t>Energy Access</t>
  </si>
  <si>
    <t>Energy Sensit</t>
  </si>
  <si>
    <t>Road Floods</t>
  </si>
  <si>
    <t>Road Paved</t>
  </si>
  <si>
    <t>R-IEF Business free</t>
  </si>
  <si>
    <t>R-IEF Finan free</t>
  </si>
  <si>
    <t>R-IEF Fiscal Free</t>
  </si>
  <si>
    <t>R-IEF Gov Spending</t>
  </si>
  <si>
    <t>R-IEF Invest Free</t>
  </si>
  <si>
    <t>R-IEF Monetary Free</t>
  </si>
  <si>
    <t>R-IEF Trade Free</t>
  </si>
  <si>
    <t>R-WGI psnv</t>
  </si>
  <si>
    <t>R-WGI va</t>
  </si>
  <si>
    <t>R-WGI cc</t>
  </si>
  <si>
    <t>R-Mobiles</t>
  </si>
  <si>
    <t>R-Enrollment</t>
  </si>
  <si>
    <t>R-WGI rl</t>
  </si>
  <si>
    <t>R-IEF Labor Free</t>
  </si>
  <si>
    <t>Congo, Dem Rep</t>
  </si>
  <si>
    <t>Vulnerability</t>
  </si>
  <si>
    <t>GDP per capita, PPP</t>
  </si>
  <si>
    <t>Ln GDP/Cap</t>
  </si>
  <si>
    <t>HDI</t>
  </si>
  <si>
    <t>Correlation matrix - Ignores data pairs with missing values</t>
  </si>
  <si>
    <t xml:space="preserve">Data worksheet is  </t>
  </si>
  <si>
    <t xml:space="preserve">Number of variables  </t>
  </si>
  <si>
    <t xml:space="preserve">Maximum number data pairs  </t>
  </si>
  <si>
    <t>P &lt; 5%</t>
  </si>
  <si>
    <t>P &lt; 1%</t>
  </si>
  <si>
    <t>P &lt; 0.1%</t>
  </si>
  <si>
    <t>r^2 &gt; 0.5</t>
  </si>
  <si>
    <t>R^2 values</t>
  </si>
  <si>
    <t>Top diagonal is the number of data pairs</t>
  </si>
  <si>
    <t>Low Bound</t>
  </si>
  <si>
    <t>High Bound</t>
  </si>
  <si>
    <t>Median</t>
  </si>
  <si>
    <t>5 percentile</t>
  </si>
  <si>
    <t>10 percentile</t>
  </si>
  <si>
    <t>90 percentile</t>
  </si>
  <si>
    <t>95 percentile</t>
  </si>
  <si>
    <t>SCORES</t>
  </si>
  <si>
    <t>Max</t>
  </si>
  <si>
    <t>Min</t>
  </si>
  <si>
    <t>Full Urban</t>
  </si>
  <si>
    <t>Scores required &gt; than …</t>
  </si>
  <si>
    <t>Direction (1=&gt; reverse)</t>
  </si>
  <si>
    <t>Full Set of Scores</t>
  </si>
  <si>
    <t>RAW VALUES</t>
  </si>
  <si>
    <t>Estim New GAIN Vuln</t>
  </si>
  <si>
    <t>2011 GAIN Vuln</t>
  </si>
  <si>
    <t>Abs change</t>
  </si>
  <si>
    <t>New Data</t>
  </si>
  <si>
    <t>SHEETS</t>
  </si>
  <si>
    <t>Contains the underlying data and the scores derived from those data for the new measures</t>
  </si>
  <si>
    <t>Graphics and Tables</t>
  </si>
  <si>
    <t>Most are included in the Technical document</t>
  </si>
  <si>
    <t>Correlation Matrix</t>
  </si>
  <si>
    <t>A large correlation matrix of all the measures (2011 version and the new vulnerabiloity measures) and some co-variables (e.g. GDP/cap etc).</t>
  </si>
  <si>
    <t>Urban Data</t>
  </si>
  <si>
    <t>Nat Cap Scores</t>
  </si>
  <si>
    <t>Threatened Data</t>
  </si>
  <si>
    <t>Underlying data and calculations leading to the information used in the new measures.  For reference only</t>
  </si>
  <si>
    <t>Existing 2011 Scores</t>
  </si>
  <si>
    <t>For calculations only</t>
  </si>
  <si>
    <t>Draft Material only</t>
  </si>
  <si>
    <t>Do Not Circulate and Distribute Further</t>
  </si>
  <si>
    <t>Contacts</t>
  </si>
  <si>
    <t>Ian Noble</t>
  </si>
  <si>
    <t>inoble@gain.org</t>
  </si>
  <si>
    <t xml:space="preserve">Bruno Sanchez </t>
  </si>
  <si>
    <t>brunosan@gain.org</t>
  </si>
  <si>
    <t>Urban Risk</t>
  </si>
  <si>
    <t>Value lost due to electrical outages (% of sales)</t>
  </si>
  <si>
    <t>Quality of trade and transport-related infrastruct</t>
  </si>
  <si>
    <t>% change</t>
  </si>
  <si>
    <t>2011 Rank</t>
  </si>
  <si>
    <t>New Rank</t>
  </si>
  <si>
    <t>Change</t>
  </si>
  <si>
    <t>Abs Change</t>
  </si>
  <si>
    <t>Generated 28/08/2012 at 10:30:35 PM</t>
  </si>
  <si>
    <t>2012 Rank</t>
  </si>
  <si>
    <t>Estim 2012 GAIN Vuln</t>
  </si>
  <si>
    <t>Protected Biomes PACOV</t>
  </si>
  <si>
    <t>Foreign direct investment, net inflows (% of GDP)</t>
  </si>
  <si>
    <t>Net official development assistance and official aid received (current US$)</t>
  </si>
  <si>
    <t>GDP (current US$)</t>
  </si>
  <si>
    <t>Net Official Aid % GDP</t>
  </si>
  <si>
    <t>Sheet1</t>
  </si>
  <si>
    <t>Generated 10/Sep/2012 at 9:45:18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</si>
</sst>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#.000;[Red]\-#.000"/>
    <numFmt numFmtId="166" formatCode="0.000"/>
    <numFmt numFmtId="167" formatCode="0.00_ ;[Red]\-0.00\ "/>
    <numFmt numFmtId="168" formatCode="0.0%"/>
    <numFmt numFmtId="169" formatCode="0_ ;[Red]\-0\ "/>
  </numFmts>
  <fonts count="1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indexed="8"/>
      <name val="Arial"/>
      <family val="2"/>
    </font>
    <font>
      <sz val="12"/>
      <color rgb="FF0000FF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8"/>
      <color theme="0"/>
      <name val="Calibri"/>
      <scheme val="minor"/>
    </font>
    <font>
      <sz val="12"/>
      <color rgb="FF000000"/>
      <name val="Lucida Grande"/>
    </font>
  </fonts>
  <fills count="2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D0D0D"/>
        <bgColor rgb="FF000000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gray0625">
        <bgColor rgb="FFCCFFCC"/>
      </patternFill>
    </fill>
    <fill>
      <patternFill patternType="solid">
        <fgColor rgb="FFCCFFFF"/>
        <bgColor indexed="64"/>
      </patternFill>
    </fill>
    <fill>
      <patternFill patternType="gray0625">
        <bgColor rgb="FFFFCC99"/>
      </patternFill>
    </fill>
    <fill>
      <patternFill patternType="solid">
        <fgColor rgb="FFE0E0E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</borders>
  <cellStyleXfs count="22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8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1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5">
    <xf numFmtId="0" fontId="0" fillId="0" borderId="0" xfId="0"/>
    <xf numFmtId="4" fontId="5" fillId="2" borderId="0" xfId="0" applyNumberFormat="1" applyFont="1" applyFill="1" applyAlignment="1">
      <alignment horizontal="right"/>
    </xf>
    <xf numFmtId="2" fontId="0" fillId="0" borderId="0" xfId="0" applyNumberFormat="1"/>
    <xf numFmtId="0" fontId="6" fillId="0" borderId="0" xfId="0" applyFont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7" fillId="6" borderId="0" xfId="0" applyFont="1" applyFill="1" applyAlignment="1">
      <alignment horizontal="center" wrapText="1"/>
    </xf>
    <xf numFmtId="2" fontId="0" fillId="7" borderId="0" xfId="0" applyNumberFormat="1" applyFill="1"/>
    <xf numFmtId="0" fontId="0" fillId="2" borderId="0" xfId="0" applyNumberFormat="1" applyFont="1" applyFill="1" applyAlignment="1">
      <alignment horizontal="right" wrapText="1"/>
    </xf>
    <xf numFmtId="0" fontId="0" fillId="2" borderId="0" xfId="0" applyNumberFormat="1" applyFont="1" applyFill="1" applyAlignment="1">
      <alignment horizontal="center"/>
    </xf>
    <xf numFmtId="0" fontId="0" fillId="2" borderId="0" xfId="0" applyNumberFormat="1" applyFont="1" applyFill="1" applyAlignment="1">
      <alignment horizontal="center" wrapText="1"/>
    </xf>
    <xf numFmtId="0" fontId="9" fillId="9" borderId="0" xfId="0" applyFont="1" applyFill="1" applyAlignment="1">
      <alignment horizontal="center" wrapText="1"/>
    </xf>
    <xf numFmtId="0" fontId="10" fillId="10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 applyAlignment="1">
      <alignment horizontal="center"/>
    </xf>
    <xf numFmtId="0" fontId="0" fillId="14" borderId="0" xfId="0" applyFill="1"/>
    <xf numFmtId="0" fontId="10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right"/>
    </xf>
    <xf numFmtId="165" fontId="0" fillId="0" borderId="0" xfId="0" applyNumberFormat="1"/>
    <xf numFmtId="165" fontId="0" fillId="11" borderId="0" xfId="0" applyNumberFormat="1" applyFill="1"/>
    <xf numFmtId="165" fontId="0" fillId="12" borderId="0" xfId="0" applyNumberFormat="1" applyFill="1"/>
    <xf numFmtId="165" fontId="0" fillId="13" borderId="0" xfId="0" applyNumberFormat="1" applyFill="1"/>
    <xf numFmtId="0" fontId="0" fillId="13" borderId="0" xfId="0" applyFill="1"/>
    <xf numFmtId="165" fontId="0" fillId="16" borderId="0" xfId="0" applyNumberFormat="1" applyFill="1"/>
    <xf numFmtId="0" fontId="0" fillId="16" borderId="0" xfId="0" applyFill="1"/>
    <xf numFmtId="0" fontId="0" fillId="17" borderId="0" xfId="0" applyFill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2" xfId="0" applyBorder="1" applyAlignment="1">
      <alignment horizontal="right"/>
    </xf>
    <xf numFmtId="166" fontId="0" fillId="0" borderId="0" xfId="0" applyNumberFormat="1"/>
    <xf numFmtId="164" fontId="0" fillId="0" borderId="0" xfId="0" applyNumberFormat="1"/>
    <xf numFmtId="9" fontId="0" fillId="0" borderId="0" xfId="71" applyFont="1"/>
    <xf numFmtId="0" fontId="0" fillId="0" borderId="0" xfId="0" applyFill="1"/>
    <xf numFmtId="0" fontId="6" fillId="0" borderId="0" xfId="0" applyFont="1" applyFill="1" applyAlignment="1">
      <alignment horizontal="center" wrapText="1"/>
    </xf>
    <xf numFmtId="167" fontId="11" fillId="19" borderId="0" xfId="0" applyNumberFormat="1" applyFont="1" applyFill="1"/>
    <xf numFmtId="2" fontId="0" fillId="20" borderId="0" xfId="0" applyNumberFormat="1" applyFill="1"/>
    <xf numFmtId="168" fontId="0" fillId="0" borderId="0" xfId="71" applyNumberFormat="1" applyFont="1"/>
    <xf numFmtId="0" fontId="7" fillId="8" borderId="0" xfId="0" applyFont="1" applyFill="1"/>
    <xf numFmtId="0" fontId="0" fillId="7" borderId="0" xfId="0" applyFill="1"/>
    <xf numFmtId="0" fontId="0" fillId="18" borderId="0" xfId="0" applyFill="1"/>
    <xf numFmtId="2" fontId="0" fillId="18" borderId="0" xfId="0" applyNumberFormat="1" applyFill="1"/>
    <xf numFmtId="0" fontId="10" fillId="0" borderId="0" xfId="0" applyFont="1" applyAlignment="1">
      <alignment horizontal="right"/>
    </xf>
    <xf numFmtId="0" fontId="14" fillId="22" borderId="0" xfId="0" applyFont="1" applyFill="1" applyAlignment="1">
      <alignment horizontal="center"/>
    </xf>
    <xf numFmtId="166" fontId="0" fillId="18" borderId="0" xfId="0" applyNumberFormat="1" applyFill="1"/>
    <xf numFmtId="169" fontId="0" fillId="0" borderId="0" xfId="0" applyNumberFormat="1" applyAlignment="1">
      <alignment horizontal="center"/>
    </xf>
    <xf numFmtId="0" fontId="7" fillId="22" borderId="0" xfId="0" applyFont="1" applyFill="1" applyAlignment="1">
      <alignment horizontal="center"/>
    </xf>
    <xf numFmtId="0" fontId="10" fillId="23" borderId="0" xfId="0" applyFont="1" applyFill="1" applyAlignment="1">
      <alignment horizontal="right" vertical="center"/>
    </xf>
    <xf numFmtId="0" fontId="10" fillId="23" borderId="0" xfId="0" applyFont="1" applyFill="1" applyAlignment="1">
      <alignment horizontal="right"/>
    </xf>
    <xf numFmtId="0" fontId="0" fillId="23" borderId="0" xfId="0" applyFill="1" applyAlignment="1">
      <alignment wrapText="1"/>
    </xf>
    <xf numFmtId="0" fontId="10" fillId="21" borderId="0" xfId="0" applyFont="1" applyFill="1" applyAlignment="1">
      <alignment horizontal="right"/>
    </xf>
    <xf numFmtId="0" fontId="10" fillId="24" borderId="0" xfId="0" applyFont="1" applyFill="1" applyAlignment="1">
      <alignment horizontal="right"/>
    </xf>
    <xf numFmtId="0" fontId="3" fillId="0" borderId="0" xfId="179" applyAlignment="1">
      <alignment wrapText="1"/>
    </xf>
    <xf numFmtId="0" fontId="10" fillId="0" borderId="0" xfId="0" applyFont="1" applyAlignment="1">
      <alignment horizontal="right" wrapText="1"/>
    </xf>
    <xf numFmtId="2" fontId="0" fillId="0" borderId="0" xfId="0" applyNumberFormat="1" applyFill="1"/>
    <xf numFmtId="166" fontId="0" fillId="0" borderId="0" xfId="0" applyNumberFormat="1" applyFill="1"/>
    <xf numFmtId="164" fontId="0" fillId="18" borderId="0" xfId="0" applyNumberFormat="1" applyFill="1"/>
    <xf numFmtId="164" fontId="0" fillId="0" borderId="0" xfId="0" applyNumberFormat="1" applyFill="1"/>
    <xf numFmtId="0" fontId="14" fillId="22" borderId="0" xfId="0" applyFont="1" applyFill="1" applyAlignment="1">
      <alignment horizontal="left"/>
    </xf>
    <xf numFmtId="0" fontId="0" fillId="21" borderId="0" xfId="0" applyFill="1" applyAlignment="1">
      <alignment horizontal="center" wrapText="1"/>
    </xf>
    <xf numFmtId="0" fontId="0" fillId="24" borderId="0" xfId="0" applyFill="1" applyAlignment="1">
      <alignment horizontal="center" vertical="center" wrapText="1"/>
    </xf>
  </cellXfs>
  <cellStyles count="2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7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6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/>
    <cellStyle name="Normal" xfId="0" builtinId="0"/>
    <cellStyle name="Normal 2" xfId="92"/>
    <cellStyle name="Normal 6" xfId="58"/>
    <cellStyle name="Percent" xfId="71" builtinId="5"/>
    <cellStyle name="Percent 2" xfId="5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externalLink" Target="externalLinks/externalLink3.xml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'Graphics &amp; Tables'!$D$3</c:f>
              <c:strCache>
                <c:ptCount val="1"/>
                <c:pt idx="0">
                  <c:v>Estim New GAIN Vuln</c:v>
                </c:pt>
              </c:strCache>
            </c:strRef>
          </c:tx>
          <c:spPr>
            <a:ln w="47625">
              <a:noFill/>
            </a:ln>
          </c:spPr>
          <c:trendline>
            <c:trendlineType val="linear"/>
            <c:dispRSqr val="0"/>
            <c:dispEq val="0"/>
          </c:trendline>
          <c:trendline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'Graphics &amp; Tables'!$C$4:$C$195</c:f>
              <c:numCache>
                <c:formatCode>0.000</c:formatCode>
                <c:ptCount val="192"/>
                <c:pt idx="0">
                  <c:v>0.626734601793658</c:v>
                </c:pt>
                <c:pt idx="1">
                  <c:v>0.29043285983259</c:v>
                </c:pt>
                <c:pt idx="2">
                  <c:v>0.2695615286713</c:v>
                </c:pt>
                <c:pt idx="3">
                  <c:v>#N/A</c:v>
                </c:pt>
                <c:pt idx="4">
                  <c:v>0.535900009334559</c:v>
                </c:pt>
                <c:pt idx="5">
                  <c:v>0.340510374560758</c:v>
                </c:pt>
                <c:pt idx="6">
                  <c:v>0.186501327516433</c:v>
                </c:pt>
                <c:pt idx="7">
                  <c:v>0.249886510262428</c:v>
                </c:pt>
                <c:pt idx="8">
                  <c:v>0.192771971410734</c:v>
                </c:pt>
                <c:pt idx="9">
                  <c:v>0.166720274924848</c:v>
                </c:pt>
                <c:pt idx="10">
                  <c:v>0.243578741040413</c:v>
                </c:pt>
                <c:pt idx="11">
                  <c:v>0.326427401150409</c:v>
                </c:pt>
                <c:pt idx="12">
                  <c:v>0.335201853120871</c:v>
                </c:pt>
                <c:pt idx="13">
                  <c:v>0.433333313518835</c:v>
                </c:pt>
                <c:pt idx="14">
                  <c:v>0.260759882461829</c:v>
                </c:pt>
                <c:pt idx="15">
                  <c:v>0.198623784031354</c:v>
                </c:pt>
                <c:pt idx="16">
                  <c:v>0.250080814008989</c:v>
                </c:pt>
                <c:pt idx="17">
                  <c:v>0.309945252586457</c:v>
                </c:pt>
                <c:pt idx="18">
                  <c:v>0.480734180606468</c:v>
                </c:pt>
                <c:pt idx="19">
                  <c:v>0.390219287230042</c:v>
                </c:pt>
                <c:pt idx="20">
                  <c:v>0.334494889777885</c:v>
                </c:pt>
                <c:pt idx="21">
                  <c:v>0.194600453902938</c:v>
                </c:pt>
                <c:pt idx="22">
                  <c:v>0.422195059923854</c:v>
                </c:pt>
                <c:pt idx="23">
                  <c:v>0.263918953088211</c:v>
                </c:pt>
                <c:pt idx="24">
                  <c:v>0.214793489438574</c:v>
                </c:pt>
                <c:pt idx="25">
                  <c:v>0.199949864708655</c:v>
                </c:pt>
                <c:pt idx="26">
                  <c:v>0.511922998423814</c:v>
                </c:pt>
                <c:pt idx="27">
                  <c:v>0.612854445432779</c:v>
                </c:pt>
                <c:pt idx="28">
                  <c:v>0.456598002528333</c:v>
                </c:pt>
                <c:pt idx="29">
                  <c:v>0.459876635882812</c:v>
                </c:pt>
                <c:pt idx="30">
                  <c:v>0.243193361960564</c:v>
                </c:pt>
                <c:pt idx="31">
                  <c:v>0.295691262053719</c:v>
                </c:pt>
                <c:pt idx="32">
                  <c:v>0.605083111962254</c:v>
                </c:pt>
                <c:pt idx="33">
                  <c:v>0.561298804045812</c:v>
                </c:pt>
                <c:pt idx="34">
                  <c:v>0.207749071863212</c:v>
                </c:pt>
                <c:pt idx="35">
                  <c:v>0.262281079076745</c:v>
                </c:pt>
                <c:pt idx="36">
                  <c:v>0.275164167309865</c:v>
                </c:pt>
                <c:pt idx="37">
                  <c:v>0.41804238766288</c:v>
                </c:pt>
                <c:pt idx="38">
                  <c:v>0.43746992073911</c:v>
                </c:pt>
                <c:pt idx="39">
                  <c:v>#N/A</c:v>
                </c:pt>
                <c:pt idx="40">
                  <c:v>0.306802230355058</c:v>
                </c:pt>
                <c:pt idx="41">
                  <c:v>0.441105935434817</c:v>
                </c:pt>
                <c:pt idx="42">
                  <c:v>0.1737271612325</c:v>
                </c:pt>
                <c:pt idx="43">
                  <c:v>0.262899067038012</c:v>
                </c:pt>
                <c:pt idx="44">
                  <c:v>0.237638078922661</c:v>
                </c:pt>
                <c:pt idx="45">
                  <c:v>0.13849436622867</c:v>
                </c:pt>
                <c:pt idx="46">
                  <c:v>0.114731675208681</c:v>
                </c:pt>
                <c:pt idx="47">
                  <c:v>0.447200930404966</c:v>
                </c:pt>
                <c:pt idx="48">
                  <c:v>0.394255670332551</c:v>
                </c:pt>
                <c:pt idx="49">
                  <c:v>0.290652367280613</c:v>
                </c:pt>
                <c:pt idx="50">
                  <c:v>0.219717303617315</c:v>
                </c:pt>
                <c:pt idx="51">
                  <c:v>0.232706229368895</c:v>
                </c:pt>
                <c:pt idx="52">
                  <c:v>0.299334380655323</c:v>
                </c:pt>
                <c:pt idx="53">
                  <c:v>0.446534795424147</c:v>
                </c:pt>
                <c:pt idx="54">
                  <c:v>0.467450877983566</c:v>
                </c:pt>
                <c:pt idx="55">
                  <c:v>0.255597439853165</c:v>
                </c:pt>
                <c:pt idx="56">
                  <c:v>0.564624088007273</c:v>
                </c:pt>
                <c:pt idx="57">
                  <c:v>0.323927515670786</c:v>
                </c:pt>
                <c:pt idx="58">
                  <c:v>0.175876385125444</c:v>
                </c:pt>
                <c:pt idx="59">
                  <c:v>0.126671070820129</c:v>
                </c:pt>
                <c:pt idx="60">
                  <c:v>0.363164245263944</c:v>
                </c:pt>
                <c:pt idx="61">
                  <c:v>0.429648701209457</c:v>
                </c:pt>
                <c:pt idx="62">
                  <c:v>0.255383418013796</c:v>
                </c:pt>
                <c:pt idx="63">
                  <c:v>0.13954152344871</c:v>
                </c:pt>
                <c:pt idx="64">
                  <c:v>0.428581039486563</c:v>
                </c:pt>
                <c:pt idx="65">
                  <c:v>0.192088488523923</c:v>
                </c:pt>
                <c:pt idx="66">
                  <c:v>0.309564208741866</c:v>
                </c:pt>
                <c:pt idx="67">
                  <c:v>0.324010154426815</c:v>
                </c:pt>
                <c:pt idx="68">
                  <c:v>0.49187351166469</c:v>
                </c:pt>
                <c:pt idx="69">
                  <c:v>0.479929809724413</c:v>
                </c:pt>
                <c:pt idx="70">
                  <c:v>0.352543137213963</c:v>
                </c:pt>
                <c:pt idx="71">
                  <c:v>0.466383511329011</c:v>
                </c:pt>
                <c:pt idx="72">
                  <c:v>0.315353021142221</c:v>
                </c:pt>
                <c:pt idx="73">
                  <c:v>0.199574291990891</c:v>
                </c:pt>
                <c:pt idx="74">
                  <c:v>0.21815733344438</c:v>
                </c:pt>
                <c:pt idx="75">
                  <c:v>0.410690105272608</c:v>
                </c:pt>
                <c:pt idx="76">
                  <c:v>0.26381284525269</c:v>
                </c:pt>
                <c:pt idx="77">
                  <c:v>0.215119254124558</c:v>
                </c:pt>
                <c:pt idx="78">
                  <c:v>0.377213089130119</c:v>
                </c:pt>
                <c:pt idx="79">
                  <c:v>0.150732007189524</c:v>
                </c:pt>
                <c:pt idx="80">
                  <c:v>0.22227758370009</c:v>
                </c:pt>
                <c:pt idx="81">
                  <c:v>0.183372457068526</c:v>
                </c:pt>
                <c:pt idx="82">
                  <c:v>0.325377218837513</c:v>
                </c:pt>
                <c:pt idx="83">
                  <c:v>0.237492504425344</c:v>
                </c:pt>
                <c:pt idx="84">
                  <c:v>0.272993327594446</c:v>
                </c:pt>
                <c:pt idx="85">
                  <c:v>0.24173291452893</c:v>
                </c:pt>
                <c:pt idx="86">
                  <c:v>0.487531513172891</c:v>
                </c:pt>
                <c:pt idx="87">
                  <c:v>0.449830012414996</c:v>
                </c:pt>
                <c:pt idx="88">
                  <c:v>0.42316842721101</c:v>
                </c:pt>
                <c:pt idx="89">
                  <c:v>0.285494532320034</c:v>
                </c:pt>
                <c:pt idx="90">
                  <c:v>0.260469363658281</c:v>
                </c:pt>
                <c:pt idx="91">
                  <c:v>0.263055044453838</c:v>
                </c:pt>
                <c:pt idx="92">
                  <c:v>0.438048455169433</c:v>
                </c:pt>
                <c:pt idx="93">
                  <c:v>0.226548815191758</c:v>
                </c:pt>
                <c:pt idx="94">
                  <c:v>0.252244208234725</c:v>
                </c:pt>
                <c:pt idx="95">
                  <c:v>0.493867209044775</c:v>
                </c:pt>
                <c:pt idx="96">
                  <c:v>0.5286423623786</c:v>
                </c:pt>
                <c:pt idx="97">
                  <c:v>0.290021428490676</c:v>
                </c:pt>
                <c:pt idx="98">
                  <c:v>#N/A</c:v>
                </c:pt>
                <c:pt idx="99">
                  <c:v>0.234919102811756</c:v>
                </c:pt>
                <c:pt idx="100">
                  <c:v>0.163292166591728</c:v>
                </c:pt>
                <c:pt idx="101">
                  <c:v>0.491255990930196</c:v>
                </c:pt>
                <c:pt idx="102">
                  <c:v>0.491313953292593</c:v>
                </c:pt>
                <c:pt idx="103">
                  <c:v>0.224530420718103</c:v>
                </c:pt>
                <c:pt idx="104">
                  <c:v>0.357656897920766</c:v>
                </c:pt>
                <c:pt idx="105">
                  <c:v>0.520080434698373</c:v>
                </c:pt>
                <c:pt idx="106">
                  <c:v>0.241761579803654</c:v>
                </c:pt>
                <c:pt idx="107">
                  <c:v>0.483824126090495</c:v>
                </c:pt>
                <c:pt idx="108">
                  <c:v>0.499001525211414</c:v>
                </c:pt>
                <c:pt idx="109">
                  <c:v>0.246191630800715</c:v>
                </c:pt>
                <c:pt idx="110">
                  <c:v>0.261060851159084</c:v>
                </c:pt>
                <c:pt idx="111">
                  <c:v>0.499774548103421</c:v>
                </c:pt>
                <c:pt idx="112">
                  <c:v>0.252171081542612</c:v>
                </c:pt>
                <c:pt idx="113">
                  <c:v>0.243387325090469</c:v>
                </c:pt>
                <c:pt idx="114">
                  <c:v>0.19640837186172</c:v>
                </c:pt>
                <c:pt idx="115">
                  <c:v>0.369111702442695</c:v>
                </c:pt>
                <c:pt idx="116">
                  <c:v>#N/A</c:v>
                </c:pt>
                <c:pt idx="117">
                  <c:v>0.376616083302876</c:v>
                </c:pt>
                <c:pt idx="118">
                  <c:v>0.543300468134209</c:v>
                </c:pt>
                <c:pt idx="119">
                  <c:v>0.415407266520919</c:v>
                </c:pt>
                <c:pt idx="120">
                  <c:v>0.442524642405633</c:v>
                </c:pt>
                <c:pt idx="121">
                  <c:v>#N/A</c:v>
                </c:pt>
                <c:pt idx="122">
                  <c:v>0.426097740355359</c:v>
                </c:pt>
                <c:pt idx="123">
                  <c:v>0.201792663015013</c:v>
                </c:pt>
                <c:pt idx="124">
                  <c:v>0.207068500035166</c:v>
                </c:pt>
                <c:pt idx="125">
                  <c:v>0.299262173889841</c:v>
                </c:pt>
                <c:pt idx="126">
                  <c:v>0.534119078118094</c:v>
                </c:pt>
                <c:pt idx="127">
                  <c:v>0.470431530619026</c:v>
                </c:pt>
                <c:pt idx="128">
                  <c:v>0.150353672067432</c:v>
                </c:pt>
                <c:pt idx="129">
                  <c:v>0.260039876956211</c:v>
                </c:pt>
                <c:pt idx="130">
                  <c:v>0.373904524220627</c:v>
                </c:pt>
                <c:pt idx="131">
                  <c:v>0.381107074755774</c:v>
                </c:pt>
                <c:pt idx="132">
                  <c:v>0.302515364585906</c:v>
                </c:pt>
                <c:pt idx="133">
                  <c:v>0.472330718844855</c:v>
                </c:pt>
                <c:pt idx="134">
                  <c:v>0.286107842149254</c:v>
                </c:pt>
                <c:pt idx="135">
                  <c:v>0.315700698550533</c:v>
                </c:pt>
                <c:pt idx="136">
                  <c:v>0.280882937578355</c:v>
                </c:pt>
                <c:pt idx="137">
                  <c:v>0.146275220584687</c:v>
                </c:pt>
                <c:pt idx="138">
                  <c:v>0.213979646494256</c:v>
                </c:pt>
                <c:pt idx="139">
                  <c:v>0.262831097146486</c:v>
                </c:pt>
                <c:pt idx="140">
                  <c:v>0.233817245866611</c:v>
                </c:pt>
                <c:pt idx="141">
                  <c:v>0.275043252607518</c:v>
                </c:pt>
                <c:pt idx="142">
                  <c:v>0.5045251213633</c:v>
                </c:pt>
                <c:pt idx="143">
                  <c:v>0.330026198819938</c:v>
                </c:pt>
                <c:pt idx="144">
                  <c:v>0.345230463462043</c:v>
                </c:pt>
                <c:pt idx="145">
                  <c:v>0.307706862969222</c:v>
                </c:pt>
                <c:pt idx="146">
                  <c:v>0.382352136432419</c:v>
                </c:pt>
                <c:pt idx="147">
                  <c:v>0.185871951448213</c:v>
                </c:pt>
                <c:pt idx="148">
                  <c:v>0.425710155410079</c:v>
                </c:pt>
                <c:pt idx="149">
                  <c:v>0.29970448782638</c:v>
                </c:pt>
                <c:pt idx="150">
                  <c:v>0.475363604068363</c:v>
                </c:pt>
                <c:pt idx="151">
                  <c:v>0.22195639221103</c:v>
                </c:pt>
                <c:pt idx="152">
                  <c:v>0.326922393177508</c:v>
                </c:pt>
                <c:pt idx="153">
                  <c:v>0.555945093456826</c:v>
                </c:pt>
                <c:pt idx="154">
                  <c:v>0.28141294690245</c:v>
                </c:pt>
                <c:pt idx="155">
                  <c:v>0.186686078002695</c:v>
                </c:pt>
                <c:pt idx="156">
                  <c:v>0.177330674400792</c:v>
                </c:pt>
                <c:pt idx="157">
                  <c:v>0.481736247093075</c:v>
                </c:pt>
                <c:pt idx="158">
                  <c:v>0.533642199300133</c:v>
                </c:pt>
                <c:pt idx="159">
                  <c:v>0.360388518893724</c:v>
                </c:pt>
                <c:pt idx="160">
                  <c:v>0.190438128013514</c:v>
                </c:pt>
                <c:pt idx="161">
                  <c:v>0.274920730860977</c:v>
                </c:pt>
                <c:pt idx="162">
                  <c:v>0.493459683905108</c:v>
                </c:pt>
                <c:pt idx="163">
                  <c:v>0.291585529710877</c:v>
                </c:pt>
                <c:pt idx="164">
                  <c:v>0.436375555905438</c:v>
                </c:pt>
                <c:pt idx="165">
                  <c:v>0.193621807754495</c:v>
                </c:pt>
                <c:pt idx="166">
                  <c:v>0.138582441716833</c:v>
                </c:pt>
                <c:pt idx="167">
                  <c:v>0.248445543843095</c:v>
                </c:pt>
                <c:pt idx="168">
                  <c:v>0.348585295673305</c:v>
                </c:pt>
                <c:pt idx="169">
                  <c:v>0.500769790946217</c:v>
                </c:pt>
                <c:pt idx="170">
                  <c:v>0.225120412680264</c:v>
                </c:pt>
                <c:pt idx="171">
                  <c:v>0.481095256943568</c:v>
                </c:pt>
                <c:pt idx="172">
                  <c:v>0.509039210114771</c:v>
                </c:pt>
                <c:pt idx="173">
                  <c:v>0.346442034784263</c:v>
                </c:pt>
                <c:pt idx="174">
                  <c:v>0.30033477324804</c:v>
                </c:pt>
                <c:pt idx="175">
                  <c:v>0.284310208574366</c:v>
                </c:pt>
                <c:pt idx="176">
                  <c:v>0.258431072824873</c:v>
                </c:pt>
                <c:pt idx="177">
                  <c:v>0.256797362449701</c:v>
                </c:pt>
                <c:pt idx="178">
                  <c:v>0.450300886558241</c:v>
                </c:pt>
                <c:pt idx="179">
                  <c:v>0.497756105845877</c:v>
                </c:pt>
                <c:pt idx="180">
                  <c:v>0.241887751290352</c:v>
                </c:pt>
                <c:pt idx="181">
                  <c:v>0.269330543164602</c:v>
                </c:pt>
                <c:pt idx="182">
                  <c:v>0.16386213909168</c:v>
                </c:pt>
                <c:pt idx="183">
                  <c:v>0.180543631074508</c:v>
                </c:pt>
                <c:pt idx="184">
                  <c:v>0.185802768014682</c:v>
                </c:pt>
                <c:pt idx="185">
                  <c:v>0.236642266037389</c:v>
                </c:pt>
                <c:pt idx="186">
                  <c:v>0.408849896183791</c:v>
                </c:pt>
                <c:pt idx="187">
                  <c:v>0.224417110286892</c:v>
                </c:pt>
                <c:pt idx="188">
                  <c:v>0.270168806109709</c:v>
                </c:pt>
                <c:pt idx="189">
                  <c:v>0.47087801862313</c:v>
                </c:pt>
                <c:pt idx="190">
                  <c:v>0.532187194464228</c:v>
                </c:pt>
                <c:pt idx="191">
                  <c:v>0.447058140485747</c:v>
                </c:pt>
              </c:numCache>
            </c:numRef>
          </c:xVal>
          <c:yVal>
            <c:numRef>
              <c:f>'Graphics &amp; Tables'!$D$4:$D$195</c:f>
              <c:numCache>
                <c:formatCode>0.000</c:formatCode>
                <c:ptCount val="192"/>
                <c:pt idx="0">
                  <c:v>0.607079646812286</c:v>
                </c:pt>
                <c:pt idx="1">
                  <c:v>0.33632138249691</c:v>
                </c:pt>
                <c:pt idx="2">
                  <c:v>0.309416288467608</c:v>
                </c:pt>
                <c:pt idx="3">
                  <c:v>#N/A</c:v>
                </c:pt>
                <c:pt idx="4">
                  <c:v>0.5358046746035</c:v>
                </c:pt>
                <c:pt idx="5">
                  <c:v>0.350745031759386</c:v>
                </c:pt>
                <c:pt idx="6">
                  <c:v>0.233069643161898</c:v>
                </c:pt>
                <c:pt idx="7">
                  <c:v>0.282905076161347</c:v>
                </c:pt>
                <c:pt idx="8">
                  <c:v>0.185036066164528</c:v>
                </c:pt>
                <c:pt idx="9">
                  <c:v>0.173203373673462</c:v>
                </c:pt>
                <c:pt idx="10">
                  <c:v>0.288843388252241</c:v>
                </c:pt>
                <c:pt idx="11">
                  <c:v>0.329176430341386</c:v>
                </c:pt>
                <c:pt idx="12">
                  <c:v>0.31255460126181</c:v>
                </c:pt>
                <c:pt idx="13">
                  <c:v>0.505310512062375</c:v>
                </c:pt>
                <c:pt idx="14">
                  <c:v>0.352051078728743</c:v>
                </c:pt>
                <c:pt idx="15">
                  <c:v>0.210048229561401</c:v>
                </c:pt>
                <c:pt idx="16">
                  <c:v>0.216947901206307</c:v>
                </c:pt>
                <c:pt idx="17">
                  <c:v>0.303174979462871</c:v>
                </c:pt>
                <c:pt idx="18">
                  <c:v>0.469483061742319</c:v>
                </c:pt>
                <c:pt idx="19">
                  <c:v>0.42436500528127</c:v>
                </c:pt>
                <c:pt idx="20">
                  <c:v>0.359482267248674</c:v>
                </c:pt>
                <c:pt idx="21">
                  <c:v>0.23889687725371</c:v>
                </c:pt>
                <c:pt idx="22">
                  <c:v>0.380973763627447</c:v>
                </c:pt>
                <c:pt idx="23">
                  <c:v>0.268933716000627</c:v>
                </c:pt>
                <c:pt idx="24">
                  <c:v>0.2184975262329</c:v>
                </c:pt>
                <c:pt idx="25">
                  <c:v>0.201176705706741</c:v>
                </c:pt>
                <c:pt idx="26">
                  <c:v>0.49861151594922</c:v>
                </c:pt>
                <c:pt idx="27">
                  <c:v>0.613316058051839</c:v>
                </c:pt>
                <c:pt idx="28">
                  <c:v>0.48977569847507</c:v>
                </c:pt>
                <c:pt idx="29">
                  <c:v>0.460984253605399</c:v>
                </c:pt>
                <c:pt idx="30">
                  <c:v>0.20821869219381</c:v>
                </c:pt>
                <c:pt idx="31">
                  <c:v>0.327012640899776</c:v>
                </c:pt>
                <c:pt idx="32">
                  <c:v>0.536131881379575</c:v>
                </c:pt>
                <c:pt idx="33">
                  <c:v>0.548041100772309</c:v>
                </c:pt>
                <c:pt idx="34">
                  <c:v>0.245418407241805</c:v>
                </c:pt>
                <c:pt idx="35">
                  <c:v>0.312393809210251</c:v>
                </c:pt>
                <c:pt idx="36">
                  <c:v>0.283857209947527</c:v>
                </c:pt>
                <c:pt idx="37">
                  <c:v>0.446804660118292</c:v>
                </c:pt>
                <c:pt idx="38">
                  <c:v>0.459303838895195</c:v>
                </c:pt>
                <c:pt idx="39">
                  <c:v>#N/A</c:v>
                </c:pt>
                <c:pt idx="40">
                  <c:v>0.315684368819639</c:v>
                </c:pt>
                <c:pt idx="41">
                  <c:v>0.463169401359991</c:v>
                </c:pt>
                <c:pt idx="42">
                  <c:v>0.178076620343561</c:v>
                </c:pt>
                <c:pt idx="43">
                  <c:v>0.339591578870805</c:v>
                </c:pt>
                <c:pt idx="44">
                  <c:v>0.218109597738058</c:v>
                </c:pt>
                <c:pt idx="45">
                  <c:v>0.142879820542968</c:v>
                </c:pt>
                <c:pt idx="46">
                  <c:v>0.146642093709684</c:v>
                </c:pt>
                <c:pt idx="47">
                  <c:v>0.467400623970114</c:v>
                </c:pt>
                <c:pt idx="48">
                  <c:v>0.348646642285744</c:v>
                </c:pt>
                <c:pt idx="49">
                  <c:v>0.366067806307896</c:v>
                </c:pt>
                <c:pt idx="50">
                  <c:v>0.298884973526367</c:v>
                </c:pt>
                <c:pt idx="51">
                  <c:v>0.259423766738363</c:v>
                </c:pt>
                <c:pt idx="52">
                  <c:v>0.362745714645874</c:v>
                </c:pt>
                <c:pt idx="53">
                  <c:v>0.424270695123769</c:v>
                </c:pt>
                <c:pt idx="54">
                  <c:v>0.466938193935056</c:v>
                </c:pt>
                <c:pt idx="55">
                  <c:v>0.226345005053441</c:v>
                </c:pt>
                <c:pt idx="56">
                  <c:v>0.532159581833614</c:v>
                </c:pt>
                <c:pt idx="57">
                  <c:v>0.413157639160702</c:v>
                </c:pt>
                <c:pt idx="58">
                  <c:v>0.172032137179793</c:v>
                </c:pt>
                <c:pt idx="59">
                  <c:v>0.136998891094629</c:v>
                </c:pt>
                <c:pt idx="60">
                  <c:v>0.344877884111675</c:v>
                </c:pt>
                <c:pt idx="61">
                  <c:v>0.454834168844712</c:v>
                </c:pt>
                <c:pt idx="62">
                  <c:v>0.291407051838012</c:v>
                </c:pt>
                <c:pt idx="63">
                  <c:v>0.125905847895477</c:v>
                </c:pt>
                <c:pt idx="64">
                  <c:v>0.428182297757859</c:v>
                </c:pt>
                <c:pt idx="65">
                  <c:v>0.210101783111603</c:v>
                </c:pt>
                <c:pt idx="66">
                  <c:v>0.329797879816192</c:v>
                </c:pt>
                <c:pt idx="67">
                  <c:v>0.358297247528238</c:v>
                </c:pt>
                <c:pt idx="68">
                  <c:v>0.508122867204417</c:v>
                </c:pt>
                <c:pt idx="69">
                  <c:v>0.490731397719739</c:v>
                </c:pt>
                <c:pt idx="70">
                  <c:v>0.402439049857279</c:v>
                </c:pt>
                <c:pt idx="71">
                  <c:v>0.524751090634696</c:v>
                </c:pt>
                <c:pt idx="72">
                  <c:v>0.374566234445569</c:v>
                </c:pt>
                <c:pt idx="73">
                  <c:v>0.197166724079608</c:v>
                </c:pt>
                <c:pt idx="74">
                  <c:v>0.200844103977593</c:v>
                </c:pt>
                <c:pt idx="75">
                  <c:v>0.429128146735866</c:v>
                </c:pt>
                <c:pt idx="76">
                  <c:v>0.321878079718019</c:v>
                </c:pt>
                <c:pt idx="77">
                  <c:v>0.284476677881232</c:v>
                </c:pt>
                <c:pt idx="78">
                  <c:v>0.429336049199753</c:v>
                </c:pt>
                <c:pt idx="79">
                  <c:v>0.190091730448149</c:v>
                </c:pt>
                <c:pt idx="80">
                  <c:v>0.229776490796609</c:v>
                </c:pt>
                <c:pt idx="81">
                  <c:v>0.174730258001592</c:v>
                </c:pt>
                <c:pt idx="82">
                  <c:v>0.351710861518484</c:v>
                </c:pt>
                <c:pt idx="83">
                  <c:v>0.241383845233008</c:v>
                </c:pt>
                <c:pt idx="84">
                  <c:v>0.300872314378624</c:v>
                </c:pt>
                <c:pt idx="85">
                  <c:v>0.28133102720753</c:v>
                </c:pt>
                <c:pt idx="86">
                  <c:v>0.498273515365966</c:v>
                </c:pt>
                <c:pt idx="87">
                  <c:v>0.433354278275866</c:v>
                </c:pt>
                <c:pt idx="88">
                  <c:v>0.447671032419218</c:v>
                </c:pt>
                <c:pt idx="89">
                  <c:v>0.319153243309581</c:v>
                </c:pt>
                <c:pt idx="90">
                  <c:v>0.297299320644704</c:v>
                </c:pt>
                <c:pt idx="91">
                  <c:v>0.353321638695085</c:v>
                </c:pt>
                <c:pt idx="92">
                  <c:v>0.508892599361178</c:v>
                </c:pt>
                <c:pt idx="93">
                  <c:v>0.209197577397115</c:v>
                </c:pt>
                <c:pt idx="94">
                  <c:v>0.350965567286438</c:v>
                </c:pt>
                <c:pt idx="95">
                  <c:v>0.504293036291273</c:v>
                </c:pt>
                <c:pt idx="96">
                  <c:v>0.52564427148438</c:v>
                </c:pt>
                <c:pt idx="97">
                  <c:v>0.334598118604456</c:v>
                </c:pt>
                <c:pt idx="98">
                  <c:v>#N/A</c:v>
                </c:pt>
                <c:pt idx="99">
                  <c:v>0.219479593919363</c:v>
                </c:pt>
                <c:pt idx="100">
                  <c:v>0.122866322543022</c:v>
                </c:pt>
                <c:pt idx="101">
                  <c:v>0.536619352542357</c:v>
                </c:pt>
                <c:pt idx="102">
                  <c:v>0.50180908806843</c:v>
                </c:pt>
                <c:pt idx="103">
                  <c:v>0.251984231470128</c:v>
                </c:pt>
                <c:pt idx="104">
                  <c:v>0.406712782400444</c:v>
                </c:pt>
                <c:pt idx="105">
                  <c:v>0.530240926097751</c:v>
                </c:pt>
                <c:pt idx="106">
                  <c:v>0.214786904028215</c:v>
                </c:pt>
                <c:pt idx="107">
                  <c:v>0.492896043207632</c:v>
                </c:pt>
                <c:pt idx="108">
                  <c:v>0.478403120996447</c:v>
                </c:pt>
                <c:pt idx="109">
                  <c:v>0.289590228381159</c:v>
                </c:pt>
                <c:pt idx="110">
                  <c:v>0.279285066921292</c:v>
                </c:pt>
                <c:pt idx="111">
                  <c:v>0.505756513868598</c:v>
                </c:pt>
                <c:pt idx="112">
                  <c:v>0.345643146734734</c:v>
                </c:pt>
                <c:pt idx="113">
                  <c:v>0.244341703747456</c:v>
                </c:pt>
                <c:pt idx="114">
                  <c:v>0.279386417789288</c:v>
                </c:pt>
                <c:pt idx="115">
                  <c:v>0.380802552959577</c:v>
                </c:pt>
                <c:pt idx="116">
                  <c:v>#N/A</c:v>
                </c:pt>
                <c:pt idx="117">
                  <c:v>0.365438128145136</c:v>
                </c:pt>
                <c:pt idx="118">
                  <c:v>0.520386728648955</c:v>
                </c:pt>
                <c:pt idx="119">
                  <c:v>0.466864125732731</c:v>
                </c:pt>
                <c:pt idx="120">
                  <c:v>0.402922463284023</c:v>
                </c:pt>
                <c:pt idx="121">
                  <c:v>#N/A</c:v>
                </c:pt>
                <c:pt idx="122">
                  <c:v>0.490672234100383</c:v>
                </c:pt>
                <c:pt idx="123">
                  <c:v>0.199247840108655</c:v>
                </c:pt>
                <c:pt idx="124">
                  <c:v>0.210764490183906</c:v>
                </c:pt>
                <c:pt idx="125">
                  <c:v>0.35674232384585</c:v>
                </c:pt>
                <c:pt idx="126">
                  <c:v>0.513457063355657</c:v>
                </c:pt>
                <c:pt idx="127">
                  <c:v>0.473261399475104</c:v>
                </c:pt>
                <c:pt idx="128">
                  <c:v>0.138619508760163</c:v>
                </c:pt>
                <c:pt idx="129">
                  <c:v>0.275873840602291</c:v>
                </c:pt>
                <c:pt idx="130">
                  <c:v>0.412850661975465</c:v>
                </c:pt>
                <c:pt idx="131">
                  <c:v>0.484240023304343</c:v>
                </c:pt>
                <c:pt idx="132">
                  <c:v>0.315866741269067</c:v>
                </c:pt>
                <c:pt idx="133">
                  <c:v>0.463954355416733</c:v>
                </c:pt>
                <c:pt idx="134">
                  <c:v>0.314357109261093</c:v>
                </c:pt>
                <c:pt idx="135">
                  <c:v>0.35608867634401</c:v>
                </c:pt>
                <c:pt idx="136">
                  <c:v>0.349343201257184</c:v>
                </c:pt>
                <c:pt idx="137">
                  <c:v>0.143181909283905</c:v>
                </c:pt>
                <c:pt idx="138">
                  <c:v>0.248210117172928</c:v>
                </c:pt>
                <c:pt idx="139">
                  <c:v>0.290330488289359</c:v>
                </c:pt>
                <c:pt idx="140">
                  <c:v>#N/A</c:v>
                </c:pt>
                <c:pt idx="141">
                  <c:v>0.245134067179406</c:v>
                </c:pt>
                <c:pt idx="142">
                  <c:v>0.536407415550127</c:v>
                </c:pt>
                <c:pt idx="143">
                  <c:v>0.350024237842063</c:v>
                </c:pt>
                <c:pt idx="144">
                  <c:v>0.314642678030743</c:v>
                </c:pt>
                <c:pt idx="145">
                  <c:v>0.337964264815208</c:v>
                </c:pt>
                <c:pt idx="146">
                  <c:v>0.466826354910159</c:v>
                </c:pt>
                <c:pt idx="147">
                  <c:v>0.216044952695465</c:v>
                </c:pt>
                <c:pt idx="148">
                  <c:v>0.484858721692516</c:v>
                </c:pt>
                <c:pt idx="149">
                  <c:v>0.292586087985633</c:v>
                </c:pt>
                <c:pt idx="150">
                  <c:v>0.435473299449792</c:v>
                </c:pt>
                <c:pt idx="151">
                  <c:v>0.291493062112124</c:v>
                </c:pt>
                <c:pt idx="152">
                  <c:v>0.317263013887414</c:v>
                </c:pt>
                <c:pt idx="153">
                  <c:v>0.563024805457293</c:v>
                </c:pt>
                <c:pt idx="154">
                  <c:v>0.31965922623295</c:v>
                </c:pt>
                <c:pt idx="155">
                  <c:v>0.186725926492926</c:v>
                </c:pt>
                <c:pt idx="156">
                  <c:v>0.178902084351855</c:v>
                </c:pt>
                <c:pt idx="157">
                  <c:v>0.51498779679174</c:v>
                </c:pt>
                <c:pt idx="158">
                  <c:v>0.563941968585651</c:v>
                </c:pt>
                <c:pt idx="159">
                  <c:v>0.348218526599612</c:v>
                </c:pt>
                <c:pt idx="160">
                  <c:v>0.206980467123057</c:v>
                </c:pt>
                <c:pt idx="161">
                  <c:v>0.283857526108555</c:v>
                </c:pt>
                <c:pt idx="162">
                  <c:v>0.495604436808923</c:v>
                </c:pt>
                <c:pt idx="163">
                  <c:v>0.304882268266453</c:v>
                </c:pt>
                <c:pt idx="164">
                  <c:v>0.420131154406889</c:v>
                </c:pt>
                <c:pt idx="165">
                  <c:v>0.166202417603643</c:v>
                </c:pt>
                <c:pt idx="166">
                  <c:v>0.13430052428917</c:v>
                </c:pt>
                <c:pt idx="167">
                  <c:v>0.326048303166136</c:v>
                </c:pt>
                <c:pt idx="168">
                  <c:v>0.398179045235042</c:v>
                </c:pt>
                <c:pt idx="169">
                  <c:v>0.523049388476404</c:v>
                </c:pt>
                <c:pt idx="170">
                  <c:v>0.293027654959356</c:v>
                </c:pt>
                <c:pt idx="171">
                  <c:v>#N/A</c:v>
                </c:pt>
                <c:pt idx="172">
                  <c:v>0.527712898934915</c:v>
                </c:pt>
                <c:pt idx="173">
                  <c:v>0.410845540631128</c:v>
                </c:pt>
                <c:pt idx="174">
                  <c:v>0.300173250751358</c:v>
                </c:pt>
                <c:pt idx="175">
                  <c:v>0.301646913016381</c:v>
                </c:pt>
                <c:pt idx="176">
                  <c:v>0.284035252166281</c:v>
                </c:pt>
                <c:pt idx="177">
                  <c:v>0.297493160136752</c:v>
                </c:pt>
                <c:pt idx="178">
                  <c:v>#N/A</c:v>
                </c:pt>
                <c:pt idx="179">
                  <c:v>0.516020310185566</c:v>
                </c:pt>
                <c:pt idx="180">
                  <c:v>0.256454460954322</c:v>
                </c:pt>
                <c:pt idx="181">
                  <c:v>0.27154837772391</c:v>
                </c:pt>
                <c:pt idx="182">
                  <c:v>0.156772815255498</c:v>
                </c:pt>
                <c:pt idx="183">
                  <c:v>0.191808174457112</c:v>
                </c:pt>
                <c:pt idx="184">
                  <c:v>0.224753690916247</c:v>
                </c:pt>
                <c:pt idx="185">
                  <c:v>0.319002755681809</c:v>
                </c:pt>
                <c:pt idx="186">
                  <c:v>0.433694297650818</c:v>
                </c:pt>
                <c:pt idx="187">
                  <c:v>0.256487899423648</c:v>
                </c:pt>
                <c:pt idx="188">
                  <c:v>0.366152543843359</c:v>
                </c:pt>
                <c:pt idx="189">
                  <c:v>0.510692053829764</c:v>
                </c:pt>
                <c:pt idx="190">
                  <c:v>0.509108122896542</c:v>
                </c:pt>
                <c:pt idx="191">
                  <c:v>0.486320080975955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573560"/>
        <c:axId val="2143578984"/>
      </c:scatterChart>
      <c:valAx>
        <c:axId val="2143573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2011 Vuln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2143578984"/>
        <c:crosses val="autoZero"/>
        <c:crossBetween val="midCat"/>
      </c:valAx>
      <c:valAx>
        <c:axId val="2143578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2012 Vuln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2143573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xVal>
            <c:numRef>
              <c:f>Shout!$CA$3:$CA$153</c:f>
              <c:numCache>
                <c:formatCode>General</c:formatCode>
                <c:ptCount val="151"/>
                <c:pt idx="0">
                  <c:v>0.60678818374602</c:v>
                </c:pt>
                <c:pt idx="1">
                  <c:v>0.33432753286334</c:v>
                </c:pt>
                <c:pt idx="2">
                  <c:v>0.307263952068541</c:v>
                </c:pt>
                <c:pt idx="3">
                  <c:v>0.53224087750075</c:v>
                </c:pt>
                <c:pt idx="4">
                  <c:v>0.350745031759386</c:v>
                </c:pt>
                <c:pt idx="5">
                  <c:v>0.230718167934767</c:v>
                </c:pt>
                <c:pt idx="6">
                  <c:v>0.280534672387852</c:v>
                </c:pt>
                <c:pt idx="7">
                  <c:v>0.284890065765319</c:v>
                </c:pt>
                <c:pt idx="8">
                  <c:v>0.329176430341386</c:v>
                </c:pt>
                <c:pt idx="9">
                  <c:v>0.312452857918582</c:v>
                </c:pt>
                <c:pt idx="10">
                  <c:v>0.501627570862552</c:v>
                </c:pt>
                <c:pt idx="11">
                  <c:v>0.352051078728743</c:v>
                </c:pt>
                <c:pt idx="12">
                  <c:v>0.207789171493867</c:v>
                </c:pt>
                <c:pt idx="13">
                  <c:v>0.463856556445124</c:v>
                </c:pt>
                <c:pt idx="14">
                  <c:v>0.42436500528127</c:v>
                </c:pt>
                <c:pt idx="15">
                  <c:v>0.354097166788878</c:v>
                </c:pt>
                <c:pt idx="16">
                  <c:v>0.239031761939758</c:v>
                </c:pt>
                <c:pt idx="17">
                  <c:v>0.378758544097012</c:v>
                </c:pt>
                <c:pt idx="18">
                  <c:v>0.265379663261547</c:v>
                </c:pt>
                <c:pt idx="19">
                  <c:v>0.217294520651567</c:v>
                </c:pt>
                <c:pt idx="20">
                  <c:v>0.2022453598231</c:v>
                </c:pt>
                <c:pt idx="21">
                  <c:v>0.494804930299492</c:v>
                </c:pt>
                <c:pt idx="22">
                  <c:v>0.613307297492735</c:v>
                </c:pt>
                <c:pt idx="23">
                  <c:v>0.48992184753756</c:v>
                </c:pt>
                <c:pt idx="24">
                  <c:v>0.455340977469799</c:v>
                </c:pt>
                <c:pt idx="25">
                  <c:v>0.326396578777993</c:v>
                </c:pt>
                <c:pt idx="26">
                  <c:v>0.536131881379575</c:v>
                </c:pt>
                <c:pt idx="27">
                  <c:v>0.546486843830178</c:v>
                </c:pt>
                <c:pt idx="28">
                  <c:v>0.2422916562029</c:v>
                </c:pt>
                <c:pt idx="29">
                  <c:v>0.308438096450247</c:v>
                </c:pt>
                <c:pt idx="30">
                  <c:v>0.281236394661361</c:v>
                </c:pt>
                <c:pt idx="31">
                  <c:v>0.443429579003898</c:v>
                </c:pt>
                <c:pt idx="32">
                  <c:v>0.457921945594765</c:v>
                </c:pt>
                <c:pt idx="33">
                  <c:v>0.312671061034413</c:v>
                </c:pt>
                <c:pt idx="34">
                  <c:v>0.453815801507792</c:v>
                </c:pt>
                <c:pt idx="35">
                  <c:v>0.177740377241413</c:v>
                </c:pt>
                <c:pt idx="36">
                  <c:v>0.339407449170888</c:v>
                </c:pt>
                <c:pt idx="37">
                  <c:v>0.218109597738058</c:v>
                </c:pt>
                <c:pt idx="38">
                  <c:v>0.142622581782238</c:v>
                </c:pt>
                <c:pt idx="39">
                  <c:v>0.467400623970114</c:v>
                </c:pt>
                <c:pt idx="40">
                  <c:v>0.364708010059352</c:v>
                </c:pt>
                <c:pt idx="41">
                  <c:v>0.289356957109168</c:v>
                </c:pt>
                <c:pt idx="42">
                  <c:v>0.256556781139738</c:v>
                </c:pt>
                <c:pt idx="43">
                  <c:v>0.36087565278648</c:v>
                </c:pt>
                <c:pt idx="44">
                  <c:v>0.424270695123769</c:v>
                </c:pt>
                <c:pt idx="45">
                  <c:v>0.466997368339925</c:v>
                </c:pt>
                <c:pt idx="46">
                  <c:v>0.228557207016917</c:v>
                </c:pt>
                <c:pt idx="47">
                  <c:v>0.524763431098666</c:v>
                </c:pt>
                <c:pt idx="48">
                  <c:v>0.405902474940499</c:v>
                </c:pt>
                <c:pt idx="49">
                  <c:v>0.342046262737681</c:v>
                </c:pt>
                <c:pt idx="50">
                  <c:v>0.4558557556671</c:v>
                </c:pt>
                <c:pt idx="51">
                  <c:v>0.289596992918191</c:v>
                </c:pt>
                <c:pt idx="52">
                  <c:v>0.422133638472258</c:v>
                </c:pt>
                <c:pt idx="53">
                  <c:v>0.329056216311633</c:v>
                </c:pt>
                <c:pt idx="54">
                  <c:v>0.350990827812002</c:v>
                </c:pt>
                <c:pt idx="55">
                  <c:v>0.502189035043389</c:v>
                </c:pt>
                <c:pt idx="56">
                  <c:v>0.490893591064337</c:v>
                </c:pt>
                <c:pt idx="57">
                  <c:v>0.402439049857279</c:v>
                </c:pt>
                <c:pt idx="58">
                  <c:v>0.52227492613595</c:v>
                </c:pt>
                <c:pt idx="59">
                  <c:v>0.373701061350096</c:v>
                </c:pt>
                <c:pt idx="60">
                  <c:v>0.195991655711151</c:v>
                </c:pt>
                <c:pt idx="61">
                  <c:v>0.424175322390335</c:v>
                </c:pt>
                <c:pt idx="62">
                  <c:v>0.31784267185556</c:v>
                </c:pt>
                <c:pt idx="63">
                  <c:v>0.28219460049846</c:v>
                </c:pt>
                <c:pt idx="64">
                  <c:v>0.429099058317926</c:v>
                </c:pt>
                <c:pt idx="65">
                  <c:v>0.229712122740742</c:v>
                </c:pt>
                <c:pt idx="66">
                  <c:v>0.350241404120455</c:v>
                </c:pt>
                <c:pt idx="67">
                  <c:v>0.299243433320878</c:v>
                </c:pt>
                <c:pt idx="68">
                  <c:v>0.280414366592935</c:v>
                </c:pt>
                <c:pt idx="69">
                  <c:v>0.492755909069731</c:v>
                </c:pt>
                <c:pt idx="70">
                  <c:v>0.320037764125335</c:v>
                </c:pt>
                <c:pt idx="71">
                  <c:v>0.296667610323665</c:v>
                </c:pt>
                <c:pt idx="72">
                  <c:v>0.347019715492074</c:v>
                </c:pt>
                <c:pt idx="73">
                  <c:v>0.508920553139766</c:v>
                </c:pt>
                <c:pt idx="74">
                  <c:v>0.211569505310443</c:v>
                </c:pt>
                <c:pt idx="75">
                  <c:v>0.350777177126952</c:v>
                </c:pt>
                <c:pt idx="76">
                  <c:v>0.503908659794261</c:v>
                </c:pt>
                <c:pt idx="77">
                  <c:v>0.527070873957344</c:v>
                </c:pt>
                <c:pt idx="78">
                  <c:v>0.334541342588608</c:v>
                </c:pt>
                <c:pt idx="79">
                  <c:v>0.219042825482169</c:v>
                </c:pt>
                <c:pt idx="80">
                  <c:v>0.537983483023216</c:v>
                </c:pt>
                <c:pt idx="81">
                  <c:v>0.494092214050101</c:v>
                </c:pt>
                <c:pt idx="82">
                  <c:v>0.25038040031506</c:v>
                </c:pt>
                <c:pt idx="83">
                  <c:v>0.405678300863478</c:v>
                </c:pt>
                <c:pt idx="84">
                  <c:v>0.523798462111793</c:v>
                </c:pt>
                <c:pt idx="85">
                  <c:v>0.21432566020855</c:v>
                </c:pt>
                <c:pt idx="86">
                  <c:v>0.471667003660472</c:v>
                </c:pt>
                <c:pt idx="87">
                  <c:v>0.28605435650888</c:v>
                </c:pt>
                <c:pt idx="88">
                  <c:v>0.278695800742818</c:v>
                </c:pt>
                <c:pt idx="89">
                  <c:v>0.505756513868598</c:v>
                </c:pt>
                <c:pt idx="90">
                  <c:v>0.340196361810049</c:v>
                </c:pt>
                <c:pt idx="91">
                  <c:v>0.278973704248696</c:v>
                </c:pt>
                <c:pt idx="92">
                  <c:v>0.373676863839707</c:v>
                </c:pt>
                <c:pt idx="93">
                  <c:v>0.363828737498222</c:v>
                </c:pt>
                <c:pt idx="94">
                  <c:v>0.516793931765718</c:v>
                </c:pt>
                <c:pt idx="95">
                  <c:v>0.401071740184029</c:v>
                </c:pt>
                <c:pt idx="96">
                  <c:v>0.487307061302836</c:v>
                </c:pt>
                <c:pt idx="97">
                  <c:v>0.349913582243398</c:v>
                </c:pt>
                <c:pt idx="98">
                  <c:v>0.506671010421041</c:v>
                </c:pt>
                <c:pt idx="99">
                  <c:v>0.468963560844623</c:v>
                </c:pt>
                <c:pt idx="100">
                  <c:v>0.273352172339055</c:v>
                </c:pt>
                <c:pt idx="101">
                  <c:v>0.407493992916573</c:v>
                </c:pt>
                <c:pt idx="102">
                  <c:v>0.311710709555754</c:v>
                </c:pt>
                <c:pt idx="103">
                  <c:v>0.462911108277631</c:v>
                </c:pt>
                <c:pt idx="104">
                  <c:v>0.314357109261093</c:v>
                </c:pt>
                <c:pt idx="105">
                  <c:v>0.352309272623611</c:v>
                </c:pt>
                <c:pt idx="106">
                  <c:v>0.345590795630436</c:v>
                </c:pt>
                <c:pt idx="107">
                  <c:v>0.142147204394685</c:v>
                </c:pt>
                <c:pt idx="108">
                  <c:v>0.287329077024142</c:v>
                </c:pt>
                <c:pt idx="109">
                  <c:v>0.245030112371469</c:v>
                </c:pt>
                <c:pt idx="110">
                  <c:v>0.537172089249216</c:v>
                </c:pt>
                <c:pt idx="111">
                  <c:v>0.349100814987413</c:v>
                </c:pt>
                <c:pt idx="112">
                  <c:v>0.314635232439811</c:v>
                </c:pt>
                <c:pt idx="113">
                  <c:v>0.336534512490506</c:v>
                </c:pt>
                <c:pt idx="114">
                  <c:v>0.466826354910159</c:v>
                </c:pt>
                <c:pt idx="115">
                  <c:v>0.484858721692516</c:v>
                </c:pt>
                <c:pt idx="116">
                  <c:v>0.290724987423363</c:v>
                </c:pt>
                <c:pt idx="117">
                  <c:v>0.432300777507238</c:v>
                </c:pt>
                <c:pt idx="118">
                  <c:v>0.291686948540856</c:v>
                </c:pt>
                <c:pt idx="119">
                  <c:v>0.556722416074713</c:v>
                </c:pt>
                <c:pt idx="120">
                  <c:v>0.318930495895948</c:v>
                </c:pt>
                <c:pt idx="121">
                  <c:v>0.184686348694127</c:v>
                </c:pt>
                <c:pt idx="122">
                  <c:v>0.178458256290629</c:v>
                </c:pt>
                <c:pt idx="123">
                  <c:v>0.51498779679174</c:v>
                </c:pt>
                <c:pt idx="124">
                  <c:v>0.563658530705454</c:v>
                </c:pt>
                <c:pt idx="125">
                  <c:v>0.347564165786876</c:v>
                </c:pt>
                <c:pt idx="126">
                  <c:v>0.281681414025032</c:v>
                </c:pt>
                <c:pt idx="127">
                  <c:v>0.492244276630923</c:v>
                </c:pt>
                <c:pt idx="128">
                  <c:v>0.304882268266453</c:v>
                </c:pt>
                <c:pt idx="129">
                  <c:v>0.413647520680121</c:v>
                </c:pt>
                <c:pt idx="130">
                  <c:v>0.322096046106612</c:v>
                </c:pt>
                <c:pt idx="131">
                  <c:v>0.392471383536585</c:v>
                </c:pt>
                <c:pt idx="132">
                  <c:v>0.523022291007429</c:v>
                </c:pt>
                <c:pt idx="133">
                  <c:v>0.288630044640912</c:v>
                </c:pt>
                <c:pt idx="134">
                  <c:v>0.524100352424967</c:v>
                </c:pt>
                <c:pt idx="135">
                  <c:v>0.410845540631128</c:v>
                </c:pt>
                <c:pt idx="136">
                  <c:v>0.308620778051067</c:v>
                </c:pt>
                <c:pt idx="137">
                  <c:v>0.300302853557103</c:v>
                </c:pt>
                <c:pt idx="138">
                  <c:v>0.283209298076856</c:v>
                </c:pt>
                <c:pt idx="139">
                  <c:v>0.296765892272576</c:v>
                </c:pt>
                <c:pt idx="140">
                  <c:v>0.515819714522811</c:v>
                </c:pt>
                <c:pt idx="141">
                  <c:v>0.252777990297426</c:v>
                </c:pt>
                <c:pt idx="142">
                  <c:v>0.271074103084657</c:v>
                </c:pt>
                <c:pt idx="143">
                  <c:v>0.222629000228512</c:v>
                </c:pt>
                <c:pt idx="144">
                  <c:v>0.314669095285066</c:v>
                </c:pt>
                <c:pt idx="145">
                  <c:v>0.427013571905421</c:v>
                </c:pt>
                <c:pt idx="146">
                  <c:v>0.254321161956869</c:v>
                </c:pt>
                <c:pt idx="147">
                  <c:v>0.360298327869526</c:v>
                </c:pt>
                <c:pt idx="148">
                  <c:v>0.510811684836</c:v>
                </c:pt>
                <c:pt idx="149">
                  <c:v>0.505318808495336</c:v>
                </c:pt>
                <c:pt idx="150">
                  <c:v>0.479315955178603</c:v>
                </c:pt>
              </c:numCache>
            </c:numRef>
          </c:xVal>
          <c:yVal>
            <c:numRef>
              <c:f>Shout!$BZ$3:$BZ$153</c:f>
              <c:numCache>
                <c:formatCode>General</c:formatCode>
                <c:ptCount val="151"/>
                <c:pt idx="0">
                  <c:v>36.16098869942571</c:v>
                </c:pt>
                <c:pt idx="1">
                  <c:v>3.036967497142857</c:v>
                </c:pt>
                <c:pt idx="2">
                  <c:v>0.200300356580567</c:v>
                </c:pt>
                <c:pt idx="3">
                  <c:v>0.283787621712223</c:v>
                </c:pt>
                <c:pt idx="4">
                  <c:v>0.490372264657631</c:v>
                </c:pt>
                <c:pt idx="5">
                  <c:v>0.0346426653409964</c:v>
                </c:pt>
                <c:pt idx="6">
                  <c:v>5.630023070918415</c:v>
                </c:pt>
                <c:pt idx="7">
                  <c:v>0.448717513295346</c:v>
                </c:pt>
                <c:pt idx="8">
                  <c:v>0.0630140620854338</c:v>
                </c:pt>
                <c:pt idx="9">
                  <c:v>0.278855445529211</c:v>
                </c:pt>
                <c:pt idx="10">
                  <c:v>1.222575132384671</c:v>
                </c:pt>
                <c:pt idx="11">
                  <c:v>0.297116437522813</c:v>
                </c:pt>
                <c:pt idx="12">
                  <c:v>0.17920744601862</c:v>
                </c:pt>
                <c:pt idx="13">
                  <c:v>10.29555631529283</c:v>
                </c:pt>
                <c:pt idx="14">
                  <c:v>8.27266031244108</c:v>
                </c:pt>
                <c:pt idx="15">
                  <c:v>3.693843108350182</c:v>
                </c:pt>
                <c:pt idx="16">
                  <c:v>2.504239440910839</c:v>
                </c:pt>
                <c:pt idx="17">
                  <c:v>1.881906297052086</c:v>
                </c:pt>
                <c:pt idx="18">
                  <c:v>0.0162106275871001</c:v>
                </c:pt>
                <c:pt idx="19">
                  <c:v>0.00717451349654739</c:v>
                </c:pt>
                <c:pt idx="20">
                  <c:v>1.334521227326239</c:v>
                </c:pt>
                <c:pt idx="21">
                  <c:v>12.28833988226617</c:v>
                </c:pt>
                <c:pt idx="22">
                  <c:v>34.93724343183844</c:v>
                </c:pt>
                <c:pt idx="23">
                  <c:v>6.424772181570034</c:v>
                </c:pt>
                <c:pt idx="24">
                  <c:v>2.899900198629519</c:v>
                </c:pt>
                <c:pt idx="25">
                  <c:v>11.88891931765243</c:v>
                </c:pt>
                <c:pt idx="26">
                  <c:v>12.03220081945837</c:v>
                </c:pt>
                <c:pt idx="27">
                  <c:v>7.396602200904736</c:v>
                </c:pt>
                <c:pt idx="28">
                  <c:v>0.0374446287370842</c:v>
                </c:pt>
                <c:pt idx="29">
                  <c:v>0.0190943830663855</c:v>
                </c:pt>
                <c:pt idx="30">
                  <c:v>0.367887060614205</c:v>
                </c:pt>
                <c:pt idx="31">
                  <c:v>9.36430103236399</c:v>
                </c:pt>
                <c:pt idx="32">
                  <c:v>2.378290675852543</c:v>
                </c:pt>
                <c:pt idx="33">
                  <c:v>0.305067075439223</c:v>
                </c:pt>
                <c:pt idx="34">
                  <c:v>10.39943295207493</c:v>
                </c:pt>
                <c:pt idx="35">
                  <c:v>0.278364536624778</c:v>
                </c:pt>
                <c:pt idx="36">
                  <c:v>0.185695512943188</c:v>
                </c:pt>
                <c:pt idx="37">
                  <c:v>0.258770684225594</c:v>
                </c:pt>
                <c:pt idx="38">
                  <c:v>0.145314248755736</c:v>
                </c:pt>
                <c:pt idx="39">
                  <c:v>15.45868330660431</c:v>
                </c:pt>
                <c:pt idx="40">
                  <c:v>0.231482298696875</c:v>
                </c:pt>
                <c:pt idx="41">
                  <c:v>0.359825421026099</c:v>
                </c:pt>
                <c:pt idx="42">
                  <c:v>0.422628675410244</c:v>
                </c:pt>
                <c:pt idx="43">
                  <c:v>1.304237156311426</c:v>
                </c:pt>
                <c:pt idx="44">
                  <c:v>0.225252473656139</c:v>
                </c:pt>
                <c:pt idx="45">
                  <c:v>6.838424375556853</c:v>
                </c:pt>
                <c:pt idx="46">
                  <c:v>0.704756494336463</c:v>
                </c:pt>
                <c:pt idx="47">
                  <c:v>12.85449008294264</c:v>
                </c:pt>
                <c:pt idx="48">
                  <c:v>2.229959186131139</c:v>
                </c:pt>
                <c:pt idx="49">
                  <c:v>0.596091686228942</c:v>
                </c:pt>
                <c:pt idx="50">
                  <c:v>15.87429615166593</c:v>
                </c:pt>
                <c:pt idx="51">
                  <c:v>7.781611776077399</c:v>
                </c:pt>
                <c:pt idx="52">
                  <c:v>5.055853492095171</c:v>
                </c:pt>
                <c:pt idx="53">
                  <c:v>6.22679597052174</c:v>
                </c:pt>
                <c:pt idx="54">
                  <c:v>0.913408415029356</c:v>
                </c:pt>
                <c:pt idx="55">
                  <c:v>4.763900207749335</c:v>
                </c:pt>
                <c:pt idx="56">
                  <c:v>16.71338073427792</c:v>
                </c:pt>
                <c:pt idx="57">
                  <c:v>7.79469884418358</c:v>
                </c:pt>
                <c:pt idx="58">
                  <c:v>16.69931871025728</c:v>
                </c:pt>
                <c:pt idx="59">
                  <c:v>2.968120228882534</c:v>
                </c:pt>
                <c:pt idx="60">
                  <c:v>0.234856691399794</c:v>
                </c:pt>
                <c:pt idx="61">
                  <c:v>0.144874872570081</c:v>
                </c:pt>
                <c:pt idx="62">
                  <c:v>0.148273693429378</c:v>
                </c:pt>
                <c:pt idx="63">
                  <c:v>0.0280017544547384</c:v>
                </c:pt>
                <c:pt idx="64">
                  <c:v>3.398002885392512</c:v>
                </c:pt>
                <c:pt idx="65">
                  <c:v>0.22033038725977</c:v>
                </c:pt>
                <c:pt idx="66">
                  <c:v>1.049955706601467</c:v>
                </c:pt>
                <c:pt idx="67">
                  <c:v>2.758260674292916</c:v>
                </c:pt>
                <c:pt idx="68">
                  <c:v>0.199827032749212</c:v>
                </c:pt>
                <c:pt idx="69">
                  <c:v>5.662105717219491</c:v>
                </c:pt>
                <c:pt idx="70">
                  <c:v>-0.00680839296680074</c:v>
                </c:pt>
                <c:pt idx="71">
                  <c:v>0.00237523619047619</c:v>
                </c:pt>
                <c:pt idx="72">
                  <c:v>6.817130929118746</c:v>
                </c:pt>
                <c:pt idx="73">
                  <c:v>5.756019726489827</c:v>
                </c:pt>
                <c:pt idx="74">
                  <c:v>0.686056610684649</c:v>
                </c:pt>
                <c:pt idx="75">
                  <c:v>1.643276241666282</c:v>
                </c:pt>
                <c:pt idx="76">
                  <c:v>5.769765821163207</c:v>
                </c:pt>
                <c:pt idx="77">
                  <c:v>52.01979019888578</c:v>
                </c:pt>
                <c:pt idx="78">
                  <c:v>0.063100895140665</c:v>
                </c:pt>
                <c:pt idx="79">
                  <c:v>0.687427310292364</c:v>
                </c:pt>
                <c:pt idx="80">
                  <c:v>5.106447749032948</c:v>
                </c:pt>
                <c:pt idx="81">
                  <c:v>15.1265220571709</c:v>
                </c:pt>
                <c:pt idx="82">
                  <c:v>0.0603708421714328</c:v>
                </c:pt>
                <c:pt idx="83">
                  <c:v>1.742765562892219</c:v>
                </c:pt>
                <c:pt idx="84">
                  <c:v>10.64813122435618</c:v>
                </c:pt>
                <c:pt idx="85">
                  <c:v>0.0760693085191721</c:v>
                </c:pt>
                <c:pt idx="86">
                  <c:v>7.884119615257953</c:v>
                </c:pt>
                <c:pt idx="87">
                  <c:v>1.598872744282484</c:v>
                </c:pt>
                <c:pt idx="88">
                  <c:v>0.0179251251386801</c:v>
                </c:pt>
                <c:pt idx="89">
                  <c:v>40.67554788581892</c:v>
                </c:pt>
                <c:pt idx="90">
                  <c:v>4.218946443235118</c:v>
                </c:pt>
                <c:pt idx="91">
                  <c:v>2.104912718957571</c:v>
                </c:pt>
                <c:pt idx="92">
                  <c:v>6.002557526789493</c:v>
                </c:pt>
                <c:pt idx="93">
                  <c:v>1.003903303929599</c:v>
                </c:pt>
                <c:pt idx="94">
                  <c:v>21.00178422417432</c:v>
                </c:pt>
                <c:pt idx="95">
                  <c:v>2.680370610220092</c:v>
                </c:pt>
                <c:pt idx="96">
                  <c:v>6.633542876748515</c:v>
                </c:pt>
                <c:pt idx="97">
                  <c:v>11.815118947185</c:v>
                </c:pt>
                <c:pt idx="98">
                  <c:v>8.47045858270868</c:v>
                </c:pt>
                <c:pt idx="99">
                  <c:v>0.856689632109689</c:v>
                </c:pt>
                <c:pt idx="100">
                  <c:v>0.452331600127355</c:v>
                </c:pt>
                <c:pt idx="101">
                  <c:v>1.572124591832767</c:v>
                </c:pt>
                <c:pt idx="102">
                  <c:v>0.245533946498215</c:v>
                </c:pt>
                <c:pt idx="103">
                  <c:v>4.363691004491483</c:v>
                </c:pt>
                <c:pt idx="104">
                  <c:v>0.808752536171694</c:v>
                </c:pt>
                <c:pt idx="105">
                  <c:v>0.281382711605094</c:v>
                </c:pt>
                <c:pt idx="106">
                  <c:v>0.15533386358938</c:v>
                </c:pt>
                <c:pt idx="107">
                  <c:v>0.32423090700471</c:v>
                </c:pt>
                <c:pt idx="108">
                  <c:v>0.00221740351776983</c:v>
                </c:pt>
                <c:pt idx="109">
                  <c:v>0.0899461162153492</c:v>
                </c:pt>
                <c:pt idx="110">
                  <c:v>16.60332669530799</c:v>
                </c:pt>
                <c:pt idx="111">
                  <c:v>0.843944788690913</c:v>
                </c:pt>
                <c:pt idx="112">
                  <c:v>3.42876028767925</c:v>
                </c:pt>
                <c:pt idx="113">
                  <c:v>4.418422284371596</c:v>
                </c:pt>
                <c:pt idx="114">
                  <c:v>13.50108656284334</c:v>
                </c:pt>
                <c:pt idx="115">
                  <c:v>15.60415072809518</c:v>
                </c:pt>
                <c:pt idx="116">
                  <c:v>-0.0301702824175244</c:v>
                </c:pt>
                <c:pt idx="117">
                  <c:v>7.85524258136762</c:v>
                </c:pt>
                <c:pt idx="118">
                  <c:v>1.583624921984866</c:v>
                </c:pt>
                <c:pt idx="119">
                  <c:v>23.63603380192702</c:v>
                </c:pt>
                <c:pt idx="120">
                  <c:v>0.00437812811279924</c:v>
                </c:pt>
                <c:pt idx="121">
                  <c:v>0.269273656608993</c:v>
                </c:pt>
                <c:pt idx="122">
                  <c:v>0.133068055431064</c:v>
                </c:pt>
                <c:pt idx="123">
                  <c:v>30.34221460240517</c:v>
                </c:pt>
                <c:pt idx="124">
                  <c:v>72.1502803295499</c:v>
                </c:pt>
                <c:pt idx="125">
                  <c:v>0.295575602004936</c:v>
                </c:pt>
                <c:pt idx="126">
                  <c:v>1.420232346557793</c:v>
                </c:pt>
                <c:pt idx="127">
                  <c:v>3.689033943065751</c:v>
                </c:pt>
                <c:pt idx="128">
                  <c:v>4.83150756302521</c:v>
                </c:pt>
                <c:pt idx="129">
                  <c:v>1.551875332558924</c:v>
                </c:pt>
                <c:pt idx="130">
                  <c:v>0.41363021223905</c:v>
                </c:pt>
                <c:pt idx="131">
                  <c:v>7.24929447480267</c:v>
                </c:pt>
                <c:pt idx="132">
                  <c:v>12.72620223040323</c:v>
                </c:pt>
                <c:pt idx="133">
                  <c:v>-0.0240454148903441</c:v>
                </c:pt>
                <c:pt idx="134">
                  <c:v>15.82450237850892</c:v>
                </c:pt>
                <c:pt idx="135">
                  <c:v>11.34267919971734</c:v>
                </c:pt>
                <c:pt idx="136">
                  <c:v>0.0334887694484606</c:v>
                </c:pt>
                <c:pt idx="137">
                  <c:v>1.069859908930549</c:v>
                </c:pt>
                <c:pt idx="138">
                  <c:v>0.185488276241905</c:v>
                </c:pt>
                <c:pt idx="139">
                  <c:v>0.199393003754254</c:v>
                </c:pt>
                <c:pt idx="140">
                  <c:v>10.4985279586655</c:v>
                </c:pt>
                <c:pt idx="141">
                  <c:v>0.484298806786363</c:v>
                </c:pt>
                <c:pt idx="142">
                  <c:v>0.00180078193470339</c:v>
                </c:pt>
                <c:pt idx="143">
                  <c:v>0.125692313775085</c:v>
                </c:pt>
                <c:pt idx="144">
                  <c:v>0.488178971461798</c:v>
                </c:pt>
                <c:pt idx="145">
                  <c:v>14.78490147324542</c:v>
                </c:pt>
                <c:pt idx="146">
                  <c:v>0.0170500006770311</c:v>
                </c:pt>
                <c:pt idx="147">
                  <c:v>3.518172501010482</c:v>
                </c:pt>
                <c:pt idx="148">
                  <c:v>1.895266545103086</c:v>
                </c:pt>
                <c:pt idx="149">
                  <c:v>7.834874251051094</c:v>
                </c:pt>
                <c:pt idx="150">
                  <c:v>9.857639818035858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1577384"/>
        <c:axId val="2147032424"/>
      </c:scatterChart>
      <c:valAx>
        <c:axId val="-2101577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200" b="1"/>
                </a:pPr>
                <a:r>
                  <a:rPr lang="en-US"/>
                  <a:t>Estim 2012 GAIN Vuln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7032424"/>
        <c:crosses val="autoZero"/>
        <c:crossBetween val="midCat"/>
      </c:valAx>
      <c:valAx>
        <c:axId val="2147032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 sz="1200" b="1"/>
                </a:pPr>
                <a:r>
                  <a:rPr lang="en-US"/>
                  <a:t>Net Official Aid % GDP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01577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2</xdr:row>
      <xdr:rowOff>44450</xdr:rowOff>
    </xdr:from>
    <xdr:to>
      <xdr:col>20</xdr:col>
      <xdr:colOff>279400</xdr:colOff>
      <xdr:row>28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9</xdr:row>
          <xdr:rowOff>152400</xdr:rowOff>
        </xdr:from>
        <xdr:to>
          <xdr:col>1</xdr:col>
          <xdr:colOff>444500</xdr:colOff>
          <xdr:row>11</xdr:row>
          <xdr:rowOff>139700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Graph Them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8</xdr:row>
          <xdr:rowOff>1117600</xdr:rowOff>
        </xdr:from>
        <xdr:to>
          <xdr:col>1</xdr:col>
          <xdr:colOff>444500</xdr:colOff>
          <xdr:row>8</xdr:row>
          <xdr:rowOff>1498600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Graph Them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546100</xdr:colOff>
      <xdr:row>6</xdr:row>
      <xdr:rowOff>12700</xdr:rowOff>
    </xdr:from>
    <xdr:to>
      <xdr:col>19</xdr:col>
      <xdr:colOff>736600</xdr:colOff>
      <xdr:row>17</xdr:row>
      <xdr:rowOff>177800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annoble/Documents/Microsoft%20User%20Data/Excel/Miss_Stat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Microsoft%20Office%202011/Office/Startup/Excel/Personal%20Macro%20Workbook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annoble/Library/Application%20Support/Microsoft/Office/Excel/Personal%20Macro%20Workbook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mmax"/>
      <definedName name="mmean"/>
      <definedName name="mmedian"/>
      <definedName name="mmin"/>
      <definedName name="mpercentile"/>
      <definedName name="mrank"/>
      <definedName name="mstDev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Personal Macro Workbook"/>
    </sheetNames>
    <definedNames>
      <definedName name="PairCompare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PairCompar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inoble@gain.org" TargetMode="External"/><Relationship Id="rId2" Type="http://schemas.openxmlformats.org/officeDocument/2006/relationships/hyperlink" Target="mailto:brunosan@gain.or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1" tint="4.9989318521683403E-2"/>
  </sheetPr>
  <dimension ref="A1:D21"/>
  <sheetViews>
    <sheetView workbookViewId="0">
      <selection activeCell="G23" sqref="G23"/>
    </sheetView>
  </sheetViews>
  <sheetFormatPr baseColWidth="10" defaultRowHeight="15" x14ac:dyDescent="0"/>
  <cols>
    <col min="2" max="2" width="21.5" style="46" customWidth="1"/>
    <col min="3" max="3" width="2.83203125" style="46" customWidth="1"/>
    <col min="4" max="4" width="43" style="31" customWidth="1"/>
  </cols>
  <sheetData>
    <row r="1" spans="1:4">
      <c r="B1" s="46" t="s">
        <v>481</v>
      </c>
      <c r="D1" s="31" t="s">
        <v>482</v>
      </c>
    </row>
    <row r="4" spans="1:4">
      <c r="A4" s="50" t="s">
        <v>469</v>
      </c>
    </row>
    <row r="5" spans="1:4" ht="30">
      <c r="B5" s="51" t="s">
        <v>468</v>
      </c>
      <c r="C5" s="52"/>
      <c r="D5" s="53" t="s">
        <v>470</v>
      </c>
    </row>
    <row r="7" spans="1:4">
      <c r="B7" s="52" t="s">
        <v>471</v>
      </c>
      <c r="C7" s="52"/>
      <c r="D7" s="53" t="s">
        <v>472</v>
      </c>
    </row>
    <row r="9" spans="1:4" ht="45">
      <c r="B9" s="52" t="s">
        <v>473</v>
      </c>
      <c r="C9" s="52"/>
      <c r="D9" s="53" t="s">
        <v>474</v>
      </c>
    </row>
    <row r="11" spans="1:4">
      <c r="B11" s="54" t="s">
        <v>475</v>
      </c>
      <c r="C11" s="54"/>
      <c r="D11" s="63" t="s">
        <v>478</v>
      </c>
    </row>
    <row r="12" spans="1:4">
      <c r="B12" s="54" t="s">
        <v>476</v>
      </c>
      <c r="C12" s="54"/>
      <c r="D12" s="63"/>
    </row>
    <row r="13" spans="1:4">
      <c r="B13" s="54" t="s">
        <v>477</v>
      </c>
      <c r="C13" s="54"/>
      <c r="D13" s="63"/>
    </row>
    <row r="15" spans="1:4">
      <c r="B15" s="55" t="s">
        <v>479</v>
      </c>
      <c r="C15" s="55"/>
      <c r="D15" s="64" t="s">
        <v>480</v>
      </c>
    </row>
    <row r="16" spans="1:4">
      <c r="B16" s="55" t="s">
        <v>463</v>
      </c>
      <c r="C16" s="55"/>
      <c r="D16" s="64"/>
    </row>
    <row r="19" spans="2:4">
      <c r="B19" s="50" t="s">
        <v>483</v>
      </c>
    </row>
    <row r="20" spans="2:4">
      <c r="B20" s="57" t="s">
        <v>484</v>
      </c>
      <c r="D20" s="56" t="s">
        <v>485</v>
      </c>
    </row>
    <row r="21" spans="2:4">
      <c r="B21" s="46" t="s">
        <v>486</v>
      </c>
      <c r="D21" s="56" t="s">
        <v>487</v>
      </c>
    </row>
  </sheetData>
  <mergeCells count="2">
    <mergeCell ref="D11:D13"/>
    <mergeCell ref="D15:D16"/>
  </mergeCells>
  <hyperlinks>
    <hyperlink ref="D20" r:id="rId1"/>
    <hyperlink ref="D21" r:id="rId2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800000"/>
  </sheetPr>
  <dimension ref="A1:AQ209"/>
  <sheetViews>
    <sheetView workbookViewId="0">
      <pane xSplit="2" ySplit="17" topLeftCell="AJ162" activePane="bottomRight" state="frozen"/>
      <selection pane="topRight" activeCell="C1" sqref="C1"/>
      <selection pane="bottomLeft" activeCell="A16" sqref="A16"/>
      <selection pane="bottomRight" activeCell="AT1" sqref="AT1:AW1048576"/>
    </sheetView>
  </sheetViews>
  <sheetFormatPr baseColWidth="10" defaultRowHeight="15" x14ac:dyDescent="0"/>
  <cols>
    <col min="2" max="2" width="22.1640625" customWidth="1"/>
    <col min="5" max="5" width="12.5" customWidth="1"/>
    <col min="6" max="6" width="11.6640625" customWidth="1"/>
    <col min="9" max="9" width="4" customWidth="1"/>
    <col min="18" max="18" width="22.1640625" customWidth="1"/>
    <col min="22" max="22" width="12.5" customWidth="1"/>
  </cols>
  <sheetData>
    <row r="1" spans="2:43" ht="23">
      <c r="C1" s="62" t="s">
        <v>464</v>
      </c>
      <c r="D1" s="62"/>
      <c r="R1" s="47" t="s">
        <v>457</v>
      </c>
    </row>
    <row r="3" spans="2:43">
      <c r="B3" t="s">
        <v>387</v>
      </c>
      <c r="D3">
        <f>COUNT(D18:D209)</f>
        <v>151</v>
      </c>
      <c r="E3">
        <f>COUNT(E18:E208)</f>
        <v>191</v>
      </c>
      <c r="F3">
        <f t="shared" ref="F3:H3" si="0">COUNT(F18:F209)</f>
        <v>148</v>
      </c>
      <c r="G3">
        <f t="shared" si="0"/>
        <v>187</v>
      </c>
      <c r="H3">
        <f t="shared" si="0"/>
        <v>192</v>
      </c>
      <c r="J3">
        <f t="shared" ref="J3:O3" si="1">COUNT(J18:J209)</f>
        <v>183</v>
      </c>
      <c r="K3">
        <f t="shared" si="1"/>
        <v>192</v>
      </c>
      <c r="L3">
        <f>COUNT(L18:L209)</f>
        <v>159</v>
      </c>
      <c r="M3">
        <f t="shared" si="1"/>
        <v>186</v>
      </c>
      <c r="N3">
        <f t="shared" si="1"/>
        <v>150</v>
      </c>
      <c r="O3">
        <f t="shared" si="1"/>
        <v>159</v>
      </c>
      <c r="R3" t="s">
        <v>387</v>
      </c>
      <c r="T3">
        <f t="shared" ref="T3:Z3" si="2">COUNT(T18:T209)</f>
        <v>151</v>
      </c>
      <c r="U3">
        <f t="shared" si="2"/>
        <v>192</v>
      </c>
      <c r="V3">
        <f t="shared" si="2"/>
        <v>148</v>
      </c>
      <c r="W3">
        <f t="shared" si="2"/>
        <v>187</v>
      </c>
      <c r="X3">
        <f t="shared" si="2"/>
        <v>192</v>
      </c>
      <c r="Y3" s="43">
        <f t="shared" si="2"/>
        <v>189</v>
      </c>
      <c r="Z3">
        <f t="shared" si="2"/>
        <v>183</v>
      </c>
      <c r="AA3">
        <f t="shared" ref="AA3:AE3" si="3">COUNT(AA18:AA209)</f>
        <v>192</v>
      </c>
      <c r="AB3">
        <f t="shared" si="3"/>
        <v>159</v>
      </c>
      <c r="AC3">
        <f t="shared" si="3"/>
        <v>186</v>
      </c>
      <c r="AD3">
        <f t="shared" si="3"/>
        <v>150</v>
      </c>
      <c r="AE3">
        <f t="shared" si="3"/>
        <v>159</v>
      </c>
      <c r="AF3" s="44">
        <f t="shared" ref="AF3:AI3" si="4">COUNT(AF18:AF209)</f>
        <v>179</v>
      </c>
      <c r="AH3" s="44">
        <f t="shared" si="4"/>
        <v>187</v>
      </c>
      <c r="AI3" s="44">
        <f t="shared" si="4"/>
        <v>177</v>
      </c>
      <c r="AJ3" s="44"/>
      <c r="AK3" s="44">
        <f t="shared" ref="AK3:AL3" si="5">COUNT(AK18:AK209)</f>
        <v>177</v>
      </c>
      <c r="AL3" s="44">
        <f t="shared" si="5"/>
        <v>177</v>
      </c>
      <c r="AN3" s="60">
        <f t="shared" ref="AN3:AP3" si="6">COUNT(AN18:AN209)</f>
        <v>187</v>
      </c>
      <c r="AO3" s="60">
        <f t="shared" si="6"/>
        <v>177</v>
      </c>
      <c r="AP3" s="60">
        <f t="shared" si="6"/>
        <v>177</v>
      </c>
      <c r="AQ3" s="60">
        <f t="shared" ref="AQ3" si="7">COUNT(AQ18:AQ209)</f>
        <v>177</v>
      </c>
    </row>
    <row r="4" spans="2:43">
      <c r="B4" t="s">
        <v>385</v>
      </c>
      <c r="D4" s="2">
        <f>[1]!mmean(D18:D209)</f>
        <v>1.2490540320547436</v>
      </c>
      <c r="E4" s="2">
        <f>[1]!mmean(E18:E208)</f>
        <v>51.210472046572129</v>
      </c>
      <c r="F4" s="2">
        <f t="shared" ref="F4:H4" si="8">[1]!mmean(F18:F209)</f>
        <v>0.18415520369323218</v>
      </c>
      <c r="G4" s="2">
        <f t="shared" si="8"/>
        <v>0.35194575772047892</v>
      </c>
      <c r="H4" s="2">
        <f t="shared" si="8"/>
        <v>0.29377544071910361</v>
      </c>
      <c r="J4" s="2">
        <f t="shared" ref="J4:O4" si="9">[1]!mmean(J18:J209)</f>
        <v>37.163395786979926</v>
      </c>
      <c r="K4" s="2">
        <f t="shared" si="9"/>
        <v>17.961679738854357</v>
      </c>
      <c r="L4" s="2">
        <f>[1]!mmean(L18:L209)</f>
        <v>24.428930817610055</v>
      </c>
      <c r="M4" s="2">
        <f t="shared" si="9"/>
        <v>61.812876946503614</v>
      </c>
      <c r="N4" s="2">
        <f t="shared" si="9"/>
        <v>3.8022000000000005</v>
      </c>
      <c r="O4" s="2">
        <f t="shared" si="9"/>
        <v>2.6068553459119497</v>
      </c>
      <c r="R4" t="s">
        <v>385</v>
      </c>
      <c r="T4" s="2">
        <f t="shared" ref="T4:Z4" si="10">[1]!mmean(T18:T209)</f>
        <v>0.42809050399664139</v>
      </c>
      <c r="U4" s="2">
        <f t="shared" si="10"/>
        <v>0.49055351506641531</v>
      </c>
      <c r="V4" s="2">
        <f t="shared" si="10"/>
        <v>0.32724522830007519</v>
      </c>
      <c r="W4" s="2">
        <f t="shared" si="10"/>
        <v>0.35194575772047892</v>
      </c>
      <c r="X4" s="2">
        <f t="shared" si="10"/>
        <v>0.54696981724675164</v>
      </c>
      <c r="Y4" s="9">
        <f t="shared" si="10"/>
        <v>0.44068993381881993</v>
      </c>
      <c r="Z4" s="2">
        <f t="shared" si="10"/>
        <v>0.37673868626777357</v>
      </c>
      <c r="AA4" s="2">
        <f t="shared" ref="AA4:AE4" si="11">[1]!mmean(AA18:AA209)</f>
        <v>0.22452099673567946</v>
      </c>
      <c r="AB4" s="2">
        <f t="shared" si="11"/>
        <v>0.33561545372866131</v>
      </c>
      <c r="AC4" s="2">
        <f t="shared" si="11"/>
        <v>0.29589093663898808</v>
      </c>
      <c r="AD4" s="2">
        <f t="shared" si="11"/>
        <v>0.33836666666666659</v>
      </c>
      <c r="AE4" s="2">
        <f t="shared" si="11"/>
        <v>0.47862893081761015</v>
      </c>
      <c r="AF4" s="45">
        <f t="shared" ref="AF4:AI4" si="12">[1]!mmean(AF18:AF209)</f>
        <v>0.33962150769716942</v>
      </c>
      <c r="AH4" s="48">
        <f t="shared" si="12"/>
        <v>0.32961702257536218</v>
      </c>
      <c r="AI4" s="48">
        <f t="shared" si="12"/>
        <v>0.34412057022380399</v>
      </c>
      <c r="AJ4" s="48"/>
      <c r="AK4" s="48">
        <f t="shared" ref="AK4:AL4" si="13">[1]!mmean(AK18:AK209)</f>
        <v>2.8892890174830224E-2</v>
      </c>
      <c r="AL4" s="48">
        <f t="shared" si="13"/>
        <v>0.10049337084696203</v>
      </c>
      <c r="AN4" s="60">
        <f t="shared" ref="AN4:AP4" si="14">[1]!mmean(AN18:AN209)</f>
        <v>94</v>
      </c>
      <c r="AO4" s="60">
        <f t="shared" si="14"/>
        <v>89</v>
      </c>
      <c r="AP4" s="60">
        <f t="shared" si="14"/>
        <v>3.231638418079096</v>
      </c>
      <c r="AQ4" s="60">
        <f t="shared" ref="AQ4" si="15">[1]!mmean(AQ18:AQ209)</f>
        <v>11.977401129943503</v>
      </c>
    </row>
    <row r="5" spans="2:43">
      <c r="B5" t="s">
        <v>386</v>
      </c>
      <c r="D5" s="2">
        <f>[1]!mstDev(D18:D209)</f>
        <v>3.6708622190133302</v>
      </c>
      <c r="E5" s="2">
        <f>[1]!mstDev(E18:E208)</f>
        <v>35.161828617170578</v>
      </c>
      <c r="F5" s="2">
        <f t="shared" ref="F5:H5" si="16">[1]!mstDev(F18:F209)</f>
        <v>0.21850977388794254</v>
      </c>
      <c r="G5" s="2">
        <f t="shared" si="16"/>
        <v>0.21624879890344578</v>
      </c>
      <c r="H5" s="2">
        <f t="shared" si="16"/>
        <v>0.23297615486829687</v>
      </c>
      <c r="J5" s="2">
        <f t="shared" ref="J5:O5" si="17">[1]!mstDev(J18:J209)</f>
        <v>22.321473554618461</v>
      </c>
      <c r="K5" s="2">
        <f t="shared" si="17"/>
        <v>17.757258984551502</v>
      </c>
      <c r="L5" s="2">
        <f>[1]!mstDev(L18:L209)</f>
        <v>28.677045788901054</v>
      </c>
      <c r="M5" s="2">
        <f t="shared" si="17"/>
        <v>184.16769583669833</v>
      </c>
      <c r="N5" s="2">
        <f t="shared" si="17"/>
        <v>4.5123902310544288</v>
      </c>
      <c r="O5" s="2">
        <f t="shared" si="17"/>
        <v>0.71571787310327328</v>
      </c>
      <c r="R5" t="s">
        <v>386</v>
      </c>
      <c r="T5" s="2">
        <f t="shared" ref="T5:Z5" si="18">[1]!mstDev(T18:T209)</f>
        <v>0.17951045220108108</v>
      </c>
      <c r="U5" s="2">
        <f t="shared" si="18"/>
        <v>0.35262561848298069</v>
      </c>
      <c r="V5" s="2">
        <f t="shared" si="18"/>
        <v>0.31389673664672707</v>
      </c>
      <c r="W5" s="2">
        <f t="shared" si="18"/>
        <v>0.21624879890344578</v>
      </c>
      <c r="X5" s="2">
        <f t="shared" si="18"/>
        <v>0.30831859733717704</v>
      </c>
      <c r="Y5" s="9">
        <f t="shared" si="18"/>
        <v>0.17131900167906169</v>
      </c>
      <c r="Z5" s="2">
        <f t="shared" si="18"/>
        <v>0.28082038832660017</v>
      </c>
      <c r="AA5" s="2">
        <f t="shared" ref="AA5:AE5" si="19">[1]!mstDev(AA18:AA209)</f>
        <v>0.22196573730689373</v>
      </c>
      <c r="AB5" s="2">
        <f t="shared" si="19"/>
        <v>0.38328948219777997</v>
      </c>
      <c r="AC5" s="2">
        <f t="shared" si="19"/>
        <v>0.30537643378978463</v>
      </c>
      <c r="AD5" s="2">
        <f t="shared" si="19"/>
        <v>0.33970775866550246</v>
      </c>
      <c r="AE5" s="2">
        <f t="shared" si="19"/>
        <v>0.14314357462065333</v>
      </c>
      <c r="AF5" s="45">
        <f t="shared" ref="AF5:AI5" si="20">[1]!mstDev(AF18:AF209)</f>
        <v>0.15882703590845859</v>
      </c>
      <c r="AH5" s="48">
        <f t="shared" si="20"/>
        <v>0.12144127777152629</v>
      </c>
      <c r="AI5" s="48">
        <f t="shared" si="20"/>
        <v>0.12053663455979279</v>
      </c>
      <c r="AJ5" s="48"/>
      <c r="AK5" s="48">
        <f t="shared" ref="AK5:AL5" si="21">[1]!mstDev(AK18:AK209)</f>
        <v>2.3323094534884826E-2</v>
      </c>
      <c r="AL5" s="48">
        <f t="shared" si="21"/>
        <v>9.0968615678741691E-2</v>
      </c>
      <c r="AN5" s="60">
        <f t="shared" ref="AN5:AP5" si="22">[1]!mstDev(AN18:AN209)</f>
        <v>54.126395286095551</v>
      </c>
      <c r="AO5" s="60">
        <f t="shared" si="22"/>
        <v>51.239633097827699</v>
      </c>
      <c r="AP5" s="60">
        <f t="shared" si="22"/>
        <v>14.880872184096763</v>
      </c>
      <c r="AQ5" s="60">
        <f t="shared" ref="AQ5" si="23">[1]!mstDev(AQ18:AQ209)</f>
        <v>9.3632227857063963</v>
      </c>
    </row>
    <row r="6" spans="2:43" s="37" customFormat="1">
      <c r="B6" s="37" t="s">
        <v>452</v>
      </c>
      <c r="D6" s="58">
        <f>[1]!mmedian(D18:D209)</f>
        <v>5.8078385460769155E-2</v>
      </c>
      <c r="E6" s="58">
        <f>[1]!mmedian(E18:E208)</f>
        <v>53.24</v>
      </c>
      <c r="F6" s="58">
        <f t="shared" ref="F6:H6" si="24">[1]!mmedian(F18:F209)</f>
        <v>0.11008909543186664</v>
      </c>
      <c r="G6" s="58">
        <f t="shared" si="24"/>
        <v>0.31015338064435988</v>
      </c>
      <c r="H6" s="58">
        <f t="shared" si="24"/>
        <v>0.23692930745895713</v>
      </c>
      <c r="J6" s="58">
        <f t="shared" ref="J6:O6" si="25">[1]!mmedian(J18:J209)</f>
        <v>31.437584098415204</v>
      </c>
      <c r="K6" s="58">
        <f t="shared" si="25"/>
        <v>16.404195191442046</v>
      </c>
      <c r="L6" s="58">
        <f>[1]!mmedian(L18:L209)</f>
        <v>13</v>
      </c>
      <c r="M6" s="58">
        <f t="shared" si="25"/>
        <v>47.730772058100925</v>
      </c>
      <c r="N6" s="58">
        <f t="shared" si="25"/>
        <v>2.15</v>
      </c>
      <c r="O6" s="58">
        <f t="shared" si="25"/>
        <v>2.4300000000000002</v>
      </c>
      <c r="R6" s="37" t="s">
        <v>452</v>
      </c>
      <c r="T6" s="58">
        <f t="shared" ref="T6:Z6" si="26">[1]!mmedian(T18:T209)</f>
        <v>0.49419216145392308</v>
      </c>
      <c r="U6" s="58">
        <f t="shared" si="26"/>
        <v>0.48175000000000001</v>
      </c>
      <c r="V6" s="58">
        <f t="shared" si="26"/>
        <v>0.22017819086373328</v>
      </c>
      <c r="W6" s="58">
        <f t="shared" si="26"/>
        <v>0.31015338064435988</v>
      </c>
      <c r="X6" s="58">
        <f t="shared" si="26"/>
        <v>0.60511782090173805</v>
      </c>
      <c r="Y6" s="58">
        <f t="shared" si="26"/>
        <v>0.45023443503408972</v>
      </c>
      <c r="Z6" s="58">
        <f t="shared" si="26"/>
        <v>0.30625120140593148</v>
      </c>
      <c r="AA6" s="58">
        <f t="shared" ref="AA6:AE6" si="27">[1]!mmedian(AA18:AA209)</f>
        <v>0.20505243989302557</v>
      </c>
      <c r="AB6" s="58">
        <f t="shared" si="27"/>
        <v>0.18571428571428572</v>
      </c>
      <c r="AC6" s="58">
        <f t="shared" si="27"/>
        <v>0.23865386029050462</v>
      </c>
      <c r="AD6" s="58">
        <f t="shared" si="27"/>
        <v>0.215</v>
      </c>
      <c r="AE6" s="58">
        <f t="shared" si="27"/>
        <v>0.51400000000000001</v>
      </c>
      <c r="AF6" s="58">
        <f t="shared" ref="AF6:AI6" si="28">[1]!mmedian(AF18:AF209)</f>
        <v>0.33960402275033585</v>
      </c>
      <c r="AH6" s="59">
        <f t="shared" si="28"/>
        <v>0.29933438065532264</v>
      </c>
      <c r="AI6" s="59">
        <f t="shared" si="28"/>
        <v>0.32917643034138644</v>
      </c>
      <c r="AJ6" s="59"/>
      <c r="AK6" s="59">
        <f t="shared" ref="AK6:AL6" si="29">[1]!mmedian(AK18:AK209)</f>
        <v>2.5387191341017856E-2</v>
      </c>
      <c r="AL6" s="59">
        <f t="shared" si="29"/>
        <v>7.2155748372698378E-2</v>
      </c>
      <c r="AM6"/>
      <c r="AN6" s="61">
        <f t="shared" ref="AN6:AP6" si="30">[1]!mmedian(AN18:AN209)</f>
        <v>94</v>
      </c>
      <c r="AO6" s="61">
        <f t="shared" si="30"/>
        <v>89</v>
      </c>
      <c r="AP6" s="61">
        <f t="shared" si="30"/>
        <v>3</v>
      </c>
      <c r="AQ6" s="61">
        <f t="shared" ref="AQ6" si="31">[1]!mmedian(AQ18:AQ209)</f>
        <v>10</v>
      </c>
    </row>
    <row r="7" spans="2:43" s="37" customFormat="1">
      <c r="B7" s="37" t="s">
        <v>459</v>
      </c>
      <c r="D7" s="58">
        <f>[1]!mmin(D18:D209)</f>
        <v>-2.7836338918780923</v>
      </c>
      <c r="E7" s="58">
        <f t="shared" ref="E7:AK7" si="32">[1]!mmin(E18:E209)</f>
        <v>0</v>
      </c>
      <c r="F7" s="58">
        <f t="shared" si="32"/>
        <v>6.5957364285967006E-6</v>
      </c>
      <c r="G7" s="58">
        <f t="shared" si="32"/>
        <v>0</v>
      </c>
      <c r="H7" s="58">
        <f t="shared" si="32"/>
        <v>0</v>
      </c>
      <c r="J7" s="58">
        <f t="shared" si="32"/>
        <v>2.7583969174921634</v>
      </c>
      <c r="K7" s="58">
        <f t="shared" si="32"/>
        <v>0</v>
      </c>
      <c r="L7" s="58">
        <f t="shared" si="32"/>
        <v>0</v>
      </c>
      <c r="M7" s="58">
        <f t="shared" si="32"/>
        <v>-599.80534908187883</v>
      </c>
      <c r="N7" s="58">
        <f t="shared" si="32"/>
        <v>0</v>
      </c>
      <c r="O7" s="58">
        <f t="shared" si="32"/>
        <v>1.35</v>
      </c>
      <c r="R7" s="37" t="s">
        <v>459</v>
      </c>
      <c r="T7" s="58">
        <f t="shared" si="32"/>
        <v>0</v>
      </c>
      <c r="U7" s="58">
        <f t="shared" si="32"/>
        <v>0</v>
      </c>
      <c r="V7" s="58">
        <f t="shared" si="32"/>
        <v>1.3191472857193401E-5</v>
      </c>
      <c r="W7" s="58">
        <f t="shared" si="32"/>
        <v>0</v>
      </c>
      <c r="X7" s="58">
        <f t="shared" si="32"/>
        <v>0</v>
      </c>
      <c r="Y7" s="58">
        <f t="shared" si="32"/>
        <v>3.3197487468549234E-3</v>
      </c>
      <c r="Z7" s="58">
        <f t="shared" si="32"/>
        <v>0</v>
      </c>
      <c r="AA7" s="58">
        <f t="shared" si="32"/>
        <v>0</v>
      </c>
      <c r="AB7" s="58">
        <f t="shared" si="32"/>
        <v>0</v>
      </c>
      <c r="AC7" s="58">
        <f t="shared" si="32"/>
        <v>0</v>
      </c>
      <c r="AD7" s="58">
        <f t="shared" si="32"/>
        <v>0</v>
      </c>
      <c r="AE7" s="58">
        <f t="shared" si="32"/>
        <v>0.13200000000000001</v>
      </c>
      <c r="AF7" s="58">
        <f t="shared" si="32"/>
        <v>2.6845055815970027E-2</v>
      </c>
      <c r="AH7" s="58">
        <f t="shared" si="32"/>
        <v>0.11473167520868151</v>
      </c>
      <c r="AI7" s="58">
        <f t="shared" si="32"/>
        <v>0.12268189205708516</v>
      </c>
      <c r="AJ7" s="58"/>
      <c r="AK7" s="58">
        <f t="shared" si="32"/>
        <v>4.5285205995582167E-4</v>
      </c>
      <c r="AL7" s="58">
        <f t="shared" ref="AL7:AP7" si="33">[1]!mmin(AL18:AL209)</f>
        <v>7.389226974376128E-4</v>
      </c>
      <c r="AM7"/>
      <c r="AN7" s="61">
        <f t="shared" si="33"/>
        <v>1</v>
      </c>
      <c r="AO7" s="61">
        <f t="shared" si="33"/>
        <v>1</v>
      </c>
      <c r="AP7" s="61">
        <f t="shared" si="33"/>
        <v>-42</v>
      </c>
      <c r="AQ7" s="61">
        <f t="shared" ref="AQ7" si="34">[1]!mmin(AQ18:AQ209)</f>
        <v>0</v>
      </c>
    </row>
    <row r="8" spans="2:43" s="37" customFormat="1">
      <c r="B8" s="37" t="s">
        <v>458</v>
      </c>
      <c r="D8" s="58">
        <f>[1]!mmax(D18:D209)</f>
        <v>27.878469869639101</v>
      </c>
      <c r="E8" s="58">
        <f t="shared" ref="E8:AK8" si="35">[1]!mmax(E18:E209)</f>
        <v>100</v>
      </c>
      <c r="F8" s="58">
        <f t="shared" si="35"/>
        <v>1.2298735327486121</v>
      </c>
      <c r="G8" s="58">
        <f t="shared" si="35"/>
        <v>0.95964952139001936</v>
      </c>
      <c r="H8" s="58">
        <f t="shared" si="35"/>
        <v>1</v>
      </c>
      <c r="J8" s="58">
        <f t="shared" si="35"/>
        <v>100</v>
      </c>
      <c r="K8" s="58">
        <f t="shared" si="35"/>
        <v>69.946947186686003</v>
      </c>
      <c r="L8" s="58">
        <f t="shared" si="35"/>
        <v>97</v>
      </c>
      <c r="M8" s="58">
        <f t="shared" si="35"/>
        <v>1363.1130313252947</v>
      </c>
      <c r="N8" s="58">
        <f t="shared" si="35"/>
        <v>26.95</v>
      </c>
      <c r="O8" s="58">
        <f t="shared" si="35"/>
        <v>4.34</v>
      </c>
      <c r="R8" s="37" t="s">
        <v>458</v>
      </c>
      <c r="T8" s="58">
        <f t="shared" si="35"/>
        <v>0.77836338918780923</v>
      </c>
      <c r="U8" s="58">
        <f t="shared" si="35"/>
        <v>1</v>
      </c>
      <c r="V8" s="58">
        <f t="shared" si="35"/>
        <v>1</v>
      </c>
      <c r="W8" s="58">
        <f t="shared" si="35"/>
        <v>0.95964952139001936</v>
      </c>
      <c r="X8" s="58">
        <f t="shared" si="35"/>
        <v>1</v>
      </c>
      <c r="Y8" s="58">
        <f t="shared" si="35"/>
        <v>0.85507263191954941</v>
      </c>
      <c r="Z8" s="58">
        <f t="shared" si="35"/>
        <v>1</v>
      </c>
      <c r="AA8" s="58">
        <f t="shared" si="35"/>
        <v>0.87433683983357502</v>
      </c>
      <c r="AB8" s="58">
        <f t="shared" si="35"/>
        <v>1</v>
      </c>
      <c r="AC8" s="58">
        <f t="shared" si="35"/>
        <v>1</v>
      </c>
      <c r="AD8" s="58">
        <f t="shared" si="35"/>
        <v>1</v>
      </c>
      <c r="AE8" s="58">
        <f t="shared" si="35"/>
        <v>0.73</v>
      </c>
      <c r="AF8" s="58">
        <f t="shared" si="35"/>
        <v>0.72388323758014494</v>
      </c>
      <c r="AH8" s="58">
        <f t="shared" si="35"/>
        <v>0.6267346017936577</v>
      </c>
      <c r="AI8" s="58">
        <f t="shared" si="35"/>
        <v>0.61330729749273527</v>
      </c>
      <c r="AJ8" s="58"/>
      <c r="AK8" s="58">
        <f t="shared" si="35"/>
        <v>9.853296889222718E-2</v>
      </c>
      <c r="AL8" s="58">
        <f t="shared" ref="AL8:AP8" si="36">[1]!mmax(AL18:AL209)</f>
        <v>0.42037583023755498</v>
      </c>
      <c r="AM8"/>
      <c r="AN8" s="61">
        <f t="shared" si="36"/>
        <v>187</v>
      </c>
      <c r="AO8" s="61">
        <f t="shared" si="36"/>
        <v>177</v>
      </c>
      <c r="AP8" s="61">
        <f t="shared" si="36"/>
        <v>37</v>
      </c>
      <c r="AQ8" s="61">
        <f t="shared" ref="AQ8" si="37">[1]!mmax(AQ18:AQ209)</f>
        <v>42</v>
      </c>
    </row>
    <row r="9" spans="2:43">
      <c r="B9" t="s">
        <v>453</v>
      </c>
      <c r="D9" s="2">
        <f>[1]!mpercentile(D$18:D$209,0.05)</f>
        <v>-1.4106977008404606</v>
      </c>
      <c r="E9" s="2">
        <f>[1]!mpercentile(E$18:E$208,0.05)</f>
        <v>0.45800006866455079</v>
      </c>
      <c r="F9" s="2">
        <f t="shared" ref="F9:O9" si="38">[1]!mpercentile(F$18:F$209,0.05)</f>
        <v>6.7215541533682411E-3</v>
      </c>
      <c r="G9" s="2">
        <f t="shared" si="38"/>
        <v>6.2147661340246345E-2</v>
      </c>
      <c r="H9" s="2">
        <f t="shared" si="38"/>
        <v>0</v>
      </c>
      <c r="J9" s="2">
        <f t="shared" si="38"/>
        <v>7.7351668626713534</v>
      </c>
      <c r="K9" s="2">
        <f t="shared" si="38"/>
        <v>0</v>
      </c>
      <c r="L9" s="2">
        <f>[1]!mpercentile(L$18:L$209,0.05)</f>
        <v>0</v>
      </c>
      <c r="M9" s="2">
        <f t="shared" si="38"/>
        <v>-102.05528130868437</v>
      </c>
      <c r="N9" s="2">
        <f t="shared" si="38"/>
        <v>0</v>
      </c>
      <c r="O9" s="2">
        <f t="shared" si="38"/>
        <v>1.71</v>
      </c>
      <c r="R9" t="s">
        <v>453</v>
      </c>
      <c r="T9" s="2">
        <f>[1]!mpercentile(T$18:T$209,0.05)</f>
        <v>0</v>
      </c>
      <c r="U9" s="2">
        <f t="shared" ref="U9:AQ9" si="39">[1]!mpercentile(U$18:U$209,0.05)</f>
        <v>0</v>
      </c>
      <c r="V9" s="2">
        <f t="shared" si="39"/>
        <v>1.3443108306736482E-2</v>
      </c>
      <c r="W9" s="2">
        <f t="shared" si="39"/>
        <v>6.2147661340246345E-2</v>
      </c>
      <c r="X9" s="2">
        <f t="shared" si="39"/>
        <v>0</v>
      </c>
      <c r="Y9" s="9">
        <f t="shared" si="39"/>
        <v>0.14873873489013961</v>
      </c>
      <c r="Z9" s="2">
        <f t="shared" si="39"/>
        <v>0</v>
      </c>
      <c r="AA9" s="2">
        <f t="shared" si="39"/>
        <v>0</v>
      </c>
      <c r="AB9" s="2">
        <f t="shared" si="39"/>
        <v>0</v>
      </c>
      <c r="AC9" s="2">
        <f t="shared" si="39"/>
        <v>0</v>
      </c>
      <c r="AD9" s="2">
        <f t="shared" si="39"/>
        <v>0</v>
      </c>
      <c r="AE9" s="2">
        <f t="shared" si="39"/>
        <v>0.18399999999999994</v>
      </c>
      <c r="AF9" s="45">
        <f t="shared" si="39"/>
        <v>9.8226633267490482E-2</v>
      </c>
      <c r="AH9" s="48">
        <f t="shared" si="39"/>
        <v>0.16352015591784952</v>
      </c>
      <c r="AI9" s="48">
        <f t="shared" si="39"/>
        <v>0.15525846327154436</v>
      </c>
      <c r="AJ9" s="48"/>
      <c r="AK9" s="48">
        <f t="shared" si="39"/>
        <v>1.4672438184504476E-3</v>
      </c>
      <c r="AL9" s="48">
        <f t="shared" si="39"/>
        <v>5.4884054390026884E-3</v>
      </c>
      <c r="AN9" s="60">
        <f t="shared" si="39"/>
        <v>9.4000005722045898</v>
      </c>
      <c r="AO9" s="60">
        <f t="shared" si="39"/>
        <v>8.9000005722045898</v>
      </c>
      <c r="AP9" s="60">
        <f t="shared" si="39"/>
        <v>-28</v>
      </c>
      <c r="AQ9" s="60">
        <f t="shared" si="39"/>
        <v>1</v>
      </c>
    </row>
    <row r="10" spans="2:43">
      <c r="B10" t="s">
        <v>454</v>
      </c>
      <c r="D10" s="2">
        <f>[1]!mpercentile(D$18:D$209,0.1)</f>
        <v>-0.95640096131211805</v>
      </c>
      <c r="E10" s="2">
        <f>[1]!mpercentile(E$18:E$208,0.1)</f>
        <v>2.7840000915527341</v>
      </c>
      <c r="F10" s="2">
        <f t="shared" ref="F10:O10" si="40">[1]!mpercentile(F$18:F$209,0.1)</f>
        <v>1.2051840378153782E-2</v>
      </c>
      <c r="G10" s="2">
        <f t="shared" si="40"/>
        <v>0.11084635967209117</v>
      </c>
      <c r="H10" s="2">
        <f t="shared" si="40"/>
        <v>1.2960254161452337E-2</v>
      </c>
      <c r="J10" s="2">
        <f t="shared" si="40"/>
        <v>13.678135751024216</v>
      </c>
      <c r="K10" s="2">
        <f t="shared" si="40"/>
        <v>0</v>
      </c>
      <c r="L10" s="2">
        <f>[1]!mpercentile(L$18:L$209,0.1)</f>
        <v>0</v>
      </c>
      <c r="M10" s="2">
        <f t="shared" si="40"/>
        <v>-35.47091574906058</v>
      </c>
      <c r="N10" s="2">
        <f t="shared" si="40"/>
        <v>0</v>
      </c>
      <c r="O10" s="2">
        <f t="shared" si="40"/>
        <v>1.83</v>
      </c>
      <c r="R10" t="s">
        <v>454</v>
      </c>
      <c r="T10" s="2">
        <f>[1]!mpercentile(T$18:T$209,0.1)</f>
        <v>1.2388319181032097E-2</v>
      </c>
      <c r="U10" s="2">
        <f t="shared" ref="U10:AQ10" si="41">[1]!mpercentile(U$18:U$209,0.1)</f>
        <v>2.8500040054321371E-3</v>
      </c>
      <c r="V10" s="2">
        <f t="shared" si="41"/>
        <v>2.4103680756307564E-2</v>
      </c>
      <c r="W10" s="2">
        <f t="shared" si="41"/>
        <v>0.11084635967209117</v>
      </c>
      <c r="X10" s="2">
        <f t="shared" si="41"/>
        <v>0</v>
      </c>
      <c r="Y10" s="9">
        <f t="shared" si="41"/>
        <v>0.18553379073337078</v>
      </c>
      <c r="Z10" s="2">
        <f t="shared" si="41"/>
        <v>5.2544796443203083E-2</v>
      </c>
      <c r="AA10" s="2">
        <f t="shared" si="41"/>
        <v>0</v>
      </c>
      <c r="AB10" s="2">
        <f t="shared" si="41"/>
        <v>0</v>
      </c>
      <c r="AC10" s="2">
        <f t="shared" si="41"/>
        <v>0</v>
      </c>
      <c r="AD10" s="2">
        <f t="shared" si="41"/>
        <v>0</v>
      </c>
      <c r="AE10" s="2">
        <f t="shared" si="41"/>
        <v>0.23799999999999999</v>
      </c>
      <c r="AF10" s="45">
        <f t="shared" si="41"/>
        <v>0.1327642222061528</v>
      </c>
      <c r="AH10" s="48">
        <f t="shared" si="41"/>
        <v>0.18637545302305264</v>
      </c>
      <c r="AI10" s="48">
        <f t="shared" si="41"/>
        <v>0.18877912815486969</v>
      </c>
      <c r="AJ10" s="48"/>
      <c r="AK10" s="48">
        <f t="shared" si="41"/>
        <v>3.4217620958289338E-3</v>
      </c>
      <c r="AL10" s="48">
        <f t="shared" si="41"/>
        <v>1.071515779864721E-2</v>
      </c>
      <c r="AN10" s="60">
        <f t="shared" si="41"/>
        <v>18.80000114440918</v>
      </c>
      <c r="AO10" s="60">
        <f t="shared" si="41"/>
        <v>17.80000114440918</v>
      </c>
      <c r="AP10" s="60">
        <f t="shared" si="41"/>
        <v>-15.399997711181641</v>
      </c>
      <c r="AQ10" s="60">
        <f t="shared" si="41"/>
        <v>1</v>
      </c>
    </row>
    <row r="11" spans="2:43">
      <c r="B11" t="s">
        <v>455</v>
      </c>
      <c r="D11" s="2">
        <f>[1]!mpercentile(D$18:D$209,0.9)</f>
        <v>5.0998312961144068</v>
      </c>
      <c r="E11" s="2">
        <f>[1]!mpercentile(E$18:E$208,0.9)</f>
        <v>99.749995727539059</v>
      </c>
      <c r="F11" s="2">
        <f t="shared" ref="F11:O11" si="42">[1]!mpercentile(F$18:F$209,0.9)</f>
        <v>0.47170466945646217</v>
      </c>
      <c r="G11" s="2">
        <f t="shared" si="42"/>
        <v>0.6705880530272964</v>
      </c>
      <c r="H11" s="2">
        <f t="shared" si="42"/>
        <v>0.63861068943451837</v>
      </c>
      <c r="J11" s="2">
        <f t="shared" si="42"/>
        <v>71.645522703227542</v>
      </c>
      <c r="K11" s="2">
        <f t="shared" si="42"/>
        <v>45.469243249097396</v>
      </c>
      <c r="L11" s="2">
        <f>[1]!mpercentile(L$18:L$209,0.9)</f>
        <v>68.900000000000006</v>
      </c>
      <c r="M11" s="2">
        <f t="shared" si="42"/>
        <v>191.14241329704188</v>
      </c>
      <c r="N11" s="2">
        <f t="shared" si="42"/>
        <v>10.445998535156251</v>
      </c>
      <c r="O11" s="2">
        <f t="shared" si="42"/>
        <v>3.81</v>
      </c>
      <c r="R11" t="s">
        <v>455</v>
      </c>
      <c r="T11" s="2">
        <f>[1]!mpercentile(T$18:T$209,0.9)</f>
        <v>0.59564013277907513</v>
      </c>
      <c r="U11" s="2">
        <f t="shared" ref="U11:AQ11" si="43">[1]!mpercentile(U$18:U$209,0.9)</f>
        <v>0.97645998229980469</v>
      </c>
      <c r="V11" s="2">
        <f t="shared" si="43"/>
        <v>0.94340933891292433</v>
      </c>
      <c r="W11" s="2">
        <f t="shared" si="43"/>
        <v>0.6705880530272964</v>
      </c>
      <c r="X11" s="2">
        <f t="shared" si="43"/>
        <v>0.97839952489823012</v>
      </c>
      <c r="Y11" s="9">
        <f t="shared" si="43"/>
        <v>0.6467605597774474</v>
      </c>
      <c r="Z11" s="2">
        <f t="shared" si="43"/>
        <v>0.880650324331822</v>
      </c>
      <c r="AA11" s="2">
        <f t="shared" si="43"/>
        <v>0.56836554061371747</v>
      </c>
      <c r="AB11" s="2">
        <f t="shared" si="43"/>
        <v>0.98428571428571432</v>
      </c>
      <c r="AC11" s="2">
        <f t="shared" si="43"/>
        <v>0.95571206648520945</v>
      </c>
      <c r="AD11" s="2">
        <f t="shared" si="43"/>
        <v>1</v>
      </c>
      <c r="AE11" s="2">
        <f t="shared" si="43"/>
        <v>0.63400000000000001</v>
      </c>
      <c r="AF11" s="45">
        <f t="shared" si="43"/>
        <v>0.55779246845497432</v>
      </c>
      <c r="AH11" s="48">
        <f t="shared" si="43"/>
        <v>0.49915612743073712</v>
      </c>
      <c r="AI11" s="48">
        <f t="shared" si="43"/>
        <v>0.51515417779914319</v>
      </c>
      <c r="AJ11" s="48"/>
      <c r="AK11" s="48">
        <f t="shared" si="43"/>
        <v>6.731912484804331E-2</v>
      </c>
      <c r="AL11" s="48">
        <f t="shared" si="43"/>
        <v>0.24917630677610797</v>
      </c>
      <c r="AN11" s="60">
        <f t="shared" si="43"/>
        <v>169.19999694824219</v>
      </c>
      <c r="AO11" s="60">
        <f t="shared" si="43"/>
        <v>160.19999694824219</v>
      </c>
      <c r="AP11" s="60">
        <f t="shared" si="43"/>
        <v>22</v>
      </c>
      <c r="AQ11" s="60">
        <f t="shared" si="43"/>
        <v>26.199996948242188</v>
      </c>
    </row>
    <row r="12" spans="2:43">
      <c r="B12" t="s">
        <v>456</v>
      </c>
      <c r="D12" s="2">
        <f>[1]!mpercentile(D$18:D$209,0.95)</f>
        <v>9.3039805405715033</v>
      </c>
      <c r="E12" s="2">
        <f>[1]!mpercentile(E$18:E$208,0.95)</f>
        <v>100</v>
      </c>
      <c r="F12" s="2">
        <f t="shared" ref="F12:O12" si="44">[1]!mpercentile(F$18:F$209,0.95)</f>
        <v>0.57872472072026215</v>
      </c>
      <c r="G12" s="2">
        <f t="shared" si="44"/>
        <v>0.79044113081940792</v>
      </c>
      <c r="H12" s="2">
        <f t="shared" si="44"/>
        <v>0.83268893081645423</v>
      </c>
      <c r="J12" s="2">
        <f t="shared" si="44"/>
        <v>91.647639966296651</v>
      </c>
      <c r="K12" s="2">
        <f t="shared" si="44"/>
        <v>52.853710471696438</v>
      </c>
      <c r="L12" s="2">
        <f>[1]!mpercentile(L$18:L$209,0.95)</f>
        <v>78.900000000000006</v>
      </c>
      <c r="M12" s="2">
        <f t="shared" si="44"/>
        <v>263.16638718470591</v>
      </c>
      <c r="N12" s="2">
        <f t="shared" si="44"/>
        <v>13.476998596191406</v>
      </c>
      <c r="O12" s="2">
        <f t="shared" si="44"/>
        <v>4.08</v>
      </c>
      <c r="R12" t="s">
        <v>456</v>
      </c>
      <c r="T12" s="2">
        <f>[1]!mpercentile(T$18:T$209,0.95)</f>
        <v>0.64106975630200014</v>
      </c>
      <c r="U12" s="2">
        <f t="shared" ref="U12:AQ12" si="45">[1]!mpercentile(U$18:U$209,0.95)</f>
        <v>0.99712175933219838</v>
      </c>
      <c r="V12" s="2">
        <f t="shared" si="45"/>
        <v>1</v>
      </c>
      <c r="W12" s="2">
        <f t="shared" si="45"/>
        <v>0.79044113081940792</v>
      </c>
      <c r="X12" s="2">
        <f t="shared" si="45"/>
        <v>1</v>
      </c>
      <c r="Y12" s="9">
        <f t="shared" si="45"/>
        <v>0.71587680146371224</v>
      </c>
      <c r="Z12" s="2">
        <f t="shared" si="45"/>
        <v>1</v>
      </c>
      <c r="AA12" s="2">
        <f t="shared" si="45"/>
        <v>0.66067138089620547</v>
      </c>
      <c r="AB12" s="2">
        <f t="shared" si="45"/>
        <v>1</v>
      </c>
      <c r="AC12" s="2">
        <f t="shared" si="45"/>
        <v>1</v>
      </c>
      <c r="AD12" s="2">
        <f t="shared" si="45"/>
        <v>1</v>
      </c>
      <c r="AE12" s="2">
        <f t="shared" si="45"/>
        <v>0.65800000000000003</v>
      </c>
      <c r="AF12" s="45">
        <f t="shared" si="45"/>
        <v>0.61447216543341021</v>
      </c>
      <c r="AH12" s="48">
        <f t="shared" si="45"/>
        <v>0.5339283222249539</v>
      </c>
      <c r="AI12" s="48">
        <f t="shared" si="45"/>
        <v>0.53262994226542848</v>
      </c>
      <c r="AJ12" s="48"/>
      <c r="AK12" s="48">
        <f t="shared" si="45"/>
        <v>7.8421606103670632E-2</v>
      </c>
      <c r="AL12" s="48">
        <f t="shared" si="45"/>
        <v>0.31444207511950439</v>
      </c>
      <c r="AN12" s="60">
        <f t="shared" si="45"/>
        <v>178.59999084472656</v>
      </c>
      <c r="AO12" s="60">
        <f t="shared" si="45"/>
        <v>169.09999084472656</v>
      </c>
      <c r="AP12" s="60">
        <f t="shared" si="45"/>
        <v>26.099990844726562</v>
      </c>
      <c r="AQ12" s="60">
        <f t="shared" si="45"/>
        <v>30</v>
      </c>
    </row>
    <row r="14" spans="2:43">
      <c r="B14" t="s">
        <v>450</v>
      </c>
      <c r="D14" s="37">
        <v>-5</v>
      </c>
      <c r="E14">
        <v>0</v>
      </c>
      <c r="F14" s="36">
        <v>0</v>
      </c>
      <c r="G14">
        <v>0</v>
      </c>
      <c r="H14">
        <v>0</v>
      </c>
      <c r="J14">
        <v>10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2:43">
      <c r="B15" t="s">
        <v>451</v>
      </c>
      <c r="D15" s="37">
        <v>5</v>
      </c>
      <c r="E15">
        <v>100</v>
      </c>
      <c r="F15" s="36">
        <v>0.5</v>
      </c>
      <c r="G15">
        <v>1</v>
      </c>
      <c r="H15">
        <v>0.6</v>
      </c>
      <c r="J15">
        <v>80</v>
      </c>
      <c r="K15">
        <v>80</v>
      </c>
      <c r="L15">
        <v>70</v>
      </c>
      <c r="M15">
        <v>200</v>
      </c>
      <c r="N15">
        <v>10</v>
      </c>
      <c r="O15">
        <v>5</v>
      </c>
      <c r="X15" s="15" t="s">
        <v>461</v>
      </c>
      <c r="Y15">
        <v>2</v>
      </c>
      <c r="AF15">
        <v>3</v>
      </c>
    </row>
    <row r="16" spans="2:43">
      <c r="B16" t="s">
        <v>462</v>
      </c>
      <c r="D16">
        <v>1</v>
      </c>
      <c r="E16">
        <v>1</v>
      </c>
      <c r="H16">
        <v>1</v>
      </c>
      <c r="O16">
        <v>1</v>
      </c>
    </row>
    <row r="17" spans="1:43" ht="75">
      <c r="A17" s="4"/>
      <c r="B17" s="3"/>
      <c r="C17" s="5" t="s">
        <v>390</v>
      </c>
      <c r="D17" s="6" t="s">
        <v>391</v>
      </c>
      <c r="E17" s="6" t="s">
        <v>499</v>
      </c>
      <c r="F17" s="7" t="s">
        <v>393</v>
      </c>
      <c r="G17" s="7" t="s">
        <v>394</v>
      </c>
      <c r="H17" s="7" t="s">
        <v>395</v>
      </c>
      <c r="I17" s="8"/>
      <c r="J17" s="4" t="s">
        <v>384</v>
      </c>
      <c r="K17" s="4" t="s">
        <v>488</v>
      </c>
      <c r="L17" s="4" t="s">
        <v>389</v>
      </c>
      <c r="M17" s="4" t="s">
        <v>388</v>
      </c>
      <c r="N17" s="4" t="s">
        <v>489</v>
      </c>
      <c r="O17" s="4" t="s">
        <v>490</v>
      </c>
      <c r="Q17" s="38"/>
      <c r="R17" s="3"/>
      <c r="S17" s="5" t="s">
        <v>390</v>
      </c>
      <c r="T17" s="6" t="s">
        <v>391</v>
      </c>
      <c r="U17" s="5" t="s">
        <v>392</v>
      </c>
      <c r="V17" s="7" t="s">
        <v>393</v>
      </c>
      <c r="W17" s="7" t="s">
        <v>394</v>
      </c>
      <c r="X17" s="7" t="s">
        <v>395</v>
      </c>
      <c r="Y17" s="8" t="s">
        <v>396</v>
      </c>
      <c r="Z17" s="4" t="s">
        <v>384</v>
      </c>
      <c r="AA17" s="4" t="s">
        <v>488</v>
      </c>
      <c r="AB17" s="4" t="s">
        <v>389</v>
      </c>
      <c r="AC17" s="4" t="s">
        <v>388</v>
      </c>
      <c r="AD17" s="4" t="s">
        <v>489</v>
      </c>
      <c r="AE17" s="4" t="s">
        <v>490</v>
      </c>
      <c r="AF17" s="42" t="s">
        <v>460</v>
      </c>
      <c r="AH17" s="13" t="s">
        <v>466</v>
      </c>
      <c r="AI17" s="13" t="s">
        <v>498</v>
      </c>
      <c r="AJ17" s="13" t="s">
        <v>494</v>
      </c>
      <c r="AK17" s="13" t="s">
        <v>467</v>
      </c>
      <c r="AL17" s="13" t="s">
        <v>491</v>
      </c>
      <c r="AN17" s="13" t="s">
        <v>492</v>
      </c>
      <c r="AO17" s="13" t="s">
        <v>497</v>
      </c>
      <c r="AP17" s="13" t="s">
        <v>494</v>
      </c>
      <c r="AQ17" s="13" t="s">
        <v>495</v>
      </c>
    </row>
    <row r="18" spans="1:43">
      <c r="A18" s="1" t="s">
        <v>173</v>
      </c>
      <c r="B18" s="1" t="s">
        <v>192</v>
      </c>
      <c r="C18" t="e">
        <f>NA()</f>
        <v>#N/A</v>
      </c>
      <c r="D18" s="39">
        <v>-4.1001865646131619E-2</v>
      </c>
      <c r="E18" s="2">
        <v>2.1800000000000002</v>
      </c>
      <c r="F18" s="41" t="e">
        <v>#N/A</v>
      </c>
      <c r="G18" s="2">
        <v>0.1991155006049663</v>
      </c>
      <c r="H18" s="34">
        <v>0.15390279800752771</v>
      </c>
      <c r="I18" s="34"/>
      <c r="J18" s="35">
        <v>43.756239915788065</v>
      </c>
      <c r="K18" s="35">
        <v>49.150072847326477</v>
      </c>
      <c r="L18" t="e">
        <v>#N/A</v>
      </c>
      <c r="M18" s="35">
        <v>53.147952836171008</v>
      </c>
      <c r="N18">
        <v>6.49</v>
      </c>
      <c r="O18">
        <v>1.87</v>
      </c>
      <c r="Q18" s="1" t="s">
        <v>173</v>
      </c>
      <c r="R18" s="1" t="s">
        <v>192</v>
      </c>
      <c r="S18" s="2" t="e">
        <f t="shared" ref="S18:S49" si="46">IF(C$16&lt;&gt;1,MIN(1,MAX(0,(C18-C$14)/(C$15-C$14))),1-MIN(1,MAX(0,(C18-C$14)/(C$15-C$14))))</f>
        <v>#N/A</v>
      </c>
      <c r="T18" s="2">
        <f t="shared" ref="T18:T49" si="47">IF(D$16&lt;&gt;1,MIN(1,MAX(0,(D18-D$14)/(D$15-D$14))),1-MIN(1,MAX(0,(D18-D$14)/(D$15-D$14))))</f>
        <v>0.50410018656461308</v>
      </c>
      <c r="U18" s="2">
        <f t="shared" ref="U18:U49" si="48">IF(E$16&lt;&gt;1,MIN(1,MAX(0,(E18-E$14)/(E$15-E$14))),1-MIN(1,MAX(0,(E18-E$14)/(E$15-E$14))))</f>
        <v>0.97819999999999996</v>
      </c>
      <c r="V18" s="2" t="e">
        <f t="shared" ref="V18:V49" si="49">IF(F$16&lt;&gt;1,MIN(1,MAX(0,(F18-F$14)/(F$15-F$14))),1-MIN(1,MAX(0,(F18-F$14)/(F$15-F$14))))</f>
        <v>#N/A</v>
      </c>
      <c r="W18" s="2">
        <f t="shared" ref="W18:W49" si="50">IF(G$16&lt;&gt;1,MIN(1,MAX(0,(G18-G$14)/(G$15-G$14))),1-MIN(1,MAX(0,(G18-G$14)/(G$15-G$14))))</f>
        <v>0.1991155006049663</v>
      </c>
      <c r="X18" s="2">
        <f t="shared" ref="X18:X49" si="51">IF(H$16&lt;&gt;1,MIN(1,MAX(0,(H18-H$14)/(H$15-H$14))),1-MIN(1,MAX(0,(H18-H$14)/(H$15-H$14))))</f>
        <v>0.74349533665412049</v>
      </c>
      <c r="Y18" s="9">
        <f>IF(COUNT(S18:X18)&gt;$Y$15,[1]!mmean(S18:X18),NA())</f>
        <v>0.60622775595592493</v>
      </c>
      <c r="Z18" s="2">
        <f>IF(J$16&lt;&gt;1,MIN(1,MAX(0,(J18-J$14)/(J$15-J$14))),1-MIN(1,MAX(0,(J18-J$14)/(J$15-J$14))))</f>
        <v>0.48223199879697237</v>
      </c>
      <c r="AA18" s="2">
        <f t="shared" ref="AA18:AE18" si="52">IF(K$16&lt;&gt;1,MIN(1,MAX(0,(K18-K$14)/(K$15-K$14))),1-MIN(1,MAX(0,(K18-K$14)/(K$15-K$14))))</f>
        <v>0.61437591059158092</v>
      </c>
      <c r="AB18" s="2" t="e">
        <f t="shared" si="52"/>
        <v>#N/A</v>
      </c>
      <c r="AC18" s="2">
        <f t="shared" si="52"/>
        <v>0.26573976418085504</v>
      </c>
      <c r="AD18" s="2">
        <f t="shared" si="52"/>
        <v>0.64900000000000002</v>
      </c>
      <c r="AE18" s="2">
        <f t="shared" si="52"/>
        <v>0.626</v>
      </c>
      <c r="AF18" s="45">
        <f>IF(COUNT(Z18:AE18)&gt;$AF$15,[1]!mmean(Z18:AE18),NA())</f>
        <v>0.52746953471388158</v>
      </c>
      <c r="AH18" s="34">
        <v>0.6267346017936577</v>
      </c>
      <c r="AI18" s="34">
        <f>(24*AH18+5*Y18+6*AF18)/35</f>
        <v>0.60678818374601995</v>
      </c>
      <c r="AJ18" s="34">
        <f>AI18-AH18</f>
        <v>-1.9946418047637748E-2</v>
      </c>
      <c r="AK18" s="34">
        <f>ABS(AH18-AI18)</f>
        <v>1.9946418047637748E-2</v>
      </c>
      <c r="AL18" s="41">
        <f>AK18/AH18</f>
        <v>3.1825940343094036E-2</v>
      </c>
      <c r="AN18">
        <f>[1]!mrank(AH18,$AH$18:$AH$209,TRUE,TRUE)</f>
        <v>187</v>
      </c>
      <c r="AO18">
        <f>[1]!mrank(AI18,$AI$18:$AI$209,TRUE,TRUE)</f>
        <v>176</v>
      </c>
      <c r="AP18">
        <f>AN18-AO18</f>
        <v>11</v>
      </c>
      <c r="AQ18">
        <f>ABS(AP18)</f>
        <v>11</v>
      </c>
    </row>
    <row r="19" spans="1:43">
      <c r="A19" s="1" t="s">
        <v>123</v>
      </c>
      <c r="B19" s="1" t="s">
        <v>193</v>
      </c>
      <c r="C19" t="e">
        <f>NA()</f>
        <v>#N/A</v>
      </c>
      <c r="D19" s="39">
        <v>-0.26257754140726142</v>
      </c>
      <c r="E19" s="2">
        <v>59.06</v>
      </c>
      <c r="F19" s="41">
        <v>9.5433368501457255E-2</v>
      </c>
      <c r="G19" s="2">
        <v>0.11090453589854428</v>
      </c>
      <c r="H19" s="34">
        <v>0.20655375522062935</v>
      </c>
      <c r="I19" s="34"/>
      <c r="J19" s="35">
        <v>28.613157212553403</v>
      </c>
      <c r="K19" s="35">
        <v>0</v>
      </c>
      <c r="L19">
        <v>0</v>
      </c>
      <c r="M19" s="35">
        <v>371.36519998504281</v>
      </c>
      <c r="N19">
        <v>13.73</v>
      </c>
      <c r="O19">
        <v>2.14</v>
      </c>
      <c r="Q19" s="1" t="s">
        <v>123</v>
      </c>
      <c r="R19" s="1" t="s">
        <v>193</v>
      </c>
      <c r="S19" s="2" t="e">
        <f t="shared" si="46"/>
        <v>#N/A</v>
      </c>
      <c r="T19" s="2">
        <f t="shared" si="47"/>
        <v>0.52625775414072617</v>
      </c>
      <c r="U19" s="2">
        <f t="shared" si="48"/>
        <v>0.40939999999999999</v>
      </c>
      <c r="V19" s="2">
        <f t="shared" si="49"/>
        <v>0.19086673700291451</v>
      </c>
      <c r="W19" s="2">
        <f t="shared" si="50"/>
        <v>0.11090453589854428</v>
      </c>
      <c r="X19" s="2">
        <f t="shared" si="51"/>
        <v>0.65574374129895108</v>
      </c>
      <c r="Y19" s="9">
        <f t="shared" ref="Y19:Y82" si="53">IF(COUNT(S19:X19)&gt;$Y$15,[1]!mmean(S19:X19),NA())</f>
        <v>0.37863455366822724</v>
      </c>
      <c r="Z19" s="2">
        <f t="shared" ref="Z19:Z82" si="54">IF(J$16&lt;&gt;1,MIN(1,MAX(0,(J19-J$14)/(J$15-J$14))),1-MIN(1,MAX(0,(J19-J$14)/(J$15-J$14))))</f>
        <v>0.26590224589362005</v>
      </c>
      <c r="AA19" s="2">
        <f t="shared" ref="AA19:AA82" si="55">IF(K$16&lt;&gt;1,MIN(1,MAX(0,(K19-K$14)/(K$15-K$14))),1-MIN(1,MAX(0,(K19-K$14)/(K$15-K$14))))</f>
        <v>0</v>
      </c>
      <c r="AB19" s="2">
        <f t="shared" ref="AB19:AB82" si="56">IF(L$16&lt;&gt;1,MIN(1,MAX(0,(L19-L$14)/(L$15-L$14))),1-MIN(1,MAX(0,(L19-L$14)/(L$15-L$14))))</f>
        <v>0</v>
      </c>
      <c r="AC19" s="2">
        <f t="shared" ref="AC19:AC82" si="57">IF(M$16&lt;&gt;1,MIN(1,MAX(0,(M19-M$14)/(M$15-M$14))),1-MIN(1,MAX(0,(M19-M$14)/(M$15-M$14))))</f>
        <v>1</v>
      </c>
      <c r="AD19" s="2">
        <f t="shared" ref="AD19:AD82" si="58">IF(N$16&lt;&gt;1,MIN(1,MAX(0,(N19-N$14)/(N$15-N$14))),1-MIN(1,MAX(0,(N19-N$14)/(N$15-N$14))))</f>
        <v>1</v>
      </c>
      <c r="AE19" s="2">
        <f t="shared" ref="AE19:AE82" si="59">IF(O$16&lt;&gt;1,MIN(1,MAX(0,(O19-O$14)/(O$15-O$14))),1-MIN(1,MAX(0,(O19-O$14)/(O$15-O$14))))</f>
        <v>0.57199999999999995</v>
      </c>
      <c r="AF19" s="45">
        <f t="shared" ref="AF19:AF82" si="60">IF(COUNT(Z19:AE19)&gt;$AF$15,[1]!mmean(Z19:AE19),NA())</f>
        <v>0.47298370764893666</v>
      </c>
      <c r="AH19" s="34">
        <v>0.29043285983258982</v>
      </c>
      <c r="AI19" s="34">
        <f t="shared" ref="AI19:AI82" si="61">(24*AH19+5*Y19+6*AF19)/35</f>
        <v>0.33432753286334033</v>
      </c>
      <c r="AJ19" s="34">
        <f t="shared" ref="AJ19:AJ82" si="62">AI19-AH19</f>
        <v>4.3894673030750508E-2</v>
      </c>
      <c r="AK19" s="34">
        <f t="shared" ref="AK19:AK82" si="63">ABS(AH19-AI19)</f>
        <v>4.3894673030750508E-2</v>
      </c>
      <c r="AL19" s="41">
        <f t="shared" ref="AL19:AL82" si="64">AK19/AH19</f>
        <v>0.15113535381654852</v>
      </c>
      <c r="AN19">
        <f t="shared" ref="AN19:AN27" si="65">[1]!mrank(AH19,$AH$18:$AH$209,TRUE,TRUE)</f>
        <v>89</v>
      </c>
      <c r="AO19">
        <f t="shared" ref="AO19:AO27" si="66">[1]!mrank(AI19,$AI$18:$AI$209,TRUE,TRUE)</f>
        <v>90</v>
      </c>
      <c r="AP19">
        <f t="shared" ref="AP19:AP82" si="67">AN19-AO19</f>
        <v>-1</v>
      </c>
      <c r="AQ19">
        <f t="shared" ref="AQ19:AQ82" si="68">ABS(AP19)</f>
        <v>1</v>
      </c>
    </row>
    <row r="20" spans="1:43">
      <c r="A20" s="1" t="s">
        <v>74</v>
      </c>
      <c r="B20" s="1" t="s">
        <v>194</v>
      </c>
      <c r="C20" t="e">
        <f>NA()</f>
        <v>#N/A</v>
      </c>
      <c r="D20" s="39">
        <v>-0.36584785695361299</v>
      </c>
      <c r="E20" s="2">
        <v>37.119999999999997</v>
      </c>
      <c r="F20" s="41">
        <v>8.337453394077525E-2</v>
      </c>
      <c r="G20" s="2">
        <v>0.24954693918009044</v>
      </c>
      <c r="H20" s="34">
        <v>0.2994599907188813</v>
      </c>
      <c r="I20" s="34"/>
      <c r="J20" s="35">
        <v>11.869856982652674</v>
      </c>
      <c r="K20" s="35">
        <v>39.344416976140408</v>
      </c>
      <c r="L20" t="e">
        <v>#N/A</v>
      </c>
      <c r="M20" s="35">
        <v>65.726646714815317</v>
      </c>
      <c r="N20">
        <v>4</v>
      </c>
      <c r="O20">
        <v>2.06</v>
      </c>
      <c r="Q20" s="1" t="s">
        <v>74</v>
      </c>
      <c r="R20" s="1" t="s">
        <v>194</v>
      </c>
      <c r="S20" s="2" t="e">
        <f t="shared" si="46"/>
        <v>#N/A</v>
      </c>
      <c r="T20" s="2">
        <f t="shared" si="47"/>
        <v>0.53658478569536128</v>
      </c>
      <c r="U20" s="2">
        <f t="shared" si="48"/>
        <v>0.62880000000000003</v>
      </c>
      <c r="V20" s="2">
        <f t="shared" si="49"/>
        <v>0.1667490678815505</v>
      </c>
      <c r="W20" s="2">
        <f t="shared" si="50"/>
        <v>0.24954693918009044</v>
      </c>
      <c r="X20" s="2">
        <f t="shared" si="51"/>
        <v>0.50090001546853113</v>
      </c>
      <c r="Y20" s="9">
        <f t="shared" si="53"/>
        <v>0.41651616164510663</v>
      </c>
      <c r="Z20" s="2">
        <f t="shared" si="54"/>
        <v>2.6712242609323918E-2</v>
      </c>
      <c r="AA20" s="2">
        <f t="shared" si="55"/>
        <v>0.4918052122017551</v>
      </c>
      <c r="AB20" s="2" t="e">
        <f t="shared" si="56"/>
        <v>#N/A</v>
      </c>
      <c r="AC20" s="2">
        <f t="shared" si="57"/>
        <v>0.32863323357407659</v>
      </c>
      <c r="AD20" s="2">
        <f t="shared" si="58"/>
        <v>0.4</v>
      </c>
      <c r="AE20" s="2">
        <f t="shared" si="59"/>
        <v>0.58799999999999997</v>
      </c>
      <c r="AF20" s="45">
        <f t="shared" si="60"/>
        <v>0.36703013767703113</v>
      </c>
      <c r="AH20" s="34">
        <v>0.2695615286713004</v>
      </c>
      <c r="AI20" s="34">
        <f t="shared" si="61"/>
        <v>0.30726395206854085</v>
      </c>
      <c r="AJ20" s="34">
        <f t="shared" si="62"/>
        <v>3.7702423397240448E-2</v>
      </c>
      <c r="AK20" s="34">
        <f t="shared" si="63"/>
        <v>3.7702423397240448E-2</v>
      </c>
      <c r="AL20" s="41">
        <f t="shared" si="64"/>
        <v>0.13986574264910873</v>
      </c>
      <c r="AN20">
        <f t="shared" si="65"/>
        <v>77</v>
      </c>
      <c r="AO20">
        <f t="shared" si="66"/>
        <v>74</v>
      </c>
      <c r="AP20">
        <f t="shared" si="67"/>
        <v>3</v>
      </c>
      <c r="AQ20">
        <f t="shared" si="68"/>
        <v>3</v>
      </c>
    </row>
    <row r="21" spans="1:43">
      <c r="A21" s="1" t="s">
        <v>17</v>
      </c>
      <c r="B21" s="1" t="s">
        <v>195</v>
      </c>
      <c r="C21" t="e">
        <f>NA()</f>
        <v>#N/A</v>
      </c>
      <c r="D21" s="39" t="e">
        <v>#N/A</v>
      </c>
      <c r="E21" s="2">
        <v>33.71</v>
      </c>
      <c r="F21" s="41" t="e">
        <v>#N/A</v>
      </c>
      <c r="G21" s="2">
        <v>0.22222222222222224</v>
      </c>
      <c r="H21" s="34">
        <v>2.8350515422439271E-2</v>
      </c>
      <c r="I21" s="34"/>
      <c r="J21" s="35" t="e">
        <v>#N/A</v>
      </c>
      <c r="K21" s="35">
        <v>0</v>
      </c>
      <c r="L21">
        <v>0</v>
      </c>
      <c r="M21" s="35" t="e">
        <v>#N/A</v>
      </c>
      <c r="N21" t="e">
        <v>#N/A</v>
      </c>
      <c r="O21" t="e">
        <v>#N/A</v>
      </c>
      <c r="Q21" s="1" t="s">
        <v>17</v>
      </c>
      <c r="R21" s="1" t="s">
        <v>195</v>
      </c>
      <c r="S21" s="2" t="e">
        <f t="shared" si="46"/>
        <v>#N/A</v>
      </c>
      <c r="T21" s="2" t="e">
        <f t="shared" si="47"/>
        <v>#N/A</v>
      </c>
      <c r="U21" s="2">
        <f t="shared" si="48"/>
        <v>0.66290000000000004</v>
      </c>
      <c r="V21" s="2" t="e">
        <f t="shared" si="49"/>
        <v>#N/A</v>
      </c>
      <c r="W21" s="2">
        <f t="shared" si="50"/>
        <v>0.22222222222222224</v>
      </c>
      <c r="X21" s="2">
        <f t="shared" si="51"/>
        <v>0.95274914096260122</v>
      </c>
      <c r="Y21" s="9">
        <f t="shared" si="53"/>
        <v>0.61262378772827442</v>
      </c>
      <c r="Z21" s="2" t="e">
        <f t="shared" si="54"/>
        <v>#N/A</v>
      </c>
      <c r="AA21" s="2">
        <f t="shared" si="55"/>
        <v>0</v>
      </c>
      <c r="AB21" s="2">
        <f t="shared" si="56"/>
        <v>0</v>
      </c>
      <c r="AC21" s="2" t="e">
        <f t="shared" si="57"/>
        <v>#N/A</v>
      </c>
      <c r="AD21" s="2" t="e">
        <f t="shared" si="58"/>
        <v>#N/A</v>
      </c>
      <c r="AE21" s="2" t="e">
        <f t="shared" si="59"/>
        <v>#N/A</v>
      </c>
      <c r="AF21" s="45" t="e">
        <f t="shared" si="60"/>
        <v>#N/A</v>
      </c>
      <c r="AH21" s="34" t="e">
        <v>#N/A</v>
      </c>
      <c r="AI21" s="34" t="e">
        <f t="shared" si="61"/>
        <v>#N/A</v>
      </c>
      <c r="AJ21" s="34" t="e">
        <f t="shared" si="62"/>
        <v>#N/A</v>
      </c>
      <c r="AK21" s="34" t="e">
        <f t="shared" si="63"/>
        <v>#N/A</v>
      </c>
      <c r="AL21" s="41" t="e">
        <f t="shared" si="64"/>
        <v>#N/A</v>
      </c>
      <c r="AN21" t="e">
        <f t="shared" si="65"/>
        <v>#VALUE!</v>
      </c>
      <c r="AO21" t="e">
        <f t="shared" si="66"/>
        <v>#VALUE!</v>
      </c>
      <c r="AP21" t="e">
        <f t="shared" si="67"/>
        <v>#VALUE!</v>
      </c>
      <c r="AQ21" t="e">
        <f t="shared" si="68"/>
        <v>#VALUE!</v>
      </c>
    </row>
    <row r="22" spans="1:43">
      <c r="A22" s="1" t="s">
        <v>98</v>
      </c>
      <c r="B22" s="1" t="s">
        <v>196</v>
      </c>
      <c r="C22" t="e">
        <f>NA()</f>
        <v>#N/A</v>
      </c>
      <c r="D22" s="39">
        <v>2.1625239650691137</v>
      </c>
      <c r="E22" s="2">
        <v>65.59</v>
      </c>
      <c r="F22" s="41">
        <v>0.16332997041147326</v>
      </c>
      <c r="G22" s="2">
        <v>0.26073710676534484</v>
      </c>
      <c r="H22" s="34">
        <v>0.11340206168975731</v>
      </c>
      <c r="I22" s="34"/>
      <c r="J22" s="35">
        <v>42.75166921132378</v>
      </c>
      <c r="K22" s="35">
        <v>31.504168418469771</v>
      </c>
      <c r="L22">
        <v>65.8</v>
      </c>
      <c r="M22" s="35">
        <v>55.381235920201057</v>
      </c>
      <c r="N22">
        <v>12.58</v>
      </c>
      <c r="O22">
        <v>1.69</v>
      </c>
      <c r="Q22" s="1" t="s">
        <v>98</v>
      </c>
      <c r="R22" s="1" t="s">
        <v>196</v>
      </c>
      <c r="S22" s="2" t="e">
        <f t="shared" si="46"/>
        <v>#N/A</v>
      </c>
      <c r="T22" s="2">
        <f t="shared" si="47"/>
        <v>0.28374760349308858</v>
      </c>
      <c r="U22" s="2">
        <f t="shared" si="48"/>
        <v>0.34409999999999996</v>
      </c>
      <c r="V22" s="2">
        <f t="shared" si="49"/>
        <v>0.32665994082294653</v>
      </c>
      <c r="W22" s="2">
        <f t="shared" si="50"/>
        <v>0.26073710676534484</v>
      </c>
      <c r="X22" s="2">
        <f t="shared" si="51"/>
        <v>0.81099656385040442</v>
      </c>
      <c r="Y22" s="9">
        <f t="shared" si="53"/>
        <v>0.40524824298635681</v>
      </c>
      <c r="Z22" s="2">
        <f t="shared" si="54"/>
        <v>0.46788098873319683</v>
      </c>
      <c r="AA22" s="2">
        <f t="shared" si="55"/>
        <v>0.39380210523087211</v>
      </c>
      <c r="AB22" s="2">
        <f t="shared" si="56"/>
        <v>0.94</v>
      </c>
      <c r="AC22" s="2">
        <f t="shared" si="57"/>
        <v>0.27690617960100528</v>
      </c>
      <c r="AD22" s="2">
        <f t="shared" si="58"/>
        <v>1</v>
      </c>
      <c r="AE22" s="2">
        <f t="shared" si="59"/>
        <v>0.66200000000000003</v>
      </c>
      <c r="AF22" s="45">
        <f t="shared" si="60"/>
        <v>0.62343154559417902</v>
      </c>
      <c r="AH22" s="34">
        <v>0.53590000933455861</v>
      </c>
      <c r="AI22" s="34">
        <f t="shared" si="61"/>
        <v>0.53224087750075044</v>
      </c>
      <c r="AJ22" s="34">
        <f t="shared" si="62"/>
        <v>-3.6591318338081713E-3</v>
      </c>
      <c r="AK22" s="34">
        <f t="shared" si="63"/>
        <v>3.6591318338081713E-3</v>
      </c>
      <c r="AL22" s="41">
        <f t="shared" si="64"/>
        <v>6.8280122598837296E-3</v>
      </c>
      <c r="AN22">
        <f t="shared" si="65"/>
        <v>180</v>
      </c>
      <c r="AO22">
        <f t="shared" si="66"/>
        <v>169</v>
      </c>
      <c r="AP22">
        <f t="shared" si="67"/>
        <v>11</v>
      </c>
      <c r="AQ22">
        <f t="shared" si="68"/>
        <v>11</v>
      </c>
    </row>
    <row r="23" spans="1:43">
      <c r="A23" s="1" t="s">
        <v>157</v>
      </c>
      <c r="B23" s="1" t="s">
        <v>197</v>
      </c>
      <c r="C23" t="e">
        <f>NA()</f>
        <v>#N/A</v>
      </c>
      <c r="D23" s="39" t="e">
        <v>#N/A</v>
      </c>
      <c r="E23" s="2">
        <v>38</v>
      </c>
      <c r="F23" s="41" t="e">
        <v>#N/A</v>
      </c>
      <c r="G23" s="2">
        <v>0.35405375916953186</v>
      </c>
      <c r="H23" s="34">
        <v>0.24705449153839976</v>
      </c>
      <c r="I23" s="34"/>
      <c r="J23" s="35">
        <v>99.646671945865876</v>
      </c>
      <c r="K23" s="35">
        <v>0</v>
      </c>
      <c r="L23">
        <v>0</v>
      </c>
      <c r="M23" s="35">
        <v>-25.628856121252301</v>
      </c>
      <c r="N23" t="e">
        <v>#N/A</v>
      </c>
      <c r="O23" t="e">
        <v>#N/A</v>
      </c>
      <c r="Q23" s="1" t="s">
        <v>157</v>
      </c>
      <c r="R23" s="1" t="s">
        <v>197</v>
      </c>
      <c r="S23" s="2" t="e">
        <f t="shared" si="46"/>
        <v>#N/A</v>
      </c>
      <c r="T23" s="2" t="e">
        <f t="shared" si="47"/>
        <v>#N/A</v>
      </c>
      <c r="U23" s="2">
        <f t="shared" si="48"/>
        <v>0.62</v>
      </c>
      <c r="V23" s="2" t="e">
        <f t="shared" si="49"/>
        <v>#N/A</v>
      </c>
      <c r="W23" s="2">
        <f t="shared" si="50"/>
        <v>0.35405375916953186</v>
      </c>
      <c r="X23" s="2">
        <f t="shared" si="51"/>
        <v>0.58824251410266704</v>
      </c>
      <c r="Y23" s="9">
        <f t="shared" si="53"/>
        <v>0.52076542442406637</v>
      </c>
      <c r="Z23" s="2">
        <f t="shared" si="54"/>
        <v>1</v>
      </c>
      <c r="AA23" s="2">
        <f t="shared" si="55"/>
        <v>0</v>
      </c>
      <c r="AB23" s="2">
        <f t="shared" si="56"/>
        <v>0</v>
      </c>
      <c r="AC23" s="2">
        <f t="shared" si="57"/>
        <v>0</v>
      </c>
      <c r="AD23" s="2" t="e">
        <f t="shared" si="58"/>
        <v>#N/A</v>
      </c>
      <c r="AE23" s="2" t="e">
        <f t="shared" si="59"/>
        <v>#N/A</v>
      </c>
      <c r="AF23" s="45">
        <f t="shared" si="60"/>
        <v>0.25</v>
      </c>
      <c r="AH23" s="34">
        <v>0.340510374560758</v>
      </c>
      <c r="AI23" s="34">
        <f t="shared" si="61"/>
        <v>0.35074503175938637</v>
      </c>
      <c r="AJ23" s="34">
        <f t="shared" si="62"/>
        <v>1.0234657198628372E-2</v>
      </c>
      <c r="AK23" s="34">
        <f t="shared" si="63"/>
        <v>1.0234657198628372E-2</v>
      </c>
      <c r="AL23" s="41">
        <f t="shared" si="64"/>
        <v>3.0056814603169103E-2</v>
      </c>
      <c r="AN23">
        <f t="shared" si="65"/>
        <v>112</v>
      </c>
      <c r="AO23">
        <f t="shared" si="66"/>
        <v>102</v>
      </c>
      <c r="AP23">
        <f t="shared" si="67"/>
        <v>10</v>
      </c>
      <c r="AQ23">
        <f t="shared" si="68"/>
        <v>10</v>
      </c>
    </row>
    <row r="24" spans="1:43">
      <c r="A24" s="1" t="s">
        <v>13</v>
      </c>
      <c r="B24" s="1" t="s">
        <v>198</v>
      </c>
      <c r="C24" t="e">
        <f>NA()</f>
        <v>#N/A</v>
      </c>
      <c r="D24" s="39">
        <v>5.6701728982227655</v>
      </c>
      <c r="E24" s="2">
        <v>29.12</v>
      </c>
      <c r="F24" s="41">
        <v>0.10581638522088006</v>
      </c>
      <c r="G24" s="2">
        <v>0.49135802469135803</v>
      </c>
      <c r="H24" s="34">
        <v>0.5101865485875976</v>
      </c>
      <c r="I24" s="34"/>
      <c r="J24" s="35">
        <v>35.013461334274545</v>
      </c>
      <c r="K24" s="35">
        <v>37.004688711172165</v>
      </c>
      <c r="L24">
        <v>20.8</v>
      </c>
      <c r="M24" s="35">
        <v>24.917501710259575</v>
      </c>
      <c r="N24">
        <v>3.46</v>
      </c>
      <c r="O24">
        <v>2.75</v>
      </c>
      <c r="Q24" s="1" t="s">
        <v>13</v>
      </c>
      <c r="R24" s="1" t="s">
        <v>198</v>
      </c>
      <c r="S24" s="2" t="e">
        <f t="shared" si="46"/>
        <v>#N/A</v>
      </c>
      <c r="T24" s="2">
        <f t="shared" si="47"/>
        <v>0</v>
      </c>
      <c r="U24" s="2">
        <f t="shared" si="48"/>
        <v>0.70879999999999999</v>
      </c>
      <c r="V24" s="2">
        <f t="shared" si="49"/>
        <v>0.21163277044176013</v>
      </c>
      <c r="W24" s="2">
        <f t="shared" si="50"/>
        <v>0.49135802469135803</v>
      </c>
      <c r="X24" s="2">
        <f t="shared" si="51"/>
        <v>0.1496890856873373</v>
      </c>
      <c r="Y24" s="9">
        <f t="shared" si="53"/>
        <v>0.3122959761640911</v>
      </c>
      <c r="Z24" s="2">
        <f t="shared" si="54"/>
        <v>0.3573351619182078</v>
      </c>
      <c r="AA24" s="2">
        <f t="shared" si="55"/>
        <v>0.46255860888965206</v>
      </c>
      <c r="AB24" s="2">
        <f t="shared" si="56"/>
        <v>0.29714285714285715</v>
      </c>
      <c r="AC24" s="2">
        <f t="shared" si="57"/>
        <v>0.12458750855129788</v>
      </c>
      <c r="AD24" s="2">
        <f t="shared" si="58"/>
        <v>0.34599999999999997</v>
      </c>
      <c r="AE24" s="2">
        <f t="shared" si="59"/>
        <v>0.44999999999999996</v>
      </c>
      <c r="AF24" s="45">
        <f t="shared" si="60"/>
        <v>0.33960402275033585</v>
      </c>
      <c r="AH24" s="34">
        <v>0.18650132751643278</v>
      </c>
      <c r="AI24" s="34">
        <f t="shared" si="61"/>
        <v>0.23071816793476735</v>
      </c>
      <c r="AJ24" s="34">
        <f t="shared" si="62"/>
        <v>4.4216840418334569E-2</v>
      </c>
      <c r="AK24" s="34">
        <f t="shared" si="63"/>
        <v>4.4216840418334569E-2</v>
      </c>
      <c r="AL24" s="41">
        <f t="shared" si="64"/>
        <v>0.23708592859446853</v>
      </c>
      <c r="AN24">
        <f t="shared" si="65"/>
        <v>19</v>
      </c>
      <c r="AO24">
        <f t="shared" si="66"/>
        <v>39</v>
      </c>
      <c r="AP24">
        <f t="shared" si="67"/>
        <v>-20</v>
      </c>
      <c r="AQ24">
        <f t="shared" si="68"/>
        <v>20</v>
      </c>
    </row>
    <row r="25" spans="1:43">
      <c r="A25" s="1" t="s">
        <v>75</v>
      </c>
      <c r="B25" s="1" t="s">
        <v>199</v>
      </c>
      <c r="C25" t="e">
        <f>NA()</f>
        <v>#N/A</v>
      </c>
      <c r="D25" s="39">
        <v>-0.37110805739263608</v>
      </c>
      <c r="E25" s="2">
        <v>47.12</v>
      </c>
      <c r="F25" s="41">
        <v>0.10355088896215711</v>
      </c>
      <c r="G25" s="2">
        <v>0.24000413449863325</v>
      </c>
      <c r="H25" s="34">
        <v>0.12960235621686544</v>
      </c>
      <c r="I25" s="34"/>
      <c r="J25" s="35">
        <v>56.439675919983713</v>
      </c>
      <c r="K25" s="35">
        <v>11.600044354272788</v>
      </c>
      <c r="L25">
        <v>0</v>
      </c>
      <c r="M25" s="35">
        <v>-54.651114824371639</v>
      </c>
      <c r="N25">
        <v>1.8</v>
      </c>
      <c r="O25">
        <v>2.3199999999999998</v>
      </c>
      <c r="Q25" s="1" t="s">
        <v>75</v>
      </c>
      <c r="R25" s="1" t="s">
        <v>199</v>
      </c>
      <c r="S25" s="2" t="e">
        <f t="shared" si="46"/>
        <v>#N/A</v>
      </c>
      <c r="T25" s="2">
        <f t="shared" si="47"/>
        <v>0.53711080573926362</v>
      </c>
      <c r="U25" s="2">
        <f t="shared" si="48"/>
        <v>0.52880000000000005</v>
      </c>
      <c r="V25" s="2">
        <f t="shared" si="49"/>
        <v>0.20710177792431422</v>
      </c>
      <c r="W25" s="2">
        <f t="shared" si="50"/>
        <v>0.24000413449863325</v>
      </c>
      <c r="X25" s="2">
        <f t="shared" si="51"/>
        <v>0.78399607297189089</v>
      </c>
      <c r="Y25" s="9">
        <f t="shared" si="53"/>
        <v>0.45940255822682036</v>
      </c>
      <c r="Z25" s="2">
        <f t="shared" si="54"/>
        <v>0.66342394171405306</v>
      </c>
      <c r="AA25" s="2">
        <f t="shared" si="55"/>
        <v>0.14500055442840984</v>
      </c>
      <c r="AB25" s="2">
        <f t="shared" si="56"/>
        <v>0</v>
      </c>
      <c r="AC25" s="2">
        <f t="shared" si="57"/>
        <v>0</v>
      </c>
      <c r="AD25" s="2">
        <f t="shared" si="58"/>
        <v>0.18</v>
      </c>
      <c r="AE25" s="2">
        <f t="shared" si="59"/>
        <v>0.53600000000000003</v>
      </c>
      <c r="AF25" s="45">
        <f t="shared" si="60"/>
        <v>0.25407074935707713</v>
      </c>
      <c r="AH25" s="34">
        <v>0.249886510262428</v>
      </c>
      <c r="AI25" s="34">
        <f t="shared" si="61"/>
        <v>0.28053467238785246</v>
      </c>
      <c r="AJ25" s="34">
        <f t="shared" si="62"/>
        <v>3.0648162125424455E-2</v>
      </c>
      <c r="AK25" s="34">
        <f t="shared" si="63"/>
        <v>3.0648162125424455E-2</v>
      </c>
      <c r="AL25" s="41">
        <f t="shared" si="64"/>
        <v>0.12264832580693572</v>
      </c>
      <c r="AN25">
        <f t="shared" si="65"/>
        <v>58</v>
      </c>
      <c r="AO25">
        <f t="shared" si="66"/>
        <v>56</v>
      </c>
      <c r="AP25">
        <f t="shared" si="67"/>
        <v>2</v>
      </c>
      <c r="AQ25">
        <f t="shared" si="68"/>
        <v>2</v>
      </c>
    </row>
    <row r="26" spans="1:43">
      <c r="A26" s="1" t="s">
        <v>16</v>
      </c>
      <c r="B26" s="1" t="s">
        <v>200</v>
      </c>
      <c r="C26" t="e">
        <f>NA()</f>
        <v>#N/A</v>
      </c>
      <c r="D26" s="39">
        <v>10.984979016112602</v>
      </c>
      <c r="E26" s="2">
        <v>61.24</v>
      </c>
      <c r="F26" s="41">
        <v>3.7875572850757565E-2</v>
      </c>
      <c r="G26" s="2">
        <v>0.53660362490149727</v>
      </c>
      <c r="H26" s="34">
        <v>0.60309278408584965</v>
      </c>
      <c r="I26" s="34"/>
      <c r="J26" s="35">
        <v>22.261808125804404</v>
      </c>
      <c r="K26" s="35">
        <v>27.343142870037617</v>
      </c>
      <c r="L26">
        <v>0</v>
      </c>
      <c r="M26" s="35">
        <v>11.872695805397381</v>
      </c>
      <c r="N26">
        <v>0</v>
      </c>
      <c r="O26">
        <v>3.78</v>
      </c>
      <c r="Q26" s="1" t="s">
        <v>16</v>
      </c>
      <c r="R26" s="1" t="s">
        <v>200</v>
      </c>
      <c r="S26" s="2" t="e">
        <f t="shared" si="46"/>
        <v>#N/A</v>
      </c>
      <c r="T26" s="2">
        <f t="shared" si="47"/>
        <v>0</v>
      </c>
      <c r="U26" s="2">
        <f t="shared" si="48"/>
        <v>0.38759999999999994</v>
      </c>
      <c r="V26" s="2">
        <f t="shared" si="49"/>
        <v>7.575114570151513E-2</v>
      </c>
      <c r="W26" s="2">
        <f t="shared" si="50"/>
        <v>0.53660362490149727</v>
      </c>
      <c r="X26" s="2">
        <f t="shared" si="51"/>
        <v>0</v>
      </c>
      <c r="Y26" s="9">
        <f t="shared" si="53"/>
        <v>0.19999095412060247</v>
      </c>
      <c r="Z26" s="2">
        <f t="shared" si="54"/>
        <v>0.17516868751149148</v>
      </c>
      <c r="AA26" s="2">
        <f t="shared" si="55"/>
        <v>0.34178928587547019</v>
      </c>
      <c r="AB26" s="2">
        <f t="shared" si="56"/>
        <v>0</v>
      </c>
      <c r="AC26" s="2">
        <f t="shared" si="57"/>
        <v>5.9363479026986903E-2</v>
      </c>
      <c r="AD26" s="2">
        <f t="shared" si="58"/>
        <v>0</v>
      </c>
      <c r="AE26" s="2">
        <f t="shared" si="59"/>
        <v>0.24399999999999999</v>
      </c>
      <c r="AF26" s="45">
        <f t="shared" si="60"/>
        <v>0.13672024206899144</v>
      </c>
      <c r="AH26" s="34">
        <v>0.19277197141073354</v>
      </c>
      <c r="AI26" s="34">
        <f t="shared" si="61"/>
        <v>0.18419438676784475</v>
      </c>
      <c r="AJ26" s="34">
        <f t="shared" si="62"/>
        <v>-8.577584642888797E-3</v>
      </c>
      <c r="AK26" s="34">
        <f t="shared" si="63"/>
        <v>8.577584642888797E-3</v>
      </c>
      <c r="AL26" s="41">
        <f t="shared" si="64"/>
        <v>4.4496015577974203E-2</v>
      </c>
      <c r="AN26">
        <f t="shared" si="65"/>
        <v>23</v>
      </c>
      <c r="AO26">
        <f t="shared" si="66"/>
        <v>16</v>
      </c>
      <c r="AP26">
        <f t="shared" si="67"/>
        <v>7</v>
      </c>
      <c r="AQ26">
        <f t="shared" si="68"/>
        <v>7</v>
      </c>
    </row>
    <row r="27" spans="1:43">
      <c r="A27" s="1" t="s">
        <v>69</v>
      </c>
      <c r="B27" s="1" t="s">
        <v>201</v>
      </c>
      <c r="C27" t="e">
        <f>NA()</f>
        <v>#N/A</v>
      </c>
      <c r="D27" s="39">
        <v>1.1397813621615438</v>
      </c>
      <c r="E27" s="2">
        <v>87</v>
      </c>
      <c r="F27" s="41">
        <v>1.489248587554323E-2</v>
      </c>
      <c r="G27" s="2">
        <v>0.14740994747060632</v>
      </c>
      <c r="H27" s="34">
        <v>0.63978890480446304</v>
      </c>
      <c r="I27" s="34"/>
      <c r="J27" s="35">
        <v>30.091172090949431</v>
      </c>
      <c r="K27" s="35">
        <v>8.0000818522562458</v>
      </c>
      <c r="L27">
        <v>0</v>
      </c>
      <c r="M27" s="35">
        <v>140.21769526143885</v>
      </c>
      <c r="N27">
        <v>0</v>
      </c>
      <c r="O27">
        <v>3.68</v>
      </c>
      <c r="Q27" s="1" t="s">
        <v>69</v>
      </c>
      <c r="R27" s="1" t="s">
        <v>201</v>
      </c>
      <c r="S27" s="2" t="e">
        <f t="shared" si="46"/>
        <v>#N/A</v>
      </c>
      <c r="T27" s="2">
        <f t="shared" si="47"/>
        <v>0.38602186378384562</v>
      </c>
      <c r="U27" s="2">
        <f t="shared" si="48"/>
        <v>0.13</v>
      </c>
      <c r="V27" s="2">
        <f t="shared" si="49"/>
        <v>2.9784971751086461E-2</v>
      </c>
      <c r="W27" s="2">
        <f t="shared" si="50"/>
        <v>0.14740994747060632</v>
      </c>
      <c r="X27" s="2">
        <f t="shared" si="51"/>
        <v>0</v>
      </c>
      <c r="Y27" s="9">
        <f t="shared" si="53"/>
        <v>0.13864335660110766</v>
      </c>
      <c r="Z27" s="2">
        <f t="shared" si="54"/>
        <v>0.28701674415642042</v>
      </c>
      <c r="AA27" s="2">
        <f t="shared" si="55"/>
        <v>0.10000102315320307</v>
      </c>
      <c r="AB27" s="2">
        <f t="shared" si="56"/>
        <v>0</v>
      </c>
      <c r="AC27" s="2">
        <f t="shared" si="57"/>
        <v>0.70108847630719429</v>
      </c>
      <c r="AD27" s="2">
        <f t="shared" si="58"/>
        <v>0</v>
      </c>
      <c r="AE27" s="2">
        <f t="shared" si="59"/>
        <v>0.26400000000000001</v>
      </c>
      <c r="AF27" s="45">
        <f t="shared" si="60"/>
        <v>0.22535104060280298</v>
      </c>
      <c r="AH27" s="34">
        <v>0.1667202749248485</v>
      </c>
      <c r="AI27" s="34">
        <f t="shared" si="61"/>
        <v>0.17276027499482055</v>
      </c>
      <c r="AJ27" s="34">
        <f t="shared" si="62"/>
        <v>6.0400000699720457E-3</v>
      </c>
      <c r="AK27" s="34">
        <f t="shared" si="63"/>
        <v>6.0400000699720457E-3</v>
      </c>
      <c r="AL27" s="41">
        <f t="shared" si="64"/>
        <v>3.6228347588166225E-2</v>
      </c>
      <c r="AN27">
        <f t="shared" si="65"/>
        <v>11</v>
      </c>
      <c r="AO27">
        <f t="shared" si="66"/>
        <v>12</v>
      </c>
      <c r="AP27">
        <f t="shared" si="67"/>
        <v>-1</v>
      </c>
      <c r="AQ27">
        <f t="shared" si="68"/>
        <v>1</v>
      </c>
    </row>
    <row r="28" spans="1:43">
      <c r="A28" s="1" t="s">
        <v>110</v>
      </c>
      <c r="B28" s="1" t="s">
        <v>202</v>
      </c>
      <c r="C28" t="e">
        <f>NA()</f>
        <v>#N/A</v>
      </c>
      <c r="D28" s="39">
        <v>-0.17123691036430755</v>
      </c>
      <c r="E28" s="2">
        <v>40.18</v>
      </c>
      <c r="F28" s="41">
        <v>0.16272785807936233</v>
      </c>
      <c r="G28" s="2">
        <v>0.36308320506221142</v>
      </c>
      <c r="H28" s="34">
        <v>0.11340206168975731</v>
      </c>
      <c r="I28" s="34"/>
      <c r="J28" s="35">
        <v>41.755334289355432</v>
      </c>
      <c r="K28" s="35">
        <v>16.150053044812203</v>
      </c>
      <c r="L28">
        <v>0</v>
      </c>
      <c r="M28" s="35">
        <v>23.976008988654403</v>
      </c>
      <c r="N28">
        <v>1.81</v>
      </c>
      <c r="O28">
        <v>2.23</v>
      </c>
      <c r="Q28" s="1" t="s">
        <v>110</v>
      </c>
      <c r="R28" s="1" t="s">
        <v>202</v>
      </c>
      <c r="S28" s="2" t="e">
        <f t="shared" si="46"/>
        <v>#N/A</v>
      </c>
      <c r="T28" s="2">
        <f t="shared" si="47"/>
        <v>0.51712369103643074</v>
      </c>
      <c r="U28" s="2">
        <f t="shared" si="48"/>
        <v>0.59820000000000007</v>
      </c>
      <c r="V28" s="2">
        <f t="shared" si="49"/>
        <v>0.32545571615872465</v>
      </c>
      <c r="W28" s="2">
        <f t="shared" si="50"/>
        <v>0.36308320506221142</v>
      </c>
      <c r="X28" s="2">
        <f t="shared" si="51"/>
        <v>0.81099656385040442</v>
      </c>
      <c r="Y28" s="9">
        <f t="shared" si="53"/>
        <v>0.52297183522155422</v>
      </c>
      <c r="Z28" s="2">
        <f t="shared" si="54"/>
        <v>0.45364763270507757</v>
      </c>
      <c r="AA28" s="2">
        <f t="shared" si="55"/>
        <v>0.20187566306015253</v>
      </c>
      <c r="AB28" s="2">
        <f t="shared" si="56"/>
        <v>0</v>
      </c>
      <c r="AC28" s="2">
        <f t="shared" si="57"/>
        <v>0.11988004494327202</v>
      </c>
      <c r="AD28" s="2">
        <f t="shared" si="58"/>
        <v>0.18099999999999999</v>
      </c>
      <c r="AE28" s="2">
        <f t="shared" si="59"/>
        <v>0.55400000000000005</v>
      </c>
      <c r="AF28" s="45">
        <f t="shared" si="60"/>
        <v>0.25173389011808373</v>
      </c>
      <c r="AH28" s="34">
        <v>0.24357874104041274</v>
      </c>
      <c r="AI28" s="34">
        <f t="shared" si="61"/>
        <v>0.28489006576531944</v>
      </c>
      <c r="AJ28" s="34">
        <f t="shared" si="62"/>
        <v>4.1311324724906701E-2</v>
      </c>
      <c r="AK28" s="34">
        <f t="shared" si="63"/>
        <v>4.1311324724906701E-2</v>
      </c>
      <c r="AL28" s="41">
        <f t="shared" si="64"/>
        <v>0.16960152001956788</v>
      </c>
      <c r="AN28">
        <f t="shared" ref="AN28:AN91" si="69">[1]!mrank(AH28,$AH$18:$AH$209,TRUE,TRUE)</f>
        <v>55</v>
      </c>
      <c r="AO28">
        <f t="shared" ref="AO28:AO91" si="70">[1]!mrank(AI28,$AI$18:$AI$209,TRUE,TRUE)</f>
        <v>61</v>
      </c>
      <c r="AP28">
        <f t="shared" si="67"/>
        <v>-6</v>
      </c>
      <c r="AQ28">
        <f t="shared" si="68"/>
        <v>6</v>
      </c>
    </row>
    <row r="29" spans="1:43">
      <c r="A29" s="1" t="s">
        <v>26</v>
      </c>
      <c r="B29" s="1" t="s">
        <v>203</v>
      </c>
      <c r="C29" t="e">
        <f>NA()</f>
        <v>#N/A</v>
      </c>
      <c r="D29" s="39" t="e">
        <v>#N/A</v>
      </c>
      <c r="E29" s="2">
        <v>79.59</v>
      </c>
      <c r="F29" s="41" t="e">
        <v>#N/A</v>
      </c>
      <c r="G29" s="2">
        <v>0.35861054151173888</v>
      </c>
      <c r="H29" s="34">
        <v>0.24275895987400264</v>
      </c>
      <c r="I29" s="34"/>
      <c r="J29" s="35">
        <v>87.240009648785431</v>
      </c>
      <c r="K29" s="35">
        <v>0</v>
      </c>
      <c r="L29">
        <v>0</v>
      </c>
      <c r="M29" s="35">
        <v>17.946061849387981</v>
      </c>
      <c r="N29">
        <v>1.47</v>
      </c>
      <c r="O29">
        <v>2.4</v>
      </c>
      <c r="Q29" s="1" t="s">
        <v>26</v>
      </c>
      <c r="R29" s="1" t="s">
        <v>203</v>
      </c>
      <c r="S29" s="2" t="e">
        <f t="shared" si="46"/>
        <v>#N/A</v>
      </c>
      <c r="T29" s="2" t="e">
        <f t="shared" si="47"/>
        <v>#N/A</v>
      </c>
      <c r="U29" s="2">
        <f t="shared" si="48"/>
        <v>0.20409999999999995</v>
      </c>
      <c r="V29" s="2" t="e">
        <f t="shared" si="49"/>
        <v>#N/A</v>
      </c>
      <c r="W29" s="2">
        <f t="shared" si="50"/>
        <v>0.35861054151173888</v>
      </c>
      <c r="X29" s="2">
        <f t="shared" si="51"/>
        <v>0.59540173354332893</v>
      </c>
      <c r="Y29" s="9">
        <f t="shared" si="53"/>
        <v>0.38603742501835586</v>
      </c>
      <c r="Z29" s="2">
        <f t="shared" si="54"/>
        <v>1</v>
      </c>
      <c r="AA29" s="2">
        <f t="shared" si="55"/>
        <v>0</v>
      </c>
      <c r="AB29" s="2">
        <f t="shared" si="56"/>
        <v>0</v>
      </c>
      <c r="AC29" s="2">
        <f t="shared" si="57"/>
        <v>8.9730309246939907E-2</v>
      </c>
      <c r="AD29" s="2">
        <f t="shared" si="58"/>
        <v>0.14699999999999999</v>
      </c>
      <c r="AE29" s="2">
        <f t="shared" si="59"/>
        <v>0.52</v>
      </c>
      <c r="AF29" s="45">
        <f t="shared" si="60"/>
        <v>0.29278838487448999</v>
      </c>
      <c r="AH29" s="34">
        <v>0.32642740115040858</v>
      </c>
      <c r="AI29" s="34">
        <f t="shared" si="61"/>
        <v>0.32917643034138644</v>
      </c>
      <c r="AJ29" s="34">
        <f t="shared" si="62"/>
        <v>2.7490291909778586E-3</v>
      </c>
      <c r="AK29" s="34">
        <f t="shared" si="63"/>
        <v>2.7490291909778586E-3</v>
      </c>
      <c r="AL29" s="41">
        <f t="shared" si="64"/>
        <v>8.4215638187530185E-3</v>
      </c>
      <c r="AN29">
        <f t="shared" si="69"/>
        <v>107</v>
      </c>
      <c r="AO29">
        <f t="shared" si="70"/>
        <v>89</v>
      </c>
      <c r="AP29">
        <f t="shared" si="67"/>
        <v>18</v>
      </c>
      <c r="AQ29">
        <f t="shared" si="68"/>
        <v>18</v>
      </c>
    </row>
    <row r="30" spans="1:43">
      <c r="A30" s="1" t="s">
        <v>15</v>
      </c>
      <c r="B30" s="1" t="s">
        <v>204</v>
      </c>
      <c r="C30" t="e">
        <f>NA()</f>
        <v>#N/A</v>
      </c>
      <c r="D30" s="39" t="e">
        <v>#N/A</v>
      </c>
      <c r="E30" s="2">
        <v>7.47</v>
      </c>
      <c r="F30" s="41">
        <v>3.6627603561988097E-3</v>
      </c>
      <c r="G30" s="2">
        <v>0.30579158340238732</v>
      </c>
      <c r="H30" s="34">
        <v>0.15378006899121766</v>
      </c>
      <c r="I30" s="34"/>
      <c r="J30" s="35">
        <v>15.766984465492314</v>
      </c>
      <c r="K30" s="35">
        <v>0</v>
      </c>
      <c r="L30">
        <v>0</v>
      </c>
      <c r="M30" s="35">
        <v>0.59476469470384796</v>
      </c>
      <c r="N30">
        <v>0</v>
      </c>
      <c r="O30">
        <v>3.36</v>
      </c>
      <c r="Q30" s="1" t="s">
        <v>15</v>
      </c>
      <c r="R30" s="1" t="s">
        <v>204</v>
      </c>
      <c r="S30" s="2" t="e">
        <f t="shared" si="46"/>
        <v>#N/A</v>
      </c>
      <c r="T30" s="2" t="e">
        <f t="shared" si="47"/>
        <v>#N/A</v>
      </c>
      <c r="U30" s="2">
        <f t="shared" si="48"/>
        <v>0.92530000000000001</v>
      </c>
      <c r="V30" s="2">
        <f t="shared" si="49"/>
        <v>7.3255207123976195E-3</v>
      </c>
      <c r="W30" s="2">
        <f t="shared" si="50"/>
        <v>0.30579158340238732</v>
      </c>
      <c r="X30" s="2">
        <f t="shared" si="51"/>
        <v>0.74369988501463724</v>
      </c>
      <c r="Y30" s="9">
        <f t="shared" si="53"/>
        <v>0.49552924728235553</v>
      </c>
      <c r="Z30" s="2">
        <f t="shared" si="54"/>
        <v>8.2385492364175916E-2</v>
      </c>
      <c r="AA30" s="2">
        <f t="shared" si="55"/>
        <v>0</v>
      </c>
      <c r="AB30" s="2">
        <f t="shared" si="56"/>
        <v>0</v>
      </c>
      <c r="AC30" s="2">
        <f t="shared" si="57"/>
        <v>2.9738234735192399E-3</v>
      </c>
      <c r="AD30" s="2">
        <f t="shared" si="58"/>
        <v>0</v>
      </c>
      <c r="AE30" s="2">
        <f t="shared" si="59"/>
        <v>0.32800000000000007</v>
      </c>
      <c r="AF30" s="45">
        <f t="shared" si="60"/>
        <v>6.8893219306282547E-2</v>
      </c>
      <c r="AH30" s="34">
        <v>0.33520185312087075</v>
      </c>
      <c r="AI30" s="34">
        <f t="shared" si="61"/>
        <v>0.31245285791858202</v>
      </c>
      <c r="AJ30" s="34">
        <f t="shared" si="62"/>
        <v>-2.2748995202288735E-2</v>
      </c>
      <c r="AK30" s="34">
        <f t="shared" si="63"/>
        <v>2.2748995202288735E-2</v>
      </c>
      <c r="AL30" s="41">
        <f t="shared" si="64"/>
        <v>6.7866555600710393E-2</v>
      </c>
      <c r="AN30">
        <f t="shared" si="69"/>
        <v>111</v>
      </c>
      <c r="AO30">
        <f t="shared" si="70"/>
        <v>78</v>
      </c>
      <c r="AP30">
        <f t="shared" si="67"/>
        <v>33</v>
      </c>
      <c r="AQ30">
        <f t="shared" si="68"/>
        <v>33</v>
      </c>
    </row>
    <row r="31" spans="1:43">
      <c r="A31" s="1" t="s">
        <v>166</v>
      </c>
      <c r="B31" s="1" t="s">
        <v>205</v>
      </c>
      <c r="C31" t="e">
        <f>NA()</f>
        <v>#N/A</v>
      </c>
      <c r="D31" s="39">
        <v>-0.11638711849280386</v>
      </c>
      <c r="E31" s="2">
        <v>10.76</v>
      </c>
      <c r="F31" s="41">
        <v>0.16940415701030906</v>
      </c>
      <c r="G31" s="2">
        <v>0.56978917933085704</v>
      </c>
      <c r="H31" s="34">
        <v>0.19845360795707523</v>
      </c>
      <c r="I31" s="34"/>
      <c r="J31" s="35">
        <v>35.058596117289099</v>
      </c>
      <c r="K31" s="35">
        <v>53.49536846345557</v>
      </c>
      <c r="L31">
        <v>61.6</v>
      </c>
      <c r="M31" s="35">
        <v>153.28264269448141</v>
      </c>
      <c r="N31">
        <v>10.56</v>
      </c>
      <c r="O31">
        <v>2.4900000000000002</v>
      </c>
      <c r="Q31" s="1" t="s">
        <v>166</v>
      </c>
      <c r="R31" s="1" t="s">
        <v>205</v>
      </c>
      <c r="S31" s="2" t="e">
        <f t="shared" si="46"/>
        <v>#N/A</v>
      </c>
      <c r="T31" s="2">
        <f t="shared" si="47"/>
        <v>0.51163871184928034</v>
      </c>
      <c r="U31" s="2">
        <f t="shared" si="48"/>
        <v>0.89239999999999997</v>
      </c>
      <c r="V31" s="2">
        <f t="shared" si="49"/>
        <v>0.33880831402061812</v>
      </c>
      <c r="W31" s="2">
        <f t="shared" si="50"/>
        <v>0.56978917933085704</v>
      </c>
      <c r="X31" s="2">
        <f t="shared" si="51"/>
        <v>0.66924398673820795</v>
      </c>
      <c r="Y31" s="9">
        <f t="shared" si="53"/>
        <v>0.59637603838779263</v>
      </c>
      <c r="Z31" s="2">
        <f t="shared" si="54"/>
        <v>0.35797994453270143</v>
      </c>
      <c r="AA31" s="2">
        <f t="shared" si="55"/>
        <v>0.6686921057931946</v>
      </c>
      <c r="AB31" s="2">
        <f t="shared" si="56"/>
        <v>0.88</v>
      </c>
      <c r="AC31" s="2">
        <f t="shared" si="57"/>
        <v>0.7664132134724071</v>
      </c>
      <c r="AD31" s="2">
        <f t="shared" si="58"/>
        <v>1</v>
      </c>
      <c r="AE31" s="2">
        <f t="shared" si="59"/>
        <v>0.502</v>
      </c>
      <c r="AF31" s="45">
        <f t="shared" si="60"/>
        <v>0.69584754396638371</v>
      </c>
      <c r="AH31" s="34">
        <v>0.43333331351883547</v>
      </c>
      <c r="AI31" s="34">
        <f t="shared" si="61"/>
        <v>0.50162757086255194</v>
      </c>
      <c r="AJ31" s="34">
        <f t="shared" si="62"/>
        <v>6.8294257343716469E-2</v>
      </c>
      <c r="AK31" s="34">
        <f t="shared" si="63"/>
        <v>6.8294257343716469E-2</v>
      </c>
      <c r="AL31" s="41">
        <f t="shared" si="64"/>
        <v>0.15760213953813168</v>
      </c>
      <c r="AN31">
        <f t="shared" si="69"/>
        <v>138</v>
      </c>
      <c r="AO31">
        <f t="shared" si="70"/>
        <v>152</v>
      </c>
      <c r="AP31">
        <f t="shared" si="67"/>
        <v>-14</v>
      </c>
      <c r="AQ31">
        <f t="shared" si="68"/>
        <v>14</v>
      </c>
    </row>
    <row r="32" spans="1:43">
      <c r="A32" s="1" t="s">
        <v>133</v>
      </c>
      <c r="B32" s="1" t="s">
        <v>206</v>
      </c>
      <c r="C32" t="e">
        <f>NA()</f>
        <v>#N/A</v>
      </c>
      <c r="D32" s="39" t="e">
        <v>#N/A</v>
      </c>
      <c r="E32" s="2">
        <v>0.53</v>
      </c>
      <c r="F32" s="41" t="e">
        <v>#N/A</v>
      </c>
      <c r="G32" s="2">
        <v>0.31573438786674596</v>
      </c>
      <c r="H32" s="34">
        <v>0.2833824252080831</v>
      </c>
      <c r="I32" s="34"/>
      <c r="J32" s="35">
        <v>100</v>
      </c>
      <c r="K32" s="35">
        <v>0</v>
      </c>
      <c r="L32">
        <v>0</v>
      </c>
      <c r="M32" s="35">
        <v>556.15921065701366</v>
      </c>
      <c r="N32" t="e">
        <v>#N/A</v>
      </c>
      <c r="O32" t="e">
        <v>#N/A</v>
      </c>
      <c r="Q32" s="1" t="s">
        <v>133</v>
      </c>
      <c r="R32" s="1" t="s">
        <v>206</v>
      </c>
      <c r="S32" s="2" t="e">
        <f t="shared" si="46"/>
        <v>#N/A</v>
      </c>
      <c r="T32" s="2" t="e">
        <f t="shared" si="47"/>
        <v>#N/A</v>
      </c>
      <c r="U32" s="2">
        <f t="shared" si="48"/>
        <v>0.99470000000000003</v>
      </c>
      <c r="V32" s="2" t="e">
        <f t="shared" si="49"/>
        <v>#N/A</v>
      </c>
      <c r="W32" s="2">
        <f t="shared" si="50"/>
        <v>0.31573438786674596</v>
      </c>
      <c r="X32" s="2">
        <f t="shared" si="51"/>
        <v>0.52769595798652813</v>
      </c>
      <c r="Y32" s="9">
        <f t="shared" si="53"/>
        <v>0.61271011528442465</v>
      </c>
      <c r="Z32" s="2">
        <f t="shared" si="54"/>
        <v>1</v>
      </c>
      <c r="AA32" s="2">
        <f t="shared" si="55"/>
        <v>0</v>
      </c>
      <c r="AB32" s="2">
        <f t="shared" si="56"/>
        <v>0</v>
      </c>
      <c r="AC32" s="2">
        <f t="shared" si="57"/>
        <v>1</v>
      </c>
      <c r="AD32" s="2" t="e">
        <f t="shared" si="58"/>
        <v>#N/A</v>
      </c>
      <c r="AE32" s="2" t="e">
        <f t="shared" si="59"/>
        <v>#N/A</v>
      </c>
      <c r="AF32" s="45">
        <f t="shared" si="60"/>
        <v>0.5</v>
      </c>
      <c r="AH32" s="34">
        <v>0.26075988246182863</v>
      </c>
      <c r="AI32" s="34">
        <f t="shared" si="61"/>
        <v>0.35205107872874314</v>
      </c>
      <c r="AJ32" s="34">
        <f t="shared" si="62"/>
        <v>9.1291196266914509E-2</v>
      </c>
      <c r="AK32" s="34">
        <f t="shared" si="63"/>
        <v>9.1291196266914509E-2</v>
      </c>
      <c r="AL32" s="41">
        <f t="shared" si="64"/>
        <v>0.35009678407980638</v>
      </c>
      <c r="AN32">
        <f t="shared" si="69"/>
        <v>68</v>
      </c>
      <c r="AO32">
        <f t="shared" si="70"/>
        <v>105</v>
      </c>
      <c r="AP32">
        <f t="shared" si="67"/>
        <v>-37</v>
      </c>
      <c r="AQ32">
        <f t="shared" si="68"/>
        <v>37</v>
      </c>
    </row>
    <row r="33" spans="1:43">
      <c r="A33" s="1" t="s">
        <v>51</v>
      </c>
      <c r="B33" s="1" t="s">
        <v>207</v>
      </c>
      <c r="C33" t="e">
        <f>NA()</f>
        <v>#N/A</v>
      </c>
      <c r="D33" s="39">
        <v>1.3306688251249175</v>
      </c>
      <c r="E33" s="2">
        <v>42.47</v>
      </c>
      <c r="F33" s="41">
        <v>0.10878546307127146</v>
      </c>
      <c r="G33" s="2">
        <v>9.896666379821957E-2</v>
      </c>
      <c r="H33" s="34">
        <v>0.38070692138704221</v>
      </c>
      <c r="I33" s="34"/>
      <c r="J33" s="35">
        <v>26.26729584298473</v>
      </c>
      <c r="K33" s="35">
        <v>8.000085850847638</v>
      </c>
      <c r="L33">
        <v>0</v>
      </c>
      <c r="M33" s="35">
        <v>-326.34221936453713</v>
      </c>
      <c r="N33">
        <v>0.75</v>
      </c>
      <c r="O33">
        <v>2.63</v>
      </c>
      <c r="Q33" s="1" t="s">
        <v>51</v>
      </c>
      <c r="R33" s="1" t="s">
        <v>207</v>
      </c>
      <c r="S33" s="2" t="e">
        <f t="shared" si="46"/>
        <v>#N/A</v>
      </c>
      <c r="T33" s="2">
        <f t="shared" si="47"/>
        <v>0.36693311748750834</v>
      </c>
      <c r="U33" s="2">
        <f t="shared" si="48"/>
        <v>0.57530000000000003</v>
      </c>
      <c r="V33" s="2">
        <f t="shared" si="49"/>
        <v>0.21757092614254292</v>
      </c>
      <c r="W33" s="2">
        <f t="shared" si="50"/>
        <v>9.896666379821957E-2</v>
      </c>
      <c r="X33" s="2">
        <f t="shared" si="51"/>
        <v>0.36548846435492965</v>
      </c>
      <c r="Y33" s="9">
        <f t="shared" si="53"/>
        <v>0.32485183435664011</v>
      </c>
      <c r="Z33" s="2">
        <f t="shared" si="54"/>
        <v>0.23238994061406756</v>
      </c>
      <c r="AA33" s="2">
        <f t="shared" si="55"/>
        <v>0.10000107313559548</v>
      </c>
      <c r="AB33" s="2">
        <f t="shared" si="56"/>
        <v>0</v>
      </c>
      <c r="AC33" s="2">
        <f t="shared" si="57"/>
        <v>0</v>
      </c>
      <c r="AD33" s="2">
        <f t="shared" si="58"/>
        <v>7.4999999999999997E-2</v>
      </c>
      <c r="AE33" s="2">
        <f t="shared" si="59"/>
        <v>0.47399999999999998</v>
      </c>
      <c r="AF33" s="45">
        <f t="shared" si="60"/>
        <v>0.1468985022916105</v>
      </c>
      <c r="AH33" s="34">
        <v>0.19862378403135397</v>
      </c>
      <c r="AI33" s="34">
        <f t="shared" si="61"/>
        <v>0.20778917149386739</v>
      </c>
      <c r="AJ33" s="34">
        <f t="shared" si="62"/>
        <v>9.1653874625134135E-3</v>
      </c>
      <c r="AK33" s="34">
        <f t="shared" si="63"/>
        <v>9.1653874625134135E-3</v>
      </c>
      <c r="AL33" s="41">
        <f t="shared" si="64"/>
        <v>4.6144461033259747E-2</v>
      </c>
      <c r="AN33">
        <f t="shared" si="69"/>
        <v>27</v>
      </c>
      <c r="AO33">
        <f t="shared" si="70"/>
        <v>26</v>
      </c>
      <c r="AP33">
        <f t="shared" si="67"/>
        <v>1</v>
      </c>
      <c r="AQ33">
        <f t="shared" si="68"/>
        <v>1</v>
      </c>
    </row>
    <row r="34" spans="1:43">
      <c r="A34" s="1" t="s">
        <v>4</v>
      </c>
      <c r="B34" s="1" t="s">
        <v>208</v>
      </c>
      <c r="C34" t="e">
        <f>NA()</f>
        <v>#N/A</v>
      </c>
      <c r="D34" s="39">
        <v>-2.7836338918780923</v>
      </c>
      <c r="E34" s="2">
        <v>81.12</v>
      </c>
      <c r="F34" s="41">
        <v>8.770483677003383E-3</v>
      </c>
      <c r="G34" s="2">
        <v>6.5705220359602537E-2</v>
      </c>
      <c r="H34" s="34">
        <v>0.78939617114759364</v>
      </c>
      <c r="I34" s="34"/>
      <c r="J34" s="35">
        <v>17.96978987365042</v>
      </c>
      <c r="K34" s="35">
        <v>18.804170757653317</v>
      </c>
      <c r="L34">
        <v>0</v>
      </c>
      <c r="M34" s="35">
        <v>2.6923330113836208</v>
      </c>
      <c r="N34">
        <v>0</v>
      </c>
      <c r="O34">
        <v>4.01</v>
      </c>
      <c r="Q34" s="1" t="s">
        <v>4</v>
      </c>
      <c r="R34" s="1" t="s">
        <v>208</v>
      </c>
      <c r="S34" s="2" t="e">
        <f t="shared" si="46"/>
        <v>#N/A</v>
      </c>
      <c r="T34" s="2">
        <f t="shared" si="47"/>
        <v>0.77836338918780923</v>
      </c>
      <c r="U34" s="2">
        <f t="shared" si="48"/>
        <v>0.18879999999999997</v>
      </c>
      <c r="V34" s="2">
        <f t="shared" si="49"/>
        <v>1.7540967354006766E-2</v>
      </c>
      <c r="W34" s="2">
        <f t="shared" si="50"/>
        <v>6.5705220359602537E-2</v>
      </c>
      <c r="X34" s="2">
        <f t="shared" si="51"/>
        <v>0</v>
      </c>
      <c r="Y34" s="9">
        <f t="shared" si="53"/>
        <v>0.2100819153802837</v>
      </c>
      <c r="Z34" s="2">
        <f t="shared" si="54"/>
        <v>0.11385414105214886</v>
      </c>
      <c r="AA34" s="2">
        <f t="shared" si="55"/>
        <v>0.23505213447066647</v>
      </c>
      <c r="AB34" s="2">
        <f t="shared" si="56"/>
        <v>0</v>
      </c>
      <c r="AC34" s="2">
        <f t="shared" si="57"/>
        <v>1.3461665056918103E-2</v>
      </c>
      <c r="AD34" s="2">
        <f t="shared" si="58"/>
        <v>0</v>
      </c>
      <c r="AE34" s="2">
        <f t="shared" si="59"/>
        <v>0.19800000000000006</v>
      </c>
      <c r="AF34" s="45">
        <f t="shared" si="60"/>
        <v>9.3394656763288911E-2</v>
      </c>
      <c r="AH34" s="34">
        <v>0.25008081400898868</v>
      </c>
      <c r="AI34" s="34">
        <f t="shared" si="61"/>
        <v>0.21750620153419656</v>
      </c>
      <c r="AJ34" s="34">
        <f t="shared" si="62"/>
        <v>-3.2574612474792125E-2</v>
      </c>
      <c r="AK34" s="34">
        <f t="shared" si="63"/>
        <v>3.2574612474792125E-2</v>
      </c>
      <c r="AL34" s="41">
        <f t="shared" si="64"/>
        <v>0.13025634374982997</v>
      </c>
      <c r="AN34">
        <f t="shared" si="69"/>
        <v>59</v>
      </c>
      <c r="AO34">
        <f t="shared" si="70"/>
        <v>33</v>
      </c>
      <c r="AP34">
        <f t="shared" si="67"/>
        <v>26</v>
      </c>
      <c r="AQ34">
        <f t="shared" si="68"/>
        <v>26</v>
      </c>
    </row>
    <row r="35" spans="1:43">
      <c r="A35" s="1" t="s">
        <v>109</v>
      </c>
      <c r="B35" s="1" t="s">
        <v>209</v>
      </c>
      <c r="C35" t="e">
        <f>NA()</f>
        <v>#N/A</v>
      </c>
      <c r="D35" s="39" t="e">
        <v>#N/A</v>
      </c>
      <c r="E35" s="2">
        <v>98.88</v>
      </c>
      <c r="F35" s="41">
        <v>0.36769111473345023</v>
      </c>
      <c r="G35" s="2">
        <v>0.21841180718684769</v>
      </c>
      <c r="H35" s="34">
        <v>0.20630829718800925</v>
      </c>
      <c r="I35" s="34"/>
      <c r="J35" s="35" t="e">
        <v>#N/A</v>
      </c>
      <c r="K35" s="35">
        <v>0</v>
      </c>
      <c r="L35">
        <v>18.7</v>
      </c>
      <c r="M35" s="35">
        <v>28.094669833124886</v>
      </c>
      <c r="N35" t="e">
        <v>#N/A</v>
      </c>
      <c r="O35" t="e">
        <v>#N/A</v>
      </c>
      <c r="Q35" s="1" t="s">
        <v>109</v>
      </c>
      <c r="R35" s="1" t="s">
        <v>209</v>
      </c>
      <c r="S35" s="2" t="e">
        <f t="shared" si="46"/>
        <v>#N/A</v>
      </c>
      <c r="T35" s="2" t="e">
        <f t="shared" si="47"/>
        <v>#N/A</v>
      </c>
      <c r="U35" s="2">
        <f t="shared" si="48"/>
        <v>1.1200000000000099E-2</v>
      </c>
      <c r="V35" s="2">
        <f t="shared" si="49"/>
        <v>0.73538222946690046</v>
      </c>
      <c r="W35" s="2">
        <f t="shared" si="50"/>
        <v>0.21841180718684769</v>
      </c>
      <c r="X35" s="2">
        <f t="shared" si="51"/>
        <v>0.65615283801998459</v>
      </c>
      <c r="Y35" s="9">
        <f t="shared" si="53"/>
        <v>0.40528671866843324</v>
      </c>
      <c r="Z35" s="2" t="e">
        <f t="shared" si="54"/>
        <v>#N/A</v>
      </c>
      <c r="AA35" s="2">
        <f t="shared" si="55"/>
        <v>0</v>
      </c>
      <c r="AB35" s="2">
        <f t="shared" si="56"/>
        <v>0.26714285714285713</v>
      </c>
      <c r="AC35" s="2">
        <f t="shared" si="57"/>
        <v>0.14047334916562443</v>
      </c>
      <c r="AD35" s="2" t="e">
        <f t="shared" si="58"/>
        <v>#N/A</v>
      </c>
      <c r="AE35" s="2" t="e">
        <f t="shared" si="59"/>
        <v>#N/A</v>
      </c>
      <c r="AF35" s="45" t="e">
        <f t="shared" si="60"/>
        <v>#N/A</v>
      </c>
      <c r="AH35" s="34">
        <v>0.30994525258645705</v>
      </c>
      <c r="AI35" s="34" t="e">
        <f t="shared" si="61"/>
        <v>#N/A</v>
      </c>
      <c r="AJ35" s="34" t="e">
        <f t="shared" si="62"/>
        <v>#N/A</v>
      </c>
      <c r="AK35" s="34" t="e">
        <f t="shared" si="63"/>
        <v>#N/A</v>
      </c>
      <c r="AL35" s="41" t="e">
        <f t="shared" si="64"/>
        <v>#N/A</v>
      </c>
      <c r="AN35">
        <f t="shared" si="69"/>
        <v>101</v>
      </c>
      <c r="AO35" t="e">
        <f t="shared" si="70"/>
        <v>#VALUE!</v>
      </c>
      <c r="AP35" t="e">
        <f t="shared" si="67"/>
        <v>#VALUE!</v>
      </c>
      <c r="AQ35" t="e">
        <f t="shared" si="68"/>
        <v>#VALUE!</v>
      </c>
    </row>
    <row r="36" spans="1:43">
      <c r="A36" s="1" t="s">
        <v>132</v>
      </c>
      <c r="B36" s="1" t="s">
        <v>210</v>
      </c>
      <c r="C36" t="e">
        <f>NA()</f>
        <v>#N/A</v>
      </c>
      <c r="D36" s="39">
        <v>-0.24697213881182167</v>
      </c>
      <c r="E36" s="2">
        <v>98.88</v>
      </c>
      <c r="F36" s="41">
        <v>0.27561749997160101</v>
      </c>
      <c r="G36" s="2">
        <v>0.18592744435294842</v>
      </c>
      <c r="H36" s="34">
        <v>0.2428816888903127</v>
      </c>
      <c r="I36" s="34"/>
      <c r="J36" s="35">
        <v>22.71916344935541</v>
      </c>
      <c r="K36" s="35">
        <v>18.000072882475806</v>
      </c>
      <c r="L36">
        <v>69.8</v>
      </c>
      <c r="M36" s="35">
        <v>33.651238899874528</v>
      </c>
      <c r="N36">
        <v>7.53</v>
      </c>
      <c r="O36">
        <v>2.48</v>
      </c>
      <c r="Q36" s="1" t="s">
        <v>132</v>
      </c>
      <c r="R36" s="1" t="s">
        <v>210</v>
      </c>
      <c r="S36" s="2" t="e">
        <f t="shared" si="46"/>
        <v>#N/A</v>
      </c>
      <c r="T36" s="2">
        <f t="shared" si="47"/>
        <v>0.52469721388118218</v>
      </c>
      <c r="U36" s="2">
        <f t="shared" si="48"/>
        <v>1.1200000000000099E-2</v>
      </c>
      <c r="V36" s="2">
        <f t="shared" si="49"/>
        <v>0.55123499994320202</v>
      </c>
      <c r="W36" s="2">
        <f t="shared" si="50"/>
        <v>0.18592744435294842</v>
      </c>
      <c r="X36" s="2">
        <f t="shared" si="51"/>
        <v>0.59519718518281217</v>
      </c>
      <c r="Y36" s="9">
        <f t="shared" si="53"/>
        <v>0.37365136867202897</v>
      </c>
      <c r="Z36" s="2">
        <f t="shared" si="54"/>
        <v>0.18170233499079158</v>
      </c>
      <c r="AA36" s="2">
        <f t="shared" si="55"/>
        <v>0.22500091103094758</v>
      </c>
      <c r="AB36" s="2">
        <f t="shared" si="56"/>
        <v>0.99714285714285711</v>
      </c>
      <c r="AC36" s="2">
        <f t="shared" si="57"/>
        <v>0.16825619449937265</v>
      </c>
      <c r="AD36" s="2">
        <f t="shared" si="58"/>
        <v>0.753</v>
      </c>
      <c r="AE36" s="2">
        <f t="shared" si="59"/>
        <v>0.504</v>
      </c>
      <c r="AF36" s="45">
        <f t="shared" si="60"/>
        <v>0.47151704961066149</v>
      </c>
      <c r="AH36" s="34">
        <v>0.48073418060646816</v>
      </c>
      <c r="AI36" s="34">
        <f t="shared" si="61"/>
        <v>0.4638565564451243</v>
      </c>
      <c r="AJ36" s="34">
        <f t="shared" si="62"/>
        <v>-1.6877624161343863E-2</v>
      </c>
      <c r="AK36" s="34">
        <f t="shared" si="63"/>
        <v>1.6877624161343863E-2</v>
      </c>
      <c r="AL36" s="41">
        <f t="shared" si="64"/>
        <v>3.510801778240933E-2</v>
      </c>
      <c r="AN36">
        <f t="shared" si="69"/>
        <v>158</v>
      </c>
      <c r="AO36">
        <f t="shared" si="70"/>
        <v>136</v>
      </c>
      <c r="AP36">
        <f t="shared" si="67"/>
        <v>22</v>
      </c>
      <c r="AQ36">
        <f t="shared" si="68"/>
        <v>22</v>
      </c>
    </row>
    <row r="37" spans="1:43">
      <c r="A37" s="1" t="s">
        <v>146</v>
      </c>
      <c r="B37" s="1" t="s">
        <v>211</v>
      </c>
      <c r="C37" t="e">
        <f>NA()</f>
        <v>#N/A</v>
      </c>
      <c r="D37" s="39" t="e">
        <v>#N/A</v>
      </c>
      <c r="E37" s="2">
        <v>95.06</v>
      </c>
      <c r="F37" s="41">
        <v>0.85273088748710102</v>
      </c>
      <c r="G37" s="2">
        <v>0.5160344095391699</v>
      </c>
      <c r="H37" s="34">
        <v>6.075110447665566E-2</v>
      </c>
      <c r="I37" s="34"/>
      <c r="J37" s="35" t="e">
        <v>#N/A</v>
      </c>
      <c r="K37" s="35">
        <v>0</v>
      </c>
      <c r="L37">
        <v>0</v>
      </c>
      <c r="M37" s="35">
        <v>187.81401339875495</v>
      </c>
      <c r="N37">
        <v>4.33</v>
      </c>
      <c r="O37">
        <v>1.83</v>
      </c>
      <c r="Q37" s="1" t="s">
        <v>146</v>
      </c>
      <c r="R37" s="1" t="s">
        <v>211</v>
      </c>
      <c r="S37" s="2" t="e">
        <f t="shared" si="46"/>
        <v>#N/A</v>
      </c>
      <c r="T37" s="2" t="e">
        <f t="shared" si="47"/>
        <v>#N/A</v>
      </c>
      <c r="U37" s="2">
        <f t="shared" si="48"/>
        <v>4.9399999999999999E-2</v>
      </c>
      <c r="V37" s="2">
        <f t="shared" si="49"/>
        <v>1</v>
      </c>
      <c r="W37" s="2">
        <f t="shared" si="50"/>
        <v>0.5160344095391699</v>
      </c>
      <c r="X37" s="2">
        <f t="shared" si="51"/>
        <v>0.89874815920557394</v>
      </c>
      <c r="Y37" s="9">
        <f t="shared" si="53"/>
        <v>0.61604564218618596</v>
      </c>
      <c r="Z37" s="2" t="e">
        <f t="shared" si="54"/>
        <v>#N/A</v>
      </c>
      <c r="AA37" s="2">
        <f t="shared" si="55"/>
        <v>0</v>
      </c>
      <c r="AB37" s="2">
        <f t="shared" si="56"/>
        <v>0</v>
      </c>
      <c r="AC37" s="2">
        <f t="shared" si="57"/>
        <v>0.93907006699377471</v>
      </c>
      <c r="AD37" s="2">
        <f t="shared" si="58"/>
        <v>0.433</v>
      </c>
      <c r="AE37" s="2">
        <f t="shared" si="59"/>
        <v>0.63400000000000001</v>
      </c>
      <c r="AF37" s="45">
        <f t="shared" si="60"/>
        <v>0.40121401339875495</v>
      </c>
      <c r="AH37" s="34">
        <v>0.39021928723004184</v>
      </c>
      <c r="AI37" s="34">
        <f t="shared" si="61"/>
        <v>0.42436500528127041</v>
      </c>
      <c r="AJ37" s="34">
        <f t="shared" si="62"/>
        <v>3.4145718051228569E-2</v>
      </c>
      <c r="AK37" s="34">
        <f t="shared" si="63"/>
        <v>3.4145718051228569E-2</v>
      </c>
      <c r="AL37" s="41">
        <f t="shared" si="64"/>
        <v>8.7503921945044721E-2</v>
      </c>
      <c r="AN37">
        <f t="shared" si="69"/>
        <v>126</v>
      </c>
      <c r="AO37">
        <f t="shared" si="70"/>
        <v>126</v>
      </c>
      <c r="AP37">
        <f t="shared" si="67"/>
        <v>0</v>
      </c>
      <c r="AQ37">
        <f t="shared" si="68"/>
        <v>0</v>
      </c>
    </row>
    <row r="38" spans="1:43">
      <c r="A38" s="1" t="s">
        <v>72</v>
      </c>
      <c r="B38" s="1" t="s">
        <v>212</v>
      </c>
      <c r="C38" t="e">
        <f>NA()</f>
        <v>#N/A</v>
      </c>
      <c r="D38" s="39">
        <v>16.628593970427758</v>
      </c>
      <c r="E38" s="2">
        <v>86.24</v>
      </c>
      <c r="F38" s="41">
        <v>0.40576074195355949</v>
      </c>
      <c r="G38" s="2">
        <v>0.35341996255266012</v>
      </c>
      <c r="H38" s="34">
        <v>9.7201767162649055E-2</v>
      </c>
      <c r="I38" s="34"/>
      <c r="J38" s="35">
        <v>25.341699367261349</v>
      </c>
      <c r="K38" s="35">
        <v>24.600159335766236</v>
      </c>
      <c r="L38">
        <v>47.3</v>
      </c>
      <c r="M38" s="35">
        <v>43.720314104680945</v>
      </c>
      <c r="N38">
        <v>2.52</v>
      </c>
      <c r="O38">
        <v>2.2400000000000002</v>
      </c>
      <c r="Q38" s="1" t="s">
        <v>72</v>
      </c>
      <c r="R38" s="1" t="s">
        <v>212</v>
      </c>
      <c r="S38" s="2" t="e">
        <f t="shared" si="46"/>
        <v>#N/A</v>
      </c>
      <c r="T38" s="2">
        <f t="shared" si="47"/>
        <v>0</v>
      </c>
      <c r="U38" s="2">
        <f t="shared" si="48"/>
        <v>0.13760000000000006</v>
      </c>
      <c r="V38" s="2">
        <f t="shared" si="49"/>
        <v>0.81152148390711898</v>
      </c>
      <c r="W38" s="2">
        <f t="shared" si="50"/>
        <v>0.35341996255266012</v>
      </c>
      <c r="X38" s="2">
        <f t="shared" si="51"/>
        <v>0.83799705472891817</v>
      </c>
      <c r="Y38" s="9">
        <f t="shared" si="53"/>
        <v>0.42810770023773942</v>
      </c>
      <c r="Z38" s="2">
        <f t="shared" si="54"/>
        <v>0.21916713381801928</v>
      </c>
      <c r="AA38" s="2">
        <f t="shared" si="55"/>
        <v>0.30750199169707793</v>
      </c>
      <c r="AB38" s="2">
        <f t="shared" si="56"/>
        <v>0.67571428571428571</v>
      </c>
      <c r="AC38" s="2">
        <f t="shared" si="57"/>
        <v>0.21860157052340473</v>
      </c>
      <c r="AD38" s="2">
        <f t="shared" si="58"/>
        <v>0.252</v>
      </c>
      <c r="AE38" s="2">
        <f t="shared" si="59"/>
        <v>0.55199999999999994</v>
      </c>
      <c r="AF38" s="45">
        <f t="shared" si="60"/>
        <v>0.37083083029213126</v>
      </c>
      <c r="AH38" s="34">
        <v>0.334494889777885</v>
      </c>
      <c r="AI38" s="34">
        <f t="shared" si="61"/>
        <v>0.35409716678887782</v>
      </c>
      <c r="AJ38" s="34">
        <f t="shared" si="62"/>
        <v>1.9602277010992819E-2</v>
      </c>
      <c r="AK38" s="34">
        <f t="shared" si="63"/>
        <v>1.9602277010992819E-2</v>
      </c>
      <c r="AL38" s="41">
        <f t="shared" si="64"/>
        <v>5.8602620279219635E-2</v>
      </c>
      <c r="AN38">
        <f t="shared" si="69"/>
        <v>110</v>
      </c>
      <c r="AO38">
        <f t="shared" si="70"/>
        <v>107</v>
      </c>
      <c r="AP38">
        <f t="shared" si="67"/>
        <v>3</v>
      </c>
      <c r="AQ38">
        <f t="shared" si="68"/>
        <v>3</v>
      </c>
    </row>
    <row r="39" spans="1:43">
      <c r="A39" s="1" t="s">
        <v>122</v>
      </c>
      <c r="B39" s="1" t="s">
        <v>213</v>
      </c>
      <c r="C39" t="e">
        <f>NA()</f>
        <v>#N/A</v>
      </c>
      <c r="D39" s="39">
        <v>2.2728114077785078E-2</v>
      </c>
      <c r="E39" s="2">
        <v>2.88</v>
      </c>
      <c r="F39" s="41" t="e">
        <v>#N/A</v>
      </c>
      <c r="G39" s="2">
        <v>0.17769127590981545</v>
      </c>
      <c r="H39" s="34">
        <v>0.25110456517017676</v>
      </c>
      <c r="I39" s="34"/>
      <c r="J39" s="35">
        <v>21.659354305527657</v>
      </c>
      <c r="K39" s="35">
        <v>0</v>
      </c>
      <c r="L39">
        <v>0</v>
      </c>
      <c r="M39" s="35">
        <v>-599.80534908187883</v>
      </c>
      <c r="N39">
        <v>1.88</v>
      </c>
      <c r="O39">
        <v>2.2200000000000002</v>
      </c>
      <c r="Q39" s="1" t="s">
        <v>122</v>
      </c>
      <c r="R39" s="1" t="s">
        <v>213</v>
      </c>
      <c r="S39" s="2" t="e">
        <f t="shared" si="46"/>
        <v>#N/A</v>
      </c>
      <c r="T39" s="2">
        <f t="shared" si="47"/>
        <v>0.49772718859222143</v>
      </c>
      <c r="U39" s="2">
        <f t="shared" si="48"/>
        <v>0.97119999999999995</v>
      </c>
      <c r="V39" s="2" t="e">
        <f t="shared" si="49"/>
        <v>#N/A</v>
      </c>
      <c r="W39" s="2">
        <f t="shared" si="50"/>
        <v>0.17769127590981545</v>
      </c>
      <c r="X39" s="2">
        <f t="shared" si="51"/>
        <v>0.58149239138303876</v>
      </c>
      <c r="Y39" s="9">
        <f t="shared" si="53"/>
        <v>0.55702771397126893</v>
      </c>
      <c r="Z39" s="2">
        <f t="shared" si="54"/>
        <v>0.1665622043646808</v>
      </c>
      <c r="AA39" s="2">
        <f t="shared" si="55"/>
        <v>0</v>
      </c>
      <c r="AB39" s="2">
        <f t="shared" si="56"/>
        <v>0</v>
      </c>
      <c r="AC39" s="2">
        <f t="shared" si="57"/>
        <v>0</v>
      </c>
      <c r="AD39" s="2">
        <f t="shared" si="58"/>
        <v>0.188</v>
      </c>
      <c r="AE39" s="2">
        <f t="shared" si="59"/>
        <v>0.55599999999999994</v>
      </c>
      <c r="AF39" s="45">
        <f t="shared" si="60"/>
        <v>0.15176036739411344</v>
      </c>
      <c r="AH39" s="34">
        <v>0.19460045390293837</v>
      </c>
      <c r="AI39" s="34">
        <f t="shared" si="61"/>
        <v>0.23903176193975847</v>
      </c>
      <c r="AJ39" s="34">
        <f t="shared" si="62"/>
        <v>4.4431308036820105E-2</v>
      </c>
      <c r="AK39" s="34">
        <f t="shared" si="63"/>
        <v>4.4431308036820105E-2</v>
      </c>
      <c r="AL39" s="41">
        <f t="shared" si="64"/>
        <v>0.22832068037714487</v>
      </c>
      <c r="AN39">
        <f t="shared" si="69"/>
        <v>25</v>
      </c>
      <c r="AO39">
        <f t="shared" si="70"/>
        <v>40</v>
      </c>
      <c r="AP39">
        <f t="shared" si="67"/>
        <v>-15</v>
      </c>
      <c r="AQ39">
        <f t="shared" si="68"/>
        <v>15</v>
      </c>
    </row>
    <row r="40" spans="1:43">
      <c r="A40" s="1" t="s">
        <v>90</v>
      </c>
      <c r="B40" s="1" t="s">
        <v>214</v>
      </c>
      <c r="C40" t="e">
        <f>NA()</f>
        <v>#N/A</v>
      </c>
      <c r="D40" s="39">
        <v>2.0365529402049676</v>
      </c>
      <c r="E40" s="2">
        <v>100</v>
      </c>
      <c r="F40" s="41">
        <v>7.5363693846184396E-2</v>
      </c>
      <c r="G40" s="2">
        <v>0.15981846806174177</v>
      </c>
      <c r="H40" s="34">
        <v>0.19440353432529811</v>
      </c>
      <c r="I40" s="34"/>
      <c r="J40" s="35">
        <v>16.383439993335276</v>
      </c>
      <c r="K40" s="35">
        <v>0</v>
      </c>
      <c r="L40" t="e">
        <v>#N/A</v>
      </c>
      <c r="M40" s="35">
        <v>98.39208902428912</v>
      </c>
      <c r="N40">
        <v>3.69</v>
      </c>
      <c r="O40">
        <v>2.09</v>
      </c>
      <c r="Q40" s="1" t="s">
        <v>90</v>
      </c>
      <c r="R40" s="1" t="s">
        <v>214</v>
      </c>
      <c r="S40" s="2" t="e">
        <f t="shared" si="46"/>
        <v>#N/A</v>
      </c>
      <c r="T40" s="2">
        <f t="shared" si="47"/>
        <v>0.29634470597950324</v>
      </c>
      <c r="U40" s="2">
        <f t="shared" si="48"/>
        <v>0</v>
      </c>
      <c r="V40" s="2">
        <f t="shared" si="49"/>
        <v>0.15072738769236879</v>
      </c>
      <c r="W40" s="2">
        <f t="shared" si="50"/>
        <v>0.15981846806174177</v>
      </c>
      <c r="X40" s="2">
        <f t="shared" si="51"/>
        <v>0.67599410945783645</v>
      </c>
      <c r="Y40" s="9">
        <f t="shared" si="53"/>
        <v>0.25657693423829003</v>
      </c>
      <c r="Z40" s="2">
        <f t="shared" si="54"/>
        <v>9.1191999904789656E-2</v>
      </c>
      <c r="AA40" s="2">
        <f t="shared" si="55"/>
        <v>0</v>
      </c>
      <c r="AB40" s="2" t="e">
        <f t="shared" si="56"/>
        <v>#N/A</v>
      </c>
      <c r="AC40" s="2">
        <f t="shared" si="57"/>
        <v>0.4919604451214456</v>
      </c>
      <c r="AD40" s="2">
        <f t="shared" si="58"/>
        <v>0.36899999999999999</v>
      </c>
      <c r="AE40" s="2">
        <f t="shared" si="59"/>
        <v>0.58200000000000007</v>
      </c>
      <c r="AF40" s="45">
        <f t="shared" si="60"/>
        <v>0.30683048900524706</v>
      </c>
      <c r="AH40" s="34">
        <v>0.42219505992385442</v>
      </c>
      <c r="AI40" s="34">
        <f t="shared" si="61"/>
        <v>0.37875854409701254</v>
      </c>
      <c r="AJ40" s="34">
        <f t="shared" si="62"/>
        <v>-4.3436515826841882E-2</v>
      </c>
      <c r="AK40" s="34">
        <f t="shared" si="63"/>
        <v>4.3436515826841882E-2</v>
      </c>
      <c r="AL40" s="41">
        <f t="shared" si="64"/>
        <v>0.10288257715444594</v>
      </c>
      <c r="AN40">
        <f t="shared" si="69"/>
        <v>132</v>
      </c>
      <c r="AO40">
        <f t="shared" si="70"/>
        <v>114</v>
      </c>
      <c r="AP40">
        <f t="shared" si="67"/>
        <v>18</v>
      </c>
      <c r="AQ40">
        <f t="shared" si="68"/>
        <v>18</v>
      </c>
    </row>
    <row r="41" spans="1:43">
      <c r="A41" s="1" t="s">
        <v>23</v>
      </c>
      <c r="B41" s="1" t="s">
        <v>215</v>
      </c>
      <c r="C41" t="e">
        <f>NA()</f>
        <v>#N/A</v>
      </c>
      <c r="D41" s="39">
        <v>6.5041826648796182</v>
      </c>
      <c r="E41" s="2">
        <v>82.71</v>
      </c>
      <c r="F41" s="41">
        <v>0.15993237325862497</v>
      </c>
      <c r="G41" s="2">
        <v>0.56894481143616094</v>
      </c>
      <c r="H41" s="34">
        <v>0.51816396683484167</v>
      </c>
      <c r="I41" s="34"/>
      <c r="J41" s="35">
        <v>12.016040813072394</v>
      </c>
      <c r="K41" s="35">
        <v>28.850053939547312</v>
      </c>
      <c r="L41">
        <v>26.9</v>
      </c>
      <c r="M41" s="35">
        <v>60.883684380220849</v>
      </c>
      <c r="N41">
        <v>2.98</v>
      </c>
      <c r="O41">
        <v>3.1</v>
      </c>
      <c r="Q41" s="1" t="s">
        <v>23</v>
      </c>
      <c r="R41" s="1" t="s">
        <v>215</v>
      </c>
      <c r="S41" s="2" t="e">
        <f t="shared" si="46"/>
        <v>#N/A</v>
      </c>
      <c r="T41" s="2">
        <f t="shared" si="47"/>
        <v>0</v>
      </c>
      <c r="U41" s="2">
        <f t="shared" si="48"/>
        <v>0.17290000000000005</v>
      </c>
      <c r="V41" s="2">
        <f t="shared" si="49"/>
        <v>0.31986474651724994</v>
      </c>
      <c r="W41" s="2">
        <f t="shared" si="50"/>
        <v>0.56894481143616094</v>
      </c>
      <c r="X41" s="2">
        <f t="shared" si="51"/>
        <v>0.13639338860859718</v>
      </c>
      <c r="Y41" s="9">
        <f t="shared" si="53"/>
        <v>0.23962058931240166</v>
      </c>
      <c r="Z41" s="2">
        <f t="shared" si="54"/>
        <v>2.880058304389134E-2</v>
      </c>
      <c r="AA41" s="2">
        <f t="shared" si="55"/>
        <v>0.36062567424434139</v>
      </c>
      <c r="AB41" s="2">
        <f t="shared" si="56"/>
        <v>0.38428571428571429</v>
      </c>
      <c r="AC41" s="2">
        <f t="shared" si="57"/>
        <v>0.30441842190110424</v>
      </c>
      <c r="AD41" s="2">
        <f t="shared" si="58"/>
        <v>0.29799999999999999</v>
      </c>
      <c r="AE41" s="2">
        <f t="shared" si="59"/>
        <v>0.38</v>
      </c>
      <c r="AF41" s="45">
        <f t="shared" si="60"/>
        <v>0.29268839891250858</v>
      </c>
      <c r="AH41" s="34">
        <v>0.26391895308821151</v>
      </c>
      <c r="AI41" s="34">
        <f t="shared" si="61"/>
        <v>0.26537966326154672</v>
      </c>
      <c r="AJ41" s="34">
        <f t="shared" si="62"/>
        <v>1.4607101733352112E-3</v>
      </c>
      <c r="AK41" s="34">
        <f t="shared" si="63"/>
        <v>1.4607101733352112E-3</v>
      </c>
      <c r="AL41" s="41">
        <f t="shared" si="64"/>
        <v>5.5346922085091317E-3</v>
      </c>
      <c r="AN41">
        <f t="shared" si="69"/>
        <v>75</v>
      </c>
      <c r="AO41">
        <f t="shared" si="70"/>
        <v>50</v>
      </c>
      <c r="AP41">
        <f t="shared" si="67"/>
        <v>25</v>
      </c>
      <c r="AQ41">
        <f t="shared" si="68"/>
        <v>25</v>
      </c>
    </row>
    <row r="42" spans="1:43">
      <c r="A42" s="1" t="s">
        <v>43</v>
      </c>
      <c r="B42" s="1" t="s">
        <v>216</v>
      </c>
      <c r="C42" t="e">
        <f>NA()</f>
        <v>#N/A</v>
      </c>
      <c r="D42" s="39" t="e">
        <v>#N/A</v>
      </c>
      <c r="E42" s="2">
        <v>100</v>
      </c>
      <c r="F42" s="41">
        <v>4.3308200927984111E-2</v>
      </c>
      <c r="G42" s="2">
        <v>0.87411383654234898</v>
      </c>
      <c r="H42" s="34">
        <v>0.11745213532153431</v>
      </c>
      <c r="I42" s="34"/>
      <c r="J42" s="35">
        <v>7.5375591182531867</v>
      </c>
      <c r="K42" s="35">
        <v>0</v>
      </c>
      <c r="L42">
        <v>0</v>
      </c>
      <c r="M42" s="35">
        <v>32.539150249028815</v>
      </c>
      <c r="N42" t="e">
        <v>#N/A</v>
      </c>
      <c r="O42" t="e">
        <v>#N/A</v>
      </c>
      <c r="Q42" s="1" t="s">
        <v>43</v>
      </c>
      <c r="R42" s="1" t="s">
        <v>216</v>
      </c>
      <c r="S42" s="2" t="e">
        <f t="shared" si="46"/>
        <v>#N/A</v>
      </c>
      <c r="T42" s="2" t="e">
        <f t="shared" si="47"/>
        <v>#N/A</v>
      </c>
      <c r="U42" s="2">
        <f t="shared" si="48"/>
        <v>0</v>
      </c>
      <c r="V42" s="2">
        <f t="shared" si="49"/>
        <v>8.6616401855968223E-2</v>
      </c>
      <c r="W42" s="2">
        <f t="shared" si="50"/>
        <v>0.87411383654234898</v>
      </c>
      <c r="X42" s="2">
        <f t="shared" si="51"/>
        <v>0.80424644113077615</v>
      </c>
      <c r="Y42" s="9">
        <f t="shared" si="53"/>
        <v>0.44124416988227333</v>
      </c>
      <c r="Z42" s="2">
        <f t="shared" si="54"/>
        <v>0</v>
      </c>
      <c r="AA42" s="2">
        <f t="shared" si="55"/>
        <v>0</v>
      </c>
      <c r="AB42" s="2">
        <f t="shared" si="56"/>
        <v>0</v>
      </c>
      <c r="AC42" s="2">
        <f t="shared" si="57"/>
        <v>0.16269575124514407</v>
      </c>
      <c r="AD42" s="2" t="e">
        <f t="shared" si="58"/>
        <v>#N/A</v>
      </c>
      <c r="AE42" s="2" t="e">
        <f t="shared" si="59"/>
        <v>#N/A</v>
      </c>
      <c r="AF42" s="45">
        <f t="shared" si="60"/>
        <v>4.0673937811286018E-2</v>
      </c>
      <c r="AH42" s="34">
        <v>0.21479348943857399</v>
      </c>
      <c r="AI42" s="34">
        <f t="shared" si="61"/>
        <v>0.21729452065156737</v>
      </c>
      <c r="AJ42" s="34">
        <f t="shared" si="62"/>
        <v>2.5010312129933876E-3</v>
      </c>
      <c r="AK42" s="34">
        <f t="shared" si="63"/>
        <v>2.5010312129933876E-3</v>
      </c>
      <c r="AL42" s="41">
        <f t="shared" si="64"/>
        <v>1.164388743593006E-2</v>
      </c>
      <c r="AN42">
        <f t="shared" si="69"/>
        <v>34</v>
      </c>
      <c r="AO42">
        <f t="shared" si="70"/>
        <v>32</v>
      </c>
      <c r="AP42">
        <f t="shared" si="67"/>
        <v>2</v>
      </c>
      <c r="AQ42">
        <f t="shared" si="68"/>
        <v>2</v>
      </c>
    </row>
    <row r="43" spans="1:43">
      <c r="A43" s="1" t="s">
        <v>54</v>
      </c>
      <c r="B43" s="1" t="s">
        <v>217</v>
      </c>
      <c r="C43" t="e">
        <f>NA()</f>
        <v>#N/A</v>
      </c>
      <c r="D43" s="39">
        <v>-0.21768657711024808</v>
      </c>
      <c r="E43" s="2">
        <v>53.24</v>
      </c>
      <c r="F43" s="41">
        <v>7.8188477215399455E-2</v>
      </c>
      <c r="G43" s="2">
        <v>0.18836221180239912</v>
      </c>
      <c r="H43" s="34">
        <v>0.57903780032780738</v>
      </c>
      <c r="I43" s="34"/>
      <c r="J43" s="35">
        <v>22.118384740763052</v>
      </c>
      <c r="K43" s="35">
        <v>2.9300988313609704</v>
      </c>
      <c r="L43">
        <v>0</v>
      </c>
      <c r="M43" s="35">
        <v>-75.864245331716035</v>
      </c>
      <c r="N43">
        <v>1.61</v>
      </c>
      <c r="O43">
        <v>2.2999999999999998</v>
      </c>
      <c r="Q43" s="1" t="s">
        <v>54</v>
      </c>
      <c r="R43" s="1" t="s">
        <v>217</v>
      </c>
      <c r="S43" s="2" t="e">
        <f t="shared" si="46"/>
        <v>#N/A</v>
      </c>
      <c r="T43" s="2">
        <f t="shared" si="47"/>
        <v>0.52176865771102476</v>
      </c>
      <c r="U43" s="2">
        <f t="shared" si="48"/>
        <v>0.46760000000000002</v>
      </c>
      <c r="V43" s="2">
        <f t="shared" si="49"/>
        <v>0.15637695443079891</v>
      </c>
      <c r="W43" s="2">
        <f t="shared" si="50"/>
        <v>0.18836221180239912</v>
      </c>
      <c r="X43" s="2">
        <f t="shared" si="51"/>
        <v>3.493699945365436E-2</v>
      </c>
      <c r="Y43" s="9">
        <f t="shared" si="53"/>
        <v>0.27380896467957544</v>
      </c>
      <c r="Z43" s="2">
        <f t="shared" si="54"/>
        <v>0.17311978201090072</v>
      </c>
      <c r="AA43" s="2">
        <f t="shared" si="55"/>
        <v>3.6626235392012131E-2</v>
      </c>
      <c r="AB43" s="2">
        <f t="shared" si="56"/>
        <v>0</v>
      </c>
      <c r="AC43" s="2">
        <f t="shared" si="57"/>
        <v>0</v>
      </c>
      <c r="AD43" s="2">
        <f t="shared" si="58"/>
        <v>0.161</v>
      </c>
      <c r="AE43" s="2">
        <f t="shared" si="59"/>
        <v>0.54</v>
      </c>
      <c r="AF43" s="45">
        <f t="shared" si="60"/>
        <v>0.1517910029004855</v>
      </c>
      <c r="AH43" s="34">
        <v>0.19994986470865461</v>
      </c>
      <c r="AI43" s="34">
        <f t="shared" si="61"/>
        <v>0.20224535982309999</v>
      </c>
      <c r="AJ43" s="34">
        <f t="shared" si="62"/>
        <v>2.2954951144453783E-3</v>
      </c>
      <c r="AK43" s="34">
        <f t="shared" si="63"/>
        <v>2.2954951144453783E-3</v>
      </c>
      <c r="AL43" s="41">
        <f t="shared" si="64"/>
        <v>1.1480353426545832E-2</v>
      </c>
      <c r="AN43">
        <f t="shared" si="69"/>
        <v>29</v>
      </c>
      <c r="AO43">
        <f t="shared" si="70"/>
        <v>23</v>
      </c>
      <c r="AP43">
        <f t="shared" si="67"/>
        <v>6</v>
      </c>
      <c r="AQ43">
        <f t="shared" si="68"/>
        <v>6</v>
      </c>
    </row>
    <row r="44" spans="1:43">
      <c r="A44" s="1" t="s">
        <v>179</v>
      </c>
      <c r="B44" s="1" t="s">
        <v>218</v>
      </c>
      <c r="C44" t="e">
        <f>NA()</f>
        <v>#N/A</v>
      </c>
      <c r="D44" s="39">
        <v>2.9965903423706086E-2</v>
      </c>
      <c r="E44" s="2">
        <v>83.82</v>
      </c>
      <c r="F44" s="41">
        <v>0.1546364798640659</v>
      </c>
      <c r="G44" s="2">
        <v>0.13348362954695192</v>
      </c>
      <c r="H44" s="34">
        <v>0.24300441790662264</v>
      </c>
      <c r="I44" s="34"/>
      <c r="J44" s="35">
        <v>56.790718330478981</v>
      </c>
      <c r="K44" s="35">
        <v>21.40009092578433</v>
      </c>
      <c r="L44">
        <v>59.5</v>
      </c>
      <c r="M44" s="35">
        <v>69.70559853815918</v>
      </c>
      <c r="N44">
        <v>5.79</v>
      </c>
      <c r="O44">
        <v>1.89</v>
      </c>
      <c r="Q44" s="1" t="s">
        <v>179</v>
      </c>
      <c r="R44" s="1" t="s">
        <v>218</v>
      </c>
      <c r="S44" s="2" t="e">
        <f t="shared" si="46"/>
        <v>#N/A</v>
      </c>
      <c r="T44" s="2">
        <f t="shared" si="47"/>
        <v>0.49700340965762935</v>
      </c>
      <c r="U44" s="2">
        <f t="shared" si="48"/>
        <v>0.16180000000000005</v>
      </c>
      <c r="V44" s="2">
        <f t="shared" si="49"/>
        <v>0.30927295972813179</v>
      </c>
      <c r="W44" s="2">
        <f t="shared" si="50"/>
        <v>0.13348362954695192</v>
      </c>
      <c r="X44" s="2">
        <f t="shared" si="51"/>
        <v>0.59499263682229553</v>
      </c>
      <c r="Y44" s="9">
        <f t="shared" si="53"/>
        <v>0.33931052715100174</v>
      </c>
      <c r="Z44" s="2">
        <f t="shared" si="54"/>
        <v>0.66843883329255682</v>
      </c>
      <c r="AA44" s="2">
        <f t="shared" si="55"/>
        <v>0.26750113657230412</v>
      </c>
      <c r="AB44" s="2">
        <f t="shared" si="56"/>
        <v>0.85</v>
      </c>
      <c r="AC44" s="2">
        <f t="shared" si="57"/>
        <v>0.34852799269079587</v>
      </c>
      <c r="AD44" s="2">
        <f t="shared" si="58"/>
        <v>0.57899999999999996</v>
      </c>
      <c r="AE44" s="2">
        <f t="shared" si="59"/>
        <v>0.622</v>
      </c>
      <c r="AF44" s="45">
        <f t="shared" si="60"/>
        <v>0.55591132709260949</v>
      </c>
      <c r="AH44" s="34">
        <v>0.51192299842381417</v>
      </c>
      <c r="AI44" s="34">
        <f t="shared" si="61"/>
        <v>0.49480493029949163</v>
      </c>
      <c r="AJ44" s="34">
        <f t="shared" si="62"/>
        <v>-1.7118068124322539E-2</v>
      </c>
      <c r="AK44" s="34">
        <f t="shared" si="63"/>
        <v>1.7118068124322539E-2</v>
      </c>
      <c r="AL44" s="41">
        <f t="shared" si="64"/>
        <v>3.3438755783639786E-2</v>
      </c>
      <c r="AN44">
        <f t="shared" si="69"/>
        <v>174</v>
      </c>
      <c r="AO44">
        <f t="shared" si="70"/>
        <v>151</v>
      </c>
      <c r="AP44">
        <f t="shared" si="67"/>
        <v>23</v>
      </c>
      <c r="AQ44">
        <f t="shared" si="68"/>
        <v>23</v>
      </c>
    </row>
    <row r="45" spans="1:43">
      <c r="A45" s="1" t="s">
        <v>191</v>
      </c>
      <c r="B45" s="1" t="s">
        <v>219</v>
      </c>
      <c r="C45" t="e">
        <f>NA()</f>
        <v>#N/A</v>
      </c>
      <c r="D45" s="39">
        <v>-0.37942668970801241</v>
      </c>
      <c r="E45" s="2">
        <v>30.35</v>
      </c>
      <c r="F45" s="41">
        <v>1.2298735327486121</v>
      </c>
      <c r="G45" s="2">
        <v>0.19358430422587294</v>
      </c>
      <c r="H45" s="34">
        <v>0.13770250348041957</v>
      </c>
      <c r="I45" s="34"/>
      <c r="J45" s="35">
        <v>52.02742127596143</v>
      </c>
      <c r="K45" s="35">
        <v>0</v>
      </c>
      <c r="L45">
        <v>64.3</v>
      </c>
      <c r="M45" s="35">
        <v>107.95255200891185</v>
      </c>
      <c r="N45">
        <v>10.68</v>
      </c>
      <c r="O45">
        <v>2.5</v>
      </c>
      <c r="Q45" s="1" t="s">
        <v>191</v>
      </c>
      <c r="R45" s="1" t="s">
        <v>219</v>
      </c>
      <c r="S45" s="2" t="e">
        <f t="shared" si="46"/>
        <v>#N/A</v>
      </c>
      <c r="T45" s="2">
        <f t="shared" si="47"/>
        <v>0.53794266897080123</v>
      </c>
      <c r="U45" s="2">
        <f t="shared" si="48"/>
        <v>0.69650000000000001</v>
      </c>
      <c r="V45" s="2">
        <f t="shared" si="49"/>
        <v>1</v>
      </c>
      <c r="W45" s="2">
        <f t="shared" si="50"/>
        <v>0.19358430422587294</v>
      </c>
      <c r="X45" s="2">
        <f t="shared" si="51"/>
        <v>0.77049582753263401</v>
      </c>
      <c r="Y45" s="9">
        <f t="shared" si="53"/>
        <v>0.63970456014586152</v>
      </c>
      <c r="Z45" s="2">
        <f t="shared" si="54"/>
        <v>0.60039173251373468</v>
      </c>
      <c r="AA45" s="2">
        <f t="shared" si="55"/>
        <v>0</v>
      </c>
      <c r="AB45" s="2">
        <f t="shared" si="56"/>
        <v>0.91857142857142848</v>
      </c>
      <c r="AC45" s="2">
        <f t="shared" si="57"/>
        <v>0.53976276004455925</v>
      </c>
      <c r="AD45" s="2">
        <f t="shared" si="58"/>
        <v>1</v>
      </c>
      <c r="AE45" s="2">
        <f t="shared" si="59"/>
        <v>0.5</v>
      </c>
      <c r="AF45" s="45">
        <f t="shared" si="60"/>
        <v>0.59312098685495374</v>
      </c>
      <c r="AH45" s="34">
        <v>0.61285444543277945</v>
      </c>
      <c r="AI45" s="34">
        <f t="shared" si="61"/>
        <v>0.61330729749273527</v>
      </c>
      <c r="AJ45" s="34">
        <f t="shared" si="62"/>
        <v>4.5285205995582167E-4</v>
      </c>
      <c r="AK45" s="34">
        <f t="shared" si="63"/>
        <v>4.5285205995582167E-4</v>
      </c>
      <c r="AL45" s="41">
        <f t="shared" si="64"/>
        <v>7.389226974376128E-4</v>
      </c>
      <c r="AN45">
        <f t="shared" si="69"/>
        <v>186</v>
      </c>
      <c r="AO45">
        <f t="shared" si="70"/>
        <v>177</v>
      </c>
      <c r="AP45">
        <f t="shared" si="67"/>
        <v>9</v>
      </c>
      <c r="AQ45">
        <f t="shared" si="68"/>
        <v>9</v>
      </c>
    </row>
    <row r="46" spans="1:43">
      <c r="A46" s="1" t="s">
        <v>177</v>
      </c>
      <c r="B46" s="1" t="s">
        <v>220</v>
      </c>
      <c r="C46" t="e">
        <f>NA()</f>
        <v>#N/A</v>
      </c>
      <c r="D46" s="39">
        <v>4.6539113610914895E-2</v>
      </c>
      <c r="E46" s="2">
        <v>100</v>
      </c>
      <c r="F46" s="41" t="e">
        <v>#N/A</v>
      </c>
      <c r="G46" s="2">
        <v>0.80286197990620778</v>
      </c>
      <c r="H46" s="34">
        <v>0.19845360795707523</v>
      </c>
      <c r="I46" s="34"/>
      <c r="J46" s="35">
        <v>48.471762629184234</v>
      </c>
      <c r="K46" s="35">
        <v>28.800074003367516</v>
      </c>
      <c r="L46">
        <v>78.900000000000006</v>
      </c>
      <c r="M46" s="35">
        <v>241.6999890738019</v>
      </c>
      <c r="N46">
        <v>2.44</v>
      </c>
      <c r="O46">
        <v>2.12</v>
      </c>
      <c r="Q46" s="1" t="s">
        <v>177</v>
      </c>
      <c r="R46" s="1" t="s">
        <v>220</v>
      </c>
      <c r="S46" s="2" t="e">
        <f t="shared" si="46"/>
        <v>#N/A</v>
      </c>
      <c r="T46" s="2">
        <f t="shared" si="47"/>
        <v>0.4953460886389085</v>
      </c>
      <c r="U46" s="2">
        <f t="shared" si="48"/>
        <v>0</v>
      </c>
      <c r="V46" s="2" t="e">
        <f t="shared" si="49"/>
        <v>#N/A</v>
      </c>
      <c r="W46" s="2">
        <f t="shared" si="50"/>
        <v>0.80286197990620778</v>
      </c>
      <c r="X46" s="2">
        <f t="shared" si="51"/>
        <v>0.66924398673820795</v>
      </c>
      <c r="Y46" s="9">
        <f t="shared" si="53"/>
        <v>0.49186301382083109</v>
      </c>
      <c r="Z46" s="2">
        <f t="shared" si="54"/>
        <v>0.54959660898834617</v>
      </c>
      <c r="AA46" s="2">
        <f t="shared" si="55"/>
        <v>0.36000092504209397</v>
      </c>
      <c r="AB46" s="2">
        <f t="shared" si="56"/>
        <v>1</v>
      </c>
      <c r="AC46" s="2">
        <f t="shared" si="57"/>
        <v>1</v>
      </c>
      <c r="AD46" s="2">
        <f t="shared" si="58"/>
        <v>0.24399999999999999</v>
      </c>
      <c r="AE46" s="2">
        <f t="shared" si="59"/>
        <v>0.57599999999999996</v>
      </c>
      <c r="AF46" s="45">
        <f t="shared" si="60"/>
        <v>0.62159958900507328</v>
      </c>
      <c r="AH46" s="34">
        <v>0.45659800252833299</v>
      </c>
      <c r="AI46" s="34">
        <f t="shared" si="61"/>
        <v>0.48992184753755968</v>
      </c>
      <c r="AJ46" s="34">
        <f t="shared" si="62"/>
        <v>3.3323845009226694E-2</v>
      </c>
      <c r="AK46" s="34">
        <f t="shared" si="63"/>
        <v>3.3323845009226694E-2</v>
      </c>
      <c r="AL46" s="41">
        <f t="shared" si="64"/>
        <v>7.2982897044449657E-2</v>
      </c>
      <c r="AN46">
        <f t="shared" si="69"/>
        <v>149</v>
      </c>
      <c r="AO46">
        <f t="shared" si="70"/>
        <v>146</v>
      </c>
      <c r="AP46">
        <f t="shared" si="67"/>
        <v>3</v>
      </c>
      <c r="AQ46">
        <f t="shared" si="68"/>
        <v>3</v>
      </c>
    </row>
    <row r="47" spans="1:43">
      <c r="A47" s="1" t="s">
        <v>97</v>
      </c>
      <c r="B47" s="1" t="s">
        <v>221</v>
      </c>
      <c r="C47" t="e">
        <f>NA()</f>
        <v>#N/A</v>
      </c>
      <c r="D47" s="39">
        <v>0.92706944101449495</v>
      </c>
      <c r="E47" s="2">
        <v>53.94</v>
      </c>
      <c r="F47" s="41">
        <v>0.24875125207454279</v>
      </c>
      <c r="G47" s="2">
        <v>0.5938617443325378</v>
      </c>
      <c r="H47" s="34">
        <v>0.2632547860655079</v>
      </c>
      <c r="I47" s="34"/>
      <c r="J47" s="35">
        <v>18.564146357256092</v>
      </c>
      <c r="K47" s="35">
        <v>16.408312002523115</v>
      </c>
      <c r="L47">
        <v>46.1</v>
      </c>
      <c r="M47" s="35">
        <v>64.675069217476832</v>
      </c>
      <c r="N47">
        <v>4.9000000000000004</v>
      </c>
      <c r="O47">
        <v>2.1</v>
      </c>
      <c r="Q47" s="1" t="s">
        <v>97</v>
      </c>
      <c r="R47" s="1" t="s">
        <v>221</v>
      </c>
      <c r="S47" s="2" t="e">
        <f t="shared" si="46"/>
        <v>#N/A</v>
      </c>
      <c r="T47" s="2">
        <f t="shared" si="47"/>
        <v>0.40729305589855058</v>
      </c>
      <c r="U47" s="2">
        <f t="shared" si="48"/>
        <v>0.46060000000000001</v>
      </c>
      <c r="V47" s="2">
        <f t="shared" si="49"/>
        <v>0.49750250414908559</v>
      </c>
      <c r="W47" s="2">
        <f t="shared" si="50"/>
        <v>0.5938617443325378</v>
      </c>
      <c r="X47" s="2">
        <f t="shared" si="51"/>
        <v>0.56124202322415351</v>
      </c>
      <c r="Y47" s="9">
        <f t="shared" si="53"/>
        <v>0.5040998655208655</v>
      </c>
      <c r="Z47" s="2">
        <f t="shared" si="54"/>
        <v>0.12234494796080132</v>
      </c>
      <c r="AA47" s="2">
        <f t="shared" si="55"/>
        <v>0.20510390003153894</v>
      </c>
      <c r="AB47" s="2">
        <f t="shared" si="56"/>
        <v>0.65857142857142859</v>
      </c>
      <c r="AC47" s="2">
        <f t="shared" si="57"/>
        <v>0.32337534608738416</v>
      </c>
      <c r="AD47" s="2">
        <f t="shared" si="58"/>
        <v>0.49000000000000005</v>
      </c>
      <c r="AE47" s="2">
        <f t="shared" si="59"/>
        <v>0.57999999999999996</v>
      </c>
      <c r="AF47" s="45">
        <f t="shared" si="60"/>
        <v>0.3965659371085255</v>
      </c>
      <c r="AH47" s="34">
        <v>0.45987663588281164</v>
      </c>
      <c r="AI47" s="34">
        <f t="shared" si="61"/>
        <v>0.45534097746979885</v>
      </c>
      <c r="AJ47" s="34">
        <f t="shared" si="62"/>
        <v>-4.5356584130127886E-3</v>
      </c>
      <c r="AK47" s="34">
        <f t="shared" si="63"/>
        <v>4.5356584130127886E-3</v>
      </c>
      <c r="AL47" s="41">
        <f t="shared" si="64"/>
        <v>9.8627720112499703E-3</v>
      </c>
      <c r="AN47">
        <f t="shared" si="69"/>
        <v>150</v>
      </c>
      <c r="AO47">
        <f t="shared" si="70"/>
        <v>132</v>
      </c>
      <c r="AP47">
        <f t="shared" si="67"/>
        <v>18</v>
      </c>
      <c r="AQ47">
        <f t="shared" si="68"/>
        <v>18</v>
      </c>
    </row>
    <row r="48" spans="1:43">
      <c r="A48" s="1" t="s">
        <v>32</v>
      </c>
      <c r="B48" s="1" t="s">
        <v>222</v>
      </c>
      <c r="C48" t="e">
        <f>NA()</f>
        <v>#N/A</v>
      </c>
      <c r="D48" s="39">
        <v>11.93842755660752</v>
      </c>
      <c r="E48" s="2">
        <v>44.53</v>
      </c>
      <c r="F48" s="41">
        <v>4.507240102584726E-2</v>
      </c>
      <c r="G48" s="2">
        <v>0.18175262616417046</v>
      </c>
      <c r="H48" s="34">
        <v>0.6233431522447348</v>
      </c>
      <c r="I48" s="34"/>
      <c r="J48" s="35">
        <v>19.822219419024822</v>
      </c>
      <c r="K48" s="35">
        <v>15.836197927025303</v>
      </c>
      <c r="L48">
        <v>0</v>
      </c>
      <c r="M48" s="35">
        <v>11.417981049068697</v>
      </c>
      <c r="N48">
        <v>0</v>
      </c>
      <c r="O48">
        <v>4.03</v>
      </c>
      <c r="Q48" s="1" t="s">
        <v>32</v>
      </c>
      <c r="R48" s="1" t="s">
        <v>222</v>
      </c>
      <c r="S48" s="2" t="e">
        <f t="shared" si="46"/>
        <v>#N/A</v>
      </c>
      <c r="T48" s="2">
        <f t="shared" si="47"/>
        <v>0</v>
      </c>
      <c r="U48" s="2">
        <f t="shared" si="48"/>
        <v>0.55469999999999997</v>
      </c>
      <c r="V48" s="2">
        <f t="shared" si="49"/>
        <v>9.014480205169452E-2</v>
      </c>
      <c r="W48" s="2">
        <f t="shared" si="50"/>
        <v>0.18175262616417046</v>
      </c>
      <c r="X48" s="2">
        <f t="shared" si="51"/>
        <v>0</v>
      </c>
      <c r="Y48" s="9">
        <f t="shared" si="53"/>
        <v>0.16531948564317298</v>
      </c>
      <c r="Z48" s="2">
        <f t="shared" si="54"/>
        <v>0.14031742027178318</v>
      </c>
      <c r="AA48" s="2">
        <f t="shared" si="55"/>
        <v>0.1979524740878163</v>
      </c>
      <c r="AB48" s="2">
        <f t="shared" si="56"/>
        <v>0</v>
      </c>
      <c r="AC48" s="2">
        <f t="shared" si="57"/>
        <v>5.7089905245343485E-2</v>
      </c>
      <c r="AD48" s="2">
        <f t="shared" si="58"/>
        <v>0</v>
      </c>
      <c r="AE48" s="2">
        <f t="shared" si="59"/>
        <v>0.19399999999999995</v>
      </c>
      <c r="AF48" s="45">
        <f t="shared" si="60"/>
        <v>9.8226633267490482E-2</v>
      </c>
      <c r="AH48" s="34">
        <v>0.24319336196056388</v>
      </c>
      <c r="AI48" s="34">
        <f t="shared" si="61"/>
        <v>0.20721708328212404</v>
      </c>
      <c r="AJ48" s="34">
        <f t="shared" si="62"/>
        <v>-3.5976278678439833E-2</v>
      </c>
      <c r="AK48" s="34">
        <f t="shared" si="63"/>
        <v>3.5976278678439833E-2</v>
      </c>
      <c r="AL48" s="41">
        <f t="shared" si="64"/>
        <v>0.14793281522327789</v>
      </c>
      <c r="AN48">
        <f t="shared" si="69"/>
        <v>53</v>
      </c>
      <c r="AO48">
        <f t="shared" si="70"/>
        <v>25</v>
      </c>
      <c r="AP48">
        <f t="shared" si="67"/>
        <v>28</v>
      </c>
      <c r="AQ48">
        <f t="shared" si="68"/>
        <v>28</v>
      </c>
    </row>
    <row r="49" spans="1:43">
      <c r="A49" s="1" t="s">
        <v>89</v>
      </c>
      <c r="B49" s="1" t="s">
        <v>223</v>
      </c>
      <c r="C49" t="e">
        <f>NA()</f>
        <v>#N/A</v>
      </c>
      <c r="D49" s="39" t="e">
        <v>#N/A</v>
      </c>
      <c r="E49" s="2">
        <v>14.65</v>
      </c>
      <c r="F49" s="41">
        <v>2.2178236384175314E-2</v>
      </c>
      <c r="G49" s="2">
        <v>0.21177286649132224</v>
      </c>
      <c r="H49" s="34">
        <v>0.16605301890285884</v>
      </c>
      <c r="I49" s="34"/>
      <c r="J49" s="35">
        <v>42.173947836936883</v>
      </c>
      <c r="K49" s="35">
        <v>0</v>
      </c>
      <c r="L49">
        <v>0</v>
      </c>
      <c r="M49" s="35">
        <v>137.44061529275345</v>
      </c>
      <c r="N49">
        <v>5.5</v>
      </c>
      <c r="O49" t="e">
        <v>#N/A</v>
      </c>
      <c r="Q49" s="1" t="s">
        <v>89</v>
      </c>
      <c r="R49" s="1" t="s">
        <v>223</v>
      </c>
      <c r="S49" s="2" t="e">
        <f t="shared" si="46"/>
        <v>#N/A</v>
      </c>
      <c r="T49" s="2" t="e">
        <f t="shared" si="47"/>
        <v>#N/A</v>
      </c>
      <c r="U49" s="2">
        <f t="shared" si="48"/>
        <v>0.85350000000000004</v>
      </c>
      <c r="V49" s="2">
        <f t="shared" si="49"/>
        <v>4.4356472768350627E-2</v>
      </c>
      <c r="W49" s="2">
        <f t="shared" si="50"/>
        <v>0.21177286649132224</v>
      </c>
      <c r="X49" s="2">
        <f t="shared" si="51"/>
        <v>0.72324496849523523</v>
      </c>
      <c r="Y49" s="9">
        <f t="shared" si="53"/>
        <v>0.45821857693872703</v>
      </c>
      <c r="Z49" s="2">
        <f t="shared" si="54"/>
        <v>0.45962782624195547</v>
      </c>
      <c r="AA49" s="2">
        <f t="shared" si="55"/>
        <v>0</v>
      </c>
      <c r="AB49" s="2">
        <f t="shared" si="56"/>
        <v>0</v>
      </c>
      <c r="AC49" s="2">
        <f t="shared" si="57"/>
        <v>0.68720307646376722</v>
      </c>
      <c r="AD49" s="2">
        <f t="shared" si="58"/>
        <v>0.55000000000000004</v>
      </c>
      <c r="AE49" s="2" t="e">
        <f t="shared" si="59"/>
        <v>#N/A</v>
      </c>
      <c r="AF49" s="45">
        <f t="shared" si="60"/>
        <v>0.33936618054114454</v>
      </c>
      <c r="AH49" s="34">
        <v>0.29569126205371921</v>
      </c>
      <c r="AI49" s="34">
        <f t="shared" si="61"/>
        <v>0.32639657877799322</v>
      </c>
      <c r="AJ49" s="34">
        <f t="shared" si="62"/>
        <v>3.0705316724274012E-2</v>
      </c>
      <c r="AK49" s="34">
        <f t="shared" si="63"/>
        <v>3.0705316724274012E-2</v>
      </c>
      <c r="AL49" s="41">
        <f t="shared" si="64"/>
        <v>0.10384248932826319</v>
      </c>
      <c r="AN49">
        <f t="shared" si="69"/>
        <v>92</v>
      </c>
      <c r="AO49">
        <f t="shared" si="70"/>
        <v>87</v>
      </c>
      <c r="AP49">
        <f t="shared" si="67"/>
        <v>5</v>
      </c>
      <c r="AQ49">
        <f t="shared" si="68"/>
        <v>5</v>
      </c>
    </row>
    <row r="50" spans="1:43">
      <c r="A50" s="1" t="s">
        <v>135</v>
      </c>
      <c r="B50" s="1" t="s">
        <v>224</v>
      </c>
      <c r="C50" t="e">
        <f>NA()</f>
        <v>#N/A</v>
      </c>
      <c r="D50" s="39">
        <v>7.14299559242043</v>
      </c>
      <c r="E50" s="2">
        <v>97.06</v>
      </c>
      <c r="F50" s="41">
        <v>0.87402237789675097</v>
      </c>
      <c r="G50" s="2">
        <v>0.12952734988406639</v>
      </c>
      <c r="H50" s="34">
        <v>0.15795287163930471</v>
      </c>
      <c r="I50" s="34"/>
      <c r="J50" s="35">
        <v>41.940402610954933</v>
      </c>
      <c r="K50" s="35">
        <v>0</v>
      </c>
      <c r="L50">
        <v>95.9</v>
      </c>
      <c r="M50" s="35">
        <v>21.668186475506133</v>
      </c>
      <c r="N50" t="e">
        <v>#N/A</v>
      </c>
      <c r="O50" t="e">
        <v>#N/A</v>
      </c>
      <c r="Q50" s="1" t="s">
        <v>135</v>
      </c>
      <c r="R50" s="1" t="s">
        <v>224</v>
      </c>
      <c r="S50" s="2" t="e">
        <f t="shared" ref="S50:S81" si="71">IF(C$16&lt;&gt;1,MIN(1,MAX(0,(C50-C$14)/(C$15-C$14))),1-MIN(1,MAX(0,(C50-C$14)/(C$15-C$14))))</f>
        <v>#N/A</v>
      </c>
      <c r="T50" s="2">
        <f t="shared" ref="T50:T81" si="72">IF(D$16&lt;&gt;1,MIN(1,MAX(0,(D50-D$14)/(D$15-D$14))),1-MIN(1,MAX(0,(D50-D$14)/(D$15-D$14))))</f>
        <v>0</v>
      </c>
      <c r="U50" s="2">
        <f t="shared" ref="U50:U81" si="73">IF(E$16&lt;&gt;1,MIN(1,MAX(0,(E50-E$14)/(E$15-E$14))),1-MIN(1,MAX(0,(E50-E$14)/(E$15-E$14))))</f>
        <v>2.9399999999999982E-2</v>
      </c>
      <c r="V50" s="2">
        <f t="shared" ref="V50:V81" si="74">IF(F$16&lt;&gt;1,MIN(1,MAX(0,(F50-F$14)/(F$15-F$14))),1-MIN(1,MAX(0,(F50-F$14)/(F$15-F$14))))</f>
        <v>1</v>
      </c>
      <c r="W50" s="2">
        <f t="shared" ref="W50:W81" si="75">IF(G$16&lt;&gt;1,MIN(1,MAX(0,(G50-G$14)/(G$15-G$14))),1-MIN(1,MAX(0,(G50-G$14)/(G$15-G$14))))</f>
        <v>0.12952734988406639</v>
      </c>
      <c r="X50" s="2">
        <f t="shared" ref="X50:X81" si="76">IF(H$16&lt;&gt;1,MIN(1,MAX(0,(H50-H$14)/(H$15-H$14))),1-MIN(1,MAX(0,(H50-H$14)/(H$15-H$14))))</f>
        <v>0.7367452139344921</v>
      </c>
      <c r="Y50" s="9">
        <f t="shared" si="53"/>
        <v>0.37913451276371168</v>
      </c>
      <c r="Z50" s="2">
        <f t="shared" si="54"/>
        <v>0.45629146587078478</v>
      </c>
      <c r="AA50" s="2">
        <f t="shared" si="55"/>
        <v>0</v>
      </c>
      <c r="AB50" s="2">
        <f t="shared" si="56"/>
        <v>1</v>
      </c>
      <c r="AC50" s="2">
        <f t="shared" si="57"/>
        <v>0.10834093237753066</v>
      </c>
      <c r="AD50" s="2" t="e">
        <f t="shared" si="58"/>
        <v>#N/A</v>
      </c>
      <c r="AE50" s="2" t="e">
        <f t="shared" si="59"/>
        <v>#N/A</v>
      </c>
      <c r="AF50" s="45">
        <f t="shared" si="60"/>
        <v>0.39115809956207886</v>
      </c>
      <c r="AH50" s="34">
        <v>0.60508311196225384</v>
      </c>
      <c r="AI50" s="34">
        <f t="shared" si="61"/>
        <v>0.53613188137957501</v>
      </c>
      <c r="AJ50" s="34">
        <f t="shared" si="62"/>
        <v>-6.8951230582678824E-2</v>
      </c>
      <c r="AK50" s="34">
        <f t="shared" si="63"/>
        <v>6.8951230582678824E-2</v>
      </c>
      <c r="AL50" s="41">
        <f t="shared" si="64"/>
        <v>0.11395332181569814</v>
      </c>
      <c r="AN50">
        <f t="shared" si="69"/>
        <v>185</v>
      </c>
      <c r="AO50">
        <f t="shared" si="70"/>
        <v>170</v>
      </c>
      <c r="AP50">
        <f t="shared" si="67"/>
        <v>15</v>
      </c>
      <c r="AQ50">
        <f t="shared" si="68"/>
        <v>15</v>
      </c>
    </row>
    <row r="51" spans="1:43">
      <c r="A51" s="1" t="s">
        <v>165</v>
      </c>
      <c r="B51" s="1" t="s">
        <v>225</v>
      </c>
      <c r="C51" t="e">
        <f>NA()</f>
        <v>#N/A</v>
      </c>
      <c r="D51" s="39">
        <v>1.4648567106770163</v>
      </c>
      <c r="E51" s="2">
        <v>55.41</v>
      </c>
      <c r="F51" s="41">
        <v>0.48177513431220298</v>
      </c>
      <c r="G51" s="2">
        <v>0.19746768140851167</v>
      </c>
      <c r="H51" s="34">
        <v>0</v>
      </c>
      <c r="I51" s="34"/>
      <c r="J51" s="35">
        <v>26.743940488917247</v>
      </c>
      <c r="K51" s="35">
        <v>16.500055226181672</v>
      </c>
      <c r="L51">
        <v>89.3</v>
      </c>
      <c r="M51" s="35">
        <v>64.197223564517358</v>
      </c>
      <c r="N51">
        <v>3.29</v>
      </c>
      <c r="O51">
        <v>2</v>
      </c>
      <c r="Q51" s="1" t="s">
        <v>165</v>
      </c>
      <c r="R51" s="1" t="s">
        <v>225</v>
      </c>
      <c r="S51" s="2" t="e">
        <f t="shared" si="71"/>
        <v>#N/A</v>
      </c>
      <c r="T51" s="2">
        <f t="shared" si="72"/>
        <v>0.35351432893229839</v>
      </c>
      <c r="U51" s="2">
        <f t="shared" si="73"/>
        <v>0.44590000000000007</v>
      </c>
      <c r="V51" s="2">
        <f t="shared" si="74"/>
        <v>0.96355026862440596</v>
      </c>
      <c r="W51" s="2">
        <f t="shared" si="75"/>
        <v>0.19746768140851167</v>
      </c>
      <c r="X51" s="2">
        <f t="shared" si="76"/>
        <v>1</v>
      </c>
      <c r="Y51" s="9">
        <f t="shared" si="53"/>
        <v>0.5920864557930432</v>
      </c>
      <c r="Z51" s="2">
        <f t="shared" si="54"/>
        <v>0.23919914984167495</v>
      </c>
      <c r="AA51" s="2">
        <f t="shared" si="55"/>
        <v>0.20625069032727089</v>
      </c>
      <c r="AB51" s="2">
        <f t="shared" si="56"/>
        <v>1</v>
      </c>
      <c r="AC51" s="2">
        <f t="shared" si="57"/>
        <v>0.32098611782258679</v>
      </c>
      <c r="AD51" s="2">
        <f t="shared" si="58"/>
        <v>0.32900000000000001</v>
      </c>
      <c r="AE51" s="2">
        <f t="shared" si="59"/>
        <v>0.6</v>
      </c>
      <c r="AF51" s="45">
        <f t="shared" si="60"/>
        <v>0.44923932633192215</v>
      </c>
      <c r="AH51" s="34">
        <v>0.56129880404581201</v>
      </c>
      <c r="AI51" s="34">
        <f t="shared" si="61"/>
        <v>0.5464868438301782</v>
      </c>
      <c r="AJ51" s="34">
        <f t="shared" si="62"/>
        <v>-1.4811960215633801E-2</v>
      </c>
      <c r="AK51" s="34">
        <f t="shared" si="63"/>
        <v>1.4811960215633801E-2</v>
      </c>
      <c r="AL51" s="41">
        <f t="shared" si="64"/>
        <v>2.6388725771140039E-2</v>
      </c>
      <c r="AN51">
        <f t="shared" si="69"/>
        <v>183</v>
      </c>
      <c r="AO51">
        <f t="shared" si="70"/>
        <v>173</v>
      </c>
      <c r="AP51">
        <f t="shared" si="67"/>
        <v>10</v>
      </c>
      <c r="AQ51">
        <f t="shared" si="68"/>
        <v>10</v>
      </c>
    </row>
    <row r="52" spans="1:43">
      <c r="A52" s="1" t="s">
        <v>18</v>
      </c>
      <c r="B52" s="1" t="s">
        <v>226</v>
      </c>
      <c r="C52" t="e">
        <f>NA()</f>
        <v>#N/A</v>
      </c>
      <c r="D52" s="39">
        <v>1.6167655479518848</v>
      </c>
      <c r="E52" s="2">
        <v>59.88</v>
      </c>
      <c r="F52" s="41">
        <v>9.1336409953698044E-2</v>
      </c>
      <c r="G52" s="2">
        <v>0.50468402632929188</v>
      </c>
      <c r="H52" s="34">
        <v>0.53865979302634692</v>
      </c>
      <c r="I52" s="34"/>
      <c r="J52" s="35">
        <v>39.074799808449804</v>
      </c>
      <c r="K52" s="35">
        <v>55.462054805972478</v>
      </c>
      <c r="L52">
        <v>9</v>
      </c>
      <c r="M52" s="35">
        <v>33.982975205911728</v>
      </c>
      <c r="N52">
        <v>1.3</v>
      </c>
      <c r="O52">
        <v>2.86</v>
      </c>
      <c r="Q52" s="1" t="s">
        <v>18</v>
      </c>
      <c r="R52" s="1" t="s">
        <v>226</v>
      </c>
      <c r="S52" s="2" t="e">
        <f t="shared" si="71"/>
        <v>#N/A</v>
      </c>
      <c r="T52" s="2">
        <f t="shared" si="72"/>
        <v>0.3383234452048115</v>
      </c>
      <c r="U52" s="2">
        <f t="shared" si="73"/>
        <v>0.4012</v>
      </c>
      <c r="V52" s="2">
        <f t="shared" si="74"/>
        <v>0.18267281990739609</v>
      </c>
      <c r="W52" s="2">
        <f t="shared" si="75"/>
        <v>0.50468402632929188</v>
      </c>
      <c r="X52" s="2">
        <f t="shared" si="76"/>
        <v>0.10223367828942176</v>
      </c>
      <c r="Y52" s="9">
        <f t="shared" si="53"/>
        <v>0.30582279394618428</v>
      </c>
      <c r="Z52" s="2">
        <f t="shared" si="54"/>
        <v>0.41535428297785432</v>
      </c>
      <c r="AA52" s="2">
        <f t="shared" si="55"/>
        <v>0.69327568507465598</v>
      </c>
      <c r="AB52" s="2">
        <f t="shared" si="56"/>
        <v>0.12857142857142856</v>
      </c>
      <c r="AC52" s="2">
        <f t="shared" si="57"/>
        <v>0.16991487602955865</v>
      </c>
      <c r="AD52" s="2">
        <f t="shared" si="58"/>
        <v>0.13</v>
      </c>
      <c r="AE52" s="2">
        <f t="shared" si="59"/>
        <v>0.42800000000000005</v>
      </c>
      <c r="AF52" s="45">
        <f t="shared" si="60"/>
        <v>0.32751937877558285</v>
      </c>
      <c r="AH52" s="34">
        <v>0.20774907186321165</v>
      </c>
      <c r="AI52" s="34">
        <f t="shared" si="61"/>
        <v>0.24229165620289997</v>
      </c>
      <c r="AJ52" s="34">
        <f t="shared" si="62"/>
        <v>3.454258433968832E-2</v>
      </c>
      <c r="AK52" s="34">
        <f t="shared" si="63"/>
        <v>3.454258433968832E-2</v>
      </c>
      <c r="AL52" s="41">
        <f t="shared" si="64"/>
        <v>0.16627070354582482</v>
      </c>
      <c r="AN52">
        <f t="shared" si="69"/>
        <v>32</v>
      </c>
      <c r="AO52">
        <f t="shared" si="70"/>
        <v>42</v>
      </c>
      <c r="AP52">
        <f t="shared" si="67"/>
        <v>-10</v>
      </c>
      <c r="AQ52">
        <f t="shared" si="68"/>
        <v>10</v>
      </c>
    </row>
    <row r="53" spans="1:43">
      <c r="A53" s="1" t="s">
        <v>111</v>
      </c>
      <c r="B53" s="1" t="s">
        <v>227</v>
      </c>
      <c r="C53" t="e">
        <f>NA()</f>
        <v>#N/A</v>
      </c>
      <c r="D53" s="39">
        <v>-2.9532700280052504E-2</v>
      </c>
      <c r="E53" s="2">
        <v>64.349999999999994</v>
      </c>
      <c r="F53" s="41">
        <v>0.16682147700597319</v>
      </c>
      <c r="G53" s="2">
        <v>0.66230780581378201</v>
      </c>
      <c r="H53" s="34">
        <v>0.38880706865059633</v>
      </c>
      <c r="I53" s="34"/>
      <c r="J53" s="35">
        <v>2.7583969174921634</v>
      </c>
      <c r="K53" s="35">
        <v>36.358475474644571</v>
      </c>
      <c r="L53">
        <v>29.1</v>
      </c>
      <c r="M53" s="35">
        <v>402.21563746844885</v>
      </c>
      <c r="N53">
        <v>1.31</v>
      </c>
      <c r="O53">
        <v>3.54</v>
      </c>
      <c r="Q53" s="1" t="s">
        <v>111</v>
      </c>
      <c r="R53" s="1" t="s">
        <v>227</v>
      </c>
      <c r="S53" s="2" t="e">
        <f t="shared" si="71"/>
        <v>#N/A</v>
      </c>
      <c r="T53" s="2">
        <f t="shared" si="72"/>
        <v>0.50295327002800527</v>
      </c>
      <c r="U53" s="2">
        <f t="shared" si="73"/>
        <v>0.35650000000000004</v>
      </c>
      <c r="V53" s="2">
        <f t="shared" si="74"/>
        <v>0.33364295401194638</v>
      </c>
      <c r="W53" s="2">
        <f t="shared" si="75"/>
        <v>0.66230780581378201</v>
      </c>
      <c r="X53" s="2">
        <f t="shared" si="76"/>
        <v>0.35198821891567278</v>
      </c>
      <c r="Y53" s="9">
        <f t="shared" si="53"/>
        <v>0.44147844975388129</v>
      </c>
      <c r="Z53" s="2">
        <f t="shared" si="54"/>
        <v>0</v>
      </c>
      <c r="AA53" s="2">
        <f t="shared" si="55"/>
        <v>0.45448094343305712</v>
      </c>
      <c r="AB53" s="2">
        <f t="shared" si="56"/>
        <v>0.41571428571428576</v>
      </c>
      <c r="AC53" s="2">
        <f t="shared" si="57"/>
        <v>1</v>
      </c>
      <c r="AD53" s="2">
        <f t="shared" si="58"/>
        <v>0.13100000000000001</v>
      </c>
      <c r="AE53" s="2">
        <f t="shared" si="59"/>
        <v>0.29200000000000004</v>
      </c>
      <c r="AF53" s="45">
        <f t="shared" si="60"/>
        <v>0.38219920485789044</v>
      </c>
      <c r="AH53" s="34">
        <v>0.2622810790767453</v>
      </c>
      <c r="AI53" s="34">
        <f t="shared" si="61"/>
        <v>0.30843809645024678</v>
      </c>
      <c r="AJ53" s="34">
        <f t="shared" si="62"/>
        <v>4.6157017373501474E-2</v>
      </c>
      <c r="AK53" s="34">
        <f t="shared" si="63"/>
        <v>4.6157017373501474E-2</v>
      </c>
      <c r="AL53" s="41">
        <f t="shared" si="64"/>
        <v>0.17598302376968492</v>
      </c>
      <c r="AN53">
        <f t="shared" si="69"/>
        <v>70</v>
      </c>
      <c r="AO53">
        <f t="shared" si="70"/>
        <v>75</v>
      </c>
      <c r="AP53">
        <f t="shared" si="67"/>
        <v>-5</v>
      </c>
      <c r="AQ53">
        <f t="shared" si="68"/>
        <v>5</v>
      </c>
    </row>
    <row r="54" spans="1:43">
      <c r="A54" s="1" t="s">
        <v>46</v>
      </c>
      <c r="B54" s="1" t="s">
        <v>228</v>
      </c>
      <c r="C54" t="e">
        <f>NA()</f>
        <v>#N/A</v>
      </c>
      <c r="D54" s="39">
        <v>2.5634155405581076</v>
      </c>
      <c r="E54" s="2">
        <v>89.06</v>
      </c>
      <c r="F54" s="41">
        <v>0.11220797034476981</v>
      </c>
      <c r="G54" s="2">
        <v>0.50661004044729951</v>
      </c>
      <c r="H54" s="34">
        <v>0.35235640596460294</v>
      </c>
      <c r="I54" s="34"/>
      <c r="J54" s="35">
        <v>24.447654249672972</v>
      </c>
      <c r="K54" s="35">
        <v>41.779539138721134</v>
      </c>
      <c r="L54">
        <v>14.3</v>
      </c>
      <c r="M54" s="35">
        <v>28.71700660163452</v>
      </c>
      <c r="N54">
        <v>1.84</v>
      </c>
      <c r="O54">
        <v>2.59</v>
      </c>
      <c r="Q54" s="1" t="s">
        <v>46</v>
      </c>
      <c r="R54" s="1" t="s">
        <v>228</v>
      </c>
      <c r="S54" s="2" t="e">
        <f t="shared" si="71"/>
        <v>#N/A</v>
      </c>
      <c r="T54" s="2">
        <f t="shared" si="72"/>
        <v>0.24365844594418928</v>
      </c>
      <c r="U54" s="2">
        <f t="shared" si="73"/>
        <v>0.10939999999999994</v>
      </c>
      <c r="V54" s="2">
        <f t="shared" si="74"/>
        <v>0.22441594068953963</v>
      </c>
      <c r="W54" s="2">
        <f t="shared" si="75"/>
        <v>0.50661004044729951</v>
      </c>
      <c r="X54" s="2">
        <f t="shared" si="76"/>
        <v>0.41273932339232844</v>
      </c>
      <c r="Y54" s="9">
        <f t="shared" si="53"/>
        <v>0.29936475009467134</v>
      </c>
      <c r="Z54" s="2">
        <f t="shared" si="54"/>
        <v>0.20639506070961389</v>
      </c>
      <c r="AA54" s="2">
        <f t="shared" si="55"/>
        <v>0.5222442392340142</v>
      </c>
      <c r="AB54" s="2">
        <f t="shared" si="56"/>
        <v>0.20428571428571429</v>
      </c>
      <c r="AC54" s="2">
        <f t="shared" si="57"/>
        <v>0.1435850330081726</v>
      </c>
      <c r="AD54" s="2">
        <f t="shared" si="58"/>
        <v>0.184</v>
      </c>
      <c r="AE54" s="2">
        <f t="shared" si="59"/>
        <v>0.48199999999999998</v>
      </c>
      <c r="AF54" s="45">
        <f t="shared" si="60"/>
        <v>0.29041834120625248</v>
      </c>
      <c r="AH54" s="34">
        <v>0.27516416730986476</v>
      </c>
      <c r="AI54" s="34">
        <f t="shared" si="61"/>
        <v>0.28123639466136074</v>
      </c>
      <c r="AJ54" s="34">
        <f t="shared" si="62"/>
        <v>6.0722273514959846E-3</v>
      </c>
      <c r="AK54" s="34">
        <f t="shared" si="63"/>
        <v>6.0722273514959846E-3</v>
      </c>
      <c r="AL54" s="41">
        <f t="shared" si="64"/>
        <v>2.2067652960997632E-2</v>
      </c>
      <c r="AN54">
        <f t="shared" si="69"/>
        <v>82</v>
      </c>
      <c r="AO54">
        <f t="shared" si="70"/>
        <v>57</v>
      </c>
      <c r="AP54">
        <f t="shared" si="67"/>
        <v>25</v>
      </c>
      <c r="AQ54">
        <f t="shared" si="68"/>
        <v>25</v>
      </c>
    </row>
    <row r="55" spans="1:43">
      <c r="A55" s="1" t="s">
        <v>163</v>
      </c>
      <c r="B55" s="1" t="s">
        <v>229</v>
      </c>
      <c r="C55" t="e">
        <f>NA()</f>
        <v>#N/A</v>
      </c>
      <c r="D55" s="39" t="e">
        <v>#N/A</v>
      </c>
      <c r="E55" s="2">
        <v>0</v>
      </c>
      <c r="F55" s="41">
        <v>0.12150292011819006</v>
      </c>
      <c r="G55" s="2">
        <v>0.53558090905559497</v>
      </c>
      <c r="H55" s="34">
        <v>0.11340206168975731</v>
      </c>
      <c r="I55" s="34"/>
      <c r="J55" s="35">
        <v>24.143227509469728</v>
      </c>
      <c r="K55" s="35">
        <v>0</v>
      </c>
      <c r="L55">
        <v>68.900000000000006</v>
      </c>
      <c r="M55" s="35">
        <v>8.1401056537843139</v>
      </c>
      <c r="N55" t="e">
        <v>#N/A</v>
      </c>
      <c r="O55">
        <v>1.76</v>
      </c>
      <c r="Q55" s="1" t="s">
        <v>163</v>
      </c>
      <c r="R55" s="1" t="s">
        <v>229</v>
      </c>
      <c r="S55" s="2" t="e">
        <f t="shared" si="71"/>
        <v>#N/A</v>
      </c>
      <c r="T55" s="2" t="e">
        <f t="shared" si="72"/>
        <v>#N/A</v>
      </c>
      <c r="U55" s="2">
        <f t="shared" si="73"/>
        <v>1</v>
      </c>
      <c r="V55" s="2">
        <f t="shared" si="74"/>
        <v>0.24300584023638011</v>
      </c>
      <c r="W55" s="2">
        <f t="shared" si="75"/>
        <v>0.53558090905559497</v>
      </c>
      <c r="X55" s="2">
        <f t="shared" si="76"/>
        <v>0.81099656385040442</v>
      </c>
      <c r="Y55" s="9">
        <f t="shared" si="53"/>
        <v>0.64739582828559494</v>
      </c>
      <c r="Z55" s="2">
        <f t="shared" si="54"/>
        <v>0.20204610727813899</v>
      </c>
      <c r="AA55" s="2">
        <f t="shared" si="55"/>
        <v>0</v>
      </c>
      <c r="AB55" s="2">
        <f t="shared" si="56"/>
        <v>0.98428571428571432</v>
      </c>
      <c r="AC55" s="2">
        <f t="shared" si="57"/>
        <v>4.0700528268921572E-2</v>
      </c>
      <c r="AD55" s="2" t="e">
        <f t="shared" si="58"/>
        <v>#N/A</v>
      </c>
      <c r="AE55" s="2">
        <f t="shared" si="59"/>
        <v>0.64800000000000002</v>
      </c>
      <c r="AF55" s="45">
        <f t="shared" si="60"/>
        <v>0.37500646996655507</v>
      </c>
      <c r="AH55" s="34">
        <v>0.41804238766287999</v>
      </c>
      <c r="AI55" s="34">
        <f t="shared" si="61"/>
        <v>0.44342957900389784</v>
      </c>
      <c r="AJ55" s="34">
        <f t="shared" si="62"/>
        <v>2.5387191341017856E-2</v>
      </c>
      <c r="AK55" s="34">
        <f t="shared" si="63"/>
        <v>2.5387191341017856E-2</v>
      </c>
      <c r="AL55" s="41">
        <f t="shared" si="64"/>
        <v>6.0728749261404404E-2</v>
      </c>
      <c r="AN55">
        <f t="shared" si="69"/>
        <v>131</v>
      </c>
      <c r="AO55">
        <f t="shared" si="70"/>
        <v>130</v>
      </c>
      <c r="AP55">
        <f t="shared" si="67"/>
        <v>1</v>
      </c>
      <c r="AQ55">
        <f t="shared" si="68"/>
        <v>1</v>
      </c>
    </row>
    <row r="56" spans="1:43">
      <c r="A56" s="1" t="s">
        <v>85</v>
      </c>
      <c r="B56" s="1" t="s">
        <v>230</v>
      </c>
      <c r="C56" t="e">
        <f>NA()</f>
        <v>#N/A</v>
      </c>
      <c r="D56" s="39">
        <v>12.35871946766558</v>
      </c>
      <c r="E56" s="2">
        <v>55.41</v>
      </c>
      <c r="F56" s="41">
        <v>0.4758168672424879</v>
      </c>
      <c r="G56" s="2">
        <v>0.18918963619914231</v>
      </c>
      <c r="H56" s="34">
        <v>0.19845360795707523</v>
      </c>
      <c r="I56" s="34"/>
      <c r="J56" s="35">
        <v>52.708108408388995</v>
      </c>
      <c r="K56" s="35">
        <v>12.182577502916423</v>
      </c>
      <c r="L56">
        <v>49.9</v>
      </c>
      <c r="M56" s="35">
        <v>24.153488921332659</v>
      </c>
      <c r="N56">
        <v>16.43</v>
      </c>
      <c r="O56">
        <v>1.62</v>
      </c>
      <c r="Q56" s="1" t="s">
        <v>85</v>
      </c>
      <c r="R56" s="1" t="s">
        <v>230</v>
      </c>
      <c r="S56" s="2" t="e">
        <f t="shared" si="71"/>
        <v>#N/A</v>
      </c>
      <c r="T56" s="2">
        <f t="shared" si="72"/>
        <v>0</v>
      </c>
      <c r="U56" s="2">
        <f t="shared" si="73"/>
        <v>0.44590000000000007</v>
      </c>
      <c r="V56" s="2">
        <f t="shared" si="74"/>
        <v>0.95163373448497579</v>
      </c>
      <c r="W56" s="2">
        <f t="shared" si="75"/>
        <v>0.18918963619914231</v>
      </c>
      <c r="X56" s="2">
        <f t="shared" si="76"/>
        <v>0.66924398673820795</v>
      </c>
      <c r="Y56" s="9">
        <f t="shared" si="53"/>
        <v>0.4511934714844652</v>
      </c>
      <c r="Z56" s="2">
        <f t="shared" si="54"/>
        <v>0.61011583440555706</v>
      </c>
      <c r="AA56" s="2">
        <f t="shared" si="55"/>
        <v>0.15228221878645529</v>
      </c>
      <c r="AB56" s="2">
        <f t="shared" si="56"/>
        <v>0.71285714285714286</v>
      </c>
      <c r="AC56" s="2">
        <f t="shared" si="57"/>
        <v>0.12076744460666329</v>
      </c>
      <c r="AD56" s="2">
        <f t="shared" si="58"/>
        <v>1</v>
      </c>
      <c r="AE56" s="2">
        <f t="shared" si="59"/>
        <v>0.67599999999999993</v>
      </c>
      <c r="AF56" s="45">
        <f t="shared" si="60"/>
        <v>0.5453371067759698</v>
      </c>
      <c r="AH56" s="34">
        <v>0.43746992073911017</v>
      </c>
      <c r="AI56" s="34">
        <f t="shared" si="61"/>
        <v>0.45792194559476546</v>
      </c>
      <c r="AJ56" s="34">
        <f t="shared" si="62"/>
        <v>2.0452024855655282E-2</v>
      </c>
      <c r="AK56" s="34">
        <f t="shared" si="63"/>
        <v>2.0452024855655282E-2</v>
      </c>
      <c r="AL56" s="41">
        <f t="shared" si="64"/>
        <v>4.6750699616333311E-2</v>
      </c>
      <c r="AN56">
        <f t="shared" si="69"/>
        <v>140</v>
      </c>
      <c r="AO56">
        <f t="shared" si="70"/>
        <v>134</v>
      </c>
      <c r="AP56">
        <f t="shared" si="67"/>
        <v>6</v>
      </c>
      <c r="AQ56">
        <f t="shared" si="68"/>
        <v>6</v>
      </c>
    </row>
    <row r="57" spans="1:43">
      <c r="A57" s="1" t="s">
        <v>148</v>
      </c>
      <c r="B57" s="1" t="s">
        <v>231</v>
      </c>
      <c r="C57" t="e">
        <f>NA()</f>
        <v>#N/A</v>
      </c>
      <c r="D57" s="39">
        <v>2.0462208302078584</v>
      </c>
      <c r="E57" s="2">
        <v>59</v>
      </c>
      <c r="F57" s="41" t="e">
        <v>#N/A</v>
      </c>
      <c r="G57" s="2">
        <v>0.56924678902190051</v>
      </c>
      <c r="H57" s="34">
        <v>0</v>
      </c>
      <c r="I57" s="34"/>
      <c r="J57" s="35" t="e">
        <v>#N/A</v>
      </c>
      <c r="K57" s="35">
        <v>9.1345991479829962</v>
      </c>
      <c r="L57">
        <v>61.7</v>
      </c>
      <c r="M57" s="35" t="e">
        <v>#N/A</v>
      </c>
      <c r="N57" t="e">
        <v>#N/A</v>
      </c>
      <c r="O57" t="e">
        <v>#N/A</v>
      </c>
      <c r="Q57" s="1" t="s">
        <v>148</v>
      </c>
      <c r="R57" s="1" t="s">
        <v>231</v>
      </c>
      <c r="S57" s="2" t="e">
        <f t="shared" si="71"/>
        <v>#N/A</v>
      </c>
      <c r="T57" s="2">
        <f t="shared" si="72"/>
        <v>0.29537791697921423</v>
      </c>
      <c r="U57" s="2">
        <f t="shared" si="73"/>
        <v>0.41000000000000003</v>
      </c>
      <c r="V57" s="2" t="e">
        <f t="shared" si="74"/>
        <v>#N/A</v>
      </c>
      <c r="W57" s="2">
        <f t="shared" si="75"/>
        <v>0.56924678902190051</v>
      </c>
      <c r="X57" s="2">
        <f t="shared" si="76"/>
        <v>1</v>
      </c>
      <c r="Y57" s="9">
        <f t="shared" si="53"/>
        <v>0.56865617650027867</v>
      </c>
      <c r="Z57" s="2" t="e">
        <f t="shared" si="54"/>
        <v>#N/A</v>
      </c>
      <c r="AA57" s="2">
        <f t="shared" si="55"/>
        <v>0.11418248934978745</v>
      </c>
      <c r="AB57" s="2">
        <f t="shared" si="56"/>
        <v>0.88142857142857145</v>
      </c>
      <c r="AC57" s="2" t="e">
        <f t="shared" si="57"/>
        <v>#N/A</v>
      </c>
      <c r="AD57" s="2" t="e">
        <f t="shared" si="58"/>
        <v>#N/A</v>
      </c>
      <c r="AE57" s="2" t="e">
        <f t="shared" si="59"/>
        <v>#N/A</v>
      </c>
      <c r="AF57" s="45" t="e">
        <f t="shared" si="60"/>
        <v>#N/A</v>
      </c>
      <c r="AH57" s="34" t="e">
        <v>#N/A</v>
      </c>
      <c r="AI57" s="34" t="e">
        <f t="shared" si="61"/>
        <v>#N/A</v>
      </c>
      <c r="AJ57" s="34" t="e">
        <f t="shared" si="62"/>
        <v>#N/A</v>
      </c>
      <c r="AK57" s="34" t="e">
        <f t="shared" si="63"/>
        <v>#N/A</v>
      </c>
      <c r="AL57" s="41" t="e">
        <f t="shared" si="64"/>
        <v>#N/A</v>
      </c>
      <c r="AN57" t="e">
        <f t="shared" si="69"/>
        <v>#VALUE!</v>
      </c>
      <c r="AO57" t="e">
        <f t="shared" si="70"/>
        <v>#VALUE!</v>
      </c>
      <c r="AP57" t="e">
        <f t="shared" si="67"/>
        <v>#VALUE!</v>
      </c>
      <c r="AQ57" t="e">
        <f t="shared" si="68"/>
        <v>#VALUE!</v>
      </c>
    </row>
    <row r="58" spans="1:43">
      <c r="A58" s="1" t="s">
        <v>78</v>
      </c>
      <c r="B58" s="1" t="s">
        <v>232</v>
      </c>
      <c r="C58" t="e">
        <f>NA()</f>
        <v>#N/A</v>
      </c>
      <c r="D58" s="39">
        <v>0.12887844336083232</v>
      </c>
      <c r="E58" s="2">
        <v>94.18</v>
      </c>
      <c r="F58" s="41">
        <v>0.12005147990869727</v>
      </c>
      <c r="G58" s="2">
        <v>0.33492435505434176</v>
      </c>
      <c r="H58" s="34">
        <v>0.31566028524598944</v>
      </c>
      <c r="I58" s="34"/>
      <c r="J58" s="35">
        <v>48.765944168242186</v>
      </c>
      <c r="K58" s="35">
        <v>27.420032268451951</v>
      </c>
      <c r="L58">
        <v>10.9</v>
      </c>
      <c r="M58" s="35">
        <v>55.146144216800352</v>
      </c>
      <c r="N58">
        <v>1.7</v>
      </c>
      <c r="O58">
        <v>2.56</v>
      </c>
      <c r="Q58" s="1" t="s">
        <v>78</v>
      </c>
      <c r="R58" s="1" t="s">
        <v>232</v>
      </c>
      <c r="S58" s="2" t="e">
        <f t="shared" si="71"/>
        <v>#N/A</v>
      </c>
      <c r="T58" s="2">
        <f t="shared" si="72"/>
        <v>0.48711215566391675</v>
      </c>
      <c r="U58" s="2">
        <f t="shared" si="73"/>
        <v>5.8199999999999918E-2</v>
      </c>
      <c r="V58" s="2">
        <f t="shared" si="74"/>
        <v>0.24010295981739455</v>
      </c>
      <c r="W58" s="2">
        <f t="shared" si="75"/>
        <v>0.33492435505434176</v>
      </c>
      <c r="X58" s="2">
        <f t="shared" si="76"/>
        <v>0.47389952459001761</v>
      </c>
      <c r="Y58" s="9">
        <f t="shared" si="53"/>
        <v>0.3188477990251341</v>
      </c>
      <c r="Z58" s="2">
        <f t="shared" si="54"/>
        <v>0.55379920240345981</v>
      </c>
      <c r="AA58" s="2">
        <f t="shared" si="55"/>
        <v>0.34275040335564938</v>
      </c>
      <c r="AB58" s="2">
        <f t="shared" si="56"/>
        <v>0.15571428571428572</v>
      </c>
      <c r="AC58" s="2">
        <f t="shared" si="57"/>
        <v>0.27573072108400176</v>
      </c>
      <c r="AD58" s="2">
        <f t="shared" si="58"/>
        <v>0.16999999999999998</v>
      </c>
      <c r="AE58" s="2">
        <f t="shared" si="59"/>
        <v>0.48799999999999999</v>
      </c>
      <c r="AF58" s="45">
        <f t="shared" si="60"/>
        <v>0.33099910209289946</v>
      </c>
      <c r="AH58" s="34">
        <v>0.30680223035505777</v>
      </c>
      <c r="AI58" s="34">
        <f t="shared" si="61"/>
        <v>0.312671061034413</v>
      </c>
      <c r="AJ58" s="34">
        <f t="shared" si="62"/>
        <v>5.8688306793552303E-3</v>
      </c>
      <c r="AK58" s="34">
        <f t="shared" si="63"/>
        <v>5.8688306793552303E-3</v>
      </c>
      <c r="AL58" s="41">
        <f t="shared" si="64"/>
        <v>1.9129035250373891E-2</v>
      </c>
      <c r="AN58">
        <f t="shared" si="69"/>
        <v>98</v>
      </c>
      <c r="AO58">
        <f t="shared" si="70"/>
        <v>79</v>
      </c>
      <c r="AP58">
        <f t="shared" si="67"/>
        <v>19</v>
      </c>
      <c r="AQ58">
        <f t="shared" si="68"/>
        <v>19</v>
      </c>
    </row>
    <row r="59" spans="1:43">
      <c r="A59" s="1" t="s">
        <v>116</v>
      </c>
      <c r="B59" s="1" t="s">
        <v>233</v>
      </c>
      <c r="C59" t="e">
        <f>NA()</f>
        <v>#N/A</v>
      </c>
      <c r="D59" s="39">
        <v>0.76024461364054141</v>
      </c>
      <c r="E59" s="2">
        <v>100</v>
      </c>
      <c r="F59" s="41">
        <v>0.2435873967552438</v>
      </c>
      <c r="G59" s="2">
        <v>0.5709470196264288</v>
      </c>
      <c r="H59" s="34">
        <v>0</v>
      </c>
      <c r="I59" s="34"/>
      <c r="J59" s="35">
        <v>41.716301915719875</v>
      </c>
      <c r="K59" s="35">
        <v>15.149167348602791</v>
      </c>
      <c r="L59">
        <v>57</v>
      </c>
      <c r="M59" s="35">
        <v>66.834583410713108</v>
      </c>
      <c r="N59">
        <v>4.9800000000000004</v>
      </c>
      <c r="O59">
        <v>2.37</v>
      </c>
      <c r="Q59" s="1" t="s">
        <v>116</v>
      </c>
      <c r="R59" s="1" t="s">
        <v>233</v>
      </c>
      <c r="S59" s="2" t="e">
        <f t="shared" si="71"/>
        <v>#N/A</v>
      </c>
      <c r="T59" s="2">
        <f t="shared" si="72"/>
        <v>0.42397553863594584</v>
      </c>
      <c r="U59" s="2">
        <f t="shared" si="73"/>
        <v>0</v>
      </c>
      <c r="V59" s="2">
        <f t="shared" si="74"/>
        <v>0.48717479351048759</v>
      </c>
      <c r="W59" s="2">
        <f t="shared" si="75"/>
        <v>0.5709470196264288</v>
      </c>
      <c r="X59" s="2">
        <f t="shared" si="76"/>
        <v>1</v>
      </c>
      <c r="Y59" s="9">
        <f t="shared" si="53"/>
        <v>0.4964194703545724</v>
      </c>
      <c r="Z59" s="2">
        <f t="shared" si="54"/>
        <v>0.45309002736742676</v>
      </c>
      <c r="AA59" s="2">
        <f t="shared" si="55"/>
        <v>0.1893645918575349</v>
      </c>
      <c r="AB59" s="2">
        <f t="shared" si="56"/>
        <v>0.81428571428571428</v>
      </c>
      <c r="AC59" s="2">
        <f t="shared" si="57"/>
        <v>0.33417291705356555</v>
      </c>
      <c r="AD59" s="2">
        <f t="shared" si="58"/>
        <v>0.49800000000000005</v>
      </c>
      <c r="AE59" s="2">
        <f t="shared" si="59"/>
        <v>0.52600000000000002</v>
      </c>
      <c r="AF59" s="45">
        <f t="shared" si="60"/>
        <v>0.46915220842737365</v>
      </c>
      <c r="AH59" s="34">
        <v>0.44110593543481663</v>
      </c>
      <c r="AI59" s="34">
        <f t="shared" si="61"/>
        <v>0.45381580150779155</v>
      </c>
      <c r="AJ59" s="34">
        <f t="shared" si="62"/>
        <v>1.2709866072974918E-2</v>
      </c>
      <c r="AK59" s="34">
        <f t="shared" si="63"/>
        <v>1.2709866072974918E-2</v>
      </c>
      <c r="AL59" s="41">
        <f t="shared" si="64"/>
        <v>2.8813636480421127E-2</v>
      </c>
      <c r="AN59">
        <f t="shared" si="69"/>
        <v>142</v>
      </c>
      <c r="AO59">
        <f t="shared" si="70"/>
        <v>131</v>
      </c>
      <c r="AP59">
        <f t="shared" si="67"/>
        <v>11</v>
      </c>
      <c r="AQ59">
        <f t="shared" si="68"/>
        <v>11</v>
      </c>
    </row>
    <row r="60" spans="1:43">
      <c r="A60" s="1" t="s">
        <v>96</v>
      </c>
      <c r="B60" s="1" t="s">
        <v>234</v>
      </c>
      <c r="C60" t="e">
        <f>NA()</f>
        <v>#N/A</v>
      </c>
      <c r="D60" s="39">
        <v>0.57009029269588751</v>
      </c>
      <c r="E60" s="2">
        <v>70.760000000000005</v>
      </c>
      <c r="F60" s="41">
        <v>2.1841932980263046E-2</v>
      </c>
      <c r="G60" s="2">
        <v>0.27450214807801288</v>
      </c>
      <c r="H60" s="34">
        <v>0.5101865485875976</v>
      </c>
      <c r="I60" s="34"/>
      <c r="J60" s="35">
        <v>26.883668438922776</v>
      </c>
      <c r="K60" s="35">
        <v>0</v>
      </c>
      <c r="L60">
        <v>0</v>
      </c>
      <c r="M60" s="35">
        <v>-405.91682586537496</v>
      </c>
      <c r="N60">
        <v>0.79</v>
      </c>
      <c r="O60">
        <v>2.36</v>
      </c>
      <c r="Q60" s="1" t="s">
        <v>96</v>
      </c>
      <c r="R60" s="1" t="s">
        <v>234</v>
      </c>
      <c r="S60" s="2" t="e">
        <f t="shared" si="71"/>
        <v>#N/A</v>
      </c>
      <c r="T60" s="2">
        <f t="shared" si="72"/>
        <v>0.44299097073041127</v>
      </c>
      <c r="U60" s="2">
        <f t="shared" si="73"/>
        <v>0.29239999999999999</v>
      </c>
      <c r="V60" s="2">
        <f t="shared" si="74"/>
        <v>4.3683865960526091E-2</v>
      </c>
      <c r="W60" s="2">
        <f t="shared" si="75"/>
        <v>0.27450214807801288</v>
      </c>
      <c r="X60" s="2">
        <f t="shared" si="76"/>
        <v>0.1496890856873373</v>
      </c>
      <c r="Y60" s="9">
        <f t="shared" si="53"/>
        <v>0.24065321409125753</v>
      </c>
      <c r="Z60" s="2">
        <f t="shared" si="54"/>
        <v>0.24119526341318251</v>
      </c>
      <c r="AA60" s="2">
        <f t="shared" si="55"/>
        <v>0</v>
      </c>
      <c r="AB60" s="2">
        <f t="shared" si="56"/>
        <v>0</v>
      </c>
      <c r="AC60" s="2">
        <f t="shared" si="57"/>
        <v>0</v>
      </c>
      <c r="AD60" s="2">
        <f t="shared" si="58"/>
        <v>7.9000000000000001E-2</v>
      </c>
      <c r="AE60" s="2">
        <f t="shared" si="59"/>
        <v>0.52800000000000002</v>
      </c>
      <c r="AF60" s="45">
        <f t="shared" si="60"/>
        <v>0.14136587723553043</v>
      </c>
      <c r="AH60" s="34">
        <v>0.17372716123249995</v>
      </c>
      <c r="AI60" s="34">
        <f t="shared" si="61"/>
        <v>0.17774037724141339</v>
      </c>
      <c r="AJ60" s="34">
        <f t="shared" si="62"/>
        <v>4.0132160089134394E-3</v>
      </c>
      <c r="AK60" s="34">
        <f t="shared" si="63"/>
        <v>4.0132160089134394E-3</v>
      </c>
      <c r="AL60" s="41">
        <f t="shared" si="64"/>
        <v>2.3100682590113424E-2</v>
      </c>
      <c r="AN60">
        <f t="shared" si="69"/>
        <v>12</v>
      </c>
      <c r="AO60">
        <f t="shared" si="70"/>
        <v>14</v>
      </c>
      <c r="AP60">
        <f t="shared" si="67"/>
        <v>-2</v>
      </c>
      <c r="AQ60">
        <f t="shared" si="68"/>
        <v>2</v>
      </c>
    </row>
    <row r="61" spans="1:43">
      <c r="A61" s="1" t="s">
        <v>41</v>
      </c>
      <c r="B61" s="1" t="s">
        <v>235</v>
      </c>
      <c r="C61" t="e">
        <f>NA()</f>
        <v>#N/A</v>
      </c>
      <c r="D61" s="39">
        <v>-0.34874385771534888</v>
      </c>
      <c r="E61" s="2">
        <v>37.18</v>
      </c>
      <c r="F61" s="41" t="e">
        <v>#N/A</v>
      </c>
      <c r="G61" s="2">
        <v>0.70370967362372161</v>
      </c>
      <c r="H61" s="34">
        <v>0</v>
      </c>
      <c r="I61" s="34"/>
      <c r="J61" s="35">
        <v>24.989421555249773</v>
      </c>
      <c r="K61" s="35">
        <v>39.200061192271164</v>
      </c>
      <c r="L61" t="e">
        <v>#N/A</v>
      </c>
      <c r="M61" s="35">
        <v>-64.000303996457049</v>
      </c>
      <c r="N61" t="e">
        <v>#N/A</v>
      </c>
      <c r="O61">
        <v>1.9</v>
      </c>
      <c r="Q61" s="1" t="s">
        <v>41</v>
      </c>
      <c r="R61" s="1" t="s">
        <v>235</v>
      </c>
      <c r="S61" s="2" t="e">
        <f t="shared" si="71"/>
        <v>#N/A</v>
      </c>
      <c r="T61" s="2">
        <f t="shared" si="72"/>
        <v>0.5348743857715349</v>
      </c>
      <c r="U61" s="2">
        <f t="shared" si="73"/>
        <v>0.62819999999999998</v>
      </c>
      <c r="V61" s="2" t="e">
        <f t="shared" si="74"/>
        <v>#N/A</v>
      </c>
      <c r="W61" s="2">
        <f t="shared" si="75"/>
        <v>0.70370967362372161</v>
      </c>
      <c r="X61" s="2">
        <f t="shared" si="76"/>
        <v>1</v>
      </c>
      <c r="Y61" s="9">
        <f t="shared" si="53"/>
        <v>0.71669601484881418</v>
      </c>
      <c r="Z61" s="2">
        <f t="shared" si="54"/>
        <v>0.21413459364642534</v>
      </c>
      <c r="AA61" s="2">
        <f t="shared" si="55"/>
        <v>0.49000076490338956</v>
      </c>
      <c r="AB61" s="2" t="e">
        <f t="shared" si="56"/>
        <v>#N/A</v>
      </c>
      <c r="AC61" s="2">
        <f t="shared" si="57"/>
        <v>0</v>
      </c>
      <c r="AD61" s="2" t="e">
        <f t="shared" si="58"/>
        <v>#N/A</v>
      </c>
      <c r="AE61" s="2">
        <f t="shared" si="59"/>
        <v>0.62</v>
      </c>
      <c r="AF61" s="45">
        <f t="shared" si="60"/>
        <v>0.3310338396374537</v>
      </c>
      <c r="AH61" s="34">
        <v>0.26289906703801152</v>
      </c>
      <c r="AI61" s="34">
        <f t="shared" si="61"/>
        <v>0.33940744917088767</v>
      </c>
      <c r="AJ61" s="34">
        <f t="shared" si="62"/>
        <v>7.650838213287614E-2</v>
      </c>
      <c r="AK61" s="34">
        <f t="shared" si="63"/>
        <v>7.650838213287614E-2</v>
      </c>
      <c r="AL61" s="41">
        <f t="shared" si="64"/>
        <v>0.29101808155832709</v>
      </c>
      <c r="AN61">
        <f t="shared" si="69"/>
        <v>72</v>
      </c>
      <c r="AO61">
        <f t="shared" si="70"/>
        <v>93</v>
      </c>
      <c r="AP61">
        <f t="shared" si="67"/>
        <v>-21</v>
      </c>
      <c r="AQ61">
        <f t="shared" si="68"/>
        <v>21</v>
      </c>
    </row>
    <row r="62" spans="1:43">
      <c r="A62" s="1" t="s">
        <v>56</v>
      </c>
      <c r="B62" s="1" t="s">
        <v>236</v>
      </c>
      <c r="C62" t="e">
        <f>NA()</f>
        <v>#N/A</v>
      </c>
      <c r="D62" s="39" t="e">
        <v>#N/A</v>
      </c>
      <c r="E62" s="2">
        <v>100</v>
      </c>
      <c r="F62" s="41" t="e">
        <v>#N/A</v>
      </c>
      <c r="G62" s="2">
        <v>0.37252912603691773</v>
      </c>
      <c r="H62" s="34">
        <v>0.48969072239609235</v>
      </c>
      <c r="I62" s="34"/>
      <c r="J62" s="35">
        <v>31.377842864725121</v>
      </c>
      <c r="K62" s="35">
        <v>0</v>
      </c>
      <c r="L62">
        <v>0</v>
      </c>
      <c r="M62" s="35">
        <v>23.724697282777843</v>
      </c>
      <c r="N62" t="e">
        <v>#N/A</v>
      </c>
      <c r="O62">
        <v>2.94</v>
      </c>
      <c r="Q62" s="1" t="s">
        <v>56</v>
      </c>
      <c r="R62" s="1" t="s">
        <v>236</v>
      </c>
      <c r="S62" s="2" t="e">
        <f t="shared" si="71"/>
        <v>#N/A</v>
      </c>
      <c r="T62" s="2" t="e">
        <f t="shared" si="72"/>
        <v>#N/A</v>
      </c>
      <c r="U62" s="2">
        <f t="shared" si="73"/>
        <v>0</v>
      </c>
      <c r="V62" s="2" t="e">
        <f t="shared" si="74"/>
        <v>#N/A</v>
      </c>
      <c r="W62" s="2">
        <f t="shared" si="75"/>
        <v>0.37252912603691773</v>
      </c>
      <c r="X62" s="2">
        <f t="shared" si="76"/>
        <v>0.18384879600651272</v>
      </c>
      <c r="Y62" s="9">
        <f t="shared" si="53"/>
        <v>0.18545930734781013</v>
      </c>
      <c r="Z62" s="2">
        <f t="shared" si="54"/>
        <v>0.30539775521035889</v>
      </c>
      <c r="AA62" s="2">
        <f t="shared" si="55"/>
        <v>0</v>
      </c>
      <c r="AB62" s="2">
        <f t="shared" si="56"/>
        <v>0</v>
      </c>
      <c r="AC62" s="2">
        <f t="shared" si="57"/>
        <v>0.11862348641388921</v>
      </c>
      <c r="AD62" s="2" t="e">
        <f t="shared" si="58"/>
        <v>#N/A</v>
      </c>
      <c r="AE62" s="2">
        <f t="shared" si="59"/>
        <v>0.41200000000000003</v>
      </c>
      <c r="AF62" s="45">
        <f t="shared" si="60"/>
        <v>0.16720424832484962</v>
      </c>
      <c r="AH62" s="34">
        <v>0.23763807892266101</v>
      </c>
      <c r="AI62" s="34">
        <f t="shared" si="61"/>
        <v>0.21810959773805752</v>
      </c>
      <c r="AJ62" s="34">
        <f t="shared" si="62"/>
        <v>-1.9528481184603486E-2</v>
      </c>
      <c r="AK62" s="34">
        <f t="shared" si="63"/>
        <v>1.9528481184603486E-2</v>
      </c>
      <c r="AL62" s="41">
        <f t="shared" si="64"/>
        <v>8.2177407228405525E-2</v>
      </c>
      <c r="AN62">
        <f t="shared" si="69"/>
        <v>49</v>
      </c>
      <c r="AO62">
        <f t="shared" si="70"/>
        <v>34</v>
      </c>
      <c r="AP62">
        <f t="shared" si="67"/>
        <v>15</v>
      </c>
      <c r="AQ62">
        <f t="shared" si="68"/>
        <v>15</v>
      </c>
    </row>
    <row r="63" spans="1:43">
      <c r="A63" s="1" t="s">
        <v>50</v>
      </c>
      <c r="B63" s="1" t="s">
        <v>237</v>
      </c>
      <c r="C63" t="e">
        <f>NA()</f>
        <v>#N/A</v>
      </c>
      <c r="D63" s="39">
        <v>0.2004505935120755</v>
      </c>
      <c r="E63" s="2">
        <v>84.12</v>
      </c>
      <c r="F63" s="41">
        <v>2.3578986989916888E-2</v>
      </c>
      <c r="G63" s="2">
        <v>0.12672974969005629</v>
      </c>
      <c r="H63" s="34">
        <v>0.53865979302634692</v>
      </c>
      <c r="I63" s="34"/>
      <c r="J63" s="35">
        <v>15.025876974258006</v>
      </c>
      <c r="K63" s="35">
        <v>21.700079023418159</v>
      </c>
      <c r="L63">
        <v>0</v>
      </c>
      <c r="M63" s="35">
        <v>0</v>
      </c>
      <c r="N63">
        <v>0.6</v>
      </c>
      <c r="O63">
        <v>3.25</v>
      </c>
      <c r="Q63" s="1" t="s">
        <v>50</v>
      </c>
      <c r="R63" s="1" t="s">
        <v>237</v>
      </c>
      <c r="S63" s="2" t="e">
        <f t="shared" si="71"/>
        <v>#N/A</v>
      </c>
      <c r="T63" s="2">
        <f t="shared" si="72"/>
        <v>0.47995494064879252</v>
      </c>
      <c r="U63" s="2">
        <f t="shared" si="73"/>
        <v>0.15879999999999994</v>
      </c>
      <c r="V63" s="2">
        <f t="shared" si="74"/>
        <v>4.7157973979833775E-2</v>
      </c>
      <c r="W63" s="2">
        <f t="shared" si="75"/>
        <v>0.12672974969005629</v>
      </c>
      <c r="X63" s="2">
        <f t="shared" si="76"/>
        <v>0.10223367828942176</v>
      </c>
      <c r="Y63" s="9">
        <f t="shared" si="53"/>
        <v>0.18297526852162088</v>
      </c>
      <c r="Z63" s="2">
        <f t="shared" si="54"/>
        <v>7.1798242489400088E-2</v>
      </c>
      <c r="AA63" s="2">
        <f t="shared" si="55"/>
        <v>0.27125098779272699</v>
      </c>
      <c r="AB63" s="2">
        <f t="shared" si="56"/>
        <v>0</v>
      </c>
      <c r="AC63" s="2">
        <f t="shared" si="57"/>
        <v>0</v>
      </c>
      <c r="AD63" s="2">
        <f t="shared" si="58"/>
        <v>0.06</v>
      </c>
      <c r="AE63" s="2">
        <f t="shared" si="59"/>
        <v>0.35</v>
      </c>
      <c r="AF63" s="45">
        <f t="shared" si="60"/>
        <v>0.12550820504702118</v>
      </c>
      <c r="AH63" s="34">
        <v>0.13849436622867048</v>
      </c>
      <c r="AI63" s="34">
        <f t="shared" si="61"/>
        <v>0.1426225817822378</v>
      </c>
      <c r="AJ63" s="34">
        <f t="shared" si="62"/>
        <v>4.1282155535673215E-3</v>
      </c>
      <c r="AK63" s="34">
        <f t="shared" si="63"/>
        <v>4.1282155535673215E-3</v>
      </c>
      <c r="AL63" s="41">
        <f t="shared" si="64"/>
        <v>2.9807822989356494E-2</v>
      </c>
      <c r="AN63">
        <f t="shared" si="69"/>
        <v>3</v>
      </c>
      <c r="AO63">
        <f t="shared" si="70"/>
        <v>7</v>
      </c>
      <c r="AP63">
        <f t="shared" si="67"/>
        <v>-4</v>
      </c>
      <c r="AQ63">
        <f t="shared" si="68"/>
        <v>4</v>
      </c>
    </row>
    <row r="64" spans="1:43">
      <c r="A64" s="1" t="s">
        <v>22</v>
      </c>
      <c r="B64" s="1" t="s">
        <v>238</v>
      </c>
      <c r="C64" t="e">
        <f>NA()</f>
        <v>#N/A</v>
      </c>
      <c r="D64" s="39">
        <v>5.8078385460769155E-2</v>
      </c>
      <c r="E64" s="2">
        <v>30.06</v>
      </c>
      <c r="F64" s="41">
        <v>1.4913919163654714E-2</v>
      </c>
      <c r="G64" s="2">
        <v>7.6067568984480458E-2</v>
      </c>
      <c r="H64" s="34">
        <v>0.91899852736445908</v>
      </c>
      <c r="I64" s="34"/>
      <c r="J64" s="35">
        <v>24.524907368455953</v>
      </c>
      <c r="K64" s="35">
        <v>13.500065003281101</v>
      </c>
      <c r="L64">
        <v>0</v>
      </c>
      <c r="M64" s="35">
        <v>78.520924908142291</v>
      </c>
      <c r="N64">
        <v>0</v>
      </c>
      <c r="O64">
        <v>3.99</v>
      </c>
      <c r="Q64" s="1" t="s">
        <v>22</v>
      </c>
      <c r="R64" s="1" t="s">
        <v>238</v>
      </c>
      <c r="S64" s="2" t="e">
        <f t="shared" si="71"/>
        <v>#N/A</v>
      </c>
      <c r="T64" s="2">
        <f t="shared" si="72"/>
        <v>0.49419216145392308</v>
      </c>
      <c r="U64" s="2">
        <f t="shared" si="73"/>
        <v>0.69940000000000002</v>
      </c>
      <c r="V64" s="2">
        <f t="shared" si="74"/>
        <v>2.9827838327309428E-2</v>
      </c>
      <c r="W64" s="2">
        <f t="shared" si="75"/>
        <v>7.6067568984480458E-2</v>
      </c>
      <c r="X64" s="2">
        <f t="shared" si="76"/>
        <v>0</v>
      </c>
      <c r="Y64" s="9">
        <f t="shared" si="53"/>
        <v>0.25989751375314263</v>
      </c>
      <c r="Z64" s="2">
        <f t="shared" si="54"/>
        <v>0.20749867669222791</v>
      </c>
      <c r="AA64" s="2">
        <f t="shared" si="55"/>
        <v>0.16875081254101376</v>
      </c>
      <c r="AB64" s="2">
        <f t="shared" si="56"/>
        <v>0</v>
      </c>
      <c r="AC64" s="2">
        <f t="shared" si="57"/>
        <v>0.39260462454071143</v>
      </c>
      <c r="AD64" s="2">
        <f t="shared" si="58"/>
        <v>0</v>
      </c>
      <c r="AE64" s="2">
        <f t="shared" si="59"/>
        <v>0.20199999999999996</v>
      </c>
      <c r="AF64" s="45">
        <f t="shared" si="60"/>
        <v>0.1618090189623255</v>
      </c>
      <c r="AH64" s="34">
        <v>0.11473167520868151</v>
      </c>
      <c r="AI64" s="34">
        <f t="shared" si="61"/>
        <v>0.14354005392994351</v>
      </c>
      <c r="AJ64" s="34">
        <f t="shared" si="62"/>
        <v>2.8808378721262004E-2</v>
      </c>
      <c r="AK64" s="34">
        <f t="shared" si="63"/>
        <v>2.8808378721262004E-2</v>
      </c>
      <c r="AL64" s="41">
        <f t="shared" si="64"/>
        <v>0.25109350725388985</v>
      </c>
      <c r="AN64">
        <f t="shared" si="69"/>
        <v>1</v>
      </c>
      <c r="AO64">
        <f t="shared" si="70"/>
        <v>8</v>
      </c>
      <c r="AP64">
        <f t="shared" si="67"/>
        <v>-7</v>
      </c>
      <c r="AQ64">
        <f t="shared" si="68"/>
        <v>7</v>
      </c>
    </row>
    <row r="65" spans="1:43">
      <c r="A65" s="1" t="s">
        <v>21</v>
      </c>
      <c r="B65" s="1" t="s">
        <v>239</v>
      </c>
      <c r="C65" t="e">
        <f>NA()</f>
        <v>#N/A</v>
      </c>
      <c r="D65" s="39" t="e">
        <v>#N/A</v>
      </c>
      <c r="E65" s="2">
        <v>0</v>
      </c>
      <c r="F65" s="41" t="e">
        <v>#N/A</v>
      </c>
      <c r="G65" s="2">
        <v>0.18518116202963655</v>
      </c>
      <c r="H65" s="34">
        <v>0.1335297008323324</v>
      </c>
      <c r="I65" s="34"/>
      <c r="J65" s="35">
        <v>74.093097601035566</v>
      </c>
      <c r="K65" s="35">
        <v>0</v>
      </c>
      <c r="L65" t="e">
        <v>#N/A</v>
      </c>
      <c r="M65" s="35">
        <v>24.096429530035476</v>
      </c>
      <c r="N65" t="e">
        <v>#N/A</v>
      </c>
      <c r="O65">
        <v>2.33</v>
      </c>
      <c r="Q65" s="1" t="s">
        <v>21</v>
      </c>
      <c r="R65" s="1" t="s">
        <v>239</v>
      </c>
      <c r="S65" s="2" t="e">
        <f t="shared" si="71"/>
        <v>#N/A</v>
      </c>
      <c r="T65" s="2" t="e">
        <f t="shared" si="72"/>
        <v>#N/A</v>
      </c>
      <c r="U65" s="2">
        <f t="shared" si="73"/>
        <v>1</v>
      </c>
      <c r="V65" s="2" t="e">
        <f t="shared" si="74"/>
        <v>#N/A</v>
      </c>
      <c r="W65" s="2">
        <f t="shared" si="75"/>
        <v>0.18518116202963655</v>
      </c>
      <c r="X65" s="2">
        <f t="shared" si="76"/>
        <v>0.77745049861277926</v>
      </c>
      <c r="Y65" s="9">
        <f t="shared" si="53"/>
        <v>0.65421055354747193</v>
      </c>
      <c r="Z65" s="2">
        <f t="shared" si="54"/>
        <v>0.91561568001479376</v>
      </c>
      <c r="AA65" s="2">
        <f t="shared" si="55"/>
        <v>0</v>
      </c>
      <c r="AB65" s="2" t="e">
        <f t="shared" si="56"/>
        <v>#N/A</v>
      </c>
      <c r="AC65" s="2">
        <f t="shared" si="57"/>
        <v>0.12048214765017738</v>
      </c>
      <c r="AD65" s="2" t="e">
        <f t="shared" si="58"/>
        <v>#N/A</v>
      </c>
      <c r="AE65" s="2">
        <f t="shared" si="59"/>
        <v>0.53400000000000003</v>
      </c>
      <c r="AF65" s="45">
        <f t="shared" si="60"/>
        <v>0.39252445691624277</v>
      </c>
      <c r="AH65" s="34">
        <v>0.44720093040496639</v>
      </c>
      <c r="AI65" s="34">
        <f t="shared" si="61"/>
        <v>0.4674006239701145</v>
      </c>
      <c r="AJ65" s="34">
        <f t="shared" si="62"/>
        <v>2.0199693565148114E-2</v>
      </c>
      <c r="AK65" s="34">
        <f t="shared" si="63"/>
        <v>2.0199693565148114E-2</v>
      </c>
      <c r="AL65" s="41">
        <f t="shared" si="64"/>
        <v>4.5169167127751993E-2</v>
      </c>
      <c r="AN65">
        <f t="shared" si="69"/>
        <v>146</v>
      </c>
      <c r="AO65">
        <f t="shared" si="70"/>
        <v>140</v>
      </c>
      <c r="AP65">
        <f t="shared" si="67"/>
        <v>6</v>
      </c>
      <c r="AQ65">
        <f t="shared" si="68"/>
        <v>6</v>
      </c>
    </row>
    <row r="66" spans="1:43">
      <c r="A66" s="1" t="s">
        <v>45</v>
      </c>
      <c r="B66" s="1" t="s">
        <v>240</v>
      </c>
      <c r="C66" t="e">
        <f>NA()</f>
        <v>#N/A</v>
      </c>
      <c r="D66" s="39" t="e">
        <v>#N/A</v>
      </c>
      <c r="E66" s="2">
        <v>80.06</v>
      </c>
      <c r="F66" s="41">
        <v>0.13659754972994642</v>
      </c>
      <c r="G66" s="2">
        <v>0.37769422356172694</v>
      </c>
      <c r="H66" s="34">
        <v>0.10922925904167013</v>
      </c>
      <c r="I66" s="34"/>
      <c r="J66" s="35">
        <v>28.283738243086816</v>
      </c>
      <c r="K66" s="35">
        <v>0</v>
      </c>
      <c r="L66" t="e">
        <v>#N/A</v>
      </c>
      <c r="M66" s="35">
        <v>-187.8149388975435</v>
      </c>
      <c r="N66" t="e">
        <v>#N/A</v>
      </c>
      <c r="O66" t="e">
        <v>#N/A</v>
      </c>
      <c r="Q66" s="1" t="s">
        <v>45</v>
      </c>
      <c r="R66" s="1" t="s">
        <v>240</v>
      </c>
      <c r="S66" s="2" t="e">
        <f t="shared" si="71"/>
        <v>#N/A</v>
      </c>
      <c r="T66" s="2" t="e">
        <f t="shared" si="72"/>
        <v>#N/A</v>
      </c>
      <c r="U66" s="2">
        <f t="shared" si="73"/>
        <v>0.19940000000000002</v>
      </c>
      <c r="V66" s="2">
        <f t="shared" si="74"/>
        <v>0.27319509945989284</v>
      </c>
      <c r="W66" s="2">
        <f t="shared" si="75"/>
        <v>0.37769422356172694</v>
      </c>
      <c r="X66" s="2">
        <f t="shared" si="76"/>
        <v>0.81795123493054978</v>
      </c>
      <c r="Y66" s="9">
        <f t="shared" si="53"/>
        <v>0.41706013948804238</v>
      </c>
      <c r="Z66" s="2">
        <f t="shared" si="54"/>
        <v>0.26119626061552592</v>
      </c>
      <c r="AA66" s="2">
        <f t="shared" si="55"/>
        <v>0</v>
      </c>
      <c r="AB66" s="2" t="e">
        <f t="shared" si="56"/>
        <v>#N/A</v>
      </c>
      <c r="AC66" s="2">
        <f t="shared" si="57"/>
        <v>0</v>
      </c>
      <c r="AD66" s="2" t="e">
        <f t="shared" si="58"/>
        <v>#N/A</v>
      </c>
      <c r="AE66" s="2" t="e">
        <f t="shared" si="59"/>
        <v>#N/A</v>
      </c>
      <c r="AF66" s="45" t="e">
        <f t="shared" si="60"/>
        <v>#N/A</v>
      </c>
      <c r="AH66" s="34">
        <v>0.39425567033255121</v>
      </c>
      <c r="AI66" s="34" t="e">
        <f t="shared" si="61"/>
        <v>#N/A</v>
      </c>
      <c r="AJ66" s="34" t="e">
        <f t="shared" si="62"/>
        <v>#N/A</v>
      </c>
      <c r="AK66" s="34" t="e">
        <f t="shared" si="63"/>
        <v>#N/A</v>
      </c>
      <c r="AL66" s="41" t="e">
        <f t="shared" si="64"/>
        <v>#N/A</v>
      </c>
      <c r="AN66">
        <f t="shared" si="69"/>
        <v>127</v>
      </c>
      <c r="AO66" t="e">
        <f t="shared" si="70"/>
        <v>#VALUE!</v>
      </c>
      <c r="AP66" t="e">
        <f t="shared" si="67"/>
        <v>#VALUE!</v>
      </c>
      <c r="AQ66" t="e">
        <f t="shared" si="68"/>
        <v>#VALUE!</v>
      </c>
    </row>
    <row r="67" spans="1:43">
      <c r="A67" s="1" t="s">
        <v>59</v>
      </c>
      <c r="B67" s="1" t="s">
        <v>241</v>
      </c>
      <c r="C67" t="e">
        <f>NA()</f>
        <v>#N/A</v>
      </c>
      <c r="D67" s="39">
        <v>-0.25534386963727868</v>
      </c>
      <c r="E67" s="2">
        <v>0</v>
      </c>
      <c r="F67" s="41">
        <v>6.4317811533985678E-2</v>
      </c>
      <c r="G67" s="2">
        <v>0.39607706282503741</v>
      </c>
      <c r="H67" s="34">
        <v>0.2673048596972849</v>
      </c>
      <c r="I67" s="34"/>
      <c r="J67" s="35">
        <v>31.150515421259016</v>
      </c>
      <c r="K67" s="35">
        <v>59.200078930662606</v>
      </c>
      <c r="L67">
        <v>14.8</v>
      </c>
      <c r="M67" s="35">
        <v>79.760957123159415</v>
      </c>
      <c r="N67">
        <v>15.17</v>
      </c>
      <c r="O67">
        <v>2.34</v>
      </c>
      <c r="Q67" s="1" t="s">
        <v>59</v>
      </c>
      <c r="R67" s="1" t="s">
        <v>241</v>
      </c>
      <c r="S67" s="2" t="e">
        <f t="shared" si="71"/>
        <v>#N/A</v>
      </c>
      <c r="T67" s="2">
        <f t="shared" si="72"/>
        <v>0.5255343869637279</v>
      </c>
      <c r="U67" s="2">
        <f t="shared" si="73"/>
        <v>1</v>
      </c>
      <c r="V67" s="2">
        <f t="shared" si="74"/>
        <v>0.12863562306797136</v>
      </c>
      <c r="W67" s="2">
        <f t="shared" si="75"/>
        <v>0.39607706282503741</v>
      </c>
      <c r="X67" s="2">
        <f t="shared" si="76"/>
        <v>0.55449190050452513</v>
      </c>
      <c r="Y67" s="9">
        <f t="shared" si="53"/>
        <v>0.52094779467225227</v>
      </c>
      <c r="Z67" s="2">
        <f t="shared" si="54"/>
        <v>0.3021502203037002</v>
      </c>
      <c r="AA67" s="2">
        <f t="shared" si="55"/>
        <v>0.74000098663328262</v>
      </c>
      <c r="AB67" s="2">
        <f t="shared" si="56"/>
        <v>0.21142857142857144</v>
      </c>
      <c r="AC67" s="2">
        <f t="shared" si="57"/>
        <v>0.39880478561579707</v>
      </c>
      <c r="AD67" s="2">
        <f t="shared" si="58"/>
        <v>1</v>
      </c>
      <c r="AE67" s="2">
        <f t="shared" si="59"/>
        <v>0.53200000000000003</v>
      </c>
      <c r="AF67" s="45">
        <f t="shared" si="60"/>
        <v>0.53073076066355851</v>
      </c>
      <c r="AH67" s="34">
        <v>0.2906523672806135</v>
      </c>
      <c r="AI67" s="34">
        <f t="shared" si="61"/>
        <v>0.36470801005935244</v>
      </c>
      <c r="AJ67" s="34">
        <f t="shared" si="62"/>
        <v>7.4055642778738939E-2</v>
      </c>
      <c r="AK67" s="34">
        <f t="shared" si="63"/>
        <v>7.4055642778738939E-2</v>
      </c>
      <c r="AL67" s="41">
        <f t="shared" si="64"/>
        <v>0.25479112202530629</v>
      </c>
      <c r="AN67">
        <f t="shared" si="69"/>
        <v>90</v>
      </c>
      <c r="AO67">
        <f t="shared" si="70"/>
        <v>111</v>
      </c>
      <c r="AP67">
        <f t="shared" si="67"/>
        <v>-21</v>
      </c>
      <c r="AQ67">
        <f t="shared" si="68"/>
        <v>21</v>
      </c>
    </row>
    <row r="68" spans="1:43">
      <c r="A68" s="1" t="s">
        <v>71</v>
      </c>
      <c r="B68" s="1" t="s">
        <v>242</v>
      </c>
      <c r="C68" t="e">
        <f>NA()</f>
        <v>#N/A</v>
      </c>
      <c r="D68" s="39">
        <v>1.108372315639836</v>
      </c>
      <c r="E68" s="2">
        <v>91.88</v>
      </c>
      <c r="F68" s="41">
        <v>0.36696116829143305</v>
      </c>
      <c r="G68" s="2">
        <v>0.80677745193874228</v>
      </c>
      <c r="H68" s="34">
        <v>0.40071183151330736</v>
      </c>
      <c r="I68" s="34"/>
      <c r="J68" s="35">
        <v>27.797260606047907</v>
      </c>
      <c r="K68" s="35">
        <v>54.579025094505084</v>
      </c>
      <c r="L68">
        <v>21.5</v>
      </c>
      <c r="M68" s="35">
        <v>70.088291331865179</v>
      </c>
      <c r="N68">
        <v>3.93</v>
      </c>
      <c r="O68">
        <v>2.38</v>
      </c>
      <c r="Q68" s="1" t="s">
        <v>71</v>
      </c>
      <c r="R68" s="1" t="s">
        <v>242</v>
      </c>
      <c r="S68" s="2" t="e">
        <f t="shared" si="71"/>
        <v>#N/A</v>
      </c>
      <c r="T68" s="2">
        <f t="shared" si="72"/>
        <v>0.38916276843601638</v>
      </c>
      <c r="U68" s="2">
        <f t="shared" si="73"/>
        <v>8.120000000000005E-2</v>
      </c>
      <c r="V68" s="2">
        <f t="shared" si="74"/>
        <v>0.7339223365828661</v>
      </c>
      <c r="W68" s="2">
        <f t="shared" si="75"/>
        <v>0.80677745193874228</v>
      </c>
      <c r="X68" s="2">
        <f t="shared" si="76"/>
        <v>0.33214694747782103</v>
      </c>
      <c r="Y68" s="9">
        <f t="shared" si="53"/>
        <v>0.46864190088708912</v>
      </c>
      <c r="Z68" s="2">
        <f t="shared" si="54"/>
        <v>0.25424658008639867</v>
      </c>
      <c r="AA68" s="2">
        <f t="shared" si="55"/>
        <v>0.68223781368131353</v>
      </c>
      <c r="AB68" s="2">
        <f t="shared" si="56"/>
        <v>0.30714285714285716</v>
      </c>
      <c r="AC68" s="2">
        <f t="shared" si="57"/>
        <v>0.35044145665932591</v>
      </c>
      <c r="AD68" s="2">
        <f t="shared" si="58"/>
        <v>0.39300000000000002</v>
      </c>
      <c r="AE68" s="2">
        <f t="shared" si="59"/>
        <v>0.52400000000000002</v>
      </c>
      <c r="AF68" s="45">
        <f t="shared" si="60"/>
        <v>0.41851145126164918</v>
      </c>
      <c r="AH68" s="34">
        <v>0.21971730361731454</v>
      </c>
      <c r="AI68" s="34">
        <f t="shared" si="61"/>
        <v>0.28935695710916826</v>
      </c>
      <c r="AJ68" s="34">
        <f t="shared" si="62"/>
        <v>6.963965349185372E-2</v>
      </c>
      <c r="AK68" s="34">
        <f t="shared" si="63"/>
        <v>6.963965349185372E-2</v>
      </c>
      <c r="AL68" s="41">
        <f t="shared" si="64"/>
        <v>0.31695115653315281</v>
      </c>
      <c r="AN68">
        <f t="shared" si="69"/>
        <v>37</v>
      </c>
      <c r="AO68">
        <f t="shared" si="70"/>
        <v>65</v>
      </c>
      <c r="AP68">
        <f t="shared" si="67"/>
        <v>-28</v>
      </c>
      <c r="AQ68">
        <f t="shared" si="68"/>
        <v>28</v>
      </c>
    </row>
    <row r="69" spans="1:43">
      <c r="A69" s="1" t="s">
        <v>126</v>
      </c>
      <c r="B69" s="1" t="s">
        <v>243</v>
      </c>
      <c r="C69" t="e">
        <f>NA()</f>
        <v>#N/A</v>
      </c>
      <c r="D69" s="39">
        <v>-0.42392311506066982</v>
      </c>
      <c r="E69" s="2">
        <v>34.71</v>
      </c>
      <c r="F69" s="41">
        <v>0.12570340746592737</v>
      </c>
      <c r="G69" s="2">
        <v>0.25128294786754229</v>
      </c>
      <c r="H69" s="34">
        <v>0.55461462952083507</v>
      </c>
      <c r="I69" s="34"/>
      <c r="J69" s="35">
        <v>31.686159942880781</v>
      </c>
      <c r="K69" s="35">
        <v>17.856610362997753</v>
      </c>
      <c r="L69">
        <v>13.1</v>
      </c>
      <c r="M69" s="35">
        <v>5.3521410042651336</v>
      </c>
      <c r="N69">
        <v>3.18</v>
      </c>
      <c r="O69">
        <v>2.2200000000000002</v>
      </c>
      <c r="Q69" s="1" t="s">
        <v>126</v>
      </c>
      <c r="R69" s="1" t="s">
        <v>243</v>
      </c>
      <c r="S69" s="2" t="e">
        <f t="shared" si="71"/>
        <v>#N/A</v>
      </c>
      <c r="T69" s="2">
        <f t="shared" si="72"/>
        <v>0.54239231150606693</v>
      </c>
      <c r="U69" s="2">
        <f t="shared" si="73"/>
        <v>0.65290000000000004</v>
      </c>
      <c r="V69" s="2">
        <f t="shared" si="74"/>
        <v>0.25140681493185474</v>
      </c>
      <c r="W69" s="2">
        <f t="shared" si="75"/>
        <v>0.25128294786754229</v>
      </c>
      <c r="X69" s="2">
        <f t="shared" si="76"/>
        <v>7.5642284131941517E-2</v>
      </c>
      <c r="Y69" s="9">
        <f t="shared" si="53"/>
        <v>0.35472487168748107</v>
      </c>
      <c r="Z69" s="2">
        <f t="shared" si="54"/>
        <v>0.30980228489829686</v>
      </c>
      <c r="AA69" s="2">
        <f t="shared" si="55"/>
        <v>0.22320762953747192</v>
      </c>
      <c r="AB69" s="2">
        <f t="shared" si="56"/>
        <v>0.18714285714285714</v>
      </c>
      <c r="AC69" s="2">
        <f t="shared" si="57"/>
        <v>2.676070502132567E-2</v>
      </c>
      <c r="AD69" s="2">
        <f t="shared" si="58"/>
        <v>0.318</v>
      </c>
      <c r="AE69" s="2">
        <f t="shared" si="59"/>
        <v>0.55599999999999994</v>
      </c>
      <c r="AF69" s="45">
        <f t="shared" si="60"/>
        <v>0.27015224609999189</v>
      </c>
      <c r="AH69" s="34">
        <v>0.23270622936889537</v>
      </c>
      <c r="AI69" s="34">
        <f t="shared" si="61"/>
        <v>0.25655678113973845</v>
      </c>
      <c r="AJ69" s="34">
        <f t="shared" si="62"/>
        <v>2.3850551770843081E-2</v>
      </c>
      <c r="AK69" s="34">
        <f t="shared" si="63"/>
        <v>2.3850551770843081E-2</v>
      </c>
      <c r="AL69" s="41">
        <f t="shared" si="64"/>
        <v>0.10249210704640922</v>
      </c>
      <c r="AN69">
        <f t="shared" si="69"/>
        <v>44</v>
      </c>
      <c r="AO69">
        <f t="shared" si="70"/>
        <v>49</v>
      </c>
      <c r="AP69">
        <f t="shared" si="67"/>
        <v>-5</v>
      </c>
      <c r="AQ69">
        <f t="shared" si="68"/>
        <v>5</v>
      </c>
    </row>
    <row r="70" spans="1:43">
      <c r="A70" s="1" t="s">
        <v>84</v>
      </c>
      <c r="B70" s="1" t="s">
        <v>244</v>
      </c>
      <c r="C70" t="e">
        <f>NA()</f>
        <v>#N/A</v>
      </c>
      <c r="D70" s="39">
        <v>-0.71917499815865071</v>
      </c>
      <c r="E70" s="2">
        <v>4.88</v>
      </c>
      <c r="F70" s="41">
        <v>7.4436786016249173E-2</v>
      </c>
      <c r="G70" s="2">
        <v>0.20082492919918293</v>
      </c>
      <c r="H70" s="34">
        <v>0.24300441790662264</v>
      </c>
      <c r="I70" s="34"/>
      <c r="J70" s="35">
        <v>41.229619853467881</v>
      </c>
      <c r="K70" s="35">
        <v>35.730051499946327</v>
      </c>
      <c r="L70">
        <v>28.9</v>
      </c>
      <c r="M70" s="35">
        <v>93.038772168926272</v>
      </c>
      <c r="N70">
        <v>6.96</v>
      </c>
      <c r="O70">
        <v>2.44</v>
      </c>
      <c r="Q70" s="1" t="s">
        <v>84</v>
      </c>
      <c r="R70" s="1" t="s">
        <v>244</v>
      </c>
      <c r="S70" s="2" t="e">
        <f t="shared" si="71"/>
        <v>#N/A</v>
      </c>
      <c r="T70" s="2">
        <f t="shared" si="72"/>
        <v>0.57191749981586504</v>
      </c>
      <c r="U70" s="2">
        <f t="shared" si="73"/>
        <v>0.95120000000000005</v>
      </c>
      <c r="V70" s="2">
        <f t="shared" si="74"/>
        <v>0.14887357203249835</v>
      </c>
      <c r="W70" s="2">
        <f t="shared" si="75"/>
        <v>0.20082492919918293</v>
      </c>
      <c r="X70" s="2">
        <f t="shared" si="76"/>
        <v>0.59499263682229553</v>
      </c>
      <c r="Y70" s="9">
        <f t="shared" si="53"/>
        <v>0.49356172757396843</v>
      </c>
      <c r="Z70" s="2">
        <f t="shared" si="54"/>
        <v>0.44613742647811261</v>
      </c>
      <c r="AA70" s="2">
        <f t="shared" si="55"/>
        <v>0.44662564374932912</v>
      </c>
      <c r="AB70" s="2">
        <f t="shared" si="56"/>
        <v>0.41285714285714281</v>
      </c>
      <c r="AC70" s="2">
        <f t="shared" si="57"/>
        <v>0.46519386084463138</v>
      </c>
      <c r="AD70" s="2">
        <f t="shared" si="58"/>
        <v>0.69599999999999995</v>
      </c>
      <c r="AE70" s="2">
        <f t="shared" si="59"/>
        <v>0.51200000000000001</v>
      </c>
      <c r="AF70" s="45">
        <f t="shared" si="60"/>
        <v>0.49646901232153601</v>
      </c>
      <c r="AH70" s="34">
        <v>0.29933438065532264</v>
      </c>
      <c r="AI70" s="34">
        <f t="shared" si="61"/>
        <v>0.36087565278648004</v>
      </c>
      <c r="AJ70" s="34">
        <f t="shared" si="62"/>
        <v>6.1541272131157398E-2</v>
      </c>
      <c r="AK70" s="34">
        <f t="shared" si="63"/>
        <v>6.1541272131157398E-2</v>
      </c>
      <c r="AL70" s="41">
        <f t="shared" si="64"/>
        <v>0.20559373098548578</v>
      </c>
      <c r="AN70">
        <f t="shared" si="69"/>
        <v>94</v>
      </c>
      <c r="AO70">
        <f t="shared" si="70"/>
        <v>109</v>
      </c>
      <c r="AP70">
        <f t="shared" si="67"/>
        <v>-15</v>
      </c>
      <c r="AQ70">
        <f t="shared" si="68"/>
        <v>15</v>
      </c>
    </row>
    <row r="71" spans="1:43">
      <c r="A71" s="1" t="s">
        <v>134</v>
      </c>
      <c r="B71" s="1" t="s">
        <v>245</v>
      </c>
      <c r="C71" t="e">
        <f>NA()</f>
        <v>#N/A</v>
      </c>
      <c r="D71" s="39" t="e">
        <v>#N/A</v>
      </c>
      <c r="E71" s="2">
        <v>100</v>
      </c>
      <c r="F71" s="41" t="e">
        <v>#N/A</v>
      </c>
      <c r="G71" s="2">
        <v>0.41829652180449961</v>
      </c>
      <c r="H71" s="34">
        <v>0.20250368158885224</v>
      </c>
      <c r="I71" s="34"/>
      <c r="J71" s="35">
        <v>47.432935353468494</v>
      </c>
      <c r="K71" s="35">
        <v>0</v>
      </c>
      <c r="L71">
        <v>66.3</v>
      </c>
      <c r="M71" s="35">
        <v>14.463108630675258</v>
      </c>
      <c r="N71" t="e">
        <v>#N/A</v>
      </c>
      <c r="O71" t="e">
        <v>#N/A</v>
      </c>
      <c r="Q71" s="1" t="s">
        <v>134</v>
      </c>
      <c r="R71" s="1" t="s">
        <v>245</v>
      </c>
      <c r="S71" s="2" t="e">
        <f t="shared" si="71"/>
        <v>#N/A</v>
      </c>
      <c r="T71" s="2" t="e">
        <f t="shared" si="72"/>
        <v>#N/A</v>
      </c>
      <c r="U71" s="2">
        <f t="shared" si="73"/>
        <v>0</v>
      </c>
      <c r="V71" s="2" t="e">
        <f t="shared" si="74"/>
        <v>#N/A</v>
      </c>
      <c r="W71" s="2">
        <f t="shared" si="75"/>
        <v>0.41829652180449961</v>
      </c>
      <c r="X71" s="2">
        <f t="shared" si="76"/>
        <v>0.66249386401857957</v>
      </c>
      <c r="Y71" s="9">
        <f t="shared" si="53"/>
        <v>0.36026346194102637</v>
      </c>
      <c r="Z71" s="2">
        <f t="shared" si="54"/>
        <v>0.53475621933526418</v>
      </c>
      <c r="AA71" s="2">
        <f t="shared" si="55"/>
        <v>0</v>
      </c>
      <c r="AB71" s="2">
        <f t="shared" si="56"/>
        <v>0.94714285714285706</v>
      </c>
      <c r="AC71" s="2">
        <f t="shared" si="57"/>
        <v>7.2315543153376294E-2</v>
      </c>
      <c r="AD71" s="2" t="e">
        <f t="shared" si="58"/>
        <v>#N/A</v>
      </c>
      <c r="AE71" s="2" t="e">
        <f t="shared" si="59"/>
        <v>#N/A</v>
      </c>
      <c r="AF71" s="45">
        <f t="shared" si="60"/>
        <v>0.38855365490787441</v>
      </c>
      <c r="AH71" s="34">
        <v>0.44653479542414742</v>
      </c>
      <c r="AI71" s="34">
        <f t="shared" si="61"/>
        <v>0.42427069512376903</v>
      </c>
      <c r="AJ71" s="34">
        <f t="shared" si="62"/>
        <v>-2.2264100300378398E-2</v>
      </c>
      <c r="AK71" s="34">
        <f t="shared" si="63"/>
        <v>2.2264100300378398E-2</v>
      </c>
      <c r="AL71" s="41">
        <f t="shared" si="64"/>
        <v>4.9859720963582523E-2</v>
      </c>
      <c r="AN71">
        <f t="shared" si="69"/>
        <v>144</v>
      </c>
      <c r="AO71">
        <f t="shared" si="70"/>
        <v>125</v>
      </c>
      <c r="AP71">
        <f t="shared" si="67"/>
        <v>19</v>
      </c>
      <c r="AQ71">
        <f t="shared" si="68"/>
        <v>19</v>
      </c>
    </row>
    <row r="72" spans="1:43">
      <c r="A72" s="1" t="s">
        <v>178</v>
      </c>
      <c r="B72" s="1" t="s">
        <v>246</v>
      </c>
      <c r="C72" t="e">
        <f>NA()</f>
        <v>#N/A</v>
      </c>
      <c r="D72" s="39">
        <v>0.82244417065450159</v>
      </c>
      <c r="E72" s="2">
        <v>29.35</v>
      </c>
      <c r="F72" s="41" t="e">
        <v>#N/A</v>
      </c>
      <c r="G72" s="2">
        <v>0.34446155116696336</v>
      </c>
      <c r="H72" s="34">
        <v>6.4801178108432778E-2</v>
      </c>
      <c r="I72" s="34"/>
      <c r="J72" s="35">
        <v>60.159369235799744</v>
      </c>
      <c r="K72" s="35">
        <v>0</v>
      </c>
      <c r="L72" t="e">
        <v>#N/A</v>
      </c>
      <c r="M72" s="35">
        <v>68.419659312058613</v>
      </c>
      <c r="N72">
        <v>0.24</v>
      </c>
      <c r="O72">
        <v>1.35</v>
      </c>
      <c r="Q72" s="1" t="s">
        <v>178</v>
      </c>
      <c r="R72" s="1" t="s">
        <v>246</v>
      </c>
      <c r="S72" s="2" t="e">
        <f t="shared" si="71"/>
        <v>#N/A</v>
      </c>
      <c r="T72" s="2">
        <f t="shared" si="72"/>
        <v>0.41775558293454984</v>
      </c>
      <c r="U72" s="2">
        <f t="shared" si="73"/>
        <v>0.70649999999999991</v>
      </c>
      <c r="V72" s="2" t="e">
        <f t="shared" si="74"/>
        <v>#N/A</v>
      </c>
      <c r="W72" s="2">
        <f t="shared" si="75"/>
        <v>0.34446155116696336</v>
      </c>
      <c r="X72" s="2">
        <f t="shared" si="76"/>
        <v>0.89199803648594533</v>
      </c>
      <c r="Y72" s="9">
        <f t="shared" si="53"/>
        <v>0.59017879264686457</v>
      </c>
      <c r="Z72" s="2">
        <f t="shared" si="54"/>
        <v>0.71656241765428208</v>
      </c>
      <c r="AA72" s="2">
        <f t="shared" si="55"/>
        <v>0</v>
      </c>
      <c r="AB72" s="2" t="e">
        <f t="shared" si="56"/>
        <v>#N/A</v>
      </c>
      <c r="AC72" s="2">
        <f t="shared" si="57"/>
        <v>0.34209829656029306</v>
      </c>
      <c r="AD72" s="2">
        <f t="shared" si="58"/>
        <v>2.4E-2</v>
      </c>
      <c r="AE72" s="2">
        <f t="shared" si="59"/>
        <v>0.73</v>
      </c>
      <c r="AF72" s="45">
        <f t="shared" si="60"/>
        <v>0.36253214284291502</v>
      </c>
      <c r="AH72" s="34">
        <v>0.4674508779835656</v>
      </c>
      <c r="AI72" s="34">
        <f t="shared" si="61"/>
        <v>0.46699736833992539</v>
      </c>
      <c r="AJ72" s="34">
        <f t="shared" si="62"/>
        <v>-4.5350964364021529E-4</v>
      </c>
      <c r="AK72" s="34">
        <f t="shared" si="63"/>
        <v>4.5350964364021529E-4</v>
      </c>
      <c r="AL72" s="41">
        <f t="shared" si="64"/>
        <v>9.7017604415786237E-4</v>
      </c>
      <c r="AN72">
        <f t="shared" si="69"/>
        <v>152</v>
      </c>
      <c r="AO72">
        <f t="shared" si="70"/>
        <v>139</v>
      </c>
      <c r="AP72">
        <f t="shared" si="67"/>
        <v>13</v>
      </c>
      <c r="AQ72">
        <f t="shared" si="68"/>
        <v>13</v>
      </c>
    </row>
    <row r="73" spans="1:43">
      <c r="A73" s="1" t="s">
        <v>58</v>
      </c>
      <c r="B73" s="1" t="s">
        <v>247</v>
      </c>
      <c r="C73" t="e">
        <f>NA()</f>
        <v>#N/A</v>
      </c>
      <c r="D73" s="39">
        <v>4.38058345022674</v>
      </c>
      <c r="E73" s="2">
        <v>100</v>
      </c>
      <c r="F73" s="41" t="e">
        <v>#N/A</v>
      </c>
      <c r="G73" s="2">
        <v>4.7868940549250498E-2</v>
      </c>
      <c r="H73" s="34">
        <v>0.23490427064306862</v>
      </c>
      <c r="I73" s="34"/>
      <c r="J73" s="35">
        <v>42.849903931668074</v>
      </c>
      <c r="K73" s="35">
        <v>0</v>
      </c>
      <c r="L73">
        <v>0</v>
      </c>
      <c r="M73" s="35">
        <v>-61.704808632326312</v>
      </c>
      <c r="N73">
        <v>0.48</v>
      </c>
      <c r="O73">
        <v>2.75</v>
      </c>
      <c r="Q73" s="1" t="s">
        <v>58</v>
      </c>
      <c r="R73" s="1" t="s">
        <v>247</v>
      </c>
      <c r="S73" s="2" t="e">
        <f t="shared" si="71"/>
        <v>#N/A</v>
      </c>
      <c r="T73" s="2">
        <f t="shared" si="72"/>
        <v>6.1941654977325955E-2</v>
      </c>
      <c r="U73" s="2">
        <f t="shared" si="73"/>
        <v>0</v>
      </c>
      <c r="V73" s="2" t="e">
        <f t="shared" si="74"/>
        <v>#N/A</v>
      </c>
      <c r="W73" s="2">
        <f t="shared" si="75"/>
        <v>4.7868940549250498E-2</v>
      </c>
      <c r="X73" s="2">
        <f t="shared" si="76"/>
        <v>0.60849288226155229</v>
      </c>
      <c r="Y73" s="9">
        <f t="shared" si="53"/>
        <v>0.17957586944703219</v>
      </c>
      <c r="Z73" s="2">
        <f t="shared" si="54"/>
        <v>0.46928434188097246</v>
      </c>
      <c r="AA73" s="2">
        <f t="shared" si="55"/>
        <v>0</v>
      </c>
      <c r="AB73" s="2">
        <f t="shared" si="56"/>
        <v>0</v>
      </c>
      <c r="AC73" s="2">
        <f t="shared" si="57"/>
        <v>0</v>
      </c>
      <c r="AD73" s="2">
        <f t="shared" si="58"/>
        <v>4.8000000000000001E-2</v>
      </c>
      <c r="AE73" s="2">
        <f t="shared" si="59"/>
        <v>0.44999999999999996</v>
      </c>
      <c r="AF73" s="45">
        <f t="shared" si="60"/>
        <v>0.16121405698016208</v>
      </c>
      <c r="AH73" s="34">
        <v>0.2555974398531653</v>
      </c>
      <c r="AI73" s="34">
        <f t="shared" si="61"/>
        <v>0.22855720701691717</v>
      </c>
      <c r="AJ73" s="34">
        <f t="shared" si="62"/>
        <v>-2.7040232836248124E-2</v>
      </c>
      <c r="AK73" s="34">
        <f t="shared" si="63"/>
        <v>2.7040232836248124E-2</v>
      </c>
      <c r="AL73" s="41">
        <f t="shared" si="64"/>
        <v>0.10579226791857579</v>
      </c>
      <c r="AN73">
        <f t="shared" si="69"/>
        <v>63</v>
      </c>
      <c r="AO73">
        <f t="shared" si="70"/>
        <v>37</v>
      </c>
      <c r="AP73">
        <f t="shared" si="67"/>
        <v>26</v>
      </c>
      <c r="AQ73">
        <f t="shared" si="68"/>
        <v>26</v>
      </c>
    </row>
    <row r="74" spans="1:43">
      <c r="A74" s="1" t="s">
        <v>184</v>
      </c>
      <c r="B74" s="1" t="s">
        <v>248</v>
      </c>
      <c r="C74" t="e">
        <f>NA()</f>
        <v>#N/A</v>
      </c>
      <c r="D74" s="39">
        <v>-0.38481568694071633</v>
      </c>
      <c r="E74" s="2">
        <v>85.41</v>
      </c>
      <c r="F74" s="41">
        <v>0.32574689334515172</v>
      </c>
      <c r="G74" s="2">
        <v>0.32438849984746593</v>
      </c>
      <c r="H74" s="34">
        <v>0.19845360795707523</v>
      </c>
      <c r="I74" s="34"/>
      <c r="J74" s="35">
        <v>20.067142110801157</v>
      </c>
      <c r="K74" s="35">
        <v>16.400031114390352</v>
      </c>
      <c r="L74">
        <v>76.400000000000006</v>
      </c>
      <c r="M74" s="35">
        <v>80.083485902048977</v>
      </c>
      <c r="N74">
        <v>0.91</v>
      </c>
      <c r="O74">
        <v>1.77</v>
      </c>
      <c r="Q74" s="1" t="s">
        <v>184</v>
      </c>
      <c r="R74" s="1" t="s">
        <v>248</v>
      </c>
      <c r="S74" s="2" t="e">
        <f t="shared" si="71"/>
        <v>#N/A</v>
      </c>
      <c r="T74" s="2">
        <f t="shared" si="72"/>
        <v>0.5384815686940716</v>
      </c>
      <c r="U74" s="2">
        <f t="shared" si="73"/>
        <v>0.14590000000000003</v>
      </c>
      <c r="V74" s="2">
        <f t="shared" si="74"/>
        <v>0.65149378669030344</v>
      </c>
      <c r="W74" s="2">
        <f t="shared" si="75"/>
        <v>0.32438849984746593</v>
      </c>
      <c r="X74" s="2">
        <f t="shared" si="76"/>
        <v>0.66924398673820795</v>
      </c>
      <c r="Y74" s="9">
        <f t="shared" si="53"/>
        <v>0.46590156839400976</v>
      </c>
      <c r="Z74" s="2">
        <f t="shared" si="54"/>
        <v>0.14381631586858795</v>
      </c>
      <c r="AA74" s="2">
        <f t="shared" si="55"/>
        <v>0.2050003889298794</v>
      </c>
      <c r="AB74" s="2">
        <f t="shared" si="56"/>
        <v>1</v>
      </c>
      <c r="AC74" s="2">
        <f t="shared" si="57"/>
        <v>0.40041742951024489</v>
      </c>
      <c r="AD74" s="2">
        <f t="shared" si="58"/>
        <v>9.0999999999999998E-2</v>
      </c>
      <c r="AE74" s="2">
        <f t="shared" si="59"/>
        <v>0.64600000000000002</v>
      </c>
      <c r="AF74" s="45">
        <f t="shared" si="60"/>
        <v>0.4143723557181187</v>
      </c>
      <c r="AH74" s="34">
        <v>0.56462408800727315</v>
      </c>
      <c r="AI74" s="34">
        <f t="shared" si="61"/>
        <v>0.52476343109866619</v>
      </c>
      <c r="AJ74" s="34">
        <f t="shared" si="62"/>
        <v>-3.9860656908606962E-2</v>
      </c>
      <c r="AK74" s="34">
        <f t="shared" si="63"/>
        <v>3.9860656908606962E-2</v>
      </c>
      <c r="AL74" s="41">
        <f t="shared" si="64"/>
        <v>7.0596805476874205E-2</v>
      </c>
      <c r="AN74">
        <f t="shared" si="69"/>
        <v>184</v>
      </c>
      <c r="AO74">
        <f t="shared" si="70"/>
        <v>167</v>
      </c>
      <c r="AP74">
        <f t="shared" si="67"/>
        <v>17</v>
      </c>
      <c r="AQ74">
        <f t="shared" si="68"/>
        <v>17</v>
      </c>
    </row>
    <row r="75" spans="1:43">
      <c r="A75" s="1" t="s">
        <v>108</v>
      </c>
      <c r="B75" s="1" t="s">
        <v>249</v>
      </c>
      <c r="C75" t="e">
        <f>NA()</f>
        <v>#N/A</v>
      </c>
      <c r="D75" s="39" t="e">
        <v>#N/A</v>
      </c>
      <c r="E75" s="2">
        <v>8</v>
      </c>
      <c r="F75" s="41">
        <v>0.26118591192729534</v>
      </c>
      <c r="G75" s="2">
        <v>0.77989496985216222</v>
      </c>
      <c r="H75" s="34">
        <v>0</v>
      </c>
      <c r="I75" s="34"/>
      <c r="J75" s="35">
        <v>38.620535821632593</v>
      </c>
      <c r="K75" s="35">
        <v>0</v>
      </c>
      <c r="L75" t="e">
        <v>#N/A</v>
      </c>
      <c r="M75" s="35">
        <v>100.97583295714637</v>
      </c>
      <c r="N75">
        <v>4.8600000000000003</v>
      </c>
      <c r="O75">
        <v>1.98</v>
      </c>
      <c r="Q75" s="1" t="s">
        <v>108</v>
      </c>
      <c r="R75" s="1" t="s">
        <v>249</v>
      </c>
      <c r="S75" s="2" t="e">
        <f t="shared" si="71"/>
        <v>#N/A</v>
      </c>
      <c r="T75" s="2" t="e">
        <f t="shared" si="72"/>
        <v>#N/A</v>
      </c>
      <c r="U75" s="2">
        <f t="shared" si="73"/>
        <v>0.92</v>
      </c>
      <c r="V75" s="2">
        <f t="shared" si="74"/>
        <v>0.52237182385459069</v>
      </c>
      <c r="W75" s="2">
        <f t="shared" si="75"/>
        <v>0.77989496985216222</v>
      </c>
      <c r="X75" s="2">
        <f t="shared" si="76"/>
        <v>1</v>
      </c>
      <c r="Y75" s="9">
        <f t="shared" si="53"/>
        <v>0.80556669842668827</v>
      </c>
      <c r="Z75" s="2">
        <f t="shared" si="54"/>
        <v>0.40886479745189419</v>
      </c>
      <c r="AA75" s="2">
        <f t="shared" si="55"/>
        <v>0</v>
      </c>
      <c r="AB75" s="2" t="e">
        <f t="shared" si="56"/>
        <v>#N/A</v>
      </c>
      <c r="AC75" s="2">
        <f t="shared" si="57"/>
        <v>0.5048791647857318</v>
      </c>
      <c r="AD75" s="2">
        <f t="shared" si="58"/>
        <v>0.48600000000000004</v>
      </c>
      <c r="AE75" s="2">
        <f t="shared" si="59"/>
        <v>0.60399999999999998</v>
      </c>
      <c r="AF75" s="45">
        <f t="shared" si="60"/>
        <v>0.4007487924475252</v>
      </c>
      <c r="AH75" s="34">
        <v>0.32392751567078631</v>
      </c>
      <c r="AI75" s="34">
        <f t="shared" si="61"/>
        <v>0.40590247494049897</v>
      </c>
      <c r="AJ75" s="34">
        <f t="shared" si="62"/>
        <v>8.1974959269712655E-2</v>
      </c>
      <c r="AK75" s="34">
        <f t="shared" si="63"/>
        <v>8.1974959269712655E-2</v>
      </c>
      <c r="AL75" s="41">
        <f t="shared" si="64"/>
        <v>0.25306574867516152</v>
      </c>
      <c r="AN75">
        <f t="shared" si="69"/>
        <v>104</v>
      </c>
      <c r="AO75">
        <f t="shared" si="70"/>
        <v>119</v>
      </c>
      <c r="AP75">
        <f t="shared" si="67"/>
        <v>-15</v>
      </c>
      <c r="AQ75">
        <f t="shared" si="68"/>
        <v>15</v>
      </c>
    </row>
    <row r="76" spans="1:43">
      <c r="A76" s="1" t="s">
        <v>77</v>
      </c>
      <c r="B76" s="1" t="s">
        <v>250</v>
      </c>
      <c r="C76" t="e">
        <f>NA()</f>
        <v>#N/A</v>
      </c>
      <c r="D76" s="39">
        <v>10.617486691153889</v>
      </c>
      <c r="E76" s="2">
        <v>49.29</v>
      </c>
      <c r="F76" s="41">
        <v>3.3473293961973856E-2</v>
      </c>
      <c r="G76" s="2">
        <v>5.9775949672749053E-2</v>
      </c>
      <c r="H76" s="34">
        <v>0.84609720199247229</v>
      </c>
      <c r="I76" s="34"/>
      <c r="J76" s="35">
        <v>32.579285198541179</v>
      </c>
      <c r="K76" s="35">
        <v>10.000038378129412</v>
      </c>
      <c r="L76">
        <v>0</v>
      </c>
      <c r="M76" s="35">
        <v>101.73450792881913</v>
      </c>
      <c r="N76">
        <v>0</v>
      </c>
      <c r="O76">
        <v>4.08</v>
      </c>
      <c r="Q76" s="1" t="s">
        <v>77</v>
      </c>
      <c r="R76" s="1" t="s">
        <v>250</v>
      </c>
      <c r="S76" s="2" t="e">
        <f t="shared" si="71"/>
        <v>#N/A</v>
      </c>
      <c r="T76" s="2">
        <f t="shared" si="72"/>
        <v>0</v>
      </c>
      <c r="U76" s="2">
        <f t="shared" si="73"/>
        <v>0.5071</v>
      </c>
      <c r="V76" s="2">
        <f t="shared" si="74"/>
        <v>6.6946587923947712E-2</v>
      </c>
      <c r="W76" s="2">
        <f t="shared" si="75"/>
        <v>5.9775949672749053E-2</v>
      </c>
      <c r="X76" s="2">
        <f t="shared" si="76"/>
        <v>0</v>
      </c>
      <c r="Y76" s="9">
        <f t="shared" si="53"/>
        <v>0.12676450751933935</v>
      </c>
      <c r="Z76" s="2">
        <f t="shared" si="54"/>
        <v>0.32256121712201685</v>
      </c>
      <c r="AA76" s="2">
        <f t="shared" si="55"/>
        <v>0.12500047972661765</v>
      </c>
      <c r="AB76" s="2">
        <f t="shared" si="56"/>
        <v>0</v>
      </c>
      <c r="AC76" s="2">
        <f t="shared" si="57"/>
        <v>0.50867253964409564</v>
      </c>
      <c r="AD76" s="2">
        <f t="shared" si="58"/>
        <v>0</v>
      </c>
      <c r="AE76" s="2">
        <f t="shared" si="59"/>
        <v>0.18399999999999994</v>
      </c>
      <c r="AF76" s="45">
        <f t="shared" si="60"/>
        <v>0.190039039415455</v>
      </c>
      <c r="AH76" s="34">
        <v>0.17587638512544443</v>
      </c>
      <c r="AI76" s="34">
        <f t="shared" si="61"/>
        <v>0.17128828620285977</v>
      </c>
      <c r="AJ76" s="34">
        <f t="shared" si="62"/>
        <v>-4.5880989225846602E-3</v>
      </c>
      <c r="AK76" s="34">
        <f t="shared" si="63"/>
        <v>4.5880989225846602E-3</v>
      </c>
      <c r="AL76" s="41">
        <f t="shared" si="64"/>
        <v>2.6087066318267703E-2</v>
      </c>
      <c r="AN76">
        <f t="shared" si="69"/>
        <v>13</v>
      </c>
      <c r="AO76">
        <f t="shared" si="70"/>
        <v>11</v>
      </c>
      <c r="AP76">
        <f t="shared" si="67"/>
        <v>2</v>
      </c>
      <c r="AQ76">
        <f t="shared" si="68"/>
        <v>2</v>
      </c>
    </row>
    <row r="77" spans="1:43">
      <c r="A77" s="1" t="s">
        <v>40</v>
      </c>
      <c r="B77" s="1" t="s">
        <v>251</v>
      </c>
      <c r="C77" t="e">
        <f>NA()</f>
        <v>#N/A</v>
      </c>
      <c r="D77" s="39">
        <v>0.50344507365362423</v>
      </c>
      <c r="E77" s="2">
        <v>76.88</v>
      </c>
      <c r="F77" s="41">
        <v>1.4559421560470399E-2</v>
      </c>
      <c r="G77" s="2">
        <v>0.13777444827091875</v>
      </c>
      <c r="H77" s="34">
        <v>1</v>
      </c>
      <c r="I77" s="34"/>
      <c r="J77" s="35">
        <v>20.773588582235071</v>
      </c>
      <c r="K77" s="35">
        <v>19.928690379788812</v>
      </c>
      <c r="L77">
        <v>0</v>
      </c>
      <c r="M77" s="35">
        <v>54.881177463038441</v>
      </c>
      <c r="N77">
        <v>0</v>
      </c>
      <c r="O77">
        <v>4</v>
      </c>
      <c r="Q77" s="1" t="s">
        <v>40</v>
      </c>
      <c r="R77" s="1" t="s">
        <v>251</v>
      </c>
      <c r="S77" s="2" t="e">
        <f t="shared" si="71"/>
        <v>#N/A</v>
      </c>
      <c r="T77" s="2">
        <f t="shared" si="72"/>
        <v>0.44965549263463755</v>
      </c>
      <c r="U77" s="2">
        <f t="shared" si="73"/>
        <v>0.23120000000000007</v>
      </c>
      <c r="V77" s="2">
        <f t="shared" si="74"/>
        <v>2.9118843120940797E-2</v>
      </c>
      <c r="W77" s="2">
        <f t="shared" si="75"/>
        <v>0.13777444827091875</v>
      </c>
      <c r="X77" s="2">
        <f t="shared" si="76"/>
        <v>0</v>
      </c>
      <c r="Y77" s="9">
        <f t="shared" si="53"/>
        <v>0.16954975680529943</v>
      </c>
      <c r="Z77" s="2">
        <f t="shared" si="54"/>
        <v>0.15390840831764388</v>
      </c>
      <c r="AA77" s="2">
        <f t="shared" si="55"/>
        <v>0.24910862974736014</v>
      </c>
      <c r="AB77" s="2">
        <f t="shared" si="56"/>
        <v>0</v>
      </c>
      <c r="AC77" s="2">
        <f t="shared" si="57"/>
        <v>0.27440588731519222</v>
      </c>
      <c r="AD77" s="2">
        <f t="shared" si="58"/>
        <v>0</v>
      </c>
      <c r="AE77" s="2">
        <f t="shared" si="59"/>
        <v>0.19999999999999996</v>
      </c>
      <c r="AF77" s="45">
        <f t="shared" si="60"/>
        <v>0.1462371542300327</v>
      </c>
      <c r="AH77" s="34">
        <v>0.12667107082012879</v>
      </c>
      <c r="AI77" s="34">
        <f t="shared" si="61"/>
        <v>0.136150783116851</v>
      </c>
      <c r="AJ77" s="34">
        <f t="shared" si="62"/>
        <v>9.4797122967222036E-3</v>
      </c>
      <c r="AK77" s="34">
        <f t="shared" si="63"/>
        <v>9.4797122967222036E-3</v>
      </c>
      <c r="AL77" s="41">
        <f t="shared" si="64"/>
        <v>7.4837231858434883E-2</v>
      </c>
      <c r="AN77">
        <f t="shared" si="69"/>
        <v>2</v>
      </c>
      <c r="AO77">
        <f t="shared" si="70"/>
        <v>4</v>
      </c>
      <c r="AP77">
        <f t="shared" si="67"/>
        <v>-2</v>
      </c>
      <c r="AQ77">
        <f t="shared" si="68"/>
        <v>2</v>
      </c>
    </row>
    <row r="78" spans="1:43">
      <c r="A78" s="1" t="s">
        <v>25</v>
      </c>
      <c r="B78" s="1" t="s">
        <v>252</v>
      </c>
      <c r="C78" t="e">
        <f>NA()</f>
        <v>#N/A</v>
      </c>
      <c r="D78" s="39">
        <v>27.878469869639101</v>
      </c>
      <c r="E78" s="2">
        <v>89.35</v>
      </c>
      <c r="F78" s="41">
        <v>0.12742296182973284</v>
      </c>
      <c r="G78" s="2">
        <v>0.31621925541050971</v>
      </c>
      <c r="H78" s="34">
        <v>0.25920471243373089</v>
      </c>
      <c r="I78" s="34"/>
      <c r="J78" s="35">
        <v>48.984782269590191</v>
      </c>
      <c r="K78" s="35">
        <v>0</v>
      </c>
      <c r="L78">
        <v>38.700000000000003</v>
      </c>
      <c r="M78" s="35">
        <v>29.867476123828357</v>
      </c>
      <c r="N78">
        <v>1.69</v>
      </c>
      <c r="O78">
        <v>2.09</v>
      </c>
      <c r="Q78" s="1" t="s">
        <v>25</v>
      </c>
      <c r="R78" s="1" t="s">
        <v>252</v>
      </c>
      <c r="S78" s="2" t="e">
        <f t="shared" si="71"/>
        <v>#N/A</v>
      </c>
      <c r="T78" s="2">
        <f t="shared" si="72"/>
        <v>0</v>
      </c>
      <c r="U78" s="2">
        <f t="shared" si="73"/>
        <v>0.10650000000000004</v>
      </c>
      <c r="V78" s="2">
        <f t="shared" si="74"/>
        <v>0.25484592365946568</v>
      </c>
      <c r="W78" s="2">
        <f t="shared" si="75"/>
        <v>0.31621925541050971</v>
      </c>
      <c r="X78" s="2">
        <f t="shared" si="76"/>
        <v>0.56799214594378178</v>
      </c>
      <c r="Y78" s="9">
        <f t="shared" si="53"/>
        <v>0.24911146500275144</v>
      </c>
      <c r="Z78" s="2">
        <f t="shared" si="54"/>
        <v>0.55692546099414564</v>
      </c>
      <c r="AA78" s="2">
        <f t="shared" si="55"/>
        <v>0</v>
      </c>
      <c r="AB78" s="2">
        <f t="shared" si="56"/>
        <v>0.55285714285714294</v>
      </c>
      <c r="AC78" s="2">
        <f t="shared" si="57"/>
        <v>0.14933738061914179</v>
      </c>
      <c r="AD78" s="2">
        <f t="shared" si="58"/>
        <v>0.16899999999999998</v>
      </c>
      <c r="AE78" s="2">
        <f t="shared" si="59"/>
        <v>0.58200000000000007</v>
      </c>
      <c r="AF78" s="45">
        <f t="shared" si="60"/>
        <v>0.33501999741173843</v>
      </c>
      <c r="AH78" s="34">
        <v>0.36316424526394359</v>
      </c>
      <c r="AI78" s="34">
        <f t="shared" si="61"/>
        <v>0.34204626273768096</v>
      </c>
      <c r="AJ78" s="34">
        <f t="shared" si="62"/>
        <v>-2.1117982526262624E-2</v>
      </c>
      <c r="AK78" s="34">
        <f t="shared" si="63"/>
        <v>2.1117982526262624E-2</v>
      </c>
      <c r="AL78" s="41">
        <f t="shared" si="64"/>
        <v>5.814994951090055E-2</v>
      </c>
      <c r="AN78">
        <f t="shared" si="69"/>
        <v>119</v>
      </c>
      <c r="AO78">
        <f t="shared" si="70"/>
        <v>95</v>
      </c>
      <c r="AP78">
        <f t="shared" si="67"/>
        <v>24</v>
      </c>
      <c r="AQ78">
        <f t="shared" si="68"/>
        <v>24</v>
      </c>
    </row>
    <row r="79" spans="1:43">
      <c r="A79" s="1" t="s">
        <v>95</v>
      </c>
      <c r="B79" s="1" t="s">
        <v>253</v>
      </c>
      <c r="C79" t="e">
        <f>NA()</f>
        <v>#N/A</v>
      </c>
      <c r="D79" s="39">
        <v>-2.0543525709703268</v>
      </c>
      <c r="E79" s="2">
        <v>8.76</v>
      </c>
      <c r="F79" s="41">
        <v>0.21097659073386449</v>
      </c>
      <c r="G79" s="2">
        <v>0.18151538962784589</v>
      </c>
      <c r="H79" s="34">
        <v>0.24705449153839976</v>
      </c>
      <c r="I79" s="34"/>
      <c r="J79" s="35">
        <v>45.323439950419484</v>
      </c>
      <c r="K79" s="35">
        <v>0</v>
      </c>
      <c r="L79">
        <v>34.799999999999997</v>
      </c>
      <c r="M79" s="35">
        <v>53.214569832620583</v>
      </c>
      <c r="N79">
        <v>11.8</v>
      </c>
      <c r="O79">
        <v>2.17</v>
      </c>
      <c r="Q79" s="1" t="s">
        <v>95</v>
      </c>
      <c r="R79" s="1" t="s">
        <v>253</v>
      </c>
      <c r="S79" s="2" t="e">
        <f t="shared" si="71"/>
        <v>#N/A</v>
      </c>
      <c r="T79" s="2">
        <f t="shared" si="72"/>
        <v>0.7054352570970327</v>
      </c>
      <c r="U79" s="2">
        <f t="shared" si="73"/>
        <v>0.91239999999999999</v>
      </c>
      <c r="V79" s="2">
        <f t="shared" si="74"/>
        <v>0.42195318146772898</v>
      </c>
      <c r="W79" s="2">
        <f t="shared" si="75"/>
        <v>0.18151538962784589</v>
      </c>
      <c r="X79" s="2">
        <f t="shared" si="76"/>
        <v>0.58824251410266704</v>
      </c>
      <c r="Y79" s="9">
        <f t="shared" si="53"/>
        <v>0.56190926845905498</v>
      </c>
      <c r="Z79" s="2">
        <f t="shared" si="54"/>
        <v>0.50462057072027833</v>
      </c>
      <c r="AA79" s="2">
        <f t="shared" si="55"/>
        <v>0</v>
      </c>
      <c r="AB79" s="2">
        <f t="shared" si="56"/>
        <v>0.49714285714285711</v>
      </c>
      <c r="AC79" s="2">
        <f t="shared" si="57"/>
        <v>0.26607284916310292</v>
      </c>
      <c r="AD79" s="2">
        <f t="shared" si="58"/>
        <v>1</v>
      </c>
      <c r="AE79" s="2">
        <f t="shared" si="59"/>
        <v>0.56600000000000006</v>
      </c>
      <c r="AF79" s="45">
        <f t="shared" si="60"/>
        <v>0.47230604617103972</v>
      </c>
      <c r="AH79" s="34">
        <v>0.42964870120945747</v>
      </c>
      <c r="AI79" s="34">
        <f t="shared" si="61"/>
        <v>0.45585575566709985</v>
      </c>
      <c r="AJ79" s="34">
        <f t="shared" si="62"/>
        <v>2.6207054457642376E-2</v>
      </c>
      <c r="AK79" s="34">
        <f t="shared" si="63"/>
        <v>2.6207054457642376E-2</v>
      </c>
      <c r="AL79" s="41">
        <f t="shared" si="64"/>
        <v>6.0996470800143789E-2</v>
      </c>
      <c r="AN79">
        <f t="shared" si="69"/>
        <v>137</v>
      </c>
      <c r="AO79">
        <f t="shared" si="70"/>
        <v>133</v>
      </c>
      <c r="AP79">
        <f t="shared" si="67"/>
        <v>4</v>
      </c>
      <c r="AQ79">
        <f t="shared" si="68"/>
        <v>4</v>
      </c>
    </row>
    <row r="80" spans="1:43">
      <c r="A80" s="1" t="s">
        <v>105</v>
      </c>
      <c r="B80" s="1" t="s">
        <v>254</v>
      </c>
      <c r="C80" t="e">
        <f>NA()</f>
        <v>#N/A</v>
      </c>
      <c r="D80" s="39">
        <v>-9.8767454870948956E-2</v>
      </c>
      <c r="E80" s="2">
        <v>21.35</v>
      </c>
      <c r="F80" s="41">
        <v>0.12203446600586437</v>
      </c>
      <c r="G80" s="2">
        <v>0.3195590949959759</v>
      </c>
      <c r="H80" s="34">
        <v>0.20655375522062935</v>
      </c>
      <c r="I80" s="34"/>
      <c r="J80" s="35">
        <v>47.553010548109057</v>
      </c>
      <c r="K80" s="35">
        <v>13.250021838589538</v>
      </c>
      <c r="L80">
        <v>0</v>
      </c>
      <c r="M80" s="35">
        <v>15.969470754153567</v>
      </c>
      <c r="N80">
        <v>1.43</v>
      </c>
      <c r="O80">
        <v>2.17</v>
      </c>
      <c r="Q80" s="1" t="s">
        <v>105</v>
      </c>
      <c r="R80" s="1" t="s">
        <v>254</v>
      </c>
      <c r="S80" s="2" t="e">
        <f t="shared" si="71"/>
        <v>#N/A</v>
      </c>
      <c r="T80" s="2">
        <f t="shared" si="72"/>
        <v>0.50987674548709483</v>
      </c>
      <c r="U80" s="2">
        <f t="shared" si="73"/>
        <v>0.78649999999999998</v>
      </c>
      <c r="V80" s="2">
        <f t="shared" si="74"/>
        <v>0.24406893201172875</v>
      </c>
      <c r="W80" s="2">
        <f t="shared" si="75"/>
        <v>0.3195590949959759</v>
      </c>
      <c r="X80" s="2">
        <f t="shared" si="76"/>
        <v>0.65574374129895108</v>
      </c>
      <c r="Y80" s="9">
        <f t="shared" si="53"/>
        <v>0.50314970275875004</v>
      </c>
      <c r="Z80" s="2">
        <f t="shared" si="54"/>
        <v>0.53647157925870081</v>
      </c>
      <c r="AA80" s="2">
        <f t="shared" si="55"/>
        <v>0.16562527298236923</v>
      </c>
      <c r="AB80" s="2">
        <f t="shared" si="56"/>
        <v>0</v>
      </c>
      <c r="AC80" s="2">
        <f t="shared" si="57"/>
        <v>7.9847353770767834E-2</v>
      </c>
      <c r="AD80" s="2">
        <f t="shared" si="58"/>
        <v>0.14299999999999999</v>
      </c>
      <c r="AE80" s="2">
        <f t="shared" si="59"/>
        <v>0.56600000000000006</v>
      </c>
      <c r="AF80" s="45">
        <f t="shared" si="60"/>
        <v>0.24849070100197299</v>
      </c>
      <c r="AH80" s="34">
        <v>0.25538341801379622</v>
      </c>
      <c r="AI80" s="34">
        <f t="shared" si="61"/>
        <v>0.28959699291819135</v>
      </c>
      <c r="AJ80" s="34">
        <f t="shared" si="62"/>
        <v>3.4213574904395139E-2</v>
      </c>
      <c r="AK80" s="34">
        <f t="shared" si="63"/>
        <v>3.4213574904395139E-2</v>
      </c>
      <c r="AL80" s="41">
        <f t="shared" si="64"/>
        <v>0.13396944551249942</v>
      </c>
      <c r="AN80">
        <f t="shared" si="69"/>
        <v>62</v>
      </c>
      <c r="AO80">
        <f t="shared" si="70"/>
        <v>66</v>
      </c>
      <c r="AP80">
        <f t="shared" si="67"/>
        <v>-4</v>
      </c>
      <c r="AQ80">
        <f t="shared" si="68"/>
        <v>4</v>
      </c>
    </row>
    <row r="81" spans="1:43">
      <c r="A81" s="1" t="s">
        <v>44</v>
      </c>
      <c r="B81" s="1" t="s">
        <v>255</v>
      </c>
      <c r="C81" t="e">
        <f>NA()</f>
        <v>#N/A</v>
      </c>
      <c r="D81" s="39">
        <v>-0.46058157489145612</v>
      </c>
      <c r="E81" s="2">
        <v>100</v>
      </c>
      <c r="F81" s="41">
        <v>9.4688844457950436E-3</v>
      </c>
      <c r="G81" s="2">
        <v>0.15642983283297049</v>
      </c>
      <c r="H81" s="34">
        <v>0.9635493373140066</v>
      </c>
      <c r="I81" s="34"/>
      <c r="J81" s="35">
        <v>5.7209794371154556</v>
      </c>
      <c r="K81" s="35">
        <v>18.425142047857069</v>
      </c>
      <c r="L81">
        <v>0</v>
      </c>
      <c r="M81" s="35">
        <v>-44.36620635610133</v>
      </c>
      <c r="N81">
        <v>0</v>
      </c>
      <c r="O81">
        <v>4.34</v>
      </c>
      <c r="Q81" s="1" t="s">
        <v>44</v>
      </c>
      <c r="R81" s="1" t="s">
        <v>255</v>
      </c>
      <c r="S81" s="2" t="e">
        <f t="shared" si="71"/>
        <v>#N/A</v>
      </c>
      <c r="T81" s="2">
        <f t="shared" si="72"/>
        <v>0.54605815748914566</v>
      </c>
      <c r="U81" s="2">
        <f t="shared" si="73"/>
        <v>0</v>
      </c>
      <c r="V81" s="2">
        <f t="shared" si="74"/>
        <v>1.8937768891590087E-2</v>
      </c>
      <c r="W81" s="2">
        <f t="shared" si="75"/>
        <v>0.15642983283297049</v>
      </c>
      <c r="X81" s="2">
        <f t="shared" si="76"/>
        <v>0</v>
      </c>
      <c r="Y81" s="9">
        <f t="shared" si="53"/>
        <v>0.14428515184274124</v>
      </c>
      <c r="Z81" s="2">
        <f t="shared" si="54"/>
        <v>0</v>
      </c>
      <c r="AA81" s="2">
        <f t="shared" si="55"/>
        <v>0.23031427559821335</v>
      </c>
      <c r="AB81" s="2">
        <f t="shared" si="56"/>
        <v>0</v>
      </c>
      <c r="AC81" s="2">
        <f t="shared" si="57"/>
        <v>0</v>
      </c>
      <c r="AD81" s="2">
        <f t="shared" si="58"/>
        <v>0</v>
      </c>
      <c r="AE81" s="2">
        <f t="shared" si="59"/>
        <v>0.13200000000000001</v>
      </c>
      <c r="AF81" s="45">
        <f t="shared" si="60"/>
        <v>6.0385712599702233E-2</v>
      </c>
      <c r="AH81" s="34">
        <v>0.13954152344871021</v>
      </c>
      <c r="AI81" s="34">
        <f t="shared" si="61"/>
        <v>0.12664961707374184</v>
      </c>
      <c r="AJ81" s="34">
        <f t="shared" si="62"/>
        <v>-1.289190637496837E-2</v>
      </c>
      <c r="AK81" s="34">
        <f t="shared" si="63"/>
        <v>1.289190637496837E-2</v>
      </c>
      <c r="AL81" s="41">
        <f t="shared" si="64"/>
        <v>9.2387599449614083E-2</v>
      </c>
      <c r="AN81">
        <f t="shared" si="69"/>
        <v>5</v>
      </c>
      <c r="AO81">
        <f t="shared" si="70"/>
        <v>2</v>
      </c>
      <c r="AP81">
        <f t="shared" si="67"/>
        <v>3</v>
      </c>
      <c r="AQ81">
        <f t="shared" si="68"/>
        <v>3</v>
      </c>
    </row>
    <row r="82" spans="1:43">
      <c r="A82" s="1" t="s">
        <v>112</v>
      </c>
      <c r="B82" s="1" t="s">
        <v>256</v>
      </c>
      <c r="C82" t="e">
        <f>NA()</f>
        <v>#N/A</v>
      </c>
      <c r="D82" s="39">
        <v>-0.3086097750589829</v>
      </c>
      <c r="E82" s="2">
        <v>78.06</v>
      </c>
      <c r="F82" s="41">
        <v>0.28000156069504156</v>
      </c>
      <c r="G82" s="2">
        <v>0.48125418366157513</v>
      </c>
      <c r="H82" s="34">
        <v>0.38058419237073227</v>
      </c>
      <c r="I82" s="34"/>
      <c r="J82" s="35">
        <v>18.642902128801069</v>
      </c>
      <c r="K82" s="35">
        <v>21.739697376267461</v>
      </c>
      <c r="L82">
        <v>40.1</v>
      </c>
      <c r="M82" s="35">
        <v>61.489542621312879</v>
      </c>
      <c r="N82">
        <v>5.6</v>
      </c>
      <c r="O82">
        <v>2.52</v>
      </c>
      <c r="Q82" s="1" t="s">
        <v>112</v>
      </c>
      <c r="R82" s="1" t="s">
        <v>256</v>
      </c>
      <c r="S82" s="2" t="e">
        <f t="shared" ref="S82:S113" si="77">IF(C$16&lt;&gt;1,MIN(1,MAX(0,(C82-C$14)/(C$15-C$14))),1-MIN(1,MAX(0,(C82-C$14)/(C$15-C$14))))</f>
        <v>#N/A</v>
      </c>
      <c r="T82" s="2">
        <f t="shared" ref="T82:T113" si="78">IF(D$16&lt;&gt;1,MIN(1,MAX(0,(D82-D$14)/(D$15-D$14))),1-MIN(1,MAX(0,(D82-D$14)/(D$15-D$14))))</f>
        <v>0.53086097750589833</v>
      </c>
      <c r="U82" s="2">
        <f t="shared" ref="U82:U113" si="79">IF(E$16&lt;&gt;1,MIN(1,MAX(0,(E82-E$14)/(E$15-E$14))),1-MIN(1,MAX(0,(E82-E$14)/(E$15-E$14))))</f>
        <v>0.21939999999999993</v>
      </c>
      <c r="V82" s="2">
        <f t="shared" ref="V82:V113" si="80">IF(F$16&lt;&gt;1,MIN(1,MAX(0,(F82-F$14)/(F$15-F$14))),1-MIN(1,MAX(0,(F82-F$14)/(F$15-F$14))))</f>
        <v>0.56000312139008313</v>
      </c>
      <c r="W82" s="2">
        <f t="shared" ref="W82:W113" si="81">IF(G$16&lt;&gt;1,MIN(1,MAX(0,(G82-G$14)/(G$15-G$14))),1-MIN(1,MAX(0,(G82-G$14)/(G$15-G$14))))</f>
        <v>0.48125418366157513</v>
      </c>
      <c r="X82" s="2">
        <f t="shared" ref="X82:X113" si="82">IF(H$16&lt;&gt;1,MIN(1,MAX(0,(H82-H$14)/(H$15-H$14))),1-MIN(1,MAX(0,(H82-H$14)/(H$15-H$14))))</f>
        <v>0.36569301271544619</v>
      </c>
      <c r="Y82" s="9">
        <f t="shared" si="53"/>
        <v>0.43144225905460054</v>
      </c>
      <c r="Z82" s="2">
        <f t="shared" si="54"/>
        <v>0.12347003041144385</v>
      </c>
      <c r="AA82" s="2">
        <f t="shared" si="55"/>
        <v>0.27174621720334324</v>
      </c>
      <c r="AB82" s="2">
        <f t="shared" si="56"/>
        <v>0.57285714285714284</v>
      </c>
      <c r="AC82" s="2">
        <f t="shared" si="57"/>
        <v>0.30744771310656438</v>
      </c>
      <c r="AD82" s="2">
        <f t="shared" si="58"/>
        <v>0.55999999999999994</v>
      </c>
      <c r="AE82" s="2">
        <f t="shared" si="59"/>
        <v>0.496</v>
      </c>
      <c r="AF82" s="45">
        <f t="shared" si="60"/>
        <v>0.38858685059641568</v>
      </c>
      <c r="AH82" s="34">
        <v>0.4285810394865634</v>
      </c>
      <c r="AI82" s="34">
        <f t="shared" si="61"/>
        <v>0.42213363847225766</v>
      </c>
      <c r="AJ82" s="34">
        <f t="shared" si="62"/>
        <v>-6.4474010143057425E-3</v>
      </c>
      <c r="AK82" s="34">
        <f t="shared" si="63"/>
        <v>6.4474010143057425E-3</v>
      </c>
      <c r="AL82" s="41">
        <f t="shared" si="64"/>
        <v>1.5043598340303801E-2</v>
      </c>
      <c r="AN82">
        <f t="shared" si="69"/>
        <v>136</v>
      </c>
      <c r="AO82">
        <f t="shared" si="70"/>
        <v>123</v>
      </c>
      <c r="AP82">
        <f t="shared" si="67"/>
        <v>13</v>
      </c>
      <c r="AQ82">
        <f t="shared" si="68"/>
        <v>13</v>
      </c>
    </row>
    <row r="83" spans="1:43">
      <c r="A83" s="1" t="s">
        <v>83</v>
      </c>
      <c r="B83" s="1" t="s">
        <v>257</v>
      </c>
      <c r="C83" t="e">
        <f>NA()</f>
        <v>#N/A</v>
      </c>
      <c r="D83" s="39">
        <v>-0.85392608379398172</v>
      </c>
      <c r="E83" s="2">
        <v>95.76</v>
      </c>
      <c r="F83" s="41">
        <v>1.9284192082229576E-2</v>
      </c>
      <c r="G83" s="2">
        <v>0.22297573813563951</v>
      </c>
      <c r="H83" s="34">
        <v>0.7571183111096873</v>
      </c>
      <c r="I83" s="34"/>
      <c r="J83" s="35">
        <v>46.867078981587312</v>
      </c>
      <c r="K83" s="35">
        <v>31.749416066056025</v>
      </c>
      <c r="L83">
        <v>0</v>
      </c>
      <c r="M83" s="35">
        <v>101.6060775569388</v>
      </c>
      <c r="N83">
        <v>0</v>
      </c>
      <c r="O83">
        <v>2.94</v>
      </c>
      <c r="Q83" s="1" t="s">
        <v>83</v>
      </c>
      <c r="R83" s="1" t="s">
        <v>257</v>
      </c>
      <c r="S83" s="2" t="e">
        <f t="shared" si="77"/>
        <v>#N/A</v>
      </c>
      <c r="T83" s="2">
        <f t="shared" si="78"/>
        <v>0.58539260837939822</v>
      </c>
      <c r="U83" s="2">
        <f t="shared" si="79"/>
        <v>4.2399999999999993E-2</v>
      </c>
      <c r="V83" s="2">
        <f t="shared" si="80"/>
        <v>3.8568384164459152E-2</v>
      </c>
      <c r="W83" s="2">
        <f t="shared" si="81"/>
        <v>0.22297573813563951</v>
      </c>
      <c r="X83" s="2">
        <f t="shared" si="82"/>
        <v>0</v>
      </c>
      <c r="Y83" s="9">
        <f t="shared" ref="Y83:Y146" si="83">IF(COUNT(S83:X83)&gt;$Y$15,[1]!mmean(S83:X83),NA())</f>
        <v>0.17786734613589938</v>
      </c>
      <c r="Z83" s="2">
        <f t="shared" ref="Z83:Z146" si="84">IF(J$16&lt;&gt;1,MIN(1,MAX(0,(J83-J$14)/(J$15-J$14))),1-MIN(1,MAX(0,(J83-J$14)/(J$15-J$14))))</f>
        <v>0.52667255687981873</v>
      </c>
      <c r="AA83" s="2">
        <f t="shared" ref="AA83:AA146" si="85">IF(K$16&lt;&gt;1,MIN(1,MAX(0,(K83-K$14)/(K$15-K$14))),1-MIN(1,MAX(0,(K83-K$14)/(K$15-K$14))))</f>
        <v>0.39686770082570033</v>
      </c>
      <c r="AB83" s="2">
        <f t="shared" ref="AB83:AB146" si="86">IF(L$16&lt;&gt;1,MIN(1,MAX(0,(L83-L$14)/(L$15-L$14))),1-MIN(1,MAX(0,(L83-L$14)/(L$15-L$14))))</f>
        <v>0</v>
      </c>
      <c r="AC83" s="2">
        <f t="shared" ref="AC83:AC146" si="87">IF(M$16&lt;&gt;1,MIN(1,MAX(0,(M83-M$14)/(M$15-M$14))),1-MIN(1,MAX(0,(M83-M$14)/(M$15-M$14))))</f>
        <v>0.508030387784694</v>
      </c>
      <c r="AD83" s="2">
        <f t="shared" ref="AD83:AD146" si="88">IF(N$16&lt;&gt;1,MIN(1,MAX(0,(N83-N$14)/(N$15-N$14))),1-MIN(1,MAX(0,(N83-N$14)/(N$15-N$14))))</f>
        <v>0</v>
      </c>
      <c r="AE83" s="2">
        <f t="shared" ref="AE83:AE146" si="89">IF(O$16&lt;&gt;1,MIN(1,MAX(0,(O83-O$14)/(O$15-O$14))),1-MIN(1,MAX(0,(O83-O$14)/(O$15-O$14))))</f>
        <v>0.41200000000000003</v>
      </c>
      <c r="AF83" s="45">
        <f t="shared" ref="AF83:AF146" si="90">IF(COUNT(Z83:AE83)&gt;$AF$15,[1]!mmean(Z83:AE83),NA())</f>
        <v>0.30726177424836881</v>
      </c>
      <c r="AH83" s="34">
        <v>0.19208848852392316</v>
      </c>
      <c r="AI83" s="34">
        <f t="shared" ref="AI83:AI146" si="91">(24*AH83+5*Y83+6*AF83)/35</f>
        <v>0.20980088859268187</v>
      </c>
      <c r="AJ83" s="34">
        <f t="shared" ref="AJ83:AJ146" si="92">AI83-AH83</f>
        <v>1.771240006875871E-2</v>
      </c>
      <c r="AK83" s="34">
        <f t="shared" ref="AK83:AK146" si="93">ABS(AH83-AI83)</f>
        <v>1.771240006875871E-2</v>
      </c>
      <c r="AL83" s="41">
        <f t="shared" ref="AL83:AL146" si="94">AK83/AH83</f>
        <v>9.2209586346725644E-2</v>
      </c>
      <c r="AN83">
        <f t="shared" si="69"/>
        <v>22</v>
      </c>
      <c r="AO83">
        <f t="shared" si="70"/>
        <v>28</v>
      </c>
      <c r="AP83">
        <f t="shared" ref="AP83:AP146" si="95">AN83-AO83</f>
        <v>-6</v>
      </c>
      <c r="AQ83">
        <f t="shared" ref="AQ83:AQ146" si="96">ABS(AP83)</f>
        <v>6</v>
      </c>
    </row>
    <row r="84" spans="1:43">
      <c r="A84" s="1" t="s">
        <v>155</v>
      </c>
      <c r="B84" s="1" t="s">
        <v>258</v>
      </c>
      <c r="C84" t="e">
        <f>NA()</f>
        <v>#N/A</v>
      </c>
      <c r="D84" s="39" t="e">
        <v>#N/A</v>
      </c>
      <c r="E84" s="2">
        <v>11.18</v>
      </c>
      <c r="F84" s="41">
        <v>2.6699886164117996E-2</v>
      </c>
      <c r="G84" s="2">
        <v>0.15634336747177288</v>
      </c>
      <c r="H84" s="34">
        <v>0.17820323979818997</v>
      </c>
      <c r="I84" s="34"/>
      <c r="J84" s="35">
        <v>100</v>
      </c>
      <c r="K84" s="35">
        <v>0</v>
      </c>
      <c r="L84">
        <v>6</v>
      </c>
      <c r="M84" s="35">
        <v>69.099540512466035</v>
      </c>
      <c r="N84">
        <v>0.99</v>
      </c>
      <c r="O84" t="e">
        <v>#N/A</v>
      </c>
      <c r="Q84" s="1" t="s">
        <v>155</v>
      </c>
      <c r="R84" s="1" t="s">
        <v>258</v>
      </c>
      <c r="S84" s="2" t="e">
        <f t="shared" si="77"/>
        <v>#N/A</v>
      </c>
      <c r="T84" s="2" t="e">
        <f t="shared" si="78"/>
        <v>#N/A</v>
      </c>
      <c r="U84" s="2">
        <f t="shared" si="79"/>
        <v>0.88819999999999999</v>
      </c>
      <c r="V84" s="2">
        <f t="shared" si="80"/>
        <v>5.3399772328235992E-2</v>
      </c>
      <c r="W84" s="2">
        <f t="shared" si="81"/>
        <v>0.15634336747177288</v>
      </c>
      <c r="X84" s="2">
        <f t="shared" si="82"/>
        <v>0.70299460033635008</v>
      </c>
      <c r="Y84" s="9">
        <f t="shared" si="83"/>
        <v>0.45023443503408972</v>
      </c>
      <c r="Z84" s="2">
        <f t="shared" si="84"/>
        <v>1</v>
      </c>
      <c r="AA84" s="2">
        <f t="shared" si="85"/>
        <v>0</v>
      </c>
      <c r="AB84" s="2">
        <f t="shared" si="86"/>
        <v>8.5714285714285715E-2</v>
      </c>
      <c r="AC84" s="2">
        <f t="shared" si="87"/>
        <v>0.3454977025623302</v>
      </c>
      <c r="AD84" s="2">
        <f t="shared" si="88"/>
        <v>9.9000000000000005E-2</v>
      </c>
      <c r="AE84" s="2" t="e">
        <f t="shared" si="89"/>
        <v>#N/A</v>
      </c>
      <c r="AF84" s="45">
        <f t="shared" si="90"/>
        <v>0.30604239765532315</v>
      </c>
      <c r="AH84" s="34">
        <v>0.30956420874186574</v>
      </c>
      <c r="AI84" s="34">
        <f t="shared" si="91"/>
        <v>0.32905621631163334</v>
      </c>
      <c r="AJ84" s="34">
        <f t="shared" si="92"/>
        <v>1.94920075697676E-2</v>
      </c>
      <c r="AK84" s="34">
        <f t="shared" si="93"/>
        <v>1.94920075697676E-2</v>
      </c>
      <c r="AL84" s="41">
        <f t="shared" si="94"/>
        <v>6.2965959950561562E-2</v>
      </c>
      <c r="AN84">
        <f t="shared" si="69"/>
        <v>100</v>
      </c>
      <c r="AO84">
        <f t="shared" si="70"/>
        <v>88</v>
      </c>
      <c r="AP84">
        <f t="shared" si="95"/>
        <v>12</v>
      </c>
      <c r="AQ84">
        <f t="shared" si="96"/>
        <v>12</v>
      </c>
    </row>
    <row r="85" spans="1:43">
      <c r="A85" s="1" t="s">
        <v>115</v>
      </c>
      <c r="B85" s="1" t="s">
        <v>259</v>
      </c>
      <c r="C85" t="e">
        <f>NA()</f>
        <v>#N/A</v>
      </c>
      <c r="D85" s="39">
        <v>-0.15835335493270208</v>
      </c>
      <c r="E85" s="2">
        <v>80.12</v>
      </c>
      <c r="F85" s="41">
        <v>0.37626161792561041</v>
      </c>
      <c r="G85" s="2">
        <v>0.32251100252536963</v>
      </c>
      <c r="H85" s="34">
        <v>0.34830633233282593</v>
      </c>
      <c r="I85" s="34"/>
      <c r="J85" s="35">
        <v>15.501143169505422</v>
      </c>
      <c r="K85" s="35">
        <v>53.93009422521024</v>
      </c>
      <c r="L85">
        <v>38.700000000000003</v>
      </c>
      <c r="M85" s="35">
        <v>37.341033391614445</v>
      </c>
      <c r="N85">
        <v>2.81</v>
      </c>
      <c r="O85">
        <v>2.37</v>
      </c>
      <c r="Q85" s="1" t="s">
        <v>115</v>
      </c>
      <c r="R85" s="1" t="s">
        <v>259</v>
      </c>
      <c r="S85" s="2" t="e">
        <f t="shared" si="77"/>
        <v>#N/A</v>
      </c>
      <c r="T85" s="2">
        <f t="shared" si="78"/>
        <v>0.51583533549327021</v>
      </c>
      <c r="U85" s="2">
        <f t="shared" si="79"/>
        <v>0.19879999999999998</v>
      </c>
      <c r="V85" s="2">
        <f t="shared" si="80"/>
        <v>0.75252323585122083</v>
      </c>
      <c r="W85" s="2">
        <f t="shared" si="81"/>
        <v>0.32251100252536963</v>
      </c>
      <c r="X85" s="2">
        <f t="shared" si="82"/>
        <v>0.41948944611195671</v>
      </c>
      <c r="Y85" s="9">
        <f t="shared" si="83"/>
        <v>0.44183180399636351</v>
      </c>
      <c r="Z85" s="2">
        <f t="shared" si="84"/>
        <v>7.8587759564363174E-2</v>
      </c>
      <c r="AA85" s="2">
        <f t="shared" si="85"/>
        <v>0.67412617781512796</v>
      </c>
      <c r="AB85" s="2">
        <f t="shared" si="86"/>
        <v>0.55285714285714294</v>
      </c>
      <c r="AC85" s="2">
        <f t="shared" si="87"/>
        <v>0.18670516695807224</v>
      </c>
      <c r="AD85" s="2">
        <f t="shared" si="88"/>
        <v>0.28100000000000003</v>
      </c>
      <c r="AE85" s="2">
        <f t="shared" si="89"/>
        <v>0.52600000000000002</v>
      </c>
      <c r="AF85" s="45">
        <f t="shared" si="90"/>
        <v>0.38321270786578437</v>
      </c>
      <c r="AH85" s="34">
        <v>0.32401015442681486</v>
      </c>
      <c r="AI85" s="34">
        <f t="shared" si="91"/>
        <v>0.3509908278120023</v>
      </c>
      <c r="AJ85" s="34">
        <f t="shared" si="92"/>
        <v>2.6980673385187448E-2</v>
      </c>
      <c r="AK85" s="34">
        <f t="shared" si="93"/>
        <v>2.6980673385187448E-2</v>
      </c>
      <c r="AL85" s="41">
        <f t="shared" si="94"/>
        <v>8.3271073503598025E-2</v>
      </c>
      <c r="AN85">
        <f t="shared" si="69"/>
        <v>105</v>
      </c>
      <c r="AO85">
        <f t="shared" si="70"/>
        <v>104</v>
      </c>
      <c r="AP85">
        <f t="shared" si="95"/>
        <v>1</v>
      </c>
      <c r="AQ85">
        <f t="shared" si="96"/>
        <v>1</v>
      </c>
    </row>
    <row r="86" spans="1:43">
      <c r="A86" s="1" t="s">
        <v>147</v>
      </c>
      <c r="B86" s="1" t="s">
        <v>260</v>
      </c>
      <c r="C86" t="e">
        <f>NA()</f>
        <v>#N/A</v>
      </c>
      <c r="D86" s="39">
        <v>1.2644638413953779</v>
      </c>
      <c r="E86" s="2">
        <v>39.94</v>
      </c>
      <c r="F86" s="41">
        <v>0.27320040701220821</v>
      </c>
      <c r="G86" s="2">
        <v>0.30259994640939875</v>
      </c>
      <c r="H86" s="34">
        <v>0.23895434427484563</v>
      </c>
      <c r="I86" s="34"/>
      <c r="J86" s="35">
        <v>46.795047988431449</v>
      </c>
      <c r="K86" s="35">
        <v>22.600040667392925</v>
      </c>
      <c r="L86">
        <v>45.7</v>
      </c>
      <c r="M86" s="35">
        <v>61.150723367682794</v>
      </c>
      <c r="N86">
        <v>13.95</v>
      </c>
      <c r="O86">
        <v>2.1</v>
      </c>
      <c r="Q86" s="1" t="s">
        <v>147</v>
      </c>
      <c r="R86" s="1" t="s">
        <v>260</v>
      </c>
      <c r="S86" s="2" t="e">
        <f t="shared" si="77"/>
        <v>#N/A</v>
      </c>
      <c r="T86" s="2">
        <f t="shared" si="78"/>
        <v>0.37355361586046221</v>
      </c>
      <c r="U86" s="2">
        <f t="shared" si="79"/>
        <v>0.60060000000000002</v>
      </c>
      <c r="V86" s="2">
        <f t="shared" si="80"/>
        <v>0.54640081402441643</v>
      </c>
      <c r="W86" s="2">
        <f t="shared" si="81"/>
        <v>0.30259994640939875</v>
      </c>
      <c r="X86" s="2">
        <f t="shared" si="82"/>
        <v>0.60174275954192391</v>
      </c>
      <c r="Y86" s="9">
        <f t="shared" si="83"/>
        <v>0.48497942716724018</v>
      </c>
      <c r="Z86" s="2">
        <f t="shared" si="84"/>
        <v>0.52564354269187785</v>
      </c>
      <c r="AA86" s="2">
        <f t="shared" si="85"/>
        <v>0.28250050834241158</v>
      </c>
      <c r="AB86" s="2">
        <f t="shared" si="86"/>
        <v>0.65285714285714291</v>
      </c>
      <c r="AC86" s="2">
        <f t="shared" si="87"/>
        <v>0.30575361683841396</v>
      </c>
      <c r="AD86" s="2">
        <f t="shared" si="88"/>
        <v>1</v>
      </c>
      <c r="AE86" s="2">
        <f t="shared" si="89"/>
        <v>0.57999999999999996</v>
      </c>
      <c r="AF86" s="45">
        <f t="shared" si="90"/>
        <v>0.55779246845497432</v>
      </c>
      <c r="AH86" s="34">
        <v>0.49187351166469018</v>
      </c>
      <c r="AI86" s="34">
        <f t="shared" si="91"/>
        <v>0.50218903504338885</v>
      </c>
      <c r="AJ86" s="34">
        <f t="shared" si="92"/>
        <v>1.0315523378698677E-2</v>
      </c>
      <c r="AK86" s="34">
        <f t="shared" si="93"/>
        <v>1.0315523378698677E-2</v>
      </c>
      <c r="AL86" s="41">
        <f t="shared" si="94"/>
        <v>2.097190260111173E-2</v>
      </c>
      <c r="AN86">
        <f t="shared" si="69"/>
        <v>165</v>
      </c>
      <c r="AO86">
        <f t="shared" si="70"/>
        <v>153</v>
      </c>
      <c r="AP86">
        <f t="shared" si="95"/>
        <v>12</v>
      </c>
      <c r="AQ86">
        <f t="shared" si="96"/>
        <v>12</v>
      </c>
    </row>
    <row r="87" spans="1:43">
      <c r="A87" s="1" t="s">
        <v>156</v>
      </c>
      <c r="B87" s="1" t="s">
        <v>261</v>
      </c>
      <c r="C87" t="e">
        <f>NA()</f>
        <v>#N/A</v>
      </c>
      <c r="D87" s="39">
        <v>2.3096290923868503</v>
      </c>
      <c r="E87" s="2">
        <v>89.88</v>
      </c>
      <c r="F87" s="41">
        <v>0.55556416407104225</v>
      </c>
      <c r="G87" s="2">
        <v>0.18714896026882097</v>
      </c>
      <c r="H87" s="34">
        <v>0</v>
      </c>
      <c r="I87" s="34"/>
      <c r="J87" s="35">
        <v>67.974300404669108</v>
      </c>
      <c r="K87" s="35">
        <v>0</v>
      </c>
      <c r="L87">
        <v>83.1</v>
      </c>
      <c r="M87" s="35">
        <v>12.873982268099651</v>
      </c>
      <c r="N87">
        <v>5.25</v>
      </c>
      <c r="O87">
        <v>1.56</v>
      </c>
      <c r="Q87" s="1" t="s">
        <v>156</v>
      </c>
      <c r="R87" s="1" t="s">
        <v>261</v>
      </c>
      <c r="S87" s="2" t="e">
        <f t="shared" si="77"/>
        <v>#N/A</v>
      </c>
      <c r="T87" s="2">
        <f t="shared" si="78"/>
        <v>0.26903709076131499</v>
      </c>
      <c r="U87" s="2">
        <f t="shared" si="79"/>
        <v>0.10120000000000007</v>
      </c>
      <c r="V87" s="2">
        <f t="shared" si="80"/>
        <v>1</v>
      </c>
      <c r="W87" s="2">
        <f t="shared" si="81"/>
        <v>0.18714896026882097</v>
      </c>
      <c r="X87" s="2">
        <f t="shared" si="82"/>
        <v>1</v>
      </c>
      <c r="Y87" s="9">
        <f t="shared" si="83"/>
        <v>0.51147721020602721</v>
      </c>
      <c r="Z87" s="2">
        <f t="shared" si="84"/>
        <v>0.82820429149527297</v>
      </c>
      <c r="AA87" s="2">
        <f t="shared" si="85"/>
        <v>0</v>
      </c>
      <c r="AB87" s="2">
        <f t="shared" si="86"/>
        <v>1</v>
      </c>
      <c r="AC87" s="2">
        <f t="shared" si="87"/>
        <v>6.4369911340498256E-2</v>
      </c>
      <c r="AD87" s="2">
        <f t="shared" si="88"/>
        <v>0.52500000000000002</v>
      </c>
      <c r="AE87" s="2">
        <f t="shared" si="89"/>
        <v>0.68799999999999994</v>
      </c>
      <c r="AF87" s="45">
        <f t="shared" si="90"/>
        <v>0.51759570047262848</v>
      </c>
      <c r="AH87" s="34">
        <v>0.47992980972441263</v>
      </c>
      <c r="AI87" s="34">
        <f t="shared" si="91"/>
        <v>0.49089359106433739</v>
      </c>
      <c r="AJ87" s="34">
        <f t="shared" si="92"/>
        <v>1.0963781339924761E-2</v>
      </c>
      <c r="AK87" s="34">
        <f t="shared" si="93"/>
        <v>1.0963781339924761E-2</v>
      </c>
      <c r="AL87" s="41">
        <f t="shared" si="94"/>
        <v>2.2844551677713938E-2</v>
      </c>
      <c r="AN87">
        <f t="shared" si="69"/>
        <v>157</v>
      </c>
      <c r="AO87">
        <f t="shared" si="70"/>
        <v>147</v>
      </c>
      <c r="AP87">
        <f t="shared" si="95"/>
        <v>10</v>
      </c>
      <c r="AQ87">
        <f t="shared" si="96"/>
        <v>10</v>
      </c>
    </row>
    <row r="88" spans="1:43">
      <c r="A88" s="1" t="s">
        <v>162</v>
      </c>
      <c r="B88" s="1" t="s">
        <v>262</v>
      </c>
      <c r="C88" t="e">
        <f>NA()</f>
        <v>#N/A</v>
      </c>
      <c r="D88" s="39" t="e">
        <v>#N/A</v>
      </c>
      <c r="E88" s="2">
        <v>29.35</v>
      </c>
      <c r="F88" s="41">
        <v>1.1052935206249255</v>
      </c>
      <c r="G88" s="2">
        <v>0.10559097661691065</v>
      </c>
      <c r="H88" s="34">
        <v>0.25110456517017676</v>
      </c>
      <c r="I88" s="34"/>
      <c r="J88" s="35">
        <v>61.478290786517789</v>
      </c>
      <c r="K88" s="35">
        <v>0</v>
      </c>
      <c r="L88">
        <v>33.200000000000003</v>
      </c>
      <c r="M88" s="35">
        <v>107.33247469817955</v>
      </c>
      <c r="N88">
        <v>2.84</v>
      </c>
      <c r="O88">
        <v>1.99</v>
      </c>
      <c r="Q88" s="1" t="s">
        <v>162</v>
      </c>
      <c r="R88" s="1" t="s">
        <v>262</v>
      </c>
      <c r="S88" s="2" t="e">
        <f t="shared" si="77"/>
        <v>#N/A</v>
      </c>
      <c r="T88" s="2" t="e">
        <f t="shared" si="78"/>
        <v>#N/A</v>
      </c>
      <c r="U88" s="2">
        <f t="shared" si="79"/>
        <v>0.70649999999999991</v>
      </c>
      <c r="V88" s="2">
        <f t="shared" si="80"/>
        <v>1</v>
      </c>
      <c r="W88" s="2">
        <f t="shared" si="81"/>
        <v>0.10559097661691065</v>
      </c>
      <c r="X88" s="2">
        <f t="shared" si="82"/>
        <v>0.58149239138303876</v>
      </c>
      <c r="Y88" s="9">
        <f t="shared" si="83"/>
        <v>0.5983958419999873</v>
      </c>
      <c r="Z88" s="2">
        <f t="shared" si="84"/>
        <v>0.73540415409311122</v>
      </c>
      <c r="AA88" s="2">
        <f t="shared" si="85"/>
        <v>0</v>
      </c>
      <c r="AB88" s="2">
        <f t="shared" si="86"/>
        <v>0.47428571428571431</v>
      </c>
      <c r="AC88" s="2">
        <f t="shared" si="87"/>
        <v>0.53666237349089774</v>
      </c>
      <c r="AD88" s="2">
        <f t="shared" si="88"/>
        <v>0.28399999999999997</v>
      </c>
      <c r="AE88" s="2">
        <f t="shared" si="89"/>
        <v>0.60199999999999998</v>
      </c>
      <c r="AF88" s="45">
        <f t="shared" si="90"/>
        <v>0.43872537364495384</v>
      </c>
      <c r="AH88" s="34">
        <v>0.35254313721396296</v>
      </c>
      <c r="AI88" s="34">
        <f t="shared" si="91"/>
        <v>0.40243904985727919</v>
      </c>
      <c r="AJ88" s="34">
        <f t="shared" si="92"/>
        <v>4.989591264331622E-2</v>
      </c>
      <c r="AK88" s="34">
        <f t="shared" si="93"/>
        <v>4.989591264331622E-2</v>
      </c>
      <c r="AL88" s="41">
        <f t="shared" si="94"/>
        <v>0.14153136843799557</v>
      </c>
      <c r="AN88">
        <f t="shared" si="69"/>
        <v>116</v>
      </c>
      <c r="AO88">
        <f t="shared" si="70"/>
        <v>117</v>
      </c>
      <c r="AP88">
        <f t="shared" si="95"/>
        <v>-1</v>
      </c>
      <c r="AQ88">
        <f t="shared" si="96"/>
        <v>1</v>
      </c>
    </row>
    <row r="89" spans="1:43">
      <c r="A89" s="1" t="s">
        <v>121</v>
      </c>
      <c r="B89" s="1" t="s">
        <v>263</v>
      </c>
      <c r="C89" t="e">
        <f>NA()</f>
        <v>#N/A</v>
      </c>
      <c r="D89" s="39">
        <v>-0.26261787016247806</v>
      </c>
      <c r="E89" s="2">
        <v>1.71</v>
      </c>
      <c r="F89" s="41">
        <v>0.11970321276163802</v>
      </c>
      <c r="G89" s="2">
        <v>0.34555688626226644</v>
      </c>
      <c r="H89" s="34">
        <v>0.21060382885240636</v>
      </c>
      <c r="I89" s="34"/>
      <c r="J89" s="35">
        <v>43.244081760671044</v>
      </c>
      <c r="K89" s="35">
        <v>46.280058734148191</v>
      </c>
      <c r="L89">
        <v>70.099999999999994</v>
      </c>
      <c r="M89" s="35">
        <v>217.16434935321166</v>
      </c>
      <c r="N89" t="e">
        <v>#N/A</v>
      </c>
      <c r="O89">
        <v>2.17</v>
      </c>
      <c r="Q89" s="1" t="s">
        <v>121</v>
      </c>
      <c r="R89" s="1" t="s">
        <v>263</v>
      </c>
      <c r="S89" s="2" t="e">
        <f t="shared" si="77"/>
        <v>#N/A</v>
      </c>
      <c r="T89" s="2">
        <f t="shared" si="78"/>
        <v>0.52626178701624782</v>
      </c>
      <c r="U89" s="2">
        <f t="shared" si="79"/>
        <v>0.9829</v>
      </c>
      <c r="V89" s="2">
        <f t="shared" si="80"/>
        <v>0.23940642552327604</v>
      </c>
      <c r="W89" s="2">
        <f t="shared" si="81"/>
        <v>0.34555688626226644</v>
      </c>
      <c r="X89" s="2">
        <f t="shared" si="82"/>
        <v>0.6489936185793227</v>
      </c>
      <c r="Y89" s="9">
        <f t="shared" si="83"/>
        <v>0.54862374347622267</v>
      </c>
      <c r="Z89" s="2">
        <f t="shared" si="84"/>
        <v>0.47491545372387206</v>
      </c>
      <c r="AA89" s="2">
        <f t="shared" si="85"/>
        <v>0.57850073417685244</v>
      </c>
      <c r="AB89" s="2">
        <f t="shared" si="86"/>
        <v>1</v>
      </c>
      <c r="AC89" s="2">
        <f t="shared" si="87"/>
        <v>1</v>
      </c>
      <c r="AD89" s="2" t="e">
        <f t="shared" si="88"/>
        <v>#N/A</v>
      </c>
      <c r="AE89" s="2">
        <f t="shared" si="89"/>
        <v>0.56600000000000006</v>
      </c>
      <c r="AF89" s="45">
        <f t="shared" si="90"/>
        <v>0.72388323758014494</v>
      </c>
      <c r="AH89" s="34">
        <v>0.4663835113290109</v>
      </c>
      <c r="AI89" s="34">
        <f t="shared" si="91"/>
        <v>0.52227492613594984</v>
      </c>
      <c r="AJ89" s="34">
        <f t="shared" si="92"/>
        <v>5.5891414806938933E-2</v>
      </c>
      <c r="AK89" s="34">
        <f t="shared" si="93"/>
        <v>5.5891414806938933E-2</v>
      </c>
      <c r="AL89" s="41">
        <f t="shared" si="94"/>
        <v>0.11984003175341731</v>
      </c>
      <c r="AN89">
        <f t="shared" si="69"/>
        <v>151</v>
      </c>
      <c r="AO89">
        <f t="shared" si="70"/>
        <v>163</v>
      </c>
      <c r="AP89">
        <f t="shared" si="95"/>
        <v>-12</v>
      </c>
      <c r="AQ89">
        <f t="shared" si="96"/>
        <v>12</v>
      </c>
    </row>
    <row r="90" spans="1:43">
      <c r="A90" s="1" t="s">
        <v>119</v>
      </c>
      <c r="B90" s="1" t="s">
        <v>264</v>
      </c>
      <c r="C90" t="e">
        <f>NA()</f>
        <v>#N/A</v>
      </c>
      <c r="D90" s="39">
        <v>0.44609944468631202</v>
      </c>
      <c r="E90" s="2">
        <v>82.24</v>
      </c>
      <c r="F90" s="41">
        <v>0.4712478050702521</v>
      </c>
      <c r="G90" s="2">
        <v>0.35407371471749643</v>
      </c>
      <c r="H90" s="34">
        <v>0.2268041233795145</v>
      </c>
      <c r="I90" s="34"/>
      <c r="J90" s="35">
        <v>27.715302217601206</v>
      </c>
      <c r="K90" s="35">
        <v>40.980094309954751</v>
      </c>
      <c r="L90">
        <v>34.9</v>
      </c>
      <c r="M90" s="35">
        <v>47.322755667655663</v>
      </c>
      <c r="N90">
        <v>9.2100000000000009</v>
      </c>
      <c r="O90">
        <v>2.31</v>
      </c>
      <c r="Q90" s="1" t="s">
        <v>119</v>
      </c>
      <c r="R90" s="1" t="s">
        <v>264</v>
      </c>
      <c r="S90" s="2" t="e">
        <f t="shared" si="77"/>
        <v>#N/A</v>
      </c>
      <c r="T90" s="2">
        <f t="shared" si="78"/>
        <v>0.4553900555313688</v>
      </c>
      <c r="U90" s="2">
        <f t="shared" si="79"/>
        <v>0.17760000000000009</v>
      </c>
      <c r="V90" s="2">
        <f t="shared" si="80"/>
        <v>0.9424956101405042</v>
      </c>
      <c r="W90" s="2">
        <f t="shared" si="81"/>
        <v>0.35407371471749643</v>
      </c>
      <c r="X90" s="2">
        <f t="shared" si="82"/>
        <v>0.62199312770080917</v>
      </c>
      <c r="Y90" s="9">
        <f t="shared" si="83"/>
        <v>0.51031050161803582</v>
      </c>
      <c r="Z90" s="2">
        <f t="shared" si="84"/>
        <v>0.25307574596573151</v>
      </c>
      <c r="AA90" s="2">
        <f t="shared" si="85"/>
        <v>0.51225117887443439</v>
      </c>
      <c r="AB90" s="2">
        <f t="shared" si="86"/>
        <v>0.49857142857142855</v>
      </c>
      <c r="AC90" s="2">
        <f t="shared" si="87"/>
        <v>0.23661377833827832</v>
      </c>
      <c r="AD90" s="2">
        <f t="shared" si="88"/>
        <v>0.92100000000000004</v>
      </c>
      <c r="AE90" s="2">
        <f t="shared" si="89"/>
        <v>0.53800000000000003</v>
      </c>
      <c r="AF90" s="45">
        <f t="shared" si="90"/>
        <v>0.49325202195831208</v>
      </c>
      <c r="AH90" s="34">
        <v>0.31535302114222064</v>
      </c>
      <c r="AI90" s="34">
        <f t="shared" si="91"/>
        <v>0.37370106135009562</v>
      </c>
      <c r="AJ90" s="34">
        <f t="shared" si="92"/>
        <v>5.8348040207874985E-2</v>
      </c>
      <c r="AK90" s="34">
        <f t="shared" si="93"/>
        <v>5.8348040207874985E-2</v>
      </c>
      <c r="AL90" s="41">
        <f t="shared" si="94"/>
        <v>0.18502451632312308</v>
      </c>
      <c r="AN90">
        <f t="shared" si="69"/>
        <v>102</v>
      </c>
      <c r="AO90">
        <f t="shared" si="70"/>
        <v>113</v>
      </c>
      <c r="AP90">
        <f t="shared" si="95"/>
        <v>-11</v>
      </c>
      <c r="AQ90">
        <f t="shared" si="96"/>
        <v>11</v>
      </c>
    </row>
    <row r="91" spans="1:43">
      <c r="A91" s="1" t="s">
        <v>64</v>
      </c>
      <c r="B91" s="1" t="s">
        <v>265</v>
      </c>
      <c r="C91" t="e">
        <f>NA()</f>
        <v>#N/A</v>
      </c>
      <c r="D91" s="39">
        <v>0.90030656152020838</v>
      </c>
      <c r="E91" s="2">
        <v>30.12</v>
      </c>
      <c r="F91" s="41">
        <v>2.989281071050898E-2</v>
      </c>
      <c r="G91" s="2">
        <v>0.11768929498571884</v>
      </c>
      <c r="H91" s="34">
        <v>0.59941089750300269</v>
      </c>
      <c r="I91" s="34"/>
      <c r="J91" s="35">
        <v>24.958907837911301</v>
      </c>
      <c r="K91" s="35">
        <v>8.0000128768350294</v>
      </c>
      <c r="L91">
        <v>0</v>
      </c>
      <c r="M91" s="35">
        <v>-421.80676973161218</v>
      </c>
      <c r="N91">
        <v>0.85</v>
      </c>
      <c r="O91">
        <v>3.08</v>
      </c>
      <c r="Q91" s="1" t="s">
        <v>64</v>
      </c>
      <c r="R91" s="1" t="s">
        <v>265</v>
      </c>
      <c r="S91" s="2" t="e">
        <f t="shared" si="77"/>
        <v>#N/A</v>
      </c>
      <c r="T91" s="2">
        <f t="shared" si="78"/>
        <v>0.40996934384797912</v>
      </c>
      <c r="U91" s="2">
        <f t="shared" si="79"/>
        <v>0.69879999999999998</v>
      </c>
      <c r="V91" s="2">
        <f t="shared" si="80"/>
        <v>5.9785621421017961E-2</v>
      </c>
      <c r="W91" s="2">
        <f t="shared" si="81"/>
        <v>0.11768929498571884</v>
      </c>
      <c r="X91" s="2">
        <f t="shared" si="82"/>
        <v>9.8183749499547446E-4</v>
      </c>
      <c r="Y91" s="9">
        <f t="shared" si="83"/>
        <v>0.25744521954994226</v>
      </c>
      <c r="Z91" s="2">
        <f t="shared" si="84"/>
        <v>0.21369868339873288</v>
      </c>
      <c r="AA91" s="2">
        <f t="shared" si="85"/>
        <v>0.10000016096043787</v>
      </c>
      <c r="AB91" s="2">
        <f t="shared" si="86"/>
        <v>0</v>
      </c>
      <c r="AC91" s="2">
        <f t="shared" si="87"/>
        <v>0</v>
      </c>
      <c r="AD91" s="2">
        <f t="shared" si="88"/>
        <v>8.4999999999999992E-2</v>
      </c>
      <c r="AE91" s="2">
        <f t="shared" si="89"/>
        <v>0.38400000000000001</v>
      </c>
      <c r="AF91" s="45">
        <f t="shared" si="90"/>
        <v>0.13044980739319512</v>
      </c>
      <c r="AH91" s="34">
        <v>0.19957429199089116</v>
      </c>
      <c r="AI91" s="34">
        <f t="shared" si="91"/>
        <v>0.19599165571115057</v>
      </c>
      <c r="AJ91" s="34">
        <f t="shared" si="92"/>
        <v>-3.582636279740592E-3</v>
      </c>
      <c r="AK91" s="34">
        <f t="shared" si="93"/>
        <v>3.582636279740592E-3</v>
      </c>
      <c r="AL91" s="41">
        <f t="shared" si="94"/>
        <v>1.7951391654713263E-2</v>
      </c>
      <c r="AN91">
        <f t="shared" si="69"/>
        <v>28</v>
      </c>
      <c r="AO91">
        <f t="shared" si="70"/>
        <v>20</v>
      </c>
      <c r="AP91">
        <f t="shared" si="95"/>
        <v>8</v>
      </c>
      <c r="AQ91">
        <f t="shared" si="96"/>
        <v>8</v>
      </c>
    </row>
    <row r="92" spans="1:43">
      <c r="A92" s="1" t="s">
        <v>12</v>
      </c>
      <c r="B92" s="1" t="s">
        <v>266</v>
      </c>
      <c r="C92" t="e">
        <f>NA()</f>
        <v>#N/A</v>
      </c>
      <c r="D92" s="39" t="e">
        <v>#N/A</v>
      </c>
      <c r="E92" s="2">
        <v>85.12</v>
      </c>
      <c r="F92" s="41">
        <v>1.3691369544834645E-2</v>
      </c>
      <c r="G92" s="2">
        <v>0.16835016835016836</v>
      </c>
      <c r="H92" s="34">
        <v>0.50601374593951054</v>
      </c>
      <c r="I92" s="34"/>
      <c r="J92" s="35">
        <v>67.399002679714371</v>
      </c>
      <c r="K92" s="35">
        <v>0</v>
      </c>
      <c r="L92">
        <v>0</v>
      </c>
      <c r="M92" s="35">
        <v>-6.2581270945356069</v>
      </c>
      <c r="N92">
        <v>0</v>
      </c>
      <c r="O92">
        <v>3.33</v>
      </c>
      <c r="Q92" s="1" t="s">
        <v>12</v>
      </c>
      <c r="R92" s="1" t="s">
        <v>266</v>
      </c>
      <c r="S92" s="2" t="e">
        <f t="shared" si="77"/>
        <v>#N/A</v>
      </c>
      <c r="T92" s="2" t="e">
        <f t="shared" si="78"/>
        <v>#N/A</v>
      </c>
      <c r="U92" s="2">
        <f t="shared" si="79"/>
        <v>0.14879999999999993</v>
      </c>
      <c r="V92" s="2">
        <f t="shared" si="80"/>
        <v>2.7382739089669289E-2</v>
      </c>
      <c r="W92" s="2">
        <f t="shared" si="81"/>
        <v>0.16835016835016836</v>
      </c>
      <c r="X92" s="2">
        <f t="shared" si="82"/>
        <v>0.15664375676748243</v>
      </c>
      <c r="Y92" s="9">
        <f t="shared" si="83"/>
        <v>0.12529416605183</v>
      </c>
      <c r="Z92" s="2">
        <f t="shared" si="84"/>
        <v>0.81998575256734818</v>
      </c>
      <c r="AA92" s="2">
        <f t="shared" si="85"/>
        <v>0</v>
      </c>
      <c r="AB92" s="2">
        <f t="shared" si="86"/>
        <v>0</v>
      </c>
      <c r="AC92" s="2">
        <f t="shared" si="87"/>
        <v>0</v>
      </c>
      <c r="AD92" s="2">
        <f t="shared" si="88"/>
        <v>0</v>
      </c>
      <c r="AE92" s="2">
        <f t="shared" si="89"/>
        <v>0.33399999999999996</v>
      </c>
      <c r="AF92" s="45">
        <f t="shared" si="90"/>
        <v>0.19233095876122466</v>
      </c>
      <c r="AH92" s="34">
        <v>0.21815733344437974</v>
      </c>
      <c r="AI92" s="34">
        <f t="shared" si="91"/>
        <v>0.20046378815690319</v>
      </c>
      <c r="AJ92" s="34">
        <f t="shared" si="92"/>
        <v>-1.7693545287476548E-2</v>
      </c>
      <c r="AK92" s="34">
        <f t="shared" si="93"/>
        <v>1.7693545287476548E-2</v>
      </c>
      <c r="AL92" s="41">
        <f t="shared" si="94"/>
        <v>8.110451758885108E-2</v>
      </c>
      <c r="AN92">
        <f t="shared" ref="AN92:AN155" si="97">[1]!mrank(AH92,$AH$18:$AH$209,TRUE,TRUE)</f>
        <v>36</v>
      </c>
      <c r="AO92">
        <f t="shared" ref="AO92:AO155" si="98">[1]!mrank(AI92,$AI$18:$AI$209,TRUE,TRUE)</f>
        <v>22</v>
      </c>
      <c r="AP92">
        <f t="shared" si="95"/>
        <v>14</v>
      </c>
      <c r="AQ92">
        <f t="shared" si="96"/>
        <v>14</v>
      </c>
    </row>
    <row r="93" spans="1:43">
      <c r="A93" s="1" t="s">
        <v>159</v>
      </c>
      <c r="B93" s="1" t="s">
        <v>267</v>
      </c>
      <c r="C93" t="e">
        <f>NA()</f>
        <v>#N/A</v>
      </c>
      <c r="D93" s="39">
        <v>-7.5350560014716184E-2</v>
      </c>
      <c r="E93" s="2">
        <v>29.82</v>
      </c>
      <c r="F93" s="41">
        <v>0.22310913614490646</v>
      </c>
      <c r="G93" s="2">
        <v>0.76906090925048265</v>
      </c>
      <c r="H93" s="34">
        <v>0.43728522321561081</v>
      </c>
      <c r="I93" s="34"/>
      <c r="J93" s="35">
        <v>6.2864698602169575</v>
      </c>
      <c r="K93" s="35">
        <v>35.611308666203655</v>
      </c>
      <c r="L93">
        <v>29.4</v>
      </c>
      <c r="M93" s="35">
        <v>69.725373321831967</v>
      </c>
      <c r="N93">
        <v>6.62</v>
      </c>
      <c r="O93">
        <v>2.91</v>
      </c>
      <c r="Q93" s="1" t="s">
        <v>159</v>
      </c>
      <c r="R93" s="1" t="s">
        <v>267</v>
      </c>
      <c r="S93" s="2" t="e">
        <f t="shared" si="77"/>
        <v>#N/A</v>
      </c>
      <c r="T93" s="2">
        <f t="shared" si="78"/>
        <v>0.50753505600147153</v>
      </c>
      <c r="U93" s="2">
        <f t="shared" si="79"/>
        <v>0.70179999999999998</v>
      </c>
      <c r="V93" s="2">
        <f t="shared" si="80"/>
        <v>0.44621827228981292</v>
      </c>
      <c r="W93" s="2">
        <f t="shared" si="81"/>
        <v>0.76906090925048265</v>
      </c>
      <c r="X93" s="2">
        <f t="shared" si="82"/>
        <v>0.27119129464064862</v>
      </c>
      <c r="Y93" s="9">
        <f t="shared" si="83"/>
        <v>0.53916110643648318</v>
      </c>
      <c r="Z93" s="2">
        <f t="shared" si="84"/>
        <v>0</v>
      </c>
      <c r="AA93" s="2">
        <f t="shared" si="85"/>
        <v>0.4451413583275457</v>
      </c>
      <c r="AB93" s="2">
        <f t="shared" si="86"/>
        <v>0.42</v>
      </c>
      <c r="AC93" s="2">
        <f t="shared" si="87"/>
        <v>0.34862686660915981</v>
      </c>
      <c r="AD93" s="2">
        <f t="shared" si="88"/>
        <v>0.66200000000000003</v>
      </c>
      <c r="AE93" s="2">
        <f t="shared" si="89"/>
        <v>0.41799999999999993</v>
      </c>
      <c r="AF93" s="45">
        <f t="shared" si="90"/>
        <v>0.3822947041561176</v>
      </c>
      <c r="AH93" s="34">
        <v>0.41069010527260835</v>
      </c>
      <c r="AI93" s="34">
        <f t="shared" si="91"/>
        <v>0.4241753223903349</v>
      </c>
      <c r="AJ93" s="34">
        <f t="shared" si="92"/>
        <v>1.3485217117726545E-2</v>
      </c>
      <c r="AK93" s="34">
        <f t="shared" si="93"/>
        <v>1.3485217117726545E-2</v>
      </c>
      <c r="AL93" s="41">
        <f t="shared" si="94"/>
        <v>3.2835505274166059E-2</v>
      </c>
      <c r="AN93">
        <f t="shared" si="97"/>
        <v>129</v>
      </c>
      <c r="AO93">
        <f t="shared" si="98"/>
        <v>124</v>
      </c>
      <c r="AP93">
        <f t="shared" si="95"/>
        <v>5</v>
      </c>
      <c r="AQ93">
        <f t="shared" si="96"/>
        <v>5</v>
      </c>
    </row>
    <row r="94" spans="1:43">
      <c r="A94" s="1" t="s">
        <v>107</v>
      </c>
      <c r="B94" s="1" t="s">
        <v>268</v>
      </c>
      <c r="C94" t="e">
        <f>NA()</f>
        <v>#N/A</v>
      </c>
      <c r="D94" s="39">
        <v>0.47357716607410416</v>
      </c>
      <c r="E94" s="2">
        <v>81.12</v>
      </c>
      <c r="F94" s="41">
        <v>0.17463694076210892</v>
      </c>
      <c r="G94" s="2">
        <v>0.79747217300440687</v>
      </c>
      <c r="H94" s="34">
        <v>0.33615611143749469</v>
      </c>
      <c r="I94" s="34"/>
      <c r="J94" s="35">
        <v>7.1501913182907693</v>
      </c>
      <c r="K94" s="35">
        <v>42.198851849324441</v>
      </c>
      <c r="L94">
        <v>23</v>
      </c>
      <c r="M94" s="35">
        <v>204.76248155140939</v>
      </c>
      <c r="N94">
        <v>2.17</v>
      </c>
      <c r="O94">
        <v>2.54</v>
      </c>
      <c r="Q94" s="1" t="s">
        <v>107</v>
      </c>
      <c r="R94" s="1" t="s">
        <v>268</v>
      </c>
      <c r="S94" s="2" t="e">
        <f t="shared" si="77"/>
        <v>#N/A</v>
      </c>
      <c r="T94" s="2">
        <f t="shared" si="78"/>
        <v>0.45264228339258961</v>
      </c>
      <c r="U94" s="2">
        <f t="shared" si="79"/>
        <v>0.18879999999999997</v>
      </c>
      <c r="V94" s="2">
        <f t="shared" si="80"/>
        <v>0.34927388152421784</v>
      </c>
      <c r="W94" s="2">
        <f t="shared" si="81"/>
        <v>0.79747217300440687</v>
      </c>
      <c r="X94" s="2">
        <f t="shared" si="82"/>
        <v>0.43973981427084219</v>
      </c>
      <c r="Y94" s="9">
        <f t="shared" si="83"/>
        <v>0.44558563043841132</v>
      </c>
      <c r="Z94" s="2">
        <f t="shared" si="84"/>
        <v>0</v>
      </c>
      <c r="AA94" s="2">
        <f t="shared" si="85"/>
        <v>0.52748564811655552</v>
      </c>
      <c r="AB94" s="2">
        <f t="shared" si="86"/>
        <v>0.32857142857142857</v>
      </c>
      <c r="AC94" s="2">
        <f t="shared" si="87"/>
        <v>1</v>
      </c>
      <c r="AD94" s="2">
        <f t="shared" si="88"/>
        <v>0.217</v>
      </c>
      <c r="AE94" s="2">
        <f t="shared" si="89"/>
        <v>0.49199999999999999</v>
      </c>
      <c r="AF94" s="45">
        <f t="shared" si="90"/>
        <v>0.42750951278133065</v>
      </c>
      <c r="AH94" s="34">
        <v>0.2638128452526905</v>
      </c>
      <c r="AI94" s="34">
        <f t="shared" si="91"/>
        <v>0.31784267185556037</v>
      </c>
      <c r="AJ94" s="34">
        <f t="shared" si="92"/>
        <v>5.4029826602869868E-2</v>
      </c>
      <c r="AK94" s="34">
        <f t="shared" si="93"/>
        <v>5.4029826602869868E-2</v>
      </c>
      <c r="AL94" s="41">
        <f t="shared" si="94"/>
        <v>0.20480362338353136</v>
      </c>
      <c r="AN94">
        <f t="shared" si="97"/>
        <v>74</v>
      </c>
      <c r="AO94">
        <f t="shared" si="98"/>
        <v>83</v>
      </c>
      <c r="AP94">
        <f t="shared" si="95"/>
        <v>-9</v>
      </c>
      <c r="AQ94">
        <f t="shared" si="96"/>
        <v>9</v>
      </c>
    </row>
    <row r="95" spans="1:43">
      <c r="A95" s="1" t="s">
        <v>63</v>
      </c>
      <c r="B95" s="1" t="s">
        <v>269</v>
      </c>
      <c r="C95" t="e">
        <f>NA()</f>
        <v>#N/A</v>
      </c>
      <c r="D95" s="39">
        <v>-0.16493974207575479</v>
      </c>
      <c r="E95" s="2">
        <v>40.29</v>
      </c>
      <c r="F95" s="41">
        <v>0.11802332625165257</v>
      </c>
      <c r="G95" s="2">
        <v>0.40182444390923455</v>
      </c>
      <c r="H95" s="34">
        <v>0.10530191442620318</v>
      </c>
      <c r="I95" s="34"/>
      <c r="J95" s="35">
        <v>14.084357887218601</v>
      </c>
      <c r="K95" s="35">
        <v>40.702473723762992</v>
      </c>
      <c r="L95" t="e">
        <v>#N/A</v>
      </c>
      <c r="M95" s="35">
        <v>66.039160200032498</v>
      </c>
      <c r="N95" t="e">
        <v>#N/A</v>
      </c>
      <c r="O95">
        <v>2.36</v>
      </c>
      <c r="Q95" s="1" t="s">
        <v>63</v>
      </c>
      <c r="R95" s="1" t="s">
        <v>269</v>
      </c>
      <c r="S95" s="2" t="e">
        <f t="shared" si="77"/>
        <v>#N/A</v>
      </c>
      <c r="T95" s="2">
        <f t="shared" si="78"/>
        <v>0.51649397420757548</v>
      </c>
      <c r="U95" s="2">
        <f t="shared" si="79"/>
        <v>0.59709999999999996</v>
      </c>
      <c r="V95" s="2">
        <f t="shared" si="80"/>
        <v>0.23604665250330514</v>
      </c>
      <c r="W95" s="2">
        <f t="shared" si="81"/>
        <v>0.40182444390923455</v>
      </c>
      <c r="X95" s="2">
        <f t="shared" si="82"/>
        <v>0.8244968092896614</v>
      </c>
      <c r="Y95" s="9">
        <f t="shared" si="83"/>
        <v>0.51519237598195533</v>
      </c>
      <c r="Z95" s="2">
        <f t="shared" si="84"/>
        <v>5.8347969817408592E-2</v>
      </c>
      <c r="AA95" s="2">
        <f t="shared" si="85"/>
        <v>0.50878092154703736</v>
      </c>
      <c r="AB95" s="2" t="e">
        <f t="shared" si="86"/>
        <v>#N/A</v>
      </c>
      <c r="AC95" s="2">
        <f t="shared" si="87"/>
        <v>0.33019580100016249</v>
      </c>
      <c r="AD95" s="2" t="e">
        <f t="shared" si="88"/>
        <v>#N/A</v>
      </c>
      <c r="AE95" s="2">
        <f t="shared" si="89"/>
        <v>0.52800000000000002</v>
      </c>
      <c r="AF95" s="45">
        <f t="shared" si="90"/>
        <v>0.35633117309115214</v>
      </c>
      <c r="AH95" s="34">
        <v>0.21511925412455832</v>
      </c>
      <c r="AI95" s="34">
        <f t="shared" si="91"/>
        <v>0.28219460049845968</v>
      </c>
      <c r="AJ95" s="34">
        <f t="shared" si="92"/>
        <v>6.7075346373901362E-2</v>
      </c>
      <c r="AK95" s="34">
        <f t="shared" si="93"/>
        <v>6.7075346373901362E-2</v>
      </c>
      <c r="AL95" s="41">
        <f t="shared" si="94"/>
        <v>0.3118054060147652</v>
      </c>
      <c r="AN95">
        <f t="shared" si="97"/>
        <v>35</v>
      </c>
      <c r="AO95">
        <f t="shared" si="98"/>
        <v>59</v>
      </c>
      <c r="AP95">
        <f t="shared" si="95"/>
        <v>-24</v>
      </c>
      <c r="AQ95">
        <f t="shared" si="96"/>
        <v>24</v>
      </c>
    </row>
    <row r="96" spans="1:43">
      <c r="A96" s="1" t="s">
        <v>68</v>
      </c>
      <c r="B96" s="1" t="s">
        <v>270</v>
      </c>
      <c r="C96" t="e">
        <f>NA()</f>
        <v>#N/A</v>
      </c>
      <c r="D96" s="39">
        <v>-0.15188871614773325</v>
      </c>
      <c r="E96" s="2">
        <v>0.59</v>
      </c>
      <c r="F96" s="41" t="e">
        <v>#N/A</v>
      </c>
      <c r="G96" s="2">
        <v>0.44339123537720715</v>
      </c>
      <c r="H96" s="34">
        <v>0</v>
      </c>
      <c r="I96" s="34"/>
      <c r="J96" s="35">
        <v>27.696763905910444</v>
      </c>
      <c r="K96" s="35">
        <v>18.745787706121572</v>
      </c>
      <c r="L96">
        <v>52.8</v>
      </c>
      <c r="M96" s="35">
        <v>-6.4591512425100843</v>
      </c>
      <c r="N96" t="e">
        <v>#N/A</v>
      </c>
      <c r="O96">
        <v>1.73</v>
      </c>
      <c r="Q96" s="1" t="s">
        <v>68</v>
      </c>
      <c r="R96" s="1" t="s">
        <v>270</v>
      </c>
      <c r="S96" s="2" t="e">
        <f t="shared" si="77"/>
        <v>#N/A</v>
      </c>
      <c r="T96" s="2">
        <f t="shared" si="78"/>
        <v>0.51518887161477334</v>
      </c>
      <c r="U96" s="2">
        <f t="shared" si="79"/>
        <v>0.99409999999999998</v>
      </c>
      <c r="V96" s="2" t="e">
        <f t="shared" si="80"/>
        <v>#N/A</v>
      </c>
      <c r="W96" s="2">
        <f t="shared" si="81"/>
        <v>0.44339123537720715</v>
      </c>
      <c r="X96" s="2">
        <f t="shared" si="82"/>
        <v>1</v>
      </c>
      <c r="Y96" s="9">
        <f t="shared" si="83"/>
        <v>0.73817002674799514</v>
      </c>
      <c r="Z96" s="2">
        <f t="shared" si="84"/>
        <v>0.25281091294157776</v>
      </c>
      <c r="AA96" s="2">
        <f t="shared" si="85"/>
        <v>0.23432234632651966</v>
      </c>
      <c r="AB96" s="2">
        <f t="shared" si="86"/>
        <v>0.75428571428571423</v>
      </c>
      <c r="AC96" s="2">
        <f t="shared" si="87"/>
        <v>0</v>
      </c>
      <c r="AD96" s="2" t="e">
        <f t="shared" si="88"/>
        <v>#N/A</v>
      </c>
      <c r="AE96" s="2">
        <f t="shared" si="89"/>
        <v>0.65400000000000003</v>
      </c>
      <c r="AF96" s="45">
        <f t="shared" si="90"/>
        <v>0.37908379471076231</v>
      </c>
      <c r="AH96" s="34">
        <v>0.37721308913011925</v>
      </c>
      <c r="AI96" s="34">
        <f t="shared" si="91"/>
        <v>0.429099058317926</v>
      </c>
      <c r="AJ96" s="34">
        <f t="shared" si="92"/>
        <v>5.1885969187806746E-2</v>
      </c>
      <c r="AK96" s="34">
        <f t="shared" si="93"/>
        <v>5.1885969187806746E-2</v>
      </c>
      <c r="AL96" s="41">
        <f t="shared" si="94"/>
        <v>0.13755081857699997</v>
      </c>
      <c r="AN96">
        <f t="shared" si="97"/>
        <v>123</v>
      </c>
      <c r="AO96">
        <f t="shared" si="98"/>
        <v>128</v>
      </c>
      <c r="AP96">
        <f t="shared" si="95"/>
        <v>-5</v>
      </c>
      <c r="AQ96">
        <f t="shared" si="96"/>
        <v>5</v>
      </c>
    </row>
    <row r="97" spans="1:43">
      <c r="A97" s="1" t="s">
        <v>82</v>
      </c>
      <c r="B97" s="1" t="s">
        <v>271</v>
      </c>
      <c r="C97" t="e">
        <f>NA()</f>
        <v>#N/A</v>
      </c>
      <c r="D97" s="39">
        <v>0.9038996753442472</v>
      </c>
      <c r="E97" s="2">
        <v>10.35</v>
      </c>
      <c r="F97" s="41">
        <v>1.8192552156176257E-2</v>
      </c>
      <c r="G97" s="2">
        <v>0.11061365310183402</v>
      </c>
      <c r="H97" s="34">
        <v>0.6597938149307282</v>
      </c>
      <c r="I97" s="34"/>
      <c r="J97" s="35">
        <v>39.604684658897014</v>
      </c>
      <c r="K97" s="35">
        <v>23.750057145727251</v>
      </c>
      <c r="L97">
        <v>0</v>
      </c>
      <c r="M97" s="35">
        <v>90.120861250121052</v>
      </c>
      <c r="N97">
        <v>1.54</v>
      </c>
      <c r="O97">
        <v>3.76</v>
      </c>
      <c r="Q97" s="1" t="s">
        <v>82</v>
      </c>
      <c r="R97" s="1" t="s">
        <v>271</v>
      </c>
      <c r="S97" s="2" t="e">
        <f t="shared" si="77"/>
        <v>#N/A</v>
      </c>
      <c r="T97" s="2">
        <f t="shared" si="78"/>
        <v>0.40961003246557526</v>
      </c>
      <c r="U97" s="2">
        <f t="shared" si="79"/>
        <v>0.89649999999999996</v>
      </c>
      <c r="V97" s="2">
        <f t="shared" si="80"/>
        <v>3.6385104312352513E-2</v>
      </c>
      <c r="W97" s="2">
        <f t="shared" si="81"/>
        <v>0.11061365310183402</v>
      </c>
      <c r="X97" s="2">
        <f t="shared" si="82"/>
        <v>0</v>
      </c>
      <c r="Y97" s="9">
        <f t="shared" si="83"/>
        <v>0.29062175797595236</v>
      </c>
      <c r="Z97" s="2">
        <f t="shared" si="84"/>
        <v>0.42292406655567161</v>
      </c>
      <c r="AA97" s="2">
        <f t="shared" si="85"/>
        <v>0.29687571432159066</v>
      </c>
      <c r="AB97" s="2">
        <f t="shared" si="86"/>
        <v>0</v>
      </c>
      <c r="AC97" s="2">
        <f t="shared" si="87"/>
        <v>0.45060430625060527</v>
      </c>
      <c r="AD97" s="2">
        <f t="shared" si="88"/>
        <v>0.154</v>
      </c>
      <c r="AE97" s="2">
        <f t="shared" si="89"/>
        <v>0.248</v>
      </c>
      <c r="AF97" s="45">
        <f t="shared" si="90"/>
        <v>0.26206734785464458</v>
      </c>
      <c r="AH97" s="34">
        <v>0.15073200718952398</v>
      </c>
      <c r="AI97" s="34">
        <f t="shared" si="91"/>
        <v>0.18980231570160586</v>
      </c>
      <c r="AJ97" s="34">
        <f t="shared" si="92"/>
        <v>3.9070308512081875E-2</v>
      </c>
      <c r="AK97" s="34">
        <f t="shared" si="93"/>
        <v>3.9070308512081875E-2</v>
      </c>
      <c r="AL97" s="41">
        <f t="shared" si="94"/>
        <v>0.25920379646345809</v>
      </c>
      <c r="AN97">
        <f t="shared" si="97"/>
        <v>8</v>
      </c>
      <c r="AO97">
        <f t="shared" si="98"/>
        <v>18</v>
      </c>
      <c r="AP97">
        <f t="shared" si="95"/>
        <v>-10</v>
      </c>
      <c r="AQ97">
        <f t="shared" si="96"/>
        <v>10</v>
      </c>
    </row>
    <row r="98" spans="1:43">
      <c r="A98" s="1" t="s">
        <v>11</v>
      </c>
      <c r="B98" s="1" t="s">
        <v>272</v>
      </c>
      <c r="C98" t="e">
        <f>NA()</f>
        <v>#N/A</v>
      </c>
      <c r="D98" s="39">
        <v>-1.424037565681556</v>
      </c>
      <c r="E98" s="2">
        <v>70.709999999999994</v>
      </c>
      <c r="F98" s="41">
        <v>1.401374717330605E-2</v>
      </c>
      <c r="G98" s="2">
        <v>0.28962811904203906</v>
      </c>
      <c r="H98" s="34">
        <v>0.38868433963428628</v>
      </c>
      <c r="I98" s="34"/>
      <c r="J98" s="35">
        <v>46.793251517193482</v>
      </c>
      <c r="K98" s="35">
        <v>23.085160249231468</v>
      </c>
      <c r="L98">
        <v>0</v>
      </c>
      <c r="M98" s="35">
        <v>1.1855535916742443</v>
      </c>
      <c r="N98">
        <v>0</v>
      </c>
      <c r="O98">
        <v>3.6</v>
      </c>
      <c r="Q98" s="1" t="s">
        <v>11</v>
      </c>
      <c r="R98" s="1" t="s">
        <v>272</v>
      </c>
      <c r="S98" s="2" t="e">
        <f t="shared" si="77"/>
        <v>#N/A</v>
      </c>
      <c r="T98" s="2">
        <f t="shared" si="78"/>
        <v>0.64240375656815563</v>
      </c>
      <c r="U98" s="2">
        <f t="shared" si="79"/>
        <v>0.29290000000000005</v>
      </c>
      <c r="V98" s="2">
        <f t="shared" si="80"/>
        <v>2.80274943466121E-2</v>
      </c>
      <c r="W98" s="2">
        <f t="shared" si="81"/>
        <v>0.28962811904203906</v>
      </c>
      <c r="X98" s="2">
        <f t="shared" si="82"/>
        <v>0.35219276727618953</v>
      </c>
      <c r="Y98" s="9">
        <f t="shared" si="83"/>
        <v>0.32103042744659926</v>
      </c>
      <c r="Z98" s="2">
        <f t="shared" si="84"/>
        <v>0.5256178788170498</v>
      </c>
      <c r="AA98" s="2">
        <f t="shared" si="85"/>
        <v>0.28856450311539333</v>
      </c>
      <c r="AB98" s="2">
        <f t="shared" si="86"/>
        <v>0</v>
      </c>
      <c r="AC98" s="2">
        <f t="shared" si="87"/>
        <v>5.9277679583712214E-3</v>
      </c>
      <c r="AD98" s="2">
        <f t="shared" si="88"/>
        <v>0</v>
      </c>
      <c r="AE98" s="2">
        <f t="shared" si="89"/>
        <v>0.28000000000000003</v>
      </c>
      <c r="AF98" s="45">
        <f t="shared" si="90"/>
        <v>0.18335169164846907</v>
      </c>
      <c r="AH98" s="34">
        <v>0.22227758370008968</v>
      </c>
      <c r="AI98" s="34">
        <f t="shared" si="91"/>
        <v>0.22971212274074182</v>
      </c>
      <c r="AJ98" s="34">
        <f t="shared" si="92"/>
        <v>7.4345390406521383E-3</v>
      </c>
      <c r="AK98" s="34">
        <f t="shared" si="93"/>
        <v>7.4345390406521383E-3</v>
      </c>
      <c r="AL98" s="41">
        <f t="shared" si="94"/>
        <v>3.3447093120659736E-2</v>
      </c>
      <c r="AN98">
        <f t="shared" si="97"/>
        <v>39</v>
      </c>
      <c r="AO98">
        <f t="shared" si="98"/>
        <v>38</v>
      </c>
      <c r="AP98">
        <f t="shared" si="95"/>
        <v>1</v>
      </c>
      <c r="AQ98">
        <f t="shared" si="96"/>
        <v>1</v>
      </c>
    </row>
    <row r="99" spans="1:43">
      <c r="A99" s="1" t="s">
        <v>62</v>
      </c>
      <c r="B99" s="1" t="s">
        <v>273</v>
      </c>
      <c r="C99" t="e">
        <f>NA()</f>
        <v>#N/A</v>
      </c>
      <c r="D99" s="39">
        <v>-1.1910596379424441</v>
      </c>
      <c r="E99" s="2">
        <v>88.76</v>
      </c>
      <c r="F99" s="41">
        <v>1.4002004512857444E-2</v>
      </c>
      <c r="G99" s="2">
        <v>0.16815898084689471</v>
      </c>
      <c r="H99" s="34">
        <v>0.95569464808307258</v>
      </c>
      <c r="I99" s="34"/>
      <c r="J99" s="35">
        <v>8.1271278823453468</v>
      </c>
      <c r="K99" s="35">
        <v>23.788566315181704</v>
      </c>
      <c r="L99">
        <v>0</v>
      </c>
      <c r="M99" s="35">
        <v>48.588605107090935</v>
      </c>
      <c r="N99">
        <v>0</v>
      </c>
      <c r="O99">
        <v>3.72</v>
      </c>
      <c r="Q99" s="1" t="s">
        <v>62</v>
      </c>
      <c r="R99" s="1" t="s">
        <v>273</v>
      </c>
      <c r="S99" s="2" t="e">
        <f t="shared" si="77"/>
        <v>#N/A</v>
      </c>
      <c r="T99" s="2">
        <f t="shared" si="78"/>
        <v>0.61910596379424443</v>
      </c>
      <c r="U99" s="2">
        <f t="shared" si="79"/>
        <v>0.11239999999999994</v>
      </c>
      <c r="V99" s="2">
        <f t="shared" si="80"/>
        <v>2.8004009025714888E-2</v>
      </c>
      <c r="W99" s="2">
        <f t="shared" si="81"/>
        <v>0.16815898084689471</v>
      </c>
      <c r="X99" s="2">
        <f t="shared" si="82"/>
        <v>0</v>
      </c>
      <c r="Y99" s="9">
        <f t="shared" si="83"/>
        <v>0.18553379073337078</v>
      </c>
      <c r="Z99" s="2">
        <f t="shared" si="84"/>
        <v>0</v>
      </c>
      <c r="AA99" s="2">
        <f t="shared" si="85"/>
        <v>0.29735707893977131</v>
      </c>
      <c r="AB99" s="2">
        <f t="shared" si="86"/>
        <v>0</v>
      </c>
      <c r="AC99" s="2">
        <f t="shared" si="87"/>
        <v>0.24294302553545466</v>
      </c>
      <c r="AD99" s="2">
        <f t="shared" si="88"/>
        <v>0</v>
      </c>
      <c r="AE99" s="2">
        <f t="shared" si="89"/>
        <v>0.25600000000000001</v>
      </c>
      <c r="AF99" s="45">
        <f t="shared" si="90"/>
        <v>0.13271668407920434</v>
      </c>
      <c r="AH99" s="34">
        <v>0.18337245706852615</v>
      </c>
      <c r="AI99" s="34">
        <f t="shared" si="91"/>
        <v>0.17499737222247735</v>
      </c>
      <c r="AJ99" s="34">
        <f t="shared" si="92"/>
        <v>-8.3750848460487914E-3</v>
      </c>
      <c r="AK99" s="34">
        <f t="shared" si="93"/>
        <v>8.3750848460487914E-3</v>
      </c>
      <c r="AL99" s="41">
        <f t="shared" si="94"/>
        <v>4.5672534359503233E-2</v>
      </c>
      <c r="AN99">
        <f t="shared" si="97"/>
        <v>16</v>
      </c>
      <c r="AO99">
        <f t="shared" si="98"/>
        <v>13</v>
      </c>
      <c r="AP99">
        <f t="shared" si="95"/>
        <v>3</v>
      </c>
      <c r="AQ99">
        <f t="shared" si="96"/>
        <v>3</v>
      </c>
    </row>
    <row r="100" spans="1:43">
      <c r="A100" s="1" t="s">
        <v>104</v>
      </c>
      <c r="B100" s="1" t="s">
        <v>274</v>
      </c>
      <c r="C100" t="e">
        <f>NA()</f>
        <v>#N/A</v>
      </c>
      <c r="D100" s="39">
        <v>-0.67765575949439838</v>
      </c>
      <c r="E100" s="2">
        <v>100</v>
      </c>
      <c r="F100" s="41">
        <v>5.5077132801389816E-2</v>
      </c>
      <c r="G100" s="2">
        <v>0.61166544042742266</v>
      </c>
      <c r="H100" s="34">
        <v>0.29540991708710429</v>
      </c>
      <c r="I100" s="34"/>
      <c r="J100" s="35">
        <v>40.193017905260632</v>
      </c>
      <c r="K100" s="35">
        <v>0</v>
      </c>
      <c r="L100">
        <v>60.5</v>
      </c>
      <c r="M100" s="35">
        <v>150.30918608881296</v>
      </c>
      <c r="N100">
        <v>0.19</v>
      </c>
      <c r="O100">
        <v>2.0699999999999998</v>
      </c>
      <c r="Q100" s="1" t="s">
        <v>104</v>
      </c>
      <c r="R100" s="1" t="s">
        <v>274</v>
      </c>
      <c r="S100" s="2" t="e">
        <f t="shared" si="77"/>
        <v>#N/A</v>
      </c>
      <c r="T100" s="2">
        <f t="shared" si="78"/>
        <v>0.56776557594943988</v>
      </c>
      <c r="U100" s="2">
        <f t="shared" si="79"/>
        <v>0</v>
      </c>
      <c r="V100" s="2">
        <f t="shared" si="80"/>
        <v>0.11015426560277963</v>
      </c>
      <c r="W100" s="2">
        <f t="shared" si="81"/>
        <v>0.61166544042742266</v>
      </c>
      <c r="X100" s="2">
        <f t="shared" si="82"/>
        <v>0.50765013818815952</v>
      </c>
      <c r="Y100" s="9">
        <f t="shared" si="83"/>
        <v>0.35944708403356029</v>
      </c>
      <c r="Z100" s="2">
        <f t="shared" si="84"/>
        <v>0.43132882721800903</v>
      </c>
      <c r="AA100" s="2">
        <f t="shared" si="85"/>
        <v>0</v>
      </c>
      <c r="AB100" s="2">
        <f t="shared" si="86"/>
        <v>0.86428571428571432</v>
      </c>
      <c r="AC100" s="2">
        <f t="shared" si="87"/>
        <v>0.75154593044406481</v>
      </c>
      <c r="AD100" s="2">
        <f t="shared" si="88"/>
        <v>1.9E-2</v>
      </c>
      <c r="AE100" s="2">
        <f t="shared" si="89"/>
        <v>0.58600000000000008</v>
      </c>
      <c r="AF100" s="45">
        <f t="shared" si="90"/>
        <v>0.44202674532463143</v>
      </c>
      <c r="AH100" s="34">
        <v>0.32537721883751325</v>
      </c>
      <c r="AI100" s="34">
        <f t="shared" si="91"/>
        <v>0.35024140412045457</v>
      </c>
      <c r="AJ100" s="34">
        <f t="shared" si="92"/>
        <v>2.486418528294132E-2</v>
      </c>
      <c r="AK100" s="34">
        <f t="shared" si="93"/>
        <v>2.486418528294132E-2</v>
      </c>
      <c r="AL100" s="41">
        <f t="shared" si="94"/>
        <v>7.6416490901773881E-2</v>
      </c>
      <c r="AN100">
        <f t="shared" si="97"/>
        <v>106</v>
      </c>
      <c r="AO100">
        <f t="shared" si="98"/>
        <v>101</v>
      </c>
      <c r="AP100">
        <f t="shared" si="95"/>
        <v>5</v>
      </c>
      <c r="AQ100">
        <f t="shared" si="96"/>
        <v>5</v>
      </c>
    </row>
    <row r="101" spans="1:43">
      <c r="A101" s="1" t="s">
        <v>70</v>
      </c>
      <c r="B101" s="1" t="s">
        <v>275</v>
      </c>
      <c r="C101" t="e">
        <f>NA()</f>
        <v>#N/A</v>
      </c>
      <c r="D101" s="39">
        <v>-0.99526814960622023</v>
      </c>
      <c r="E101" s="2">
        <v>87.82</v>
      </c>
      <c r="F101" s="41">
        <v>3.7312323887860616E-3</v>
      </c>
      <c r="G101" s="2">
        <v>0.54363844994677402</v>
      </c>
      <c r="H101" s="34">
        <v>0.51791850880222168</v>
      </c>
      <c r="I101" s="34"/>
      <c r="J101" s="35">
        <v>43.070052059927193</v>
      </c>
      <c r="K101" s="35">
        <v>58.155622541179241</v>
      </c>
      <c r="L101">
        <v>0</v>
      </c>
      <c r="M101" s="35">
        <v>-284.43577747753352</v>
      </c>
      <c r="N101">
        <v>0</v>
      </c>
      <c r="O101">
        <v>4.1900000000000004</v>
      </c>
      <c r="Q101" s="1" t="s">
        <v>70</v>
      </c>
      <c r="R101" s="1" t="s">
        <v>275</v>
      </c>
      <c r="S101" s="2" t="e">
        <f t="shared" si="77"/>
        <v>#N/A</v>
      </c>
      <c r="T101" s="2">
        <f t="shared" si="78"/>
        <v>0.59952681496062199</v>
      </c>
      <c r="U101" s="2">
        <f t="shared" si="79"/>
        <v>0.12180000000000002</v>
      </c>
      <c r="V101" s="2">
        <f t="shared" si="80"/>
        <v>7.4624647775721233E-3</v>
      </c>
      <c r="W101" s="2">
        <f t="shared" si="81"/>
        <v>0.54363844994677402</v>
      </c>
      <c r="X101" s="2">
        <f t="shared" si="82"/>
        <v>0.13680248532963046</v>
      </c>
      <c r="Y101" s="9">
        <f t="shared" si="83"/>
        <v>0.28184604300291971</v>
      </c>
      <c r="Z101" s="2">
        <f t="shared" si="84"/>
        <v>0.47242931514181702</v>
      </c>
      <c r="AA101" s="2">
        <f t="shared" si="85"/>
        <v>0.72694528176474049</v>
      </c>
      <c r="AB101" s="2">
        <f t="shared" si="86"/>
        <v>0</v>
      </c>
      <c r="AC101" s="2">
        <f t="shared" si="87"/>
        <v>0</v>
      </c>
      <c r="AD101" s="2">
        <f t="shared" si="88"/>
        <v>0</v>
      </c>
      <c r="AE101" s="2">
        <f t="shared" si="89"/>
        <v>0.16199999999999992</v>
      </c>
      <c r="AF101" s="45">
        <f t="shared" si="90"/>
        <v>0.22689576615109289</v>
      </c>
      <c r="AH101" s="34">
        <v>0.2374925044253442</v>
      </c>
      <c r="AI101" s="34">
        <f t="shared" si="91"/>
        <v>0.24201214051798337</v>
      </c>
      <c r="AJ101" s="34">
        <f t="shared" si="92"/>
        <v>4.5196360926391677E-3</v>
      </c>
      <c r="AK101" s="34">
        <f t="shared" si="93"/>
        <v>4.5196360926391677E-3</v>
      </c>
      <c r="AL101" s="41">
        <f t="shared" si="94"/>
        <v>1.9030647319060616E-2</v>
      </c>
      <c r="AN101">
        <f t="shared" si="97"/>
        <v>48</v>
      </c>
      <c r="AO101">
        <f t="shared" si="98"/>
        <v>41</v>
      </c>
      <c r="AP101">
        <f t="shared" si="95"/>
        <v>7</v>
      </c>
      <c r="AQ101">
        <f t="shared" si="96"/>
        <v>7</v>
      </c>
    </row>
    <row r="102" spans="1:43">
      <c r="A102" s="1" t="s">
        <v>35</v>
      </c>
      <c r="B102" s="1" t="s">
        <v>276</v>
      </c>
      <c r="C102" t="e">
        <f>NA()</f>
        <v>#N/A</v>
      </c>
      <c r="D102" s="39">
        <v>-0.98201965015176607</v>
      </c>
      <c r="E102" s="2">
        <v>9.1199999999999992</v>
      </c>
      <c r="F102" s="41">
        <v>5.0852653445746201E-2</v>
      </c>
      <c r="G102" s="2">
        <v>0.23337274305798114</v>
      </c>
      <c r="H102" s="34">
        <v>0.29565537511972428</v>
      </c>
      <c r="I102" s="34"/>
      <c r="J102" s="35">
        <v>23.286843294406133</v>
      </c>
      <c r="K102" s="35">
        <v>36.800049884140591</v>
      </c>
      <c r="L102">
        <v>19.600000000000001</v>
      </c>
      <c r="M102" s="35">
        <v>2.3093153835072844</v>
      </c>
      <c r="N102">
        <v>1.69</v>
      </c>
      <c r="O102">
        <v>2.69</v>
      </c>
      <c r="Q102" s="1" t="s">
        <v>35</v>
      </c>
      <c r="R102" s="1" t="s">
        <v>276</v>
      </c>
      <c r="S102" s="2" t="e">
        <f t="shared" si="77"/>
        <v>#N/A</v>
      </c>
      <c r="T102" s="2">
        <f t="shared" si="78"/>
        <v>0.59820196501517664</v>
      </c>
      <c r="U102" s="2">
        <f t="shared" si="79"/>
        <v>0.90880000000000005</v>
      </c>
      <c r="V102" s="2">
        <f t="shared" si="80"/>
        <v>0.1017053068914924</v>
      </c>
      <c r="W102" s="2">
        <f t="shared" si="81"/>
        <v>0.23337274305798114</v>
      </c>
      <c r="X102" s="2">
        <f t="shared" si="82"/>
        <v>0.50724104146712623</v>
      </c>
      <c r="Y102" s="9">
        <f t="shared" si="83"/>
        <v>0.46986421128635525</v>
      </c>
      <c r="Z102" s="2">
        <f t="shared" si="84"/>
        <v>0.18981204706294474</v>
      </c>
      <c r="AA102" s="2">
        <f t="shared" si="85"/>
        <v>0.46000062355175741</v>
      </c>
      <c r="AB102" s="2">
        <f t="shared" si="86"/>
        <v>0.28000000000000003</v>
      </c>
      <c r="AC102" s="2">
        <f t="shared" si="87"/>
        <v>1.1546576917536421E-2</v>
      </c>
      <c r="AD102" s="2">
        <f t="shared" si="88"/>
        <v>0.16899999999999998</v>
      </c>
      <c r="AE102" s="2">
        <f t="shared" si="89"/>
        <v>0.46199999999999997</v>
      </c>
      <c r="AF102" s="45">
        <f t="shared" si="90"/>
        <v>0.26205987458870644</v>
      </c>
      <c r="AH102" s="34">
        <v>0.27299332759444578</v>
      </c>
      <c r="AI102" s="34">
        <f t="shared" si="91"/>
        <v>0.29924343332087755</v>
      </c>
      <c r="AJ102" s="34">
        <f t="shared" si="92"/>
        <v>2.6250105726431772E-2</v>
      </c>
      <c r="AK102" s="34">
        <f t="shared" si="93"/>
        <v>2.6250105726431772E-2</v>
      </c>
      <c r="AL102" s="41">
        <f t="shared" si="94"/>
        <v>9.6156583597634598E-2</v>
      </c>
      <c r="AN102">
        <f t="shared" si="97"/>
        <v>79</v>
      </c>
      <c r="AO102">
        <f t="shared" si="98"/>
        <v>71</v>
      </c>
      <c r="AP102">
        <f t="shared" si="95"/>
        <v>8</v>
      </c>
      <c r="AQ102">
        <f t="shared" si="96"/>
        <v>8</v>
      </c>
    </row>
    <row r="103" spans="1:43">
      <c r="A103" s="1" t="s">
        <v>92</v>
      </c>
      <c r="B103" s="1" t="s">
        <v>277</v>
      </c>
      <c r="C103" t="e">
        <f>NA()</f>
        <v>#N/A</v>
      </c>
      <c r="D103" s="39">
        <v>2.5395763807190983</v>
      </c>
      <c r="E103" s="2">
        <v>14.18</v>
      </c>
      <c r="F103" s="41" t="e">
        <v>#N/A</v>
      </c>
      <c r="G103" s="2">
        <v>0.42025637706366414</v>
      </c>
      <c r="H103" s="34">
        <v>0.16200294527108183</v>
      </c>
      <c r="I103" s="34"/>
      <c r="J103" s="35">
        <v>14.491084849412999</v>
      </c>
      <c r="K103" s="35">
        <v>15.900019559262155</v>
      </c>
      <c r="L103">
        <v>0</v>
      </c>
      <c r="M103" s="35">
        <v>19.777398963548379</v>
      </c>
      <c r="N103">
        <v>3.65</v>
      </c>
      <c r="O103">
        <v>2.66</v>
      </c>
      <c r="Q103" s="1" t="s">
        <v>92</v>
      </c>
      <c r="R103" s="1" t="s">
        <v>277</v>
      </c>
      <c r="S103" s="2" t="e">
        <f t="shared" si="77"/>
        <v>#N/A</v>
      </c>
      <c r="T103" s="2">
        <f t="shared" si="78"/>
        <v>0.24604236192809015</v>
      </c>
      <c r="U103" s="2">
        <f t="shared" si="79"/>
        <v>0.85819999999999996</v>
      </c>
      <c r="V103" s="2" t="e">
        <f t="shared" si="80"/>
        <v>#N/A</v>
      </c>
      <c r="W103" s="2">
        <f t="shared" si="81"/>
        <v>0.42025637706366414</v>
      </c>
      <c r="X103" s="2">
        <f t="shared" si="82"/>
        <v>0.72999509121486361</v>
      </c>
      <c r="Y103" s="9">
        <f t="shared" si="83"/>
        <v>0.56362345755165455</v>
      </c>
      <c r="Z103" s="2">
        <f t="shared" si="84"/>
        <v>6.4158354991614278E-2</v>
      </c>
      <c r="AA103" s="2">
        <f t="shared" si="85"/>
        <v>0.19875024449077694</v>
      </c>
      <c r="AB103" s="2">
        <f t="shared" si="86"/>
        <v>0</v>
      </c>
      <c r="AC103" s="2">
        <f t="shared" si="87"/>
        <v>9.8886994817741894E-2</v>
      </c>
      <c r="AD103" s="2">
        <f t="shared" si="88"/>
        <v>0.36499999999999999</v>
      </c>
      <c r="AE103" s="2">
        <f t="shared" si="89"/>
        <v>0.46799999999999997</v>
      </c>
      <c r="AF103" s="45">
        <f t="shared" si="90"/>
        <v>0.1991325990500222</v>
      </c>
      <c r="AH103" s="34">
        <v>0.24173291452893006</v>
      </c>
      <c r="AI103" s="34">
        <f t="shared" si="91"/>
        <v>0.28041436659293506</v>
      </c>
      <c r="AJ103" s="34">
        <f t="shared" si="92"/>
        <v>3.8681452064005001E-2</v>
      </c>
      <c r="AK103" s="34">
        <f t="shared" si="93"/>
        <v>3.8681452064005001E-2</v>
      </c>
      <c r="AL103" s="41">
        <f t="shared" si="94"/>
        <v>0.16001731555416998</v>
      </c>
      <c r="AN103">
        <f t="shared" si="97"/>
        <v>50</v>
      </c>
      <c r="AO103">
        <f t="shared" si="98"/>
        <v>55</v>
      </c>
      <c r="AP103">
        <f t="shared" si="95"/>
        <v>-5</v>
      </c>
      <c r="AQ103">
        <f t="shared" si="96"/>
        <v>5</v>
      </c>
    </row>
    <row r="104" spans="1:43">
      <c r="A104" s="1" t="s">
        <v>176</v>
      </c>
      <c r="B104" s="1" t="s">
        <v>278</v>
      </c>
      <c r="C104" t="e">
        <f>NA()</f>
        <v>#N/A</v>
      </c>
      <c r="D104" s="39">
        <v>-0.37171836996131313</v>
      </c>
      <c r="E104" s="2">
        <v>67.180000000000007</v>
      </c>
      <c r="F104" s="41">
        <v>0.25625569396732634</v>
      </c>
      <c r="G104" s="2">
        <v>0.53069979347275653</v>
      </c>
      <c r="H104" s="34">
        <v>0.27528227794452897</v>
      </c>
      <c r="I104" s="34"/>
      <c r="J104" s="35">
        <v>39.175242560937939</v>
      </c>
      <c r="K104" s="35">
        <v>34.541310624443831</v>
      </c>
      <c r="L104">
        <v>54.7</v>
      </c>
      <c r="M104" s="35">
        <v>51.787429157161625</v>
      </c>
      <c r="N104">
        <v>6.35</v>
      </c>
      <c r="O104">
        <v>2.14</v>
      </c>
      <c r="Q104" s="1" t="s">
        <v>176</v>
      </c>
      <c r="R104" s="1" t="s">
        <v>278</v>
      </c>
      <c r="S104" s="2" t="e">
        <f t="shared" si="77"/>
        <v>#N/A</v>
      </c>
      <c r="T104" s="2">
        <f t="shared" si="78"/>
        <v>0.53717183699613125</v>
      </c>
      <c r="U104" s="2">
        <f t="shared" si="79"/>
        <v>0.32819999999999994</v>
      </c>
      <c r="V104" s="2">
        <f t="shared" si="80"/>
        <v>0.51251138793465267</v>
      </c>
      <c r="W104" s="2">
        <f t="shared" si="81"/>
        <v>0.53069979347275653</v>
      </c>
      <c r="X104" s="2">
        <f t="shared" si="82"/>
        <v>0.54119620342578501</v>
      </c>
      <c r="Y104" s="9">
        <f t="shared" si="83"/>
        <v>0.48995584436586509</v>
      </c>
      <c r="Z104" s="2">
        <f t="shared" si="84"/>
        <v>0.41678917944197053</v>
      </c>
      <c r="AA104" s="2">
        <f t="shared" si="85"/>
        <v>0.43176638280554791</v>
      </c>
      <c r="AB104" s="2">
        <f t="shared" si="86"/>
        <v>0.78142857142857147</v>
      </c>
      <c r="AC104" s="2">
        <f t="shared" si="87"/>
        <v>0.25893714578580812</v>
      </c>
      <c r="AD104" s="2">
        <f t="shared" si="88"/>
        <v>0.63500000000000001</v>
      </c>
      <c r="AE104" s="2">
        <f t="shared" si="89"/>
        <v>0.57199999999999995</v>
      </c>
      <c r="AF104" s="45">
        <f t="shared" si="90"/>
        <v>0.51598687991031633</v>
      </c>
      <c r="AH104" s="34">
        <v>0.48753151317289084</v>
      </c>
      <c r="AI104" s="34">
        <f t="shared" si="91"/>
        <v>0.49275590906973149</v>
      </c>
      <c r="AJ104" s="34">
        <f t="shared" si="92"/>
        <v>5.2243958968406501E-3</v>
      </c>
      <c r="AK104" s="34">
        <f t="shared" si="93"/>
        <v>5.2243958968406501E-3</v>
      </c>
      <c r="AL104" s="41">
        <f t="shared" si="94"/>
        <v>1.0716016822871405E-2</v>
      </c>
      <c r="AN104">
        <f t="shared" si="97"/>
        <v>162</v>
      </c>
      <c r="AO104">
        <f t="shared" si="98"/>
        <v>149</v>
      </c>
      <c r="AP104">
        <f t="shared" si="95"/>
        <v>13</v>
      </c>
      <c r="AQ104">
        <f t="shared" si="96"/>
        <v>13</v>
      </c>
    </row>
    <row r="105" spans="1:43">
      <c r="A105" s="1" t="s">
        <v>124</v>
      </c>
      <c r="B105" s="1" t="s">
        <v>279</v>
      </c>
      <c r="C105" t="e">
        <f>NA()</f>
        <v>#N/A</v>
      </c>
      <c r="D105" s="39" t="e">
        <v>#N/A</v>
      </c>
      <c r="E105" s="2">
        <v>100</v>
      </c>
      <c r="F105" s="41" t="e">
        <v>#N/A</v>
      </c>
      <c r="G105" s="2">
        <v>0.43287988513706049</v>
      </c>
      <c r="H105" s="34">
        <v>4.8600883581324528E-2</v>
      </c>
      <c r="I105" s="34"/>
      <c r="J105" s="35">
        <v>99.701630473430228</v>
      </c>
      <c r="K105" s="35">
        <v>0</v>
      </c>
      <c r="L105" t="e">
        <v>#N/A</v>
      </c>
      <c r="M105" s="35">
        <v>11.83487541928576</v>
      </c>
      <c r="N105" t="e">
        <v>#N/A</v>
      </c>
      <c r="O105" t="e">
        <v>#N/A</v>
      </c>
      <c r="Q105" s="1" t="s">
        <v>124</v>
      </c>
      <c r="R105" s="1" t="s">
        <v>279</v>
      </c>
      <c r="S105" s="2" t="e">
        <f t="shared" si="77"/>
        <v>#N/A</v>
      </c>
      <c r="T105" s="2" t="e">
        <f t="shared" si="78"/>
        <v>#N/A</v>
      </c>
      <c r="U105" s="2">
        <f t="shared" si="79"/>
        <v>0</v>
      </c>
      <c r="V105" s="2" t="e">
        <f t="shared" si="80"/>
        <v>#N/A</v>
      </c>
      <c r="W105" s="2">
        <f t="shared" si="81"/>
        <v>0.43287988513706049</v>
      </c>
      <c r="X105" s="2">
        <f t="shared" si="82"/>
        <v>0.91899852736445908</v>
      </c>
      <c r="Y105" s="9">
        <f t="shared" si="83"/>
        <v>0.45062613750050651</v>
      </c>
      <c r="Z105" s="2">
        <f t="shared" si="84"/>
        <v>1</v>
      </c>
      <c r="AA105" s="2">
        <f t="shared" si="85"/>
        <v>0</v>
      </c>
      <c r="AB105" s="2" t="e">
        <f t="shared" si="86"/>
        <v>#N/A</v>
      </c>
      <c r="AC105" s="2">
        <f t="shared" si="87"/>
        <v>5.9174377096428803E-2</v>
      </c>
      <c r="AD105" s="2" t="e">
        <f t="shared" si="88"/>
        <v>#N/A</v>
      </c>
      <c r="AE105" s="2" t="e">
        <f t="shared" si="89"/>
        <v>#N/A</v>
      </c>
      <c r="AF105" s="45" t="e">
        <f t="shared" si="90"/>
        <v>#N/A</v>
      </c>
      <c r="AH105" s="34">
        <v>0.44983001241499637</v>
      </c>
      <c r="AI105" s="34" t="e">
        <f t="shared" si="91"/>
        <v>#N/A</v>
      </c>
      <c r="AJ105" s="34" t="e">
        <f t="shared" si="92"/>
        <v>#N/A</v>
      </c>
      <c r="AK105" s="34" t="e">
        <f t="shared" si="93"/>
        <v>#N/A</v>
      </c>
      <c r="AL105" s="41" t="e">
        <f t="shared" si="94"/>
        <v>#N/A</v>
      </c>
      <c r="AN105">
        <f t="shared" si="97"/>
        <v>147</v>
      </c>
      <c r="AO105" t="e">
        <f t="shared" si="98"/>
        <v>#VALUE!</v>
      </c>
      <c r="AP105" t="e">
        <f t="shared" si="95"/>
        <v>#VALUE!</v>
      </c>
      <c r="AQ105" t="e">
        <f t="shared" si="96"/>
        <v>#VALUE!</v>
      </c>
    </row>
    <row r="106" spans="1:43">
      <c r="A106" s="1" t="s">
        <v>76</v>
      </c>
      <c r="B106" s="1" t="s">
        <v>280</v>
      </c>
      <c r="C106" t="e">
        <f>NA()</f>
        <v>#N/A</v>
      </c>
      <c r="D106" s="39">
        <v>-2.1168619665314803E-2</v>
      </c>
      <c r="E106" s="2">
        <v>14</v>
      </c>
      <c r="F106" s="41" t="e">
        <v>#N/A</v>
      </c>
      <c r="G106" s="2">
        <v>0.29669559415063246</v>
      </c>
      <c r="H106" s="34">
        <v>0</v>
      </c>
      <c r="I106" s="34"/>
      <c r="J106" s="35">
        <v>18.354865821787605</v>
      </c>
      <c r="K106" s="35">
        <v>27.250092992103379</v>
      </c>
      <c r="L106" t="e">
        <v>#N/A</v>
      </c>
      <c r="M106" s="35">
        <v>128.02377092648362</v>
      </c>
      <c r="N106" t="e">
        <v>#N/A</v>
      </c>
      <c r="O106" t="e">
        <v>#N/A</v>
      </c>
      <c r="Q106" s="1" t="s">
        <v>76</v>
      </c>
      <c r="R106" s="1" t="s">
        <v>280</v>
      </c>
      <c r="S106" s="2" t="e">
        <f t="shared" si="77"/>
        <v>#N/A</v>
      </c>
      <c r="T106" s="2">
        <f t="shared" si="78"/>
        <v>0.50211686196653149</v>
      </c>
      <c r="U106" s="2">
        <f t="shared" si="79"/>
        <v>0.86</v>
      </c>
      <c r="V106" s="2" t="e">
        <f t="shared" si="80"/>
        <v>#N/A</v>
      </c>
      <c r="W106" s="2">
        <f t="shared" si="81"/>
        <v>0.29669559415063246</v>
      </c>
      <c r="X106" s="2">
        <f t="shared" si="82"/>
        <v>1</v>
      </c>
      <c r="Y106" s="9">
        <f t="shared" si="83"/>
        <v>0.66470311402929094</v>
      </c>
      <c r="Z106" s="2">
        <f t="shared" si="84"/>
        <v>0.11935522602553722</v>
      </c>
      <c r="AA106" s="2">
        <f t="shared" si="85"/>
        <v>0.34062616240129223</v>
      </c>
      <c r="AB106" s="2" t="e">
        <f t="shared" si="86"/>
        <v>#N/A</v>
      </c>
      <c r="AC106" s="2">
        <f t="shared" si="87"/>
        <v>0.64011885463241813</v>
      </c>
      <c r="AD106" s="2" t="e">
        <f t="shared" si="88"/>
        <v>#N/A</v>
      </c>
      <c r="AE106" s="2" t="e">
        <f t="shared" si="89"/>
        <v>#N/A</v>
      </c>
      <c r="AF106" s="45" t="e">
        <f t="shared" si="90"/>
        <v>#N/A</v>
      </c>
      <c r="AH106" s="34">
        <v>0.42316842721101028</v>
      </c>
      <c r="AI106" s="34" t="e">
        <f t="shared" si="91"/>
        <v>#N/A</v>
      </c>
      <c r="AJ106" s="34" t="e">
        <f t="shared" si="92"/>
        <v>#N/A</v>
      </c>
      <c r="AK106" s="34" t="e">
        <f t="shared" si="93"/>
        <v>#N/A</v>
      </c>
      <c r="AL106" s="41" t="e">
        <f t="shared" si="94"/>
        <v>#N/A</v>
      </c>
      <c r="AN106">
        <f t="shared" si="97"/>
        <v>133</v>
      </c>
      <c r="AO106" t="e">
        <f t="shared" si="98"/>
        <v>#VALUE!</v>
      </c>
      <c r="AP106" t="e">
        <f t="shared" si="95"/>
        <v>#VALUE!</v>
      </c>
      <c r="AQ106" t="e">
        <f t="shared" si="96"/>
        <v>#VALUE!</v>
      </c>
    </row>
    <row r="107" spans="1:43">
      <c r="A107" s="1" t="s">
        <v>31</v>
      </c>
      <c r="B107" s="1" t="s">
        <v>281</v>
      </c>
      <c r="C107" t="e">
        <f>NA()</f>
        <v>#N/A</v>
      </c>
      <c r="D107" s="39">
        <v>-1.3618239800224461</v>
      </c>
      <c r="E107" s="2">
        <v>34.24</v>
      </c>
      <c r="F107" s="41">
        <v>1.0538778268307271E-2</v>
      </c>
      <c r="G107" s="2">
        <v>0.38332352371783512</v>
      </c>
      <c r="H107" s="34">
        <v>0</v>
      </c>
      <c r="I107" s="34"/>
      <c r="J107" s="35">
        <v>24.414321001533274</v>
      </c>
      <c r="K107" s="35">
        <v>52.51911749632994</v>
      </c>
      <c r="L107">
        <v>0</v>
      </c>
      <c r="M107" s="35">
        <v>102.57233005892543</v>
      </c>
      <c r="N107">
        <v>0</v>
      </c>
      <c r="O107">
        <v>3.62</v>
      </c>
      <c r="Q107" s="1" t="s">
        <v>31</v>
      </c>
      <c r="R107" s="1" t="s">
        <v>281</v>
      </c>
      <c r="S107" s="2" t="e">
        <f t="shared" si="77"/>
        <v>#N/A</v>
      </c>
      <c r="T107" s="2">
        <f t="shared" si="78"/>
        <v>0.63618239800224463</v>
      </c>
      <c r="U107" s="2">
        <f t="shared" si="79"/>
        <v>0.65759999999999996</v>
      </c>
      <c r="V107" s="2">
        <f t="shared" si="80"/>
        <v>2.1077556536614542E-2</v>
      </c>
      <c r="W107" s="2">
        <f t="shared" si="81"/>
        <v>0.38332352371783512</v>
      </c>
      <c r="X107" s="2">
        <f t="shared" si="82"/>
        <v>1</v>
      </c>
      <c r="Y107" s="9">
        <f t="shared" si="83"/>
        <v>0.53963669565133887</v>
      </c>
      <c r="Z107" s="2">
        <f t="shared" si="84"/>
        <v>0.20591887145047535</v>
      </c>
      <c r="AA107" s="2">
        <f t="shared" si="85"/>
        <v>0.65648896870412421</v>
      </c>
      <c r="AB107" s="2">
        <f t="shared" si="86"/>
        <v>0</v>
      </c>
      <c r="AC107" s="2">
        <f t="shared" si="87"/>
        <v>0.51286165029462716</v>
      </c>
      <c r="AD107" s="2">
        <f t="shared" si="88"/>
        <v>0</v>
      </c>
      <c r="AE107" s="2">
        <f t="shared" si="89"/>
        <v>0.27600000000000002</v>
      </c>
      <c r="AF107" s="45">
        <f t="shared" si="90"/>
        <v>0.27521158174153781</v>
      </c>
      <c r="AH107" s="34">
        <v>0.28549453232003358</v>
      </c>
      <c r="AI107" s="34">
        <f t="shared" si="91"/>
        <v>0.32003776412533508</v>
      </c>
      <c r="AJ107" s="34">
        <f t="shared" si="92"/>
        <v>3.45432318053015E-2</v>
      </c>
      <c r="AK107" s="34">
        <f t="shared" si="93"/>
        <v>3.45432318053015E-2</v>
      </c>
      <c r="AL107" s="41">
        <f t="shared" si="94"/>
        <v>0.1209943725527438</v>
      </c>
      <c r="AN107">
        <f t="shared" si="97"/>
        <v>86</v>
      </c>
      <c r="AO107">
        <f t="shared" si="98"/>
        <v>85</v>
      </c>
      <c r="AP107">
        <f t="shared" si="95"/>
        <v>1</v>
      </c>
      <c r="AQ107">
        <f t="shared" si="96"/>
        <v>1</v>
      </c>
    </row>
    <row r="108" spans="1:43">
      <c r="A108" s="1" t="s">
        <v>3</v>
      </c>
      <c r="B108" s="1" t="s">
        <v>282</v>
      </c>
      <c r="C108" t="e">
        <f>NA()</f>
        <v>#N/A</v>
      </c>
      <c r="D108" s="39">
        <v>-1.4018044540792058</v>
      </c>
      <c r="E108" s="2">
        <v>9.35</v>
      </c>
      <c r="F108" s="41">
        <v>3.367407990438975E-3</v>
      </c>
      <c r="G108" s="2">
        <v>0.38066850967312543</v>
      </c>
      <c r="H108" s="34">
        <v>0.21465390248418337</v>
      </c>
      <c r="I108" s="34"/>
      <c r="J108" s="35">
        <v>85.609049183567805</v>
      </c>
      <c r="K108" s="35">
        <v>17.500011028013628</v>
      </c>
      <c r="L108">
        <v>0</v>
      </c>
      <c r="M108" s="35">
        <v>0.60484575154967735</v>
      </c>
      <c r="N108">
        <v>0</v>
      </c>
      <c r="O108">
        <v>3.33</v>
      </c>
      <c r="Q108" s="1" t="s">
        <v>3</v>
      </c>
      <c r="R108" s="1" t="s">
        <v>282</v>
      </c>
      <c r="S108" s="2" t="e">
        <f t="shared" si="77"/>
        <v>#N/A</v>
      </c>
      <c r="T108" s="2">
        <f t="shared" si="78"/>
        <v>0.64018044540792052</v>
      </c>
      <c r="U108" s="2">
        <f t="shared" si="79"/>
        <v>0.90649999999999997</v>
      </c>
      <c r="V108" s="2">
        <f t="shared" si="80"/>
        <v>6.7348159808779499E-3</v>
      </c>
      <c r="W108" s="2">
        <f t="shared" si="81"/>
        <v>0.38066850967312543</v>
      </c>
      <c r="X108" s="2">
        <f t="shared" si="82"/>
        <v>0.64224349585969431</v>
      </c>
      <c r="Y108" s="9">
        <f t="shared" si="83"/>
        <v>0.51526545338432361</v>
      </c>
      <c r="Z108" s="2">
        <f t="shared" si="84"/>
        <v>1</v>
      </c>
      <c r="AA108" s="2">
        <f t="shared" si="85"/>
        <v>0.21875013785017033</v>
      </c>
      <c r="AB108" s="2">
        <f t="shared" si="86"/>
        <v>0</v>
      </c>
      <c r="AC108" s="2">
        <f t="shared" si="87"/>
        <v>3.0242287577483869E-3</v>
      </c>
      <c r="AD108" s="2">
        <f t="shared" si="88"/>
        <v>0</v>
      </c>
      <c r="AE108" s="2">
        <f t="shared" si="89"/>
        <v>0.33399999999999996</v>
      </c>
      <c r="AF108" s="45">
        <f t="shared" si="90"/>
        <v>0.25929572776798643</v>
      </c>
      <c r="AH108" s="34">
        <v>0.26046936365828072</v>
      </c>
      <c r="AI108" s="34">
        <f t="shared" si="91"/>
        <v>0.29666761032366501</v>
      </c>
      <c r="AJ108" s="34">
        <f t="shared" si="92"/>
        <v>3.6198246665384293E-2</v>
      </c>
      <c r="AK108" s="34">
        <f t="shared" si="93"/>
        <v>3.6198246665384293E-2</v>
      </c>
      <c r="AL108" s="41">
        <f t="shared" si="94"/>
        <v>0.13897314508309735</v>
      </c>
      <c r="AN108">
        <f t="shared" si="97"/>
        <v>67</v>
      </c>
      <c r="AO108">
        <f t="shared" si="98"/>
        <v>69</v>
      </c>
      <c r="AP108">
        <f t="shared" si="95"/>
        <v>-2</v>
      </c>
      <c r="AQ108">
        <f t="shared" si="96"/>
        <v>2</v>
      </c>
    </row>
    <row r="109" spans="1:43">
      <c r="A109" s="1" t="s">
        <v>144</v>
      </c>
      <c r="B109" s="1" t="s">
        <v>283</v>
      </c>
      <c r="C109" t="e">
        <f>NA()</f>
        <v>#N/A</v>
      </c>
      <c r="D109" s="39">
        <v>0.50471915983452986</v>
      </c>
      <c r="E109" s="2">
        <v>23.29</v>
      </c>
      <c r="F109" s="41">
        <v>0.27674761006103521</v>
      </c>
      <c r="G109" s="2">
        <v>0.55788704965697</v>
      </c>
      <c r="H109" s="34">
        <v>7.2901325371986792E-2</v>
      </c>
      <c r="I109" s="34"/>
      <c r="J109" s="35">
        <v>43.981841305437626</v>
      </c>
      <c r="K109" s="35">
        <v>23.300018397481018</v>
      </c>
      <c r="L109">
        <v>0</v>
      </c>
      <c r="M109" s="35">
        <v>53.431144945541519</v>
      </c>
      <c r="N109">
        <v>10.48</v>
      </c>
      <c r="O109">
        <v>2.09</v>
      </c>
      <c r="Q109" s="1" t="s">
        <v>144</v>
      </c>
      <c r="R109" s="1" t="s">
        <v>283</v>
      </c>
      <c r="S109" s="2" t="e">
        <f t="shared" si="77"/>
        <v>#N/A</v>
      </c>
      <c r="T109" s="2">
        <f t="shared" si="78"/>
        <v>0.44952808401654698</v>
      </c>
      <c r="U109" s="2">
        <f t="shared" si="79"/>
        <v>0.7671</v>
      </c>
      <c r="V109" s="2">
        <f t="shared" si="80"/>
        <v>0.55349522012207042</v>
      </c>
      <c r="W109" s="2">
        <f t="shared" si="81"/>
        <v>0.55788704965697</v>
      </c>
      <c r="X109" s="2">
        <f t="shared" si="82"/>
        <v>0.87849779104668868</v>
      </c>
      <c r="Y109" s="9">
        <f t="shared" si="83"/>
        <v>0.64130162896845522</v>
      </c>
      <c r="Z109" s="2">
        <f t="shared" si="84"/>
        <v>0.48545487579196611</v>
      </c>
      <c r="AA109" s="2">
        <f t="shared" si="85"/>
        <v>0.29125022996851274</v>
      </c>
      <c r="AB109" s="2">
        <f t="shared" si="86"/>
        <v>0</v>
      </c>
      <c r="AC109" s="2">
        <f t="shared" si="87"/>
        <v>0.2671557247277076</v>
      </c>
      <c r="AD109" s="2">
        <f t="shared" si="88"/>
        <v>1</v>
      </c>
      <c r="AE109" s="2">
        <f t="shared" si="89"/>
        <v>0.58200000000000007</v>
      </c>
      <c r="AF109" s="45">
        <f t="shared" si="90"/>
        <v>0.43764347174803103</v>
      </c>
      <c r="AH109" s="34">
        <v>0.2630550444538382</v>
      </c>
      <c r="AI109" s="34">
        <f t="shared" si="91"/>
        <v>0.34701971549207372</v>
      </c>
      <c r="AJ109" s="34">
        <f t="shared" si="92"/>
        <v>8.3964671038235517E-2</v>
      </c>
      <c r="AK109" s="34">
        <f t="shared" si="93"/>
        <v>8.3964671038235517E-2</v>
      </c>
      <c r="AL109" s="41">
        <f t="shared" si="94"/>
        <v>0.31919049951148121</v>
      </c>
      <c r="AN109">
        <f t="shared" si="97"/>
        <v>73</v>
      </c>
      <c r="AO109">
        <f t="shared" si="98"/>
        <v>97</v>
      </c>
      <c r="AP109">
        <f t="shared" si="95"/>
        <v>-24</v>
      </c>
      <c r="AQ109">
        <f t="shared" si="96"/>
        <v>24</v>
      </c>
    </row>
    <row r="110" spans="1:43">
      <c r="A110" s="1" t="s">
        <v>154</v>
      </c>
      <c r="B110" s="1" t="s">
        <v>284</v>
      </c>
      <c r="C110" t="e">
        <f>NA()</f>
        <v>#N/A</v>
      </c>
      <c r="D110" s="39">
        <v>0.41568301118450179</v>
      </c>
      <c r="E110" s="2">
        <v>94</v>
      </c>
      <c r="F110" s="41">
        <v>0.55086740748363594</v>
      </c>
      <c r="G110" s="2">
        <v>0.64000586474508214</v>
      </c>
      <c r="H110" s="34">
        <v>0</v>
      </c>
      <c r="I110" s="34"/>
      <c r="J110" s="35">
        <v>40.38826877124103</v>
      </c>
      <c r="K110" s="35">
        <v>53.000059751627745</v>
      </c>
      <c r="L110">
        <v>79.3</v>
      </c>
      <c r="M110" s="35">
        <v>246.70287923259849</v>
      </c>
      <c r="N110">
        <v>4.34</v>
      </c>
      <c r="O110">
        <v>1.95</v>
      </c>
      <c r="Q110" s="1" t="s">
        <v>154</v>
      </c>
      <c r="R110" s="1" t="s">
        <v>284</v>
      </c>
      <c r="S110" s="2" t="e">
        <f t="shared" si="77"/>
        <v>#N/A</v>
      </c>
      <c r="T110" s="2">
        <f t="shared" si="78"/>
        <v>0.45843169888154978</v>
      </c>
      <c r="U110" s="2">
        <f t="shared" si="79"/>
        <v>6.0000000000000053E-2</v>
      </c>
      <c r="V110" s="2">
        <f t="shared" si="80"/>
        <v>1</v>
      </c>
      <c r="W110" s="2">
        <f t="shared" si="81"/>
        <v>0.64000586474508214</v>
      </c>
      <c r="X110" s="2">
        <f t="shared" si="82"/>
        <v>1</v>
      </c>
      <c r="Y110" s="9">
        <f t="shared" si="83"/>
        <v>0.63168751272532631</v>
      </c>
      <c r="Z110" s="2">
        <f t="shared" si="84"/>
        <v>0.43411812530344329</v>
      </c>
      <c r="AA110" s="2">
        <f t="shared" si="85"/>
        <v>0.66250074689534677</v>
      </c>
      <c r="AB110" s="2">
        <f t="shared" si="86"/>
        <v>1</v>
      </c>
      <c r="AC110" s="2">
        <f t="shared" si="87"/>
        <v>1</v>
      </c>
      <c r="AD110" s="2">
        <f t="shared" si="88"/>
        <v>0.434</v>
      </c>
      <c r="AE110" s="2">
        <f t="shared" si="89"/>
        <v>0.61</v>
      </c>
      <c r="AF110" s="45">
        <f t="shared" si="90"/>
        <v>0.69010314536646511</v>
      </c>
      <c r="AH110" s="34">
        <v>0.43804845516943286</v>
      </c>
      <c r="AI110" s="34">
        <f t="shared" si="91"/>
        <v>0.50892055313976603</v>
      </c>
      <c r="AJ110" s="34">
        <f t="shared" si="92"/>
        <v>7.087209797033317E-2</v>
      </c>
      <c r="AK110" s="34">
        <f t="shared" si="93"/>
        <v>7.087209797033317E-2</v>
      </c>
      <c r="AL110" s="41">
        <f t="shared" si="94"/>
        <v>0.16179054425136721</v>
      </c>
      <c r="AN110">
        <f t="shared" si="97"/>
        <v>141</v>
      </c>
      <c r="AO110">
        <f t="shared" si="98"/>
        <v>158</v>
      </c>
      <c r="AP110">
        <f t="shared" si="95"/>
        <v>-17</v>
      </c>
      <c r="AQ110">
        <f t="shared" si="96"/>
        <v>17</v>
      </c>
    </row>
    <row r="111" spans="1:43">
      <c r="A111" s="1" t="s">
        <v>61</v>
      </c>
      <c r="B111" s="1" t="s">
        <v>285</v>
      </c>
      <c r="C111" t="e">
        <f>NA()</f>
        <v>#N/A</v>
      </c>
      <c r="D111" s="39">
        <v>2.858617187401892</v>
      </c>
      <c r="E111" s="2">
        <v>100</v>
      </c>
      <c r="F111" s="41">
        <v>6.057624595305449E-2</v>
      </c>
      <c r="G111" s="2">
        <v>4.6536076891681655E-2</v>
      </c>
      <c r="H111" s="34">
        <v>0.27945508059261615</v>
      </c>
      <c r="I111" s="34"/>
      <c r="J111" s="35">
        <v>46.238491720204955</v>
      </c>
      <c r="K111" s="35">
        <v>0</v>
      </c>
      <c r="L111">
        <v>0</v>
      </c>
      <c r="M111" s="35">
        <v>-11.070415617353904</v>
      </c>
      <c r="N111">
        <v>1.1000000000000001</v>
      </c>
      <c r="O111">
        <v>2.88</v>
      </c>
      <c r="Q111" s="1" t="s">
        <v>61</v>
      </c>
      <c r="R111" s="1" t="s">
        <v>285</v>
      </c>
      <c r="S111" s="2" t="e">
        <f t="shared" si="77"/>
        <v>#N/A</v>
      </c>
      <c r="T111" s="2">
        <f t="shared" si="78"/>
        <v>0.21413828125981083</v>
      </c>
      <c r="U111" s="2">
        <f t="shared" si="79"/>
        <v>0</v>
      </c>
      <c r="V111" s="2">
        <f t="shared" si="80"/>
        <v>0.12115249190610898</v>
      </c>
      <c r="W111" s="2">
        <f t="shared" si="81"/>
        <v>4.6536076891681655E-2</v>
      </c>
      <c r="X111" s="2">
        <f t="shared" si="82"/>
        <v>0.53424153234563976</v>
      </c>
      <c r="Y111" s="9">
        <f t="shared" si="83"/>
        <v>0.18321367648064824</v>
      </c>
      <c r="Z111" s="2">
        <f t="shared" si="84"/>
        <v>0.51769273886007083</v>
      </c>
      <c r="AA111" s="2">
        <f t="shared" si="85"/>
        <v>0</v>
      </c>
      <c r="AB111" s="2">
        <f t="shared" si="86"/>
        <v>0</v>
      </c>
      <c r="AC111" s="2">
        <f t="shared" si="87"/>
        <v>0</v>
      </c>
      <c r="AD111" s="2">
        <f t="shared" si="88"/>
        <v>0.11000000000000001</v>
      </c>
      <c r="AE111" s="2">
        <f t="shared" si="89"/>
        <v>0.42400000000000004</v>
      </c>
      <c r="AF111" s="45">
        <f t="shared" si="90"/>
        <v>0.17528212314334515</v>
      </c>
      <c r="AH111" s="34">
        <v>0.2265488151917576</v>
      </c>
      <c r="AI111" s="34">
        <f t="shared" si="91"/>
        <v>0.21156950531044272</v>
      </c>
      <c r="AJ111" s="34">
        <f t="shared" si="92"/>
        <v>-1.4979309881314878E-2</v>
      </c>
      <c r="AK111" s="34">
        <f t="shared" si="93"/>
        <v>1.4979309881314878E-2</v>
      </c>
      <c r="AL111" s="41">
        <f t="shared" si="94"/>
        <v>6.6119568396930034E-2</v>
      </c>
      <c r="AN111">
        <f t="shared" si="97"/>
        <v>43</v>
      </c>
      <c r="AO111">
        <f t="shared" si="98"/>
        <v>29</v>
      </c>
      <c r="AP111">
        <f t="shared" si="95"/>
        <v>14</v>
      </c>
      <c r="AQ111">
        <f t="shared" si="96"/>
        <v>14</v>
      </c>
    </row>
    <row r="112" spans="1:43">
      <c r="A112" s="1" t="s">
        <v>20</v>
      </c>
      <c r="B112" s="1" t="s">
        <v>286</v>
      </c>
      <c r="C112" t="e">
        <f>NA()</f>
        <v>#N/A</v>
      </c>
      <c r="D112" s="39">
        <v>-1.0721818041312203</v>
      </c>
      <c r="E112" s="2">
        <v>2.76</v>
      </c>
      <c r="F112" s="41" t="e">
        <v>#N/A</v>
      </c>
      <c r="G112" s="2">
        <v>0.23093430695061976</v>
      </c>
      <c r="H112" s="34">
        <v>0.32793323515763062</v>
      </c>
      <c r="I112" s="34"/>
      <c r="J112" s="35">
        <v>52.543296045944054</v>
      </c>
      <c r="K112" s="35">
        <v>48.580001189219409</v>
      </c>
      <c r="L112">
        <v>53.1</v>
      </c>
      <c r="M112" s="35">
        <v>18.952203399077661</v>
      </c>
      <c r="N112">
        <v>9.35</v>
      </c>
      <c r="O112">
        <v>3.05</v>
      </c>
      <c r="Q112" s="1" t="s">
        <v>20</v>
      </c>
      <c r="R112" s="1" t="s">
        <v>286</v>
      </c>
      <c r="S112" s="2" t="e">
        <f t="shared" si="77"/>
        <v>#N/A</v>
      </c>
      <c r="T112" s="2">
        <f t="shared" si="78"/>
        <v>0.60721818041312203</v>
      </c>
      <c r="U112" s="2">
        <f t="shared" si="79"/>
        <v>0.97240000000000004</v>
      </c>
      <c r="V112" s="2" t="e">
        <f t="shared" si="80"/>
        <v>#N/A</v>
      </c>
      <c r="W112" s="2">
        <f t="shared" si="81"/>
        <v>0.23093430695061976</v>
      </c>
      <c r="X112" s="2">
        <f t="shared" si="82"/>
        <v>0.4534446080706156</v>
      </c>
      <c r="Y112" s="9">
        <f t="shared" si="83"/>
        <v>0.56599927385858939</v>
      </c>
      <c r="Z112" s="2">
        <f t="shared" si="84"/>
        <v>0.6077613720849151</v>
      </c>
      <c r="AA112" s="2">
        <f t="shared" si="85"/>
        <v>0.60725001486524266</v>
      </c>
      <c r="AB112" s="2">
        <f t="shared" si="86"/>
        <v>0.75857142857142856</v>
      </c>
      <c r="AC112" s="2">
        <f t="shared" si="87"/>
        <v>9.4761016995388303E-2</v>
      </c>
      <c r="AD112" s="2">
        <f t="shared" si="88"/>
        <v>0.93499999999999994</v>
      </c>
      <c r="AE112" s="2">
        <f t="shared" si="89"/>
        <v>0.39</v>
      </c>
      <c r="AF112" s="45">
        <f t="shared" si="90"/>
        <v>0.56555730541949578</v>
      </c>
      <c r="AH112" s="34">
        <v>0.25224420823472465</v>
      </c>
      <c r="AI112" s="34">
        <f t="shared" si="91"/>
        <v>0.35077717712695183</v>
      </c>
      <c r="AJ112" s="34">
        <f t="shared" si="92"/>
        <v>9.853296889222718E-2</v>
      </c>
      <c r="AK112" s="34">
        <f t="shared" si="93"/>
        <v>9.853296889222718E-2</v>
      </c>
      <c r="AL112" s="41">
        <f t="shared" si="94"/>
        <v>0.39062529753126302</v>
      </c>
      <c r="AN112">
        <f t="shared" si="97"/>
        <v>61</v>
      </c>
      <c r="AO112">
        <f t="shared" si="98"/>
        <v>103</v>
      </c>
      <c r="AP112">
        <f t="shared" si="95"/>
        <v>-42</v>
      </c>
      <c r="AQ112">
        <f t="shared" si="96"/>
        <v>42</v>
      </c>
    </row>
    <row r="113" spans="1:43">
      <c r="A113" s="1" t="s">
        <v>172</v>
      </c>
      <c r="B113" s="1" t="s">
        <v>287</v>
      </c>
      <c r="C113" t="e">
        <f>NA()</f>
        <v>#N/A</v>
      </c>
      <c r="D113" s="39">
        <v>-0.23598232048287926</v>
      </c>
      <c r="E113" s="2">
        <v>1.41</v>
      </c>
      <c r="F113" s="41">
        <v>1.5907859301522401E-2</v>
      </c>
      <c r="G113" s="2">
        <v>9.8545005284295287E-2</v>
      </c>
      <c r="H113" s="34">
        <v>0.18225331342996709</v>
      </c>
      <c r="I113" s="34"/>
      <c r="J113" s="35">
        <v>39.102064952054569</v>
      </c>
      <c r="K113" s="35">
        <v>0</v>
      </c>
      <c r="L113">
        <v>53.7</v>
      </c>
      <c r="M113" s="35">
        <v>264.99283291128825</v>
      </c>
      <c r="N113">
        <v>6.65</v>
      </c>
      <c r="O113">
        <v>2</v>
      </c>
      <c r="Q113" s="1" t="s">
        <v>172</v>
      </c>
      <c r="R113" s="1" t="s">
        <v>287</v>
      </c>
      <c r="S113" s="2" t="e">
        <f t="shared" si="77"/>
        <v>#N/A</v>
      </c>
      <c r="T113" s="2">
        <f t="shared" si="78"/>
        <v>0.52359823204828793</v>
      </c>
      <c r="U113" s="2">
        <f t="shared" si="79"/>
        <v>0.9859</v>
      </c>
      <c r="V113" s="2">
        <f t="shared" si="80"/>
        <v>3.1815718603044801E-2</v>
      </c>
      <c r="W113" s="2">
        <f t="shared" si="81"/>
        <v>9.8545005284295287E-2</v>
      </c>
      <c r="X113" s="2">
        <f t="shared" si="82"/>
        <v>0.69624447761672148</v>
      </c>
      <c r="Y113" s="9">
        <f t="shared" si="83"/>
        <v>0.4672206867104699</v>
      </c>
      <c r="Z113" s="2">
        <f t="shared" si="84"/>
        <v>0.415743785029351</v>
      </c>
      <c r="AA113" s="2">
        <f t="shared" si="85"/>
        <v>0</v>
      </c>
      <c r="AB113" s="2">
        <f t="shared" si="86"/>
        <v>0.76714285714285724</v>
      </c>
      <c r="AC113" s="2">
        <f t="shared" si="87"/>
        <v>1</v>
      </c>
      <c r="AD113" s="2">
        <f t="shared" si="88"/>
        <v>0.66500000000000004</v>
      </c>
      <c r="AE113" s="2">
        <f t="shared" si="89"/>
        <v>0.6</v>
      </c>
      <c r="AF113" s="45">
        <f t="shared" si="90"/>
        <v>0.57464777369536801</v>
      </c>
      <c r="AH113" s="34">
        <v>0.4938672090447746</v>
      </c>
      <c r="AI113" s="34">
        <f t="shared" si="91"/>
        <v>0.50390865979426136</v>
      </c>
      <c r="AJ113" s="34">
        <f t="shared" si="92"/>
        <v>1.0041450749486758E-2</v>
      </c>
      <c r="AK113" s="34">
        <f t="shared" si="93"/>
        <v>1.0041450749486758E-2</v>
      </c>
      <c r="AL113" s="41">
        <f t="shared" si="94"/>
        <v>2.0332288853330993E-2</v>
      </c>
      <c r="AN113">
        <f t="shared" si="97"/>
        <v>167</v>
      </c>
      <c r="AO113">
        <f t="shared" si="98"/>
        <v>154</v>
      </c>
      <c r="AP113">
        <f t="shared" si="95"/>
        <v>13</v>
      </c>
      <c r="AQ113">
        <f t="shared" si="96"/>
        <v>13</v>
      </c>
    </row>
    <row r="114" spans="1:43">
      <c r="A114" s="1" t="s">
        <v>88</v>
      </c>
      <c r="B114" s="1" t="s">
        <v>288</v>
      </c>
      <c r="C114" t="e">
        <f>NA()</f>
        <v>#N/A</v>
      </c>
      <c r="D114" s="39">
        <v>1.2940492679845654</v>
      </c>
      <c r="E114" s="2">
        <v>10.41</v>
      </c>
      <c r="F114" s="41">
        <v>0.950324352239453</v>
      </c>
      <c r="G114" s="2">
        <v>0.46026387830042648</v>
      </c>
      <c r="H114" s="34">
        <v>0.28325969619177305</v>
      </c>
      <c r="I114" s="34"/>
      <c r="J114" s="35">
        <v>33.686290621955145</v>
      </c>
      <c r="K114" s="35">
        <v>13.500061822827018</v>
      </c>
      <c r="L114">
        <v>68.3</v>
      </c>
      <c r="M114" s="35">
        <v>27.512758951669252</v>
      </c>
      <c r="N114">
        <v>2.85</v>
      </c>
      <c r="O114">
        <v>2</v>
      </c>
      <c r="Q114" s="1" t="s">
        <v>88</v>
      </c>
      <c r="R114" s="1" t="s">
        <v>288</v>
      </c>
      <c r="S114" s="2" t="e">
        <f t="shared" ref="S114:S145" si="99">IF(C$16&lt;&gt;1,MIN(1,MAX(0,(C114-C$14)/(C$15-C$14))),1-MIN(1,MAX(0,(C114-C$14)/(C$15-C$14))))</f>
        <v>#N/A</v>
      </c>
      <c r="T114" s="2">
        <f t="shared" ref="T114:T145" si="100">IF(D$16&lt;&gt;1,MIN(1,MAX(0,(D114-D$14)/(D$15-D$14))),1-MIN(1,MAX(0,(D114-D$14)/(D$15-D$14))))</f>
        <v>0.3705950732015435</v>
      </c>
      <c r="U114" s="2">
        <f t="shared" ref="U114:U145" si="101">IF(E$16&lt;&gt;1,MIN(1,MAX(0,(E114-E$14)/(E$15-E$14))),1-MIN(1,MAX(0,(E114-E$14)/(E$15-E$14))))</f>
        <v>0.89590000000000003</v>
      </c>
      <c r="V114" s="2">
        <f t="shared" ref="V114:V145" si="102">IF(F$16&lt;&gt;1,MIN(1,MAX(0,(F114-F$14)/(F$15-F$14))),1-MIN(1,MAX(0,(F114-F$14)/(F$15-F$14))))</f>
        <v>1</v>
      </c>
      <c r="W114" s="2">
        <f t="shared" ref="W114:W145" si="103">IF(G$16&lt;&gt;1,MIN(1,MAX(0,(G114-G$14)/(G$15-G$14))),1-MIN(1,MAX(0,(G114-G$14)/(G$15-G$14))))</f>
        <v>0.46026387830042648</v>
      </c>
      <c r="X114" s="2">
        <f t="shared" ref="X114:X145" si="104">IF(H$16&lt;&gt;1,MIN(1,MAX(0,(H114-H$14)/(H$15-H$14))),1-MIN(1,MAX(0,(H114-H$14)/(H$15-H$14))))</f>
        <v>0.52790050634704488</v>
      </c>
      <c r="Y114" s="9">
        <f t="shared" si="83"/>
        <v>0.65093189156980302</v>
      </c>
      <c r="Z114" s="2">
        <f t="shared" si="84"/>
        <v>0.33837558031364495</v>
      </c>
      <c r="AA114" s="2">
        <f t="shared" si="85"/>
        <v>0.16875077278533773</v>
      </c>
      <c r="AB114" s="2">
        <f t="shared" si="86"/>
        <v>0.97571428571428565</v>
      </c>
      <c r="AC114" s="2">
        <f t="shared" si="87"/>
        <v>0.13756379475834626</v>
      </c>
      <c r="AD114" s="2">
        <f t="shared" si="88"/>
        <v>0.28500000000000003</v>
      </c>
      <c r="AE114" s="2">
        <f t="shared" si="89"/>
        <v>0.6</v>
      </c>
      <c r="AF114" s="45">
        <f t="shared" si="90"/>
        <v>0.41756740559526917</v>
      </c>
      <c r="AH114" s="34">
        <v>0.52864236237859985</v>
      </c>
      <c r="AI114" s="34">
        <f t="shared" si="91"/>
        <v>0.52707087395734364</v>
      </c>
      <c r="AJ114" s="34">
        <f t="shared" si="92"/>
        <v>-1.5714884212562064E-3</v>
      </c>
      <c r="AK114" s="34">
        <f t="shared" si="93"/>
        <v>1.5714884212562064E-3</v>
      </c>
      <c r="AL114" s="41">
        <f t="shared" si="94"/>
        <v>2.9726872704362414E-3</v>
      </c>
      <c r="AN114">
        <f t="shared" si="97"/>
        <v>176</v>
      </c>
      <c r="AO114">
        <f t="shared" si="98"/>
        <v>168</v>
      </c>
      <c r="AP114">
        <f t="shared" si="95"/>
        <v>8</v>
      </c>
      <c r="AQ114">
        <f t="shared" si="96"/>
        <v>8</v>
      </c>
    </row>
    <row r="115" spans="1:43">
      <c r="A115" s="1" t="s">
        <v>34</v>
      </c>
      <c r="B115" s="1" t="s">
        <v>289</v>
      </c>
      <c r="C115" t="e">
        <f>NA()</f>
        <v>#N/A</v>
      </c>
      <c r="D115" s="39">
        <v>-0.68302440825304334</v>
      </c>
      <c r="E115" s="2">
        <v>0.65</v>
      </c>
      <c r="F115" s="41" t="e">
        <v>#N/A</v>
      </c>
      <c r="G115" s="2">
        <v>0.19033545862930876</v>
      </c>
      <c r="H115" s="34">
        <v>0.21060382885240636</v>
      </c>
      <c r="I115" s="34"/>
      <c r="J115" s="35">
        <v>22.372011179934447</v>
      </c>
      <c r="K115" s="35">
        <v>27.600077239338063</v>
      </c>
      <c r="L115" t="e">
        <v>#N/A</v>
      </c>
      <c r="M115" s="35">
        <v>15.786978101428534</v>
      </c>
      <c r="N115" t="e">
        <v>#N/A</v>
      </c>
      <c r="O115">
        <v>2.1800000000000002</v>
      </c>
      <c r="Q115" s="1" t="s">
        <v>34</v>
      </c>
      <c r="R115" s="1" t="s">
        <v>289</v>
      </c>
      <c r="S115" s="2" t="e">
        <f t="shared" si="99"/>
        <v>#N/A</v>
      </c>
      <c r="T115" s="2">
        <f t="shared" si="100"/>
        <v>0.56830244082530434</v>
      </c>
      <c r="U115" s="2">
        <f t="shared" si="101"/>
        <v>0.99350000000000005</v>
      </c>
      <c r="V115" s="2" t="e">
        <f t="shared" si="102"/>
        <v>#N/A</v>
      </c>
      <c r="W115" s="2">
        <f t="shared" si="103"/>
        <v>0.19033545862930876</v>
      </c>
      <c r="X115" s="2">
        <f t="shared" si="104"/>
        <v>0.6489936185793227</v>
      </c>
      <c r="Y115" s="9">
        <f t="shared" si="83"/>
        <v>0.60028287950848391</v>
      </c>
      <c r="Z115" s="2">
        <f t="shared" si="84"/>
        <v>0.17674301685620639</v>
      </c>
      <c r="AA115" s="2">
        <f t="shared" si="85"/>
        <v>0.34500096549172576</v>
      </c>
      <c r="AB115" s="2" t="e">
        <f t="shared" si="86"/>
        <v>#N/A</v>
      </c>
      <c r="AC115" s="2">
        <f t="shared" si="87"/>
        <v>7.8934890507142669E-2</v>
      </c>
      <c r="AD115" s="2" t="e">
        <f t="shared" si="88"/>
        <v>#N/A</v>
      </c>
      <c r="AE115" s="2">
        <f t="shared" si="89"/>
        <v>0.56399999999999995</v>
      </c>
      <c r="AF115" s="45">
        <f t="shared" si="90"/>
        <v>0.29116971821376869</v>
      </c>
      <c r="AH115" s="34">
        <v>0.29002142849067641</v>
      </c>
      <c r="AI115" s="34">
        <f t="shared" si="91"/>
        <v>0.33454134258860763</v>
      </c>
      <c r="AJ115" s="34">
        <f t="shared" si="92"/>
        <v>4.4519914097931212E-2</v>
      </c>
      <c r="AK115" s="34">
        <f t="shared" si="93"/>
        <v>4.4519914097931212E-2</v>
      </c>
      <c r="AL115" s="41">
        <f t="shared" si="94"/>
        <v>0.15350560242951991</v>
      </c>
      <c r="AN115">
        <f t="shared" si="97"/>
        <v>88</v>
      </c>
      <c r="AO115">
        <f t="shared" si="98"/>
        <v>91</v>
      </c>
      <c r="AP115">
        <f t="shared" si="95"/>
        <v>-3</v>
      </c>
      <c r="AQ115">
        <f t="shared" si="96"/>
        <v>3</v>
      </c>
    </row>
    <row r="116" spans="1:43">
      <c r="A116" s="1" t="s">
        <v>187</v>
      </c>
      <c r="B116" s="1" t="s">
        <v>290</v>
      </c>
      <c r="C116" t="e">
        <f>NA()</f>
        <v>#N/A</v>
      </c>
      <c r="D116" s="39" t="e">
        <v>#N/A</v>
      </c>
      <c r="E116" s="2">
        <v>77.709999999999994</v>
      </c>
      <c r="F116" s="41" t="e">
        <v>#N/A</v>
      </c>
      <c r="G116" s="2">
        <v>0</v>
      </c>
      <c r="H116" s="34">
        <v>0.25515463880195388</v>
      </c>
      <c r="I116" s="34"/>
      <c r="J116" s="35">
        <v>100</v>
      </c>
      <c r="K116" s="35">
        <v>0</v>
      </c>
      <c r="L116">
        <v>0</v>
      </c>
      <c r="M116" s="35">
        <v>-58.22243842491951</v>
      </c>
      <c r="N116">
        <v>0</v>
      </c>
      <c r="O116" t="e">
        <v>#N/A</v>
      </c>
      <c r="Q116" s="1" t="s">
        <v>187</v>
      </c>
      <c r="R116" s="1" t="s">
        <v>290</v>
      </c>
      <c r="S116" s="2" t="e">
        <f t="shared" si="99"/>
        <v>#N/A</v>
      </c>
      <c r="T116" s="2" t="e">
        <f t="shared" si="100"/>
        <v>#N/A</v>
      </c>
      <c r="U116" s="2">
        <f t="shared" si="101"/>
        <v>0.2229000000000001</v>
      </c>
      <c r="V116" s="2" t="e">
        <f t="shared" si="102"/>
        <v>#N/A</v>
      </c>
      <c r="W116" s="2">
        <f t="shared" si="103"/>
        <v>0</v>
      </c>
      <c r="X116" s="2">
        <f t="shared" si="104"/>
        <v>0.57474226866341016</v>
      </c>
      <c r="Y116" s="9">
        <f t="shared" si="83"/>
        <v>0.26588075622113677</v>
      </c>
      <c r="Z116" s="2">
        <f t="shared" si="84"/>
        <v>1</v>
      </c>
      <c r="AA116" s="2">
        <f t="shared" si="85"/>
        <v>0</v>
      </c>
      <c r="AB116" s="2">
        <f t="shared" si="86"/>
        <v>0</v>
      </c>
      <c r="AC116" s="2">
        <f t="shared" si="87"/>
        <v>0</v>
      </c>
      <c r="AD116" s="2">
        <f t="shared" si="88"/>
        <v>0</v>
      </c>
      <c r="AE116" s="2" t="e">
        <f t="shared" si="89"/>
        <v>#N/A</v>
      </c>
      <c r="AF116" s="45">
        <f t="shared" si="90"/>
        <v>0.2</v>
      </c>
      <c r="AH116" s="34" t="e">
        <v>#N/A</v>
      </c>
      <c r="AI116" s="34" t="e">
        <f t="shared" si="91"/>
        <v>#N/A</v>
      </c>
      <c r="AJ116" s="34" t="e">
        <f t="shared" si="92"/>
        <v>#N/A</v>
      </c>
      <c r="AK116" s="34" t="e">
        <f t="shared" si="93"/>
        <v>#N/A</v>
      </c>
      <c r="AL116" s="41" t="e">
        <f t="shared" si="94"/>
        <v>#N/A</v>
      </c>
      <c r="AN116" t="e">
        <f t="shared" si="97"/>
        <v>#VALUE!</v>
      </c>
      <c r="AO116" t="e">
        <f t="shared" si="98"/>
        <v>#VALUE!</v>
      </c>
      <c r="AP116" t="e">
        <f t="shared" si="95"/>
        <v>#VALUE!</v>
      </c>
      <c r="AQ116" t="e">
        <f t="shared" si="96"/>
        <v>#VALUE!</v>
      </c>
    </row>
    <row r="117" spans="1:43">
      <c r="A117" s="1" t="s">
        <v>67</v>
      </c>
      <c r="B117" s="1" t="s">
        <v>291</v>
      </c>
      <c r="C117" t="e">
        <f>NA()</f>
        <v>#N/A</v>
      </c>
      <c r="D117" s="39">
        <v>1.3473269550506592</v>
      </c>
      <c r="E117" s="2">
        <v>85.76</v>
      </c>
      <c r="F117" s="41">
        <v>4.2636875755332287E-2</v>
      </c>
      <c r="G117" s="2">
        <v>8.7184875405573792E-2</v>
      </c>
      <c r="H117" s="34">
        <v>0.2268041233795145</v>
      </c>
      <c r="I117" s="34"/>
      <c r="J117" s="35">
        <v>24.37249556972608</v>
      </c>
      <c r="K117" s="35">
        <v>0</v>
      </c>
      <c r="L117">
        <v>0</v>
      </c>
      <c r="M117" s="35">
        <v>-31.658662196167104</v>
      </c>
      <c r="N117">
        <v>0.65</v>
      </c>
      <c r="O117">
        <v>2.72</v>
      </c>
      <c r="Q117" s="1" t="s">
        <v>67</v>
      </c>
      <c r="R117" s="1" t="s">
        <v>291</v>
      </c>
      <c r="S117" s="2" t="e">
        <f t="shared" si="99"/>
        <v>#N/A</v>
      </c>
      <c r="T117" s="2">
        <f t="shared" si="100"/>
        <v>0.36526730449493405</v>
      </c>
      <c r="U117" s="2">
        <f t="shared" si="101"/>
        <v>0.14239999999999997</v>
      </c>
      <c r="V117" s="2">
        <f t="shared" si="102"/>
        <v>8.5273751510664575E-2</v>
      </c>
      <c r="W117" s="2">
        <f t="shared" si="103"/>
        <v>8.7184875405573792E-2</v>
      </c>
      <c r="X117" s="2">
        <f t="shared" si="104"/>
        <v>0.62199312770080917</v>
      </c>
      <c r="Y117" s="9">
        <f t="shared" si="83"/>
        <v>0.26042381182239627</v>
      </c>
      <c r="Z117" s="2">
        <f t="shared" si="84"/>
        <v>0.20532136528180114</v>
      </c>
      <c r="AA117" s="2">
        <f t="shared" si="85"/>
        <v>0</v>
      </c>
      <c r="AB117" s="2">
        <f t="shared" si="86"/>
        <v>0</v>
      </c>
      <c r="AC117" s="2">
        <f t="shared" si="87"/>
        <v>0</v>
      </c>
      <c r="AD117" s="2">
        <f t="shared" si="88"/>
        <v>6.5000000000000002E-2</v>
      </c>
      <c r="AE117" s="2">
        <f t="shared" si="89"/>
        <v>0.45599999999999996</v>
      </c>
      <c r="AF117" s="45">
        <f t="shared" si="90"/>
        <v>0.12105356088030018</v>
      </c>
      <c r="AH117" s="34">
        <v>0.23491910281175618</v>
      </c>
      <c r="AI117" s="34">
        <f t="shared" si="91"/>
        <v>0.21904282548216944</v>
      </c>
      <c r="AJ117" s="34">
        <f t="shared" si="92"/>
        <v>-1.5876277329586741E-2</v>
      </c>
      <c r="AK117" s="34">
        <f t="shared" si="93"/>
        <v>1.5876277329586741E-2</v>
      </c>
      <c r="AL117" s="41">
        <f t="shared" si="94"/>
        <v>6.7581891551444478E-2</v>
      </c>
      <c r="AN117">
        <f t="shared" si="97"/>
        <v>46</v>
      </c>
      <c r="AO117">
        <f t="shared" si="98"/>
        <v>35</v>
      </c>
      <c r="AP117">
        <f t="shared" si="95"/>
        <v>11</v>
      </c>
      <c r="AQ117">
        <f t="shared" si="96"/>
        <v>11</v>
      </c>
    </row>
    <row r="118" spans="1:43">
      <c r="A118" s="1" t="s">
        <v>29</v>
      </c>
      <c r="B118" s="1" t="s">
        <v>292</v>
      </c>
      <c r="C118" t="e">
        <f>NA()</f>
        <v>#N/A</v>
      </c>
      <c r="D118" s="39" t="e">
        <v>#N/A</v>
      </c>
      <c r="E118" s="2">
        <v>100</v>
      </c>
      <c r="F118" s="41">
        <v>6.6394974937098467E-3</v>
      </c>
      <c r="G118" s="2">
        <v>0</v>
      </c>
      <c r="H118" s="34">
        <v>0.63586156018899609</v>
      </c>
      <c r="I118" s="34"/>
      <c r="J118" s="35">
        <v>21.917883604356529</v>
      </c>
      <c r="K118" s="35">
        <v>0</v>
      </c>
      <c r="L118">
        <v>0</v>
      </c>
      <c r="M118" s="35">
        <v>-9.0956147256789581</v>
      </c>
      <c r="N118">
        <v>0</v>
      </c>
      <c r="O118">
        <v>4.0599999999999996</v>
      </c>
      <c r="Q118" s="1" t="s">
        <v>29</v>
      </c>
      <c r="R118" s="1" t="s">
        <v>292</v>
      </c>
      <c r="S118" s="2" t="e">
        <f t="shared" si="99"/>
        <v>#N/A</v>
      </c>
      <c r="T118" s="2" t="e">
        <f t="shared" si="100"/>
        <v>#N/A</v>
      </c>
      <c r="U118" s="2">
        <f t="shared" si="101"/>
        <v>0</v>
      </c>
      <c r="V118" s="2">
        <f t="shared" si="102"/>
        <v>1.3278994987419693E-2</v>
      </c>
      <c r="W118" s="2">
        <f t="shared" si="103"/>
        <v>0</v>
      </c>
      <c r="X118" s="2">
        <f t="shared" si="104"/>
        <v>0</v>
      </c>
      <c r="Y118" s="9">
        <f t="shared" si="83"/>
        <v>3.3197487468549234E-3</v>
      </c>
      <c r="Z118" s="2">
        <f t="shared" si="84"/>
        <v>0.17025548006223612</v>
      </c>
      <c r="AA118" s="2">
        <f t="shared" si="85"/>
        <v>0</v>
      </c>
      <c r="AB118" s="2">
        <f t="shared" si="86"/>
        <v>0</v>
      </c>
      <c r="AC118" s="2">
        <f t="shared" si="87"/>
        <v>0</v>
      </c>
      <c r="AD118" s="2">
        <f t="shared" si="88"/>
        <v>0</v>
      </c>
      <c r="AE118" s="2">
        <f t="shared" si="89"/>
        <v>0.18800000000000006</v>
      </c>
      <c r="AF118" s="45">
        <f t="shared" si="90"/>
        <v>5.9709246677039363E-2</v>
      </c>
      <c r="AH118" s="34">
        <v>0.16329216659172788</v>
      </c>
      <c r="AI118" s="34">
        <f t="shared" si="91"/>
        <v>0.12268189205708516</v>
      </c>
      <c r="AJ118" s="34">
        <f t="shared" si="92"/>
        <v>-4.0610274534642721E-2</v>
      </c>
      <c r="AK118" s="34">
        <f t="shared" si="93"/>
        <v>4.0610274534642721E-2</v>
      </c>
      <c r="AL118" s="41">
        <f t="shared" si="94"/>
        <v>0.24869701579855191</v>
      </c>
      <c r="AN118">
        <f t="shared" si="97"/>
        <v>9</v>
      </c>
      <c r="AO118">
        <f t="shared" si="98"/>
        <v>1</v>
      </c>
      <c r="AP118">
        <f t="shared" si="95"/>
        <v>8</v>
      </c>
      <c r="AQ118">
        <f t="shared" si="96"/>
        <v>8</v>
      </c>
    </row>
    <row r="119" spans="1:43">
      <c r="A119" s="1" t="s">
        <v>158</v>
      </c>
      <c r="B119" s="1" t="s">
        <v>293</v>
      </c>
      <c r="C119" t="e">
        <f>NA()</f>
        <v>#N/A</v>
      </c>
      <c r="D119" s="39">
        <v>1.3463008296295702</v>
      </c>
      <c r="E119" s="2">
        <v>18</v>
      </c>
      <c r="F119" s="41">
        <v>0.549728255512415</v>
      </c>
      <c r="G119" s="2">
        <v>0.95964952139001936</v>
      </c>
      <c r="H119" s="34">
        <v>0.2632547860655079</v>
      </c>
      <c r="I119" s="34"/>
      <c r="J119" s="35">
        <v>30.037422606586343</v>
      </c>
      <c r="K119" s="35">
        <v>48.300056045572596</v>
      </c>
      <c r="L119">
        <v>76.2</v>
      </c>
      <c r="M119" s="35">
        <v>39.203413377430927</v>
      </c>
      <c r="N119">
        <v>7.73</v>
      </c>
      <c r="O119">
        <v>2.63</v>
      </c>
      <c r="Q119" s="1" t="s">
        <v>158</v>
      </c>
      <c r="R119" s="1" t="s">
        <v>293</v>
      </c>
      <c r="S119" s="2" t="e">
        <f t="shared" si="99"/>
        <v>#N/A</v>
      </c>
      <c r="T119" s="2">
        <f t="shared" si="100"/>
        <v>0.36536991703704302</v>
      </c>
      <c r="U119" s="2">
        <f t="shared" si="101"/>
        <v>0.82000000000000006</v>
      </c>
      <c r="V119" s="2">
        <f t="shared" si="102"/>
        <v>1</v>
      </c>
      <c r="W119" s="2">
        <f t="shared" si="103"/>
        <v>0.95964952139001936</v>
      </c>
      <c r="X119" s="2">
        <f t="shared" si="104"/>
        <v>0.56124202322415351</v>
      </c>
      <c r="Y119" s="9">
        <f t="shared" si="83"/>
        <v>0.74125229233024326</v>
      </c>
      <c r="Z119" s="2">
        <f t="shared" si="84"/>
        <v>0.28624889437980489</v>
      </c>
      <c r="AA119" s="2">
        <f t="shared" si="85"/>
        <v>0.60375070056965741</v>
      </c>
      <c r="AB119" s="2">
        <f t="shared" si="86"/>
        <v>1</v>
      </c>
      <c r="AC119" s="2">
        <f t="shared" si="87"/>
        <v>0.19601706688715465</v>
      </c>
      <c r="AD119" s="2">
        <f t="shared" si="88"/>
        <v>0.77300000000000002</v>
      </c>
      <c r="AE119" s="2">
        <f t="shared" si="89"/>
        <v>0.47399999999999998</v>
      </c>
      <c r="AF119" s="45">
        <f t="shared" si="90"/>
        <v>0.55550277697276951</v>
      </c>
      <c r="AH119" s="34">
        <v>0.49125599093019628</v>
      </c>
      <c r="AI119" s="34">
        <f t="shared" si="91"/>
        <v>0.53798348302321553</v>
      </c>
      <c r="AJ119" s="34">
        <f t="shared" si="92"/>
        <v>4.6727492093019241E-2</v>
      </c>
      <c r="AK119" s="34">
        <f t="shared" si="93"/>
        <v>4.6727492093019241E-2</v>
      </c>
      <c r="AL119" s="41">
        <f t="shared" si="94"/>
        <v>9.5118416784170795E-2</v>
      </c>
      <c r="AN119">
        <f t="shared" si="97"/>
        <v>163</v>
      </c>
      <c r="AO119">
        <f t="shared" si="98"/>
        <v>172</v>
      </c>
      <c r="AP119">
        <f t="shared" si="95"/>
        <v>-9</v>
      </c>
      <c r="AQ119">
        <f t="shared" si="96"/>
        <v>9</v>
      </c>
    </row>
    <row r="120" spans="1:43">
      <c r="A120" s="1" t="s">
        <v>180</v>
      </c>
      <c r="B120" s="1" t="s">
        <v>294</v>
      </c>
      <c r="C120" t="e">
        <f>NA()</f>
        <v>#N/A</v>
      </c>
      <c r="D120" s="39">
        <v>2.1306319447856437E-2</v>
      </c>
      <c r="E120" s="2">
        <v>94.88</v>
      </c>
      <c r="F120" s="41">
        <v>0.33706007597130461</v>
      </c>
      <c r="G120" s="2">
        <v>0.20154741042213964</v>
      </c>
      <c r="H120" s="34">
        <v>0.22275404974773749</v>
      </c>
      <c r="I120" s="34"/>
      <c r="J120" s="35">
        <v>29.305104797152527</v>
      </c>
      <c r="K120" s="35">
        <v>16.400078380360977</v>
      </c>
      <c r="L120">
        <v>68.900000000000006</v>
      </c>
      <c r="M120" s="35">
        <v>81.827705292559997</v>
      </c>
      <c r="N120">
        <v>13.27</v>
      </c>
      <c r="O120">
        <v>2.13</v>
      </c>
      <c r="Q120" s="1" t="s">
        <v>180</v>
      </c>
      <c r="R120" s="1" t="s">
        <v>294</v>
      </c>
      <c r="S120" s="2" t="e">
        <f t="shared" si="99"/>
        <v>#N/A</v>
      </c>
      <c r="T120" s="2">
        <f t="shared" si="100"/>
        <v>0.49786936805521431</v>
      </c>
      <c r="U120" s="2">
        <f t="shared" si="101"/>
        <v>5.1200000000000023E-2</v>
      </c>
      <c r="V120" s="2">
        <f t="shared" si="102"/>
        <v>0.67412015194260921</v>
      </c>
      <c r="W120" s="2">
        <f t="shared" si="103"/>
        <v>0.20154741042213964</v>
      </c>
      <c r="X120" s="2">
        <f t="shared" si="104"/>
        <v>0.62874325042043755</v>
      </c>
      <c r="Y120" s="9">
        <f t="shared" si="83"/>
        <v>0.41069603616808015</v>
      </c>
      <c r="Z120" s="2">
        <f t="shared" si="84"/>
        <v>0.27578721138789325</v>
      </c>
      <c r="AA120" s="2">
        <f t="shared" si="85"/>
        <v>0.2050009797545122</v>
      </c>
      <c r="AB120" s="2">
        <f t="shared" si="86"/>
        <v>0.98428571428571432</v>
      </c>
      <c r="AC120" s="2">
        <f t="shared" si="87"/>
        <v>0.40913852646279997</v>
      </c>
      <c r="AD120" s="2">
        <f t="shared" si="88"/>
        <v>1</v>
      </c>
      <c r="AE120" s="2">
        <f t="shared" si="89"/>
        <v>0.57400000000000007</v>
      </c>
      <c r="AF120" s="45">
        <f t="shared" si="90"/>
        <v>0.57470207198182</v>
      </c>
      <c r="AH120" s="34">
        <v>0.49131395329259275</v>
      </c>
      <c r="AI120" s="34">
        <f t="shared" si="91"/>
        <v>0.4940922140501014</v>
      </c>
      <c r="AJ120" s="34">
        <f t="shared" si="92"/>
        <v>2.7782607575086438E-3</v>
      </c>
      <c r="AK120" s="34">
        <f t="shared" si="93"/>
        <v>2.7782607575086438E-3</v>
      </c>
      <c r="AL120" s="41">
        <f t="shared" si="94"/>
        <v>5.6547564726990426E-3</v>
      </c>
      <c r="AN120">
        <f t="shared" si="97"/>
        <v>164</v>
      </c>
      <c r="AO120">
        <f t="shared" si="98"/>
        <v>150</v>
      </c>
      <c r="AP120">
        <f t="shared" si="95"/>
        <v>14</v>
      </c>
      <c r="AQ120">
        <f t="shared" si="96"/>
        <v>14</v>
      </c>
    </row>
    <row r="121" spans="1:43">
      <c r="A121" s="1" t="s">
        <v>55</v>
      </c>
      <c r="B121" s="1" t="s">
        <v>295</v>
      </c>
      <c r="C121" t="e">
        <f>NA()</f>
        <v>#N/A</v>
      </c>
      <c r="D121" s="39">
        <v>0.86100255525097946</v>
      </c>
      <c r="E121" s="2">
        <v>100</v>
      </c>
      <c r="F121" s="41">
        <v>4.0881932132022278E-2</v>
      </c>
      <c r="G121" s="2">
        <v>0.89746125947906374</v>
      </c>
      <c r="H121" s="34">
        <v>0.27135493332906202</v>
      </c>
      <c r="I121" s="34"/>
      <c r="J121" s="35">
        <v>7.4085658032633033</v>
      </c>
      <c r="K121" s="35">
        <v>34.695529614178092</v>
      </c>
      <c r="L121">
        <v>0</v>
      </c>
      <c r="M121" s="35">
        <v>80.004629522495364</v>
      </c>
      <c r="N121">
        <v>3</v>
      </c>
      <c r="O121">
        <v>3.5</v>
      </c>
      <c r="Q121" s="1" t="s">
        <v>55</v>
      </c>
      <c r="R121" s="1" t="s">
        <v>295</v>
      </c>
      <c r="S121" s="2" t="e">
        <f t="shared" si="99"/>
        <v>#N/A</v>
      </c>
      <c r="T121" s="2">
        <f t="shared" si="100"/>
        <v>0.41389974447490208</v>
      </c>
      <c r="U121" s="2">
        <f t="shared" si="101"/>
        <v>0</v>
      </c>
      <c r="V121" s="2">
        <f t="shared" si="102"/>
        <v>8.1763864264044556E-2</v>
      </c>
      <c r="W121" s="2">
        <f t="shared" si="103"/>
        <v>0.89746125947906374</v>
      </c>
      <c r="X121" s="2">
        <f t="shared" si="104"/>
        <v>0.54774177778489663</v>
      </c>
      <c r="Y121" s="9">
        <f t="shared" si="83"/>
        <v>0.3881733292005814</v>
      </c>
      <c r="Z121" s="2">
        <f t="shared" si="84"/>
        <v>0</v>
      </c>
      <c r="AA121" s="2">
        <f t="shared" si="85"/>
        <v>0.43369412017722614</v>
      </c>
      <c r="AB121" s="2">
        <f t="shared" si="86"/>
        <v>0</v>
      </c>
      <c r="AC121" s="2">
        <f t="shared" si="87"/>
        <v>0.40002314761247681</v>
      </c>
      <c r="AD121" s="2">
        <f t="shared" si="88"/>
        <v>0.3</v>
      </c>
      <c r="AE121" s="2">
        <f t="shared" si="89"/>
        <v>0.30000000000000004</v>
      </c>
      <c r="AF121" s="45">
        <f t="shared" si="90"/>
        <v>0.23895287796495049</v>
      </c>
      <c r="AH121" s="34">
        <v>0.22453042071810311</v>
      </c>
      <c r="AI121" s="34">
        <f t="shared" si="91"/>
        <v>0.25038040031505954</v>
      </c>
      <c r="AJ121" s="34">
        <f t="shared" si="92"/>
        <v>2.5849979596956424E-2</v>
      </c>
      <c r="AK121" s="34">
        <f t="shared" si="93"/>
        <v>2.5849979596956424E-2</v>
      </c>
      <c r="AL121" s="41">
        <f t="shared" si="94"/>
        <v>0.1151290747787399</v>
      </c>
      <c r="AN121">
        <f t="shared" si="97"/>
        <v>41</v>
      </c>
      <c r="AO121">
        <f t="shared" si="98"/>
        <v>46</v>
      </c>
      <c r="AP121">
        <f t="shared" si="95"/>
        <v>-5</v>
      </c>
      <c r="AQ121">
        <f t="shared" si="96"/>
        <v>5</v>
      </c>
    </row>
    <row r="122" spans="1:43">
      <c r="A122" s="1" t="s">
        <v>137</v>
      </c>
      <c r="B122" s="1" t="s">
        <v>296</v>
      </c>
      <c r="C122" t="e">
        <f>NA()</f>
        <v>#N/A</v>
      </c>
      <c r="D122" s="39" t="e">
        <v>#N/A</v>
      </c>
      <c r="E122" s="2">
        <v>0</v>
      </c>
      <c r="F122" s="41">
        <v>3.7241335330793046E-2</v>
      </c>
      <c r="G122" s="2">
        <v>0.22222222222222224</v>
      </c>
      <c r="H122" s="34">
        <v>0.16200294527108183</v>
      </c>
      <c r="I122" s="34"/>
      <c r="J122" s="35">
        <v>98.424471430049536</v>
      </c>
      <c r="K122" s="35">
        <v>0</v>
      </c>
      <c r="L122">
        <v>0</v>
      </c>
      <c r="M122" s="35">
        <v>250.80042454129807</v>
      </c>
      <c r="N122" t="e">
        <v>#N/A</v>
      </c>
      <c r="O122">
        <v>2.16</v>
      </c>
      <c r="Q122" s="1" t="s">
        <v>137</v>
      </c>
      <c r="R122" s="1" t="s">
        <v>296</v>
      </c>
      <c r="S122" s="2" t="e">
        <f t="shared" si="99"/>
        <v>#N/A</v>
      </c>
      <c r="T122" s="2" t="e">
        <f t="shared" si="100"/>
        <v>#N/A</v>
      </c>
      <c r="U122" s="2">
        <f t="shared" si="101"/>
        <v>1</v>
      </c>
      <c r="V122" s="2">
        <f t="shared" si="102"/>
        <v>7.4482670661586092E-2</v>
      </c>
      <c r="W122" s="2">
        <f t="shared" si="103"/>
        <v>0.22222222222222224</v>
      </c>
      <c r="X122" s="2">
        <f t="shared" si="104"/>
        <v>0.72999509121486361</v>
      </c>
      <c r="Y122" s="9">
        <f t="shared" si="83"/>
        <v>0.50667499602466792</v>
      </c>
      <c r="Z122" s="2">
        <f t="shared" si="84"/>
        <v>1</v>
      </c>
      <c r="AA122" s="2">
        <f t="shared" si="85"/>
        <v>0</v>
      </c>
      <c r="AB122" s="2">
        <f t="shared" si="86"/>
        <v>0</v>
      </c>
      <c r="AC122" s="2">
        <f t="shared" si="87"/>
        <v>1</v>
      </c>
      <c r="AD122" s="2" t="e">
        <f t="shared" si="88"/>
        <v>#N/A</v>
      </c>
      <c r="AE122" s="2">
        <f t="shared" si="89"/>
        <v>0.56799999999999995</v>
      </c>
      <c r="AF122" s="45">
        <f t="shared" si="90"/>
        <v>0.51360000000000006</v>
      </c>
      <c r="AH122" s="34">
        <v>0.35765689792076594</v>
      </c>
      <c r="AI122" s="34">
        <f t="shared" si="91"/>
        <v>0.40567830086347778</v>
      </c>
      <c r="AJ122" s="34">
        <f t="shared" si="92"/>
        <v>4.8021402942711844E-2</v>
      </c>
      <c r="AK122" s="34">
        <f t="shared" si="93"/>
        <v>4.8021402942711844E-2</v>
      </c>
      <c r="AL122" s="41">
        <f t="shared" si="94"/>
        <v>0.13426667630872965</v>
      </c>
      <c r="AN122">
        <f t="shared" si="97"/>
        <v>117</v>
      </c>
      <c r="AO122">
        <f t="shared" si="98"/>
        <v>118</v>
      </c>
      <c r="AP122">
        <f t="shared" si="95"/>
        <v>-1</v>
      </c>
      <c r="AQ122">
        <f t="shared" si="96"/>
        <v>1</v>
      </c>
    </row>
    <row r="123" spans="1:43">
      <c r="A123" s="1" t="s">
        <v>152</v>
      </c>
      <c r="B123" s="1" t="s">
        <v>297</v>
      </c>
      <c r="C123" t="e">
        <f>NA()</f>
        <v>#N/A</v>
      </c>
      <c r="D123" s="39">
        <v>0.62742434988225004</v>
      </c>
      <c r="E123" s="2">
        <v>14.29</v>
      </c>
      <c r="F123" s="41">
        <v>0.27567344732086346</v>
      </c>
      <c r="G123" s="2">
        <v>0.17707250358307292</v>
      </c>
      <c r="H123" s="34">
        <v>0</v>
      </c>
      <c r="I123" s="34"/>
      <c r="J123" s="35">
        <v>33.18623322294156</v>
      </c>
      <c r="K123" s="35">
        <v>21.400088230012312</v>
      </c>
      <c r="L123">
        <v>65.900000000000006</v>
      </c>
      <c r="M123" s="35">
        <v>55.815440085322862</v>
      </c>
      <c r="N123">
        <v>4.09</v>
      </c>
      <c r="O123">
        <v>2</v>
      </c>
      <c r="Q123" s="1" t="s">
        <v>152</v>
      </c>
      <c r="R123" s="1" t="s">
        <v>297</v>
      </c>
      <c r="S123" s="2" t="e">
        <f t="shared" si="99"/>
        <v>#N/A</v>
      </c>
      <c r="T123" s="2">
        <f t="shared" si="100"/>
        <v>0.43725756501177504</v>
      </c>
      <c r="U123" s="2">
        <f t="shared" si="101"/>
        <v>0.85709999999999997</v>
      </c>
      <c r="V123" s="2">
        <f t="shared" si="102"/>
        <v>0.55134689464172693</v>
      </c>
      <c r="W123" s="2">
        <f t="shared" si="103"/>
        <v>0.17707250358307292</v>
      </c>
      <c r="X123" s="2">
        <f t="shared" si="104"/>
        <v>1</v>
      </c>
      <c r="Y123" s="9">
        <f t="shared" si="83"/>
        <v>0.60455539264731495</v>
      </c>
      <c r="Z123" s="2">
        <f t="shared" si="84"/>
        <v>0.33123190318487944</v>
      </c>
      <c r="AA123" s="2">
        <f t="shared" si="85"/>
        <v>0.26750110287515388</v>
      </c>
      <c r="AB123" s="2">
        <f t="shared" si="86"/>
        <v>0.9414285714285715</v>
      </c>
      <c r="AC123" s="2">
        <f t="shared" si="87"/>
        <v>0.27907720042661432</v>
      </c>
      <c r="AD123" s="2">
        <f t="shared" si="88"/>
        <v>0.40899999999999997</v>
      </c>
      <c r="AE123" s="2">
        <f t="shared" si="89"/>
        <v>0.6</v>
      </c>
      <c r="AF123" s="45">
        <f t="shared" si="90"/>
        <v>0.47137312965253653</v>
      </c>
      <c r="AH123" s="34">
        <v>0.52008043469837306</v>
      </c>
      <c r="AI123" s="34">
        <f t="shared" si="91"/>
        <v>0.52379846211179282</v>
      </c>
      <c r="AJ123" s="34">
        <f t="shared" si="92"/>
        <v>3.7180274134197555E-3</v>
      </c>
      <c r="AK123" s="34">
        <f t="shared" si="93"/>
        <v>3.7180274134197555E-3</v>
      </c>
      <c r="AL123" s="41">
        <f t="shared" si="94"/>
        <v>7.1489469039074131E-3</v>
      </c>
      <c r="AN123">
        <f t="shared" si="97"/>
        <v>175</v>
      </c>
      <c r="AO123">
        <f t="shared" si="98"/>
        <v>165</v>
      </c>
      <c r="AP123">
        <f t="shared" si="95"/>
        <v>10</v>
      </c>
      <c r="AQ123">
        <f t="shared" si="96"/>
        <v>10</v>
      </c>
    </row>
    <row r="124" spans="1:43">
      <c r="A124" s="1" t="s">
        <v>8</v>
      </c>
      <c r="B124" s="1" t="s">
        <v>298</v>
      </c>
      <c r="C124" t="e">
        <f>NA()</f>
        <v>#N/A</v>
      </c>
      <c r="D124" s="39" t="e">
        <v>#N/A</v>
      </c>
      <c r="E124" s="2">
        <v>99.18</v>
      </c>
      <c r="F124" s="41">
        <v>1.6604777507920134E-2</v>
      </c>
      <c r="G124" s="2">
        <v>0.19286314315059502</v>
      </c>
      <c r="H124" s="34">
        <v>0.40893470779317154</v>
      </c>
      <c r="I124" s="34"/>
      <c r="J124" s="35">
        <v>51.035863904417546</v>
      </c>
      <c r="K124" s="35">
        <v>0</v>
      </c>
      <c r="L124">
        <v>0</v>
      </c>
      <c r="M124" s="35">
        <v>-292.0543859509819</v>
      </c>
      <c r="N124">
        <v>0</v>
      </c>
      <c r="O124">
        <v>2.89</v>
      </c>
      <c r="Q124" s="1" t="s">
        <v>8</v>
      </c>
      <c r="R124" s="1" t="s">
        <v>298</v>
      </c>
      <c r="S124" s="2" t="e">
        <f t="shared" si="99"/>
        <v>#N/A</v>
      </c>
      <c r="T124" s="2" t="e">
        <f t="shared" si="100"/>
        <v>#N/A</v>
      </c>
      <c r="U124" s="2">
        <f t="shared" si="101"/>
        <v>8.1999999999999851E-3</v>
      </c>
      <c r="V124" s="2">
        <f t="shared" si="102"/>
        <v>3.3209555015840268E-2</v>
      </c>
      <c r="W124" s="2">
        <f t="shared" si="103"/>
        <v>0.19286314315059502</v>
      </c>
      <c r="X124" s="2">
        <f t="shared" si="104"/>
        <v>0.3184421536780474</v>
      </c>
      <c r="Y124" s="9">
        <f t="shared" si="83"/>
        <v>0.13817871296112066</v>
      </c>
      <c r="Z124" s="2">
        <f t="shared" si="84"/>
        <v>0.58622662720596497</v>
      </c>
      <c r="AA124" s="2">
        <f t="shared" si="85"/>
        <v>0</v>
      </c>
      <c r="AB124" s="2">
        <f t="shared" si="86"/>
        <v>0</v>
      </c>
      <c r="AC124" s="2">
        <f t="shared" si="87"/>
        <v>0</v>
      </c>
      <c r="AD124" s="2">
        <f t="shared" si="88"/>
        <v>0</v>
      </c>
      <c r="AE124" s="2">
        <f t="shared" si="89"/>
        <v>0.42199999999999993</v>
      </c>
      <c r="AF124" s="45">
        <f t="shared" si="90"/>
        <v>0.16803777120099417</v>
      </c>
      <c r="AH124" s="34">
        <v>0.24176157980365387</v>
      </c>
      <c r="AI124" s="34">
        <f t="shared" si="91"/>
        <v>0.21432566020855032</v>
      </c>
      <c r="AJ124" s="34">
        <f t="shared" si="92"/>
        <v>-2.7435919595103553E-2</v>
      </c>
      <c r="AK124" s="34">
        <f t="shared" si="93"/>
        <v>2.7435919595103553E-2</v>
      </c>
      <c r="AL124" s="41">
        <f t="shared" si="94"/>
        <v>0.11348337323649843</v>
      </c>
      <c r="AN124">
        <f t="shared" si="97"/>
        <v>51</v>
      </c>
      <c r="AO124">
        <f t="shared" si="98"/>
        <v>30</v>
      </c>
      <c r="AP124">
        <f t="shared" si="95"/>
        <v>21</v>
      </c>
      <c r="AQ124">
        <f t="shared" si="96"/>
        <v>21</v>
      </c>
    </row>
    <row r="125" spans="1:43">
      <c r="A125" s="1" t="s">
        <v>53</v>
      </c>
      <c r="B125" s="1" t="s">
        <v>299</v>
      </c>
      <c r="C125" t="e">
        <f>NA()</f>
        <v>#N/A</v>
      </c>
      <c r="D125" s="39" t="e">
        <v>#N/A</v>
      </c>
      <c r="E125" s="2">
        <v>21.82</v>
      </c>
      <c r="F125" s="41" t="e">
        <v>#N/A</v>
      </c>
      <c r="G125" s="2">
        <v>0.44031584281833291</v>
      </c>
      <c r="H125" s="34">
        <v>0.14972999535944065</v>
      </c>
      <c r="I125" s="34"/>
      <c r="J125" s="35">
        <v>77.599015725391652</v>
      </c>
      <c r="K125" s="35">
        <v>0</v>
      </c>
      <c r="L125" t="e">
        <v>#N/A</v>
      </c>
      <c r="M125" s="35">
        <v>42.057228587732908</v>
      </c>
      <c r="N125" t="e">
        <v>#N/A</v>
      </c>
      <c r="O125" t="e">
        <v>#N/A</v>
      </c>
      <c r="Q125" s="1" t="s">
        <v>53</v>
      </c>
      <c r="R125" s="1" t="s">
        <v>299</v>
      </c>
      <c r="S125" s="2" t="e">
        <f t="shared" si="99"/>
        <v>#N/A</v>
      </c>
      <c r="T125" s="2" t="e">
        <f t="shared" si="100"/>
        <v>#N/A</v>
      </c>
      <c r="U125" s="2">
        <f t="shared" si="101"/>
        <v>0.78180000000000005</v>
      </c>
      <c r="V125" s="2" t="e">
        <f t="shared" si="102"/>
        <v>#N/A</v>
      </c>
      <c r="W125" s="2">
        <f t="shared" si="103"/>
        <v>0.44031584281833291</v>
      </c>
      <c r="X125" s="2">
        <f t="shared" si="104"/>
        <v>0.75045000773426551</v>
      </c>
      <c r="Y125" s="9">
        <f t="shared" si="83"/>
        <v>0.65752195018419946</v>
      </c>
      <c r="Z125" s="2">
        <f t="shared" si="84"/>
        <v>0.96570022464845218</v>
      </c>
      <c r="AA125" s="2">
        <f t="shared" si="85"/>
        <v>0</v>
      </c>
      <c r="AB125" s="2" t="e">
        <f t="shared" si="86"/>
        <v>#N/A</v>
      </c>
      <c r="AC125" s="2">
        <f t="shared" si="87"/>
        <v>0.21028614293866454</v>
      </c>
      <c r="AD125" s="2" t="e">
        <f t="shared" si="88"/>
        <v>#N/A</v>
      </c>
      <c r="AE125" s="2" t="e">
        <f t="shared" si="89"/>
        <v>#N/A</v>
      </c>
      <c r="AF125" s="45" t="e">
        <f t="shared" si="90"/>
        <v>#N/A</v>
      </c>
      <c r="AH125" s="34">
        <v>0.4838241260904948</v>
      </c>
      <c r="AI125" s="34" t="e">
        <f t="shared" si="91"/>
        <v>#N/A</v>
      </c>
      <c r="AJ125" s="34" t="e">
        <f t="shared" si="92"/>
        <v>#N/A</v>
      </c>
      <c r="AK125" s="34" t="e">
        <f t="shared" si="93"/>
        <v>#N/A</v>
      </c>
      <c r="AL125" s="41" t="e">
        <f t="shared" si="94"/>
        <v>#N/A</v>
      </c>
      <c r="AN125">
        <f t="shared" si="97"/>
        <v>161</v>
      </c>
      <c r="AO125" t="e">
        <f t="shared" si="98"/>
        <v>#VALUE!</v>
      </c>
      <c r="AP125" t="e">
        <f t="shared" si="95"/>
        <v>#VALUE!</v>
      </c>
      <c r="AQ125" t="e">
        <f t="shared" si="96"/>
        <v>#VALUE!</v>
      </c>
    </row>
    <row r="126" spans="1:43">
      <c r="A126" s="1" t="s">
        <v>131</v>
      </c>
      <c r="B126" s="1" t="s">
        <v>300</v>
      </c>
      <c r="C126" t="e">
        <f>NA()</f>
        <v>#N/A</v>
      </c>
      <c r="D126" s="39">
        <v>3.1091501760089195</v>
      </c>
      <c r="E126" s="2">
        <v>3.18</v>
      </c>
      <c r="F126" s="41">
        <v>0.24389935902265175</v>
      </c>
      <c r="G126" s="2">
        <v>0.22968404275409959</v>
      </c>
      <c r="H126" s="34">
        <v>0.2268041233795145</v>
      </c>
      <c r="I126" s="34"/>
      <c r="J126" s="35">
        <v>50.933987751335607</v>
      </c>
      <c r="K126" s="35">
        <v>23.500075774733737</v>
      </c>
      <c r="L126" t="e">
        <v>#N/A</v>
      </c>
      <c r="M126" s="35">
        <v>20.153501868937383</v>
      </c>
      <c r="N126">
        <v>1.57</v>
      </c>
      <c r="O126">
        <v>2.2000000000000002</v>
      </c>
      <c r="Q126" s="1" t="s">
        <v>131</v>
      </c>
      <c r="R126" s="1" t="s">
        <v>300</v>
      </c>
      <c r="S126" s="2" t="e">
        <f t="shared" si="99"/>
        <v>#N/A</v>
      </c>
      <c r="T126" s="2">
        <f t="shared" si="100"/>
        <v>0.18908498239910809</v>
      </c>
      <c r="U126" s="2">
        <f t="shared" si="101"/>
        <v>0.96819999999999995</v>
      </c>
      <c r="V126" s="2">
        <f t="shared" si="102"/>
        <v>0.4877987180453035</v>
      </c>
      <c r="W126" s="2">
        <f t="shared" si="103"/>
        <v>0.22968404275409959</v>
      </c>
      <c r="X126" s="2">
        <f t="shared" si="104"/>
        <v>0.62199312770080917</v>
      </c>
      <c r="Y126" s="9">
        <f t="shared" si="83"/>
        <v>0.49935217417986405</v>
      </c>
      <c r="Z126" s="2">
        <f t="shared" si="84"/>
        <v>0.58477125359050863</v>
      </c>
      <c r="AA126" s="2">
        <f t="shared" si="85"/>
        <v>0.29375094718417172</v>
      </c>
      <c r="AB126" s="2" t="e">
        <f t="shared" si="86"/>
        <v>#N/A</v>
      </c>
      <c r="AC126" s="2">
        <f t="shared" si="87"/>
        <v>0.10076750934468691</v>
      </c>
      <c r="AD126" s="2">
        <f t="shared" si="88"/>
        <v>0.157</v>
      </c>
      <c r="AE126" s="2">
        <f t="shared" si="89"/>
        <v>0.55999999999999994</v>
      </c>
      <c r="AF126" s="45">
        <f t="shared" si="90"/>
        <v>0.33925794202387338</v>
      </c>
      <c r="AH126" s="34">
        <v>0.49900152521141444</v>
      </c>
      <c r="AI126" s="34">
        <f t="shared" si="91"/>
        <v>0.47166700366047171</v>
      </c>
      <c r="AJ126" s="34">
        <f t="shared" si="92"/>
        <v>-2.7334521550942736E-2</v>
      </c>
      <c r="AK126" s="34">
        <f t="shared" si="93"/>
        <v>2.7334521550942736E-2</v>
      </c>
      <c r="AL126" s="41">
        <f t="shared" si="94"/>
        <v>5.4778432870243803E-2</v>
      </c>
      <c r="AN126">
        <f t="shared" si="97"/>
        <v>169</v>
      </c>
      <c r="AO126">
        <f t="shared" si="98"/>
        <v>142</v>
      </c>
      <c r="AP126">
        <f t="shared" si="95"/>
        <v>27</v>
      </c>
      <c r="AQ126">
        <f t="shared" si="96"/>
        <v>27</v>
      </c>
    </row>
    <row r="127" spans="1:43">
      <c r="A127" s="1" t="s">
        <v>130</v>
      </c>
      <c r="B127" s="1" t="s">
        <v>301</v>
      </c>
      <c r="C127" t="e">
        <f>NA()</f>
        <v>#N/A</v>
      </c>
      <c r="D127" s="39">
        <v>-2.2120881542860644</v>
      </c>
      <c r="E127" s="2">
        <v>28.29</v>
      </c>
      <c r="F127" s="41">
        <v>0.11139272779246182</v>
      </c>
      <c r="G127" s="2">
        <v>0.82715192823195027</v>
      </c>
      <c r="H127" s="34">
        <v>0.33186057977309757</v>
      </c>
      <c r="I127" s="34"/>
      <c r="J127" s="35">
        <v>27.517020282348735</v>
      </c>
      <c r="K127" s="35">
        <v>0</v>
      </c>
      <c r="L127">
        <v>0</v>
      </c>
      <c r="M127" s="35">
        <v>30.582991749193727</v>
      </c>
      <c r="N127">
        <v>2.23</v>
      </c>
      <c r="O127">
        <v>2.29</v>
      </c>
      <c r="Q127" s="1" t="s">
        <v>130</v>
      </c>
      <c r="R127" s="1" t="s">
        <v>301</v>
      </c>
      <c r="S127" s="2" t="e">
        <f t="shared" si="99"/>
        <v>#N/A</v>
      </c>
      <c r="T127" s="2">
        <f t="shared" si="100"/>
        <v>0.72120881542860649</v>
      </c>
      <c r="U127" s="2">
        <f t="shared" si="101"/>
        <v>0.71710000000000007</v>
      </c>
      <c r="V127" s="2">
        <f t="shared" si="102"/>
        <v>0.22278545558492363</v>
      </c>
      <c r="W127" s="2">
        <f t="shared" si="103"/>
        <v>0.82715192823195027</v>
      </c>
      <c r="X127" s="2">
        <f t="shared" si="104"/>
        <v>0.44689903371150397</v>
      </c>
      <c r="Y127" s="9">
        <f t="shared" si="83"/>
        <v>0.58702904659139687</v>
      </c>
      <c r="Z127" s="2">
        <f t="shared" si="84"/>
        <v>0.25024314689069621</v>
      </c>
      <c r="AA127" s="2">
        <f t="shared" si="85"/>
        <v>0</v>
      </c>
      <c r="AB127" s="2">
        <f t="shared" si="86"/>
        <v>0</v>
      </c>
      <c r="AC127" s="2">
        <f t="shared" si="87"/>
        <v>0.15291495874596864</v>
      </c>
      <c r="AD127" s="2">
        <f t="shared" si="88"/>
        <v>0.223</v>
      </c>
      <c r="AE127" s="2">
        <f t="shared" si="89"/>
        <v>0.54200000000000004</v>
      </c>
      <c r="AF127" s="45">
        <f t="shared" si="90"/>
        <v>0.1946930176061108</v>
      </c>
      <c r="AH127" s="34">
        <v>0.24619163080071474</v>
      </c>
      <c r="AI127" s="34">
        <f t="shared" si="91"/>
        <v>0.28605435650888011</v>
      </c>
      <c r="AJ127" s="34">
        <f t="shared" si="92"/>
        <v>3.9862725708165375E-2</v>
      </c>
      <c r="AK127" s="34">
        <f t="shared" si="93"/>
        <v>3.9862725708165375E-2</v>
      </c>
      <c r="AL127" s="41">
        <f t="shared" si="94"/>
        <v>0.16191746883724548</v>
      </c>
      <c r="AN127">
        <f t="shared" si="97"/>
        <v>56</v>
      </c>
      <c r="AO127">
        <f t="shared" si="98"/>
        <v>62</v>
      </c>
      <c r="AP127">
        <f t="shared" si="95"/>
        <v>-6</v>
      </c>
      <c r="AQ127">
        <f t="shared" si="96"/>
        <v>6</v>
      </c>
    </row>
    <row r="128" spans="1:43">
      <c r="A128" s="1" t="s">
        <v>39</v>
      </c>
      <c r="B128" s="1" t="s">
        <v>302</v>
      </c>
      <c r="C128" t="e">
        <f>NA()</f>
        <v>#N/A</v>
      </c>
      <c r="D128" s="39">
        <v>-0.15855741758152364</v>
      </c>
      <c r="E128" s="2">
        <v>63</v>
      </c>
      <c r="F128" s="41">
        <v>2.3720053015538273E-2</v>
      </c>
      <c r="G128" s="2">
        <v>0.64984640522875814</v>
      </c>
      <c r="H128" s="34">
        <v>0.46956308325351714</v>
      </c>
      <c r="I128" s="34"/>
      <c r="J128" s="35">
        <v>22.052948343038501</v>
      </c>
      <c r="K128" s="35">
        <v>32.380663331897644</v>
      </c>
      <c r="L128">
        <v>14.4</v>
      </c>
      <c r="M128" s="35">
        <v>31.33958604526887</v>
      </c>
      <c r="N128">
        <v>3.39</v>
      </c>
      <c r="O128">
        <v>2.95</v>
      </c>
      <c r="Q128" s="1" t="s">
        <v>39</v>
      </c>
      <c r="R128" s="1" t="s">
        <v>302</v>
      </c>
      <c r="S128" s="2" t="e">
        <f t="shared" si="99"/>
        <v>#N/A</v>
      </c>
      <c r="T128" s="2">
        <f t="shared" si="100"/>
        <v>0.5158557417581523</v>
      </c>
      <c r="U128" s="2">
        <f t="shared" si="101"/>
        <v>0.37</v>
      </c>
      <c r="V128" s="2">
        <f t="shared" si="102"/>
        <v>4.7440106031076547E-2</v>
      </c>
      <c r="W128" s="2">
        <f t="shared" si="103"/>
        <v>0.64984640522875814</v>
      </c>
      <c r="X128" s="2">
        <f t="shared" si="104"/>
        <v>0.21739486124413809</v>
      </c>
      <c r="Y128" s="9">
        <f t="shared" si="83"/>
        <v>0.36010742285242503</v>
      </c>
      <c r="Z128" s="2">
        <f t="shared" si="84"/>
        <v>0.17218497632912144</v>
      </c>
      <c r="AA128" s="2">
        <f t="shared" si="85"/>
        <v>0.40475829164872057</v>
      </c>
      <c r="AB128" s="2">
        <f t="shared" si="86"/>
        <v>0.20571428571428571</v>
      </c>
      <c r="AC128" s="2">
        <f t="shared" si="87"/>
        <v>0.15669793022634435</v>
      </c>
      <c r="AD128" s="2">
        <f t="shared" si="88"/>
        <v>0.33900000000000002</v>
      </c>
      <c r="AE128" s="2">
        <f t="shared" si="89"/>
        <v>0.40999999999999992</v>
      </c>
      <c r="AF128" s="45">
        <f t="shared" si="90"/>
        <v>0.28139258065307865</v>
      </c>
      <c r="AH128" s="34">
        <v>0.26106085115908445</v>
      </c>
      <c r="AI128" s="34">
        <f t="shared" si="91"/>
        <v>0.27869580074281786</v>
      </c>
      <c r="AJ128" s="34">
        <f t="shared" si="92"/>
        <v>1.7634949583733406E-2</v>
      </c>
      <c r="AK128" s="34">
        <f t="shared" si="93"/>
        <v>1.7634949583733406E-2</v>
      </c>
      <c r="AL128" s="41">
        <f t="shared" si="94"/>
        <v>6.7551107358441401E-2</v>
      </c>
      <c r="AN128">
        <f t="shared" si="97"/>
        <v>69</v>
      </c>
      <c r="AO128">
        <f t="shared" si="98"/>
        <v>53</v>
      </c>
      <c r="AP128">
        <f t="shared" si="95"/>
        <v>16</v>
      </c>
      <c r="AQ128">
        <f t="shared" si="96"/>
        <v>16</v>
      </c>
    </row>
    <row r="129" spans="1:43">
      <c r="A129" s="1" t="s">
        <v>175</v>
      </c>
      <c r="B129" s="1" t="s">
        <v>303</v>
      </c>
      <c r="C129" t="e">
        <f>NA()</f>
        <v>#N/A</v>
      </c>
      <c r="D129" s="39" t="e">
        <v>#N/A</v>
      </c>
      <c r="E129" s="2">
        <v>18.47</v>
      </c>
      <c r="F129" s="41" t="e">
        <v>#N/A</v>
      </c>
      <c r="G129" s="2">
        <v>0.72896986806528941</v>
      </c>
      <c r="H129" s="34">
        <v>2.4300441790662264E-2</v>
      </c>
      <c r="I129" s="34"/>
      <c r="J129" s="35">
        <v>27.725283083888069</v>
      </c>
      <c r="K129" s="35">
        <v>0</v>
      </c>
      <c r="L129" t="e">
        <v>#N/A</v>
      </c>
      <c r="M129" s="35">
        <v>100.88170444687414</v>
      </c>
      <c r="N129">
        <v>2.65</v>
      </c>
      <c r="O129" t="e">
        <v>#N/A</v>
      </c>
      <c r="Q129" s="1" t="s">
        <v>175</v>
      </c>
      <c r="R129" s="1" t="s">
        <v>303</v>
      </c>
      <c r="S129" s="2" t="e">
        <f t="shared" si="99"/>
        <v>#N/A</v>
      </c>
      <c r="T129" s="2" t="e">
        <f t="shared" si="100"/>
        <v>#N/A</v>
      </c>
      <c r="U129" s="2">
        <f t="shared" si="101"/>
        <v>0.81530000000000002</v>
      </c>
      <c r="V129" s="2" t="e">
        <f t="shared" si="102"/>
        <v>#N/A</v>
      </c>
      <c r="W129" s="2">
        <f t="shared" si="103"/>
        <v>0.72896986806528941</v>
      </c>
      <c r="X129" s="2">
        <f t="shared" si="104"/>
        <v>0.9594992636822296</v>
      </c>
      <c r="Y129" s="9">
        <f t="shared" si="83"/>
        <v>0.83458971058250631</v>
      </c>
      <c r="Z129" s="2">
        <f t="shared" si="84"/>
        <v>0.25321832976982955</v>
      </c>
      <c r="AA129" s="2">
        <f t="shared" si="85"/>
        <v>0</v>
      </c>
      <c r="AB129" s="2" t="e">
        <f t="shared" si="86"/>
        <v>#N/A</v>
      </c>
      <c r="AC129" s="2">
        <f t="shared" si="87"/>
        <v>0.50440852223437072</v>
      </c>
      <c r="AD129" s="2">
        <f t="shared" si="88"/>
        <v>0.26500000000000001</v>
      </c>
      <c r="AE129" s="2" t="e">
        <f t="shared" si="89"/>
        <v>#N/A</v>
      </c>
      <c r="AF129" s="45">
        <f t="shared" si="90"/>
        <v>0.25565671300105008</v>
      </c>
      <c r="AH129" s="34">
        <v>0.49977454810342098</v>
      </c>
      <c r="AI129" s="34">
        <f t="shared" si="91"/>
        <v>0.50575651386859821</v>
      </c>
      <c r="AJ129" s="34">
        <f t="shared" si="92"/>
        <v>5.9819657651772329E-3</v>
      </c>
      <c r="AK129" s="34">
        <f t="shared" si="93"/>
        <v>5.9819657651772329E-3</v>
      </c>
      <c r="AL129" s="41">
        <f t="shared" si="94"/>
        <v>1.196932854599741E-2</v>
      </c>
      <c r="AN129">
        <f t="shared" si="97"/>
        <v>170</v>
      </c>
      <c r="AO129">
        <f t="shared" si="98"/>
        <v>156</v>
      </c>
      <c r="AP129">
        <f t="shared" si="95"/>
        <v>14</v>
      </c>
      <c r="AQ129">
        <f t="shared" si="96"/>
        <v>14</v>
      </c>
    </row>
    <row r="130" spans="1:43">
      <c r="A130" s="1" t="s">
        <v>129</v>
      </c>
      <c r="B130" s="1" t="s">
        <v>304</v>
      </c>
      <c r="C130" t="e">
        <f>NA()</f>
        <v>#N/A</v>
      </c>
      <c r="D130" s="39">
        <v>6.3662933044139058E-2</v>
      </c>
      <c r="E130" s="2">
        <v>8.18</v>
      </c>
      <c r="F130" s="41">
        <v>0.23793127145133877</v>
      </c>
      <c r="G130" s="2">
        <v>0.27755129019667435</v>
      </c>
      <c r="H130" s="34">
        <v>2.4300441790662264E-2</v>
      </c>
      <c r="I130" s="34"/>
      <c r="J130" s="35">
        <v>43.951160999691396</v>
      </c>
      <c r="K130" s="35">
        <v>0</v>
      </c>
      <c r="L130" t="e">
        <v>#N/A</v>
      </c>
      <c r="M130" s="35">
        <v>681.67998204537628</v>
      </c>
      <c r="N130">
        <v>2</v>
      </c>
      <c r="O130">
        <v>2.0499999999999998</v>
      </c>
      <c r="Q130" s="1" t="s">
        <v>129</v>
      </c>
      <c r="R130" s="1" t="s">
        <v>304</v>
      </c>
      <c r="S130" s="2" t="e">
        <f t="shared" si="99"/>
        <v>#N/A</v>
      </c>
      <c r="T130" s="2">
        <f t="shared" si="100"/>
        <v>0.49363370669558615</v>
      </c>
      <c r="U130" s="2">
        <f t="shared" si="101"/>
        <v>0.91820000000000002</v>
      </c>
      <c r="V130" s="2">
        <f t="shared" si="102"/>
        <v>0.47586254290267754</v>
      </c>
      <c r="W130" s="2">
        <f t="shared" si="103"/>
        <v>0.27755129019667435</v>
      </c>
      <c r="X130" s="2">
        <f t="shared" si="104"/>
        <v>0.9594992636822296</v>
      </c>
      <c r="Y130" s="9">
        <f t="shared" si="83"/>
        <v>0.6249493606954335</v>
      </c>
      <c r="Z130" s="2">
        <f t="shared" si="84"/>
        <v>0.4850165857098771</v>
      </c>
      <c r="AA130" s="2">
        <f t="shared" si="85"/>
        <v>0</v>
      </c>
      <c r="AB130" s="2" t="e">
        <f t="shared" si="86"/>
        <v>#N/A</v>
      </c>
      <c r="AC130" s="2">
        <f t="shared" si="87"/>
        <v>1</v>
      </c>
      <c r="AD130" s="2">
        <f t="shared" si="88"/>
        <v>0.2</v>
      </c>
      <c r="AE130" s="2">
        <f t="shared" si="89"/>
        <v>0.59000000000000008</v>
      </c>
      <c r="AF130" s="45">
        <f t="shared" si="90"/>
        <v>0.45500331714197539</v>
      </c>
      <c r="AH130" s="34">
        <v>0.25217108154261175</v>
      </c>
      <c r="AI130" s="34">
        <f t="shared" si="91"/>
        <v>0.34019636181004864</v>
      </c>
      <c r="AJ130" s="34">
        <f t="shared" si="92"/>
        <v>8.8025280267436889E-2</v>
      </c>
      <c r="AK130" s="34">
        <f t="shared" si="93"/>
        <v>8.8025280267436889E-2</v>
      </c>
      <c r="AL130" s="41">
        <f t="shared" si="94"/>
        <v>0.34906968605978883</v>
      </c>
      <c r="AN130">
        <f t="shared" si="97"/>
        <v>60</v>
      </c>
      <c r="AO130">
        <f t="shared" si="98"/>
        <v>94</v>
      </c>
      <c r="AP130">
        <f t="shared" si="95"/>
        <v>-34</v>
      </c>
      <c r="AQ130">
        <f t="shared" si="96"/>
        <v>34</v>
      </c>
    </row>
    <row r="131" spans="1:43">
      <c r="A131" s="1" t="s">
        <v>2</v>
      </c>
      <c r="B131" s="1" t="s">
        <v>305</v>
      </c>
      <c r="C131" t="e">
        <f>NA()</f>
        <v>#N/A</v>
      </c>
      <c r="D131" s="39" t="e">
        <v>#N/A</v>
      </c>
      <c r="E131" s="2">
        <v>100</v>
      </c>
      <c r="F131" s="41" t="e">
        <v>#N/A</v>
      </c>
      <c r="G131" s="2">
        <v>0.5</v>
      </c>
      <c r="H131" s="34">
        <v>0.35616102156375984</v>
      </c>
      <c r="I131" s="34"/>
      <c r="J131" s="35">
        <v>92.749526528535483</v>
      </c>
      <c r="K131" s="35">
        <v>0</v>
      </c>
      <c r="L131">
        <v>0</v>
      </c>
      <c r="M131" s="35">
        <v>2.6196080458309435E-11</v>
      </c>
      <c r="N131">
        <v>0</v>
      </c>
      <c r="O131" t="e">
        <v>#N/A</v>
      </c>
      <c r="Q131" s="1" t="s">
        <v>2</v>
      </c>
      <c r="R131" s="1" t="s">
        <v>305</v>
      </c>
      <c r="S131" s="2" t="e">
        <f t="shared" si="99"/>
        <v>#N/A</v>
      </c>
      <c r="T131" s="2" t="e">
        <f t="shared" si="100"/>
        <v>#N/A</v>
      </c>
      <c r="U131" s="2">
        <f t="shared" si="101"/>
        <v>0</v>
      </c>
      <c r="V131" s="2" t="e">
        <f t="shared" si="102"/>
        <v>#N/A</v>
      </c>
      <c r="W131" s="2">
        <f t="shared" si="103"/>
        <v>0.5</v>
      </c>
      <c r="X131" s="2">
        <f t="shared" si="104"/>
        <v>0.40639829739373357</v>
      </c>
      <c r="Y131" s="9">
        <f t="shared" si="83"/>
        <v>0.30213276579791121</v>
      </c>
      <c r="Z131" s="2">
        <f t="shared" si="84"/>
        <v>1</v>
      </c>
      <c r="AA131" s="2">
        <f t="shared" si="85"/>
        <v>0</v>
      </c>
      <c r="AB131" s="2">
        <f t="shared" si="86"/>
        <v>0</v>
      </c>
      <c r="AC131" s="2">
        <f t="shared" si="87"/>
        <v>1.3098040229154717E-13</v>
      </c>
      <c r="AD131" s="2">
        <f t="shared" si="88"/>
        <v>0</v>
      </c>
      <c r="AE131" s="2" t="e">
        <f t="shared" si="89"/>
        <v>#N/A</v>
      </c>
      <c r="AF131" s="45">
        <f t="shared" si="90"/>
        <v>0.20000000000002621</v>
      </c>
      <c r="AH131" s="34">
        <v>0.24338732509046909</v>
      </c>
      <c r="AI131" s="34">
        <f t="shared" si="91"/>
        <v>0.24434170374745637</v>
      </c>
      <c r="AJ131" s="34">
        <f t="shared" si="92"/>
        <v>9.5437865698727586E-4</v>
      </c>
      <c r="AK131" s="34">
        <f t="shared" si="93"/>
        <v>9.5437865698727586E-4</v>
      </c>
      <c r="AL131" s="41">
        <f t="shared" si="94"/>
        <v>3.9212340109844477E-3</v>
      </c>
      <c r="AN131">
        <f t="shared" si="97"/>
        <v>54</v>
      </c>
      <c r="AO131">
        <f t="shared" si="98"/>
        <v>43</v>
      </c>
      <c r="AP131">
        <f t="shared" si="95"/>
        <v>11</v>
      </c>
      <c r="AQ131">
        <f t="shared" si="96"/>
        <v>11</v>
      </c>
    </row>
    <row r="132" spans="1:43">
      <c r="A132" s="1" t="s">
        <v>66</v>
      </c>
      <c r="B132" s="1" t="s">
        <v>306</v>
      </c>
      <c r="C132" t="e">
        <f>NA()</f>
        <v>#N/A</v>
      </c>
      <c r="D132" s="39">
        <v>-0.28418714577351678</v>
      </c>
      <c r="E132" s="2">
        <v>28.18</v>
      </c>
      <c r="F132" s="41">
        <v>6.301708584353001E-2</v>
      </c>
      <c r="G132" s="2">
        <v>0.25793879932490926</v>
      </c>
      <c r="H132" s="34">
        <v>8.100147263554125E-3</v>
      </c>
      <c r="I132" s="34"/>
      <c r="J132" s="35">
        <v>34.653109871112662</v>
      </c>
      <c r="K132" s="35">
        <v>0</v>
      </c>
      <c r="L132">
        <v>0</v>
      </c>
      <c r="M132" s="35">
        <v>401.04455373700614</v>
      </c>
      <c r="N132">
        <v>5.91</v>
      </c>
      <c r="O132">
        <v>2.5499999999999998</v>
      </c>
      <c r="Q132" s="1" t="s">
        <v>66</v>
      </c>
      <c r="R132" s="1" t="s">
        <v>306</v>
      </c>
      <c r="S132" s="2" t="e">
        <f t="shared" si="99"/>
        <v>#N/A</v>
      </c>
      <c r="T132" s="2">
        <f t="shared" si="100"/>
        <v>0.52841871457735168</v>
      </c>
      <c r="U132" s="2">
        <f t="shared" si="101"/>
        <v>0.71819999999999995</v>
      </c>
      <c r="V132" s="2">
        <f t="shared" si="102"/>
        <v>0.12603417168706002</v>
      </c>
      <c r="W132" s="2">
        <f t="shared" si="103"/>
        <v>0.25793879932490926</v>
      </c>
      <c r="X132" s="2">
        <f t="shared" si="104"/>
        <v>0.98649975456074313</v>
      </c>
      <c r="Y132" s="9">
        <f t="shared" si="83"/>
        <v>0.52341828803001289</v>
      </c>
      <c r="Z132" s="2">
        <f t="shared" si="84"/>
        <v>0.35218728387303805</v>
      </c>
      <c r="AA132" s="2">
        <f t="shared" si="85"/>
        <v>0</v>
      </c>
      <c r="AB132" s="2">
        <f t="shared" si="86"/>
        <v>0</v>
      </c>
      <c r="AC132" s="2">
        <f t="shared" si="87"/>
        <v>1</v>
      </c>
      <c r="AD132" s="2">
        <f t="shared" si="88"/>
        <v>0.59099999999999997</v>
      </c>
      <c r="AE132" s="2">
        <f t="shared" si="89"/>
        <v>0.49</v>
      </c>
      <c r="AF132" s="45">
        <f t="shared" si="90"/>
        <v>0.40553121397883968</v>
      </c>
      <c r="AH132" s="34">
        <v>0.19640837186171958</v>
      </c>
      <c r="AI132" s="34">
        <f t="shared" si="91"/>
        <v>0.27897370424869639</v>
      </c>
      <c r="AJ132" s="34">
        <f t="shared" si="92"/>
        <v>8.2565332386976803E-2</v>
      </c>
      <c r="AK132" s="34">
        <f t="shared" si="93"/>
        <v>8.2565332386976803E-2</v>
      </c>
      <c r="AL132" s="41">
        <f t="shared" si="94"/>
        <v>0.42037583023755498</v>
      </c>
      <c r="AN132">
        <f t="shared" si="97"/>
        <v>26</v>
      </c>
      <c r="AO132">
        <f t="shared" si="98"/>
        <v>54</v>
      </c>
      <c r="AP132">
        <f t="shared" si="95"/>
        <v>-28</v>
      </c>
      <c r="AQ132">
        <f t="shared" si="96"/>
        <v>28</v>
      </c>
    </row>
    <row r="133" spans="1:43">
      <c r="A133" s="1" t="s">
        <v>94</v>
      </c>
      <c r="B133" s="1" t="s">
        <v>307</v>
      </c>
      <c r="C133" t="e">
        <f>NA()</f>
        <v>#N/A</v>
      </c>
      <c r="D133" s="39">
        <v>10.849243738942825</v>
      </c>
      <c r="E133" s="2">
        <v>69.47</v>
      </c>
      <c r="F133" s="41">
        <v>0.32065601039412678</v>
      </c>
      <c r="G133" s="2">
        <v>0.24318072080481432</v>
      </c>
      <c r="H133" s="34">
        <v>0.24705449153839976</v>
      </c>
      <c r="I133" s="34"/>
      <c r="J133" s="35">
        <v>60.955426863525943</v>
      </c>
      <c r="K133" s="35">
        <v>8.4000340954453918</v>
      </c>
      <c r="L133">
        <v>57.9</v>
      </c>
      <c r="M133" s="35">
        <v>17.179233450896575</v>
      </c>
      <c r="N133">
        <v>0.84</v>
      </c>
      <c r="O133">
        <v>1.94</v>
      </c>
      <c r="Q133" s="1" t="s">
        <v>94</v>
      </c>
      <c r="R133" s="1" t="s">
        <v>307</v>
      </c>
      <c r="S133" s="2" t="e">
        <f t="shared" si="99"/>
        <v>#N/A</v>
      </c>
      <c r="T133" s="2">
        <f t="shared" si="100"/>
        <v>0</v>
      </c>
      <c r="U133" s="2">
        <f t="shared" si="101"/>
        <v>0.30530000000000002</v>
      </c>
      <c r="V133" s="2">
        <f t="shared" si="102"/>
        <v>0.64131202078825356</v>
      </c>
      <c r="W133" s="2">
        <f t="shared" si="103"/>
        <v>0.24318072080481432</v>
      </c>
      <c r="X133" s="2">
        <f t="shared" si="104"/>
        <v>0.58824251410266704</v>
      </c>
      <c r="Y133" s="9">
        <f t="shared" si="83"/>
        <v>0.35560705113914698</v>
      </c>
      <c r="Z133" s="2">
        <f t="shared" si="84"/>
        <v>0.72793466947894203</v>
      </c>
      <c r="AA133" s="2">
        <f t="shared" si="85"/>
        <v>0.1050004261930674</v>
      </c>
      <c r="AB133" s="2">
        <f t="shared" si="86"/>
        <v>0.82714285714285707</v>
      </c>
      <c r="AC133" s="2">
        <f t="shared" si="87"/>
        <v>8.5896167254482875E-2</v>
      </c>
      <c r="AD133" s="2">
        <f t="shared" si="88"/>
        <v>8.3999999999999991E-2</v>
      </c>
      <c r="AE133" s="2">
        <f t="shared" si="89"/>
        <v>0.61199999999999999</v>
      </c>
      <c r="AF133" s="45">
        <f t="shared" si="90"/>
        <v>0.40699568667822489</v>
      </c>
      <c r="AH133" s="34">
        <v>0.36911170244269492</v>
      </c>
      <c r="AI133" s="34">
        <f t="shared" si="91"/>
        <v>0.37367686383970755</v>
      </c>
      <c r="AJ133" s="34">
        <f t="shared" si="92"/>
        <v>4.5651613970126292E-3</v>
      </c>
      <c r="AK133" s="34">
        <f t="shared" si="93"/>
        <v>4.5651613970126292E-3</v>
      </c>
      <c r="AL133" s="41">
        <f t="shared" si="94"/>
        <v>1.2367967113482068E-2</v>
      </c>
      <c r="AN133">
        <f t="shared" si="97"/>
        <v>120</v>
      </c>
      <c r="AO133">
        <f t="shared" si="98"/>
        <v>112</v>
      </c>
      <c r="AP133">
        <f t="shared" si="95"/>
        <v>8</v>
      </c>
      <c r="AQ133">
        <f t="shared" si="96"/>
        <v>8</v>
      </c>
    </row>
    <row r="134" spans="1:43">
      <c r="A134" s="1" t="s">
        <v>87</v>
      </c>
      <c r="B134" s="1" t="s">
        <v>308</v>
      </c>
      <c r="C134" t="e">
        <f>NA()</f>
        <v>#N/A</v>
      </c>
      <c r="D134" s="39" t="e">
        <v>#N/A</v>
      </c>
      <c r="E134" s="2">
        <v>77.94</v>
      </c>
      <c r="F134" s="41" t="e">
        <v>#N/A</v>
      </c>
      <c r="G134" s="2" t="e">
        <v>#DIV/0!</v>
      </c>
      <c r="H134" s="34">
        <v>0</v>
      </c>
      <c r="I134" s="34"/>
      <c r="J134" s="35">
        <v>38.131775067966181</v>
      </c>
      <c r="K134" s="35">
        <v>0</v>
      </c>
      <c r="L134">
        <v>0</v>
      </c>
      <c r="M134" s="35">
        <v>-340.78074027771993</v>
      </c>
      <c r="N134">
        <v>8.09</v>
      </c>
      <c r="O134">
        <v>2.4500000000000002</v>
      </c>
      <c r="Q134" s="1" t="s">
        <v>87</v>
      </c>
      <c r="R134" s="1" t="s">
        <v>308</v>
      </c>
      <c r="S134" s="2" t="e">
        <f t="shared" si="99"/>
        <v>#N/A</v>
      </c>
      <c r="T134" s="2" t="e">
        <f t="shared" si="100"/>
        <v>#N/A</v>
      </c>
      <c r="U134" s="2">
        <f t="shared" si="101"/>
        <v>0.22060000000000002</v>
      </c>
      <c r="V134" s="2" t="e">
        <f t="shared" si="102"/>
        <v>#N/A</v>
      </c>
      <c r="W134" s="2" t="e">
        <f t="shared" si="103"/>
        <v>#DIV/0!</v>
      </c>
      <c r="X134" s="2">
        <f t="shared" si="104"/>
        <v>1</v>
      </c>
      <c r="Y134" s="9" t="e">
        <f t="shared" si="83"/>
        <v>#N/A</v>
      </c>
      <c r="Z134" s="2">
        <f t="shared" si="84"/>
        <v>0.40188250097094547</v>
      </c>
      <c r="AA134" s="2">
        <f t="shared" si="85"/>
        <v>0</v>
      </c>
      <c r="AB134" s="2">
        <f t="shared" si="86"/>
        <v>0</v>
      </c>
      <c r="AC134" s="2">
        <f t="shared" si="87"/>
        <v>0</v>
      </c>
      <c r="AD134" s="2">
        <f t="shared" si="88"/>
        <v>0.80899999999999994</v>
      </c>
      <c r="AE134" s="2">
        <f t="shared" si="89"/>
        <v>0.51</v>
      </c>
      <c r="AF134" s="45">
        <f t="shared" si="90"/>
        <v>0.28681375016182425</v>
      </c>
      <c r="AH134" s="34" t="e">
        <v>#N/A</v>
      </c>
      <c r="AI134" s="34" t="e">
        <f t="shared" si="91"/>
        <v>#N/A</v>
      </c>
      <c r="AJ134" s="34" t="e">
        <f t="shared" si="92"/>
        <v>#N/A</v>
      </c>
      <c r="AK134" s="34" t="e">
        <f t="shared" si="93"/>
        <v>#N/A</v>
      </c>
      <c r="AL134" s="41" t="e">
        <f t="shared" si="94"/>
        <v>#N/A</v>
      </c>
      <c r="AN134" t="e">
        <f t="shared" si="97"/>
        <v>#VALUE!</v>
      </c>
      <c r="AO134" t="e">
        <f t="shared" si="98"/>
        <v>#VALUE!</v>
      </c>
      <c r="AP134" t="e">
        <f t="shared" si="95"/>
        <v>#VALUE!</v>
      </c>
      <c r="AQ134" t="e">
        <f t="shared" si="96"/>
        <v>#VALUE!</v>
      </c>
    </row>
    <row r="135" spans="1:43">
      <c r="A135" s="1" t="s">
        <v>100</v>
      </c>
      <c r="B135" s="1" t="s">
        <v>309</v>
      </c>
      <c r="C135" t="e">
        <f>NA()</f>
        <v>#N/A</v>
      </c>
      <c r="D135" s="39">
        <v>-0.27984904743157801</v>
      </c>
      <c r="E135" s="2">
        <v>9.06</v>
      </c>
      <c r="F135" s="41">
        <v>7.5028231059698983E-2</v>
      </c>
      <c r="G135" s="2">
        <v>0.24662421741003993</v>
      </c>
      <c r="H135" s="34">
        <v>0.47778595953338132</v>
      </c>
      <c r="I135" s="34"/>
      <c r="J135" s="35">
        <v>18.124990770957091</v>
      </c>
      <c r="K135" s="35">
        <v>31.323021415088384</v>
      </c>
      <c r="L135">
        <v>13.1</v>
      </c>
      <c r="M135" s="35">
        <v>60.342447978475512</v>
      </c>
      <c r="N135">
        <v>1.27</v>
      </c>
      <c r="O135">
        <v>2.33</v>
      </c>
      <c r="Q135" s="1" t="s">
        <v>100</v>
      </c>
      <c r="R135" s="1" t="s">
        <v>309</v>
      </c>
      <c r="S135" s="2" t="e">
        <f t="shared" si="99"/>
        <v>#N/A</v>
      </c>
      <c r="T135" s="2">
        <f t="shared" si="100"/>
        <v>0.52798490474315785</v>
      </c>
      <c r="U135" s="2">
        <f t="shared" si="101"/>
        <v>0.90939999999999999</v>
      </c>
      <c r="V135" s="2">
        <f t="shared" si="102"/>
        <v>0.15005646211939797</v>
      </c>
      <c r="W135" s="2">
        <f t="shared" si="103"/>
        <v>0.24662421741003993</v>
      </c>
      <c r="X135" s="2">
        <f t="shared" si="104"/>
        <v>0.20369006744436446</v>
      </c>
      <c r="Y135" s="9">
        <f t="shared" si="83"/>
        <v>0.40755113034339202</v>
      </c>
      <c r="Z135" s="2">
        <f t="shared" si="84"/>
        <v>0.11607129672795843</v>
      </c>
      <c r="AA135" s="2">
        <f t="shared" si="85"/>
        <v>0.39153776768860482</v>
      </c>
      <c r="AB135" s="2">
        <f t="shared" si="86"/>
        <v>0.18714285714285714</v>
      </c>
      <c r="AC135" s="2">
        <f t="shared" si="87"/>
        <v>0.30171223989237755</v>
      </c>
      <c r="AD135" s="2">
        <f t="shared" si="88"/>
        <v>0.127</v>
      </c>
      <c r="AE135" s="2">
        <f t="shared" si="89"/>
        <v>0.53400000000000003</v>
      </c>
      <c r="AF135" s="45">
        <f t="shared" si="90"/>
        <v>0.27624402690863298</v>
      </c>
      <c r="AH135" s="34">
        <v>0.37661608330287599</v>
      </c>
      <c r="AI135" s="34">
        <f t="shared" si="91"/>
        <v>0.36382873749822237</v>
      </c>
      <c r="AJ135" s="34">
        <f t="shared" si="92"/>
        <v>-1.2787345804653627E-2</v>
      </c>
      <c r="AK135" s="34">
        <f t="shared" si="93"/>
        <v>1.2787345804653627E-2</v>
      </c>
      <c r="AL135" s="41">
        <f t="shared" si="94"/>
        <v>3.3953265331926885E-2</v>
      </c>
      <c r="AN135">
        <f t="shared" si="97"/>
        <v>122</v>
      </c>
      <c r="AO135">
        <f t="shared" si="98"/>
        <v>110</v>
      </c>
      <c r="AP135">
        <f t="shared" si="95"/>
        <v>12</v>
      </c>
      <c r="AQ135">
        <f t="shared" si="96"/>
        <v>12</v>
      </c>
    </row>
    <row r="136" spans="1:43">
      <c r="A136" s="1" t="s">
        <v>142</v>
      </c>
      <c r="B136" s="1" t="s">
        <v>310</v>
      </c>
      <c r="C136" t="e">
        <f>NA()</f>
        <v>#N/A</v>
      </c>
      <c r="D136" s="39">
        <v>1.1578742640292337</v>
      </c>
      <c r="E136" s="2">
        <v>90.76</v>
      </c>
      <c r="F136" s="41">
        <v>0.20633521760829607</v>
      </c>
      <c r="G136" s="2">
        <v>0.33468331905743459</v>
      </c>
      <c r="H136" s="34">
        <v>0.14175257711219658</v>
      </c>
      <c r="I136" s="34"/>
      <c r="J136" s="35">
        <v>18.422290093262593</v>
      </c>
      <c r="K136" s="35">
        <v>52.774910184511654</v>
      </c>
      <c r="L136">
        <v>80.5</v>
      </c>
      <c r="M136" s="35">
        <v>89.171907336970634</v>
      </c>
      <c r="N136">
        <v>2.4300000000000002</v>
      </c>
      <c r="O136">
        <v>2.04</v>
      </c>
      <c r="Q136" s="1" t="s">
        <v>142</v>
      </c>
      <c r="R136" s="1" t="s">
        <v>310</v>
      </c>
      <c r="S136" s="2" t="e">
        <f t="shared" si="99"/>
        <v>#N/A</v>
      </c>
      <c r="T136" s="2">
        <f t="shared" si="100"/>
        <v>0.38421257359707661</v>
      </c>
      <c r="U136" s="2">
        <f t="shared" si="101"/>
        <v>9.2399999999999927E-2</v>
      </c>
      <c r="V136" s="2">
        <f t="shared" si="102"/>
        <v>0.41267043521659214</v>
      </c>
      <c r="W136" s="2">
        <f t="shared" si="103"/>
        <v>0.33468331905743459</v>
      </c>
      <c r="X136" s="2">
        <f t="shared" si="104"/>
        <v>0.76374570481300563</v>
      </c>
      <c r="Y136" s="9">
        <f t="shared" si="83"/>
        <v>0.39754240653682177</v>
      </c>
      <c r="Z136" s="2">
        <f t="shared" si="84"/>
        <v>0.12031842990375133</v>
      </c>
      <c r="AA136" s="2">
        <f t="shared" si="85"/>
        <v>0.65968637730639568</v>
      </c>
      <c r="AB136" s="2">
        <f t="shared" si="86"/>
        <v>1</v>
      </c>
      <c r="AC136" s="2">
        <f t="shared" si="87"/>
        <v>0.44585953668485317</v>
      </c>
      <c r="AD136" s="2">
        <f t="shared" si="88"/>
        <v>0.24300000000000002</v>
      </c>
      <c r="AE136" s="2">
        <f t="shared" si="89"/>
        <v>0.59199999999999997</v>
      </c>
      <c r="AF136" s="45">
        <f t="shared" si="90"/>
        <v>0.51014405731583334</v>
      </c>
      <c r="AH136" s="34">
        <v>0.54330046813420896</v>
      </c>
      <c r="AI136" s="34">
        <f t="shared" si="91"/>
        <v>0.51679393176571786</v>
      </c>
      <c r="AJ136" s="34">
        <f t="shared" si="92"/>
        <v>-2.6506536368491096E-2</v>
      </c>
      <c r="AK136" s="34">
        <f t="shared" si="93"/>
        <v>2.6506536368491096E-2</v>
      </c>
      <c r="AL136" s="41">
        <f t="shared" si="94"/>
        <v>4.8787987353515978E-2</v>
      </c>
      <c r="AN136">
        <f t="shared" si="97"/>
        <v>181</v>
      </c>
      <c r="AO136">
        <f t="shared" si="98"/>
        <v>162</v>
      </c>
      <c r="AP136">
        <f t="shared" si="95"/>
        <v>19</v>
      </c>
      <c r="AQ136">
        <f t="shared" si="96"/>
        <v>19</v>
      </c>
    </row>
    <row r="137" spans="1:43">
      <c r="A137" s="1" t="s">
        <v>150</v>
      </c>
      <c r="B137" s="1" t="s">
        <v>311</v>
      </c>
      <c r="C137" t="e">
        <f>NA()</f>
        <v>#N/A</v>
      </c>
      <c r="D137" s="39">
        <v>0.34703194358086864</v>
      </c>
      <c r="E137" s="2">
        <v>34.119999999999997</v>
      </c>
      <c r="F137" s="41" t="e">
        <v>#N/A</v>
      </c>
      <c r="G137" s="2">
        <v>0.55755006322474365</v>
      </c>
      <c r="H137" s="34">
        <v>0.17010309253463585</v>
      </c>
      <c r="I137" s="34"/>
      <c r="J137" s="35">
        <v>26.751218763089202</v>
      </c>
      <c r="K137" s="35">
        <v>24.402440185847489</v>
      </c>
      <c r="L137">
        <v>45.6</v>
      </c>
      <c r="M137" s="35">
        <v>259.77450754999688</v>
      </c>
      <c r="N137" t="e">
        <v>#N/A</v>
      </c>
      <c r="O137">
        <v>1.92</v>
      </c>
      <c r="Q137" s="1" t="s">
        <v>150</v>
      </c>
      <c r="R137" s="1" t="s">
        <v>311</v>
      </c>
      <c r="S137" s="2" t="e">
        <f t="shared" si="99"/>
        <v>#N/A</v>
      </c>
      <c r="T137" s="2">
        <f t="shared" si="100"/>
        <v>0.46529680564191311</v>
      </c>
      <c r="U137" s="2">
        <f t="shared" si="101"/>
        <v>0.65880000000000005</v>
      </c>
      <c r="V137" s="2" t="e">
        <f t="shared" si="102"/>
        <v>#N/A</v>
      </c>
      <c r="W137" s="2">
        <f t="shared" si="103"/>
        <v>0.55755006322474365</v>
      </c>
      <c r="X137" s="2">
        <f t="shared" si="104"/>
        <v>0.71649484577560685</v>
      </c>
      <c r="Y137" s="9">
        <f t="shared" si="83"/>
        <v>0.59953542866056586</v>
      </c>
      <c r="Z137" s="2">
        <f t="shared" si="84"/>
        <v>0.2393031251869886</v>
      </c>
      <c r="AA137" s="2">
        <f t="shared" si="85"/>
        <v>0.30503050232309359</v>
      </c>
      <c r="AB137" s="2">
        <f t="shared" si="86"/>
        <v>0.65142857142857147</v>
      </c>
      <c r="AC137" s="2">
        <f t="shared" si="87"/>
        <v>1</v>
      </c>
      <c r="AD137" s="2" t="e">
        <f t="shared" si="88"/>
        <v>#N/A</v>
      </c>
      <c r="AE137" s="2">
        <f t="shared" si="89"/>
        <v>0.61599999999999999</v>
      </c>
      <c r="AF137" s="45">
        <f t="shared" si="90"/>
        <v>0.56235243978773075</v>
      </c>
      <c r="AH137" s="34">
        <v>0.41540726652091875</v>
      </c>
      <c r="AI137" s="34">
        <f t="shared" si="91"/>
        <v>0.46690189081517902</v>
      </c>
      <c r="AJ137" s="34">
        <f t="shared" si="92"/>
        <v>5.1494624294260272E-2</v>
      </c>
      <c r="AK137" s="34">
        <f t="shared" si="93"/>
        <v>5.1494624294260272E-2</v>
      </c>
      <c r="AL137" s="41">
        <f t="shared" si="94"/>
        <v>0.12396178026815317</v>
      </c>
      <c r="AN137">
        <f t="shared" si="97"/>
        <v>130</v>
      </c>
      <c r="AO137">
        <f t="shared" si="98"/>
        <v>138</v>
      </c>
      <c r="AP137">
        <f t="shared" si="95"/>
        <v>-8</v>
      </c>
      <c r="AQ137">
        <f t="shared" si="96"/>
        <v>8</v>
      </c>
    </row>
    <row r="138" spans="1:43">
      <c r="A138" s="1" t="s">
        <v>141</v>
      </c>
      <c r="B138" s="1" t="s">
        <v>312</v>
      </c>
      <c r="C138" t="e">
        <f>NA()</f>
        <v>#N/A</v>
      </c>
      <c r="D138" s="39">
        <v>5.9856518089175124</v>
      </c>
      <c r="E138" s="2">
        <v>82.76</v>
      </c>
      <c r="F138" s="41">
        <v>8.3282539499745331E-2</v>
      </c>
      <c r="G138" s="2">
        <v>0.31015338064435988</v>
      </c>
      <c r="H138" s="34">
        <v>0.17820323979818997</v>
      </c>
      <c r="I138" s="34"/>
      <c r="J138" s="35">
        <v>40.730377857565948</v>
      </c>
      <c r="K138" s="35">
        <v>0</v>
      </c>
      <c r="L138">
        <v>33.5</v>
      </c>
      <c r="M138" s="35">
        <v>84.445920437792992</v>
      </c>
      <c r="N138">
        <v>0.67</v>
      </c>
      <c r="O138">
        <v>1.71</v>
      </c>
      <c r="Q138" s="1" t="s">
        <v>141</v>
      </c>
      <c r="R138" s="1" t="s">
        <v>312</v>
      </c>
      <c r="S138" s="2" t="e">
        <f t="shared" si="99"/>
        <v>#N/A</v>
      </c>
      <c r="T138" s="2">
        <f t="shared" si="100"/>
        <v>0</v>
      </c>
      <c r="U138" s="2">
        <f t="shared" si="101"/>
        <v>0.1724</v>
      </c>
      <c r="V138" s="2">
        <f t="shared" si="102"/>
        <v>0.16656507899949066</v>
      </c>
      <c r="W138" s="2">
        <f t="shared" si="103"/>
        <v>0.31015338064435988</v>
      </c>
      <c r="X138" s="2">
        <f t="shared" si="104"/>
        <v>0.70299460033635008</v>
      </c>
      <c r="Y138" s="9">
        <f t="shared" si="83"/>
        <v>0.27042261199604012</v>
      </c>
      <c r="Z138" s="2">
        <f t="shared" si="84"/>
        <v>0.43900539796522781</v>
      </c>
      <c r="AA138" s="2">
        <f t="shared" si="85"/>
        <v>0</v>
      </c>
      <c r="AB138" s="2">
        <f t="shared" si="86"/>
        <v>0.47857142857142859</v>
      </c>
      <c r="AC138" s="2">
        <f t="shared" si="87"/>
        <v>0.42222960218896494</v>
      </c>
      <c r="AD138" s="2">
        <f t="shared" si="88"/>
        <v>6.7000000000000004E-2</v>
      </c>
      <c r="AE138" s="2">
        <f t="shared" si="89"/>
        <v>0.65800000000000003</v>
      </c>
      <c r="AF138" s="45">
        <f t="shared" si="90"/>
        <v>0.34413440478760354</v>
      </c>
      <c r="AH138" s="34">
        <v>0.44252464240563311</v>
      </c>
      <c r="AI138" s="34">
        <f t="shared" si="91"/>
        <v>0.40107174018402908</v>
      </c>
      <c r="AJ138" s="34">
        <f t="shared" si="92"/>
        <v>-4.1452902221604027E-2</v>
      </c>
      <c r="AK138" s="34">
        <f t="shared" si="93"/>
        <v>4.1452902221604027E-2</v>
      </c>
      <c r="AL138" s="41">
        <f t="shared" si="94"/>
        <v>9.3673658479807076E-2</v>
      </c>
      <c r="AN138">
        <f t="shared" si="97"/>
        <v>143</v>
      </c>
      <c r="AO138">
        <f t="shared" si="98"/>
        <v>116</v>
      </c>
      <c r="AP138">
        <f t="shared" si="95"/>
        <v>27</v>
      </c>
      <c r="AQ138">
        <f t="shared" si="96"/>
        <v>27</v>
      </c>
    </row>
    <row r="139" spans="1:43">
      <c r="A139" s="1" t="s">
        <v>1</v>
      </c>
      <c r="B139" s="1" t="s">
        <v>313</v>
      </c>
      <c r="C139" t="e">
        <f>NA()</f>
        <v>#N/A</v>
      </c>
      <c r="D139" s="39" t="e">
        <v>#N/A</v>
      </c>
      <c r="E139" s="2">
        <v>0</v>
      </c>
      <c r="F139" s="41" t="e">
        <v>#N/A</v>
      </c>
      <c r="G139" s="2" t="e">
        <v>#DIV/0!</v>
      </c>
      <c r="H139" s="34">
        <v>6.8851251740209785E-2</v>
      </c>
      <c r="I139" s="34"/>
      <c r="J139" s="35" t="e">
        <v>#N/A</v>
      </c>
      <c r="K139" s="35">
        <v>0</v>
      </c>
      <c r="L139" t="e">
        <v>#N/A</v>
      </c>
      <c r="M139" s="35" t="e">
        <v>#N/A</v>
      </c>
      <c r="N139" t="e">
        <v>#N/A</v>
      </c>
      <c r="O139" t="e">
        <v>#N/A</v>
      </c>
      <c r="Q139" s="1" t="s">
        <v>1</v>
      </c>
      <c r="R139" s="1" t="s">
        <v>313</v>
      </c>
      <c r="S139" s="2" t="e">
        <f t="shared" si="99"/>
        <v>#N/A</v>
      </c>
      <c r="T139" s="2" t="e">
        <f t="shared" si="100"/>
        <v>#N/A</v>
      </c>
      <c r="U139" s="2">
        <f t="shared" si="101"/>
        <v>1</v>
      </c>
      <c r="V139" s="2" t="e">
        <f t="shared" si="102"/>
        <v>#N/A</v>
      </c>
      <c r="W139" s="2" t="e">
        <f t="shared" si="103"/>
        <v>#DIV/0!</v>
      </c>
      <c r="X139" s="2">
        <f t="shared" si="104"/>
        <v>0.88524791376631706</v>
      </c>
      <c r="Y139" s="9" t="e">
        <f t="shared" si="83"/>
        <v>#N/A</v>
      </c>
      <c r="Z139" s="2" t="e">
        <f t="shared" si="84"/>
        <v>#N/A</v>
      </c>
      <c r="AA139" s="2">
        <f t="shared" si="85"/>
        <v>0</v>
      </c>
      <c r="AB139" s="2" t="e">
        <f t="shared" si="86"/>
        <v>#N/A</v>
      </c>
      <c r="AC139" s="2" t="e">
        <f t="shared" si="87"/>
        <v>#N/A</v>
      </c>
      <c r="AD139" s="2" t="e">
        <f t="shared" si="88"/>
        <v>#N/A</v>
      </c>
      <c r="AE139" s="2" t="e">
        <f t="shared" si="89"/>
        <v>#N/A</v>
      </c>
      <c r="AF139" s="45" t="e">
        <f t="shared" si="90"/>
        <v>#N/A</v>
      </c>
      <c r="AH139" s="34" t="e">
        <v>#N/A</v>
      </c>
      <c r="AI139" s="34" t="e">
        <f t="shared" si="91"/>
        <v>#N/A</v>
      </c>
      <c r="AJ139" s="34" t="e">
        <f t="shared" si="92"/>
        <v>#N/A</v>
      </c>
      <c r="AK139" s="34" t="e">
        <f t="shared" si="93"/>
        <v>#N/A</v>
      </c>
      <c r="AL139" s="41" t="e">
        <f t="shared" si="94"/>
        <v>#N/A</v>
      </c>
      <c r="AN139" t="e">
        <f t="shared" si="97"/>
        <v>#VALUE!</v>
      </c>
      <c r="AO139" t="e">
        <f t="shared" si="98"/>
        <v>#VALUE!</v>
      </c>
      <c r="AP139" t="e">
        <f t="shared" si="95"/>
        <v>#VALUE!</v>
      </c>
      <c r="AQ139" t="e">
        <f t="shared" si="96"/>
        <v>#VALUE!</v>
      </c>
    </row>
    <row r="140" spans="1:43">
      <c r="A140" s="1" t="s">
        <v>183</v>
      </c>
      <c r="B140" s="1" t="s">
        <v>314</v>
      </c>
      <c r="C140" t="e">
        <f>NA()</f>
        <v>#N/A</v>
      </c>
      <c r="D140" s="39">
        <v>-0.16260716597850366</v>
      </c>
      <c r="E140" s="2">
        <v>62.18</v>
      </c>
      <c r="F140" s="41">
        <v>0.44104558640837621</v>
      </c>
      <c r="G140" s="2">
        <v>0.48968825205325617</v>
      </c>
      <c r="H140" s="34">
        <v>0.2268041233795145</v>
      </c>
      <c r="I140" s="34"/>
      <c r="J140" s="35">
        <v>19.019773906760161</v>
      </c>
      <c r="K140" s="35">
        <v>47.100043224697728</v>
      </c>
      <c r="L140">
        <v>58.1</v>
      </c>
      <c r="M140" s="35">
        <v>150.71273092790781</v>
      </c>
      <c r="N140">
        <v>26.95</v>
      </c>
      <c r="O140">
        <v>1.8</v>
      </c>
      <c r="Q140" s="1" t="s">
        <v>183</v>
      </c>
      <c r="R140" s="1" t="s">
        <v>314</v>
      </c>
      <c r="S140" s="2" t="e">
        <f t="shared" si="99"/>
        <v>#N/A</v>
      </c>
      <c r="T140" s="2">
        <f t="shared" si="100"/>
        <v>0.51626071659785033</v>
      </c>
      <c r="U140" s="2">
        <f t="shared" si="101"/>
        <v>0.37819999999999998</v>
      </c>
      <c r="V140" s="2">
        <f t="shared" si="102"/>
        <v>0.88209117281675242</v>
      </c>
      <c r="W140" s="2">
        <f t="shared" si="103"/>
        <v>0.48968825205325617</v>
      </c>
      <c r="X140" s="2">
        <f t="shared" si="104"/>
        <v>0.62199312770080917</v>
      </c>
      <c r="Y140" s="9">
        <f t="shared" si="83"/>
        <v>0.5776466538337337</v>
      </c>
      <c r="Z140" s="2">
        <f t="shared" si="84"/>
        <v>0.12885391295371659</v>
      </c>
      <c r="AA140" s="2">
        <f t="shared" si="85"/>
        <v>0.58875054030872165</v>
      </c>
      <c r="AB140" s="2">
        <f t="shared" si="86"/>
        <v>0.83000000000000007</v>
      </c>
      <c r="AC140" s="2">
        <f t="shared" si="87"/>
        <v>0.75356365463953912</v>
      </c>
      <c r="AD140" s="2">
        <f t="shared" si="88"/>
        <v>1</v>
      </c>
      <c r="AE140" s="2">
        <f t="shared" si="89"/>
        <v>0.64</v>
      </c>
      <c r="AF140" s="45">
        <f t="shared" si="90"/>
        <v>0.6568613513169963</v>
      </c>
      <c r="AH140" s="34">
        <v>0.42609774035535936</v>
      </c>
      <c r="AI140" s="34">
        <f t="shared" si="91"/>
        <v>0.4873070613028363</v>
      </c>
      <c r="AJ140" s="34">
        <f t="shared" si="92"/>
        <v>6.1209320947476942E-2</v>
      </c>
      <c r="AK140" s="34">
        <f t="shared" si="93"/>
        <v>6.1209320947476942E-2</v>
      </c>
      <c r="AL140" s="41">
        <f t="shared" si="94"/>
        <v>0.14365089309422119</v>
      </c>
      <c r="AN140">
        <f t="shared" si="97"/>
        <v>135</v>
      </c>
      <c r="AO140">
        <f t="shared" si="98"/>
        <v>145</v>
      </c>
      <c r="AP140">
        <f t="shared" si="95"/>
        <v>-10</v>
      </c>
      <c r="AQ140">
        <f t="shared" si="96"/>
        <v>10</v>
      </c>
    </row>
    <row r="141" spans="1:43">
      <c r="A141" s="1" t="s">
        <v>28</v>
      </c>
      <c r="B141" s="1" t="s">
        <v>315</v>
      </c>
      <c r="C141" t="e">
        <f>NA()</f>
        <v>#N/A</v>
      </c>
      <c r="D141" s="39">
        <v>-2.1766656575534564</v>
      </c>
      <c r="E141" s="2">
        <v>71.88</v>
      </c>
      <c r="F141" s="41">
        <v>1.0331985174577845E-2</v>
      </c>
      <c r="G141" s="2">
        <v>6.8095752069085705E-2</v>
      </c>
      <c r="H141" s="34">
        <v>0.87407953036598152</v>
      </c>
      <c r="I141" s="34"/>
      <c r="J141" s="35">
        <v>7.6165423380342716</v>
      </c>
      <c r="K141" s="35">
        <v>18.000050779275558</v>
      </c>
      <c r="L141">
        <v>0</v>
      </c>
      <c r="M141" s="35">
        <v>132.35100673674296</v>
      </c>
      <c r="N141">
        <v>0</v>
      </c>
      <c r="O141">
        <v>4.25</v>
      </c>
      <c r="Q141" s="1" t="s">
        <v>28</v>
      </c>
      <c r="R141" s="1" t="s">
        <v>315</v>
      </c>
      <c r="S141" s="2" t="e">
        <f t="shared" si="99"/>
        <v>#N/A</v>
      </c>
      <c r="T141" s="2">
        <f t="shared" si="100"/>
        <v>0.7176665657553456</v>
      </c>
      <c r="U141" s="2">
        <f t="shared" si="101"/>
        <v>0.28120000000000001</v>
      </c>
      <c r="V141" s="2">
        <f t="shared" si="102"/>
        <v>2.0663970349155691E-2</v>
      </c>
      <c r="W141" s="2">
        <f t="shared" si="103"/>
        <v>6.8095752069085705E-2</v>
      </c>
      <c r="X141" s="2">
        <f t="shared" si="104"/>
        <v>0</v>
      </c>
      <c r="Y141" s="9">
        <f t="shared" si="83"/>
        <v>0.21752525763471739</v>
      </c>
      <c r="Z141" s="2">
        <f t="shared" si="84"/>
        <v>0</v>
      </c>
      <c r="AA141" s="2">
        <f t="shared" si="85"/>
        <v>0.22500063474094448</v>
      </c>
      <c r="AB141" s="2">
        <f t="shared" si="86"/>
        <v>0</v>
      </c>
      <c r="AC141" s="2">
        <f t="shared" si="87"/>
        <v>0.6617550336837148</v>
      </c>
      <c r="AD141" s="2">
        <f t="shared" si="88"/>
        <v>0</v>
      </c>
      <c r="AE141" s="2">
        <f t="shared" si="89"/>
        <v>0.15000000000000002</v>
      </c>
      <c r="AF141" s="45">
        <f t="shared" si="90"/>
        <v>0.17279261140410987</v>
      </c>
      <c r="AH141" s="34">
        <v>0.20179266301501289</v>
      </c>
      <c r="AI141" s="34">
        <f t="shared" si="91"/>
        <v>0.19906873911310161</v>
      </c>
      <c r="AJ141" s="34">
        <f t="shared" si="92"/>
        <v>-2.7239239019112849E-3</v>
      </c>
      <c r="AK141" s="34">
        <f t="shared" si="93"/>
        <v>2.7239239019112849E-3</v>
      </c>
      <c r="AL141" s="41">
        <f t="shared" si="94"/>
        <v>1.3498627062117871E-2</v>
      </c>
      <c r="AN141">
        <f t="shared" si="97"/>
        <v>30</v>
      </c>
      <c r="AO141">
        <f t="shared" si="98"/>
        <v>21</v>
      </c>
      <c r="AP141">
        <f t="shared" si="95"/>
        <v>9</v>
      </c>
      <c r="AQ141">
        <f t="shared" si="96"/>
        <v>9</v>
      </c>
    </row>
    <row r="142" spans="1:43">
      <c r="A142" s="1" t="s">
        <v>19</v>
      </c>
      <c r="B142" s="1" t="s">
        <v>316</v>
      </c>
      <c r="C142" t="e">
        <f>NA()</f>
        <v>#N/A</v>
      </c>
      <c r="D142" s="39">
        <v>8.163517770555309</v>
      </c>
      <c r="E142" s="2">
        <v>83.94</v>
      </c>
      <c r="F142" s="41">
        <v>0.11905990212304245</v>
      </c>
      <c r="G142" s="2">
        <v>0.57834432606122099</v>
      </c>
      <c r="H142" s="34">
        <v>0.53019145871386275</v>
      </c>
      <c r="I142" s="34"/>
      <c r="J142" s="35">
        <v>37.044005323415199</v>
      </c>
      <c r="K142" s="35">
        <v>38.800071949330018</v>
      </c>
      <c r="L142">
        <v>0</v>
      </c>
      <c r="M142" s="35">
        <v>11.5510955642463</v>
      </c>
      <c r="N142">
        <v>0</v>
      </c>
      <c r="O142">
        <v>3.54</v>
      </c>
      <c r="Q142" s="1" t="s">
        <v>19</v>
      </c>
      <c r="R142" s="1" t="s">
        <v>316</v>
      </c>
      <c r="S142" s="2" t="e">
        <f t="shared" si="99"/>
        <v>#N/A</v>
      </c>
      <c r="T142" s="2">
        <f t="shared" si="100"/>
        <v>0</v>
      </c>
      <c r="U142" s="2">
        <f t="shared" si="101"/>
        <v>0.16060000000000008</v>
      </c>
      <c r="V142" s="2">
        <f t="shared" si="102"/>
        <v>0.23811980424608489</v>
      </c>
      <c r="W142" s="2">
        <f t="shared" si="103"/>
        <v>0.57834432606122099</v>
      </c>
      <c r="X142" s="2">
        <f t="shared" si="104"/>
        <v>0.11634756881022867</v>
      </c>
      <c r="Y142" s="9">
        <f t="shared" si="83"/>
        <v>0.21868233982350693</v>
      </c>
      <c r="Z142" s="2">
        <f t="shared" si="84"/>
        <v>0.3863429331916457</v>
      </c>
      <c r="AA142" s="2">
        <f t="shared" si="85"/>
        <v>0.48500089936662522</v>
      </c>
      <c r="AB142" s="2">
        <f t="shared" si="86"/>
        <v>0</v>
      </c>
      <c r="AC142" s="2">
        <f t="shared" si="87"/>
        <v>5.7755477821231499E-2</v>
      </c>
      <c r="AD142" s="2">
        <f t="shared" si="88"/>
        <v>0</v>
      </c>
      <c r="AE142" s="2">
        <f t="shared" si="89"/>
        <v>0.29200000000000004</v>
      </c>
      <c r="AF142" s="45">
        <f t="shared" si="90"/>
        <v>0.20351655172991709</v>
      </c>
      <c r="AH142" s="34">
        <v>0.20706850003516575</v>
      </c>
      <c r="AI142" s="34">
        <f t="shared" si="91"/>
        <v>0.20811871458117187</v>
      </c>
      <c r="AJ142" s="34">
        <f t="shared" si="92"/>
        <v>1.050214546006123E-3</v>
      </c>
      <c r="AK142" s="34">
        <f t="shared" si="93"/>
        <v>1.050214546006123E-3</v>
      </c>
      <c r="AL142" s="41">
        <f t="shared" si="94"/>
        <v>5.0718218648793442E-3</v>
      </c>
      <c r="AN142">
        <f t="shared" si="97"/>
        <v>31</v>
      </c>
      <c r="AO142">
        <f t="shared" si="98"/>
        <v>27</v>
      </c>
      <c r="AP142">
        <f t="shared" si="95"/>
        <v>4</v>
      </c>
      <c r="AQ142">
        <f t="shared" si="96"/>
        <v>4</v>
      </c>
    </row>
    <row r="143" spans="1:43">
      <c r="A143" s="1" t="s">
        <v>93</v>
      </c>
      <c r="B143" s="1" t="s">
        <v>317</v>
      </c>
      <c r="C143" t="e">
        <f>NA()</f>
        <v>#N/A</v>
      </c>
      <c r="D143" s="39">
        <v>1.6226341599097132</v>
      </c>
      <c r="E143" s="2">
        <v>91.12</v>
      </c>
      <c r="F143" s="41">
        <v>0.24032479555871861</v>
      </c>
      <c r="G143" s="2">
        <v>0.18760447235935152</v>
      </c>
      <c r="H143" s="34">
        <v>0.23490427064306862</v>
      </c>
      <c r="I143" s="34"/>
      <c r="J143" s="35">
        <v>28.451457810132535</v>
      </c>
      <c r="K143" s="35">
        <v>57.050003641923162</v>
      </c>
      <c r="L143">
        <v>45.5</v>
      </c>
      <c r="M143" s="35">
        <v>36.136475092173391</v>
      </c>
      <c r="N143">
        <v>18.2</v>
      </c>
      <c r="O143">
        <v>2.23</v>
      </c>
      <c r="Q143" s="1" t="s">
        <v>93</v>
      </c>
      <c r="R143" s="1" t="s">
        <v>317</v>
      </c>
      <c r="S143" s="2" t="e">
        <f t="shared" si="99"/>
        <v>#N/A</v>
      </c>
      <c r="T143" s="2">
        <f t="shared" si="100"/>
        <v>0.33773658400902862</v>
      </c>
      <c r="U143" s="2">
        <f t="shared" si="101"/>
        <v>8.879999999999999E-2</v>
      </c>
      <c r="V143" s="2">
        <f t="shared" si="102"/>
        <v>0.48064959111743721</v>
      </c>
      <c r="W143" s="2">
        <f t="shared" si="103"/>
        <v>0.18760447235935152</v>
      </c>
      <c r="X143" s="2">
        <f t="shared" si="104"/>
        <v>0.60849288226155229</v>
      </c>
      <c r="Y143" s="9">
        <f t="shared" si="83"/>
        <v>0.34065670594947395</v>
      </c>
      <c r="Z143" s="2">
        <f t="shared" si="84"/>
        <v>0.2635922544304648</v>
      </c>
      <c r="AA143" s="2">
        <f t="shared" si="85"/>
        <v>0.71312504552403955</v>
      </c>
      <c r="AB143" s="2">
        <f t="shared" si="86"/>
        <v>0.65</v>
      </c>
      <c r="AC143" s="2">
        <f t="shared" si="87"/>
        <v>0.18068237546086696</v>
      </c>
      <c r="AD143" s="2">
        <f t="shared" si="88"/>
        <v>1</v>
      </c>
      <c r="AE143" s="2">
        <f t="shared" si="89"/>
        <v>0.55400000000000005</v>
      </c>
      <c r="AF143" s="45">
        <f t="shared" si="90"/>
        <v>0.56023327923589517</v>
      </c>
      <c r="AH143" s="34">
        <v>0.29926217388984111</v>
      </c>
      <c r="AI143" s="34">
        <f t="shared" si="91"/>
        <v>0.34991358224339797</v>
      </c>
      <c r="AJ143" s="34">
        <f t="shared" si="92"/>
        <v>5.0651408353556859E-2</v>
      </c>
      <c r="AK143" s="34">
        <f t="shared" si="93"/>
        <v>5.0651408353556859E-2</v>
      </c>
      <c r="AL143" s="41">
        <f t="shared" si="94"/>
        <v>0.16925429530630132</v>
      </c>
      <c r="AN143">
        <f t="shared" si="97"/>
        <v>93</v>
      </c>
      <c r="AO143">
        <f t="shared" si="98"/>
        <v>100</v>
      </c>
      <c r="AP143">
        <f t="shared" si="95"/>
        <v>-7</v>
      </c>
      <c r="AQ143">
        <f t="shared" si="96"/>
        <v>7</v>
      </c>
    </row>
    <row r="144" spans="1:43">
      <c r="A144" s="1" t="s">
        <v>185</v>
      </c>
      <c r="B144" s="1" t="s">
        <v>318</v>
      </c>
      <c r="C144" t="e">
        <f>NA()</f>
        <v>#N/A</v>
      </c>
      <c r="D144" s="39">
        <v>-0.226309305939429</v>
      </c>
      <c r="E144" s="2">
        <v>41.59</v>
      </c>
      <c r="F144" s="41">
        <v>0.3156511252542375</v>
      </c>
      <c r="G144" s="2">
        <v>0.15789691467619571</v>
      </c>
      <c r="H144" s="34">
        <v>0.33615611143749469</v>
      </c>
      <c r="I144" s="34"/>
      <c r="J144" s="35">
        <v>40.443449398508676</v>
      </c>
      <c r="K144" s="35">
        <v>27.700011558465881</v>
      </c>
      <c r="L144">
        <v>81.7</v>
      </c>
      <c r="M144" s="35">
        <v>13.560203078642019</v>
      </c>
      <c r="N144">
        <v>1.86</v>
      </c>
      <c r="O144">
        <v>2.2799999999999998</v>
      </c>
      <c r="Q144" s="1" t="s">
        <v>185</v>
      </c>
      <c r="R144" s="1" t="s">
        <v>318</v>
      </c>
      <c r="S144" s="2" t="e">
        <f t="shared" si="99"/>
        <v>#N/A</v>
      </c>
      <c r="T144" s="2">
        <f t="shared" si="100"/>
        <v>0.52263093059394294</v>
      </c>
      <c r="U144" s="2">
        <f t="shared" si="101"/>
        <v>0.58409999999999995</v>
      </c>
      <c r="V144" s="2">
        <f t="shared" si="102"/>
        <v>0.63130225050847499</v>
      </c>
      <c r="W144" s="2">
        <f t="shared" si="103"/>
        <v>0.15789691467619571</v>
      </c>
      <c r="X144" s="2">
        <f t="shared" si="104"/>
        <v>0.43973981427084219</v>
      </c>
      <c r="Y144" s="9">
        <f t="shared" si="83"/>
        <v>0.4671339820098912</v>
      </c>
      <c r="Z144" s="2">
        <f t="shared" si="84"/>
        <v>0.43490641997869539</v>
      </c>
      <c r="AA144" s="2">
        <f t="shared" si="85"/>
        <v>0.34625014448082353</v>
      </c>
      <c r="AB144" s="2">
        <f t="shared" si="86"/>
        <v>1</v>
      </c>
      <c r="AC144" s="2">
        <f t="shared" si="87"/>
        <v>6.7801015393210096E-2</v>
      </c>
      <c r="AD144" s="2">
        <f t="shared" si="88"/>
        <v>0.186</v>
      </c>
      <c r="AE144" s="2">
        <f t="shared" si="89"/>
        <v>0.54400000000000004</v>
      </c>
      <c r="AF144" s="45">
        <f t="shared" si="90"/>
        <v>0.42982626330878815</v>
      </c>
      <c r="AH144" s="34">
        <v>0.53411907811809445</v>
      </c>
      <c r="AI144" s="34">
        <f t="shared" si="91"/>
        <v>0.50667101042104146</v>
      </c>
      <c r="AJ144" s="34">
        <f t="shared" si="92"/>
        <v>-2.7448067697052991E-2</v>
      </c>
      <c r="AK144" s="34">
        <f t="shared" si="93"/>
        <v>2.7448067697052991E-2</v>
      </c>
      <c r="AL144" s="41">
        <f t="shared" si="94"/>
        <v>5.1389416370901823E-2</v>
      </c>
      <c r="AN144">
        <f t="shared" si="97"/>
        <v>179</v>
      </c>
      <c r="AO144">
        <f t="shared" si="98"/>
        <v>157</v>
      </c>
      <c r="AP144">
        <f t="shared" si="95"/>
        <v>22</v>
      </c>
      <c r="AQ144">
        <f t="shared" si="96"/>
        <v>22</v>
      </c>
    </row>
    <row r="145" spans="1:43">
      <c r="A145" s="1" t="s">
        <v>118</v>
      </c>
      <c r="B145" s="1" t="s">
        <v>319</v>
      </c>
      <c r="C145" t="e">
        <f>NA()</f>
        <v>#N/A</v>
      </c>
      <c r="D145" s="39">
        <v>-0.15064581607556815</v>
      </c>
      <c r="E145" s="2">
        <v>75.94</v>
      </c>
      <c r="F145" s="41">
        <v>0.1913533789444202</v>
      </c>
      <c r="G145" s="2">
        <v>0.5339488512346825</v>
      </c>
      <c r="H145" s="34">
        <v>0.30780559601505542</v>
      </c>
      <c r="I145" s="34"/>
      <c r="J145" s="35">
        <v>13.407321424009483</v>
      </c>
      <c r="K145" s="35">
        <v>25.933628038538892</v>
      </c>
      <c r="L145">
        <v>62.7</v>
      </c>
      <c r="M145" s="35">
        <v>57.899274825367911</v>
      </c>
      <c r="N145">
        <v>8.92</v>
      </c>
      <c r="O145">
        <v>2.4300000000000002</v>
      </c>
      <c r="Q145" s="1" t="s">
        <v>118</v>
      </c>
      <c r="R145" s="1" t="s">
        <v>319</v>
      </c>
      <c r="S145" s="2" t="e">
        <f t="shared" si="99"/>
        <v>#N/A</v>
      </c>
      <c r="T145" s="2">
        <f t="shared" si="100"/>
        <v>0.51506458160755675</v>
      </c>
      <c r="U145" s="2">
        <f t="shared" si="101"/>
        <v>0.24060000000000004</v>
      </c>
      <c r="V145" s="2">
        <f t="shared" si="102"/>
        <v>0.3827067578888404</v>
      </c>
      <c r="W145" s="2">
        <f t="shared" si="103"/>
        <v>0.5339488512346825</v>
      </c>
      <c r="X145" s="2">
        <f t="shared" si="104"/>
        <v>0.48699067330824097</v>
      </c>
      <c r="Y145" s="9">
        <f t="shared" si="83"/>
        <v>0.4318621728078641</v>
      </c>
      <c r="Z145" s="2">
        <f t="shared" si="84"/>
        <v>4.8676020342992614E-2</v>
      </c>
      <c r="AA145" s="2">
        <f t="shared" si="85"/>
        <v>0.32417035048173615</v>
      </c>
      <c r="AB145" s="2">
        <f t="shared" si="86"/>
        <v>0.8957142857142858</v>
      </c>
      <c r="AC145" s="2">
        <f t="shared" si="87"/>
        <v>0.28949637412683954</v>
      </c>
      <c r="AD145" s="2">
        <f t="shared" si="88"/>
        <v>0.89200000000000002</v>
      </c>
      <c r="AE145" s="2">
        <f t="shared" si="89"/>
        <v>0.51400000000000001</v>
      </c>
      <c r="AF145" s="45">
        <f t="shared" si="90"/>
        <v>0.49400950511097569</v>
      </c>
      <c r="AH145" s="34">
        <v>0.47043153061902648</v>
      </c>
      <c r="AI145" s="34">
        <f t="shared" si="91"/>
        <v>0.46896356084462321</v>
      </c>
      <c r="AJ145" s="34">
        <f t="shared" si="92"/>
        <v>-1.4679697744032771E-3</v>
      </c>
      <c r="AK145" s="34">
        <f t="shared" si="93"/>
        <v>1.4679697744032771E-3</v>
      </c>
      <c r="AL145" s="41">
        <f t="shared" si="94"/>
        <v>3.1204748807368856E-3</v>
      </c>
      <c r="AN145">
        <f t="shared" si="97"/>
        <v>153</v>
      </c>
      <c r="AO145">
        <f t="shared" si="98"/>
        <v>141</v>
      </c>
      <c r="AP145">
        <f t="shared" si="95"/>
        <v>12</v>
      </c>
      <c r="AQ145">
        <f t="shared" si="96"/>
        <v>12</v>
      </c>
    </row>
    <row r="146" spans="1:43">
      <c r="A146" s="1" t="s">
        <v>38</v>
      </c>
      <c r="B146" s="1" t="s">
        <v>320</v>
      </c>
      <c r="C146" t="e">
        <f>NA()</f>
        <v>#N/A</v>
      </c>
      <c r="D146" s="39">
        <v>1.3450511457686494</v>
      </c>
      <c r="E146" s="2">
        <v>74.47</v>
      </c>
      <c r="F146" s="41">
        <v>1.2132806148368858E-2</v>
      </c>
      <c r="G146" s="2">
        <v>0.12477695872502481</v>
      </c>
      <c r="H146" s="34">
        <v>0.82155130216918992</v>
      </c>
      <c r="I146" s="34"/>
      <c r="J146" s="35">
        <v>23.435705593123892</v>
      </c>
      <c r="K146" s="35">
        <v>13.50001471498771</v>
      </c>
      <c r="L146">
        <v>0</v>
      </c>
      <c r="M146" s="35">
        <v>6.6475730241821118</v>
      </c>
      <c r="N146">
        <v>0</v>
      </c>
      <c r="O146">
        <v>4.22</v>
      </c>
      <c r="Q146" s="1" t="s">
        <v>38</v>
      </c>
      <c r="R146" s="1" t="s">
        <v>320</v>
      </c>
      <c r="S146" s="2" t="e">
        <f t="shared" ref="S146:S177" si="105">IF(C$16&lt;&gt;1,MIN(1,MAX(0,(C146-C$14)/(C$15-C$14))),1-MIN(1,MAX(0,(C146-C$14)/(C$15-C$14))))</f>
        <v>#N/A</v>
      </c>
      <c r="T146" s="2">
        <f t="shared" ref="T146:T177" si="106">IF(D$16&lt;&gt;1,MIN(1,MAX(0,(D146-D$14)/(D$15-D$14))),1-MIN(1,MAX(0,(D146-D$14)/(D$15-D$14))))</f>
        <v>0.36549488542313502</v>
      </c>
      <c r="U146" s="2">
        <f t="shared" ref="U146:U177" si="107">IF(E$16&lt;&gt;1,MIN(1,MAX(0,(E146-E$14)/(E$15-E$14))),1-MIN(1,MAX(0,(E146-E$14)/(E$15-E$14))))</f>
        <v>0.25529999999999997</v>
      </c>
      <c r="V146" s="2">
        <f t="shared" ref="V146:V177" si="108">IF(F$16&lt;&gt;1,MIN(1,MAX(0,(F146-F$14)/(F$15-F$14))),1-MIN(1,MAX(0,(F146-F$14)/(F$15-F$14))))</f>
        <v>2.4265612296737717E-2</v>
      </c>
      <c r="W146" s="2">
        <f t="shared" ref="W146:W177" si="109">IF(G$16&lt;&gt;1,MIN(1,MAX(0,(G146-G$14)/(G$15-G$14))),1-MIN(1,MAX(0,(G146-G$14)/(G$15-G$14))))</f>
        <v>0.12477695872502481</v>
      </c>
      <c r="X146" s="2">
        <f t="shared" ref="X146:X177" si="110">IF(H$16&lt;&gt;1,MIN(1,MAX(0,(H146-H$14)/(H$15-H$14))),1-MIN(1,MAX(0,(H146-H$14)/(H$15-H$14))))</f>
        <v>0</v>
      </c>
      <c r="Y146" s="9">
        <f t="shared" si="83"/>
        <v>0.15396749128897952</v>
      </c>
      <c r="Z146" s="2">
        <f t="shared" si="84"/>
        <v>0.1919386513303413</v>
      </c>
      <c r="AA146" s="2">
        <f t="shared" si="85"/>
        <v>0.16875018393734637</v>
      </c>
      <c r="AB146" s="2">
        <f t="shared" si="86"/>
        <v>0</v>
      </c>
      <c r="AC146" s="2">
        <f t="shared" si="87"/>
        <v>3.3237865120910558E-2</v>
      </c>
      <c r="AD146" s="2">
        <f t="shared" si="88"/>
        <v>0</v>
      </c>
      <c r="AE146" s="2">
        <f t="shared" si="89"/>
        <v>0.15600000000000003</v>
      </c>
      <c r="AF146" s="45">
        <f t="shared" si="90"/>
        <v>9.1654450064766371E-2</v>
      </c>
      <c r="AH146" s="34">
        <v>0.15035367206743214</v>
      </c>
      <c r="AI146" s="34">
        <f t="shared" si="91"/>
        <v>0.14080720818433906</v>
      </c>
      <c r="AJ146" s="34">
        <f t="shared" si="92"/>
        <v>-9.5464638830930759E-3</v>
      </c>
      <c r="AK146" s="34">
        <f t="shared" si="93"/>
        <v>9.5464638830930759E-3</v>
      </c>
      <c r="AL146" s="41">
        <f t="shared" si="94"/>
        <v>6.3493386971031754E-2</v>
      </c>
      <c r="AN146">
        <f t="shared" si="97"/>
        <v>7</v>
      </c>
      <c r="AO146">
        <f t="shared" si="98"/>
        <v>5</v>
      </c>
      <c r="AP146">
        <f t="shared" si="95"/>
        <v>2</v>
      </c>
      <c r="AQ146">
        <f t="shared" si="96"/>
        <v>2</v>
      </c>
    </row>
    <row r="147" spans="1:43">
      <c r="A147" s="1" t="s">
        <v>52</v>
      </c>
      <c r="B147" s="1" t="s">
        <v>321</v>
      </c>
      <c r="C147" t="e">
        <f>NA()</f>
        <v>#N/A</v>
      </c>
      <c r="D147" s="39">
        <v>0.37176258764959913</v>
      </c>
      <c r="E147" s="2">
        <v>62.18</v>
      </c>
      <c r="F147" s="41">
        <v>3.729635228928195E-2</v>
      </c>
      <c r="G147" s="2">
        <v>0.2706336590498995</v>
      </c>
      <c r="H147" s="34">
        <v>0</v>
      </c>
      <c r="I147" s="34"/>
      <c r="J147" s="35">
        <v>32.625026832972409</v>
      </c>
      <c r="K147" s="35">
        <v>0</v>
      </c>
      <c r="L147">
        <v>0</v>
      </c>
      <c r="M147" s="35">
        <v>2.1808422023822356</v>
      </c>
      <c r="N147">
        <v>4.18</v>
      </c>
      <c r="O147">
        <v>3.06</v>
      </c>
      <c r="Q147" s="1" t="s">
        <v>52</v>
      </c>
      <c r="R147" s="1" t="s">
        <v>321</v>
      </c>
      <c r="S147" s="2" t="e">
        <f t="shared" si="105"/>
        <v>#N/A</v>
      </c>
      <c r="T147" s="2">
        <f t="shared" si="106"/>
        <v>0.46282374123504011</v>
      </c>
      <c r="U147" s="2">
        <f t="shared" si="107"/>
        <v>0.37819999999999998</v>
      </c>
      <c r="V147" s="2">
        <f t="shared" si="108"/>
        <v>7.4592704578563901E-2</v>
      </c>
      <c r="W147" s="2">
        <f t="shared" si="109"/>
        <v>0.2706336590498995</v>
      </c>
      <c r="X147" s="2">
        <f t="shared" si="110"/>
        <v>1</v>
      </c>
      <c r="Y147" s="9">
        <f t="shared" ref="Y147:Y209" si="111">IF(COUNT(S147:X147)&gt;$Y$15,[1]!mmean(S147:X147),NA())</f>
        <v>0.43725002097270071</v>
      </c>
      <c r="Z147" s="2">
        <f t="shared" ref="Z147:Z209" si="112">IF(J$16&lt;&gt;1,MIN(1,MAX(0,(J147-J$14)/(J$15-J$14))),1-MIN(1,MAX(0,(J147-J$14)/(J$15-J$14))))</f>
        <v>0.32321466904246299</v>
      </c>
      <c r="AA147" s="2">
        <f t="shared" ref="AA147:AA209" si="113">IF(K$16&lt;&gt;1,MIN(1,MAX(0,(K147-K$14)/(K$15-K$14))),1-MIN(1,MAX(0,(K147-K$14)/(K$15-K$14))))</f>
        <v>0</v>
      </c>
      <c r="AB147" s="2">
        <f t="shared" ref="AB147:AB209" si="114">IF(L$16&lt;&gt;1,MIN(1,MAX(0,(L147-L$14)/(L$15-L$14))),1-MIN(1,MAX(0,(L147-L$14)/(L$15-L$14))))</f>
        <v>0</v>
      </c>
      <c r="AC147" s="2">
        <f t="shared" ref="AC147:AC209" si="115">IF(M$16&lt;&gt;1,MIN(1,MAX(0,(M147-M$14)/(M$15-M$14))),1-MIN(1,MAX(0,(M147-M$14)/(M$15-M$14))))</f>
        <v>1.0904211011911177E-2</v>
      </c>
      <c r="AD147" s="2">
        <f t="shared" ref="AD147:AD209" si="116">IF(N$16&lt;&gt;1,MIN(1,MAX(0,(N147-N$14)/(N$15-N$14))),1-MIN(1,MAX(0,(N147-N$14)/(N$15-N$14))))</f>
        <v>0.41799999999999998</v>
      </c>
      <c r="AE147" s="2">
        <f t="shared" ref="AE147:AE209" si="117">IF(O$16&lt;&gt;1,MIN(1,MAX(0,(O147-O$14)/(O$15-O$14))),1-MIN(1,MAX(0,(O147-O$14)/(O$15-O$14))))</f>
        <v>0.38800000000000001</v>
      </c>
      <c r="AF147" s="45">
        <f t="shared" ref="AF147:AF209" si="118">IF(COUNT(Z147:AE147)&gt;$AF$15,[1]!mmean(Z147:AE147),NA())</f>
        <v>0.19001981334239568</v>
      </c>
      <c r="AH147" s="34">
        <v>0.26003987695621089</v>
      </c>
      <c r="AI147" s="34">
        <f t="shared" ref="AI147:AI209" si="119">(24*AH147+5*Y147+6*AF147)/35</f>
        <v>0.2733521723390554</v>
      </c>
      <c r="AJ147" s="34">
        <f t="shared" ref="AJ147:AJ209" si="120">AI147-AH147</f>
        <v>1.3312295382844508E-2</v>
      </c>
      <c r="AK147" s="34">
        <f t="shared" ref="AK147:AK209" si="121">ABS(AH147-AI147)</f>
        <v>1.3312295382844508E-2</v>
      </c>
      <c r="AL147" s="41">
        <f t="shared" ref="AL147:AL209" si="122">AK147/AH147</f>
        <v>5.1193284424935398E-2</v>
      </c>
      <c r="AN147">
        <f t="shared" si="97"/>
        <v>66</v>
      </c>
      <c r="AO147">
        <f t="shared" si="98"/>
        <v>52</v>
      </c>
      <c r="AP147">
        <f t="shared" ref="AP147:AP209" si="123">AN147-AO147</f>
        <v>14</v>
      </c>
      <c r="AQ147">
        <f t="shared" ref="AQ147:AQ209" si="124">ABS(AP147)</f>
        <v>14</v>
      </c>
    </row>
    <row r="148" spans="1:43">
      <c r="A148" s="1" t="s">
        <v>143</v>
      </c>
      <c r="B148" s="1" t="s">
        <v>322</v>
      </c>
      <c r="C148" t="e">
        <f>NA()</f>
        <v>#N/A</v>
      </c>
      <c r="D148" s="39">
        <v>-8.0272291802216011E-2</v>
      </c>
      <c r="E148" s="2">
        <v>58.88</v>
      </c>
      <c r="F148" s="41">
        <v>0.23675349754871952</v>
      </c>
      <c r="G148" s="2">
        <v>0.34048467319893616</v>
      </c>
      <c r="H148" s="34">
        <v>0.37260677412348819</v>
      </c>
      <c r="I148" s="34"/>
      <c r="J148" s="35">
        <v>20.434196799721054</v>
      </c>
      <c r="K148" s="35">
        <v>43.577367943837984</v>
      </c>
      <c r="L148">
        <v>46.6</v>
      </c>
      <c r="M148" s="35">
        <v>63.376444844043093</v>
      </c>
      <c r="N148">
        <v>9.16</v>
      </c>
      <c r="O148">
        <v>2.08</v>
      </c>
      <c r="Q148" s="1" t="s">
        <v>143</v>
      </c>
      <c r="R148" s="1" t="s">
        <v>322</v>
      </c>
      <c r="S148" s="2" t="e">
        <f t="shared" si="105"/>
        <v>#N/A</v>
      </c>
      <c r="T148" s="2">
        <f t="shared" si="106"/>
        <v>0.50802722918022158</v>
      </c>
      <c r="U148" s="2">
        <f t="shared" si="107"/>
        <v>0.41120000000000001</v>
      </c>
      <c r="V148" s="2">
        <f t="shared" si="108"/>
        <v>0.47350699509743904</v>
      </c>
      <c r="W148" s="2">
        <f t="shared" si="109"/>
        <v>0.34048467319893616</v>
      </c>
      <c r="X148" s="2">
        <f t="shared" si="110"/>
        <v>0.37898870979418631</v>
      </c>
      <c r="Y148" s="9">
        <f t="shared" si="111"/>
        <v>0.42244152145415664</v>
      </c>
      <c r="Z148" s="2">
        <f t="shared" si="112"/>
        <v>0.14905995428172933</v>
      </c>
      <c r="AA148" s="2">
        <f t="shared" si="113"/>
        <v>0.54471709929797485</v>
      </c>
      <c r="AB148" s="2">
        <f t="shared" si="114"/>
        <v>0.6657142857142857</v>
      </c>
      <c r="AC148" s="2">
        <f t="shared" si="115"/>
        <v>0.31688222422021545</v>
      </c>
      <c r="AD148" s="2">
        <f t="shared" si="116"/>
        <v>0.91600000000000004</v>
      </c>
      <c r="AE148" s="2">
        <f t="shared" si="117"/>
        <v>0.58399999999999996</v>
      </c>
      <c r="AF148" s="45">
        <f t="shared" si="118"/>
        <v>0.52939559391903424</v>
      </c>
      <c r="AH148" s="34">
        <v>0.37390452422062742</v>
      </c>
      <c r="AI148" s="34">
        <f t="shared" si="119"/>
        <v>0.40749399291657279</v>
      </c>
      <c r="AJ148" s="34">
        <f t="shared" si="120"/>
        <v>3.3589468695945368E-2</v>
      </c>
      <c r="AK148" s="34">
        <f t="shared" si="121"/>
        <v>3.3589468695945368E-2</v>
      </c>
      <c r="AL148" s="41">
        <f t="shared" si="122"/>
        <v>8.983434679203145E-2</v>
      </c>
      <c r="AN148">
        <f t="shared" si="97"/>
        <v>121</v>
      </c>
      <c r="AO148">
        <f t="shared" si="98"/>
        <v>120</v>
      </c>
      <c r="AP148">
        <f t="shared" si="123"/>
        <v>1</v>
      </c>
      <c r="AQ148">
        <f t="shared" si="124"/>
        <v>1</v>
      </c>
    </row>
    <row r="149" spans="1:43">
      <c r="A149" s="1" t="s">
        <v>30</v>
      </c>
      <c r="B149" s="1" t="s">
        <v>323</v>
      </c>
      <c r="C149" t="e">
        <f>NA()</f>
        <v>#N/A</v>
      </c>
      <c r="D149" s="39" t="e">
        <v>#N/A</v>
      </c>
      <c r="E149" s="2">
        <v>13.41</v>
      </c>
      <c r="F149" s="41" t="e">
        <v>#N/A</v>
      </c>
      <c r="G149" s="40">
        <v>0.55436650136886934</v>
      </c>
      <c r="H149" s="34">
        <v>3.2400589054216389E-2</v>
      </c>
      <c r="I149" s="34"/>
      <c r="J149" s="35">
        <v>75.031930442279688</v>
      </c>
      <c r="K149" s="35">
        <v>0</v>
      </c>
      <c r="L149" t="e">
        <v>#N/A</v>
      </c>
      <c r="M149" s="35">
        <v>220.86141695359007</v>
      </c>
      <c r="N149" t="e">
        <v>#N/A</v>
      </c>
      <c r="O149" t="e">
        <v>#N/A</v>
      </c>
      <c r="Q149" s="1" t="s">
        <v>30</v>
      </c>
      <c r="R149" s="1" t="s">
        <v>323</v>
      </c>
      <c r="S149" s="2" t="e">
        <f t="shared" si="105"/>
        <v>#N/A</v>
      </c>
      <c r="T149" s="2" t="e">
        <f t="shared" si="106"/>
        <v>#N/A</v>
      </c>
      <c r="U149" s="2">
        <f t="shared" si="107"/>
        <v>0.8659</v>
      </c>
      <c r="V149" s="2" t="e">
        <f t="shared" si="108"/>
        <v>#N/A</v>
      </c>
      <c r="W149" s="2">
        <f t="shared" si="109"/>
        <v>0.55436650136886934</v>
      </c>
      <c r="X149" s="2">
        <f t="shared" si="110"/>
        <v>0.94599901824297272</v>
      </c>
      <c r="Y149" s="9">
        <f t="shared" si="111"/>
        <v>0.78875517320394728</v>
      </c>
      <c r="Z149" s="2">
        <f t="shared" si="112"/>
        <v>0.92902757774685263</v>
      </c>
      <c r="AA149" s="2">
        <f t="shared" si="113"/>
        <v>0</v>
      </c>
      <c r="AB149" s="2" t="e">
        <f t="shared" si="114"/>
        <v>#N/A</v>
      </c>
      <c r="AC149" s="2">
        <f t="shared" si="115"/>
        <v>1</v>
      </c>
      <c r="AD149" s="2" t="e">
        <f t="shared" si="116"/>
        <v>#N/A</v>
      </c>
      <c r="AE149" s="2" t="e">
        <f t="shared" si="117"/>
        <v>#N/A</v>
      </c>
      <c r="AF149" s="45" t="e">
        <f t="shared" si="118"/>
        <v>#N/A</v>
      </c>
      <c r="AH149" s="34">
        <v>0.38110707475577404</v>
      </c>
      <c r="AI149" s="34" t="e">
        <f t="shared" si="119"/>
        <v>#N/A</v>
      </c>
      <c r="AJ149" s="34" t="e">
        <f t="shared" si="120"/>
        <v>#N/A</v>
      </c>
      <c r="AK149" s="34" t="e">
        <f t="shared" si="121"/>
        <v>#N/A</v>
      </c>
      <c r="AL149" s="41" t="e">
        <f t="shared" si="122"/>
        <v>#N/A</v>
      </c>
      <c r="AN149">
        <f t="shared" si="97"/>
        <v>124</v>
      </c>
      <c r="AO149" t="e">
        <f t="shared" si="98"/>
        <v>#VALUE!</v>
      </c>
      <c r="AP149" t="e">
        <f t="shared" si="123"/>
        <v>#VALUE!</v>
      </c>
      <c r="AQ149" t="e">
        <f t="shared" si="124"/>
        <v>#VALUE!</v>
      </c>
    </row>
    <row r="150" spans="1:43">
      <c r="A150" s="1" t="s">
        <v>49</v>
      </c>
      <c r="B150" s="1" t="s">
        <v>324</v>
      </c>
      <c r="C150" t="e">
        <f>NA()</f>
        <v>#N/A</v>
      </c>
      <c r="D150" s="39">
        <v>1.295349949046086</v>
      </c>
      <c r="E150" s="2">
        <v>90.76</v>
      </c>
      <c r="F150" s="41">
        <v>0.10551318022155709</v>
      </c>
      <c r="G150" s="2">
        <v>0.48236230716945494</v>
      </c>
      <c r="H150" s="34">
        <v>0.41678939702410556</v>
      </c>
      <c r="I150" s="34"/>
      <c r="J150" s="35">
        <v>52.401724613451997</v>
      </c>
      <c r="K150" s="35">
        <v>18.000062613102589</v>
      </c>
      <c r="L150">
        <v>23</v>
      </c>
      <c r="M150" s="35">
        <v>68.318054487472281</v>
      </c>
      <c r="N150">
        <v>2.13</v>
      </c>
      <c r="O150">
        <v>2.63</v>
      </c>
      <c r="Q150" s="1" t="s">
        <v>49</v>
      </c>
      <c r="R150" s="1" t="s">
        <v>324</v>
      </c>
      <c r="S150" s="2" t="e">
        <f t="shared" si="105"/>
        <v>#N/A</v>
      </c>
      <c r="T150" s="2">
        <f t="shared" si="106"/>
        <v>0.37046500509539138</v>
      </c>
      <c r="U150" s="2">
        <f t="shared" si="107"/>
        <v>9.2399999999999927E-2</v>
      </c>
      <c r="V150" s="2">
        <f t="shared" si="108"/>
        <v>0.21102636044311418</v>
      </c>
      <c r="W150" s="2">
        <f t="shared" si="109"/>
        <v>0.48236230716945494</v>
      </c>
      <c r="X150" s="2">
        <f t="shared" si="110"/>
        <v>0.30535100495982404</v>
      </c>
      <c r="Y150" s="9">
        <f t="shared" si="111"/>
        <v>0.29232093553355687</v>
      </c>
      <c r="Z150" s="2">
        <f t="shared" si="112"/>
        <v>0.6057389230493142</v>
      </c>
      <c r="AA150" s="2">
        <f t="shared" si="113"/>
        <v>0.22500078266378237</v>
      </c>
      <c r="AB150" s="2">
        <f t="shared" si="114"/>
        <v>0.32857142857142857</v>
      </c>
      <c r="AC150" s="2">
        <f t="shared" si="115"/>
        <v>0.3415902724373614</v>
      </c>
      <c r="AD150" s="2">
        <f t="shared" si="116"/>
        <v>0.21299999999999999</v>
      </c>
      <c r="AE150" s="2">
        <f t="shared" si="117"/>
        <v>0.47399999999999998</v>
      </c>
      <c r="AF150" s="45">
        <f t="shared" si="118"/>
        <v>0.36465023445364775</v>
      </c>
      <c r="AH150" s="34">
        <v>0.30251536458590561</v>
      </c>
      <c r="AI150" s="34">
        <f t="shared" si="119"/>
        <v>0.31171070955575447</v>
      </c>
      <c r="AJ150" s="34">
        <f t="shared" si="120"/>
        <v>9.1953449698488621E-3</v>
      </c>
      <c r="AK150" s="34">
        <f t="shared" si="121"/>
        <v>9.1953449698488621E-3</v>
      </c>
      <c r="AL150" s="41">
        <f t="shared" si="122"/>
        <v>3.0396290722078844E-2</v>
      </c>
      <c r="AN150">
        <f t="shared" si="97"/>
        <v>97</v>
      </c>
      <c r="AO150">
        <f t="shared" si="98"/>
        <v>77</v>
      </c>
      <c r="AP150">
        <f t="shared" si="123"/>
        <v>20</v>
      </c>
      <c r="AQ150">
        <f t="shared" si="124"/>
        <v>20</v>
      </c>
    </row>
    <row r="151" spans="1:43">
      <c r="A151" s="1" t="s">
        <v>190</v>
      </c>
      <c r="B151" s="1" t="s">
        <v>325</v>
      </c>
      <c r="C151" t="e">
        <f>NA()</f>
        <v>#N/A</v>
      </c>
      <c r="D151" s="39">
        <v>2.1894711053378617</v>
      </c>
      <c r="E151" s="2">
        <v>14.18</v>
      </c>
      <c r="F151" s="41">
        <v>0.66200447522093986</v>
      </c>
      <c r="G151" s="2">
        <v>0.63160067265053055</v>
      </c>
      <c r="H151" s="34">
        <v>0.25098183615386671</v>
      </c>
      <c r="I151" s="34"/>
      <c r="J151" s="35">
        <v>37.365381660412432</v>
      </c>
      <c r="K151" s="35">
        <v>0</v>
      </c>
      <c r="L151" t="e">
        <v>#N/A</v>
      </c>
      <c r="M151" s="35">
        <v>-6.9979406306456005</v>
      </c>
      <c r="N151" t="e">
        <v>#N/A</v>
      </c>
      <c r="O151">
        <v>1.91</v>
      </c>
      <c r="Q151" s="1" t="s">
        <v>190</v>
      </c>
      <c r="R151" s="1" t="s">
        <v>325</v>
      </c>
      <c r="S151" s="2" t="e">
        <f t="shared" si="105"/>
        <v>#N/A</v>
      </c>
      <c r="T151" s="2">
        <f t="shared" si="106"/>
        <v>0.28105288946621376</v>
      </c>
      <c r="U151" s="2">
        <f t="shared" si="107"/>
        <v>0.85819999999999996</v>
      </c>
      <c r="V151" s="2">
        <f t="shared" si="108"/>
        <v>1</v>
      </c>
      <c r="W151" s="2">
        <f t="shared" si="109"/>
        <v>0.63160067265053055</v>
      </c>
      <c r="X151" s="2">
        <f t="shared" si="110"/>
        <v>0.58169693974355541</v>
      </c>
      <c r="Y151" s="9">
        <f t="shared" si="111"/>
        <v>0.67051010037205994</v>
      </c>
      <c r="Z151" s="2">
        <f t="shared" si="112"/>
        <v>0.3909340237201776</v>
      </c>
      <c r="AA151" s="2">
        <f t="shared" si="113"/>
        <v>0</v>
      </c>
      <c r="AB151" s="2" t="e">
        <f t="shared" si="114"/>
        <v>#N/A</v>
      </c>
      <c r="AC151" s="2">
        <f t="shared" si="115"/>
        <v>0</v>
      </c>
      <c r="AD151" s="2" t="e">
        <f t="shared" si="116"/>
        <v>#N/A</v>
      </c>
      <c r="AE151" s="2">
        <f t="shared" si="117"/>
        <v>0.61799999999999999</v>
      </c>
      <c r="AF151" s="45">
        <f t="shared" si="118"/>
        <v>0.2522335059300444</v>
      </c>
      <c r="AH151" s="34">
        <v>0.47233071884485517</v>
      </c>
      <c r="AI151" s="34">
        <f t="shared" si="119"/>
        <v>0.46291110827763121</v>
      </c>
      <c r="AJ151" s="34">
        <f t="shared" si="120"/>
        <v>-9.4196105672239572E-3</v>
      </c>
      <c r="AK151" s="34">
        <f t="shared" si="121"/>
        <v>9.4196105672239572E-3</v>
      </c>
      <c r="AL151" s="41">
        <f t="shared" si="122"/>
        <v>1.9942828597430233E-2</v>
      </c>
      <c r="AN151">
        <f t="shared" si="97"/>
        <v>155</v>
      </c>
      <c r="AO151">
        <f t="shared" si="98"/>
        <v>135</v>
      </c>
      <c r="AP151">
        <f t="shared" si="123"/>
        <v>20</v>
      </c>
      <c r="AQ151">
        <f t="shared" si="124"/>
        <v>20</v>
      </c>
    </row>
    <row r="152" spans="1:43">
      <c r="A152" s="1" t="s">
        <v>86</v>
      </c>
      <c r="B152" s="1" t="s">
        <v>326</v>
      </c>
      <c r="C152" t="e">
        <f>NA()</f>
        <v>#N/A</v>
      </c>
      <c r="D152" s="39">
        <v>8.4283320427492487</v>
      </c>
      <c r="E152" s="2">
        <v>31.94</v>
      </c>
      <c r="F152" s="41" t="e">
        <v>#N/A</v>
      </c>
      <c r="G152" s="2">
        <v>0.29380549515955334</v>
      </c>
      <c r="H152" s="34">
        <v>0.24300441790662264</v>
      </c>
      <c r="I152" s="34"/>
      <c r="J152" s="35">
        <v>51.130922238074405</v>
      </c>
      <c r="K152" s="35">
        <v>32.300099672262576</v>
      </c>
      <c r="L152">
        <v>17.600000000000001</v>
      </c>
      <c r="M152" s="35">
        <v>55.679705369185697</v>
      </c>
      <c r="N152">
        <v>1.41</v>
      </c>
      <c r="O152">
        <v>2.44</v>
      </c>
      <c r="Q152" s="1" t="s">
        <v>86</v>
      </c>
      <c r="R152" s="1" t="s">
        <v>326</v>
      </c>
      <c r="S152" s="2" t="e">
        <f t="shared" si="105"/>
        <v>#N/A</v>
      </c>
      <c r="T152" s="2">
        <f t="shared" si="106"/>
        <v>0</v>
      </c>
      <c r="U152" s="2">
        <f t="shared" si="107"/>
        <v>0.68059999999999998</v>
      </c>
      <c r="V152" s="2" t="e">
        <f t="shared" si="108"/>
        <v>#N/A</v>
      </c>
      <c r="W152" s="2">
        <f t="shared" si="109"/>
        <v>0.29380549515955334</v>
      </c>
      <c r="X152" s="2">
        <f t="shared" si="110"/>
        <v>0.59499263682229553</v>
      </c>
      <c r="Y152" s="9">
        <f t="shared" si="111"/>
        <v>0.39234953299546221</v>
      </c>
      <c r="Z152" s="2">
        <f t="shared" si="112"/>
        <v>0.58758460340106289</v>
      </c>
      <c r="AA152" s="2">
        <f t="shared" si="113"/>
        <v>0.40375124590328221</v>
      </c>
      <c r="AB152" s="2">
        <f t="shared" si="114"/>
        <v>0.25142857142857145</v>
      </c>
      <c r="AC152" s="2">
        <f t="shared" si="115"/>
        <v>0.27839852684592847</v>
      </c>
      <c r="AD152" s="2">
        <f t="shared" si="116"/>
        <v>0.14099999999999999</v>
      </c>
      <c r="AE152" s="2">
        <f t="shared" si="117"/>
        <v>0.51200000000000001</v>
      </c>
      <c r="AF152" s="45">
        <f t="shared" si="118"/>
        <v>0.36236049126314085</v>
      </c>
      <c r="AH152" s="34">
        <v>0.28610784214925428</v>
      </c>
      <c r="AI152" s="34">
        <f t="shared" si="119"/>
        <v>0.31435710926109312</v>
      </c>
      <c r="AJ152" s="34">
        <f t="shared" si="120"/>
        <v>2.8249267111838838E-2</v>
      </c>
      <c r="AK152" s="34">
        <f t="shared" si="121"/>
        <v>2.8249267111838838E-2</v>
      </c>
      <c r="AL152" s="41">
        <f t="shared" si="122"/>
        <v>9.8736430639681669E-2</v>
      </c>
      <c r="AN152">
        <f t="shared" si="97"/>
        <v>87</v>
      </c>
      <c r="AO152">
        <f t="shared" si="98"/>
        <v>80</v>
      </c>
      <c r="AP152">
        <f t="shared" si="123"/>
        <v>7</v>
      </c>
      <c r="AQ152">
        <f t="shared" si="124"/>
        <v>7</v>
      </c>
    </row>
    <row r="153" spans="1:43">
      <c r="A153" s="1" t="s">
        <v>37</v>
      </c>
      <c r="B153" s="1" t="s">
        <v>327</v>
      </c>
      <c r="C153" t="e">
        <f>NA()</f>
        <v>#N/A</v>
      </c>
      <c r="D153" s="39">
        <v>2.5829714696075552</v>
      </c>
      <c r="E153" s="2">
        <v>78.88</v>
      </c>
      <c r="F153" s="41">
        <v>0.10621610785714068</v>
      </c>
      <c r="G153" s="2">
        <v>0.64598549217271417</v>
      </c>
      <c r="H153" s="34">
        <v>0</v>
      </c>
      <c r="I153" s="34"/>
      <c r="J153" s="35">
        <v>42.944658077343938</v>
      </c>
      <c r="K153" s="35">
        <v>48.51391742869766</v>
      </c>
      <c r="L153">
        <v>36.1</v>
      </c>
      <c r="M153" s="35">
        <v>12.982197916175606</v>
      </c>
      <c r="N153">
        <v>3.17</v>
      </c>
      <c r="O153">
        <v>2.66</v>
      </c>
      <c r="Q153" s="1" t="s">
        <v>37</v>
      </c>
      <c r="R153" s="1" t="s">
        <v>327</v>
      </c>
      <c r="S153" s="2" t="e">
        <f t="shared" si="105"/>
        <v>#N/A</v>
      </c>
      <c r="T153" s="2">
        <f t="shared" si="106"/>
        <v>0.24170285303924444</v>
      </c>
      <c r="U153" s="2">
        <f t="shared" si="107"/>
        <v>0.21120000000000005</v>
      </c>
      <c r="V153" s="2">
        <f t="shared" si="108"/>
        <v>0.21243221571428136</v>
      </c>
      <c r="W153" s="2">
        <f t="shared" si="109"/>
        <v>0.64598549217271417</v>
      </c>
      <c r="X153" s="2">
        <f t="shared" si="110"/>
        <v>1</v>
      </c>
      <c r="Y153" s="9">
        <f t="shared" si="111"/>
        <v>0.46226411218524799</v>
      </c>
      <c r="Z153" s="2">
        <f t="shared" si="112"/>
        <v>0.47063797253348483</v>
      </c>
      <c r="AA153" s="2">
        <f t="shared" si="113"/>
        <v>0.60642396785872077</v>
      </c>
      <c r="AB153" s="2">
        <f t="shared" si="114"/>
        <v>0.51571428571428568</v>
      </c>
      <c r="AC153" s="2">
        <f t="shared" si="115"/>
        <v>6.4910989580878029E-2</v>
      </c>
      <c r="AD153" s="2">
        <f t="shared" si="116"/>
        <v>0.317</v>
      </c>
      <c r="AE153" s="2">
        <f t="shared" si="117"/>
        <v>0.46799999999999997</v>
      </c>
      <c r="AF153" s="45">
        <f t="shared" si="118"/>
        <v>0.40711453594789476</v>
      </c>
      <c r="AH153" s="34">
        <v>0.31570069855053312</v>
      </c>
      <c r="AI153" s="34">
        <f t="shared" si="119"/>
        <v>0.3523092726236115</v>
      </c>
      <c r="AJ153" s="34">
        <f t="shared" si="120"/>
        <v>3.6608574073078382E-2</v>
      </c>
      <c r="AK153" s="34">
        <f t="shared" si="121"/>
        <v>3.6608574073078382E-2</v>
      </c>
      <c r="AL153" s="41">
        <f t="shared" si="122"/>
        <v>0.11595974998205008</v>
      </c>
      <c r="AN153">
        <f t="shared" si="97"/>
        <v>103</v>
      </c>
      <c r="AO153">
        <f t="shared" si="98"/>
        <v>106</v>
      </c>
      <c r="AP153">
        <f t="shared" si="123"/>
        <v>-3</v>
      </c>
      <c r="AQ153">
        <f t="shared" si="124"/>
        <v>3</v>
      </c>
    </row>
    <row r="154" spans="1:43">
      <c r="A154" s="1" t="s">
        <v>73</v>
      </c>
      <c r="B154" s="1" t="s">
        <v>328</v>
      </c>
      <c r="C154" t="e">
        <f>NA()</f>
        <v>#N/A</v>
      </c>
      <c r="D154" s="39">
        <v>-0.36159569820492055</v>
      </c>
      <c r="E154" s="2">
        <v>64</v>
      </c>
      <c r="F154" s="41">
        <v>0.1690068204899452</v>
      </c>
      <c r="G154" s="2">
        <v>0.82991741741741742</v>
      </c>
      <c r="H154" s="34">
        <v>0.29958271973519124</v>
      </c>
      <c r="I154" s="34"/>
      <c r="J154" s="35">
        <v>18.777967059332735</v>
      </c>
      <c r="K154" s="35">
        <v>69.946947186686003</v>
      </c>
      <c r="L154">
        <v>40.9</v>
      </c>
      <c r="M154" s="35">
        <v>66.535833264120782</v>
      </c>
      <c r="N154">
        <v>3.87</v>
      </c>
      <c r="O154">
        <v>2.57</v>
      </c>
      <c r="Q154" s="1" t="s">
        <v>73</v>
      </c>
      <c r="R154" s="1" t="s">
        <v>328</v>
      </c>
      <c r="S154" s="2" t="e">
        <f t="shared" si="105"/>
        <v>#N/A</v>
      </c>
      <c r="T154" s="2">
        <f t="shared" si="106"/>
        <v>0.53615956982049207</v>
      </c>
      <c r="U154" s="2">
        <f t="shared" si="107"/>
        <v>0.36</v>
      </c>
      <c r="V154" s="2">
        <f t="shared" si="108"/>
        <v>0.3380136409798904</v>
      </c>
      <c r="W154" s="2">
        <f t="shared" si="109"/>
        <v>0.82991741741741742</v>
      </c>
      <c r="X154" s="2">
        <f t="shared" si="110"/>
        <v>0.5006954671080146</v>
      </c>
      <c r="Y154" s="9">
        <f t="shared" si="111"/>
        <v>0.51295721906516289</v>
      </c>
      <c r="Z154" s="2">
        <f t="shared" si="112"/>
        <v>0.12539952941903906</v>
      </c>
      <c r="AA154" s="2">
        <f t="shared" si="113"/>
        <v>0.87433683983357502</v>
      </c>
      <c r="AB154" s="2">
        <f t="shared" si="114"/>
        <v>0.5842857142857143</v>
      </c>
      <c r="AC154" s="2">
        <f t="shared" si="115"/>
        <v>0.3326791663206039</v>
      </c>
      <c r="AD154" s="2">
        <f t="shared" si="116"/>
        <v>0.38700000000000001</v>
      </c>
      <c r="AE154" s="2">
        <f t="shared" si="117"/>
        <v>0.48599999999999999</v>
      </c>
      <c r="AF154" s="45">
        <f t="shared" si="118"/>
        <v>0.46495020830982198</v>
      </c>
      <c r="AH154" s="34">
        <v>0.2808829375783552</v>
      </c>
      <c r="AI154" s="34">
        <f t="shared" si="119"/>
        <v>0.34559079563043632</v>
      </c>
      <c r="AJ154" s="34">
        <f t="shared" si="120"/>
        <v>6.4707858052081124E-2</v>
      </c>
      <c r="AK154" s="34">
        <f t="shared" si="121"/>
        <v>6.4707858052081124E-2</v>
      </c>
      <c r="AL154" s="41">
        <f t="shared" si="122"/>
        <v>0.23037304654374102</v>
      </c>
      <c r="AN154">
        <f t="shared" si="97"/>
        <v>83</v>
      </c>
      <c r="AO154">
        <f t="shared" si="98"/>
        <v>96</v>
      </c>
      <c r="AP154">
        <f t="shared" si="123"/>
        <v>-13</v>
      </c>
      <c r="AQ154">
        <f t="shared" si="124"/>
        <v>13</v>
      </c>
    </row>
    <row r="155" spans="1:43">
      <c r="A155" s="1" t="s">
        <v>81</v>
      </c>
      <c r="B155" s="1" t="s">
        <v>329</v>
      </c>
      <c r="C155" t="e">
        <f>NA()</f>
        <v>#N/A</v>
      </c>
      <c r="D155" s="39">
        <v>-1.202951985895595E-3</v>
      </c>
      <c r="E155" s="2">
        <v>100</v>
      </c>
      <c r="F155" s="41">
        <v>5.7147368176238549E-2</v>
      </c>
      <c r="G155" s="2">
        <v>0.12263147213569947</v>
      </c>
      <c r="H155" s="34">
        <v>0.65598919933157129</v>
      </c>
      <c r="I155" s="34"/>
      <c r="J155" s="35">
        <v>7.3265279807460821</v>
      </c>
      <c r="K155" s="35">
        <v>10.520028487576939</v>
      </c>
      <c r="L155">
        <v>0</v>
      </c>
      <c r="M155" s="35">
        <v>-104.22959057271495</v>
      </c>
      <c r="N155">
        <v>1.92</v>
      </c>
      <c r="O155">
        <v>2.98</v>
      </c>
      <c r="Q155" s="1" t="s">
        <v>81</v>
      </c>
      <c r="R155" s="1" t="s">
        <v>329</v>
      </c>
      <c r="S155" s="2" t="e">
        <f t="shared" si="105"/>
        <v>#N/A</v>
      </c>
      <c r="T155" s="2">
        <f t="shared" si="106"/>
        <v>0.50012029519858958</v>
      </c>
      <c r="U155" s="2">
        <f t="shared" si="107"/>
        <v>0</v>
      </c>
      <c r="V155" s="2">
        <f t="shared" si="108"/>
        <v>0.1142947363524771</v>
      </c>
      <c r="W155" s="2">
        <f t="shared" si="109"/>
        <v>0.12263147213569947</v>
      </c>
      <c r="X155" s="2">
        <f t="shared" si="110"/>
        <v>0</v>
      </c>
      <c r="Y155" s="9">
        <f t="shared" si="111"/>
        <v>0.14740930073735323</v>
      </c>
      <c r="Z155" s="2">
        <f t="shared" si="112"/>
        <v>0</v>
      </c>
      <c r="AA155" s="2">
        <f t="shared" si="113"/>
        <v>0.13150035609471172</v>
      </c>
      <c r="AB155" s="2">
        <f t="shared" si="114"/>
        <v>0</v>
      </c>
      <c r="AC155" s="2">
        <f t="shared" si="115"/>
        <v>0</v>
      </c>
      <c r="AD155" s="2">
        <f t="shared" si="116"/>
        <v>0.192</v>
      </c>
      <c r="AE155" s="2">
        <f t="shared" si="117"/>
        <v>0.40400000000000003</v>
      </c>
      <c r="AF155" s="45">
        <f t="shared" si="118"/>
        <v>0.12125005934911863</v>
      </c>
      <c r="AH155" s="34">
        <v>0.14627522058468675</v>
      </c>
      <c r="AI155" s="34">
        <f t="shared" si="119"/>
        <v>0.14214720439468459</v>
      </c>
      <c r="AJ155" s="34">
        <f t="shared" si="120"/>
        <v>-4.128016190002165E-3</v>
      </c>
      <c r="AK155" s="34">
        <f t="shared" si="121"/>
        <v>4.128016190002165E-3</v>
      </c>
      <c r="AL155" s="41">
        <f t="shared" si="122"/>
        <v>2.8220885078838284E-2</v>
      </c>
      <c r="AN155">
        <f t="shared" si="97"/>
        <v>6</v>
      </c>
      <c r="AO155">
        <f t="shared" si="98"/>
        <v>6</v>
      </c>
      <c r="AP155">
        <f t="shared" si="123"/>
        <v>0</v>
      </c>
      <c r="AQ155">
        <f t="shared" si="124"/>
        <v>0</v>
      </c>
    </row>
    <row r="156" spans="1:43">
      <c r="A156" s="1" t="s">
        <v>91</v>
      </c>
      <c r="B156" s="1" t="s">
        <v>330</v>
      </c>
      <c r="C156" t="e">
        <f>NA()</f>
        <v>#N/A</v>
      </c>
      <c r="D156" s="39">
        <v>-1.1374028697137737</v>
      </c>
      <c r="E156" s="2">
        <v>49</v>
      </c>
      <c r="F156" s="41">
        <v>1.3626456540061397E-2</v>
      </c>
      <c r="G156" s="2">
        <v>0.2653214869111723</v>
      </c>
      <c r="H156" s="34">
        <v>0.69231713300125464</v>
      </c>
      <c r="I156" s="34"/>
      <c r="J156" s="35">
        <v>43.713244769306009</v>
      </c>
      <c r="K156" s="35">
        <v>24.742809789935521</v>
      </c>
      <c r="L156">
        <v>0</v>
      </c>
      <c r="M156" s="35">
        <v>1054.2868114615699</v>
      </c>
      <c r="N156">
        <v>0</v>
      </c>
      <c r="O156">
        <v>3.17</v>
      </c>
      <c r="Q156" s="1" t="s">
        <v>91</v>
      </c>
      <c r="R156" s="1" t="s">
        <v>330</v>
      </c>
      <c r="S156" s="2" t="e">
        <f t="shared" si="105"/>
        <v>#N/A</v>
      </c>
      <c r="T156" s="2">
        <f t="shared" si="106"/>
        <v>0.61374028697137739</v>
      </c>
      <c r="U156" s="2">
        <f t="shared" si="107"/>
        <v>0.51</v>
      </c>
      <c r="V156" s="2">
        <f t="shared" si="108"/>
        <v>2.7252913080122794E-2</v>
      </c>
      <c r="W156" s="2">
        <f t="shared" si="109"/>
        <v>0.2653214869111723</v>
      </c>
      <c r="X156" s="2">
        <f t="shared" si="110"/>
        <v>0</v>
      </c>
      <c r="Y156" s="9">
        <f t="shared" si="111"/>
        <v>0.28326293739253455</v>
      </c>
      <c r="Z156" s="2">
        <f t="shared" si="112"/>
        <v>0.48161778241865727</v>
      </c>
      <c r="AA156" s="2">
        <f t="shared" si="113"/>
        <v>0.30928512237419403</v>
      </c>
      <c r="AB156" s="2">
        <f t="shared" si="114"/>
        <v>0</v>
      </c>
      <c r="AC156" s="2">
        <f t="shared" si="115"/>
        <v>1</v>
      </c>
      <c r="AD156" s="2">
        <f t="shared" si="116"/>
        <v>0</v>
      </c>
      <c r="AE156" s="2">
        <f t="shared" si="117"/>
        <v>0.36599999999999999</v>
      </c>
      <c r="AF156" s="45">
        <f t="shared" si="118"/>
        <v>0.35948381746547525</v>
      </c>
      <c r="AH156" s="34">
        <v>0.21397964649425563</v>
      </c>
      <c r="AI156" s="34">
        <f t="shared" si="119"/>
        <v>0.24882083164621882</v>
      </c>
      <c r="AJ156" s="34">
        <f t="shared" si="120"/>
        <v>3.4841185151963189E-2</v>
      </c>
      <c r="AK156" s="34">
        <f t="shared" si="121"/>
        <v>3.4841185151963189E-2</v>
      </c>
      <c r="AL156" s="41">
        <f t="shared" si="122"/>
        <v>0.16282476264815454</v>
      </c>
      <c r="AN156">
        <f t="shared" ref="AN156:AN209" si="125">[1]!mrank(AH156,$AH$18:$AH$209,TRUE,TRUE)</f>
        <v>33</v>
      </c>
      <c r="AO156">
        <f t="shared" ref="AO156:AO209" si="126">[1]!mrank(AI156,$AI$18:$AI$209,TRUE,TRUE)</f>
        <v>45</v>
      </c>
      <c r="AP156">
        <f t="shared" si="123"/>
        <v>-12</v>
      </c>
      <c r="AQ156">
        <f t="shared" si="124"/>
        <v>12</v>
      </c>
    </row>
    <row r="157" spans="1:43">
      <c r="A157" s="1" t="s">
        <v>5</v>
      </c>
      <c r="B157" s="1" t="s">
        <v>331</v>
      </c>
      <c r="C157" t="e">
        <f>NA()</f>
        <v>#N/A</v>
      </c>
      <c r="D157" s="39">
        <v>0.12601937601164837</v>
      </c>
      <c r="E157" s="2">
        <v>13.88</v>
      </c>
      <c r="F157" s="41" t="e">
        <v>#N/A</v>
      </c>
      <c r="G157" s="2">
        <v>0.32527182478151839</v>
      </c>
      <c r="H157" s="34">
        <v>0.14580265074397358</v>
      </c>
      <c r="I157" s="34"/>
      <c r="J157" s="35">
        <v>27.894755812976939</v>
      </c>
      <c r="K157" s="35">
        <v>0</v>
      </c>
      <c r="L157">
        <v>0</v>
      </c>
      <c r="M157" s="35">
        <v>0.8700317960616748</v>
      </c>
      <c r="N157">
        <v>0</v>
      </c>
      <c r="O157">
        <v>2.75</v>
      </c>
      <c r="Q157" s="1" t="s">
        <v>5</v>
      </c>
      <c r="R157" s="1" t="s">
        <v>331</v>
      </c>
      <c r="S157" s="2" t="e">
        <f t="shared" si="105"/>
        <v>#N/A</v>
      </c>
      <c r="T157" s="2">
        <f t="shared" si="106"/>
        <v>0.48739806239883521</v>
      </c>
      <c r="U157" s="2">
        <f t="shared" si="107"/>
        <v>0.86119999999999997</v>
      </c>
      <c r="V157" s="2" t="e">
        <f t="shared" si="108"/>
        <v>#N/A</v>
      </c>
      <c r="W157" s="2">
        <f t="shared" si="109"/>
        <v>0.32527182478151839</v>
      </c>
      <c r="X157" s="2">
        <f t="shared" si="110"/>
        <v>0.75699558209337736</v>
      </c>
      <c r="Y157" s="9">
        <f t="shared" si="111"/>
        <v>0.6077163673184327</v>
      </c>
      <c r="Z157" s="2">
        <f t="shared" si="112"/>
        <v>0.25563936875681342</v>
      </c>
      <c r="AA157" s="2">
        <f t="shared" si="113"/>
        <v>0</v>
      </c>
      <c r="AB157" s="2">
        <f t="shared" si="114"/>
        <v>0</v>
      </c>
      <c r="AC157" s="2">
        <f t="shared" si="115"/>
        <v>4.3501589803083742E-3</v>
      </c>
      <c r="AD157" s="2">
        <f t="shared" si="116"/>
        <v>0</v>
      </c>
      <c r="AE157" s="2">
        <f t="shared" si="117"/>
        <v>0.44999999999999996</v>
      </c>
      <c r="AF157" s="45">
        <f t="shared" si="118"/>
        <v>0.11833158795618696</v>
      </c>
      <c r="AH157" s="34">
        <v>0.2628310971464865</v>
      </c>
      <c r="AI157" s="34">
        <f t="shared" si="119"/>
        <v>0.28732907702414173</v>
      </c>
      <c r="AJ157" s="34">
        <f t="shared" si="120"/>
        <v>2.4497979877655229E-2</v>
      </c>
      <c r="AK157" s="34">
        <f t="shared" si="121"/>
        <v>2.4497979877655229E-2</v>
      </c>
      <c r="AL157" s="41">
        <f t="shared" si="122"/>
        <v>9.3208072193989688E-2</v>
      </c>
      <c r="AN157">
        <f t="shared" si="125"/>
        <v>71</v>
      </c>
      <c r="AO157">
        <f t="shared" si="126"/>
        <v>63</v>
      </c>
      <c r="AP157">
        <f t="shared" si="123"/>
        <v>8</v>
      </c>
      <c r="AQ157">
        <f t="shared" si="124"/>
        <v>8</v>
      </c>
    </row>
    <row r="158" spans="1:43">
      <c r="A158" s="1" t="s">
        <v>103</v>
      </c>
      <c r="B158" s="1" t="s">
        <v>332</v>
      </c>
      <c r="C158" t="e">
        <f>NA()</f>
        <v>#N/A</v>
      </c>
      <c r="D158" s="39">
        <v>0.56234250952799325</v>
      </c>
      <c r="E158" s="2">
        <v>40.24</v>
      </c>
      <c r="F158" s="41" t="e">
        <v>#N/A</v>
      </c>
      <c r="G158" s="2">
        <v>0.18819335144243543</v>
      </c>
      <c r="H158" s="34">
        <v>0.48600883581324539</v>
      </c>
      <c r="I158" s="34"/>
      <c r="J158" s="35" t="e">
        <v>#N/A</v>
      </c>
      <c r="K158" s="35">
        <v>24.450060660587337</v>
      </c>
      <c r="L158">
        <v>0</v>
      </c>
      <c r="M158" s="35" t="e">
        <v>#N/A</v>
      </c>
      <c r="N158" t="e">
        <v>#N/A</v>
      </c>
      <c r="O158" t="e">
        <v>#N/A</v>
      </c>
      <c r="Q158" s="1" t="s">
        <v>103</v>
      </c>
      <c r="R158" s="1" t="s">
        <v>332</v>
      </c>
      <c r="S158" s="2" t="e">
        <f t="shared" si="105"/>
        <v>#N/A</v>
      </c>
      <c r="T158" s="2">
        <f t="shared" si="106"/>
        <v>0.44376574904720067</v>
      </c>
      <c r="U158" s="2">
        <f t="shared" si="107"/>
        <v>0.59759999999999991</v>
      </c>
      <c r="V158" s="2" t="e">
        <f t="shared" si="108"/>
        <v>#N/A</v>
      </c>
      <c r="W158" s="2">
        <f t="shared" si="109"/>
        <v>0.18819335144243543</v>
      </c>
      <c r="X158" s="2">
        <f t="shared" si="110"/>
        <v>0.18998527364459095</v>
      </c>
      <c r="Y158" s="9">
        <f t="shared" si="111"/>
        <v>0.35488609353355671</v>
      </c>
      <c r="Z158" s="2" t="e">
        <f t="shared" si="112"/>
        <v>#N/A</v>
      </c>
      <c r="AA158" s="2">
        <f t="shared" si="113"/>
        <v>0.30562575825734173</v>
      </c>
      <c r="AB158" s="2">
        <f t="shared" si="114"/>
        <v>0</v>
      </c>
      <c r="AC158" s="2" t="e">
        <f t="shared" si="115"/>
        <v>#N/A</v>
      </c>
      <c r="AD158" s="2" t="e">
        <f t="shared" si="116"/>
        <v>#N/A</v>
      </c>
      <c r="AE158" s="2" t="e">
        <f t="shared" si="117"/>
        <v>#N/A</v>
      </c>
      <c r="AF158" s="45" t="e">
        <f t="shared" si="118"/>
        <v>#N/A</v>
      </c>
      <c r="AH158" s="34">
        <v>0.23381724586661129</v>
      </c>
      <c r="AI158" s="34" t="e">
        <f t="shared" si="119"/>
        <v>#N/A</v>
      </c>
      <c r="AJ158" s="34" t="e">
        <f t="shared" si="120"/>
        <v>#N/A</v>
      </c>
      <c r="AK158" s="34" t="e">
        <f t="shared" si="121"/>
        <v>#N/A</v>
      </c>
      <c r="AL158" s="41" t="e">
        <f t="shared" si="122"/>
        <v>#N/A</v>
      </c>
      <c r="AN158">
        <f t="shared" si="125"/>
        <v>45</v>
      </c>
      <c r="AO158" t="e">
        <f t="shared" si="126"/>
        <v>#VALUE!</v>
      </c>
      <c r="AP158" t="e">
        <f t="shared" si="123"/>
        <v>#VALUE!</v>
      </c>
      <c r="AQ158" t="e">
        <f t="shared" si="124"/>
        <v>#VALUE!</v>
      </c>
    </row>
    <row r="159" spans="1:43">
      <c r="A159" s="1" t="s">
        <v>48</v>
      </c>
      <c r="B159" s="1" t="s">
        <v>333</v>
      </c>
      <c r="C159" t="e">
        <f>NA()</f>
        <v>#N/A</v>
      </c>
      <c r="D159" s="39">
        <v>4.0550968142179737</v>
      </c>
      <c r="E159" s="2">
        <v>53.35</v>
      </c>
      <c r="F159" s="41">
        <v>9.6755840939746152E-2</v>
      </c>
      <c r="G159" s="2">
        <v>0.26607681079172013</v>
      </c>
      <c r="H159" s="34">
        <v>0.68028964112223356</v>
      </c>
      <c r="I159" s="34"/>
      <c r="J159" s="35">
        <v>10.22335794716747</v>
      </c>
      <c r="K159" s="35">
        <v>8.8394216217334858</v>
      </c>
      <c r="L159">
        <v>0</v>
      </c>
      <c r="M159" s="35">
        <v>38.950692216648747</v>
      </c>
      <c r="N159">
        <v>1.22</v>
      </c>
      <c r="O159">
        <v>2.38</v>
      </c>
      <c r="Q159" s="1" t="s">
        <v>48</v>
      </c>
      <c r="R159" s="1" t="s">
        <v>333</v>
      </c>
      <c r="S159" s="2" t="e">
        <f t="shared" si="105"/>
        <v>#N/A</v>
      </c>
      <c r="T159" s="2">
        <f t="shared" si="106"/>
        <v>9.449031857820267E-2</v>
      </c>
      <c r="U159" s="2">
        <f t="shared" si="107"/>
        <v>0.46650000000000003</v>
      </c>
      <c r="V159" s="2">
        <f t="shared" si="108"/>
        <v>0.1935116818794923</v>
      </c>
      <c r="W159" s="2">
        <f t="shared" si="109"/>
        <v>0.26607681079172013</v>
      </c>
      <c r="X159" s="2">
        <f t="shared" si="110"/>
        <v>0</v>
      </c>
      <c r="Y159" s="9">
        <f t="shared" si="111"/>
        <v>0.20411576224988304</v>
      </c>
      <c r="Z159" s="2">
        <f t="shared" si="112"/>
        <v>3.1908278166781403E-3</v>
      </c>
      <c r="AA159" s="2">
        <f t="shared" si="113"/>
        <v>0.11049277027166857</v>
      </c>
      <c r="AB159" s="2">
        <f t="shared" si="114"/>
        <v>0</v>
      </c>
      <c r="AC159" s="2">
        <f t="shared" si="115"/>
        <v>0.19475346108324373</v>
      </c>
      <c r="AD159" s="2">
        <f t="shared" si="116"/>
        <v>0.122</v>
      </c>
      <c r="AE159" s="2">
        <f t="shared" si="117"/>
        <v>0.52400000000000002</v>
      </c>
      <c r="AF159" s="45">
        <f t="shared" si="118"/>
        <v>0.15907284319526507</v>
      </c>
      <c r="AH159" s="34">
        <v>0.27504325260751777</v>
      </c>
      <c r="AI159" s="34">
        <f t="shared" si="119"/>
        <v>0.24503011237146949</v>
      </c>
      <c r="AJ159" s="34">
        <f t="shared" si="120"/>
        <v>-3.0013140236048286E-2</v>
      </c>
      <c r="AK159" s="34">
        <f t="shared" si="121"/>
        <v>3.0013140236048286E-2</v>
      </c>
      <c r="AL159" s="41">
        <f t="shared" si="122"/>
        <v>0.1091215288923177</v>
      </c>
      <c r="AN159">
        <f t="shared" si="125"/>
        <v>81</v>
      </c>
      <c r="AO159">
        <f t="shared" si="126"/>
        <v>44</v>
      </c>
      <c r="AP159">
        <f t="shared" si="123"/>
        <v>37</v>
      </c>
      <c r="AQ159">
        <f t="shared" si="124"/>
        <v>37</v>
      </c>
    </row>
    <row r="160" spans="1:43">
      <c r="A160" s="1" t="s">
        <v>182</v>
      </c>
      <c r="B160" s="1" t="s">
        <v>334</v>
      </c>
      <c r="C160" t="e">
        <f>NA()</f>
        <v>#N/A</v>
      </c>
      <c r="D160" s="39">
        <v>-0.40656408679161149</v>
      </c>
      <c r="E160" s="2">
        <v>56.94</v>
      </c>
      <c r="F160" s="41">
        <v>0.55326789331570891</v>
      </c>
      <c r="G160" s="2">
        <v>0.23790232832568814</v>
      </c>
      <c r="H160" s="34">
        <v>0.16200294527108183</v>
      </c>
      <c r="I160" s="34"/>
      <c r="J160" s="35">
        <v>57.07430220125763</v>
      </c>
      <c r="K160" s="35">
        <v>28.800051818928694</v>
      </c>
      <c r="L160">
        <v>65.099999999999994</v>
      </c>
      <c r="M160" s="35">
        <v>49.955140720099486</v>
      </c>
      <c r="N160">
        <v>8.67</v>
      </c>
      <c r="O160">
        <v>1.63</v>
      </c>
      <c r="Q160" s="1" t="s">
        <v>182</v>
      </c>
      <c r="R160" s="1" t="s">
        <v>334</v>
      </c>
      <c r="S160" s="2" t="e">
        <f t="shared" si="105"/>
        <v>#N/A</v>
      </c>
      <c r="T160" s="2">
        <f t="shared" si="106"/>
        <v>0.5406564086791612</v>
      </c>
      <c r="U160" s="2">
        <f t="shared" si="107"/>
        <v>0.43059999999999998</v>
      </c>
      <c r="V160" s="2">
        <f t="shared" si="108"/>
        <v>1</v>
      </c>
      <c r="W160" s="2">
        <f t="shared" si="109"/>
        <v>0.23790232832568814</v>
      </c>
      <c r="X160" s="2">
        <f t="shared" si="110"/>
        <v>0.72999509121486361</v>
      </c>
      <c r="Y160" s="9">
        <f t="shared" si="111"/>
        <v>0.58783076564394254</v>
      </c>
      <c r="Z160" s="2">
        <f t="shared" si="112"/>
        <v>0.67249003144653763</v>
      </c>
      <c r="AA160" s="2">
        <f t="shared" si="113"/>
        <v>0.36000064773660867</v>
      </c>
      <c r="AB160" s="2">
        <f t="shared" si="114"/>
        <v>0.92999999999999994</v>
      </c>
      <c r="AC160" s="2">
        <f t="shared" si="115"/>
        <v>0.24977570360049742</v>
      </c>
      <c r="AD160" s="2">
        <f t="shared" si="116"/>
        <v>0.86699999999999999</v>
      </c>
      <c r="AE160" s="2">
        <f t="shared" si="117"/>
        <v>0.67400000000000004</v>
      </c>
      <c r="AF160" s="45">
        <f t="shared" si="118"/>
        <v>0.62554439713060728</v>
      </c>
      <c r="AH160" s="34">
        <v>0.50452512136330008</v>
      </c>
      <c r="AI160" s="34">
        <f t="shared" si="119"/>
        <v>0.537172089249216</v>
      </c>
      <c r="AJ160" s="34">
        <f t="shared" si="120"/>
        <v>3.2646967885915923E-2</v>
      </c>
      <c r="AK160" s="34">
        <f t="shared" si="121"/>
        <v>3.2646967885915923E-2</v>
      </c>
      <c r="AL160" s="41">
        <f t="shared" si="122"/>
        <v>6.4708309861160287E-2</v>
      </c>
      <c r="AN160">
        <f t="shared" si="125"/>
        <v>172</v>
      </c>
      <c r="AO160">
        <f t="shared" si="126"/>
        <v>171</v>
      </c>
      <c r="AP160">
        <f t="shared" si="123"/>
        <v>1</v>
      </c>
      <c r="AQ160">
        <f t="shared" si="124"/>
        <v>1</v>
      </c>
    </row>
    <row r="161" spans="1:43">
      <c r="A161" s="1" t="s">
        <v>151</v>
      </c>
      <c r="B161" s="1" t="s">
        <v>335</v>
      </c>
      <c r="C161" t="e">
        <f>NA()</f>
        <v>#N/A</v>
      </c>
      <c r="D161" s="39" t="e">
        <v>#N/A</v>
      </c>
      <c r="E161" s="2">
        <v>6.06</v>
      </c>
      <c r="F161" s="41">
        <v>3.324322276740746E-2</v>
      </c>
      <c r="G161" s="2">
        <v>0.50616282090035103</v>
      </c>
      <c r="H161" s="34">
        <v>0.16605301890285884</v>
      </c>
      <c r="I161" s="34"/>
      <c r="J161" s="35">
        <v>76.712488829008791</v>
      </c>
      <c r="K161" s="35">
        <v>0</v>
      </c>
      <c r="L161">
        <v>0</v>
      </c>
      <c r="M161" s="35">
        <v>9.8971502890328136</v>
      </c>
      <c r="N161" t="e">
        <v>#N/A</v>
      </c>
      <c r="O161" t="e">
        <v>#N/A</v>
      </c>
      <c r="Q161" s="1" t="s">
        <v>151</v>
      </c>
      <c r="R161" s="1" t="s">
        <v>335</v>
      </c>
      <c r="S161" s="2" t="e">
        <f t="shared" si="105"/>
        <v>#N/A</v>
      </c>
      <c r="T161" s="2" t="e">
        <f t="shared" si="106"/>
        <v>#N/A</v>
      </c>
      <c r="U161" s="2">
        <f t="shared" si="107"/>
        <v>0.93940000000000001</v>
      </c>
      <c r="V161" s="2">
        <f t="shared" si="108"/>
        <v>6.648644553481492E-2</v>
      </c>
      <c r="W161" s="2">
        <f t="shared" si="109"/>
        <v>0.50616282090035103</v>
      </c>
      <c r="X161" s="2">
        <f t="shared" si="110"/>
        <v>0.72324496849523523</v>
      </c>
      <c r="Y161" s="9">
        <f t="shared" si="111"/>
        <v>0.55882355873260026</v>
      </c>
      <c r="Z161" s="2">
        <f t="shared" si="112"/>
        <v>0.95303555470012558</v>
      </c>
      <c r="AA161" s="2">
        <f t="shared" si="113"/>
        <v>0</v>
      </c>
      <c r="AB161" s="2">
        <f t="shared" si="114"/>
        <v>0</v>
      </c>
      <c r="AC161" s="2">
        <f t="shared" si="115"/>
        <v>4.9485751445164067E-2</v>
      </c>
      <c r="AD161" s="2" t="e">
        <f t="shared" si="116"/>
        <v>#N/A</v>
      </c>
      <c r="AE161" s="2" t="e">
        <f t="shared" si="117"/>
        <v>#N/A</v>
      </c>
      <c r="AF161" s="45">
        <f t="shared" si="118"/>
        <v>0.25063032653632239</v>
      </c>
      <c r="AH161" s="34">
        <v>0.33002619881993828</v>
      </c>
      <c r="AI161" s="34">
        <f t="shared" si="119"/>
        <v>0.34910081498741302</v>
      </c>
      <c r="AJ161" s="34">
        <f t="shared" si="120"/>
        <v>1.9074616167474745E-2</v>
      </c>
      <c r="AK161" s="34">
        <f t="shared" si="121"/>
        <v>1.9074616167474745E-2</v>
      </c>
      <c r="AL161" s="41">
        <f t="shared" si="122"/>
        <v>5.7797278627209299E-2</v>
      </c>
      <c r="AN161">
        <f t="shared" si="125"/>
        <v>109</v>
      </c>
      <c r="AO161">
        <f t="shared" si="126"/>
        <v>99</v>
      </c>
      <c r="AP161">
        <f t="shared" si="123"/>
        <v>10</v>
      </c>
      <c r="AQ161">
        <f t="shared" si="124"/>
        <v>10</v>
      </c>
    </row>
    <row r="162" spans="1:43">
      <c r="A162" s="1" t="s">
        <v>161</v>
      </c>
      <c r="B162" s="1" t="s">
        <v>336</v>
      </c>
      <c r="C162" t="e">
        <f>NA()</f>
        <v>#N/A</v>
      </c>
      <c r="D162" s="39" t="e">
        <v>#N/A</v>
      </c>
      <c r="E162" s="2">
        <v>61.76</v>
      </c>
      <c r="F162" s="41">
        <v>2.6804127354808198E-4</v>
      </c>
      <c r="G162" s="2">
        <v>0.33090422819365478</v>
      </c>
      <c r="H162" s="34">
        <v>0.16200294527108183</v>
      </c>
      <c r="I162" s="34"/>
      <c r="J162" s="35">
        <v>32.040852257719493</v>
      </c>
      <c r="K162" s="35">
        <v>0</v>
      </c>
      <c r="L162">
        <v>11.9</v>
      </c>
      <c r="M162" s="35">
        <v>25.947171054492664</v>
      </c>
      <c r="N162" t="e">
        <v>#N/A</v>
      </c>
      <c r="O162" t="e">
        <v>#N/A</v>
      </c>
      <c r="Q162" s="1" t="s">
        <v>161</v>
      </c>
      <c r="R162" s="1" t="s">
        <v>336</v>
      </c>
      <c r="S162" s="2" t="e">
        <f t="shared" si="105"/>
        <v>#N/A</v>
      </c>
      <c r="T162" s="2" t="e">
        <f t="shared" si="106"/>
        <v>#N/A</v>
      </c>
      <c r="U162" s="2">
        <f t="shared" si="107"/>
        <v>0.38240000000000007</v>
      </c>
      <c r="V162" s="2">
        <f t="shared" si="108"/>
        <v>5.3608254709616395E-4</v>
      </c>
      <c r="W162" s="2">
        <f t="shared" si="109"/>
        <v>0.33090422819365478</v>
      </c>
      <c r="X162" s="2">
        <f t="shared" si="110"/>
        <v>0.72999509121486361</v>
      </c>
      <c r="Y162" s="9">
        <f t="shared" si="111"/>
        <v>0.36095885048890364</v>
      </c>
      <c r="Z162" s="2">
        <f t="shared" si="112"/>
        <v>0.31486931796742135</v>
      </c>
      <c r="AA162" s="2">
        <f t="shared" si="113"/>
        <v>0</v>
      </c>
      <c r="AB162" s="2">
        <f t="shared" si="114"/>
        <v>0.17</v>
      </c>
      <c r="AC162" s="2">
        <f t="shared" si="115"/>
        <v>0.12973585527246331</v>
      </c>
      <c r="AD162" s="2" t="e">
        <f t="shared" si="116"/>
        <v>#N/A</v>
      </c>
      <c r="AE162" s="2" t="e">
        <f t="shared" si="117"/>
        <v>#N/A</v>
      </c>
      <c r="AF162" s="45">
        <f t="shared" si="118"/>
        <v>0.15365129330997118</v>
      </c>
      <c r="AH162" s="34">
        <v>0.34523046346204328</v>
      </c>
      <c r="AI162" s="34">
        <f t="shared" si="119"/>
        <v>0.31463523243981095</v>
      </c>
      <c r="AJ162" s="34">
        <f t="shared" si="120"/>
        <v>-3.0595231022232328E-2</v>
      </c>
      <c r="AK162" s="34">
        <f t="shared" si="121"/>
        <v>3.0595231022232328E-2</v>
      </c>
      <c r="AL162" s="41">
        <f t="shared" si="122"/>
        <v>8.8622628244961213E-2</v>
      </c>
      <c r="AN162">
        <f t="shared" si="125"/>
        <v>113</v>
      </c>
      <c r="AO162">
        <f t="shared" si="126"/>
        <v>81</v>
      </c>
      <c r="AP162">
        <f t="shared" si="123"/>
        <v>32</v>
      </c>
      <c r="AQ162">
        <f t="shared" si="124"/>
        <v>32</v>
      </c>
    </row>
    <row r="163" spans="1:43">
      <c r="A163" s="1" t="s">
        <v>120</v>
      </c>
      <c r="B163" s="1" t="s">
        <v>337</v>
      </c>
      <c r="C163" t="e">
        <f>NA()</f>
        <v>#N/A</v>
      </c>
      <c r="D163" s="39" t="e">
        <v>#N/A</v>
      </c>
      <c r="E163" s="2">
        <v>41.71</v>
      </c>
      <c r="F163" s="41">
        <v>5.1471083689257457E-2</v>
      </c>
      <c r="G163" s="2">
        <v>0.15113608241917445</v>
      </c>
      <c r="H163" s="34">
        <v>0.17010309253463585</v>
      </c>
      <c r="I163" s="34"/>
      <c r="J163" s="35">
        <v>54.422086633855614</v>
      </c>
      <c r="K163" s="35">
        <v>0</v>
      </c>
      <c r="L163">
        <v>0</v>
      </c>
      <c r="M163" s="35">
        <v>1363.1130313252947</v>
      </c>
      <c r="N163" t="e">
        <v>#N/A</v>
      </c>
      <c r="O163" t="e">
        <v>#N/A</v>
      </c>
      <c r="Q163" s="1" t="s">
        <v>120</v>
      </c>
      <c r="R163" s="1" t="s">
        <v>337</v>
      </c>
      <c r="S163" s="2" t="e">
        <f t="shared" si="105"/>
        <v>#N/A</v>
      </c>
      <c r="T163" s="2" t="e">
        <f t="shared" si="106"/>
        <v>#N/A</v>
      </c>
      <c r="U163" s="2">
        <f t="shared" si="107"/>
        <v>0.58289999999999997</v>
      </c>
      <c r="V163" s="2">
        <f t="shared" si="108"/>
        <v>0.10294216737851491</v>
      </c>
      <c r="W163" s="2">
        <f t="shared" si="109"/>
        <v>0.15113608241917445</v>
      </c>
      <c r="X163" s="2">
        <f t="shared" si="110"/>
        <v>0.71649484577560685</v>
      </c>
      <c r="Y163" s="9">
        <f t="shared" si="111"/>
        <v>0.38836827389332407</v>
      </c>
      <c r="Z163" s="2">
        <f t="shared" si="112"/>
        <v>0.63460123762650877</v>
      </c>
      <c r="AA163" s="2">
        <f t="shared" si="113"/>
        <v>0</v>
      </c>
      <c r="AB163" s="2">
        <f t="shared" si="114"/>
        <v>0</v>
      </c>
      <c r="AC163" s="2">
        <f t="shared" si="115"/>
        <v>1</v>
      </c>
      <c r="AD163" s="2" t="e">
        <f t="shared" si="116"/>
        <v>#N/A</v>
      </c>
      <c r="AE163" s="2" t="e">
        <f t="shared" si="117"/>
        <v>#N/A</v>
      </c>
      <c r="AF163" s="45">
        <f t="shared" si="118"/>
        <v>0.40865030940662717</v>
      </c>
      <c r="AH163" s="34">
        <v>0.30770686296922195</v>
      </c>
      <c r="AI163" s="34">
        <f t="shared" si="119"/>
        <v>0.33653451249050603</v>
      </c>
      <c r="AJ163" s="34">
        <f t="shared" si="120"/>
        <v>2.8827649521284082E-2</v>
      </c>
      <c r="AK163" s="34">
        <f t="shared" si="121"/>
        <v>2.8827649521284082E-2</v>
      </c>
      <c r="AL163" s="41">
        <f t="shared" si="122"/>
        <v>9.3685429187738131E-2</v>
      </c>
      <c r="AN163">
        <f t="shared" si="125"/>
        <v>99</v>
      </c>
      <c r="AO163">
        <f t="shared" si="126"/>
        <v>92</v>
      </c>
      <c r="AP163">
        <f t="shared" si="123"/>
        <v>7</v>
      </c>
      <c r="AQ163">
        <f t="shared" si="124"/>
        <v>7</v>
      </c>
    </row>
    <row r="164" spans="1:43">
      <c r="A164" s="1" t="s">
        <v>174</v>
      </c>
      <c r="B164" s="1" t="s">
        <v>338</v>
      </c>
      <c r="C164" t="e">
        <f>NA()</f>
        <v>#N/A</v>
      </c>
      <c r="D164" s="39" t="e">
        <v>#N/A</v>
      </c>
      <c r="E164" s="2">
        <v>3.5</v>
      </c>
      <c r="F164" s="41" t="e">
        <v>#N/A</v>
      </c>
      <c r="G164" s="40">
        <v>0.64678686095388027</v>
      </c>
      <c r="H164" s="34">
        <v>0.13770250348041957</v>
      </c>
      <c r="I164" s="34"/>
      <c r="J164" s="35">
        <v>86.09535753830751</v>
      </c>
      <c r="K164" s="35">
        <v>0</v>
      </c>
      <c r="L164">
        <v>0</v>
      </c>
      <c r="M164" s="35">
        <v>230.67648469296941</v>
      </c>
      <c r="N164">
        <v>6.6</v>
      </c>
      <c r="O164" t="e">
        <v>#N/A</v>
      </c>
      <c r="Q164" s="1" t="s">
        <v>174</v>
      </c>
      <c r="R164" s="1" t="s">
        <v>338</v>
      </c>
      <c r="S164" s="2" t="e">
        <f t="shared" si="105"/>
        <v>#N/A</v>
      </c>
      <c r="T164" s="2" t="e">
        <f t="shared" si="106"/>
        <v>#N/A</v>
      </c>
      <c r="U164" s="2">
        <f t="shared" si="107"/>
        <v>0.96499999999999997</v>
      </c>
      <c r="V164" s="2" t="e">
        <f t="shared" si="108"/>
        <v>#N/A</v>
      </c>
      <c r="W164" s="2">
        <f t="shared" si="109"/>
        <v>0.64678686095388027</v>
      </c>
      <c r="X164" s="2">
        <f t="shared" si="110"/>
        <v>0.77049582753263401</v>
      </c>
      <c r="Y164" s="9">
        <f t="shared" si="111"/>
        <v>0.79409422949550468</v>
      </c>
      <c r="Z164" s="2">
        <f t="shared" si="112"/>
        <v>1</v>
      </c>
      <c r="AA164" s="2">
        <f t="shared" si="113"/>
        <v>0</v>
      </c>
      <c r="AB164" s="2">
        <f t="shared" si="114"/>
        <v>0</v>
      </c>
      <c r="AC164" s="2">
        <f t="shared" si="115"/>
        <v>1</v>
      </c>
      <c r="AD164" s="2">
        <f t="shared" si="116"/>
        <v>0.65999999999999992</v>
      </c>
      <c r="AE164" s="2" t="e">
        <f t="shared" si="117"/>
        <v>#N/A</v>
      </c>
      <c r="AF164" s="45">
        <f t="shared" si="118"/>
        <v>0.53200000000000003</v>
      </c>
      <c r="AH164" s="34">
        <v>0.38235213643241872</v>
      </c>
      <c r="AI164" s="34">
        <f t="shared" si="119"/>
        <v>0.46682635491015917</v>
      </c>
      <c r="AJ164" s="34">
        <f t="shared" si="120"/>
        <v>8.4474218477740448E-2</v>
      </c>
      <c r="AK164" s="34">
        <f t="shared" si="121"/>
        <v>8.4474218477740448E-2</v>
      </c>
      <c r="AL164" s="41">
        <f t="shared" si="122"/>
        <v>0.22093303640444387</v>
      </c>
      <c r="AN164">
        <f t="shared" si="125"/>
        <v>125</v>
      </c>
      <c r="AO164">
        <f t="shared" si="126"/>
        <v>137</v>
      </c>
      <c r="AP164">
        <f t="shared" si="123"/>
        <v>-12</v>
      </c>
      <c r="AQ164">
        <f t="shared" si="124"/>
        <v>12</v>
      </c>
    </row>
    <row r="165" spans="1:43">
      <c r="A165" s="1" t="s">
        <v>7</v>
      </c>
      <c r="B165" s="1" t="s">
        <v>339</v>
      </c>
      <c r="C165" t="e">
        <f>NA()</f>
        <v>#N/A</v>
      </c>
      <c r="D165" s="39" t="e">
        <v>#N/A</v>
      </c>
      <c r="E165" s="2">
        <v>0</v>
      </c>
      <c r="F165" s="41" t="e">
        <v>#N/A</v>
      </c>
      <c r="G165" s="40">
        <v>0</v>
      </c>
      <c r="H165" s="34">
        <v>0.14175257711219658</v>
      </c>
      <c r="I165" s="34"/>
      <c r="J165" s="35">
        <v>14.848272877925536</v>
      </c>
      <c r="K165" s="35">
        <v>0</v>
      </c>
      <c r="L165" t="e">
        <v>#N/A</v>
      </c>
      <c r="M165" s="35">
        <v>7.6238364301316306</v>
      </c>
      <c r="N165">
        <v>0</v>
      </c>
      <c r="O165" t="e">
        <v>#N/A</v>
      </c>
      <c r="Q165" s="1" t="s">
        <v>7</v>
      </c>
      <c r="R165" s="1" t="s">
        <v>339</v>
      </c>
      <c r="S165" s="2" t="e">
        <f t="shared" si="105"/>
        <v>#N/A</v>
      </c>
      <c r="T165" s="2" t="e">
        <f t="shared" si="106"/>
        <v>#N/A</v>
      </c>
      <c r="U165" s="2">
        <f t="shared" si="107"/>
        <v>1</v>
      </c>
      <c r="V165" s="2" t="e">
        <f t="shared" si="108"/>
        <v>#N/A</v>
      </c>
      <c r="W165" s="2">
        <f t="shared" si="109"/>
        <v>0</v>
      </c>
      <c r="X165" s="2">
        <f t="shared" si="110"/>
        <v>0.76374570481300563</v>
      </c>
      <c r="Y165" s="9">
        <f t="shared" si="111"/>
        <v>0.58791523493766851</v>
      </c>
      <c r="Z165" s="2">
        <f t="shared" si="112"/>
        <v>6.9261041113221955E-2</v>
      </c>
      <c r="AA165" s="2">
        <f t="shared" si="113"/>
        <v>0</v>
      </c>
      <c r="AB165" s="2" t="e">
        <f t="shared" si="114"/>
        <v>#N/A</v>
      </c>
      <c r="AC165" s="2">
        <f t="shared" si="115"/>
        <v>3.8119182150658154E-2</v>
      </c>
      <c r="AD165" s="2">
        <f t="shared" si="116"/>
        <v>0</v>
      </c>
      <c r="AE165" s="2" t="e">
        <f t="shared" si="117"/>
        <v>#N/A</v>
      </c>
      <c r="AF165" s="45">
        <f t="shared" si="118"/>
        <v>2.6845055815970027E-2</v>
      </c>
      <c r="AH165" s="34">
        <v>0.18587195144821328</v>
      </c>
      <c r="AI165" s="34">
        <f t="shared" si="119"/>
        <v>0.2160449526954652</v>
      </c>
      <c r="AJ165" s="34">
        <f t="shared" si="120"/>
        <v>3.0173001247251918E-2</v>
      </c>
      <c r="AK165" s="34">
        <f t="shared" si="121"/>
        <v>3.0173001247251918E-2</v>
      </c>
      <c r="AL165" s="41">
        <f t="shared" si="122"/>
        <v>0.16233219166291785</v>
      </c>
      <c r="AN165">
        <f t="shared" si="125"/>
        <v>18</v>
      </c>
      <c r="AO165">
        <f t="shared" si="126"/>
        <v>31</v>
      </c>
      <c r="AP165">
        <f t="shared" si="123"/>
        <v>-13</v>
      </c>
      <c r="AQ165">
        <f t="shared" si="124"/>
        <v>13</v>
      </c>
    </row>
    <row r="166" spans="1:43">
      <c r="A166" s="1" t="s">
        <v>80</v>
      </c>
      <c r="B166" s="1" t="s">
        <v>340</v>
      </c>
      <c r="C166" t="e">
        <f>NA()</f>
        <v>#N/A</v>
      </c>
      <c r="D166" s="39" t="e">
        <v>#N/A</v>
      </c>
      <c r="E166" s="2">
        <v>0</v>
      </c>
      <c r="F166" s="41" t="e">
        <v>#N/A</v>
      </c>
      <c r="G166" s="2">
        <v>0.82847268182415645</v>
      </c>
      <c r="H166" s="34">
        <v>0.15795287163930471</v>
      </c>
      <c r="I166" s="34"/>
      <c r="J166" s="35">
        <v>59.999975739763521</v>
      </c>
      <c r="K166" s="35">
        <v>0</v>
      </c>
      <c r="L166" t="e">
        <v>#N/A</v>
      </c>
      <c r="M166" s="35">
        <v>75.496042430940562</v>
      </c>
      <c r="N166" t="e">
        <v>#N/A</v>
      </c>
      <c r="O166">
        <v>2.2000000000000002</v>
      </c>
      <c r="Q166" s="1" t="s">
        <v>80</v>
      </c>
      <c r="R166" s="1" t="s">
        <v>340</v>
      </c>
      <c r="S166" s="2" t="e">
        <f t="shared" si="105"/>
        <v>#N/A</v>
      </c>
      <c r="T166" s="2" t="e">
        <f t="shared" si="106"/>
        <v>#N/A</v>
      </c>
      <c r="U166" s="2">
        <f t="shared" si="107"/>
        <v>1</v>
      </c>
      <c r="V166" s="2" t="e">
        <f t="shared" si="108"/>
        <v>#N/A</v>
      </c>
      <c r="W166" s="2">
        <f t="shared" si="109"/>
        <v>0.82847268182415645</v>
      </c>
      <c r="X166" s="2">
        <f t="shared" si="110"/>
        <v>0.7367452139344921</v>
      </c>
      <c r="Y166" s="9">
        <f t="shared" si="111"/>
        <v>0.85507263191954941</v>
      </c>
      <c r="Z166" s="2">
        <f t="shared" si="112"/>
        <v>0.71428536771090745</v>
      </c>
      <c r="AA166" s="2">
        <f t="shared" si="113"/>
        <v>0</v>
      </c>
      <c r="AB166" s="2" t="e">
        <f t="shared" si="114"/>
        <v>#N/A</v>
      </c>
      <c r="AC166" s="2">
        <f t="shared" si="115"/>
        <v>0.37748021215470279</v>
      </c>
      <c r="AD166" s="2" t="e">
        <f t="shared" si="116"/>
        <v>#N/A</v>
      </c>
      <c r="AE166" s="2">
        <f t="shared" si="117"/>
        <v>0.55999999999999994</v>
      </c>
      <c r="AF166" s="45">
        <f t="shared" si="118"/>
        <v>0.41294139496640259</v>
      </c>
      <c r="AH166" s="34">
        <v>0.42571015541007878</v>
      </c>
      <c r="AI166" s="34">
        <f t="shared" si="119"/>
        <v>0.48485872169251576</v>
      </c>
      <c r="AJ166" s="34">
        <f t="shared" si="120"/>
        <v>5.9148566282436976E-2</v>
      </c>
      <c r="AK166" s="34">
        <f t="shared" si="121"/>
        <v>5.9148566282436976E-2</v>
      </c>
      <c r="AL166" s="41">
        <f t="shared" si="122"/>
        <v>0.1389409332400357</v>
      </c>
      <c r="AN166">
        <f t="shared" si="125"/>
        <v>134</v>
      </c>
      <c r="AO166">
        <f t="shared" si="126"/>
        <v>144</v>
      </c>
      <c r="AP166">
        <f t="shared" si="123"/>
        <v>-10</v>
      </c>
      <c r="AQ166">
        <f t="shared" si="124"/>
        <v>10</v>
      </c>
    </row>
    <row r="167" spans="1:43">
      <c r="A167" s="1" t="s">
        <v>27</v>
      </c>
      <c r="B167" s="1" t="s">
        <v>341</v>
      </c>
      <c r="C167" t="e">
        <f>NA()</f>
        <v>#N/A</v>
      </c>
      <c r="D167" s="39">
        <v>-0.79926333856662712</v>
      </c>
      <c r="E167" s="2">
        <v>100</v>
      </c>
      <c r="F167" s="41">
        <v>7.1127231773751784E-2</v>
      </c>
      <c r="G167" s="2">
        <v>0.23287762194059314</v>
      </c>
      <c r="H167" s="34">
        <v>0.19845360795707523</v>
      </c>
      <c r="I167" s="34"/>
      <c r="J167" s="35">
        <v>21.126615803525059</v>
      </c>
      <c r="K167" s="35">
        <v>20.245736748474073</v>
      </c>
      <c r="L167">
        <v>18</v>
      </c>
      <c r="M167" s="35">
        <v>68.599645013354106</v>
      </c>
      <c r="N167">
        <v>0</v>
      </c>
      <c r="O167">
        <v>3.27</v>
      </c>
      <c r="Q167" s="1" t="s">
        <v>27</v>
      </c>
      <c r="R167" s="1" t="s">
        <v>341</v>
      </c>
      <c r="S167" s="2" t="e">
        <f t="shared" si="105"/>
        <v>#N/A</v>
      </c>
      <c r="T167" s="2">
        <f t="shared" si="106"/>
        <v>0.5799263338566627</v>
      </c>
      <c r="U167" s="2">
        <f t="shared" si="107"/>
        <v>0</v>
      </c>
      <c r="V167" s="2">
        <f t="shared" si="108"/>
        <v>0.14225446354750357</v>
      </c>
      <c r="W167" s="2">
        <f t="shared" si="109"/>
        <v>0.23287762194059314</v>
      </c>
      <c r="X167" s="2">
        <f t="shared" si="110"/>
        <v>0.66924398673820795</v>
      </c>
      <c r="Y167" s="9">
        <f t="shared" si="111"/>
        <v>0.3248604812165935</v>
      </c>
      <c r="Z167" s="2">
        <f t="shared" si="112"/>
        <v>0.15895165433607228</v>
      </c>
      <c r="AA167" s="2">
        <f t="shared" si="113"/>
        <v>0.25307170935592593</v>
      </c>
      <c r="AB167" s="2">
        <f t="shared" si="114"/>
        <v>0.25714285714285712</v>
      </c>
      <c r="AC167" s="2">
        <f t="shared" si="115"/>
        <v>0.34299822506677052</v>
      </c>
      <c r="AD167" s="2">
        <f t="shared" si="116"/>
        <v>0</v>
      </c>
      <c r="AE167" s="2">
        <f t="shared" si="117"/>
        <v>0.34599999999999997</v>
      </c>
      <c r="AF167" s="45">
        <f t="shared" si="118"/>
        <v>0.22636074098360429</v>
      </c>
      <c r="AH167" s="34">
        <v>0.29970448782638004</v>
      </c>
      <c r="AI167" s="34">
        <f t="shared" si="119"/>
        <v>0.29072498742336322</v>
      </c>
      <c r="AJ167" s="34">
        <f t="shared" si="120"/>
        <v>-8.9795004030168157E-3</v>
      </c>
      <c r="AK167" s="34">
        <f t="shared" si="121"/>
        <v>8.9795004030168157E-3</v>
      </c>
      <c r="AL167" s="41">
        <f t="shared" si="122"/>
        <v>2.9961180989117101E-2</v>
      </c>
      <c r="AN167">
        <f t="shared" si="125"/>
        <v>95</v>
      </c>
      <c r="AO167">
        <f t="shared" si="126"/>
        <v>67</v>
      </c>
      <c r="AP167">
        <f t="shared" si="123"/>
        <v>28</v>
      </c>
      <c r="AQ167">
        <f t="shared" si="124"/>
        <v>28</v>
      </c>
    </row>
    <row r="168" spans="1:43">
      <c r="A168" s="1" t="s">
        <v>128</v>
      </c>
      <c r="B168" s="1" t="s">
        <v>342</v>
      </c>
      <c r="C168" t="e">
        <f>NA()</f>
        <v>#N/A</v>
      </c>
      <c r="D168" s="39">
        <v>0.27192183158463612</v>
      </c>
      <c r="E168" s="2">
        <v>99.47</v>
      </c>
      <c r="F168" s="41">
        <v>0.11825235284367293</v>
      </c>
      <c r="G168" s="2">
        <v>0.19803092824394497</v>
      </c>
      <c r="H168" s="34">
        <v>0.43311242056752375</v>
      </c>
      <c r="I168" s="34"/>
      <c r="J168" s="35">
        <v>53.671574787365643</v>
      </c>
      <c r="K168" s="35">
        <v>21.500024324870431</v>
      </c>
      <c r="L168">
        <v>38.799999999999997</v>
      </c>
      <c r="M168" s="35">
        <v>22.819128090573972</v>
      </c>
      <c r="N168">
        <v>4.9800000000000004</v>
      </c>
      <c r="O168">
        <v>2.64</v>
      </c>
      <c r="Q168" s="1" t="s">
        <v>128</v>
      </c>
      <c r="R168" s="1" t="s">
        <v>342</v>
      </c>
      <c r="S168" s="2" t="e">
        <f t="shared" si="105"/>
        <v>#N/A</v>
      </c>
      <c r="T168" s="2">
        <f t="shared" si="106"/>
        <v>0.47280781684153639</v>
      </c>
      <c r="U168" s="2">
        <f t="shared" si="107"/>
        <v>5.2999999999999714E-3</v>
      </c>
      <c r="V168" s="2">
        <f t="shared" si="108"/>
        <v>0.23650470568734586</v>
      </c>
      <c r="W168" s="2">
        <f t="shared" si="109"/>
        <v>0.19803092824394497</v>
      </c>
      <c r="X168" s="2">
        <f t="shared" si="110"/>
        <v>0.27814596572079375</v>
      </c>
      <c r="Y168" s="9">
        <f t="shared" si="111"/>
        <v>0.2381578832987242</v>
      </c>
      <c r="Z168" s="2">
        <f t="shared" si="112"/>
        <v>0.62387963981950922</v>
      </c>
      <c r="AA168" s="2">
        <f t="shared" si="113"/>
        <v>0.26875030406088041</v>
      </c>
      <c r="AB168" s="2">
        <f t="shared" si="114"/>
        <v>0.55428571428571427</v>
      </c>
      <c r="AC168" s="2">
        <f t="shared" si="115"/>
        <v>0.11409564045286986</v>
      </c>
      <c r="AD168" s="2">
        <f t="shared" si="116"/>
        <v>0.49800000000000005</v>
      </c>
      <c r="AE168" s="2">
        <f t="shared" si="117"/>
        <v>0.47199999999999998</v>
      </c>
      <c r="AF168" s="45">
        <f t="shared" si="118"/>
        <v>0.42183521643649563</v>
      </c>
      <c r="AH168" s="34">
        <v>0.47536360406836337</v>
      </c>
      <c r="AI168" s="34">
        <f t="shared" si="119"/>
        <v>0.43230077750723761</v>
      </c>
      <c r="AJ168" s="34">
        <f t="shared" si="120"/>
        <v>-4.3062826561125755E-2</v>
      </c>
      <c r="AK168" s="34">
        <f t="shared" si="121"/>
        <v>4.3062826561125755E-2</v>
      </c>
      <c r="AL168" s="41">
        <f t="shared" si="122"/>
        <v>9.0589237780460727E-2</v>
      </c>
      <c r="AN168">
        <f t="shared" si="125"/>
        <v>156</v>
      </c>
      <c r="AO168">
        <f t="shared" si="126"/>
        <v>129</v>
      </c>
      <c r="AP168">
        <f t="shared" si="123"/>
        <v>27</v>
      </c>
      <c r="AQ168">
        <f t="shared" si="124"/>
        <v>27</v>
      </c>
    </row>
    <row r="169" spans="1:43">
      <c r="A169" s="1" t="s">
        <v>106</v>
      </c>
      <c r="B169" s="1" t="s">
        <v>343</v>
      </c>
      <c r="C169" t="e">
        <f>NA()</f>
        <v>#N/A</v>
      </c>
      <c r="D169" s="39">
        <v>4.8272357641687247E-2</v>
      </c>
      <c r="E169" s="2">
        <v>35</v>
      </c>
      <c r="F169" s="41" t="e">
        <v>#N/A</v>
      </c>
      <c r="G169" s="2" t="e">
        <v>#N/A</v>
      </c>
      <c r="H169" s="34">
        <v>0</v>
      </c>
      <c r="I169" s="34"/>
      <c r="J169" s="35">
        <v>29.236056688657396</v>
      </c>
      <c r="K169" s="35">
        <v>28.800082850738345</v>
      </c>
      <c r="L169">
        <v>0</v>
      </c>
      <c r="M169" s="35">
        <v>-89.05357462777117</v>
      </c>
      <c r="N169">
        <v>1.32</v>
      </c>
      <c r="O169">
        <v>2.2999999999999998</v>
      </c>
      <c r="Q169" s="1" t="s">
        <v>106</v>
      </c>
      <c r="R169" s="1" t="s">
        <v>343</v>
      </c>
      <c r="S169" s="2" t="e">
        <f t="shared" si="105"/>
        <v>#N/A</v>
      </c>
      <c r="T169" s="2">
        <f t="shared" si="106"/>
        <v>0.49517276423583123</v>
      </c>
      <c r="U169" s="2">
        <f t="shared" si="107"/>
        <v>0.65</v>
      </c>
      <c r="V169" s="2" t="e">
        <f t="shared" si="108"/>
        <v>#N/A</v>
      </c>
      <c r="W169" s="2" t="e">
        <f t="shared" si="109"/>
        <v>#N/A</v>
      </c>
      <c r="X169" s="2">
        <f t="shared" si="110"/>
        <v>1</v>
      </c>
      <c r="Y169" s="9">
        <f t="shared" si="111"/>
        <v>0.71505758807861042</v>
      </c>
      <c r="Z169" s="2">
        <f t="shared" si="112"/>
        <v>0.27480080983796279</v>
      </c>
      <c r="AA169" s="2">
        <f t="shared" si="113"/>
        <v>0.3600010356342293</v>
      </c>
      <c r="AB169" s="2">
        <f t="shared" si="114"/>
        <v>0</v>
      </c>
      <c r="AC169" s="2">
        <f t="shared" si="115"/>
        <v>0</v>
      </c>
      <c r="AD169" s="2">
        <f t="shared" si="116"/>
        <v>0.13200000000000001</v>
      </c>
      <c r="AE169" s="2">
        <f t="shared" si="117"/>
        <v>0.54</v>
      </c>
      <c r="AF169" s="45">
        <f t="shared" si="118"/>
        <v>0.2178003075786987</v>
      </c>
      <c r="AH169" s="34">
        <v>0.22195639221102992</v>
      </c>
      <c r="AI169" s="34">
        <f t="shared" si="119"/>
        <v>0.29168694854085603</v>
      </c>
      <c r="AJ169" s="34">
        <f t="shared" si="120"/>
        <v>6.973055632982611E-2</v>
      </c>
      <c r="AK169" s="34">
        <f t="shared" si="121"/>
        <v>6.973055632982611E-2</v>
      </c>
      <c r="AL169" s="41">
        <f t="shared" si="122"/>
        <v>0.31416331665513941</v>
      </c>
      <c r="AN169">
        <f t="shared" si="125"/>
        <v>38</v>
      </c>
      <c r="AO169">
        <f t="shared" si="126"/>
        <v>68</v>
      </c>
      <c r="AP169">
        <f t="shared" si="123"/>
        <v>-30</v>
      </c>
      <c r="AQ169">
        <f t="shared" si="124"/>
        <v>30</v>
      </c>
    </row>
    <row r="170" spans="1:43">
      <c r="A170" s="1" t="s">
        <v>102</v>
      </c>
      <c r="B170" s="1" t="s">
        <v>344</v>
      </c>
      <c r="C170" t="e">
        <f>NA()</f>
        <v>#N/A</v>
      </c>
      <c r="D170" s="39" t="e">
        <v>#N/A</v>
      </c>
      <c r="E170" s="2">
        <v>75</v>
      </c>
      <c r="F170" s="41">
        <v>1.1323143813293055E-2</v>
      </c>
      <c r="G170" s="2">
        <v>0.73677722678512014</v>
      </c>
      <c r="H170" s="34">
        <v>0.25503190978564372</v>
      </c>
      <c r="I170" s="34"/>
      <c r="J170" s="35">
        <v>54.330878321241094</v>
      </c>
      <c r="K170" s="35">
        <v>0</v>
      </c>
      <c r="L170" t="e">
        <v>#N/A</v>
      </c>
      <c r="M170" s="35">
        <v>-98.017285160645997</v>
      </c>
      <c r="N170" t="e">
        <v>#N/A</v>
      </c>
      <c r="O170" t="e">
        <v>#N/A</v>
      </c>
      <c r="Q170" s="1" t="s">
        <v>102</v>
      </c>
      <c r="R170" s="1" t="s">
        <v>344</v>
      </c>
      <c r="S170" s="2" t="e">
        <f t="shared" si="105"/>
        <v>#N/A</v>
      </c>
      <c r="T170" s="2" t="e">
        <f t="shared" si="106"/>
        <v>#N/A</v>
      </c>
      <c r="U170" s="2">
        <f t="shared" si="107"/>
        <v>0.25</v>
      </c>
      <c r="V170" s="2">
        <f t="shared" si="108"/>
        <v>2.264628762658611E-2</v>
      </c>
      <c r="W170" s="2">
        <f t="shared" si="109"/>
        <v>0.73677722678512014</v>
      </c>
      <c r="X170" s="2">
        <f t="shared" si="110"/>
        <v>0.57494681702392714</v>
      </c>
      <c r="Y170" s="9">
        <f t="shared" si="111"/>
        <v>0.39609258285890836</v>
      </c>
      <c r="Z170" s="2">
        <f t="shared" si="112"/>
        <v>0.63329826173201564</v>
      </c>
      <c r="AA170" s="2">
        <f t="shared" si="113"/>
        <v>0</v>
      </c>
      <c r="AB170" s="2" t="e">
        <f t="shared" si="114"/>
        <v>#N/A</v>
      </c>
      <c r="AC170" s="2">
        <f t="shared" si="115"/>
        <v>0</v>
      </c>
      <c r="AD170" s="2" t="e">
        <f t="shared" si="116"/>
        <v>#N/A</v>
      </c>
      <c r="AE170" s="2" t="e">
        <f t="shared" si="117"/>
        <v>#N/A</v>
      </c>
      <c r="AF170" s="45" t="e">
        <f t="shared" si="118"/>
        <v>#N/A</v>
      </c>
      <c r="AH170" s="34">
        <v>0.32692239317750854</v>
      </c>
      <c r="AI170" s="34" t="e">
        <f t="shared" si="119"/>
        <v>#N/A</v>
      </c>
      <c r="AJ170" s="34" t="e">
        <f t="shared" si="120"/>
        <v>#N/A</v>
      </c>
      <c r="AK170" s="34" t="e">
        <f t="shared" si="121"/>
        <v>#N/A</v>
      </c>
      <c r="AL170" s="41" t="e">
        <f t="shared" si="122"/>
        <v>#N/A</v>
      </c>
      <c r="AN170">
        <f t="shared" si="125"/>
        <v>108</v>
      </c>
      <c r="AO170" t="e">
        <f t="shared" si="126"/>
        <v>#VALUE!</v>
      </c>
      <c r="AP170" t="e">
        <f t="shared" si="123"/>
        <v>#VALUE!</v>
      </c>
      <c r="AQ170" t="e">
        <f t="shared" si="124"/>
        <v>#VALUE!</v>
      </c>
    </row>
    <row r="171" spans="1:43">
      <c r="A171" s="1" t="s">
        <v>136</v>
      </c>
      <c r="B171" s="1" t="s">
        <v>345</v>
      </c>
      <c r="C171" t="e">
        <f>NA()</f>
        <v>#N/A</v>
      </c>
      <c r="D171" s="39">
        <v>0.21535688522776297</v>
      </c>
      <c r="E171" s="2">
        <v>29.06</v>
      </c>
      <c r="F171" s="41">
        <v>0.33854634010907209</v>
      </c>
      <c r="G171" s="2">
        <v>0.43950117665168803</v>
      </c>
      <c r="H171" s="34">
        <v>0.23895434427484563</v>
      </c>
      <c r="I171" s="34"/>
      <c r="J171" s="35">
        <v>39.981957148054427</v>
      </c>
      <c r="K171" s="35">
        <v>22.78000898613297</v>
      </c>
      <c r="L171">
        <v>97</v>
      </c>
      <c r="M171" s="35">
        <v>37.867521178375021</v>
      </c>
      <c r="N171">
        <v>6.56</v>
      </c>
      <c r="O171">
        <v>1.61</v>
      </c>
      <c r="Q171" s="1" t="s">
        <v>136</v>
      </c>
      <c r="R171" s="1" t="s">
        <v>345</v>
      </c>
      <c r="S171" s="2" t="e">
        <f t="shared" si="105"/>
        <v>#N/A</v>
      </c>
      <c r="T171" s="2">
        <f t="shared" si="106"/>
        <v>0.47846431147722368</v>
      </c>
      <c r="U171" s="2">
        <f t="shared" si="107"/>
        <v>0.70940000000000003</v>
      </c>
      <c r="V171" s="2">
        <f t="shared" si="108"/>
        <v>0.67709268021814417</v>
      </c>
      <c r="W171" s="2">
        <f t="shared" si="109"/>
        <v>0.43950117665168803</v>
      </c>
      <c r="X171" s="2">
        <f t="shared" si="110"/>
        <v>0.60174275954192391</v>
      </c>
      <c r="Y171" s="9">
        <f t="shared" si="111"/>
        <v>0.58124018557779589</v>
      </c>
      <c r="Z171" s="2">
        <f t="shared" si="112"/>
        <v>0.42831367354363464</v>
      </c>
      <c r="AA171" s="2">
        <f t="shared" si="113"/>
        <v>0.28475011232666214</v>
      </c>
      <c r="AB171" s="2">
        <f t="shared" si="114"/>
        <v>1</v>
      </c>
      <c r="AC171" s="2">
        <f t="shared" si="115"/>
        <v>0.18933760589187509</v>
      </c>
      <c r="AD171" s="2">
        <f t="shared" si="116"/>
        <v>0.65599999999999992</v>
      </c>
      <c r="AE171" s="2">
        <f t="shared" si="117"/>
        <v>0.67799999999999994</v>
      </c>
      <c r="AF171" s="45">
        <f t="shared" si="118"/>
        <v>0.53940023196036202</v>
      </c>
      <c r="AH171" s="34">
        <v>0.55594509345682586</v>
      </c>
      <c r="AI171" s="34">
        <f t="shared" si="119"/>
        <v>0.55672241607471351</v>
      </c>
      <c r="AJ171" s="34">
        <f t="shared" si="120"/>
        <v>7.7732261788765467E-4</v>
      </c>
      <c r="AK171" s="34">
        <f t="shared" si="121"/>
        <v>7.7732261788765467E-4</v>
      </c>
      <c r="AL171" s="41">
        <f t="shared" si="122"/>
        <v>1.3982003385519955E-3</v>
      </c>
      <c r="AN171">
        <f t="shared" si="125"/>
        <v>182</v>
      </c>
      <c r="AO171">
        <f t="shared" si="126"/>
        <v>174</v>
      </c>
      <c r="AP171">
        <f t="shared" si="123"/>
        <v>8</v>
      </c>
      <c r="AQ171">
        <f t="shared" si="124"/>
        <v>8</v>
      </c>
    </row>
    <row r="172" spans="1:43">
      <c r="A172" s="1" t="s">
        <v>0</v>
      </c>
      <c r="B172" s="1" t="s">
        <v>346</v>
      </c>
      <c r="C172" t="e">
        <f>NA()</f>
        <v>#N/A</v>
      </c>
      <c r="D172" s="39">
        <v>-1.6263942800737647</v>
      </c>
      <c r="E172" s="2">
        <v>28.47</v>
      </c>
      <c r="F172" s="41">
        <v>6.5957364285967006E-6</v>
      </c>
      <c r="G172" s="2">
        <v>0.72025441118166922</v>
      </c>
      <c r="H172" s="34">
        <v>0.19833087894076518</v>
      </c>
      <c r="I172" s="34"/>
      <c r="J172" s="35">
        <v>95.27234226958457</v>
      </c>
      <c r="K172" s="35">
        <v>38.80008519510082</v>
      </c>
      <c r="L172">
        <v>0</v>
      </c>
      <c r="M172" s="35">
        <v>0</v>
      </c>
      <c r="N172">
        <v>0</v>
      </c>
      <c r="O172">
        <v>4.22</v>
      </c>
      <c r="Q172" s="1" t="s">
        <v>0</v>
      </c>
      <c r="R172" s="1" t="s">
        <v>346</v>
      </c>
      <c r="S172" s="2" t="e">
        <f t="shared" si="105"/>
        <v>#N/A</v>
      </c>
      <c r="T172" s="2">
        <f t="shared" si="106"/>
        <v>0.66263942800737641</v>
      </c>
      <c r="U172" s="2">
        <f t="shared" si="107"/>
        <v>0.71530000000000005</v>
      </c>
      <c r="V172" s="2">
        <f t="shared" si="108"/>
        <v>1.3191472857193401E-5</v>
      </c>
      <c r="W172" s="2">
        <f t="shared" si="109"/>
        <v>0.72025441118166922</v>
      </c>
      <c r="X172" s="2">
        <f t="shared" si="110"/>
        <v>0.66944853509872471</v>
      </c>
      <c r="Y172" s="9">
        <f t="shared" si="111"/>
        <v>0.55353111315212544</v>
      </c>
      <c r="Z172" s="2">
        <f t="shared" si="112"/>
        <v>1</v>
      </c>
      <c r="AA172" s="2">
        <f t="shared" si="113"/>
        <v>0.48500106493876027</v>
      </c>
      <c r="AB172" s="2">
        <f t="shared" si="114"/>
        <v>0</v>
      </c>
      <c r="AC172" s="2">
        <f t="shared" si="115"/>
        <v>0</v>
      </c>
      <c r="AD172" s="2">
        <f t="shared" si="116"/>
        <v>0</v>
      </c>
      <c r="AE172" s="2">
        <f t="shared" si="117"/>
        <v>0.15600000000000003</v>
      </c>
      <c r="AF172" s="45">
        <f t="shared" si="118"/>
        <v>0.27350017748979338</v>
      </c>
      <c r="AH172" s="34">
        <v>0.28141294690244967</v>
      </c>
      <c r="AI172" s="34">
        <f t="shared" si="119"/>
        <v>0.31893049589594796</v>
      </c>
      <c r="AJ172" s="34">
        <f t="shared" si="120"/>
        <v>3.7517548993498295E-2</v>
      </c>
      <c r="AK172" s="34">
        <f t="shared" si="121"/>
        <v>3.7517548993498295E-2</v>
      </c>
      <c r="AL172" s="41">
        <f t="shared" si="122"/>
        <v>0.13331848945280958</v>
      </c>
      <c r="AN172">
        <f t="shared" si="125"/>
        <v>84</v>
      </c>
      <c r="AO172">
        <f t="shared" si="126"/>
        <v>84</v>
      </c>
      <c r="AP172">
        <f t="shared" si="123"/>
        <v>0</v>
      </c>
      <c r="AQ172">
        <f t="shared" si="124"/>
        <v>0</v>
      </c>
    </row>
    <row r="173" spans="1:43">
      <c r="A173" s="1" t="s">
        <v>99</v>
      </c>
      <c r="B173" s="1" t="s">
        <v>347</v>
      </c>
      <c r="C173" t="e">
        <f>NA()</f>
        <v>#N/A</v>
      </c>
      <c r="D173" s="39">
        <v>0.92185722341276954</v>
      </c>
      <c r="E173" s="2">
        <v>84.47</v>
      </c>
      <c r="F173" s="41">
        <v>3.4255549010387354E-2</v>
      </c>
      <c r="G173" s="2">
        <v>0.16568595812228609</v>
      </c>
      <c r="H173" s="34">
        <v>0.47790868854969126</v>
      </c>
      <c r="I173" s="34"/>
      <c r="J173" s="35" t="e">
        <v>#N/A</v>
      </c>
      <c r="K173" s="35">
        <v>0</v>
      </c>
      <c r="L173">
        <v>0</v>
      </c>
      <c r="M173" s="35">
        <v>77.193246557355792</v>
      </c>
      <c r="N173">
        <v>0.33</v>
      </c>
      <c r="O173">
        <v>3</v>
      </c>
      <c r="Q173" s="1" t="s">
        <v>99</v>
      </c>
      <c r="R173" s="1" t="s">
        <v>347</v>
      </c>
      <c r="S173" s="2" t="e">
        <f t="shared" si="105"/>
        <v>#N/A</v>
      </c>
      <c r="T173" s="2">
        <f t="shared" si="106"/>
        <v>0.40781427765872302</v>
      </c>
      <c r="U173" s="2">
        <f t="shared" si="107"/>
        <v>0.15529999999999999</v>
      </c>
      <c r="V173" s="2">
        <f t="shared" si="108"/>
        <v>6.8511098020774708E-2</v>
      </c>
      <c r="W173" s="2">
        <f t="shared" si="109"/>
        <v>0.16568595812228609</v>
      </c>
      <c r="X173" s="2">
        <f t="shared" si="110"/>
        <v>0.20348551908384782</v>
      </c>
      <c r="Y173" s="9">
        <f t="shared" si="111"/>
        <v>0.20015937057712635</v>
      </c>
      <c r="Z173" s="2" t="e">
        <f t="shared" si="112"/>
        <v>#N/A</v>
      </c>
      <c r="AA173" s="2">
        <f t="shared" si="113"/>
        <v>0</v>
      </c>
      <c r="AB173" s="2">
        <f t="shared" si="114"/>
        <v>0</v>
      </c>
      <c r="AC173" s="2">
        <f t="shared" si="115"/>
        <v>0.38596623278677894</v>
      </c>
      <c r="AD173" s="2">
        <f t="shared" si="116"/>
        <v>3.3000000000000002E-2</v>
      </c>
      <c r="AE173" s="2">
        <f t="shared" si="117"/>
        <v>0.4</v>
      </c>
      <c r="AF173" s="45">
        <f t="shared" si="118"/>
        <v>0.16379324655735578</v>
      </c>
      <c r="AH173" s="34">
        <v>0.18668607800269502</v>
      </c>
      <c r="AI173" s="34">
        <f t="shared" si="119"/>
        <v>0.18468634869412706</v>
      </c>
      <c r="AJ173" s="34">
        <f t="shared" si="120"/>
        <v>-1.9997293085679546E-3</v>
      </c>
      <c r="AK173" s="34">
        <f t="shared" si="121"/>
        <v>1.9997293085679546E-3</v>
      </c>
      <c r="AL173" s="41">
        <f t="shared" si="122"/>
        <v>1.0711721677173412E-2</v>
      </c>
      <c r="AN173">
        <f t="shared" si="125"/>
        <v>20</v>
      </c>
      <c r="AO173">
        <f t="shared" si="126"/>
        <v>17</v>
      </c>
      <c r="AP173">
        <f t="shared" si="123"/>
        <v>3</v>
      </c>
      <c r="AQ173">
        <f t="shared" si="124"/>
        <v>3</v>
      </c>
    </row>
    <row r="174" spans="1:43">
      <c r="A174" s="1" t="s">
        <v>117</v>
      </c>
      <c r="B174" s="1" t="s">
        <v>348</v>
      </c>
      <c r="C174" t="e">
        <f>NA()</f>
        <v>#N/A</v>
      </c>
      <c r="D174" s="39">
        <v>0.72294650714899067</v>
      </c>
      <c r="E174" s="2">
        <v>76.88</v>
      </c>
      <c r="F174" s="41" t="e">
        <v>#N/A</v>
      </c>
      <c r="G174" s="2">
        <v>0.14389732423086216</v>
      </c>
      <c r="H174" s="34">
        <v>0.48993618042871234</v>
      </c>
      <c r="I174" s="34"/>
      <c r="J174" s="35">
        <v>26.400987298585626</v>
      </c>
      <c r="K174" s="35">
        <v>0</v>
      </c>
      <c r="L174">
        <v>0</v>
      </c>
      <c r="M174" s="35">
        <v>-96.937252005872509</v>
      </c>
      <c r="N174">
        <v>0.53</v>
      </c>
      <c r="O174">
        <v>2.65</v>
      </c>
      <c r="Q174" s="1" t="s">
        <v>117</v>
      </c>
      <c r="R174" s="1" t="s">
        <v>348</v>
      </c>
      <c r="S174" s="2" t="e">
        <f t="shared" si="105"/>
        <v>#N/A</v>
      </c>
      <c r="T174" s="2">
        <f t="shared" si="106"/>
        <v>0.42770534928510096</v>
      </c>
      <c r="U174" s="2">
        <f t="shared" si="107"/>
        <v>0.23120000000000007</v>
      </c>
      <c r="V174" s="2" t="e">
        <f t="shared" si="108"/>
        <v>#N/A</v>
      </c>
      <c r="W174" s="2">
        <f t="shared" si="109"/>
        <v>0.14389732423086216</v>
      </c>
      <c r="X174" s="2">
        <f t="shared" si="110"/>
        <v>0.18343969928547943</v>
      </c>
      <c r="Y174" s="9">
        <f t="shared" si="111"/>
        <v>0.24656059320036067</v>
      </c>
      <c r="Z174" s="2">
        <f t="shared" si="112"/>
        <v>0.23429981855122323</v>
      </c>
      <c r="AA174" s="2">
        <f t="shared" si="113"/>
        <v>0</v>
      </c>
      <c r="AB174" s="2">
        <f t="shared" si="114"/>
        <v>0</v>
      </c>
      <c r="AC174" s="2">
        <f t="shared" si="115"/>
        <v>0</v>
      </c>
      <c r="AD174" s="2">
        <f t="shared" si="116"/>
        <v>5.3000000000000005E-2</v>
      </c>
      <c r="AE174" s="2">
        <f t="shared" si="117"/>
        <v>0.47</v>
      </c>
      <c r="AF174" s="45">
        <f t="shared" si="118"/>
        <v>0.12621663642520387</v>
      </c>
      <c r="AH174" s="34">
        <v>0.17733067440079164</v>
      </c>
      <c r="AI174" s="34">
        <f t="shared" si="119"/>
        <v>0.17845825629062931</v>
      </c>
      <c r="AJ174" s="34">
        <f t="shared" si="120"/>
        <v>1.1275818898376644E-3</v>
      </c>
      <c r="AK174" s="34">
        <f t="shared" si="121"/>
        <v>1.1275818898376644E-3</v>
      </c>
      <c r="AL174" s="41">
        <f t="shared" si="122"/>
        <v>6.3586398328874267E-3</v>
      </c>
      <c r="AN174">
        <f t="shared" si="125"/>
        <v>14</v>
      </c>
      <c r="AO174">
        <f t="shared" si="126"/>
        <v>15</v>
      </c>
      <c r="AP174">
        <f t="shared" si="123"/>
        <v>-1</v>
      </c>
      <c r="AQ174">
        <f t="shared" si="124"/>
        <v>1</v>
      </c>
    </row>
    <row r="175" spans="1:43">
      <c r="A175" s="1" t="s">
        <v>181</v>
      </c>
      <c r="B175" s="1" t="s">
        <v>349</v>
      </c>
      <c r="C175" t="e">
        <f>NA()</f>
        <v>#N/A</v>
      </c>
      <c r="D175" s="39" t="e">
        <v>#N/A</v>
      </c>
      <c r="E175" s="2">
        <v>0.53</v>
      </c>
      <c r="F175" s="41" t="e">
        <v>#N/A</v>
      </c>
      <c r="G175" s="2">
        <v>0.58961312782620068</v>
      </c>
      <c r="H175" s="34">
        <v>0.20250368158885224</v>
      </c>
      <c r="I175" s="34"/>
      <c r="J175" s="35">
        <v>75.066237832043711</v>
      </c>
      <c r="K175" s="35">
        <v>0</v>
      </c>
      <c r="L175" t="e">
        <v>#N/A</v>
      </c>
      <c r="M175" s="35">
        <v>65.72641503512655</v>
      </c>
      <c r="N175" t="e">
        <v>#N/A</v>
      </c>
      <c r="O175">
        <v>2.23</v>
      </c>
      <c r="Q175" s="1" t="s">
        <v>181</v>
      </c>
      <c r="R175" s="1" t="s">
        <v>349</v>
      </c>
      <c r="S175" s="2" t="e">
        <f t="shared" si="105"/>
        <v>#N/A</v>
      </c>
      <c r="T175" s="2" t="e">
        <f t="shared" si="106"/>
        <v>#N/A</v>
      </c>
      <c r="U175" s="2">
        <f t="shared" si="107"/>
        <v>0.99470000000000003</v>
      </c>
      <c r="V175" s="2" t="e">
        <f t="shared" si="108"/>
        <v>#N/A</v>
      </c>
      <c r="W175" s="2">
        <f t="shared" si="109"/>
        <v>0.58961312782620068</v>
      </c>
      <c r="X175" s="2">
        <f t="shared" si="110"/>
        <v>0.66249386401857957</v>
      </c>
      <c r="Y175" s="9">
        <f t="shared" si="111"/>
        <v>0.74893566394825994</v>
      </c>
      <c r="Z175" s="2">
        <f t="shared" si="112"/>
        <v>0.92951768331491014</v>
      </c>
      <c r="AA175" s="2">
        <f t="shared" si="113"/>
        <v>0</v>
      </c>
      <c r="AB175" s="2" t="e">
        <f t="shared" si="114"/>
        <v>#N/A</v>
      </c>
      <c r="AC175" s="2">
        <f t="shared" si="115"/>
        <v>0.32863207517563275</v>
      </c>
      <c r="AD175" s="2" t="e">
        <f t="shared" si="116"/>
        <v>#N/A</v>
      </c>
      <c r="AE175" s="2">
        <f t="shared" si="117"/>
        <v>0.55400000000000005</v>
      </c>
      <c r="AF175" s="45">
        <f t="shared" si="118"/>
        <v>0.45303743962263571</v>
      </c>
      <c r="AH175" s="34">
        <v>0.48173624709307505</v>
      </c>
      <c r="AI175" s="34">
        <f t="shared" si="119"/>
        <v>0.51498779679174045</v>
      </c>
      <c r="AJ175" s="34">
        <f t="shared" si="120"/>
        <v>3.3251549698665395E-2</v>
      </c>
      <c r="AK175" s="34">
        <f t="shared" si="121"/>
        <v>3.3251549698665395E-2</v>
      </c>
      <c r="AL175" s="41">
        <f t="shared" si="122"/>
        <v>6.9024388136276038E-2</v>
      </c>
      <c r="AN175">
        <f t="shared" si="125"/>
        <v>160</v>
      </c>
      <c r="AO175">
        <f t="shared" si="126"/>
        <v>160</v>
      </c>
      <c r="AP175">
        <f t="shared" si="123"/>
        <v>0</v>
      </c>
      <c r="AQ175">
        <f t="shared" si="124"/>
        <v>0</v>
      </c>
    </row>
    <row r="176" spans="1:43">
      <c r="A176" s="1" t="s">
        <v>140</v>
      </c>
      <c r="B176" s="1" t="s">
        <v>350</v>
      </c>
      <c r="C176" t="e">
        <f>NA()</f>
        <v>#N/A</v>
      </c>
      <c r="D176" s="39">
        <v>4.096134726829237E-2</v>
      </c>
      <c r="E176" s="2">
        <v>3.41</v>
      </c>
      <c r="F176" s="41" t="e">
        <v>#N/A</v>
      </c>
      <c r="G176" s="2">
        <v>0.2399904600703017</v>
      </c>
      <c r="H176" s="34">
        <v>6.8851251740209785E-2</v>
      </c>
      <c r="I176" s="34"/>
      <c r="J176" s="35">
        <v>42.983069397648741</v>
      </c>
      <c r="K176" s="35">
        <v>51.400099332235094</v>
      </c>
      <c r="L176">
        <v>73.599999999999994</v>
      </c>
      <c r="M176" s="35">
        <v>51.734575966683174</v>
      </c>
      <c r="N176" t="e">
        <v>#N/A</v>
      </c>
      <c r="O176">
        <v>1.5</v>
      </c>
      <c r="Q176" s="1" t="s">
        <v>140</v>
      </c>
      <c r="R176" s="1" t="s">
        <v>350</v>
      </c>
      <c r="S176" s="2" t="e">
        <f t="shared" si="105"/>
        <v>#N/A</v>
      </c>
      <c r="T176" s="2">
        <f t="shared" si="106"/>
        <v>0.49590386527317076</v>
      </c>
      <c r="U176" s="2">
        <f t="shared" si="107"/>
        <v>0.96589999999999998</v>
      </c>
      <c r="V176" s="2" t="e">
        <f t="shared" si="108"/>
        <v>#N/A</v>
      </c>
      <c r="W176" s="2">
        <f t="shared" si="109"/>
        <v>0.2399904600703017</v>
      </c>
      <c r="X176" s="2">
        <f t="shared" si="110"/>
        <v>0.88524791376631706</v>
      </c>
      <c r="Y176" s="9">
        <f t="shared" si="111"/>
        <v>0.6467605597774474</v>
      </c>
      <c r="Z176" s="2">
        <f t="shared" si="112"/>
        <v>0.47118670568069632</v>
      </c>
      <c r="AA176" s="2">
        <f t="shared" si="113"/>
        <v>0.64250124165293865</v>
      </c>
      <c r="AB176" s="2">
        <f t="shared" si="114"/>
        <v>1</v>
      </c>
      <c r="AC176" s="2">
        <f t="shared" si="115"/>
        <v>0.25867287983341586</v>
      </c>
      <c r="AD176" s="2" t="e">
        <f t="shared" si="116"/>
        <v>#N/A</v>
      </c>
      <c r="AE176" s="2">
        <f t="shared" si="117"/>
        <v>0.7</v>
      </c>
      <c r="AF176" s="45">
        <f t="shared" si="118"/>
        <v>0.61447216543341021</v>
      </c>
      <c r="AH176" s="34">
        <v>0.53364219930013301</v>
      </c>
      <c r="AI176" s="34">
        <f t="shared" si="119"/>
        <v>0.56365853070545402</v>
      </c>
      <c r="AJ176" s="34">
        <f t="shared" si="120"/>
        <v>3.0016331405321006E-2</v>
      </c>
      <c r="AK176" s="34">
        <f t="shared" si="121"/>
        <v>3.0016331405321006E-2</v>
      </c>
      <c r="AL176" s="41">
        <f t="shared" si="122"/>
        <v>5.6248046808680341E-2</v>
      </c>
      <c r="AN176">
        <f t="shared" si="125"/>
        <v>178</v>
      </c>
      <c r="AO176">
        <f t="shared" si="126"/>
        <v>175</v>
      </c>
      <c r="AP176">
        <f t="shared" si="123"/>
        <v>3</v>
      </c>
      <c r="AQ176">
        <f t="shared" si="124"/>
        <v>3</v>
      </c>
    </row>
    <row r="177" spans="1:43">
      <c r="A177" s="1" t="s">
        <v>79</v>
      </c>
      <c r="B177" s="1" t="s">
        <v>351</v>
      </c>
      <c r="C177" t="e">
        <f>NA()</f>
        <v>#N/A</v>
      </c>
      <c r="D177" s="39">
        <v>0.12954642025104424</v>
      </c>
      <c r="E177" s="2">
        <v>6.5</v>
      </c>
      <c r="F177" s="41">
        <v>3.6295818714334127E-2</v>
      </c>
      <c r="G177" s="2">
        <v>0.40112395552976904</v>
      </c>
      <c r="H177" s="34">
        <v>0.47790868854969126</v>
      </c>
      <c r="I177" s="34"/>
      <c r="J177" s="35">
        <v>11.897451031682104</v>
      </c>
      <c r="K177" s="35">
        <v>23.646883938493797</v>
      </c>
      <c r="L177">
        <v>23</v>
      </c>
      <c r="M177" s="35">
        <v>57.782191592352902</v>
      </c>
      <c r="N177">
        <v>1.6</v>
      </c>
      <c r="O177">
        <v>3.42</v>
      </c>
      <c r="Q177" s="1" t="s">
        <v>79</v>
      </c>
      <c r="R177" s="1" t="s">
        <v>351</v>
      </c>
      <c r="S177" s="2" t="e">
        <f t="shared" si="105"/>
        <v>#N/A</v>
      </c>
      <c r="T177" s="2">
        <f t="shared" si="106"/>
        <v>0.48704535797489557</v>
      </c>
      <c r="U177" s="2">
        <f t="shared" si="107"/>
        <v>0.93500000000000005</v>
      </c>
      <c r="V177" s="2">
        <f t="shared" si="108"/>
        <v>7.2591637428668254E-2</v>
      </c>
      <c r="W177" s="2">
        <f t="shared" si="109"/>
        <v>0.40112395552976904</v>
      </c>
      <c r="X177" s="2">
        <f t="shared" si="110"/>
        <v>0.20348551908384782</v>
      </c>
      <c r="Y177" s="9">
        <f t="shared" si="111"/>
        <v>0.41984929400343612</v>
      </c>
      <c r="Z177" s="2">
        <f t="shared" si="112"/>
        <v>2.7106443309744346E-2</v>
      </c>
      <c r="AA177" s="2">
        <f t="shared" si="113"/>
        <v>0.29558604923117249</v>
      </c>
      <c r="AB177" s="2">
        <f t="shared" si="114"/>
        <v>0.32857142857142857</v>
      </c>
      <c r="AC177" s="2">
        <f t="shared" si="115"/>
        <v>0.28891095796176453</v>
      </c>
      <c r="AD177" s="2">
        <f t="shared" si="116"/>
        <v>0.16</v>
      </c>
      <c r="AE177" s="2">
        <f t="shared" si="117"/>
        <v>0.31600000000000006</v>
      </c>
      <c r="AF177" s="45">
        <f t="shared" si="118"/>
        <v>0.23602914651235166</v>
      </c>
      <c r="AH177" s="34">
        <v>0.36038851889372431</v>
      </c>
      <c r="AI177" s="34">
        <f t="shared" si="119"/>
        <v>0.34756416578687632</v>
      </c>
      <c r="AJ177" s="34">
        <f t="shared" si="120"/>
        <v>-1.2824353106847985E-2</v>
      </c>
      <c r="AK177" s="34">
        <f t="shared" si="121"/>
        <v>1.2824353106847985E-2</v>
      </c>
      <c r="AL177" s="41">
        <f t="shared" si="122"/>
        <v>3.5584799277775504E-2</v>
      </c>
      <c r="AN177">
        <f t="shared" si="125"/>
        <v>118</v>
      </c>
      <c r="AO177">
        <f t="shared" si="126"/>
        <v>98</v>
      </c>
      <c r="AP177">
        <f t="shared" si="123"/>
        <v>20</v>
      </c>
      <c r="AQ177">
        <f t="shared" si="124"/>
        <v>20</v>
      </c>
    </row>
    <row r="178" spans="1:43">
      <c r="A178" s="1" t="s">
        <v>36</v>
      </c>
      <c r="B178" s="1" t="s">
        <v>352</v>
      </c>
      <c r="C178" t="e">
        <f>NA()</f>
        <v>#N/A</v>
      </c>
      <c r="D178" s="39">
        <v>-1.0783200570398048</v>
      </c>
      <c r="E178" s="2">
        <v>50.41</v>
      </c>
      <c r="F178" s="41">
        <v>1.8151903213705693E-2</v>
      </c>
      <c r="G178" s="2">
        <v>0.37245902435612138</v>
      </c>
      <c r="H178" s="34">
        <v>0.82989690746536415</v>
      </c>
      <c r="I178" s="34"/>
      <c r="J178" s="35">
        <v>16.405263452092715</v>
      </c>
      <c r="K178" s="35">
        <v>20.360117960210182</v>
      </c>
      <c r="L178">
        <v>0</v>
      </c>
      <c r="M178" s="35">
        <v>48.13878844854618</v>
      </c>
      <c r="N178">
        <v>2.95</v>
      </c>
      <c r="O178">
        <v>3.58</v>
      </c>
      <c r="Q178" s="1" t="s">
        <v>36</v>
      </c>
      <c r="R178" s="1" t="s">
        <v>352</v>
      </c>
      <c r="S178" s="2" t="e">
        <f t="shared" ref="S178:S209" si="127">IF(C$16&lt;&gt;1,MIN(1,MAX(0,(C178-C$14)/(C$15-C$14))),1-MIN(1,MAX(0,(C178-C$14)/(C$15-C$14))))</f>
        <v>#N/A</v>
      </c>
      <c r="T178" s="2">
        <f t="shared" ref="T178:T209" si="128">IF(D$16&lt;&gt;1,MIN(1,MAX(0,(D178-D$14)/(D$15-D$14))),1-MIN(1,MAX(0,(D178-D$14)/(D$15-D$14))))</f>
        <v>0.60783200570398044</v>
      </c>
      <c r="U178" s="2">
        <f t="shared" ref="U178:U209" si="129">IF(E$16&lt;&gt;1,MIN(1,MAX(0,(E178-E$14)/(E$15-E$14))),1-MIN(1,MAX(0,(E178-E$14)/(E$15-E$14))))</f>
        <v>0.49590000000000001</v>
      </c>
      <c r="V178" s="2">
        <f t="shared" ref="V178:V209" si="130">IF(F$16&lt;&gt;1,MIN(1,MAX(0,(F178-F$14)/(F$15-F$14))),1-MIN(1,MAX(0,(F178-F$14)/(F$15-F$14))))</f>
        <v>3.6303806427411385E-2</v>
      </c>
      <c r="W178" s="2">
        <f t="shared" ref="W178:W209" si="131">IF(G$16&lt;&gt;1,MIN(1,MAX(0,(G178-G$14)/(G$15-G$14))),1-MIN(1,MAX(0,(G178-G$14)/(G$15-G$14))))</f>
        <v>0.37245902435612138</v>
      </c>
      <c r="X178" s="2">
        <f t="shared" ref="X178:X209" si="132">IF(H$16&lt;&gt;1,MIN(1,MAX(0,(H178-H$14)/(H$15-H$14))),1-MIN(1,MAX(0,(H178-H$14)/(H$15-H$14))))</f>
        <v>0</v>
      </c>
      <c r="Y178" s="9">
        <f t="shared" si="111"/>
        <v>0.30249896729750264</v>
      </c>
      <c r="Z178" s="2">
        <f t="shared" si="112"/>
        <v>9.1503763601324506E-2</v>
      </c>
      <c r="AA178" s="2">
        <f t="shared" si="113"/>
        <v>0.25450147450262728</v>
      </c>
      <c r="AB178" s="2">
        <f t="shared" si="114"/>
        <v>0</v>
      </c>
      <c r="AC178" s="2">
        <f t="shared" si="115"/>
        <v>0.24069394224273089</v>
      </c>
      <c r="AD178" s="2">
        <f t="shared" si="116"/>
        <v>0.29500000000000004</v>
      </c>
      <c r="AE178" s="2">
        <f t="shared" si="117"/>
        <v>0.28400000000000003</v>
      </c>
      <c r="AF178" s="45">
        <f t="shared" si="118"/>
        <v>0.19428319672444713</v>
      </c>
      <c r="AH178" s="34">
        <v>0.19043812801351434</v>
      </c>
      <c r="AI178" s="34">
        <f t="shared" si="119"/>
        <v>0.20710597397595829</v>
      </c>
      <c r="AJ178" s="34">
        <f t="shared" si="120"/>
        <v>1.6667845962443945E-2</v>
      </c>
      <c r="AK178" s="34">
        <f t="shared" si="121"/>
        <v>1.6667845962443945E-2</v>
      </c>
      <c r="AL178" s="41">
        <f t="shared" si="122"/>
        <v>8.7523680978743496E-2</v>
      </c>
      <c r="AN178">
        <f t="shared" si="125"/>
        <v>21</v>
      </c>
      <c r="AO178">
        <f t="shared" si="126"/>
        <v>24</v>
      </c>
      <c r="AP178">
        <f t="shared" si="123"/>
        <v>-3</v>
      </c>
      <c r="AQ178">
        <f t="shared" si="124"/>
        <v>3</v>
      </c>
    </row>
    <row r="179" spans="1:43">
      <c r="A179" s="1" t="s">
        <v>186</v>
      </c>
      <c r="B179" s="1" t="s">
        <v>353</v>
      </c>
      <c r="C179" t="e">
        <f>NA()</f>
        <v>#N/A</v>
      </c>
      <c r="D179" s="39">
        <v>-0.43833003472697557</v>
      </c>
      <c r="E179" s="2">
        <v>85.24</v>
      </c>
      <c r="F179" s="41">
        <v>9.5862699586054811E-2</v>
      </c>
      <c r="G179" s="2">
        <v>0.73474303601528002</v>
      </c>
      <c r="H179" s="34">
        <v>0.32805596417394067</v>
      </c>
      <c r="I179" s="34"/>
      <c r="J179" s="35">
        <v>21.835154419315916</v>
      </c>
      <c r="K179" s="35">
        <v>0</v>
      </c>
      <c r="L179" t="e">
        <v>#N/A</v>
      </c>
      <c r="M179" s="35">
        <v>0</v>
      </c>
      <c r="N179" t="e">
        <v>#N/A</v>
      </c>
      <c r="O179">
        <v>1.88</v>
      </c>
      <c r="Q179" s="1" t="s">
        <v>186</v>
      </c>
      <c r="R179" s="1" t="s">
        <v>353</v>
      </c>
      <c r="S179" s="2" t="e">
        <f t="shared" si="127"/>
        <v>#N/A</v>
      </c>
      <c r="T179" s="2">
        <f t="shared" si="128"/>
        <v>0.54383300347269758</v>
      </c>
      <c r="U179" s="2">
        <f t="shared" si="129"/>
        <v>0.14760000000000006</v>
      </c>
      <c r="V179" s="2">
        <f t="shared" si="130"/>
        <v>0.19172539917210962</v>
      </c>
      <c r="W179" s="2">
        <f t="shared" si="131"/>
        <v>0.73474303601528002</v>
      </c>
      <c r="X179" s="2">
        <f t="shared" si="132"/>
        <v>0.45324005971009884</v>
      </c>
      <c r="Y179" s="9">
        <f t="shared" si="111"/>
        <v>0.41422829967403718</v>
      </c>
      <c r="Z179" s="2">
        <f t="shared" si="112"/>
        <v>0.16907363456165594</v>
      </c>
      <c r="AA179" s="2">
        <f t="shared" si="113"/>
        <v>0</v>
      </c>
      <c r="AB179" s="2" t="e">
        <f t="shared" si="114"/>
        <v>#N/A</v>
      </c>
      <c r="AC179" s="2">
        <f t="shared" si="115"/>
        <v>0</v>
      </c>
      <c r="AD179" s="2" t="e">
        <f t="shared" si="116"/>
        <v>#N/A</v>
      </c>
      <c r="AE179" s="2">
        <f t="shared" si="117"/>
        <v>0.624</v>
      </c>
      <c r="AF179" s="45">
        <f t="shared" si="118"/>
        <v>0.19826840864041398</v>
      </c>
      <c r="AH179" s="34">
        <v>0.27492073086097685</v>
      </c>
      <c r="AI179" s="34">
        <f t="shared" si="119"/>
        <v>0.28168141402503183</v>
      </c>
      <c r="AJ179" s="34">
        <f t="shared" si="120"/>
        <v>6.7606831640549814E-3</v>
      </c>
      <c r="AK179" s="34">
        <f t="shared" si="121"/>
        <v>6.7606831640549814E-3</v>
      </c>
      <c r="AL179" s="41">
        <f t="shared" si="122"/>
        <v>2.4591390917965202E-2</v>
      </c>
      <c r="AN179">
        <f t="shared" si="125"/>
        <v>80</v>
      </c>
      <c r="AO179">
        <f t="shared" si="126"/>
        <v>58</v>
      </c>
      <c r="AP179">
        <f t="shared" si="123"/>
        <v>22</v>
      </c>
      <c r="AQ179">
        <f t="shared" si="124"/>
        <v>22</v>
      </c>
    </row>
    <row r="180" spans="1:43">
      <c r="A180" s="1" t="s">
        <v>125</v>
      </c>
      <c r="B180" s="1" t="s">
        <v>354</v>
      </c>
      <c r="C180" t="e">
        <f>NA()</f>
        <v>#N/A</v>
      </c>
      <c r="D180" s="39">
        <v>0.79075987316687124</v>
      </c>
      <c r="E180" s="2">
        <v>28.88</v>
      </c>
      <c r="F180" s="41">
        <v>0.44096954961184298</v>
      </c>
      <c r="G180" s="2">
        <v>0.21020698559694048</v>
      </c>
      <c r="H180" s="34">
        <v>0.1863033870617441</v>
      </c>
      <c r="I180" s="34"/>
      <c r="J180" s="35">
        <v>26.274613070174951</v>
      </c>
      <c r="K180" s="35">
        <v>30.200061971260638</v>
      </c>
      <c r="L180" t="e">
        <v>#N/A</v>
      </c>
      <c r="M180" s="35">
        <v>78.767992713459464</v>
      </c>
      <c r="N180" t="e">
        <v>#N/A</v>
      </c>
      <c r="O180">
        <v>1.78</v>
      </c>
      <c r="Q180" s="1" t="s">
        <v>125</v>
      </c>
      <c r="R180" s="1" t="s">
        <v>354</v>
      </c>
      <c r="S180" s="2" t="e">
        <f t="shared" si="127"/>
        <v>#N/A</v>
      </c>
      <c r="T180" s="2">
        <f t="shared" si="128"/>
        <v>0.42092401268331281</v>
      </c>
      <c r="U180" s="2">
        <f t="shared" si="129"/>
        <v>0.71120000000000005</v>
      </c>
      <c r="V180" s="2">
        <f t="shared" si="130"/>
        <v>0.88193909922368596</v>
      </c>
      <c r="W180" s="2">
        <f t="shared" si="131"/>
        <v>0.21020698559694048</v>
      </c>
      <c r="X180" s="2">
        <f t="shared" si="132"/>
        <v>0.6894943548970931</v>
      </c>
      <c r="Y180" s="9">
        <f t="shared" si="111"/>
        <v>0.5827528904802064</v>
      </c>
      <c r="Z180" s="2">
        <f t="shared" si="112"/>
        <v>0.23249447243107071</v>
      </c>
      <c r="AA180" s="2">
        <f t="shared" si="113"/>
        <v>0.37750077464075799</v>
      </c>
      <c r="AB180" s="2" t="e">
        <f t="shared" si="114"/>
        <v>#N/A</v>
      </c>
      <c r="AC180" s="2">
        <f t="shared" si="115"/>
        <v>0.39383996356729734</v>
      </c>
      <c r="AD180" s="2" t="e">
        <f t="shared" si="116"/>
        <v>#N/A</v>
      </c>
      <c r="AE180" s="2">
        <f t="shared" si="117"/>
        <v>0.64400000000000002</v>
      </c>
      <c r="AF180" s="45">
        <f t="shared" si="118"/>
        <v>0.41195880265978158</v>
      </c>
      <c r="AH180" s="34">
        <v>0.49345968390510775</v>
      </c>
      <c r="AI180" s="34">
        <f t="shared" si="119"/>
        <v>0.49224427663092313</v>
      </c>
      <c r="AJ180" s="34">
        <f t="shared" si="120"/>
        <v>-1.2154072741846211E-3</v>
      </c>
      <c r="AK180" s="34">
        <f t="shared" si="121"/>
        <v>1.2154072741846211E-3</v>
      </c>
      <c r="AL180" s="41">
        <f t="shared" si="122"/>
        <v>2.4630325715086056E-3</v>
      </c>
      <c r="AN180">
        <f t="shared" si="125"/>
        <v>166</v>
      </c>
      <c r="AO180">
        <f t="shared" si="126"/>
        <v>148</v>
      </c>
      <c r="AP180">
        <f t="shared" si="123"/>
        <v>18</v>
      </c>
      <c r="AQ180">
        <f t="shared" si="124"/>
        <v>18</v>
      </c>
    </row>
    <row r="181" spans="1:43">
      <c r="A181" s="1" t="s">
        <v>42</v>
      </c>
      <c r="B181" s="1" t="s">
        <v>355</v>
      </c>
      <c r="C181" t="e">
        <f>NA()</f>
        <v>#N/A</v>
      </c>
      <c r="D181" s="39" t="e">
        <v>#N/A</v>
      </c>
      <c r="E181" s="2">
        <v>58.82</v>
      </c>
      <c r="F181" s="41" t="e">
        <v>#N/A</v>
      </c>
      <c r="G181" s="2">
        <v>9.9779897285399863E-2</v>
      </c>
      <c r="H181" s="34">
        <v>0.18213058441365693</v>
      </c>
      <c r="I181" s="34"/>
      <c r="J181" s="35">
        <v>66.286193226236406</v>
      </c>
      <c r="K181" s="35">
        <v>0</v>
      </c>
      <c r="L181">
        <v>3.9</v>
      </c>
      <c r="M181" s="35">
        <v>49.298799590872278</v>
      </c>
      <c r="N181" t="e">
        <v>#N/A</v>
      </c>
      <c r="O181" t="e">
        <v>#N/A</v>
      </c>
      <c r="Q181" s="1" t="s">
        <v>42</v>
      </c>
      <c r="R181" s="1" t="s">
        <v>355</v>
      </c>
      <c r="S181" s="2" t="e">
        <f t="shared" si="127"/>
        <v>#N/A</v>
      </c>
      <c r="T181" s="2" t="e">
        <f t="shared" si="128"/>
        <v>#N/A</v>
      </c>
      <c r="U181" s="2">
        <f t="shared" si="129"/>
        <v>0.41179999999999994</v>
      </c>
      <c r="V181" s="2" t="e">
        <f t="shared" si="130"/>
        <v>#N/A</v>
      </c>
      <c r="W181" s="2">
        <f t="shared" si="131"/>
        <v>9.9779897285399863E-2</v>
      </c>
      <c r="X181" s="2">
        <f t="shared" si="132"/>
        <v>0.69644902597723846</v>
      </c>
      <c r="Y181" s="9">
        <f t="shared" si="111"/>
        <v>0.40267630775421276</v>
      </c>
      <c r="Z181" s="2">
        <f t="shared" si="112"/>
        <v>0.80408847466052014</v>
      </c>
      <c r="AA181" s="2">
        <f t="shared" si="113"/>
        <v>0</v>
      </c>
      <c r="AB181" s="2">
        <f t="shared" si="114"/>
        <v>5.5714285714285716E-2</v>
      </c>
      <c r="AC181" s="2">
        <f t="shared" si="115"/>
        <v>0.24649399795436139</v>
      </c>
      <c r="AD181" s="2" t="e">
        <f t="shared" si="116"/>
        <v>#N/A</v>
      </c>
      <c r="AE181" s="2" t="e">
        <f t="shared" si="117"/>
        <v>#N/A</v>
      </c>
      <c r="AF181" s="45">
        <f t="shared" si="118"/>
        <v>0.2765741895822918</v>
      </c>
      <c r="AH181" s="34">
        <v>0.29158552971087726</v>
      </c>
      <c r="AI181" s="34">
        <f t="shared" si="119"/>
        <v>0.30488226826645337</v>
      </c>
      <c r="AJ181" s="34">
        <f t="shared" si="120"/>
        <v>1.3296738555576115E-2</v>
      </c>
      <c r="AK181" s="34">
        <f t="shared" si="121"/>
        <v>1.3296738555576115E-2</v>
      </c>
      <c r="AL181" s="41">
        <f t="shared" si="122"/>
        <v>4.5601503506571626E-2</v>
      </c>
      <c r="AN181">
        <f t="shared" si="125"/>
        <v>91</v>
      </c>
      <c r="AO181">
        <f t="shared" si="126"/>
        <v>73</v>
      </c>
      <c r="AP181">
        <f t="shared" si="123"/>
        <v>18</v>
      </c>
      <c r="AQ181">
        <f t="shared" si="124"/>
        <v>18</v>
      </c>
    </row>
    <row r="182" spans="1:43">
      <c r="A182" s="1" t="s">
        <v>171</v>
      </c>
      <c r="B182" s="1" t="s">
        <v>356</v>
      </c>
      <c r="C182" t="e">
        <f>NA()</f>
        <v>#N/A</v>
      </c>
      <c r="D182" s="39">
        <v>7.6243279268506603E-2</v>
      </c>
      <c r="E182" s="2">
        <v>17.71</v>
      </c>
      <c r="F182" s="41">
        <v>0.2619286105858209</v>
      </c>
      <c r="G182" s="2">
        <v>0.17335202440005751</v>
      </c>
      <c r="H182" s="34">
        <v>0.1498527243757507</v>
      </c>
      <c r="I182" s="34"/>
      <c r="J182" s="35">
        <v>25.051194422725469</v>
      </c>
      <c r="K182" s="35">
        <v>0</v>
      </c>
      <c r="L182" t="e">
        <v>#N/A</v>
      </c>
      <c r="M182" s="35">
        <v>73.385854704326135</v>
      </c>
      <c r="N182">
        <v>2.46</v>
      </c>
      <c r="O182" t="e">
        <v>#N/A</v>
      </c>
      <c r="Q182" s="1" t="s">
        <v>171</v>
      </c>
      <c r="R182" s="1" t="s">
        <v>356</v>
      </c>
      <c r="S182" s="2" t="e">
        <f t="shared" si="127"/>
        <v>#N/A</v>
      </c>
      <c r="T182" s="2">
        <f t="shared" si="128"/>
        <v>0.49237567207314936</v>
      </c>
      <c r="U182" s="2">
        <f t="shared" si="129"/>
        <v>0.82289999999999996</v>
      </c>
      <c r="V182" s="2">
        <f t="shared" si="130"/>
        <v>0.5238572211716418</v>
      </c>
      <c r="W182" s="2">
        <f t="shared" si="131"/>
        <v>0.17335202440005751</v>
      </c>
      <c r="X182" s="2">
        <f t="shared" si="132"/>
        <v>0.75024545937374887</v>
      </c>
      <c r="Y182" s="9">
        <f t="shared" si="111"/>
        <v>0.55254607540371947</v>
      </c>
      <c r="Z182" s="2">
        <f t="shared" si="112"/>
        <v>0.21501706318179242</v>
      </c>
      <c r="AA182" s="2">
        <f t="shared" si="113"/>
        <v>0</v>
      </c>
      <c r="AB182" s="2" t="e">
        <f t="shared" si="114"/>
        <v>#N/A</v>
      </c>
      <c r="AC182" s="2">
        <f t="shared" si="115"/>
        <v>0.36692927352163068</v>
      </c>
      <c r="AD182" s="2">
        <f t="shared" si="116"/>
        <v>0.246</v>
      </c>
      <c r="AE182" s="2" t="e">
        <f t="shared" si="117"/>
        <v>#N/A</v>
      </c>
      <c r="AF182" s="45">
        <f t="shared" si="118"/>
        <v>0.20698658417585578</v>
      </c>
      <c r="AH182" s="34">
        <v>0.43637555590543825</v>
      </c>
      <c r="AI182" s="34">
        <f t="shared" si="119"/>
        <v>0.41364752068012139</v>
      </c>
      <c r="AJ182" s="34">
        <f t="shared" si="120"/>
        <v>-2.2728035225316856E-2</v>
      </c>
      <c r="AK182" s="34">
        <f t="shared" si="121"/>
        <v>2.2728035225316856E-2</v>
      </c>
      <c r="AL182" s="41">
        <f t="shared" si="122"/>
        <v>5.2083658027449131E-2</v>
      </c>
      <c r="AN182">
        <f t="shared" si="125"/>
        <v>139</v>
      </c>
      <c r="AO182">
        <f t="shared" si="126"/>
        <v>122</v>
      </c>
      <c r="AP182">
        <f t="shared" si="123"/>
        <v>17</v>
      </c>
      <c r="AQ182">
        <f t="shared" si="124"/>
        <v>17</v>
      </c>
    </row>
    <row r="183" spans="1:43">
      <c r="A183" s="1" t="s">
        <v>24</v>
      </c>
      <c r="B183" s="1" t="s">
        <v>357</v>
      </c>
      <c r="C183" t="e">
        <f>NA()</f>
        <v>#N/A</v>
      </c>
      <c r="D183" s="39">
        <v>6.5934069589423157</v>
      </c>
      <c r="E183" s="2">
        <v>46.24</v>
      </c>
      <c r="F183" s="41">
        <v>2.4376339587816657E-2</v>
      </c>
      <c r="G183" s="2">
        <v>5.906429335924035E-2</v>
      </c>
      <c r="H183" s="34">
        <v>0.90255277480473084</v>
      </c>
      <c r="I183" s="34"/>
      <c r="J183" s="35">
        <v>16.180375113407337</v>
      </c>
      <c r="K183" s="35">
        <v>13.500046228885145</v>
      </c>
      <c r="L183">
        <v>0</v>
      </c>
      <c r="M183" s="35">
        <v>10.948646268005618</v>
      </c>
      <c r="N183">
        <v>0</v>
      </c>
      <c r="O183">
        <v>4.03</v>
      </c>
      <c r="Q183" s="1" t="s">
        <v>24</v>
      </c>
      <c r="R183" s="1" t="s">
        <v>357</v>
      </c>
      <c r="S183" s="2" t="e">
        <f t="shared" si="127"/>
        <v>#N/A</v>
      </c>
      <c r="T183" s="2">
        <f t="shared" si="128"/>
        <v>0</v>
      </c>
      <c r="U183" s="2">
        <f t="shared" si="129"/>
        <v>0.53759999999999997</v>
      </c>
      <c r="V183" s="2">
        <f t="shared" si="130"/>
        <v>4.8752679175633314E-2</v>
      </c>
      <c r="W183" s="2">
        <f t="shared" si="131"/>
        <v>5.906429335924035E-2</v>
      </c>
      <c r="X183" s="2">
        <f t="shared" si="132"/>
        <v>0</v>
      </c>
      <c r="Y183" s="9">
        <f t="shared" si="111"/>
        <v>0.12908339450697473</v>
      </c>
      <c r="Z183" s="2">
        <f t="shared" si="112"/>
        <v>8.8291073048676241E-2</v>
      </c>
      <c r="AA183" s="2">
        <f t="shared" si="113"/>
        <v>0.16875057786106432</v>
      </c>
      <c r="AB183" s="2">
        <f t="shared" si="114"/>
        <v>0</v>
      </c>
      <c r="AC183" s="2">
        <f t="shared" si="115"/>
        <v>5.4743231340028092E-2</v>
      </c>
      <c r="AD183" s="2">
        <f t="shared" si="116"/>
        <v>0</v>
      </c>
      <c r="AE183" s="2">
        <f t="shared" si="117"/>
        <v>0.19399999999999995</v>
      </c>
      <c r="AF183" s="45">
        <f t="shared" si="118"/>
        <v>8.4297480374961431E-2</v>
      </c>
      <c r="AH183" s="34">
        <v>0.19362180775449547</v>
      </c>
      <c r="AI183" s="34">
        <f t="shared" si="119"/>
        <v>0.16566072116835812</v>
      </c>
      <c r="AJ183" s="34">
        <f t="shared" si="120"/>
        <v>-2.7961086586137357E-2</v>
      </c>
      <c r="AK183" s="34">
        <f t="shared" si="121"/>
        <v>2.7961086586137357E-2</v>
      </c>
      <c r="AL183" s="41">
        <f t="shared" si="122"/>
        <v>0.14441083321353382</v>
      </c>
      <c r="AN183">
        <f t="shared" si="125"/>
        <v>24</v>
      </c>
      <c r="AO183">
        <f t="shared" si="126"/>
        <v>10</v>
      </c>
      <c r="AP183">
        <f t="shared" si="123"/>
        <v>14</v>
      </c>
      <c r="AQ183">
        <f t="shared" si="124"/>
        <v>14</v>
      </c>
    </row>
    <row r="184" spans="1:43">
      <c r="A184" s="1" t="s">
        <v>47</v>
      </c>
      <c r="B184" s="1" t="s">
        <v>358</v>
      </c>
      <c r="C184" t="e">
        <f>NA()</f>
        <v>#N/A</v>
      </c>
      <c r="D184" s="39">
        <v>-0.57826169262533145</v>
      </c>
      <c r="E184" s="2">
        <v>98.06</v>
      </c>
      <c r="F184" s="41">
        <v>1.2772750018916392E-2</v>
      </c>
      <c r="G184" s="2">
        <v>5.6254105604523652E-2</v>
      </c>
      <c r="H184" s="34">
        <v>0.83787432571260823</v>
      </c>
      <c r="I184" s="34"/>
      <c r="J184" s="35">
        <v>19.970261209668564</v>
      </c>
      <c r="K184" s="35">
        <v>28.800031250266059</v>
      </c>
      <c r="L184">
        <v>0</v>
      </c>
      <c r="M184" s="35">
        <v>7.7981381230170914</v>
      </c>
      <c r="N184">
        <v>0</v>
      </c>
      <c r="O184">
        <v>4.17</v>
      </c>
      <c r="Q184" s="1" t="s">
        <v>47</v>
      </c>
      <c r="R184" s="1" t="s">
        <v>358</v>
      </c>
      <c r="S184" s="2" t="e">
        <f t="shared" si="127"/>
        <v>#N/A</v>
      </c>
      <c r="T184" s="2">
        <f t="shared" si="128"/>
        <v>0.55782616926253314</v>
      </c>
      <c r="U184" s="2">
        <f t="shared" si="129"/>
        <v>1.9399999999999973E-2</v>
      </c>
      <c r="V184" s="2">
        <f t="shared" si="130"/>
        <v>2.5545500037832784E-2</v>
      </c>
      <c r="W184" s="2">
        <f t="shared" si="131"/>
        <v>5.6254105604523652E-2</v>
      </c>
      <c r="X184" s="2">
        <f t="shared" si="132"/>
        <v>0</v>
      </c>
      <c r="Y184" s="9">
        <f t="shared" si="111"/>
        <v>0.13180515498097792</v>
      </c>
      <c r="Z184" s="2">
        <f t="shared" si="112"/>
        <v>0.14243230299526521</v>
      </c>
      <c r="AA184" s="2">
        <f t="shared" si="113"/>
        <v>0.36000039062832573</v>
      </c>
      <c r="AB184" s="2">
        <f t="shared" si="114"/>
        <v>0</v>
      </c>
      <c r="AC184" s="2">
        <f t="shared" si="115"/>
        <v>3.8990690615085456E-2</v>
      </c>
      <c r="AD184" s="2">
        <f t="shared" si="116"/>
        <v>0</v>
      </c>
      <c r="AE184" s="2">
        <f t="shared" si="117"/>
        <v>0.16600000000000004</v>
      </c>
      <c r="AF184" s="45">
        <f t="shared" si="118"/>
        <v>0.11790389737311274</v>
      </c>
      <c r="AH184" s="34">
        <v>0.13858244171683301</v>
      </c>
      <c r="AI184" s="34">
        <f t="shared" si="119"/>
        <v>0.13406936458135882</v>
      </c>
      <c r="AJ184" s="34">
        <f t="shared" si="120"/>
        <v>-4.5130771354741916E-3</v>
      </c>
      <c r="AK184" s="34">
        <f t="shared" si="121"/>
        <v>4.5130771354741916E-3</v>
      </c>
      <c r="AL184" s="41">
        <f t="shared" si="122"/>
        <v>3.2566009658682525E-2</v>
      </c>
      <c r="AN184">
        <f t="shared" si="125"/>
        <v>4</v>
      </c>
      <c r="AO184">
        <f t="shared" si="126"/>
        <v>3</v>
      </c>
      <c r="AP184">
        <f t="shared" si="123"/>
        <v>1</v>
      </c>
      <c r="AQ184">
        <f t="shared" si="124"/>
        <v>1</v>
      </c>
    </row>
    <row r="185" spans="1:43">
      <c r="A185" s="1" t="s">
        <v>101</v>
      </c>
      <c r="B185" s="1" t="s">
        <v>359</v>
      </c>
      <c r="C185" t="e">
        <f>NA()</f>
        <v>#N/A</v>
      </c>
      <c r="D185" s="39">
        <v>-2.6447360872845715E-2</v>
      </c>
      <c r="E185" s="2">
        <v>3.76</v>
      </c>
      <c r="F185" s="41">
        <v>0.15964098215875797</v>
      </c>
      <c r="G185" s="40">
        <v>0.50396112689655892</v>
      </c>
      <c r="H185" s="34">
        <v>0.21453117346787332</v>
      </c>
      <c r="I185" s="34"/>
      <c r="J185" s="35">
        <v>27.498238523602929</v>
      </c>
      <c r="K185" s="35">
        <v>23.375190511120465</v>
      </c>
      <c r="L185">
        <v>22.5</v>
      </c>
      <c r="M185" s="35">
        <v>29.467880221305226</v>
      </c>
      <c r="N185">
        <v>8.59</v>
      </c>
      <c r="O185">
        <v>2.4500000000000002</v>
      </c>
      <c r="Q185" s="1" t="s">
        <v>101</v>
      </c>
      <c r="R185" s="1" t="s">
        <v>359</v>
      </c>
      <c r="S185" s="2" t="e">
        <f t="shared" si="127"/>
        <v>#N/A</v>
      </c>
      <c r="T185" s="2">
        <f t="shared" si="128"/>
        <v>0.50264473608728455</v>
      </c>
      <c r="U185" s="2">
        <f t="shared" si="129"/>
        <v>0.96240000000000003</v>
      </c>
      <c r="V185" s="2">
        <f t="shared" si="130"/>
        <v>0.31928196431751593</v>
      </c>
      <c r="W185" s="2">
        <f t="shared" si="131"/>
        <v>0.50396112689655892</v>
      </c>
      <c r="X185" s="2">
        <f t="shared" si="132"/>
        <v>0.64244804422021118</v>
      </c>
      <c r="Y185" s="9">
        <f t="shared" si="111"/>
        <v>0.58614717430431418</v>
      </c>
      <c r="Z185" s="2">
        <f t="shared" si="112"/>
        <v>0.24997483605147042</v>
      </c>
      <c r="AA185" s="2">
        <f t="shared" si="113"/>
        <v>0.29218988138900581</v>
      </c>
      <c r="AB185" s="2">
        <f t="shared" si="114"/>
        <v>0.32142857142857145</v>
      </c>
      <c r="AC185" s="2">
        <f t="shared" si="115"/>
        <v>0.14733940110652613</v>
      </c>
      <c r="AD185" s="2">
        <f t="shared" si="116"/>
        <v>0.85899999999999999</v>
      </c>
      <c r="AE185" s="2">
        <f t="shared" si="117"/>
        <v>0.51</v>
      </c>
      <c r="AF185" s="45">
        <f t="shared" si="118"/>
        <v>0.39665544832926231</v>
      </c>
      <c r="AH185" s="34">
        <v>0.24844554384309456</v>
      </c>
      <c r="AI185" s="34">
        <f t="shared" si="119"/>
        <v>0.3220960461066118</v>
      </c>
      <c r="AJ185" s="34">
        <f t="shared" si="120"/>
        <v>7.3650502263517242E-2</v>
      </c>
      <c r="AK185" s="34">
        <f t="shared" si="121"/>
        <v>7.3650502263517242E-2</v>
      </c>
      <c r="AL185" s="41">
        <f t="shared" si="122"/>
        <v>0.29644525365297403</v>
      </c>
      <c r="AN185">
        <f t="shared" si="125"/>
        <v>57</v>
      </c>
      <c r="AO185">
        <f t="shared" si="126"/>
        <v>86</v>
      </c>
      <c r="AP185">
        <f t="shared" si="123"/>
        <v>-29</v>
      </c>
      <c r="AQ185">
        <f t="shared" si="124"/>
        <v>29</v>
      </c>
    </row>
    <row r="186" spans="1:43">
      <c r="A186" s="1" t="s">
        <v>167</v>
      </c>
      <c r="B186" s="1" t="s">
        <v>360</v>
      </c>
      <c r="C186" t="e">
        <f>NA()</f>
        <v>#N/A</v>
      </c>
      <c r="D186" s="39">
        <v>-0.15774328475027355</v>
      </c>
      <c r="E186" s="2">
        <v>24.35</v>
      </c>
      <c r="F186" s="41">
        <v>0.25938466734693583</v>
      </c>
      <c r="G186" s="2">
        <v>0.30203036191423915</v>
      </c>
      <c r="H186" s="34">
        <v>0.10530191442620318</v>
      </c>
      <c r="I186" s="34"/>
      <c r="J186" s="35">
        <v>39.189548431765822</v>
      </c>
      <c r="K186" s="35">
        <v>0</v>
      </c>
      <c r="L186" t="e">
        <v>#N/A</v>
      </c>
      <c r="M186" s="35">
        <v>5.4147057363499229</v>
      </c>
      <c r="N186">
        <v>15.05</v>
      </c>
      <c r="O186">
        <v>2</v>
      </c>
      <c r="Q186" s="1" t="s">
        <v>167</v>
      </c>
      <c r="R186" s="1" t="s">
        <v>360</v>
      </c>
      <c r="S186" s="2" t="e">
        <f t="shared" si="127"/>
        <v>#N/A</v>
      </c>
      <c r="T186" s="2">
        <f t="shared" si="128"/>
        <v>0.51577432847502735</v>
      </c>
      <c r="U186" s="2">
        <f t="shared" si="129"/>
        <v>0.75649999999999995</v>
      </c>
      <c r="V186" s="2">
        <f t="shared" si="130"/>
        <v>0.51876933469387165</v>
      </c>
      <c r="W186" s="2">
        <f t="shared" si="131"/>
        <v>0.30203036191423915</v>
      </c>
      <c r="X186" s="2">
        <f t="shared" si="132"/>
        <v>0.8244968092896614</v>
      </c>
      <c r="Y186" s="9">
        <f t="shared" si="111"/>
        <v>0.58351416687455993</v>
      </c>
      <c r="Z186" s="2">
        <f t="shared" si="112"/>
        <v>0.41699354902522601</v>
      </c>
      <c r="AA186" s="2">
        <f t="shared" si="113"/>
        <v>0</v>
      </c>
      <c r="AB186" s="2" t="e">
        <f t="shared" si="114"/>
        <v>#N/A</v>
      </c>
      <c r="AC186" s="2">
        <f t="shared" si="115"/>
        <v>2.7073528681749615E-2</v>
      </c>
      <c r="AD186" s="2">
        <f t="shared" si="116"/>
        <v>1</v>
      </c>
      <c r="AE186" s="2">
        <f t="shared" si="117"/>
        <v>0.6</v>
      </c>
      <c r="AF186" s="45">
        <f t="shared" si="118"/>
        <v>0.40881341554139511</v>
      </c>
      <c r="AH186" s="34">
        <v>0.34858529567330515</v>
      </c>
      <c r="AI186" s="34">
        <f t="shared" si="119"/>
        <v>0.39247138353658556</v>
      </c>
      <c r="AJ186" s="34">
        <f t="shared" si="120"/>
        <v>4.388608786328041E-2</v>
      </c>
      <c r="AK186" s="34">
        <f t="shared" si="121"/>
        <v>4.388608786328041E-2</v>
      </c>
      <c r="AL186" s="41">
        <f t="shared" si="122"/>
        <v>0.12589770253651358</v>
      </c>
      <c r="AN186">
        <f t="shared" si="125"/>
        <v>115</v>
      </c>
      <c r="AO186">
        <f t="shared" si="126"/>
        <v>115</v>
      </c>
      <c r="AP186">
        <f t="shared" si="123"/>
        <v>0</v>
      </c>
      <c r="AQ186">
        <f t="shared" si="124"/>
        <v>0</v>
      </c>
    </row>
    <row r="187" spans="1:43">
      <c r="A187" s="1" t="s">
        <v>170</v>
      </c>
      <c r="B187" s="1" t="s">
        <v>361</v>
      </c>
      <c r="C187" t="e">
        <f>NA()</f>
        <v>#N/A</v>
      </c>
      <c r="D187" s="39">
        <v>-8.229989683861838E-2</v>
      </c>
      <c r="E187" s="2">
        <v>99.82</v>
      </c>
      <c r="F187" s="41" t="e">
        <v>#N/A</v>
      </c>
      <c r="G187" s="2">
        <v>0.75784719513065057</v>
      </c>
      <c r="H187" s="34">
        <v>0</v>
      </c>
      <c r="I187" s="34"/>
      <c r="J187" s="35">
        <v>28.291183734279784</v>
      </c>
      <c r="K187" s="35">
        <v>35.200013036670711</v>
      </c>
      <c r="L187">
        <v>63.5</v>
      </c>
      <c r="M187" s="35">
        <v>56.40261533119871</v>
      </c>
      <c r="N187">
        <v>9.6199999999999992</v>
      </c>
      <c r="O187">
        <v>2</v>
      </c>
      <c r="Q187" s="1" t="s">
        <v>170</v>
      </c>
      <c r="R187" s="1" t="s">
        <v>361</v>
      </c>
      <c r="S187" s="2" t="e">
        <f t="shared" si="127"/>
        <v>#N/A</v>
      </c>
      <c r="T187" s="2">
        <f t="shared" si="128"/>
        <v>0.50822998968386179</v>
      </c>
      <c r="U187" s="2">
        <f t="shared" si="129"/>
        <v>1.8000000000000238E-3</v>
      </c>
      <c r="V187" s="2" t="e">
        <f t="shared" si="130"/>
        <v>#N/A</v>
      </c>
      <c r="W187" s="2">
        <f t="shared" si="131"/>
        <v>0.75784719513065057</v>
      </c>
      <c r="X187" s="2">
        <f t="shared" si="132"/>
        <v>1</v>
      </c>
      <c r="Y187" s="9">
        <f t="shared" si="111"/>
        <v>0.56696929620362813</v>
      </c>
      <c r="Z187" s="2">
        <f t="shared" si="112"/>
        <v>0.26130262477542548</v>
      </c>
      <c r="AA187" s="2">
        <f t="shared" si="113"/>
        <v>0.4400001629583839</v>
      </c>
      <c r="AB187" s="2">
        <f t="shared" si="114"/>
        <v>0.90714285714285714</v>
      </c>
      <c r="AC187" s="2">
        <f t="shared" si="115"/>
        <v>0.28201307665599357</v>
      </c>
      <c r="AD187" s="2">
        <f t="shared" si="116"/>
        <v>0.96199999999999997</v>
      </c>
      <c r="AE187" s="2">
        <f t="shared" si="117"/>
        <v>0.6</v>
      </c>
      <c r="AF187" s="45">
        <f t="shared" si="118"/>
        <v>0.57540978692210998</v>
      </c>
      <c r="AH187" s="34">
        <v>0.50076979094621688</v>
      </c>
      <c r="AI187" s="34">
        <f t="shared" si="119"/>
        <v>0.5230222910074287</v>
      </c>
      <c r="AJ187" s="34">
        <f t="shared" si="120"/>
        <v>2.2252500061211822E-2</v>
      </c>
      <c r="AK187" s="34">
        <f t="shared" si="121"/>
        <v>2.2252500061211822E-2</v>
      </c>
      <c r="AL187" s="41">
        <f t="shared" si="122"/>
        <v>4.4436586358704212E-2</v>
      </c>
      <c r="AN187">
        <f t="shared" si="125"/>
        <v>171</v>
      </c>
      <c r="AO187">
        <f t="shared" si="126"/>
        <v>164</v>
      </c>
      <c r="AP187">
        <f t="shared" si="123"/>
        <v>7</v>
      </c>
      <c r="AQ187">
        <f t="shared" si="124"/>
        <v>7</v>
      </c>
    </row>
    <row r="188" spans="1:43">
      <c r="A188" s="1" t="s">
        <v>149</v>
      </c>
      <c r="B188" s="1" t="s">
        <v>362</v>
      </c>
      <c r="C188" t="e">
        <f>NA()</f>
        <v>#N/A</v>
      </c>
      <c r="D188" s="39">
        <v>-0.28361486823538362</v>
      </c>
      <c r="E188" s="2">
        <v>77.650000000000006</v>
      </c>
      <c r="F188" s="41">
        <v>0.18991326646407586</v>
      </c>
      <c r="G188" s="2">
        <v>0.63131313131313138</v>
      </c>
      <c r="H188" s="34">
        <v>0.29565537511972428</v>
      </c>
      <c r="I188" s="34"/>
      <c r="J188" s="35">
        <v>29.685140606047511</v>
      </c>
      <c r="K188" s="35">
        <v>32.700061963145025</v>
      </c>
      <c r="L188">
        <v>27</v>
      </c>
      <c r="M188" s="35">
        <v>166.44762218958905</v>
      </c>
      <c r="N188">
        <v>1.53</v>
      </c>
      <c r="O188">
        <v>3.16</v>
      </c>
      <c r="Q188" s="1" t="s">
        <v>149</v>
      </c>
      <c r="R188" s="1" t="s">
        <v>362</v>
      </c>
      <c r="S188" s="2" t="e">
        <f t="shared" si="127"/>
        <v>#N/A</v>
      </c>
      <c r="T188" s="2">
        <f t="shared" si="128"/>
        <v>0.52836148682353845</v>
      </c>
      <c r="U188" s="2">
        <f t="shared" si="129"/>
        <v>0.22349999999999992</v>
      </c>
      <c r="V188" s="2">
        <f t="shared" si="130"/>
        <v>0.37982653292815172</v>
      </c>
      <c r="W188" s="2">
        <f t="shared" si="131"/>
        <v>0.63131313131313138</v>
      </c>
      <c r="X188" s="2">
        <f t="shared" si="132"/>
        <v>0.50724104146712623</v>
      </c>
      <c r="Y188" s="9">
        <f t="shared" si="111"/>
        <v>0.45404843850638954</v>
      </c>
      <c r="Z188" s="2">
        <f t="shared" si="112"/>
        <v>0.28121629437210732</v>
      </c>
      <c r="AA188" s="2">
        <f t="shared" si="113"/>
        <v>0.4087507745393128</v>
      </c>
      <c r="AB188" s="2">
        <f t="shared" si="114"/>
        <v>0.38571428571428573</v>
      </c>
      <c r="AC188" s="2">
        <f t="shared" si="115"/>
        <v>0.83223811094794531</v>
      </c>
      <c r="AD188" s="2">
        <f t="shared" si="116"/>
        <v>0.153</v>
      </c>
      <c r="AE188" s="2">
        <f t="shared" si="117"/>
        <v>0.36799999999999999</v>
      </c>
      <c r="AF188" s="45">
        <f t="shared" si="118"/>
        <v>0.40481991092894182</v>
      </c>
      <c r="AH188" s="34">
        <v>0.22512041268026409</v>
      </c>
      <c r="AI188" s="34">
        <f t="shared" si="119"/>
        <v>0.28863004464091246</v>
      </c>
      <c r="AJ188" s="34">
        <f t="shared" si="120"/>
        <v>6.3509631960648377E-2</v>
      </c>
      <c r="AK188" s="34">
        <f t="shared" si="121"/>
        <v>6.3509631960648377E-2</v>
      </c>
      <c r="AL188" s="41">
        <f t="shared" si="122"/>
        <v>0.28211405267300382</v>
      </c>
      <c r="AN188">
        <f t="shared" si="125"/>
        <v>42</v>
      </c>
      <c r="AO188">
        <f t="shared" si="126"/>
        <v>64</v>
      </c>
      <c r="AP188">
        <f t="shared" si="123"/>
        <v>-22</v>
      </c>
      <c r="AQ188">
        <f t="shared" si="124"/>
        <v>22</v>
      </c>
    </row>
    <row r="189" spans="1:43">
      <c r="A189" s="1" t="s">
        <v>164</v>
      </c>
      <c r="B189" s="1" t="s">
        <v>363</v>
      </c>
      <c r="C189" t="e">
        <f>NA()</f>
        <v>#N/A</v>
      </c>
      <c r="D189" s="39">
        <v>0.84191867444902457</v>
      </c>
      <c r="E189" s="2">
        <v>34.82</v>
      </c>
      <c r="F189" s="41" t="e">
        <v>#N/A</v>
      </c>
      <c r="G189" s="40" t="e">
        <v>#N/A</v>
      </c>
      <c r="H189" s="34">
        <v>0</v>
      </c>
      <c r="I189" s="34"/>
      <c r="J189" s="35" t="e">
        <v>#N/A</v>
      </c>
      <c r="K189" s="35">
        <v>0</v>
      </c>
      <c r="L189" t="e">
        <v>#N/A</v>
      </c>
      <c r="M189" s="35" t="e">
        <v>#N/A</v>
      </c>
      <c r="N189" t="e">
        <v>#N/A</v>
      </c>
      <c r="O189" t="e">
        <v>#N/A</v>
      </c>
      <c r="Q189" s="1" t="s">
        <v>164</v>
      </c>
      <c r="R189" s="1" t="s">
        <v>363</v>
      </c>
      <c r="S189" s="2" t="e">
        <f t="shared" si="127"/>
        <v>#N/A</v>
      </c>
      <c r="T189" s="2">
        <f t="shared" si="128"/>
        <v>0.41580813255509752</v>
      </c>
      <c r="U189" s="2">
        <f t="shared" si="129"/>
        <v>0.65179999999999993</v>
      </c>
      <c r="V189" s="2" t="e">
        <f t="shared" si="130"/>
        <v>#N/A</v>
      </c>
      <c r="W189" s="2" t="e">
        <f t="shared" si="131"/>
        <v>#N/A</v>
      </c>
      <c r="X189" s="2">
        <f t="shared" si="132"/>
        <v>1</v>
      </c>
      <c r="Y189" s="9">
        <f t="shared" si="111"/>
        <v>0.68920271085169915</v>
      </c>
      <c r="Z189" s="2" t="e">
        <f t="shared" si="112"/>
        <v>#N/A</v>
      </c>
      <c r="AA189" s="2">
        <f t="shared" si="113"/>
        <v>0</v>
      </c>
      <c r="AB189" s="2" t="e">
        <f t="shared" si="114"/>
        <v>#N/A</v>
      </c>
      <c r="AC189" s="2" t="e">
        <f t="shared" si="115"/>
        <v>#N/A</v>
      </c>
      <c r="AD189" s="2" t="e">
        <f t="shared" si="116"/>
        <v>#N/A</v>
      </c>
      <c r="AE189" s="2" t="e">
        <f t="shared" si="117"/>
        <v>#N/A</v>
      </c>
      <c r="AF189" s="45" t="e">
        <f t="shared" si="118"/>
        <v>#N/A</v>
      </c>
      <c r="AH189" s="34">
        <v>0.48109525694356803</v>
      </c>
      <c r="AI189" s="34" t="e">
        <f t="shared" si="119"/>
        <v>#N/A</v>
      </c>
      <c r="AJ189" s="34" t="e">
        <f t="shared" si="120"/>
        <v>#N/A</v>
      </c>
      <c r="AK189" s="34" t="e">
        <f t="shared" si="121"/>
        <v>#N/A</v>
      </c>
      <c r="AL189" s="41" t="e">
        <f t="shared" si="122"/>
        <v>#N/A</v>
      </c>
      <c r="AN189">
        <f t="shared" si="125"/>
        <v>159</v>
      </c>
      <c r="AO189" t="e">
        <f t="shared" si="126"/>
        <v>#VALUE!</v>
      </c>
      <c r="AP189" t="e">
        <f t="shared" si="123"/>
        <v>#VALUE!</v>
      </c>
      <c r="AQ189" t="e">
        <f t="shared" si="124"/>
        <v>#VALUE!</v>
      </c>
    </row>
    <row r="190" spans="1:43">
      <c r="A190" s="1" t="s">
        <v>127</v>
      </c>
      <c r="B190" s="1" t="s">
        <v>364</v>
      </c>
      <c r="C190" t="e">
        <f>NA()</f>
        <v>#N/A</v>
      </c>
      <c r="D190" s="39">
        <v>-0.26562642107904377</v>
      </c>
      <c r="E190" s="2">
        <v>66.349999999999994</v>
      </c>
      <c r="F190" s="41">
        <v>0.16712183317883533</v>
      </c>
      <c r="G190" s="2">
        <v>0.12860278591306715</v>
      </c>
      <c r="H190" s="34">
        <v>0</v>
      </c>
      <c r="I190" s="34"/>
      <c r="J190" s="35">
        <v>63.722286168916739</v>
      </c>
      <c r="K190" s="35">
        <v>10.000016329982591</v>
      </c>
      <c r="L190">
        <v>62.1</v>
      </c>
      <c r="M190" s="35">
        <v>77.011581097706866</v>
      </c>
      <c r="N190">
        <v>10.47</v>
      </c>
      <c r="O190">
        <v>1.82</v>
      </c>
      <c r="Q190" s="1" t="s">
        <v>127</v>
      </c>
      <c r="R190" s="1" t="s">
        <v>364</v>
      </c>
      <c r="S190" s="2" t="e">
        <f t="shared" si="127"/>
        <v>#N/A</v>
      </c>
      <c r="T190" s="2">
        <f t="shared" si="128"/>
        <v>0.52656264210790438</v>
      </c>
      <c r="U190" s="2">
        <f t="shared" si="129"/>
        <v>0.33650000000000002</v>
      </c>
      <c r="V190" s="2">
        <f t="shared" si="130"/>
        <v>0.33424366635767067</v>
      </c>
      <c r="W190" s="2">
        <f t="shared" si="131"/>
        <v>0.12860278591306715</v>
      </c>
      <c r="X190" s="2">
        <f t="shared" si="132"/>
        <v>1</v>
      </c>
      <c r="Y190" s="9">
        <f t="shared" si="111"/>
        <v>0.4651818188757284</v>
      </c>
      <c r="Z190" s="2">
        <f t="shared" si="112"/>
        <v>0.76746123098452479</v>
      </c>
      <c r="AA190" s="2">
        <f t="shared" si="113"/>
        <v>0.12500020412478238</v>
      </c>
      <c r="AB190" s="2">
        <f t="shared" si="114"/>
        <v>0.88714285714285712</v>
      </c>
      <c r="AC190" s="2">
        <f t="shared" si="115"/>
        <v>0.38505790548853436</v>
      </c>
      <c r="AD190" s="2">
        <f t="shared" si="116"/>
        <v>1</v>
      </c>
      <c r="AE190" s="2">
        <f t="shared" si="117"/>
        <v>0.63600000000000001</v>
      </c>
      <c r="AF190" s="45">
        <f t="shared" si="118"/>
        <v>0.63344369962344971</v>
      </c>
      <c r="AH190" s="34">
        <v>0.5090392101147706</v>
      </c>
      <c r="AI190" s="34">
        <f t="shared" si="119"/>
        <v>0.52410035242496678</v>
      </c>
      <c r="AJ190" s="34">
        <f t="shared" si="120"/>
        <v>1.5061142310196174E-2</v>
      </c>
      <c r="AK190" s="34">
        <f t="shared" si="121"/>
        <v>1.5061142310196174E-2</v>
      </c>
      <c r="AL190" s="41">
        <f t="shared" si="122"/>
        <v>2.9587391326496071E-2</v>
      </c>
      <c r="AN190">
        <f t="shared" si="125"/>
        <v>173</v>
      </c>
      <c r="AO190">
        <f t="shared" si="126"/>
        <v>166</v>
      </c>
      <c r="AP190">
        <f t="shared" si="123"/>
        <v>7</v>
      </c>
      <c r="AQ190">
        <f t="shared" si="124"/>
        <v>7</v>
      </c>
    </row>
    <row r="191" spans="1:43">
      <c r="A191" s="1" t="s">
        <v>169</v>
      </c>
      <c r="B191" s="1" t="s">
        <v>365</v>
      </c>
      <c r="C191" t="e">
        <f>NA()</f>
        <v>#N/A</v>
      </c>
      <c r="D191" s="39" t="e">
        <v>#N/A</v>
      </c>
      <c r="E191" s="2">
        <v>91.94</v>
      </c>
      <c r="F191" s="41">
        <v>0.58908776834375776</v>
      </c>
      <c r="G191" s="2">
        <v>0.52434255915541994</v>
      </c>
      <c r="H191" s="34">
        <v>0.19440353432529811</v>
      </c>
      <c r="I191" s="34"/>
      <c r="J191" s="35">
        <v>93.591499169774735</v>
      </c>
      <c r="K191" s="35">
        <v>0</v>
      </c>
      <c r="L191" t="e">
        <v>#N/A</v>
      </c>
      <c r="M191" s="35">
        <v>198.90856686674402</v>
      </c>
      <c r="N191">
        <v>1.48</v>
      </c>
      <c r="O191" t="e">
        <v>#N/A</v>
      </c>
      <c r="Q191" s="1" t="s">
        <v>169</v>
      </c>
      <c r="R191" s="1" t="s">
        <v>365</v>
      </c>
      <c r="S191" s="2" t="e">
        <f t="shared" si="127"/>
        <v>#N/A</v>
      </c>
      <c r="T191" s="2" t="e">
        <f t="shared" si="128"/>
        <v>#N/A</v>
      </c>
      <c r="U191" s="2">
        <f t="shared" si="129"/>
        <v>8.0600000000000005E-2</v>
      </c>
      <c r="V191" s="2">
        <f t="shared" si="130"/>
        <v>1</v>
      </c>
      <c r="W191" s="2">
        <f t="shared" si="131"/>
        <v>0.52434255915541994</v>
      </c>
      <c r="X191" s="2">
        <f t="shared" si="132"/>
        <v>0.67599410945783645</v>
      </c>
      <c r="Y191" s="9">
        <f t="shared" si="111"/>
        <v>0.5702341671533141</v>
      </c>
      <c r="Z191" s="2">
        <f t="shared" si="112"/>
        <v>1</v>
      </c>
      <c r="AA191" s="2">
        <f t="shared" si="113"/>
        <v>0</v>
      </c>
      <c r="AB191" s="2" t="e">
        <f t="shared" si="114"/>
        <v>#N/A</v>
      </c>
      <c r="AC191" s="2">
        <f t="shared" si="115"/>
        <v>0.99454283433372015</v>
      </c>
      <c r="AD191" s="2">
        <f t="shared" si="116"/>
        <v>0.14799999999999999</v>
      </c>
      <c r="AE191" s="2" t="e">
        <f t="shared" si="117"/>
        <v>#N/A</v>
      </c>
      <c r="AF191" s="45">
        <f t="shared" si="118"/>
        <v>0.53563570858343001</v>
      </c>
      <c r="AH191" s="34">
        <v>0.34644203478426333</v>
      </c>
      <c r="AI191" s="34">
        <f t="shared" si="119"/>
        <v>0.41084554063112771</v>
      </c>
      <c r="AJ191" s="34">
        <f t="shared" si="120"/>
        <v>6.4403505846864384E-2</v>
      </c>
      <c r="AK191" s="34">
        <f t="shared" si="121"/>
        <v>6.4403505846864384E-2</v>
      </c>
      <c r="AL191" s="41">
        <f t="shared" si="122"/>
        <v>0.18589980250800048</v>
      </c>
      <c r="AN191">
        <f t="shared" si="125"/>
        <v>114</v>
      </c>
      <c r="AO191">
        <f t="shared" si="126"/>
        <v>121</v>
      </c>
      <c r="AP191">
        <f t="shared" si="123"/>
        <v>-7</v>
      </c>
      <c r="AQ191">
        <f t="shared" si="124"/>
        <v>7</v>
      </c>
    </row>
    <row r="192" spans="1:43">
      <c r="A192" s="1" t="s">
        <v>189</v>
      </c>
      <c r="B192" s="1" t="s">
        <v>366</v>
      </c>
      <c r="C192" t="e">
        <f>NA()</f>
        <v>#N/A</v>
      </c>
      <c r="D192" s="39">
        <v>0.38063835918091882</v>
      </c>
      <c r="E192" s="2">
        <v>98.71</v>
      </c>
      <c r="F192" s="41">
        <v>6.8218455103503106E-3</v>
      </c>
      <c r="G192" s="2">
        <v>5.0775720916684391E-2</v>
      </c>
      <c r="H192" s="34">
        <v>0.2632547860655079</v>
      </c>
      <c r="I192" s="34"/>
      <c r="J192" s="35">
        <v>31.649103480910014</v>
      </c>
      <c r="K192" s="35">
        <v>0</v>
      </c>
      <c r="L192">
        <v>24.7</v>
      </c>
      <c r="M192" s="35">
        <v>648.11179071403149</v>
      </c>
      <c r="N192" t="e">
        <v>#N/A</v>
      </c>
      <c r="O192" t="e">
        <v>#N/A</v>
      </c>
      <c r="Q192" s="1" t="s">
        <v>189</v>
      </c>
      <c r="R192" s="1" t="s">
        <v>366</v>
      </c>
      <c r="S192" s="2" t="e">
        <f t="shared" si="127"/>
        <v>#N/A</v>
      </c>
      <c r="T192" s="2">
        <f t="shared" si="128"/>
        <v>0.46193616408190807</v>
      </c>
      <c r="U192" s="2">
        <f t="shared" si="129"/>
        <v>1.2900000000000023E-2</v>
      </c>
      <c r="V192" s="2">
        <f t="shared" si="130"/>
        <v>1.3643691020700621E-2</v>
      </c>
      <c r="W192" s="2">
        <f t="shared" si="131"/>
        <v>5.0775720916684391E-2</v>
      </c>
      <c r="X192" s="2">
        <f t="shared" si="132"/>
        <v>0.56124202322415351</v>
      </c>
      <c r="Y192" s="9">
        <f t="shared" si="111"/>
        <v>0.22009951984868933</v>
      </c>
      <c r="Z192" s="2">
        <f t="shared" si="112"/>
        <v>0.30927290687014308</v>
      </c>
      <c r="AA192" s="2">
        <f t="shared" si="113"/>
        <v>0</v>
      </c>
      <c r="AB192" s="2">
        <f t="shared" si="114"/>
        <v>0.35285714285714287</v>
      </c>
      <c r="AC192" s="2">
        <f t="shared" si="115"/>
        <v>1</v>
      </c>
      <c r="AD192" s="2" t="e">
        <f t="shared" si="116"/>
        <v>#N/A</v>
      </c>
      <c r="AE192" s="2" t="e">
        <f t="shared" si="117"/>
        <v>#N/A</v>
      </c>
      <c r="AF192" s="45">
        <f t="shared" si="118"/>
        <v>0.41553251243182149</v>
      </c>
      <c r="AH192" s="34">
        <v>0.3003347732480402</v>
      </c>
      <c r="AI192" s="34">
        <f t="shared" si="119"/>
        <v>0.30862077805106686</v>
      </c>
      <c r="AJ192" s="34">
        <f t="shared" si="120"/>
        <v>8.2860048030266586E-3</v>
      </c>
      <c r="AK192" s="34">
        <f t="shared" si="121"/>
        <v>8.2860048030266586E-3</v>
      </c>
      <c r="AL192" s="41">
        <f t="shared" si="122"/>
        <v>2.7589228890866464E-2</v>
      </c>
      <c r="AN192">
        <f t="shared" si="125"/>
        <v>96</v>
      </c>
      <c r="AO192">
        <f t="shared" si="126"/>
        <v>76</v>
      </c>
      <c r="AP192">
        <f t="shared" si="123"/>
        <v>20</v>
      </c>
      <c r="AQ192">
        <f t="shared" si="124"/>
        <v>20</v>
      </c>
    </row>
    <row r="193" spans="1:43">
      <c r="A193" s="1" t="s">
        <v>65</v>
      </c>
      <c r="B193" s="1" t="s">
        <v>367</v>
      </c>
      <c r="C193" t="e">
        <f>NA()</f>
        <v>#N/A</v>
      </c>
      <c r="D193" s="39">
        <v>-0.23074591442451509</v>
      </c>
      <c r="E193" s="2">
        <v>7.41</v>
      </c>
      <c r="F193" s="41">
        <v>7.0932043794500368E-2</v>
      </c>
      <c r="G193" s="2">
        <v>0.27379242537283777</v>
      </c>
      <c r="H193" s="34">
        <v>0.51006381957128755</v>
      </c>
      <c r="I193" s="34"/>
      <c r="J193" s="35">
        <v>10.799988951403543</v>
      </c>
      <c r="K193" s="35">
        <v>26.400034805257555</v>
      </c>
      <c r="L193" t="e">
        <v>#N/A</v>
      </c>
      <c r="M193" s="35">
        <v>57.131580970115394</v>
      </c>
      <c r="N193" t="e">
        <v>#N/A</v>
      </c>
      <c r="O193">
        <v>2.56</v>
      </c>
      <c r="Q193" s="1" t="s">
        <v>65</v>
      </c>
      <c r="R193" s="1" t="s">
        <v>367</v>
      </c>
      <c r="S193" s="2" t="e">
        <f t="shared" si="127"/>
        <v>#N/A</v>
      </c>
      <c r="T193" s="2">
        <f t="shared" si="128"/>
        <v>0.5230745914424515</v>
      </c>
      <c r="U193" s="2">
        <f t="shared" si="129"/>
        <v>0.92589999999999995</v>
      </c>
      <c r="V193" s="2">
        <f t="shared" si="130"/>
        <v>0.14186408758900074</v>
      </c>
      <c r="W193" s="2">
        <f t="shared" si="131"/>
        <v>0.27379242537283777</v>
      </c>
      <c r="X193" s="2">
        <f t="shared" si="132"/>
        <v>0.14989363404785405</v>
      </c>
      <c r="Y193" s="9">
        <f t="shared" si="111"/>
        <v>0.40290494769042873</v>
      </c>
      <c r="Z193" s="2">
        <f t="shared" si="112"/>
        <v>1.1428413591479192E-2</v>
      </c>
      <c r="AA193" s="2">
        <f t="shared" si="113"/>
        <v>0.33000043506571941</v>
      </c>
      <c r="AB193" s="2" t="e">
        <f t="shared" si="114"/>
        <v>#N/A</v>
      </c>
      <c r="AC193" s="2">
        <f t="shared" si="115"/>
        <v>0.28565790485057696</v>
      </c>
      <c r="AD193" s="2" t="e">
        <f t="shared" si="116"/>
        <v>#N/A</v>
      </c>
      <c r="AE193" s="2">
        <f t="shared" si="117"/>
        <v>0.48799999999999999</v>
      </c>
      <c r="AF193" s="45">
        <f t="shared" si="118"/>
        <v>0.27877168837694388</v>
      </c>
      <c r="AH193" s="34">
        <v>0.28431020857436645</v>
      </c>
      <c r="AI193" s="34">
        <f t="shared" si="119"/>
        <v>0.3003028535571029</v>
      </c>
      <c r="AJ193" s="34">
        <f t="shared" si="120"/>
        <v>1.5992644982736448E-2</v>
      </c>
      <c r="AK193" s="34">
        <f t="shared" si="121"/>
        <v>1.5992644982736448E-2</v>
      </c>
      <c r="AL193" s="41">
        <f t="shared" si="122"/>
        <v>5.6250688510023315E-2</v>
      </c>
      <c r="AN193">
        <f t="shared" si="125"/>
        <v>85</v>
      </c>
      <c r="AO193">
        <f t="shared" si="126"/>
        <v>72</v>
      </c>
      <c r="AP193">
        <f t="shared" si="123"/>
        <v>13</v>
      </c>
      <c r="AQ193">
        <f t="shared" si="124"/>
        <v>13</v>
      </c>
    </row>
    <row r="194" spans="1:43">
      <c r="A194" s="1" t="s">
        <v>57</v>
      </c>
      <c r="B194" s="1" t="s">
        <v>368</v>
      </c>
      <c r="C194" t="e">
        <f>NA()</f>
        <v>#N/A</v>
      </c>
      <c r="D194" s="39">
        <v>-0.13492129943122233</v>
      </c>
      <c r="E194" s="2">
        <v>11.12</v>
      </c>
      <c r="F194" s="41">
        <v>4.4827281914148566E-2</v>
      </c>
      <c r="G194" s="2">
        <v>0.2571706968948495</v>
      </c>
      <c r="H194" s="34">
        <v>0.40095728954592746</v>
      </c>
      <c r="I194" s="34"/>
      <c r="J194" s="35">
        <v>20.785023219090469</v>
      </c>
      <c r="K194" s="35">
        <v>29.183275285371277</v>
      </c>
      <c r="L194">
        <v>13</v>
      </c>
      <c r="M194" s="35">
        <v>52.90949128315853</v>
      </c>
      <c r="N194">
        <v>2.76</v>
      </c>
      <c r="O194">
        <v>3.08</v>
      </c>
      <c r="Q194" s="1" t="s">
        <v>57</v>
      </c>
      <c r="R194" s="1" t="s">
        <v>368</v>
      </c>
      <c r="S194" s="2" t="e">
        <f t="shared" si="127"/>
        <v>#N/A</v>
      </c>
      <c r="T194" s="2">
        <f t="shared" si="128"/>
        <v>0.51349212994312221</v>
      </c>
      <c r="U194" s="2">
        <f t="shared" si="129"/>
        <v>0.88880000000000003</v>
      </c>
      <c r="V194" s="2">
        <f t="shared" si="130"/>
        <v>8.9654563828297132E-2</v>
      </c>
      <c r="W194" s="2">
        <f t="shared" si="131"/>
        <v>0.2571706968948495</v>
      </c>
      <c r="X194" s="2">
        <f t="shared" si="132"/>
        <v>0.33173785075678752</v>
      </c>
      <c r="Y194" s="9">
        <f t="shared" si="111"/>
        <v>0.41617104828461127</v>
      </c>
      <c r="Z194" s="2">
        <f t="shared" si="112"/>
        <v>0.15407176027272099</v>
      </c>
      <c r="AA194" s="2">
        <f t="shared" si="113"/>
        <v>0.36479094106714094</v>
      </c>
      <c r="AB194" s="2">
        <f t="shared" si="114"/>
        <v>0.18571428571428572</v>
      </c>
      <c r="AC194" s="2">
        <f t="shared" si="115"/>
        <v>0.26454745641579264</v>
      </c>
      <c r="AD194" s="2">
        <f t="shared" si="116"/>
        <v>0.27599999999999997</v>
      </c>
      <c r="AE194" s="2">
        <f t="shared" si="117"/>
        <v>0.38400000000000001</v>
      </c>
      <c r="AF194" s="45">
        <f t="shared" si="118"/>
        <v>0.27152074057832337</v>
      </c>
      <c r="AH194" s="34">
        <v>0.25843107282487315</v>
      </c>
      <c r="AI194" s="34">
        <f t="shared" si="119"/>
        <v>0.28320929807685585</v>
      </c>
      <c r="AJ194" s="34">
        <f t="shared" si="120"/>
        <v>2.47782252519827E-2</v>
      </c>
      <c r="AK194" s="34">
        <f t="shared" si="121"/>
        <v>2.47782252519827E-2</v>
      </c>
      <c r="AL194" s="41">
        <f t="shared" si="122"/>
        <v>9.5879435011956796E-2</v>
      </c>
      <c r="AN194">
        <f t="shared" si="125"/>
        <v>65</v>
      </c>
      <c r="AO194">
        <f t="shared" si="126"/>
        <v>60</v>
      </c>
      <c r="AP194">
        <f t="shared" si="123"/>
        <v>5</v>
      </c>
      <c r="AQ194">
        <f t="shared" si="124"/>
        <v>5</v>
      </c>
    </row>
    <row r="195" spans="1:43">
      <c r="A195" s="1" t="s">
        <v>114</v>
      </c>
      <c r="B195" s="1" t="s">
        <v>369</v>
      </c>
      <c r="C195" t="e">
        <f>NA()</f>
        <v>#N/A</v>
      </c>
      <c r="D195" s="39">
        <v>1.7863471527657966</v>
      </c>
      <c r="E195" s="2">
        <v>17.88</v>
      </c>
      <c r="F195" s="41" t="e">
        <v>#N/A</v>
      </c>
      <c r="G195" s="2">
        <v>0.33705029490021698</v>
      </c>
      <c r="H195" s="34">
        <v>0.11745213532153431</v>
      </c>
      <c r="I195" s="34"/>
      <c r="J195" s="35">
        <v>26.083951519903476</v>
      </c>
      <c r="K195" s="35">
        <v>0</v>
      </c>
      <c r="L195">
        <v>0</v>
      </c>
      <c r="M195" s="35">
        <v>71.786186934331383</v>
      </c>
      <c r="N195" t="e">
        <v>#N/A</v>
      </c>
      <c r="O195">
        <v>2.2400000000000002</v>
      </c>
      <c r="Q195" s="1" t="s">
        <v>114</v>
      </c>
      <c r="R195" s="1" t="s">
        <v>369</v>
      </c>
      <c r="S195" s="2" t="e">
        <f t="shared" si="127"/>
        <v>#N/A</v>
      </c>
      <c r="T195" s="2">
        <f t="shared" si="128"/>
        <v>0.3213652847234203</v>
      </c>
      <c r="U195" s="2">
        <f t="shared" si="129"/>
        <v>0.82120000000000004</v>
      </c>
      <c r="V195" s="2" t="e">
        <f t="shared" si="130"/>
        <v>#N/A</v>
      </c>
      <c r="W195" s="2">
        <f t="shared" si="131"/>
        <v>0.33705029490021698</v>
      </c>
      <c r="X195" s="2">
        <f t="shared" si="132"/>
        <v>0.80424644113077615</v>
      </c>
      <c r="Y195" s="9">
        <f t="shared" si="111"/>
        <v>0.57096550518860334</v>
      </c>
      <c r="Z195" s="2">
        <f t="shared" si="112"/>
        <v>0.22977073599862108</v>
      </c>
      <c r="AA195" s="2">
        <f t="shared" si="113"/>
        <v>0</v>
      </c>
      <c r="AB195" s="2">
        <f t="shared" si="114"/>
        <v>0</v>
      </c>
      <c r="AC195" s="2">
        <f t="shared" si="115"/>
        <v>0.35893093467165693</v>
      </c>
      <c r="AD195" s="2" t="e">
        <f t="shared" si="116"/>
        <v>#N/A</v>
      </c>
      <c r="AE195" s="2">
        <f t="shared" si="117"/>
        <v>0.55199999999999994</v>
      </c>
      <c r="AF195" s="45">
        <f t="shared" si="118"/>
        <v>0.2281403341340556</v>
      </c>
      <c r="AH195" s="34">
        <v>0.25679736244970092</v>
      </c>
      <c r="AI195" s="34">
        <f t="shared" si="119"/>
        <v>0.29676589227257633</v>
      </c>
      <c r="AJ195" s="34">
        <f t="shared" si="120"/>
        <v>3.9968529822875409E-2</v>
      </c>
      <c r="AK195" s="34">
        <f t="shared" si="121"/>
        <v>3.9968529822875409E-2</v>
      </c>
      <c r="AL195" s="41">
        <f t="shared" si="122"/>
        <v>0.15564229103289204</v>
      </c>
      <c r="AN195">
        <f t="shared" si="125"/>
        <v>64</v>
      </c>
      <c r="AO195">
        <f t="shared" si="126"/>
        <v>70</v>
      </c>
      <c r="AP195">
        <f t="shared" si="123"/>
        <v>-6</v>
      </c>
      <c r="AQ195">
        <f t="shared" si="124"/>
        <v>6</v>
      </c>
    </row>
    <row r="196" spans="1:43">
      <c r="A196" s="1" t="s">
        <v>113</v>
      </c>
      <c r="B196" s="1" t="s">
        <v>370</v>
      </c>
      <c r="C196" t="e">
        <f>NA()</f>
        <v>#N/A</v>
      </c>
      <c r="D196" s="39" t="e">
        <v>#N/A</v>
      </c>
      <c r="E196" s="2">
        <v>0.35</v>
      </c>
      <c r="F196" s="41" t="e">
        <v>#N/A</v>
      </c>
      <c r="G196" s="40" t="e">
        <v>#N/A</v>
      </c>
      <c r="H196" s="34">
        <v>9.3151693530872048E-2</v>
      </c>
      <c r="I196" s="34"/>
      <c r="J196" s="35" t="e">
        <v>#N/A</v>
      </c>
      <c r="K196" s="35">
        <v>0</v>
      </c>
      <c r="L196" t="e">
        <v>#N/A</v>
      </c>
      <c r="M196" s="35" t="e">
        <v>#N/A</v>
      </c>
      <c r="N196" t="e">
        <v>#N/A</v>
      </c>
      <c r="O196" t="e">
        <v>#N/A</v>
      </c>
      <c r="Q196" s="1" t="s">
        <v>113</v>
      </c>
      <c r="R196" s="1" t="s">
        <v>370</v>
      </c>
      <c r="S196" s="2" t="e">
        <f t="shared" si="127"/>
        <v>#N/A</v>
      </c>
      <c r="T196" s="2" t="e">
        <f t="shared" si="128"/>
        <v>#N/A</v>
      </c>
      <c r="U196" s="2">
        <f t="shared" si="129"/>
        <v>0.99650000000000005</v>
      </c>
      <c r="V196" s="2" t="e">
        <f t="shared" si="130"/>
        <v>#N/A</v>
      </c>
      <c r="W196" s="2" t="e">
        <f t="shared" si="131"/>
        <v>#N/A</v>
      </c>
      <c r="X196" s="2">
        <f t="shared" si="132"/>
        <v>0.84474717744854655</v>
      </c>
      <c r="Y196" s="9" t="e">
        <f t="shared" si="111"/>
        <v>#N/A</v>
      </c>
      <c r="Z196" s="2" t="e">
        <f t="shared" si="112"/>
        <v>#N/A</v>
      </c>
      <c r="AA196" s="2">
        <f t="shared" si="113"/>
        <v>0</v>
      </c>
      <c r="AB196" s="2" t="e">
        <f t="shared" si="114"/>
        <v>#N/A</v>
      </c>
      <c r="AC196" s="2" t="e">
        <f t="shared" si="115"/>
        <v>#N/A</v>
      </c>
      <c r="AD196" s="2" t="e">
        <f t="shared" si="116"/>
        <v>#N/A</v>
      </c>
      <c r="AE196" s="2" t="e">
        <f t="shared" si="117"/>
        <v>#N/A</v>
      </c>
      <c r="AF196" s="45" t="e">
        <f t="shared" si="118"/>
        <v>#N/A</v>
      </c>
      <c r="AH196" s="34">
        <v>0.45030088655824108</v>
      </c>
      <c r="AI196" s="34" t="e">
        <f t="shared" si="119"/>
        <v>#N/A</v>
      </c>
      <c r="AJ196" s="34" t="e">
        <f t="shared" si="120"/>
        <v>#N/A</v>
      </c>
      <c r="AK196" s="34" t="e">
        <f t="shared" si="121"/>
        <v>#N/A</v>
      </c>
      <c r="AL196" s="41" t="e">
        <f t="shared" si="122"/>
        <v>#N/A</v>
      </c>
      <c r="AN196">
        <f t="shared" si="125"/>
        <v>148</v>
      </c>
      <c r="AO196" t="e">
        <f t="shared" si="126"/>
        <v>#VALUE!</v>
      </c>
      <c r="AP196" t="e">
        <f t="shared" si="123"/>
        <v>#VALUE!</v>
      </c>
      <c r="AQ196" t="e">
        <f t="shared" si="124"/>
        <v>#VALUE!</v>
      </c>
    </row>
    <row r="197" spans="1:43">
      <c r="A197" s="1" t="s">
        <v>188</v>
      </c>
      <c r="B197" s="1" t="s">
        <v>371</v>
      </c>
      <c r="C197" t="e">
        <f>NA()</f>
        <v>#N/A</v>
      </c>
      <c r="D197" s="39">
        <v>-0.62770427884573921</v>
      </c>
      <c r="E197" s="2">
        <v>65.760000000000005</v>
      </c>
      <c r="F197" s="41">
        <v>0.56605861744845376</v>
      </c>
      <c r="G197" s="2">
        <v>0.31330843259909041</v>
      </c>
      <c r="H197" s="34">
        <v>0.25110456517017676</v>
      </c>
      <c r="I197" s="34"/>
      <c r="J197" s="35">
        <v>35.944711921538925</v>
      </c>
      <c r="K197" s="35">
        <v>28.800070684212258</v>
      </c>
      <c r="L197">
        <v>60.1</v>
      </c>
      <c r="M197" s="35">
        <v>37.672232454057628</v>
      </c>
      <c r="N197">
        <v>10.23</v>
      </c>
      <c r="O197">
        <v>2.35</v>
      </c>
      <c r="Q197" s="1" t="s">
        <v>188</v>
      </c>
      <c r="R197" s="1" t="s">
        <v>371</v>
      </c>
      <c r="S197" s="2" t="e">
        <f t="shared" si="127"/>
        <v>#N/A</v>
      </c>
      <c r="T197" s="2">
        <f t="shared" si="128"/>
        <v>0.56277042788457388</v>
      </c>
      <c r="U197" s="2">
        <f t="shared" si="129"/>
        <v>0.34239999999999993</v>
      </c>
      <c r="V197" s="2">
        <f t="shared" si="130"/>
        <v>1</v>
      </c>
      <c r="W197" s="2">
        <f t="shared" si="131"/>
        <v>0.31330843259909041</v>
      </c>
      <c r="X197" s="2">
        <f t="shared" si="132"/>
        <v>0.58149239138303876</v>
      </c>
      <c r="Y197" s="9">
        <f t="shared" si="111"/>
        <v>0.55999425037334061</v>
      </c>
      <c r="Z197" s="2">
        <f t="shared" si="112"/>
        <v>0.37063874173627037</v>
      </c>
      <c r="AA197" s="2">
        <f t="shared" si="113"/>
        <v>0.36000088355265325</v>
      </c>
      <c r="AB197" s="2">
        <f t="shared" si="114"/>
        <v>0.85857142857142854</v>
      </c>
      <c r="AC197" s="2">
        <f t="shared" si="115"/>
        <v>0.18836116227028815</v>
      </c>
      <c r="AD197" s="2">
        <f t="shared" si="116"/>
        <v>1</v>
      </c>
      <c r="AE197" s="2">
        <f t="shared" si="117"/>
        <v>0.53</v>
      </c>
      <c r="AF197" s="45">
        <f t="shared" si="118"/>
        <v>0.55126203602177337</v>
      </c>
      <c r="AH197" s="34">
        <v>0.49775610584587726</v>
      </c>
      <c r="AI197" s="34">
        <f t="shared" si="119"/>
        <v>0.51581971452281128</v>
      </c>
      <c r="AJ197" s="34">
        <f t="shared" si="120"/>
        <v>1.8063608676934018E-2</v>
      </c>
      <c r="AK197" s="34">
        <f t="shared" si="121"/>
        <v>1.8063608676934018E-2</v>
      </c>
      <c r="AL197" s="41">
        <f t="shared" si="122"/>
        <v>3.6290079548571413E-2</v>
      </c>
      <c r="AN197">
        <f t="shared" si="125"/>
        <v>168</v>
      </c>
      <c r="AO197">
        <f t="shared" si="126"/>
        <v>161</v>
      </c>
      <c r="AP197">
        <f t="shared" si="123"/>
        <v>7</v>
      </c>
      <c r="AQ197">
        <f t="shared" si="124"/>
        <v>7</v>
      </c>
    </row>
    <row r="198" spans="1:43">
      <c r="A198" s="1" t="s">
        <v>60</v>
      </c>
      <c r="B198" s="1" t="s">
        <v>372</v>
      </c>
      <c r="C198" t="e">
        <f>NA()</f>
        <v>#N/A</v>
      </c>
      <c r="D198" s="39">
        <v>0.69495649975153118</v>
      </c>
      <c r="E198" s="2">
        <v>20.350000000000001</v>
      </c>
      <c r="F198" s="41">
        <v>0.16808856440659345</v>
      </c>
      <c r="G198" s="2">
        <v>0.30349790866404769</v>
      </c>
      <c r="H198" s="34">
        <v>0.49005890944502251</v>
      </c>
      <c r="I198" s="34"/>
      <c r="J198" s="35">
        <v>8.9787623589229071</v>
      </c>
      <c r="K198" s="35">
        <v>3.5207272811529391</v>
      </c>
      <c r="L198">
        <v>0</v>
      </c>
      <c r="M198" s="35">
        <v>-22.186719966416362</v>
      </c>
      <c r="N198">
        <v>4.3600000000000003</v>
      </c>
      <c r="O198">
        <v>2.44</v>
      </c>
      <c r="Q198" s="1" t="s">
        <v>60</v>
      </c>
      <c r="R198" s="1" t="s">
        <v>372</v>
      </c>
      <c r="S198" s="2" t="e">
        <f t="shared" si="127"/>
        <v>#N/A</v>
      </c>
      <c r="T198" s="2">
        <f t="shared" si="128"/>
        <v>0.43050435002484688</v>
      </c>
      <c r="U198" s="2">
        <f t="shared" si="129"/>
        <v>0.79649999999999999</v>
      </c>
      <c r="V198" s="2">
        <f t="shared" si="130"/>
        <v>0.3361771288131869</v>
      </c>
      <c r="W198" s="2">
        <f t="shared" si="131"/>
        <v>0.30349790866404769</v>
      </c>
      <c r="X198" s="2">
        <f t="shared" si="132"/>
        <v>0.18323515092496245</v>
      </c>
      <c r="Y198" s="9">
        <f t="shared" si="111"/>
        <v>0.40998290768540879</v>
      </c>
      <c r="Z198" s="2">
        <f t="shared" si="112"/>
        <v>0</v>
      </c>
      <c r="AA198" s="2">
        <f t="shared" si="113"/>
        <v>4.4009091014411736E-2</v>
      </c>
      <c r="AB198" s="2">
        <f t="shared" si="114"/>
        <v>0</v>
      </c>
      <c r="AC198" s="2">
        <f t="shared" si="115"/>
        <v>0</v>
      </c>
      <c r="AD198" s="2">
        <f t="shared" si="116"/>
        <v>0.43600000000000005</v>
      </c>
      <c r="AE198" s="2">
        <f t="shared" si="117"/>
        <v>0.51200000000000001</v>
      </c>
      <c r="AF198" s="45">
        <f t="shared" si="118"/>
        <v>0.16533484850240196</v>
      </c>
      <c r="AH198" s="34">
        <v>0.2418877512903522</v>
      </c>
      <c r="AI198" s="34">
        <f t="shared" si="119"/>
        <v>0.25277799029742598</v>
      </c>
      <c r="AJ198" s="34">
        <f t="shared" si="120"/>
        <v>1.0890239007073782E-2</v>
      </c>
      <c r="AK198" s="34">
        <f t="shared" si="121"/>
        <v>1.0890239007073782E-2</v>
      </c>
      <c r="AL198" s="41">
        <f t="shared" si="122"/>
        <v>4.5021870470826703E-2</v>
      </c>
      <c r="AN198">
        <f t="shared" si="125"/>
        <v>52</v>
      </c>
      <c r="AO198">
        <f t="shared" si="126"/>
        <v>47</v>
      </c>
      <c r="AP198">
        <f t="shared" si="123"/>
        <v>5</v>
      </c>
      <c r="AQ198">
        <f t="shared" si="124"/>
        <v>5</v>
      </c>
    </row>
    <row r="199" spans="1:43">
      <c r="A199" s="1" t="s">
        <v>33</v>
      </c>
      <c r="B199" s="1" t="s">
        <v>373</v>
      </c>
      <c r="C199" t="e">
        <f>NA()</f>
        <v>#N/A</v>
      </c>
      <c r="D199" s="39">
        <v>-1.7298272446982359</v>
      </c>
      <c r="E199" s="2">
        <v>86.94</v>
      </c>
      <c r="F199" s="41">
        <v>8.2308950828924171E-3</v>
      </c>
      <c r="G199" s="2">
        <v>0.50653111608657053</v>
      </c>
      <c r="H199" s="34">
        <v>0.11708394827260427</v>
      </c>
      <c r="I199" s="34"/>
      <c r="J199" s="35">
        <v>26.742556584709281</v>
      </c>
      <c r="K199" s="35">
        <v>32.815622399225013</v>
      </c>
      <c r="L199">
        <v>0</v>
      </c>
      <c r="M199" s="35">
        <v>0.970039061232018</v>
      </c>
      <c r="N199">
        <v>0</v>
      </c>
      <c r="O199">
        <v>3.81</v>
      </c>
      <c r="Q199" s="1" t="s">
        <v>33</v>
      </c>
      <c r="R199" s="1" t="s">
        <v>373</v>
      </c>
      <c r="S199" s="2" t="e">
        <f t="shared" si="127"/>
        <v>#N/A</v>
      </c>
      <c r="T199" s="2">
        <f t="shared" si="128"/>
        <v>0.67298272446982366</v>
      </c>
      <c r="U199" s="2">
        <f t="shared" si="129"/>
        <v>0.13060000000000005</v>
      </c>
      <c r="V199" s="2">
        <f t="shared" si="130"/>
        <v>1.6461790165784834E-2</v>
      </c>
      <c r="W199" s="2">
        <f t="shared" si="131"/>
        <v>0.50653111608657053</v>
      </c>
      <c r="X199" s="2">
        <f t="shared" si="132"/>
        <v>0.80486008621232619</v>
      </c>
      <c r="Y199" s="9">
        <f t="shared" si="111"/>
        <v>0.42628714338690105</v>
      </c>
      <c r="Z199" s="2">
        <f t="shared" si="112"/>
        <v>0.23917937978156115</v>
      </c>
      <c r="AA199" s="2">
        <f t="shared" si="113"/>
        <v>0.41019527999031269</v>
      </c>
      <c r="AB199" s="2">
        <f t="shared" si="114"/>
        <v>0</v>
      </c>
      <c r="AC199" s="2">
        <f t="shared" si="115"/>
        <v>4.8501953061600902E-3</v>
      </c>
      <c r="AD199" s="2">
        <f t="shared" si="116"/>
        <v>0</v>
      </c>
      <c r="AE199" s="2">
        <f t="shared" si="117"/>
        <v>0.23799999999999999</v>
      </c>
      <c r="AF199" s="45">
        <f t="shared" si="118"/>
        <v>0.14870414251300565</v>
      </c>
      <c r="AH199" s="34">
        <v>0.26933054316460192</v>
      </c>
      <c r="AI199" s="34">
        <f t="shared" si="119"/>
        <v>0.27107410308465674</v>
      </c>
      <c r="AJ199" s="34">
        <f t="shared" si="120"/>
        <v>1.7435599200548157E-3</v>
      </c>
      <c r="AK199" s="34">
        <f t="shared" si="121"/>
        <v>1.7435599200548157E-3</v>
      </c>
      <c r="AL199" s="41">
        <f t="shared" si="122"/>
        <v>6.4736806288963498E-3</v>
      </c>
      <c r="AN199">
        <f t="shared" si="125"/>
        <v>76</v>
      </c>
      <c r="AO199">
        <f t="shared" si="126"/>
        <v>51</v>
      </c>
      <c r="AP199">
        <f t="shared" si="123"/>
        <v>25</v>
      </c>
      <c r="AQ199">
        <f t="shared" si="124"/>
        <v>25</v>
      </c>
    </row>
    <row r="200" spans="1:43">
      <c r="A200" s="1" t="s">
        <v>14</v>
      </c>
      <c r="B200" s="1" t="s">
        <v>374</v>
      </c>
      <c r="C200" t="e">
        <f>NA()</f>
        <v>#N/A</v>
      </c>
      <c r="D200" s="39">
        <v>-0.68526770264324277</v>
      </c>
      <c r="E200" s="2">
        <v>100</v>
      </c>
      <c r="F200" s="41">
        <v>4.7959367079187165E-3</v>
      </c>
      <c r="G200" s="2">
        <v>0.17222220153446818</v>
      </c>
      <c r="H200" s="34">
        <v>0.97533137116040769</v>
      </c>
      <c r="I200" s="34"/>
      <c r="J200" s="35">
        <v>15.396830195850535</v>
      </c>
      <c r="K200" s="35">
        <v>35.477677577878133</v>
      </c>
      <c r="L200">
        <v>0</v>
      </c>
      <c r="M200" s="35">
        <v>13.203357857400791</v>
      </c>
      <c r="N200">
        <v>0</v>
      </c>
      <c r="O200">
        <v>3.95</v>
      </c>
      <c r="Q200" s="1" t="s">
        <v>14</v>
      </c>
      <c r="R200" s="1" t="s">
        <v>374</v>
      </c>
      <c r="S200" s="2" t="e">
        <f t="shared" si="127"/>
        <v>#N/A</v>
      </c>
      <c r="T200" s="2">
        <f t="shared" si="128"/>
        <v>0.5685267702643243</v>
      </c>
      <c r="U200" s="2">
        <f t="shared" si="129"/>
        <v>0</v>
      </c>
      <c r="V200" s="2">
        <f t="shared" si="130"/>
        <v>9.591873415837433E-3</v>
      </c>
      <c r="W200" s="2">
        <f t="shared" si="131"/>
        <v>0.17222220153446818</v>
      </c>
      <c r="X200" s="2">
        <f t="shared" si="132"/>
        <v>0</v>
      </c>
      <c r="Y200" s="9">
        <f t="shared" si="111"/>
        <v>0.150068169042926</v>
      </c>
      <c r="Z200" s="2">
        <f t="shared" si="112"/>
        <v>7.7097574226436219E-2</v>
      </c>
      <c r="AA200" s="2">
        <f t="shared" si="113"/>
        <v>0.44347096972347666</v>
      </c>
      <c r="AB200" s="2">
        <f t="shared" si="114"/>
        <v>0</v>
      </c>
      <c r="AC200" s="2">
        <f t="shared" si="115"/>
        <v>6.6016789287003955E-2</v>
      </c>
      <c r="AD200" s="2">
        <f t="shared" si="116"/>
        <v>0</v>
      </c>
      <c r="AE200" s="2">
        <f t="shared" si="117"/>
        <v>0.20999999999999996</v>
      </c>
      <c r="AF200" s="45">
        <f t="shared" si="118"/>
        <v>0.1327642222061528</v>
      </c>
      <c r="AH200" s="34">
        <v>0.16386213909167979</v>
      </c>
      <c r="AI200" s="34">
        <f t="shared" si="119"/>
        <v>0.15656050047576747</v>
      </c>
      <c r="AJ200" s="34">
        <f t="shared" si="120"/>
        <v>-7.3016386159123203E-3</v>
      </c>
      <c r="AK200" s="34">
        <f t="shared" si="121"/>
        <v>7.3016386159123203E-3</v>
      </c>
      <c r="AL200" s="41">
        <f t="shared" si="122"/>
        <v>4.4559644200830931E-2</v>
      </c>
      <c r="AN200">
        <f t="shared" si="125"/>
        <v>10</v>
      </c>
      <c r="AO200">
        <f t="shared" si="126"/>
        <v>9</v>
      </c>
      <c r="AP200">
        <f t="shared" si="123"/>
        <v>1</v>
      </c>
      <c r="AQ200">
        <f t="shared" si="124"/>
        <v>1</v>
      </c>
    </row>
    <row r="201" spans="1:43">
      <c r="A201" s="1" t="s">
        <v>6</v>
      </c>
      <c r="B201" s="1" t="s">
        <v>375</v>
      </c>
      <c r="C201" t="e">
        <f>NA()</f>
        <v>#N/A</v>
      </c>
      <c r="D201" s="39">
        <v>1.4402465348766951</v>
      </c>
      <c r="E201" s="2">
        <v>49.35</v>
      </c>
      <c r="F201" s="41">
        <v>1.4088099734792379E-2</v>
      </c>
      <c r="G201" s="2">
        <v>0.58748301730757879</v>
      </c>
      <c r="H201" s="34">
        <v>0.75319096649422035</v>
      </c>
      <c r="I201" s="34"/>
      <c r="J201" s="35">
        <v>7.6371767245663138</v>
      </c>
      <c r="K201" s="35">
        <v>36.516052617177536</v>
      </c>
      <c r="L201">
        <v>0</v>
      </c>
      <c r="M201" s="35">
        <v>55.037951069961153</v>
      </c>
      <c r="N201">
        <v>0</v>
      </c>
      <c r="O201">
        <v>4.1500000000000004</v>
      </c>
      <c r="Q201" s="1" t="s">
        <v>6</v>
      </c>
      <c r="R201" s="1" t="s">
        <v>375</v>
      </c>
      <c r="S201" s="2" t="e">
        <f t="shared" si="127"/>
        <v>#N/A</v>
      </c>
      <c r="T201" s="2">
        <f t="shared" si="128"/>
        <v>0.35597534651233054</v>
      </c>
      <c r="U201" s="2">
        <f t="shared" si="129"/>
        <v>0.50649999999999995</v>
      </c>
      <c r="V201" s="2">
        <f t="shared" si="130"/>
        <v>2.8176199469584759E-2</v>
      </c>
      <c r="W201" s="2">
        <f t="shared" si="131"/>
        <v>0.58748301730757879</v>
      </c>
      <c r="X201" s="2">
        <f t="shared" si="132"/>
        <v>0</v>
      </c>
      <c r="Y201" s="9">
        <f t="shared" si="111"/>
        <v>0.29562691265789881</v>
      </c>
      <c r="Z201" s="2">
        <f t="shared" si="112"/>
        <v>0</v>
      </c>
      <c r="AA201" s="2">
        <f t="shared" si="113"/>
        <v>0.45645065771471921</v>
      </c>
      <c r="AB201" s="2">
        <f t="shared" si="114"/>
        <v>0</v>
      </c>
      <c r="AC201" s="2">
        <f t="shared" si="115"/>
        <v>0.27518975534980578</v>
      </c>
      <c r="AD201" s="2">
        <f t="shared" si="116"/>
        <v>0</v>
      </c>
      <c r="AE201" s="2">
        <f t="shared" si="117"/>
        <v>0.16999999999999993</v>
      </c>
      <c r="AF201" s="45">
        <f t="shared" si="118"/>
        <v>0.15027340217742083</v>
      </c>
      <c r="AH201" s="34">
        <v>0.18054363107450833</v>
      </c>
      <c r="AI201" s="34">
        <f t="shared" si="119"/>
        <v>0.19179491777549199</v>
      </c>
      <c r="AJ201" s="34">
        <f t="shared" si="120"/>
        <v>1.1251286700983659E-2</v>
      </c>
      <c r="AK201" s="34">
        <f t="shared" si="121"/>
        <v>1.1251286700983659E-2</v>
      </c>
      <c r="AL201" s="41">
        <f t="shared" si="122"/>
        <v>6.2318934398413531E-2</v>
      </c>
      <c r="AN201">
        <f t="shared" si="125"/>
        <v>15</v>
      </c>
      <c r="AO201">
        <f t="shared" si="126"/>
        <v>19</v>
      </c>
      <c r="AP201">
        <f t="shared" si="123"/>
        <v>-4</v>
      </c>
      <c r="AQ201">
        <f t="shared" si="124"/>
        <v>4</v>
      </c>
    </row>
    <row r="202" spans="1:43">
      <c r="A202" s="1" t="s">
        <v>10</v>
      </c>
      <c r="B202" s="1" t="s">
        <v>376</v>
      </c>
      <c r="C202" t="e">
        <f>NA()</f>
        <v>#N/A</v>
      </c>
      <c r="D202" s="39">
        <v>5.2796398279584178</v>
      </c>
      <c r="E202" s="2">
        <v>1.47</v>
      </c>
      <c r="F202" s="41">
        <v>9.5611080948082197E-2</v>
      </c>
      <c r="G202" s="2">
        <v>0.31093077509288125</v>
      </c>
      <c r="H202" s="34">
        <v>0.42083947065588256</v>
      </c>
      <c r="I202" s="34"/>
      <c r="J202" s="35">
        <v>52.653563297718186</v>
      </c>
      <c r="K202" s="35">
        <v>21.500084428299118</v>
      </c>
      <c r="L202">
        <v>0</v>
      </c>
      <c r="M202" s="35">
        <v>31.12141650474884</v>
      </c>
      <c r="N202">
        <v>0.28999999999999998</v>
      </c>
      <c r="O202">
        <v>2.58</v>
      </c>
      <c r="Q202" s="1" t="s">
        <v>10</v>
      </c>
      <c r="R202" s="1" t="s">
        <v>376</v>
      </c>
      <c r="S202" s="2" t="e">
        <f t="shared" si="127"/>
        <v>#N/A</v>
      </c>
      <c r="T202" s="2">
        <f t="shared" si="128"/>
        <v>0</v>
      </c>
      <c r="U202" s="2">
        <f t="shared" si="129"/>
        <v>0.98529999999999995</v>
      </c>
      <c r="V202" s="2">
        <f t="shared" si="130"/>
        <v>0.19122216189616439</v>
      </c>
      <c r="W202" s="2">
        <f t="shared" si="131"/>
        <v>0.31093077509288125</v>
      </c>
      <c r="X202" s="2">
        <f t="shared" si="132"/>
        <v>0.29860088224019565</v>
      </c>
      <c r="Y202" s="9">
        <f t="shared" si="111"/>
        <v>0.35721076384584827</v>
      </c>
      <c r="Z202" s="2">
        <f t="shared" si="112"/>
        <v>0.60933661853883125</v>
      </c>
      <c r="AA202" s="2">
        <f t="shared" si="113"/>
        <v>0.268751055353739</v>
      </c>
      <c r="AB202" s="2">
        <f t="shared" si="114"/>
        <v>0</v>
      </c>
      <c r="AC202" s="2">
        <f t="shared" si="115"/>
        <v>0.15560708252374419</v>
      </c>
      <c r="AD202" s="2">
        <f t="shared" si="116"/>
        <v>2.8999999999999998E-2</v>
      </c>
      <c r="AE202" s="2">
        <f t="shared" si="117"/>
        <v>0.48399999999999999</v>
      </c>
      <c r="AF202" s="45">
        <f t="shared" si="118"/>
        <v>0.25778245940271904</v>
      </c>
      <c r="AH202" s="34">
        <v>0.18580276801468162</v>
      </c>
      <c r="AI202" s="34">
        <f t="shared" si="119"/>
        <v>0.22262900022851181</v>
      </c>
      <c r="AJ202" s="34">
        <f t="shared" si="120"/>
        <v>3.682623221383019E-2</v>
      </c>
      <c r="AK202" s="34">
        <f t="shared" si="121"/>
        <v>3.682623221383019E-2</v>
      </c>
      <c r="AL202" s="41">
        <f t="shared" si="122"/>
        <v>0.19820066518557078</v>
      </c>
      <c r="AN202">
        <f t="shared" si="125"/>
        <v>17</v>
      </c>
      <c r="AO202">
        <f t="shared" si="126"/>
        <v>36</v>
      </c>
      <c r="AP202">
        <f t="shared" si="123"/>
        <v>-19</v>
      </c>
      <c r="AQ202">
        <f t="shared" si="124"/>
        <v>19</v>
      </c>
    </row>
    <row r="203" spans="1:43">
      <c r="A203" s="1" t="s">
        <v>139</v>
      </c>
      <c r="B203" s="1" t="s">
        <v>377</v>
      </c>
      <c r="C203" t="e">
        <f>NA()</f>
        <v>#N/A</v>
      </c>
      <c r="D203" s="39">
        <v>0.30055544949934887</v>
      </c>
      <c r="E203" s="2">
        <v>12.88</v>
      </c>
      <c r="F203" s="41">
        <v>0.43023801412257284</v>
      </c>
      <c r="G203" s="2">
        <v>0.39435474981760893</v>
      </c>
      <c r="H203" s="34">
        <v>0.12555228258508833</v>
      </c>
      <c r="I203" s="34"/>
      <c r="J203" s="35">
        <v>21.264653434898761</v>
      </c>
      <c r="K203" s="35">
        <v>31.300082873071094</v>
      </c>
      <c r="L203" t="e">
        <v>#N/A</v>
      </c>
      <c r="M203" s="35">
        <v>7.7121555968837283</v>
      </c>
      <c r="N203">
        <v>5.4</v>
      </c>
      <c r="O203">
        <v>2.54</v>
      </c>
      <c r="Q203" s="1" t="s">
        <v>139</v>
      </c>
      <c r="R203" s="1" t="s">
        <v>377</v>
      </c>
      <c r="S203" s="2" t="e">
        <f t="shared" si="127"/>
        <v>#N/A</v>
      </c>
      <c r="T203" s="2">
        <f t="shared" si="128"/>
        <v>0.4699444550500651</v>
      </c>
      <c r="U203" s="2">
        <f t="shared" si="129"/>
        <v>0.87119999999999997</v>
      </c>
      <c r="V203" s="2">
        <f t="shared" si="130"/>
        <v>0.86047602824514569</v>
      </c>
      <c r="W203" s="2">
        <f t="shared" si="131"/>
        <v>0.39435474981760893</v>
      </c>
      <c r="X203" s="2">
        <f t="shared" si="132"/>
        <v>0.79074619569151938</v>
      </c>
      <c r="Y203" s="9">
        <f t="shared" si="111"/>
        <v>0.6773442857608678</v>
      </c>
      <c r="Z203" s="2">
        <f t="shared" si="112"/>
        <v>0.16092362049855374</v>
      </c>
      <c r="AA203" s="2">
        <f t="shared" si="113"/>
        <v>0.39125103591338867</v>
      </c>
      <c r="AB203" s="2" t="e">
        <f t="shared" si="114"/>
        <v>#N/A</v>
      </c>
      <c r="AC203" s="2">
        <f t="shared" si="115"/>
        <v>3.8560777984418641E-2</v>
      </c>
      <c r="AD203" s="2">
        <f t="shared" si="116"/>
        <v>0.54</v>
      </c>
      <c r="AE203" s="2">
        <f t="shared" si="117"/>
        <v>0.49199999999999999</v>
      </c>
      <c r="AF203" s="45">
        <f t="shared" si="118"/>
        <v>0.32454708687927225</v>
      </c>
      <c r="AH203" s="34">
        <v>0.23664226603738905</v>
      </c>
      <c r="AI203" s="34">
        <f t="shared" si="119"/>
        <v>0.31466909528506604</v>
      </c>
      <c r="AJ203" s="34">
        <f t="shared" si="120"/>
        <v>7.8026829247676982E-2</v>
      </c>
      <c r="AK203" s="34">
        <f t="shared" si="121"/>
        <v>7.8026829247676982E-2</v>
      </c>
      <c r="AL203" s="41">
        <f t="shared" si="122"/>
        <v>0.32972482284863214</v>
      </c>
      <c r="AN203">
        <f t="shared" si="125"/>
        <v>47</v>
      </c>
      <c r="AO203">
        <f t="shared" si="126"/>
        <v>82</v>
      </c>
      <c r="AP203">
        <f t="shared" si="123"/>
        <v>-35</v>
      </c>
      <c r="AQ203">
        <f t="shared" si="124"/>
        <v>35</v>
      </c>
    </row>
    <row r="204" spans="1:43">
      <c r="A204" s="1" t="s">
        <v>168</v>
      </c>
      <c r="B204" s="1" t="s">
        <v>378</v>
      </c>
      <c r="C204" t="e">
        <f>NA()</f>
        <v>#N/A</v>
      </c>
      <c r="D204" s="39" t="e">
        <v>#N/A</v>
      </c>
      <c r="E204" s="2">
        <v>24.59</v>
      </c>
      <c r="F204" s="41">
        <v>0.24050612683427802</v>
      </c>
      <c r="G204" s="2">
        <v>0.54371594986710581</v>
      </c>
      <c r="H204" s="34">
        <v>0.18618065804543404</v>
      </c>
      <c r="I204" s="34"/>
      <c r="J204" s="35">
        <v>74.112864980252027</v>
      </c>
      <c r="K204" s="35">
        <v>0</v>
      </c>
      <c r="L204" t="e">
        <v>#N/A</v>
      </c>
      <c r="M204" s="35">
        <v>66.809535742330112</v>
      </c>
      <c r="N204">
        <v>1.1499999999999999</v>
      </c>
      <c r="O204" t="e">
        <v>#N/A</v>
      </c>
      <c r="Q204" s="1" t="s">
        <v>168</v>
      </c>
      <c r="R204" s="1" t="s">
        <v>378</v>
      </c>
      <c r="S204" s="2" t="e">
        <f t="shared" si="127"/>
        <v>#N/A</v>
      </c>
      <c r="T204" s="2" t="e">
        <f t="shared" si="128"/>
        <v>#N/A</v>
      </c>
      <c r="U204" s="2">
        <f t="shared" si="129"/>
        <v>0.75409999999999999</v>
      </c>
      <c r="V204" s="2">
        <f t="shared" si="130"/>
        <v>0.48101225366855604</v>
      </c>
      <c r="W204" s="2">
        <f t="shared" si="131"/>
        <v>0.54371594986710581</v>
      </c>
      <c r="X204" s="2">
        <f t="shared" si="132"/>
        <v>0.68969890325760996</v>
      </c>
      <c r="Y204" s="9">
        <f t="shared" si="111"/>
        <v>0.61713177669831798</v>
      </c>
      <c r="Z204" s="2">
        <f t="shared" si="112"/>
        <v>0.91589807114645749</v>
      </c>
      <c r="AA204" s="2">
        <f t="shared" si="113"/>
        <v>0</v>
      </c>
      <c r="AB204" s="2" t="e">
        <f t="shared" si="114"/>
        <v>#N/A</v>
      </c>
      <c r="AC204" s="2">
        <f t="shared" si="115"/>
        <v>0.33404767871165059</v>
      </c>
      <c r="AD204" s="2">
        <f t="shared" si="116"/>
        <v>0.11499999999999999</v>
      </c>
      <c r="AE204" s="2" t="e">
        <f t="shared" si="117"/>
        <v>#N/A</v>
      </c>
      <c r="AF204" s="45">
        <f t="shared" si="118"/>
        <v>0.34123643746452703</v>
      </c>
      <c r="AH204" s="34">
        <v>0.40884989618379097</v>
      </c>
      <c r="AI204" s="34">
        <f t="shared" si="119"/>
        <v>0.427013571905421</v>
      </c>
      <c r="AJ204" s="34">
        <f t="shared" si="120"/>
        <v>1.8163675721630024E-2</v>
      </c>
      <c r="AK204" s="34">
        <f t="shared" si="121"/>
        <v>1.8163675721630024E-2</v>
      </c>
      <c r="AL204" s="41">
        <f t="shared" si="122"/>
        <v>4.4426269619168193E-2</v>
      </c>
      <c r="AN204">
        <f t="shared" si="125"/>
        <v>128</v>
      </c>
      <c r="AO204">
        <f t="shared" si="126"/>
        <v>127</v>
      </c>
      <c r="AP204">
        <f t="shared" si="123"/>
        <v>1</v>
      </c>
      <c r="AQ204">
        <f t="shared" si="124"/>
        <v>1</v>
      </c>
    </row>
    <row r="205" spans="1:43">
      <c r="A205" s="1" t="s">
        <v>9</v>
      </c>
      <c r="B205" s="1" t="s">
        <v>379</v>
      </c>
      <c r="C205" t="e">
        <f>NA()</f>
        <v>#N/A</v>
      </c>
      <c r="D205" s="39">
        <v>1.338794662617574</v>
      </c>
      <c r="E205" s="2">
        <v>100</v>
      </c>
      <c r="F205" s="41">
        <v>9.2798641396126355E-2</v>
      </c>
      <c r="G205" s="2">
        <v>0.35007905738447503</v>
      </c>
      <c r="H205" s="34">
        <v>0.44538537047916493</v>
      </c>
      <c r="I205" s="34"/>
      <c r="J205" s="35">
        <v>11.40041528986908</v>
      </c>
      <c r="K205" s="35">
        <v>33.952813995224815</v>
      </c>
      <c r="L205">
        <v>32</v>
      </c>
      <c r="M205" s="35">
        <v>23.036626738610451</v>
      </c>
      <c r="N205">
        <v>8.27</v>
      </c>
      <c r="O205">
        <v>2.44</v>
      </c>
      <c r="Q205" s="1" t="s">
        <v>9</v>
      </c>
      <c r="R205" s="1" t="s">
        <v>379</v>
      </c>
      <c r="S205" s="2" t="e">
        <f t="shared" si="127"/>
        <v>#N/A</v>
      </c>
      <c r="T205" s="2">
        <f t="shared" si="128"/>
        <v>0.3661205337382426</v>
      </c>
      <c r="U205" s="2">
        <f t="shared" si="129"/>
        <v>0</v>
      </c>
      <c r="V205" s="2">
        <f t="shared" si="130"/>
        <v>0.18559728279225271</v>
      </c>
      <c r="W205" s="2">
        <f t="shared" si="131"/>
        <v>0.35007905738447503</v>
      </c>
      <c r="X205" s="2">
        <f t="shared" si="132"/>
        <v>0.25769104920139174</v>
      </c>
      <c r="Y205" s="9">
        <f t="shared" si="111"/>
        <v>0.23189758462327242</v>
      </c>
      <c r="Z205" s="2">
        <f t="shared" si="112"/>
        <v>2.0005932712415436E-2</v>
      </c>
      <c r="AA205" s="2">
        <f t="shared" si="113"/>
        <v>0.42441017494031019</v>
      </c>
      <c r="AB205" s="2">
        <f t="shared" si="114"/>
        <v>0.45714285714285713</v>
      </c>
      <c r="AC205" s="2">
        <f t="shared" si="115"/>
        <v>0.11518313369305226</v>
      </c>
      <c r="AD205" s="2">
        <f t="shared" si="116"/>
        <v>0.82699999999999996</v>
      </c>
      <c r="AE205" s="2">
        <f t="shared" si="117"/>
        <v>0.51200000000000001</v>
      </c>
      <c r="AF205" s="45">
        <f t="shared" si="118"/>
        <v>0.39262368308143919</v>
      </c>
      <c r="AH205" s="34">
        <v>0.22441711028689174</v>
      </c>
      <c r="AI205" s="34">
        <f t="shared" si="119"/>
        <v>0.25432116195686855</v>
      </c>
      <c r="AJ205" s="34">
        <f t="shared" si="120"/>
        <v>2.9904051669976811E-2</v>
      </c>
      <c r="AK205" s="34">
        <f t="shared" si="121"/>
        <v>2.9904051669976811E-2</v>
      </c>
      <c r="AL205" s="41">
        <f t="shared" si="122"/>
        <v>0.13325210199769477</v>
      </c>
      <c r="AN205">
        <f t="shared" si="125"/>
        <v>40</v>
      </c>
      <c r="AO205">
        <f t="shared" si="126"/>
        <v>48</v>
      </c>
      <c r="AP205">
        <f t="shared" si="123"/>
        <v>-8</v>
      </c>
      <c r="AQ205">
        <f t="shared" si="124"/>
        <v>8</v>
      </c>
    </row>
    <row r="206" spans="1:43">
      <c r="A206" s="1" t="s">
        <v>160</v>
      </c>
      <c r="B206" s="1" t="s">
        <v>380</v>
      </c>
      <c r="C206" t="e">
        <f>NA()</f>
        <v>#N/A</v>
      </c>
      <c r="D206" s="39">
        <v>-9.2770247961555308E-2</v>
      </c>
      <c r="E206" s="2">
        <v>36.65</v>
      </c>
      <c r="F206" s="41">
        <v>0.29302395526630987</v>
      </c>
      <c r="G206" s="2">
        <v>0.76472883593510688</v>
      </c>
      <c r="H206" s="34">
        <v>0.21060382885240636</v>
      </c>
      <c r="I206" s="34"/>
      <c r="J206" s="35">
        <v>24.631214402042275</v>
      </c>
      <c r="K206" s="35">
        <v>50.159074626202703</v>
      </c>
      <c r="L206">
        <v>35.200000000000003</v>
      </c>
      <c r="M206" s="35">
        <v>159.39596293438177</v>
      </c>
      <c r="N206">
        <v>3.6</v>
      </c>
      <c r="O206">
        <v>2.56</v>
      </c>
      <c r="Q206" s="1" t="s">
        <v>160</v>
      </c>
      <c r="R206" s="1" t="s">
        <v>380</v>
      </c>
      <c r="S206" s="2" t="e">
        <f t="shared" si="127"/>
        <v>#N/A</v>
      </c>
      <c r="T206" s="2">
        <f t="shared" si="128"/>
        <v>0.50927702479615555</v>
      </c>
      <c r="U206" s="2">
        <f t="shared" si="129"/>
        <v>0.63349999999999995</v>
      </c>
      <c r="V206" s="2">
        <f t="shared" si="130"/>
        <v>0.58604791053261973</v>
      </c>
      <c r="W206" s="2">
        <f t="shared" si="131"/>
        <v>0.76472883593510688</v>
      </c>
      <c r="X206" s="2">
        <f t="shared" si="132"/>
        <v>0.6489936185793227</v>
      </c>
      <c r="Y206" s="9">
        <f t="shared" si="111"/>
        <v>0.62850947796864098</v>
      </c>
      <c r="Z206" s="2">
        <f t="shared" si="112"/>
        <v>0.20901734860060392</v>
      </c>
      <c r="AA206" s="2">
        <f t="shared" si="113"/>
        <v>0.6269884328275338</v>
      </c>
      <c r="AB206" s="2">
        <f t="shared" si="114"/>
        <v>0.50285714285714289</v>
      </c>
      <c r="AC206" s="2">
        <f t="shared" si="115"/>
        <v>0.79697981467190881</v>
      </c>
      <c r="AD206" s="2">
        <f t="shared" si="116"/>
        <v>0.36</v>
      </c>
      <c r="AE206" s="2">
        <f t="shared" si="117"/>
        <v>0.48799999999999999</v>
      </c>
      <c r="AF206" s="45">
        <f t="shared" si="118"/>
        <v>0.49730712315953157</v>
      </c>
      <c r="AH206" s="34">
        <v>0.27016880610970867</v>
      </c>
      <c r="AI206" s="34">
        <f t="shared" si="119"/>
        <v>0.36029832786952581</v>
      </c>
      <c r="AJ206" s="34">
        <f t="shared" si="120"/>
        <v>9.0129521759817144E-2</v>
      </c>
      <c r="AK206" s="34">
        <f t="shared" si="121"/>
        <v>9.0129521759817144E-2</v>
      </c>
      <c r="AL206" s="41">
        <f t="shared" si="122"/>
        <v>0.33360447143264144</v>
      </c>
      <c r="AN206">
        <f t="shared" si="125"/>
        <v>78</v>
      </c>
      <c r="AO206">
        <f t="shared" si="126"/>
        <v>108</v>
      </c>
      <c r="AP206">
        <f t="shared" si="123"/>
        <v>-30</v>
      </c>
      <c r="AQ206">
        <f t="shared" si="124"/>
        <v>30</v>
      </c>
    </row>
    <row r="207" spans="1:43">
      <c r="A207" s="1" t="s">
        <v>153</v>
      </c>
      <c r="B207" s="1" t="s">
        <v>381</v>
      </c>
      <c r="C207" t="e">
        <f>NA()</f>
        <v>#N/A</v>
      </c>
      <c r="D207" s="39">
        <v>1.5861581073712605E-2</v>
      </c>
      <c r="E207" s="2">
        <v>0.56000000000000005</v>
      </c>
      <c r="F207" s="41" t="e">
        <v>#N/A</v>
      </c>
      <c r="G207" s="2">
        <v>0.36713318135422596</v>
      </c>
      <c r="H207" s="34">
        <v>0.20655375522062935</v>
      </c>
      <c r="I207" s="34"/>
      <c r="J207" s="35">
        <v>30.6201467935519</v>
      </c>
      <c r="K207" s="35">
        <v>24.57114393312769</v>
      </c>
      <c r="L207">
        <v>76.8</v>
      </c>
      <c r="M207" s="35">
        <v>60.202048367267849</v>
      </c>
      <c r="N207">
        <v>13.23</v>
      </c>
      <c r="O207">
        <v>2.35</v>
      </c>
      <c r="Q207" s="1" t="s">
        <v>153</v>
      </c>
      <c r="R207" s="1" t="s">
        <v>381</v>
      </c>
      <c r="S207" s="2" t="e">
        <f t="shared" si="127"/>
        <v>#N/A</v>
      </c>
      <c r="T207" s="2">
        <f t="shared" si="128"/>
        <v>0.49841384189262872</v>
      </c>
      <c r="U207" s="2">
        <f t="shared" si="129"/>
        <v>0.99439999999999995</v>
      </c>
      <c r="V207" s="2" t="e">
        <f t="shared" si="130"/>
        <v>#N/A</v>
      </c>
      <c r="W207" s="2">
        <f t="shared" si="131"/>
        <v>0.36713318135422596</v>
      </c>
      <c r="X207" s="2">
        <f t="shared" si="132"/>
        <v>0.65574374129895108</v>
      </c>
      <c r="Y207" s="9">
        <f t="shared" si="111"/>
        <v>0.62892269113645138</v>
      </c>
      <c r="Z207" s="2">
        <f t="shared" si="112"/>
        <v>0.29457352562216998</v>
      </c>
      <c r="AA207" s="2">
        <f t="shared" si="113"/>
        <v>0.3071392991640961</v>
      </c>
      <c r="AB207" s="2">
        <f t="shared" si="114"/>
        <v>1</v>
      </c>
      <c r="AC207" s="2">
        <f t="shared" si="115"/>
        <v>0.30101024183633923</v>
      </c>
      <c r="AD207" s="2">
        <f t="shared" si="116"/>
        <v>1</v>
      </c>
      <c r="AE207" s="2">
        <f t="shared" si="117"/>
        <v>0.53</v>
      </c>
      <c r="AF207" s="45">
        <f t="shared" si="118"/>
        <v>0.5721205111037676</v>
      </c>
      <c r="AH207" s="34">
        <v>0.47087801862313006</v>
      </c>
      <c r="AI207" s="34">
        <f t="shared" si="119"/>
        <v>0.51081168483599959</v>
      </c>
      <c r="AJ207" s="34">
        <f t="shared" si="120"/>
        <v>3.9933666212869534E-2</v>
      </c>
      <c r="AK207" s="34">
        <f t="shared" si="121"/>
        <v>3.9933666212869534E-2</v>
      </c>
      <c r="AL207" s="41">
        <f t="shared" si="122"/>
        <v>8.4806817548284563E-2</v>
      </c>
      <c r="AN207">
        <f t="shared" si="125"/>
        <v>154</v>
      </c>
      <c r="AO207">
        <f t="shared" si="126"/>
        <v>159</v>
      </c>
      <c r="AP207">
        <f t="shared" si="123"/>
        <v>-5</v>
      </c>
      <c r="AQ207">
        <f t="shared" si="124"/>
        <v>5</v>
      </c>
    </row>
    <row r="208" spans="1:43">
      <c r="A208" s="1" t="s">
        <v>145</v>
      </c>
      <c r="B208" s="1" t="s">
        <v>382</v>
      </c>
      <c r="C208" t="e">
        <f>NA()</f>
        <v>#N/A</v>
      </c>
      <c r="D208" s="39">
        <v>1.4715371733198119</v>
      </c>
      <c r="E208" s="2">
        <v>0.14016089527598477</v>
      </c>
      <c r="F208" s="41">
        <v>0.18265053118024951</v>
      </c>
      <c r="G208" s="2">
        <v>0.16102775791793172</v>
      </c>
      <c r="H208" s="34">
        <v>0.1903534606935211</v>
      </c>
      <c r="I208" s="34"/>
      <c r="J208" s="35">
        <v>31.437584098415204</v>
      </c>
      <c r="K208" s="35">
        <v>8.4000035543166103</v>
      </c>
      <c r="L208">
        <v>57.3</v>
      </c>
      <c r="M208" s="35">
        <v>24.865045923561553</v>
      </c>
      <c r="N208">
        <v>3.65</v>
      </c>
      <c r="O208">
        <v>1.83</v>
      </c>
      <c r="Q208" s="1" t="s">
        <v>145</v>
      </c>
      <c r="R208" s="1" t="s">
        <v>382</v>
      </c>
      <c r="S208" s="2" t="e">
        <f t="shared" si="127"/>
        <v>#N/A</v>
      </c>
      <c r="T208" s="2">
        <f t="shared" si="128"/>
        <v>0.35284628266801887</v>
      </c>
      <c r="U208" s="2">
        <f t="shared" si="129"/>
        <v>0.99859839104724013</v>
      </c>
      <c r="V208" s="2">
        <f t="shared" si="130"/>
        <v>0.36530106236049903</v>
      </c>
      <c r="W208" s="2">
        <f t="shared" si="131"/>
        <v>0.16102775791793172</v>
      </c>
      <c r="X208" s="2">
        <f t="shared" si="132"/>
        <v>0.68274423217746483</v>
      </c>
      <c r="Y208" s="9">
        <f t="shared" si="111"/>
        <v>0.51210354523423096</v>
      </c>
      <c r="Z208" s="2">
        <f t="shared" si="112"/>
        <v>0.30625120140593148</v>
      </c>
      <c r="AA208" s="2">
        <f t="shared" si="113"/>
        <v>0.10500004442895763</v>
      </c>
      <c r="AB208" s="2">
        <f t="shared" si="114"/>
        <v>0.81857142857142851</v>
      </c>
      <c r="AC208" s="2">
        <f t="shared" si="115"/>
        <v>0.12432522961780776</v>
      </c>
      <c r="AD208" s="2">
        <f t="shared" si="116"/>
        <v>0.36499999999999999</v>
      </c>
      <c r="AE208" s="2">
        <f t="shared" si="117"/>
        <v>0.63400000000000001</v>
      </c>
      <c r="AF208" s="45">
        <f t="shared" si="118"/>
        <v>0.39219131733735418</v>
      </c>
      <c r="AH208" s="34">
        <v>0.53218719446422769</v>
      </c>
      <c r="AI208" s="34">
        <f t="shared" si="119"/>
        <v>0.5053188084953355</v>
      </c>
      <c r="AJ208" s="34">
        <f t="shared" si="120"/>
        <v>-2.6868385968892183E-2</v>
      </c>
      <c r="AK208" s="34">
        <f t="shared" si="121"/>
        <v>2.6868385968892183E-2</v>
      </c>
      <c r="AL208" s="41">
        <f t="shared" si="122"/>
        <v>5.0486720177364601E-2</v>
      </c>
      <c r="AN208">
        <f t="shared" si="125"/>
        <v>177</v>
      </c>
      <c r="AO208">
        <f t="shared" si="126"/>
        <v>155</v>
      </c>
      <c r="AP208">
        <f t="shared" si="123"/>
        <v>22</v>
      </c>
      <c r="AQ208">
        <f t="shared" si="124"/>
        <v>22</v>
      </c>
    </row>
    <row r="209" spans="1:43">
      <c r="A209" s="1" t="s">
        <v>138</v>
      </c>
      <c r="B209" s="1" t="s">
        <v>383</v>
      </c>
      <c r="C209" t="e">
        <f>NA()</f>
        <v>#N/A</v>
      </c>
      <c r="D209" s="39">
        <v>-0.16742788201415049</v>
      </c>
      <c r="E209" s="2">
        <v>0.17234982955506969</v>
      </c>
      <c r="F209" s="41">
        <v>0.37894703096861088</v>
      </c>
      <c r="G209" s="2">
        <v>0.18864757056577322</v>
      </c>
      <c r="H209" s="34">
        <v>0.16200294527108183</v>
      </c>
      <c r="I209" s="34"/>
      <c r="J209" s="35">
        <v>33.886585859716817</v>
      </c>
      <c r="K209" s="35">
        <v>20.600084572727514</v>
      </c>
      <c r="L209">
        <v>24.1</v>
      </c>
      <c r="M209" s="35">
        <v>162.04643186866053</v>
      </c>
      <c r="N209" t="e">
        <v>#N/A</v>
      </c>
      <c r="O209">
        <v>1.87</v>
      </c>
      <c r="Q209" s="1" t="s">
        <v>138</v>
      </c>
      <c r="R209" s="1" t="s">
        <v>383</v>
      </c>
      <c r="S209" s="2" t="e">
        <f t="shared" si="127"/>
        <v>#N/A</v>
      </c>
      <c r="T209" s="2">
        <f t="shared" si="128"/>
        <v>0.51674278820141506</v>
      </c>
      <c r="U209" s="2">
        <f t="shared" si="129"/>
        <v>0.99827650170444926</v>
      </c>
      <c r="V209" s="2">
        <f t="shared" si="130"/>
        <v>0.75789406193722175</v>
      </c>
      <c r="W209" s="2">
        <f t="shared" si="131"/>
        <v>0.18864757056577322</v>
      </c>
      <c r="X209" s="2">
        <f t="shared" si="132"/>
        <v>0.72999509121486361</v>
      </c>
      <c r="Y209" s="9">
        <f t="shared" si="111"/>
        <v>0.63831120272474462</v>
      </c>
      <c r="Z209" s="2">
        <f t="shared" si="112"/>
        <v>0.34123694085309736</v>
      </c>
      <c r="AA209" s="2">
        <f t="shared" si="113"/>
        <v>0.25750105715909394</v>
      </c>
      <c r="AB209" s="2">
        <f t="shared" si="114"/>
        <v>0.34428571428571431</v>
      </c>
      <c r="AC209" s="2">
        <f t="shared" si="115"/>
        <v>0.81023215934330262</v>
      </c>
      <c r="AD209" s="2" t="e">
        <f t="shared" si="116"/>
        <v>#N/A</v>
      </c>
      <c r="AE209" s="2">
        <f t="shared" si="117"/>
        <v>0.626</v>
      </c>
      <c r="AF209" s="45">
        <f t="shared" si="118"/>
        <v>0.47585117432824164</v>
      </c>
      <c r="AH209" s="34">
        <v>0.44705814048574682</v>
      </c>
      <c r="AI209" s="34">
        <f t="shared" si="119"/>
        <v>0.47931595517860281</v>
      </c>
      <c r="AJ209" s="34">
        <f t="shared" si="120"/>
        <v>3.2257814692855991E-2</v>
      </c>
      <c r="AK209" s="34">
        <f t="shared" si="121"/>
        <v>3.2257814692855991E-2</v>
      </c>
      <c r="AL209" s="41">
        <f t="shared" si="122"/>
        <v>7.2155748372698378E-2</v>
      </c>
      <c r="AN209">
        <f t="shared" si="125"/>
        <v>145</v>
      </c>
      <c r="AO209">
        <f t="shared" si="126"/>
        <v>143</v>
      </c>
      <c r="AP209">
        <f t="shared" si="123"/>
        <v>2</v>
      </c>
      <c r="AQ209">
        <f t="shared" si="124"/>
        <v>2</v>
      </c>
    </row>
  </sheetData>
  <conditionalFormatting sqref="AP18:AP20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8:AK2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8:AJ2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800000"/>
  </sheetPr>
  <dimension ref="A1:AJ207"/>
  <sheetViews>
    <sheetView topLeftCell="E1" workbookViewId="0">
      <selection activeCell="N30" sqref="N30:N31"/>
    </sheetView>
  </sheetViews>
  <sheetFormatPr baseColWidth="10" defaultRowHeight="15" x14ac:dyDescent="0"/>
  <cols>
    <col min="2" max="2" width="24.83203125" customWidth="1"/>
    <col min="11" max="11" width="16.6640625" customWidth="1"/>
    <col min="12" max="12" width="17.1640625" customWidth="1"/>
    <col min="28" max="28" width="21.83203125" customWidth="1"/>
  </cols>
  <sheetData>
    <row r="1" spans="1:36">
      <c r="C1" s="34" t="e">
        <f>AVERAGE(C4:C184)</f>
        <v>#N/A</v>
      </c>
      <c r="D1" s="34" t="e">
        <f>AVERAGE(D4:D184)</f>
        <v>#N/A</v>
      </c>
      <c r="G1">
        <f t="array" ref="G1">AVERAGE(ABS(G4:G184))</f>
        <v>0</v>
      </c>
    </row>
    <row r="3" spans="1:36" ht="30">
      <c r="C3" s="13" t="s">
        <v>466</v>
      </c>
      <c r="D3" s="13" t="s">
        <v>465</v>
      </c>
      <c r="E3" s="13" t="s">
        <v>467</v>
      </c>
      <c r="F3" s="13" t="s">
        <v>491</v>
      </c>
      <c r="H3" s="13" t="s">
        <v>492</v>
      </c>
      <c r="I3" s="13" t="s">
        <v>493</v>
      </c>
      <c r="J3" s="13" t="s">
        <v>494</v>
      </c>
      <c r="K3" s="13" t="s">
        <v>495</v>
      </c>
      <c r="AA3" s="4"/>
      <c r="AB3" s="3"/>
      <c r="AC3" s="8" t="s">
        <v>396</v>
      </c>
      <c r="AD3" s="42" t="s">
        <v>460</v>
      </c>
    </row>
    <row r="4" spans="1:36">
      <c r="A4" s="1" t="s">
        <v>173</v>
      </c>
      <c r="B4" s="1" t="s">
        <v>192</v>
      </c>
      <c r="C4" s="34">
        <v>0.6267346017936577</v>
      </c>
      <c r="D4" s="34">
        <v>0.60707964681228643</v>
      </c>
      <c r="E4" s="34">
        <v>1.9654954981371264E-2</v>
      </c>
      <c r="F4" s="41">
        <v>3.1360890120188931E-2</v>
      </c>
      <c r="H4">
        <v>187</v>
      </c>
      <c r="I4">
        <v>183</v>
      </c>
      <c r="J4">
        <v>4</v>
      </c>
      <c r="K4">
        <v>4</v>
      </c>
      <c r="AA4" s="1" t="s">
        <v>44</v>
      </c>
      <c r="AB4" s="1" t="s">
        <v>255</v>
      </c>
      <c r="AC4" s="9">
        <v>0.1390787675948886</v>
      </c>
      <c r="AD4" s="45">
        <v>0</v>
      </c>
      <c r="AG4" s="1" t="s">
        <v>255</v>
      </c>
      <c r="AH4" s="45">
        <v>0</v>
      </c>
      <c r="AI4" s="1" t="s">
        <v>304</v>
      </c>
      <c r="AJ4" s="45">
        <v>0.58667219523662573</v>
      </c>
    </row>
    <row r="5" spans="1:36">
      <c r="A5" s="1" t="s">
        <v>123</v>
      </c>
      <c r="B5" s="1" t="s">
        <v>193</v>
      </c>
      <c r="C5" s="34">
        <v>0.29043285983258982</v>
      </c>
      <c r="D5" s="34">
        <v>0.33632138249690979</v>
      </c>
      <c r="E5" s="34">
        <v>4.5888522664319975E-2</v>
      </c>
      <c r="F5" s="41">
        <v>0.15800045039934826</v>
      </c>
      <c r="H5">
        <v>89</v>
      </c>
      <c r="I5">
        <v>93</v>
      </c>
      <c r="J5">
        <v>-4</v>
      </c>
      <c r="K5">
        <v>4</v>
      </c>
      <c r="AA5" s="1" t="s">
        <v>15</v>
      </c>
      <c r="AB5" s="1" t="s">
        <v>204</v>
      </c>
      <c r="AC5" s="9">
        <v>0.49624145068494979</v>
      </c>
      <c r="AD5" s="45">
        <v>2.1339828959423789E-2</v>
      </c>
      <c r="AG5" s="1" t="s">
        <v>204</v>
      </c>
      <c r="AH5" s="45">
        <v>2.1339828959423789E-2</v>
      </c>
      <c r="AI5" s="1" t="s">
        <v>211</v>
      </c>
      <c r="AJ5" s="45">
        <v>0.58802335566459163</v>
      </c>
    </row>
    <row r="6" spans="1:36">
      <c r="A6" s="1" t="s">
        <v>74</v>
      </c>
      <c r="B6" s="1" t="s">
        <v>194</v>
      </c>
      <c r="C6" s="34">
        <v>0.2695615286713004</v>
      </c>
      <c r="D6" s="34">
        <v>0.30941628846760849</v>
      </c>
      <c r="E6" s="34">
        <v>3.9854759796308092E-2</v>
      </c>
      <c r="F6" s="41">
        <v>0.14785032564831027</v>
      </c>
      <c r="H6">
        <v>77</v>
      </c>
      <c r="I6">
        <v>76</v>
      </c>
      <c r="J6">
        <v>1</v>
      </c>
      <c r="K6">
        <v>1</v>
      </c>
      <c r="AA6" s="1" t="s">
        <v>50</v>
      </c>
      <c r="AB6" s="1" t="s">
        <v>237</v>
      </c>
      <c r="AC6" s="9">
        <v>0.18477593984673377</v>
      </c>
      <c r="AD6" s="45">
        <v>3.0449560622350023E-2</v>
      </c>
      <c r="AG6" s="1" t="s">
        <v>237</v>
      </c>
      <c r="AH6" s="45">
        <v>3.0449560622350023E-2</v>
      </c>
      <c r="AI6" s="1" t="s">
        <v>310</v>
      </c>
      <c r="AJ6" s="45">
        <v>0.60404449164715113</v>
      </c>
    </row>
    <row r="7" spans="1:36">
      <c r="A7" s="1" t="s">
        <v>17</v>
      </c>
      <c r="B7" s="1" t="s">
        <v>195</v>
      </c>
      <c r="C7" s="34" t="e">
        <v>#N/A</v>
      </c>
      <c r="D7" s="34" t="e">
        <v>#N/A</v>
      </c>
      <c r="E7" s="34" t="e">
        <v>#N/A</v>
      </c>
      <c r="F7" s="41" t="e">
        <v>#N/A</v>
      </c>
      <c r="H7" t="e">
        <v>#VALUE!</v>
      </c>
      <c r="I7" t="e">
        <v>#VALUE!</v>
      </c>
      <c r="J7" t="e">
        <v>#VALUE!</v>
      </c>
      <c r="K7" t="e">
        <v>#VALUE!</v>
      </c>
      <c r="AA7" s="1" t="s">
        <v>4</v>
      </c>
      <c r="AB7" s="1" t="s">
        <v>208</v>
      </c>
      <c r="AC7" s="9">
        <v>0.20617381308505828</v>
      </c>
      <c r="AD7" s="45">
        <v>3.1828951527266738E-2</v>
      </c>
      <c r="AG7" s="1" t="s">
        <v>208</v>
      </c>
      <c r="AH7" s="45">
        <v>3.1828951527266738E-2</v>
      </c>
      <c r="AI7" s="1" t="s">
        <v>307</v>
      </c>
      <c r="AJ7" s="45">
        <v>0.61024342346907046</v>
      </c>
    </row>
    <row r="8" spans="1:36">
      <c r="A8" s="1" t="s">
        <v>98</v>
      </c>
      <c r="B8" s="1" t="s">
        <v>196</v>
      </c>
      <c r="C8" s="34">
        <v>0.53590000933455861</v>
      </c>
      <c r="D8" s="34">
        <v>0.53580467460350023</v>
      </c>
      <c r="E8" s="34">
        <v>9.5334731058382971E-5</v>
      </c>
      <c r="F8" s="41">
        <v>1.7789649075909266E-4</v>
      </c>
      <c r="H8">
        <v>180</v>
      </c>
      <c r="I8">
        <v>176</v>
      </c>
      <c r="J8">
        <v>4</v>
      </c>
      <c r="K8">
        <v>4</v>
      </c>
      <c r="AA8" s="1" t="s">
        <v>24</v>
      </c>
      <c r="AB8" s="1" t="s">
        <v>357</v>
      </c>
      <c r="AC8" s="9">
        <v>0.13287526955396842</v>
      </c>
      <c r="AD8" s="45">
        <v>3.5758576097176087E-2</v>
      </c>
      <c r="AG8" s="1" t="s">
        <v>357</v>
      </c>
      <c r="AH8" s="45">
        <v>3.5758576097176087E-2</v>
      </c>
      <c r="AI8" s="1" t="s">
        <v>218</v>
      </c>
      <c r="AJ8" s="45">
        <v>0.63549170649583819</v>
      </c>
    </row>
    <row r="9" spans="1:36">
      <c r="A9" s="1" t="s">
        <v>157</v>
      </c>
      <c r="B9" s="1" t="s">
        <v>197</v>
      </c>
      <c r="C9" s="34">
        <v>0.340510374560758</v>
      </c>
      <c r="D9" s="34">
        <v>0.35074503175938637</v>
      </c>
      <c r="E9" s="34">
        <v>1.0234657198628372E-2</v>
      </c>
      <c r="F9" s="41">
        <v>3.0056814603169103E-2</v>
      </c>
      <c r="H9">
        <v>112</v>
      </c>
      <c r="I9">
        <v>102</v>
      </c>
      <c r="J9">
        <v>10</v>
      </c>
      <c r="K9">
        <v>10</v>
      </c>
      <c r="AA9" s="1" t="s">
        <v>14</v>
      </c>
      <c r="AB9" s="1" t="s">
        <v>374</v>
      </c>
      <c r="AC9" s="9">
        <v>0.15155437250103732</v>
      </c>
      <c r="AD9" s="45">
        <v>3.5778590878360043E-2</v>
      </c>
      <c r="AG9" s="1" t="s">
        <v>374</v>
      </c>
      <c r="AH9" s="45">
        <v>3.5778590878360043E-2</v>
      </c>
      <c r="AI9" s="1" t="s">
        <v>287</v>
      </c>
      <c r="AJ9" s="45">
        <v>0.63947166054305205</v>
      </c>
    </row>
    <row r="10" spans="1:36">
      <c r="A10" s="1" t="s">
        <v>13</v>
      </c>
      <c r="B10" s="1" t="s">
        <v>198</v>
      </c>
      <c r="C10" s="34">
        <v>0.18650132751643278</v>
      </c>
      <c r="D10" s="34">
        <v>0.23306964316189799</v>
      </c>
      <c r="E10" s="34">
        <v>4.6568315645465208E-2</v>
      </c>
      <c r="F10" s="41">
        <v>0.2496942851056223</v>
      </c>
      <c r="H10">
        <v>19</v>
      </c>
      <c r="I10">
        <v>39</v>
      </c>
      <c r="J10">
        <v>-20</v>
      </c>
      <c r="K10">
        <v>20</v>
      </c>
      <c r="AA10" s="1" t="s">
        <v>92</v>
      </c>
      <c r="AB10" s="1" t="s">
        <v>277</v>
      </c>
      <c r="AC10" s="9">
        <v>0.57004008185381738</v>
      </c>
      <c r="AD10" s="45">
        <v>4.0761337452339043E-2</v>
      </c>
      <c r="AG10" s="1" t="s">
        <v>277</v>
      </c>
      <c r="AH10" s="45">
        <v>4.0761337452339043E-2</v>
      </c>
      <c r="AI10" s="1" t="s">
        <v>364</v>
      </c>
      <c r="AJ10" s="45">
        <v>0.64116549840397907</v>
      </c>
    </row>
    <row r="11" spans="1:36">
      <c r="A11" s="1" t="s">
        <v>75</v>
      </c>
      <c r="B11" s="1" t="s">
        <v>199</v>
      </c>
      <c r="C11" s="34">
        <v>0.249886510262428</v>
      </c>
      <c r="D11" s="34">
        <v>0.28290507616134725</v>
      </c>
      <c r="E11" s="34">
        <v>3.3018565898919244E-2</v>
      </c>
      <c r="F11" s="41">
        <v>0.13213424711979657</v>
      </c>
      <c r="H11">
        <v>58</v>
      </c>
      <c r="I11">
        <v>56</v>
      </c>
      <c r="J11">
        <v>2</v>
      </c>
      <c r="K11">
        <v>2</v>
      </c>
      <c r="AA11" s="1" t="s">
        <v>29</v>
      </c>
      <c r="AB11" s="1" t="s">
        <v>292</v>
      </c>
      <c r="AC11" s="9">
        <v>4.6107621484096162E-3</v>
      </c>
      <c r="AD11" s="45">
        <v>4.256387001555903E-2</v>
      </c>
      <c r="AG11" s="1" t="s">
        <v>292</v>
      </c>
      <c r="AH11" s="45">
        <v>4.256387001555903E-2</v>
      </c>
      <c r="AI11" s="1" t="s">
        <v>299</v>
      </c>
      <c r="AJ11" s="45">
        <v>0.64199545586237228</v>
      </c>
    </row>
    <row r="12" spans="1:36">
      <c r="A12" s="1" t="s">
        <v>16</v>
      </c>
      <c r="B12" s="1" t="s">
        <v>200</v>
      </c>
      <c r="C12" s="34">
        <v>0.19277197141073354</v>
      </c>
      <c r="D12" s="34">
        <v>0.18503606616452825</v>
      </c>
      <c r="E12" s="34">
        <v>7.7359052462052935E-3</v>
      </c>
      <c r="F12" s="41">
        <v>4.0129823799553453E-2</v>
      </c>
      <c r="H12">
        <v>23</v>
      </c>
      <c r="I12">
        <v>16</v>
      </c>
      <c r="J12">
        <v>7</v>
      </c>
      <c r="K12">
        <v>7</v>
      </c>
      <c r="AA12" s="1" t="s">
        <v>54</v>
      </c>
      <c r="AB12" s="1" t="s">
        <v>217</v>
      </c>
      <c r="AC12" s="9">
        <v>0.26632838586506147</v>
      </c>
      <c r="AD12" s="45">
        <v>4.3279945502725181E-2</v>
      </c>
      <c r="AG12" s="1" t="s">
        <v>217</v>
      </c>
      <c r="AH12" s="45">
        <v>4.3279945502725181E-2</v>
      </c>
      <c r="AI12" s="1" t="s">
        <v>381</v>
      </c>
      <c r="AJ12" s="45">
        <v>0.64889594186462729</v>
      </c>
    </row>
    <row r="13" spans="1:36">
      <c r="A13" s="1" t="s">
        <v>69</v>
      </c>
      <c r="B13" s="1" t="s">
        <v>201</v>
      </c>
      <c r="C13" s="34">
        <v>0.1667202749248485</v>
      </c>
      <c r="D13" s="34">
        <v>0.17320337367346178</v>
      </c>
      <c r="E13" s="34">
        <v>6.4830987486132752E-3</v>
      </c>
      <c r="F13" s="41">
        <v>3.8886084800037801E-2</v>
      </c>
      <c r="H13">
        <v>11</v>
      </c>
      <c r="I13">
        <v>12</v>
      </c>
      <c r="J13">
        <v>-1</v>
      </c>
      <c r="K13">
        <v>1</v>
      </c>
      <c r="AA13" s="1" t="s">
        <v>60</v>
      </c>
      <c r="AB13" s="1" t="s">
        <v>372</v>
      </c>
      <c r="AC13" s="9">
        <v>0.43571820228368097</v>
      </c>
      <c r="AD13" s="45">
        <v>4.3749999999999997E-2</v>
      </c>
      <c r="AG13" s="1" t="s">
        <v>372</v>
      </c>
      <c r="AH13" s="45">
        <v>4.3749999999999997E-2</v>
      </c>
      <c r="AI13" s="1" t="s">
        <v>196</v>
      </c>
      <c r="AJ13" s="45">
        <v>0.67119679208355054</v>
      </c>
    </row>
    <row r="14" spans="1:36">
      <c r="A14" s="1" t="s">
        <v>110</v>
      </c>
      <c r="B14" s="1" t="s">
        <v>202</v>
      </c>
      <c r="C14" s="34">
        <v>0.24357874104041274</v>
      </c>
      <c r="D14" s="34">
        <v>0.28884338825224065</v>
      </c>
      <c r="E14" s="34">
        <v>4.5264647211827908E-2</v>
      </c>
      <c r="F14" s="41">
        <v>0.18583168226622018</v>
      </c>
      <c r="H14">
        <v>55</v>
      </c>
      <c r="I14">
        <v>61</v>
      </c>
      <c r="J14">
        <v>-6</v>
      </c>
      <c r="K14">
        <v>6</v>
      </c>
      <c r="AA14" s="1" t="s">
        <v>47</v>
      </c>
      <c r="AB14" s="1" t="s">
        <v>358</v>
      </c>
      <c r="AC14" s="9">
        <v>0.13342327293565709</v>
      </c>
      <c r="AD14" s="45">
        <v>4.5355748402587666E-2</v>
      </c>
      <c r="AG14" s="1" t="s">
        <v>358</v>
      </c>
      <c r="AH14" s="45">
        <v>4.5355748402587666E-2</v>
      </c>
      <c r="AI14" s="1" t="s">
        <v>239</v>
      </c>
      <c r="AJ14" s="45">
        <v>0.67869927588832368</v>
      </c>
    </row>
    <row r="15" spans="1:36">
      <c r="A15" s="1" t="s">
        <v>26</v>
      </c>
      <c r="B15" s="1" t="s">
        <v>203</v>
      </c>
      <c r="C15" s="34">
        <v>0.32642740115040858</v>
      </c>
      <c r="D15" s="34">
        <v>0.32917643034138644</v>
      </c>
      <c r="E15" s="34">
        <v>2.7490291909778586E-3</v>
      </c>
      <c r="F15" s="41">
        <v>8.4215638187530185E-3</v>
      </c>
      <c r="H15">
        <v>107</v>
      </c>
      <c r="I15">
        <v>90</v>
      </c>
      <c r="J15">
        <v>17</v>
      </c>
      <c r="K15">
        <v>17</v>
      </c>
      <c r="AA15" s="1" t="s">
        <v>64</v>
      </c>
      <c r="AB15" s="1" t="s">
        <v>265</v>
      </c>
      <c r="AC15" s="9">
        <v>0.2656706981291449</v>
      </c>
      <c r="AD15" s="45">
        <v>5.342467084968322E-2</v>
      </c>
      <c r="AG15" s="1" t="s">
        <v>265</v>
      </c>
      <c r="AH15" s="45">
        <v>5.342467084968322E-2</v>
      </c>
      <c r="AI15" s="1" t="s">
        <v>365</v>
      </c>
      <c r="AJ15" s="45">
        <v>0.6815142781112401</v>
      </c>
    </row>
    <row r="16" spans="1:36">
      <c r="A16" s="1" t="s">
        <v>15</v>
      </c>
      <c r="B16" s="1" t="s">
        <v>204</v>
      </c>
      <c r="C16" s="34">
        <v>0.33520185312087075</v>
      </c>
      <c r="D16" s="34">
        <v>0.31255460126180978</v>
      </c>
      <c r="E16" s="34">
        <v>2.2647251859060968E-2</v>
      </c>
      <c r="F16" s="41">
        <v>6.7563027018512856E-2</v>
      </c>
      <c r="H16">
        <v>111</v>
      </c>
      <c r="I16">
        <v>78</v>
      </c>
      <c r="J16">
        <v>33</v>
      </c>
      <c r="K16">
        <v>33</v>
      </c>
      <c r="AA16" s="1" t="s">
        <v>43</v>
      </c>
      <c r="AB16" s="1" t="s">
        <v>216</v>
      </c>
      <c r="AC16" s="9">
        <v>0.44966520895160356</v>
      </c>
      <c r="AD16" s="45">
        <v>5.4231917081714688E-2</v>
      </c>
      <c r="AG16" s="1" t="s">
        <v>216</v>
      </c>
      <c r="AH16" s="45">
        <v>5.4231917081714688E-2</v>
      </c>
      <c r="AI16" s="1" t="s">
        <v>350</v>
      </c>
      <c r="AJ16" s="45">
        <v>0.68246489637852803</v>
      </c>
    </row>
    <row r="17" spans="1:36">
      <c r="A17" s="1" t="s">
        <v>166</v>
      </c>
      <c r="B17" s="1" t="s">
        <v>205</v>
      </c>
      <c r="C17" s="34">
        <v>0.43333331351883547</v>
      </c>
      <c r="D17" s="34">
        <v>0.50531051206237476</v>
      </c>
      <c r="E17" s="34">
        <v>7.1977198543539289E-2</v>
      </c>
      <c r="F17" s="41">
        <v>0.16610123500327351</v>
      </c>
      <c r="H17">
        <v>138</v>
      </c>
      <c r="I17">
        <v>160</v>
      </c>
      <c r="J17">
        <v>-22</v>
      </c>
      <c r="K17">
        <v>22</v>
      </c>
      <c r="AA17" s="1" t="s">
        <v>32</v>
      </c>
      <c r="AB17" s="1" t="s">
        <v>222</v>
      </c>
      <c r="AC17" s="9">
        <v>0.17233074802497145</v>
      </c>
      <c r="AD17" s="45">
        <v>5.5601831379281666E-2</v>
      </c>
      <c r="AG17" s="1" t="s">
        <v>222</v>
      </c>
      <c r="AH17" s="45">
        <v>5.5601831379281666E-2</v>
      </c>
      <c r="AI17" s="1" t="s">
        <v>246</v>
      </c>
      <c r="AJ17" s="45">
        <v>0.6862202380715251</v>
      </c>
    </row>
    <row r="18" spans="1:36">
      <c r="A18" s="1" t="s">
        <v>133</v>
      </c>
      <c r="B18" s="1" t="s">
        <v>206</v>
      </c>
      <c r="C18" s="34">
        <v>0.26075988246182863</v>
      </c>
      <c r="D18" s="34">
        <v>0.35205107872874314</v>
      </c>
      <c r="E18" s="34">
        <v>9.1291196266914509E-2</v>
      </c>
      <c r="F18" s="41">
        <v>0.35009678407980638</v>
      </c>
      <c r="H18">
        <v>68</v>
      </c>
      <c r="I18">
        <v>105</v>
      </c>
      <c r="J18">
        <v>-37</v>
      </c>
      <c r="K18">
        <v>37</v>
      </c>
      <c r="AA18" s="1" t="s">
        <v>38</v>
      </c>
      <c r="AB18" s="1" t="s">
        <v>320</v>
      </c>
      <c r="AC18" s="9">
        <v>0.13865359531974633</v>
      </c>
      <c r="AD18" s="45">
        <v>5.6294129112812966E-2</v>
      </c>
      <c r="AG18" s="1" t="s">
        <v>320</v>
      </c>
      <c r="AH18" s="45">
        <v>5.6294129112812966E-2</v>
      </c>
      <c r="AI18" s="1" t="s">
        <v>263</v>
      </c>
      <c r="AJ18" s="45">
        <v>0.70622886343096802</v>
      </c>
    </row>
    <row r="19" spans="1:36">
      <c r="A19" s="1" t="s">
        <v>51</v>
      </c>
      <c r="B19" s="1" t="s">
        <v>207</v>
      </c>
      <c r="C19" s="34">
        <v>0.19862378403135397</v>
      </c>
      <c r="D19" s="34">
        <v>0.21004822956140146</v>
      </c>
      <c r="E19" s="34">
        <v>1.1424445530047483E-2</v>
      </c>
      <c r="F19" s="41">
        <v>5.7518013694896002E-2</v>
      </c>
      <c r="H19">
        <v>27</v>
      </c>
      <c r="I19">
        <v>27</v>
      </c>
      <c r="J19">
        <v>0</v>
      </c>
      <c r="K19">
        <v>0</v>
      </c>
      <c r="AA19" s="1" t="s">
        <v>186</v>
      </c>
      <c r="AB19" s="1" t="s">
        <v>353</v>
      </c>
      <c r="AC19" s="9">
        <v>0.42946108425869872</v>
      </c>
      <c r="AD19" s="45">
        <v>5.635787818721865E-2</v>
      </c>
      <c r="AG19" s="1" t="s">
        <v>353</v>
      </c>
      <c r="AH19" s="45">
        <v>5.635787818721865E-2</v>
      </c>
      <c r="AI19" s="1" t="s">
        <v>261</v>
      </c>
      <c r="AJ19" s="45">
        <v>0.72314355070894276</v>
      </c>
    </row>
    <row r="20" spans="1:36">
      <c r="A20" s="1" t="s">
        <v>4</v>
      </c>
      <c r="B20" s="1" t="s">
        <v>208</v>
      </c>
      <c r="C20" s="34">
        <v>0.25008081400898868</v>
      </c>
      <c r="D20" s="34">
        <v>0.21694790120630722</v>
      </c>
      <c r="E20" s="34">
        <v>3.3132912802681463E-2</v>
      </c>
      <c r="F20" s="41">
        <v>0.13248882339886564</v>
      </c>
      <c r="H20">
        <v>59</v>
      </c>
      <c r="I20">
        <v>32</v>
      </c>
      <c r="J20">
        <v>27</v>
      </c>
      <c r="K20">
        <v>27</v>
      </c>
      <c r="AA20" s="1" t="s">
        <v>51</v>
      </c>
      <c r="AB20" s="1" t="s">
        <v>207</v>
      </c>
      <c r="AC20" s="9">
        <v>0.34066524082937844</v>
      </c>
      <c r="AD20" s="45">
        <v>5.8097485153516891E-2</v>
      </c>
      <c r="AG20" s="1" t="s">
        <v>207</v>
      </c>
      <c r="AH20" s="45">
        <v>5.8097485153516891E-2</v>
      </c>
      <c r="AI20" s="1" t="s">
        <v>349</v>
      </c>
      <c r="AJ20" s="45">
        <v>0.75271658616351422</v>
      </c>
    </row>
    <row r="21" spans="1:36">
      <c r="A21" s="1" t="s">
        <v>109</v>
      </c>
      <c r="B21" s="1" t="s">
        <v>209</v>
      </c>
      <c r="C21" s="34">
        <v>0.30994525258645705</v>
      </c>
      <c r="D21" s="34">
        <v>0.30317497946287064</v>
      </c>
      <c r="E21" s="34">
        <v>6.7702731235864122E-3</v>
      </c>
      <c r="F21" s="41">
        <v>2.1843448373831415E-2</v>
      </c>
      <c r="H21">
        <v>101</v>
      </c>
      <c r="I21">
        <v>74</v>
      </c>
      <c r="J21">
        <v>27</v>
      </c>
      <c r="K21">
        <v>27</v>
      </c>
      <c r="AA21" s="1" t="s">
        <v>117</v>
      </c>
      <c r="AB21" s="1" t="s">
        <v>348</v>
      </c>
      <c r="AC21" s="9">
        <v>0.2496673896289418</v>
      </c>
      <c r="AD21" s="45">
        <v>5.8574954637805807E-2</v>
      </c>
      <c r="AG21" s="1" t="s">
        <v>348</v>
      </c>
      <c r="AH21" s="45">
        <v>5.8574954637805807E-2</v>
      </c>
      <c r="AI21" s="1" t="s">
        <v>284</v>
      </c>
      <c r="AJ21" s="45">
        <v>0.85852953132586085</v>
      </c>
    </row>
    <row r="22" spans="1:36">
      <c r="A22" s="1" t="s">
        <v>132</v>
      </c>
      <c r="B22" s="1" t="s">
        <v>210</v>
      </c>
      <c r="C22" s="34">
        <v>0.48073418060646816</v>
      </c>
      <c r="D22" s="34">
        <v>0.46948306174231891</v>
      </c>
      <c r="E22" s="34">
        <v>1.1251118864149257E-2</v>
      </c>
      <c r="F22" s="41">
        <v>2.3404033493011574E-2</v>
      </c>
      <c r="H22">
        <v>158</v>
      </c>
      <c r="I22">
        <v>145</v>
      </c>
      <c r="J22">
        <v>13</v>
      </c>
      <c r="K22">
        <v>13</v>
      </c>
      <c r="AA22" s="1" t="s">
        <v>16</v>
      </c>
      <c r="AB22" s="1" t="s">
        <v>200</v>
      </c>
      <c r="AC22" s="9">
        <v>0.205882709897387</v>
      </c>
      <c r="AD22" s="45">
        <v>5.8633041634619597E-2</v>
      </c>
      <c r="AG22" s="1" t="s">
        <v>200</v>
      </c>
      <c r="AH22" s="45">
        <v>5.8633041634619597E-2</v>
      </c>
      <c r="AI22" s="1" t="s">
        <v>220</v>
      </c>
      <c r="AJ22" s="45">
        <v>0.88739915224708654</v>
      </c>
    </row>
    <row r="23" spans="1:36">
      <c r="A23" s="1" t="s">
        <v>146</v>
      </c>
      <c r="B23" s="1" t="s">
        <v>211</v>
      </c>
      <c r="C23" s="34">
        <v>0.39021928723004184</v>
      </c>
      <c r="D23" s="34">
        <v>0.42436500528127041</v>
      </c>
      <c r="E23" s="34">
        <v>3.4145718051228569E-2</v>
      </c>
      <c r="F23" s="41">
        <v>8.7503921945044721E-2</v>
      </c>
      <c r="H23">
        <v>126</v>
      </c>
      <c r="I23">
        <v>127</v>
      </c>
      <c r="J23">
        <v>-1</v>
      </c>
      <c r="K23">
        <v>1</v>
      </c>
      <c r="AA23" s="1" t="s">
        <v>5</v>
      </c>
      <c r="AB23" s="1" t="s">
        <v>331</v>
      </c>
      <c r="AC23" s="9">
        <v>0.62872624617495099</v>
      </c>
      <c r="AD23" s="45">
        <v>6.4997381934280452E-2</v>
      </c>
      <c r="AG23" s="1" t="s">
        <v>331</v>
      </c>
      <c r="AH23" s="45">
        <v>6.4997381934280452E-2</v>
      </c>
      <c r="AI23" s="1" t="s">
        <v>323</v>
      </c>
      <c r="AJ23" s="45">
        <v>0.97634252591561754</v>
      </c>
    </row>
    <row r="24" spans="1:36">
      <c r="A24" s="1" t="s">
        <v>72</v>
      </c>
      <c r="B24" s="1" t="s">
        <v>212</v>
      </c>
      <c r="C24" s="34">
        <v>0.334494889777885</v>
      </c>
      <c r="D24" s="34">
        <v>0.35948226724867444</v>
      </c>
      <c r="E24" s="34">
        <v>2.498737747078944E-2</v>
      </c>
      <c r="F24" s="41">
        <v>7.4701821266632315E-2</v>
      </c>
      <c r="H24">
        <v>110</v>
      </c>
      <c r="I24">
        <v>110</v>
      </c>
      <c r="J24">
        <v>0</v>
      </c>
      <c r="K24">
        <v>0</v>
      </c>
      <c r="AA24" s="1" t="s">
        <v>139</v>
      </c>
      <c r="AB24" s="1" t="s">
        <v>377</v>
      </c>
      <c r="AC24" s="9">
        <v>0.70767990853806817</v>
      </c>
      <c r="AD24" s="45">
        <v>6.6494799494324131E-2</v>
      </c>
    </row>
    <row r="25" spans="1:36">
      <c r="A25" s="1" t="s">
        <v>122</v>
      </c>
      <c r="B25" s="1" t="s">
        <v>213</v>
      </c>
      <c r="C25" s="34">
        <v>0.19460045390293837</v>
      </c>
      <c r="D25" s="34">
        <v>0.23889687725370992</v>
      </c>
      <c r="E25" s="34">
        <v>4.4296423350771552E-2</v>
      </c>
      <c r="F25" s="41">
        <v>0.22762754383330192</v>
      </c>
      <c r="H25">
        <v>25</v>
      </c>
      <c r="I25">
        <v>40</v>
      </c>
      <c r="J25">
        <v>-15</v>
      </c>
      <c r="K25">
        <v>15</v>
      </c>
      <c r="AA25" s="1" t="s">
        <v>96</v>
      </c>
      <c r="AB25" s="1" t="s">
        <v>234</v>
      </c>
      <c r="AC25" s="9">
        <v>0.24300691580628894</v>
      </c>
      <c r="AD25" s="45">
        <v>6.6548815853295626E-2</v>
      </c>
    </row>
    <row r="26" spans="1:36">
      <c r="A26" s="1" t="s">
        <v>90</v>
      </c>
      <c r="B26" s="1" t="s">
        <v>214</v>
      </c>
      <c r="C26" s="34">
        <v>0.42219505992385442</v>
      </c>
      <c r="D26" s="34">
        <v>0.3809737636274475</v>
      </c>
      <c r="E26" s="34">
        <v>4.1221296296406917E-2</v>
      </c>
      <c r="F26" s="41">
        <v>9.7635667039404586E-2</v>
      </c>
      <c r="H26">
        <v>132</v>
      </c>
      <c r="I26">
        <v>117</v>
      </c>
      <c r="J26">
        <v>15</v>
      </c>
      <c r="K26">
        <v>15</v>
      </c>
      <c r="AA26" s="1" t="s">
        <v>67</v>
      </c>
      <c r="AB26" s="1" t="s">
        <v>291</v>
      </c>
      <c r="AC26" s="9">
        <v>0.26348119088274913</v>
      </c>
      <c r="AD26" s="45">
        <v>6.8440455093933719E-2</v>
      </c>
    </row>
    <row r="27" spans="1:36">
      <c r="A27" s="1" t="s">
        <v>23</v>
      </c>
      <c r="B27" s="1" t="s">
        <v>215</v>
      </c>
      <c r="C27" s="34">
        <v>0.26391895308821151</v>
      </c>
      <c r="D27" s="34">
        <v>0.26893371600062732</v>
      </c>
      <c r="E27" s="34">
        <v>5.0147629124158155E-3</v>
      </c>
      <c r="F27" s="41">
        <v>1.9001147336090318E-2</v>
      </c>
      <c r="H27">
        <v>75</v>
      </c>
      <c r="I27">
        <v>50</v>
      </c>
      <c r="J27">
        <v>25</v>
      </c>
      <c r="K27">
        <v>25</v>
      </c>
      <c r="AA27" s="1" t="s">
        <v>6</v>
      </c>
      <c r="AB27" s="1" t="s">
        <v>375</v>
      </c>
      <c r="AC27" s="9">
        <v>0.2957197094292357</v>
      </c>
      <c r="AD27" s="45">
        <v>7.504743883745145E-2</v>
      </c>
    </row>
    <row r="28" spans="1:36">
      <c r="A28" s="1" t="s">
        <v>43</v>
      </c>
      <c r="B28" s="1" t="s">
        <v>216</v>
      </c>
      <c r="C28" s="34">
        <v>0.21479348943857399</v>
      </c>
      <c r="D28" s="34">
        <v>0.21849752623290028</v>
      </c>
      <c r="E28" s="34">
        <v>3.7040367943262931E-3</v>
      </c>
      <c r="F28" s="41">
        <v>1.7244641837179907E-2</v>
      </c>
      <c r="H28">
        <v>34</v>
      </c>
      <c r="I28">
        <v>34</v>
      </c>
      <c r="J28">
        <v>0</v>
      </c>
      <c r="K28">
        <v>0</v>
      </c>
      <c r="AA28" s="1" t="s">
        <v>33</v>
      </c>
      <c r="AB28" s="1" t="s">
        <v>373</v>
      </c>
      <c r="AC28" s="9">
        <v>0.42960706586167208</v>
      </c>
      <c r="AD28" s="45">
        <v>7.9757393771930307E-2</v>
      </c>
    </row>
    <row r="29" spans="1:36">
      <c r="A29" s="1" t="s">
        <v>54</v>
      </c>
      <c r="B29" s="1" t="s">
        <v>217</v>
      </c>
      <c r="C29" s="34">
        <v>0.19994986470865461</v>
      </c>
      <c r="D29" s="34">
        <v>0.20117670570674087</v>
      </c>
      <c r="E29" s="34">
        <v>1.2268409980862593E-3</v>
      </c>
      <c r="F29" s="41">
        <v>6.1357430767651671E-3</v>
      </c>
      <c r="H29">
        <v>29</v>
      </c>
      <c r="I29">
        <v>23</v>
      </c>
      <c r="J29">
        <v>6</v>
      </c>
      <c r="K29">
        <v>6</v>
      </c>
      <c r="AA29" s="1" t="s">
        <v>62</v>
      </c>
      <c r="AB29" s="1" t="s">
        <v>273</v>
      </c>
      <c r="AC29" s="9">
        <v>0.1836639911871733</v>
      </c>
      <c r="AD29" s="45">
        <v>8.098100851181822E-2</v>
      </c>
    </row>
    <row r="30" spans="1:36">
      <c r="A30" s="1" t="s">
        <v>179</v>
      </c>
      <c r="B30" s="1" t="s">
        <v>218</v>
      </c>
      <c r="C30" s="34">
        <v>0.51192299842381417</v>
      </c>
      <c r="D30" s="34">
        <v>0.49861151594921987</v>
      </c>
      <c r="E30" s="34">
        <v>1.3311482474594294E-2</v>
      </c>
      <c r="F30" s="41">
        <v>2.6002899880606452E-2</v>
      </c>
      <c r="H30">
        <v>174</v>
      </c>
      <c r="I30">
        <v>157</v>
      </c>
      <c r="J30">
        <v>17</v>
      </c>
      <c r="K30">
        <v>17</v>
      </c>
      <c r="AA30" s="1" t="s">
        <v>36</v>
      </c>
      <c r="AB30" s="1" t="s">
        <v>352</v>
      </c>
      <c r="AC30" s="9">
        <v>0.30162041932719674</v>
      </c>
      <c r="AD30" s="45">
        <v>8.3049426461013848E-2</v>
      </c>
    </row>
    <row r="31" spans="1:36">
      <c r="A31" s="1" t="s">
        <v>191</v>
      </c>
      <c r="B31" s="1" t="s">
        <v>219</v>
      </c>
      <c r="C31" s="34">
        <v>0.61285444543277945</v>
      </c>
      <c r="D31" s="34">
        <v>0.61331605805183931</v>
      </c>
      <c r="E31" s="34">
        <v>4.6161261905985906E-4</v>
      </c>
      <c r="F31" s="41">
        <v>7.5321737893878219E-4</v>
      </c>
      <c r="H31">
        <v>186</v>
      </c>
      <c r="I31">
        <v>184</v>
      </c>
      <c r="J31">
        <v>2</v>
      </c>
      <c r="K31">
        <v>2</v>
      </c>
      <c r="AA31" s="1" t="s">
        <v>122</v>
      </c>
      <c r="AB31" s="1" t="s">
        <v>213</v>
      </c>
      <c r="AC31" s="9">
        <v>0.55608352116892901</v>
      </c>
      <c r="AD31" s="45">
        <v>8.5390551091170191E-2</v>
      </c>
    </row>
    <row r="32" spans="1:36">
      <c r="A32" s="1" t="s">
        <v>177</v>
      </c>
      <c r="B32" s="1" t="s">
        <v>220</v>
      </c>
      <c r="C32" s="34">
        <v>0.45659800252833299</v>
      </c>
      <c r="D32" s="34">
        <v>0.48977569847507008</v>
      </c>
      <c r="E32" s="34">
        <v>3.3177695946737085E-2</v>
      </c>
      <c r="F32" s="41">
        <v>7.266281447360981E-2</v>
      </c>
      <c r="H32">
        <v>149</v>
      </c>
      <c r="I32">
        <v>151</v>
      </c>
      <c r="J32">
        <v>-2</v>
      </c>
      <c r="K32">
        <v>2</v>
      </c>
      <c r="AA32" s="1" t="s">
        <v>45</v>
      </c>
      <c r="AB32" s="1" t="s">
        <v>240</v>
      </c>
      <c r="AC32" s="9">
        <v>0.44362077415775419</v>
      </c>
      <c r="AD32" s="45">
        <v>8.7065420205175312E-2</v>
      </c>
    </row>
    <row r="33" spans="1:30">
      <c r="A33" s="1" t="s">
        <v>97</v>
      </c>
      <c r="B33" s="1" t="s">
        <v>221</v>
      </c>
      <c r="C33" s="34">
        <v>0.45987663588281164</v>
      </c>
      <c r="D33" s="34">
        <v>0.46098425360539902</v>
      </c>
      <c r="E33" s="34">
        <v>1.107617722587384E-3</v>
      </c>
      <c r="F33" s="41">
        <v>2.4085105355724865E-3</v>
      </c>
      <c r="H33">
        <v>150</v>
      </c>
      <c r="I33">
        <v>138</v>
      </c>
      <c r="J33">
        <v>12</v>
      </c>
      <c r="K33">
        <v>12</v>
      </c>
      <c r="AA33" s="1" t="s">
        <v>34</v>
      </c>
      <c r="AB33" s="1" t="s">
        <v>289</v>
      </c>
      <c r="AC33" s="9">
        <v>0.60068031161942181</v>
      </c>
      <c r="AD33" s="45">
        <v>9.3559302454449697E-2</v>
      </c>
    </row>
    <row r="34" spans="1:30">
      <c r="A34" s="1" t="s">
        <v>32</v>
      </c>
      <c r="B34" s="1" t="s">
        <v>222</v>
      </c>
      <c r="C34" s="34">
        <v>0.24319336196056388</v>
      </c>
      <c r="D34" s="34">
        <v>0.20821869219380953</v>
      </c>
      <c r="E34" s="34">
        <v>3.497466976675434E-2</v>
      </c>
      <c r="F34" s="41">
        <v>0.14381424511260227</v>
      </c>
      <c r="H34">
        <v>53</v>
      </c>
      <c r="I34">
        <v>25</v>
      </c>
      <c r="J34">
        <v>28</v>
      </c>
      <c r="K34">
        <v>28</v>
      </c>
      <c r="AA34" s="1" t="s">
        <v>81</v>
      </c>
      <c r="AB34" s="1" t="s">
        <v>329</v>
      </c>
      <c r="AC34" s="9">
        <v>0.15465223496189354</v>
      </c>
      <c r="AD34" s="45">
        <v>0.1</v>
      </c>
    </row>
    <row r="35" spans="1:30">
      <c r="A35" s="1" t="s">
        <v>89</v>
      </c>
      <c r="B35" s="1" t="s">
        <v>223</v>
      </c>
      <c r="C35" s="34">
        <v>0.29569126205371921</v>
      </c>
      <c r="D35" s="34">
        <v>0.32701264089977589</v>
      </c>
      <c r="E35" s="34">
        <v>3.132137884605668E-2</v>
      </c>
      <c r="F35" s="41">
        <v>0.10592595340327109</v>
      </c>
      <c r="H35">
        <v>92</v>
      </c>
      <c r="I35">
        <v>89</v>
      </c>
      <c r="J35">
        <v>3</v>
      </c>
      <c r="K35">
        <v>3</v>
      </c>
      <c r="AA35" s="1" t="s">
        <v>56</v>
      </c>
      <c r="AB35" s="1" t="s">
        <v>236</v>
      </c>
      <c r="AC35" s="9">
        <v>0.18545930734781013</v>
      </c>
      <c r="AD35" s="45">
        <v>0.10600531040606202</v>
      </c>
    </row>
    <row r="36" spans="1:30">
      <c r="A36" s="1" t="s">
        <v>135</v>
      </c>
      <c r="B36" s="1" t="s">
        <v>224</v>
      </c>
      <c r="C36" s="34">
        <v>0.60508311196225384</v>
      </c>
      <c r="D36" s="34">
        <v>0.53613188137957501</v>
      </c>
      <c r="E36" s="34">
        <v>6.8951230582678824E-2</v>
      </c>
      <c r="F36" s="41">
        <v>0.11395332181569814</v>
      </c>
      <c r="H36">
        <v>185</v>
      </c>
      <c r="I36">
        <v>177</v>
      </c>
      <c r="J36">
        <v>8</v>
      </c>
      <c r="K36">
        <v>8</v>
      </c>
      <c r="AA36" s="1" t="s">
        <v>55</v>
      </c>
      <c r="AB36" s="1" t="s">
        <v>295</v>
      </c>
      <c r="AC36" s="9">
        <v>0.39940014728606144</v>
      </c>
      <c r="AD36" s="45">
        <v>0.10625578690311921</v>
      </c>
    </row>
    <row r="37" spans="1:30">
      <c r="A37" s="1" t="s">
        <v>165</v>
      </c>
      <c r="B37" s="1" t="s">
        <v>225</v>
      </c>
      <c r="C37" s="34">
        <v>0.56129880404581201</v>
      </c>
      <c r="D37" s="34">
        <v>0.54804110077230872</v>
      </c>
      <c r="E37" s="34">
        <v>1.3257703273503285E-2</v>
      </c>
      <c r="F37" s="41">
        <v>2.3619689152983157E-2</v>
      </c>
      <c r="H37">
        <v>183</v>
      </c>
      <c r="I37">
        <v>180</v>
      </c>
      <c r="J37">
        <v>3</v>
      </c>
      <c r="K37">
        <v>3</v>
      </c>
      <c r="AA37" s="1" t="s">
        <v>40</v>
      </c>
      <c r="AB37" s="1" t="s">
        <v>251</v>
      </c>
      <c r="AC37" s="9">
        <v>0.17548651264974829</v>
      </c>
      <c r="AD37" s="45">
        <v>0.10707857390820902</v>
      </c>
    </row>
    <row r="38" spans="1:30" ht="15" customHeight="1">
      <c r="A38" s="1" t="s">
        <v>18</v>
      </c>
      <c r="B38" s="1" t="s">
        <v>226</v>
      </c>
      <c r="C38" s="34">
        <v>0.20774907186321165</v>
      </c>
      <c r="D38" s="34">
        <v>0.24541840724180455</v>
      </c>
      <c r="E38" s="34">
        <v>3.7669335378592905E-2</v>
      </c>
      <c r="F38" s="41">
        <v>0.18132131730242121</v>
      </c>
      <c r="H38">
        <v>32</v>
      </c>
      <c r="I38">
        <v>44</v>
      </c>
      <c r="J38">
        <v>-12</v>
      </c>
      <c r="K38">
        <v>12</v>
      </c>
      <c r="AA38" s="1" t="s">
        <v>70</v>
      </c>
      <c r="AB38" s="1" t="s">
        <v>275</v>
      </c>
      <c r="AC38" s="9">
        <v>0.27744797600808946</v>
      </c>
      <c r="AD38" s="45">
        <v>0.11810732878545425</v>
      </c>
    </row>
    <row r="39" spans="1:30" ht="15" customHeight="1">
      <c r="A39" s="1" t="s">
        <v>111</v>
      </c>
      <c r="B39" s="1" t="s">
        <v>227</v>
      </c>
      <c r="C39" s="34">
        <v>0.2622810790767453</v>
      </c>
      <c r="D39" s="34">
        <v>0.31239380921025128</v>
      </c>
      <c r="E39" s="34">
        <v>5.0112730133505978E-2</v>
      </c>
      <c r="F39" s="41">
        <v>0.19106498383302228</v>
      </c>
      <c r="H39">
        <v>70</v>
      </c>
      <c r="I39">
        <v>77</v>
      </c>
      <c r="J39">
        <v>-7</v>
      </c>
      <c r="K39">
        <v>7</v>
      </c>
      <c r="AA39" s="1" t="s">
        <v>106</v>
      </c>
      <c r="AB39" s="1" t="s">
        <v>343</v>
      </c>
      <c r="AC39" s="9">
        <v>0.71370038307748718</v>
      </c>
      <c r="AD39" s="45">
        <v>0.1187002024594907</v>
      </c>
    </row>
    <row r="40" spans="1:30" ht="15" customHeight="1">
      <c r="A40" s="1" t="s">
        <v>46</v>
      </c>
      <c r="B40" s="1" t="s">
        <v>228</v>
      </c>
      <c r="C40" s="34">
        <v>0.27516416730986476</v>
      </c>
      <c r="D40" s="34">
        <v>0.28385720994752683</v>
      </c>
      <c r="E40" s="34">
        <v>8.693042637662074E-3</v>
      </c>
      <c r="F40" s="41">
        <v>3.1592204474330275E-2</v>
      </c>
      <c r="H40">
        <v>82</v>
      </c>
      <c r="I40">
        <v>57</v>
      </c>
      <c r="J40">
        <v>25</v>
      </c>
      <c r="K40">
        <v>25</v>
      </c>
      <c r="AA40" s="1" t="s">
        <v>130</v>
      </c>
      <c r="AB40" s="1" t="s">
        <v>301</v>
      </c>
      <c r="AC40" s="9">
        <v>0.61178014969735317</v>
      </c>
      <c r="AD40" s="45">
        <v>0.11953952640916622</v>
      </c>
    </row>
    <row r="41" spans="1:30" ht="15" customHeight="1">
      <c r="A41" s="1" t="s">
        <v>163</v>
      </c>
      <c r="B41" s="1" t="s">
        <v>229</v>
      </c>
      <c r="C41" s="34">
        <v>0.41804238766287999</v>
      </c>
      <c r="D41" s="34">
        <v>0.44680466011829201</v>
      </c>
      <c r="E41" s="34">
        <v>2.8762272455412019E-2</v>
      </c>
      <c r="F41" s="41">
        <v>6.8802287290078937E-2</v>
      </c>
      <c r="H41">
        <v>131</v>
      </c>
      <c r="I41">
        <v>134</v>
      </c>
      <c r="J41">
        <v>-3</v>
      </c>
      <c r="K41">
        <v>3</v>
      </c>
      <c r="AA41" s="1" t="s">
        <v>35</v>
      </c>
      <c r="AB41" s="1" t="s">
        <v>276</v>
      </c>
      <c r="AC41" s="9">
        <v>0.48126637869058281</v>
      </c>
      <c r="AD41" s="45">
        <v>0.12658965599512029</v>
      </c>
    </row>
    <row r="42" spans="1:30" ht="15" customHeight="1">
      <c r="A42" s="1" t="s">
        <v>85</v>
      </c>
      <c r="B42" s="1" t="s">
        <v>230</v>
      </c>
      <c r="C42" s="34">
        <v>0.43746992073911017</v>
      </c>
      <c r="D42" s="34">
        <v>0.45930383889519472</v>
      </c>
      <c r="E42" s="34">
        <v>2.1833918156084542E-2</v>
      </c>
      <c r="F42" s="41">
        <v>4.9909530052251135E-2</v>
      </c>
      <c r="H42">
        <v>140</v>
      </c>
      <c r="I42">
        <v>137</v>
      </c>
      <c r="J42">
        <v>3</v>
      </c>
      <c r="K42">
        <v>3</v>
      </c>
      <c r="AA42" s="1" t="s">
        <v>58</v>
      </c>
      <c r="AB42" s="1" t="s">
        <v>247</v>
      </c>
      <c r="AC42" s="9">
        <v>0.1640904557027007</v>
      </c>
      <c r="AD42" s="45">
        <v>0.12982108547024312</v>
      </c>
    </row>
    <row r="43" spans="1:30" ht="15" customHeight="1">
      <c r="A43" s="1" t="s">
        <v>148</v>
      </c>
      <c r="B43" s="1" t="s">
        <v>231</v>
      </c>
      <c r="C43" s="34" t="e">
        <v>#N/A</v>
      </c>
      <c r="D43" s="34" t="e">
        <v>#N/A</v>
      </c>
      <c r="E43" s="34" t="e">
        <v>#N/A</v>
      </c>
      <c r="F43" s="41" t="e">
        <v>#N/A</v>
      </c>
      <c r="H43" t="e">
        <v>#VALUE!</v>
      </c>
      <c r="I43" t="e">
        <v>#VALUE!</v>
      </c>
      <c r="J43" t="e">
        <v>#VALUE!</v>
      </c>
      <c r="K43" t="e">
        <v>#VALUE!</v>
      </c>
      <c r="AA43" s="1" t="s">
        <v>11</v>
      </c>
      <c r="AB43" s="1" t="s">
        <v>272</v>
      </c>
      <c r="AC43" s="9">
        <v>0.32148100383766792</v>
      </c>
      <c r="AD43" s="45">
        <v>0.13288641169385526</v>
      </c>
    </row>
    <row r="44" spans="1:30" ht="15" customHeight="1">
      <c r="A44" s="1" t="s">
        <v>78</v>
      </c>
      <c r="B44" s="1" t="s">
        <v>232</v>
      </c>
      <c r="C44" s="34">
        <v>0.30680223035505777</v>
      </c>
      <c r="D44" s="34">
        <v>0.31568436881963907</v>
      </c>
      <c r="E44" s="34">
        <v>8.8821384645813017E-3</v>
      </c>
      <c r="F44" s="41">
        <v>2.8950697178120679E-2</v>
      </c>
      <c r="H44">
        <v>98</v>
      </c>
      <c r="I44">
        <v>81</v>
      </c>
      <c r="J44">
        <v>17</v>
      </c>
      <c r="K44">
        <v>17</v>
      </c>
      <c r="AA44" s="1" t="s">
        <v>99</v>
      </c>
      <c r="AB44" s="1" t="s">
        <v>347</v>
      </c>
      <c r="AC44" s="9">
        <v>0.21443641516871598</v>
      </c>
      <c r="AD44" s="45">
        <v>0.13698874426225965</v>
      </c>
    </row>
    <row r="45" spans="1:30" ht="15" customHeight="1">
      <c r="A45" s="1" t="s">
        <v>116</v>
      </c>
      <c r="B45" s="1" t="s">
        <v>233</v>
      </c>
      <c r="C45" s="34">
        <v>0.44110593543481663</v>
      </c>
      <c r="D45" s="34">
        <v>0.4631694013599913</v>
      </c>
      <c r="E45" s="34">
        <v>2.2063465925174663E-2</v>
      </c>
      <c r="F45" s="41">
        <v>5.0018519708708471E-2</v>
      </c>
      <c r="H45">
        <v>142</v>
      </c>
      <c r="I45">
        <v>139</v>
      </c>
      <c r="J45">
        <v>3</v>
      </c>
      <c r="K45">
        <v>3</v>
      </c>
      <c r="AA45" s="1" t="s">
        <v>8</v>
      </c>
      <c r="AB45" s="1" t="s">
        <v>298</v>
      </c>
      <c r="AC45" s="9">
        <v>0.1414074196987718</v>
      </c>
      <c r="AD45" s="45">
        <v>0.14655665680149124</v>
      </c>
    </row>
    <row r="46" spans="1:30">
      <c r="A46" s="1" t="s">
        <v>96</v>
      </c>
      <c r="B46" s="1" t="s">
        <v>234</v>
      </c>
      <c r="C46" s="34">
        <v>0.17372716123249995</v>
      </c>
      <c r="D46" s="34">
        <v>0.17807662034356075</v>
      </c>
      <c r="E46" s="34">
        <v>4.3494591110607994E-3</v>
      </c>
      <c r="F46" s="41">
        <v>2.50361490984124E-2</v>
      </c>
      <c r="H46">
        <v>12</v>
      </c>
      <c r="I46">
        <v>14</v>
      </c>
      <c r="J46">
        <v>-2</v>
      </c>
      <c r="K46">
        <v>2</v>
      </c>
      <c r="AA46" s="1" t="s">
        <v>19</v>
      </c>
      <c r="AB46" s="1" t="s">
        <v>316</v>
      </c>
      <c r="AC46" s="9">
        <v>0.23720276904264687</v>
      </c>
      <c r="AD46" s="45">
        <v>0.14803280367095906</v>
      </c>
    </row>
    <row r="47" spans="1:30">
      <c r="A47" s="1" t="s">
        <v>41</v>
      </c>
      <c r="B47" s="1" t="s">
        <v>235</v>
      </c>
      <c r="C47" s="34">
        <v>0.26289906703801152</v>
      </c>
      <c r="D47" s="34">
        <v>0.33959157887080488</v>
      </c>
      <c r="E47" s="34">
        <v>7.6692511832793353E-2</v>
      </c>
      <c r="F47" s="41">
        <v>0.29171846327512713</v>
      </c>
      <c r="H47">
        <v>72</v>
      </c>
      <c r="I47">
        <v>95</v>
      </c>
      <c r="J47">
        <v>-23</v>
      </c>
      <c r="K47">
        <v>23</v>
      </c>
      <c r="AA47" s="1" t="s">
        <v>22</v>
      </c>
      <c r="AB47" s="1" t="s">
        <v>238</v>
      </c>
      <c r="AC47" s="9">
        <v>0.28161179221132421</v>
      </c>
      <c r="AD47" s="45">
        <v>0.15002582530823483</v>
      </c>
    </row>
    <row r="48" spans="1:30">
      <c r="A48" s="1" t="s">
        <v>56</v>
      </c>
      <c r="B48" s="1" t="s">
        <v>236</v>
      </c>
      <c r="C48" s="34">
        <v>0.23763807892266101</v>
      </c>
      <c r="D48" s="34">
        <v>0.21810959773805752</v>
      </c>
      <c r="E48" s="34">
        <v>1.9528481184603486E-2</v>
      </c>
      <c r="F48" s="41">
        <v>8.2177407228405525E-2</v>
      </c>
      <c r="H48">
        <v>49</v>
      </c>
      <c r="I48">
        <v>33</v>
      </c>
      <c r="J48">
        <v>16</v>
      </c>
      <c r="K48">
        <v>16</v>
      </c>
      <c r="AA48" s="1" t="s">
        <v>161</v>
      </c>
      <c r="AB48" s="1" t="s">
        <v>336</v>
      </c>
      <c r="AC48" s="9">
        <v>0.36101096962542689</v>
      </c>
      <c r="AD48" s="45">
        <v>0.15365129330997118</v>
      </c>
    </row>
    <row r="49" spans="1:30">
      <c r="A49" s="1" t="s">
        <v>50</v>
      </c>
      <c r="B49" s="1" t="s">
        <v>237</v>
      </c>
      <c r="C49" s="34">
        <v>0.13849436622867048</v>
      </c>
      <c r="D49" s="34">
        <v>0.14287982054296822</v>
      </c>
      <c r="E49" s="34">
        <v>4.3854543142977376E-3</v>
      </c>
      <c r="F49" s="41">
        <v>3.1665218114770369E-2</v>
      </c>
      <c r="H49">
        <v>3</v>
      </c>
      <c r="I49">
        <v>6</v>
      </c>
      <c r="J49">
        <v>-3</v>
      </c>
      <c r="K49">
        <v>3</v>
      </c>
      <c r="AA49" s="1" t="s">
        <v>167</v>
      </c>
      <c r="AB49" s="1" t="s">
        <v>360</v>
      </c>
      <c r="AC49" s="9">
        <v>0.62346779876375269</v>
      </c>
      <c r="AD49" s="45">
        <v>0.15635569256899187</v>
      </c>
    </row>
    <row r="50" spans="1:30">
      <c r="A50" s="1" t="s">
        <v>22</v>
      </c>
      <c r="B50" s="1" t="s">
        <v>238</v>
      </c>
      <c r="C50" s="34">
        <v>0.11473167520868151</v>
      </c>
      <c r="D50" s="34">
        <v>0.1466420937096837</v>
      </c>
      <c r="E50" s="34">
        <v>3.1910418501002194E-2</v>
      </c>
      <c r="F50" s="41">
        <v>0.2781308513360537</v>
      </c>
      <c r="H50">
        <v>1</v>
      </c>
      <c r="I50">
        <v>8</v>
      </c>
      <c r="J50">
        <v>-7</v>
      </c>
      <c r="K50">
        <v>7</v>
      </c>
      <c r="AA50" s="1" t="s">
        <v>114</v>
      </c>
      <c r="AB50" s="1" t="s">
        <v>369</v>
      </c>
      <c r="AC50" s="9">
        <v>0.57605638023783312</v>
      </c>
      <c r="AD50" s="45">
        <v>0.15967541766756951</v>
      </c>
    </row>
    <row r="51" spans="1:30">
      <c r="A51" s="1" t="s">
        <v>21</v>
      </c>
      <c r="B51" s="1" t="s">
        <v>239</v>
      </c>
      <c r="C51" s="34">
        <v>0.44720093040496639</v>
      </c>
      <c r="D51" s="34">
        <v>0.4674006239701145</v>
      </c>
      <c r="E51" s="34">
        <v>2.0199693565148114E-2</v>
      </c>
      <c r="F51" s="41">
        <v>4.5169167127751993E-2</v>
      </c>
      <c r="H51">
        <v>146</v>
      </c>
      <c r="I51">
        <v>144</v>
      </c>
      <c r="J51">
        <v>2</v>
      </c>
      <c r="K51">
        <v>2</v>
      </c>
      <c r="AA51" s="1" t="s">
        <v>126</v>
      </c>
      <c r="AB51" s="1" t="s">
        <v>243</v>
      </c>
      <c r="AC51" s="9">
        <v>0.37479377087785093</v>
      </c>
      <c r="AD51" s="45">
        <v>0.16217646176561992</v>
      </c>
    </row>
    <row r="52" spans="1:30">
      <c r="A52" s="1" t="s">
        <v>45</v>
      </c>
      <c r="B52" s="1" t="s">
        <v>240</v>
      </c>
      <c r="C52" s="34">
        <v>0.39425567033255121</v>
      </c>
      <c r="D52" s="34">
        <v>0.34864664228574427</v>
      </c>
      <c r="E52" s="34">
        <v>4.5609028046806943E-2</v>
      </c>
      <c r="F52" s="41">
        <v>0.11568388606392427</v>
      </c>
      <c r="H52">
        <v>127</v>
      </c>
      <c r="I52">
        <v>99</v>
      </c>
      <c r="J52">
        <v>28</v>
      </c>
      <c r="K52">
        <v>28</v>
      </c>
      <c r="AA52" s="1" t="s">
        <v>87</v>
      </c>
      <c r="AB52" s="1" t="s">
        <v>308</v>
      </c>
      <c r="AC52" s="9" t="e">
        <v>#N/A</v>
      </c>
      <c r="AD52" s="45">
        <v>0.16297062524273637</v>
      </c>
    </row>
    <row r="53" spans="1:30">
      <c r="A53" s="1" t="s">
        <v>59</v>
      </c>
      <c r="B53" s="1" t="s">
        <v>241</v>
      </c>
      <c r="C53" s="34">
        <v>0.2906523672806135</v>
      </c>
      <c r="D53" s="34">
        <v>0.36606780630789576</v>
      </c>
      <c r="E53" s="34">
        <v>7.5415439027282261E-2</v>
      </c>
      <c r="F53" s="41">
        <v>0.25946955028400509</v>
      </c>
      <c r="H53">
        <v>90</v>
      </c>
      <c r="I53">
        <v>113</v>
      </c>
      <c r="J53">
        <v>-23</v>
      </c>
      <c r="K53">
        <v>23</v>
      </c>
      <c r="AA53" s="1" t="s">
        <v>28</v>
      </c>
      <c r="AB53" s="1" t="s">
        <v>315</v>
      </c>
      <c r="AC53" s="9">
        <v>0.21877896460359131</v>
      </c>
      <c r="AD53" s="45">
        <v>0.1654387584209287</v>
      </c>
    </row>
    <row r="54" spans="1:30">
      <c r="A54" s="1" t="s">
        <v>71</v>
      </c>
      <c r="B54" s="1" t="s">
        <v>242</v>
      </c>
      <c r="C54" s="34">
        <v>0.21971730361731454</v>
      </c>
      <c r="D54" s="34">
        <v>0.29888497352636717</v>
      </c>
      <c r="E54" s="34">
        <v>7.9167669909052635E-2</v>
      </c>
      <c r="F54" s="41">
        <v>0.36031604523483662</v>
      </c>
      <c r="H54">
        <v>37</v>
      </c>
      <c r="I54">
        <v>70</v>
      </c>
      <c r="J54">
        <v>-33</v>
      </c>
      <c r="K54">
        <v>33</v>
      </c>
      <c r="AA54" s="1" t="s">
        <v>105</v>
      </c>
      <c r="AB54" s="1" t="s">
        <v>254</v>
      </c>
      <c r="AC54" s="9">
        <v>0.51582011519749726</v>
      </c>
      <c r="AD54" s="45">
        <v>0.17282973325736714</v>
      </c>
    </row>
    <row r="55" spans="1:30">
      <c r="A55" s="1" t="s">
        <v>126</v>
      </c>
      <c r="B55" s="1" t="s">
        <v>243</v>
      </c>
      <c r="C55" s="34">
        <v>0.23270622936889537</v>
      </c>
      <c r="D55" s="34">
        <v>0.25942376673836265</v>
      </c>
      <c r="E55" s="34">
        <v>2.6717537369467276E-2</v>
      </c>
      <c r="F55" s="41">
        <v>0.11481229979070973</v>
      </c>
      <c r="H55">
        <v>44</v>
      </c>
      <c r="I55">
        <v>49</v>
      </c>
      <c r="J55">
        <v>-5</v>
      </c>
      <c r="K55">
        <v>5</v>
      </c>
      <c r="AA55" s="1" t="s">
        <v>31</v>
      </c>
      <c r="AB55" s="1" t="s">
        <v>281</v>
      </c>
      <c r="AC55" s="9">
        <v>0.53344504994105768</v>
      </c>
      <c r="AD55" s="45">
        <v>0.17969513043627564</v>
      </c>
    </row>
    <row r="56" spans="1:30">
      <c r="A56" s="1" t="s">
        <v>84</v>
      </c>
      <c r="B56" s="1" t="s">
        <v>244</v>
      </c>
      <c r="C56" s="34">
        <v>0.29933438065532264</v>
      </c>
      <c r="D56" s="34">
        <v>0.36274571464587368</v>
      </c>
      <c r="E56" s="34">
        <v>6.3411333990551044E-2</v>
      </c>
      <c r="F56" s="41">
        <v>0.21184113181962846</v>
      </c>
      <c r="H56">
        <v>94</v>
      </c>
      <c r="I56">
        <v>111</v>
      </c>
      <c r="J56">
        <v>-17</v>
      </c>
      <c r="K56">
        <v>17</v>
      </c>
      <c r="AA56" s="1" t="s">
        <v>41</v>
      </c>
      <c r="AB56" s="1" t="s">
        <v>235</v>
      </c>
      <c r="AC56" s="9">
        <v>0.71798492274823433</v>
      </c>
      <c r="AD56" s="45">
        <v>0.17971153121547512</v>
      </c>
    </row>
    <row r="57" spans="1:30">
      <c r="A57" s="1" t="s">
        <v>134</v>
      </c>
      <c r="B57" s="1" t="s">
        <v>245</v>
      </c>
      <c r="C57" s="34">
        <v>0.44653479542414742</v>
      </c>
      <c r="D57" s="34">
        <v>0.42427069512376903</v>
      </c>
      <c r="E57" s="34">
        <v>2.2264100300378398E-2</v>
      </c>
      <c r="F57" s="41">
        <v>4.9859720963582523E-2</v>
      </c>
      <c r="H57">
        <v>144</v>
      </c>
      <c r="I57">
        <v>126</v>
      </c>
      <c r="J57">
        <v>18</v>
      </c>
      <c r="K57">
        <v>18</v>
      </c>
      <c r="AA57" s="1" t="s">
        <v>101</v>
      </c>
      <c r="AB57" s="1" t="s">
        <v>359</v>
      </c>
      <c r="AC57" s="9">
        <v>0.61381297372098409</v>
      </c>
      <c r="AD57" s="45">
        <v>0.18593570214664201</v>
      </c>
    </row>
    <row r="58" spans="1:30">
      <c r="A58" s="1" t="s">
        <v>178</v>
      </c>
      <c r="B58" s="1" t="s">
        <v>246</v>
      </c>
      <c r="C58" s="34">
        <v>0.4674508779835656</v>
      </c>
      <c r="D58" s="34">
        <v>0.46693819393505648</v>
      </c>
      <c r="E58" s="34">
        <v>5.1268404850912663E-4</v>
      </c>
      <c r="F58" s="41">
        <v>1.0967656125081689E-3</v>
      </c>
      <c r="H58">
        <v>152</v>
      </c>
      <c r="I58">
        <v>143</v>
      </c>
      <c r="J58">
        <v>9</v>
      </c>
      <c r="K58">
        <v>9</v>
      </c>
      <c r="AA58" s="1" t="s">
        <v>48</v>
      </c>
      <c r="AB58" s="1" t="s">
        <v>333</v>
      </c>
      <c r="AC58" s="9">
        <v>0.20484344590544082</v>
      </c>
      <c r="AD58" s="45">
        <v>0.19323607222498046</v>
      </c>
    </row>
    <row r="59" spans="1:30">
      <c r="A59" s="1" t="s">
        <v>58</v>
      </c>
      <c r="B59" s="1" t="s">
        <v>247</v>
      </c>
      <c r="C59" s="34">
        <v>0.2555974398531653</v>
      </c>
      <c r="D59" s="34">
        <v>0.22634500505344124</v>
      </c>
      <c r="E59" s="34">
        <v>2.9252434799724059E-2</v>
      </c>
      <c r="F59" s="41">
        <v>0.11444729186852926</v>
      </c>
      <c r="H59">
        <v>63</v>
      </c>
      <c r="I59">
        <v>37</v>
      </c>
      <c r="J59">
        <v>26</v>
      </c>
      <c r="K59">
        <v>26</v>
      </c>
      <c r="AA59" s="1" t="s">
        <v>109</v>
      </c>
      <c r="AB59" s="1" t="s">
        <v>209</v>
      </c>
      <c r="AC59" s="9">
        <v>0.4714411613017081</v>
      </c>
      <c r="AD59" s="45">
        <v>0.19420540210282719</v>
      </c>
    </row>
    <row r="60" spans="1:30">
      <c r="A60" s="1" t="s">
        <v>184</v>
      </c>
      <c r="B60" s="1" t="s">
        <v>248</v>
      </c>
      <c r="C60" s="34">
        <v>0.56462408800727315</v>
      </c>
      <c r="D60" s="34">
        <v>0.53215958183361356</v>
      </c>
      <c r="E60" s="34">
        <v>3.2464506173659591E-2</v>
      </c>
      <c r="F60" s="41">
        <v>5.7497557867636356E-2</v>
      </c>
      <c r="H60">
        <v>184</v>
      </c>
      <c r="I60">
        <v>175</v>
      </c>
      <c r="J60">
        <v>9</v>
      </c>
      <c r="K60">
        <v>9</v>
      </c>
      <c r="AA60" s="1" t="s">
        <v>144</v>
      </c>
      <c r="AB60" s="1" t="s">
        <v>283</v>
      </c>
      <c r="AC60" s="9">
        <v>0.68541509138953116</v>
      </c>
      <c r="AD60" s="45">
        <v>0.19440265012991845</v>
      </c>
    </row>
    <row r="61" spans="1:30">
      <c r="A61" s="1" t="s">
        <v>108</v>
      </c>
      <c r="B61" s="1" t="s">
        <v>249</v>
      </c>
      <c r="C61" s="34">
        <v>0.32392751567078631</v>
      </c>
      <c r="D61" s="34">
        <v>0.41315763916070158</v>
      </c>
      <c r="E61" s="34">
        <v>8.923012348991527E-2</v>
      </c>
      <c r="F61" s="41">
        <v>0.27546324153765789</v>
      </c>
      <c r="H61">
        <v>104</v>
      </c>
      <c r="I61">
        <v>124</v>
      </c>
      <c r="J61">
        <v>-20</v>
      </c>
      <c r="K61">
        <v>20</v>
      </c>
      <c r="AA61" s="1" t="s">
        <v>63</v>
      </c>
      <c r="AB61" s="1" t="s">
        <v>269</v>
      </c>
      <c r="AC61" s="9">
        <v>0.53116691766136426</v>
      </c>
      <c r="AD61" s="45">
        <v>0.19618125693919039</v>
      </c>
    </row>
    <row r="62" spans="1:30">
      <c r="A62" s="1" t="s">
        <v>77</v>
      </c>
      <c r="B62" s="1" t="s">
        <v>250</v>
      </c>
      <c r="C62" s="34">
        <v>0.17587638512544443</v>
      </c>
      <c r="D62" s="34">
        <v>0.17203213717979254</v>
      </c>
      <c r="E62" s="34">
        <v>3.8442479456518852E-3</v>
      </c>
      <c r="F62" s="41">
        <v>2.1857669765670714E-2</v>
      </c>
      <c r="H62">
        <v>13</v>
      </c>
      <c r="I62">
        <v>11</v>
      </c>
      <c r="J62">
        <v>2</v>
      </c>
      <c r="K62">
        <v>2</v>
      </c>
      <c r="AA62" s="1" t="s">
        <v>10</v>
      </c>
      <c r="AB62" s="1" t="s">
        <v>376</v>
      </c>
      <c r="AC62" s="9">
        <v>0.3720835986599943</v>
      </c>
      <c r="AD62" s="45">
        <v>0.19748592526564387</v>
      </c>
    </row>
    <row r="63" spans="1:30">
      <c r="A63" s="1" t="s">
        <v>40</v>
      </c>
      <c r="B63" s="1" t="s">
        <v>251</v>
      </c>
      <c r="C63" s="34">
        <v>0.12667107082012879</v>
      </c>
      <c r="D63" s="34">
        <v>0.13699889109462937</v>
      </c>
      <c r="E63" s="34">
        <v>1.0327820274500576E-2</v>
      </c>
      <c r="F63" s="41">
        <v>8.1532588361599476E-2</v>
      </c>
      <c r="H63">
        <v>2</v>
      </c>
      <c r="I63">
        <v>4</v>
      </c>
      <c r="J63">
        <v>-2</v>
      </c>
      <c r="K63">
        <v>2</v>
      </c>
      <c r="AA63" s="1" t="s">
        <v>61</v>
      </c>
      <c r="AB63" s="1" t="s">
        <v>285</v>
      </c>
      <c r="AC63" s="9">
        <v>0.16661018108735778</v>
      </c>
      <c r="AD63" s="45">
        <v>0.19817318471501771</v>
      </c>
    </row>
    <row r="64" spans="1:30">
      <c r="A64" s="1" t="s">
        <v>25</v>
      </c>
      <c r="B64" s="1" t="s">
        <v>252</v>
      </c>
      <c r="C64" s="34">
        <v>0.36316424526394359</v>
      </c>
      <c r="D64" s="34">
        <v>0.34487788411167503</v>
      </c>
      <c r="E64" s="34">
        <v>1.828636115226856E-2</v>
      </c>
      <c r="F64" s="41">
        <v>5.0352867581934573E-2</v>
      </c>
      <c r="H64">
        <v>119</v>
      </c>
      <c r="I64">
        <v>96</v>
      </c>
      <c r="J64">
        <v>23</v>
      </c>
      <c r="K64">
        <v>23</v>
      </c>
      <c r="AA64" s="1" t="s">
        <v>74</v>
      </c>
      <c r="AB64" s="1" t="s">
        <v>194</v>
      </c>
      <c r="AC64" s="9">
        <v>0.43158251643857992</v>
      </c>
      <c r="AD64" s="45">
        <v>0.20178182539446685</v>
      </c>
    </row>
    <row r="65" spans="1:30">
      <c r="A65" s="1" t="s">
        <v>95</v>
      </c>
      <c r="B65" s="1" t="s">
        <v>253</v>
      </c>
      <c r="C65" s="34">
        <v>0.42964870120945747</v>
      </c>
      <c r="D65" s="34">
        <v>0.45483416884471223</v>
      </c>
      <c r="E65" s="34">
        <v>2.5185467635254755E-2</v>
      </c>
      <c r="F65" s="41">
        <v>5.8618744952231613E-2</v>
      </c>
      <c r="H65">
        <v>137</v>
      </c>
      <c r="I65">
        <v>136</v>
      </c>
      <c r="J65">
        <v>1</v>
      </c>
      <c r="K65">
        <v>1</v>
      </c>
      <c r="AA65" s="1" t="s">
        <v>12</v>
      </c>
      <c r="AB65" s="1" t="s">
        <v>266</v>
      </c>
      <c r="AC65" s="9">
        <v>0.12795637679665897</v>
      </c>
      <c r="AD65" s="45">
        <v>0.20499643814183705</v>
      </c>
    </row>
    <row r="66" spans="1:30">
      <c r="A66" s="1" t="s">
        <v>105</v>
      </c>
      <c r="B66" s="1" t="s">
        <v>254</v>
      </c>
      <c r="C66" s="34">
        <v>0.25538341801379622</v>
      </c>
      <c r="D66" s="34">
        <v>0.29140705183801241</v>
      </c>
      <c r="E66" s="34">
        <v>3.6023633824216195E-2</v>
      </c>
      <c r="F66" s="41">
        <v>0.14105705885050901</v>
      </c>
      <c r="H66">
        <v>62</v>
      </c>
      <c r="I66">
        <v>64</v>
      </c>
      <c r="J66">
        <v>-2</v>
      </c>
      <c r="K66">
        <v>2</v>
      </c>
      <c r="AA66" s="1" t="s">
        <v>77</v>
      </c>
      <c r="AB66" s="1" t="s">
        <v>250</v>
      </c>
      <c r="AC66" s="9">
        <v>0.13197146435786861</v>
      </c>
      <c r="AD66" s="45">
        <v>0.20780843919152814</v>
      </c>
    </row>
    <row r="67" spans="1:30">
      <c r="A67" s="1" t="s">
        <v>44</v>
      </c>
      <c r="B67" s="1" t="s">
        <v>255</v>
      </c>
      <c r="C67" s="34">
        <v>0.13954152344871021</v>
      </c>
      <c r="D67" s="34">
        <v>0.12590584789547718</v>
      </c>
      <c r="E67" s="34">
        <v>1.3635675553233029E-2</v>
      </c>
      <c r="F67" s="41">
        <v>9.7717691596257719E-2</v>
      </c>
      <c r="H67">
        <v>5</v>
      </c>
      <c r="I67">
        <v>2</v>
      </c>
      <c r="J67">
        <v>3</v>
      </c>
      <c r="K67">
        <v>3</v>
      </c>
      <c r="AA67" s="1" t="s">
        <v>110</v>
      </c>
      <c r="AB67" s="1" t="s">
        <v>202</v>
      </c>
      <c r="AC67" s="9">
        <v>0.55064509263000294</v>
      </c>
      <c r="AD67" s="45">
        <v>0.2183819194120874</v>
      </c>
    </row>
    <row r="68" spans="1:30">
      <c r="A68" s="1" t="s">
        <v>112</v>
      </c>
      <c r="B68" s="1" t="s">
        <v>256</v>
      </c>
      <c r="C68" s="34">
        <v>0.4285810394865634</v>
      </c>
      <c r="D68" s="34">
        <v>0.42818229775785865</v>
      </c>
      <c r="E68" s="34">
        <v>3.9874172870474345E-4</v>
      </c>
      <c r="F68" s="41">
        <v>9.3037650284863926E-4</v>
      </c>
      <c r="H68">
        <v>136</v>
      </c>
      <c r="I68">
        <v>128</v>
      </c>
      <c r="J68">
        <v>8</v>
      </c>
      <c r="K68">
        <v>8</v>
      </c>
      <c r="AA68" s="1" t="s">
        <v>82</v>
      </c>
      <c r="AB68" s="1" t="s">
        <v>271</v>
      </c>
      <c r="AC68" s="9">
        <v>0.2926476612017555</v>
      </c>
      <c r="AD68" s="45">
        <v>0.23088209320156922</v>
      </c>
    </row>
    <row r="69" spans="1:30">
      <c r="A69" s="1" t="s">
        <v>83</v>
      </c>
      <c r="B69" s="1" t="s">
        <v>257</v>
      </c>
      <c r="C69" s="34">
        <v>0.19208848852392316</v>
      </c>
      <c r="D69" s="34">
        <v>0.21010178311160288</v>
      </c>
      <c r="E69" s="34">
        <v>1.8013294587679723E-2</v>
      </c>
      <c r="F69" s="41">
        <v>9.3776023363504712E-2</v>
      </c>
      <c r="H69">
        <v>22</v>
      </c>
      <c r="I69">
        <v>28</v>
      </c>
      <c r="J69">
        <v>-6</v>
      </c>
      <c r="K69">
        <v>6</v>
      </c>
      <c r="AA69" s="1" t="s">
        <v>78</v>
      </c>
      <c r="AB69" s="1" t="s">
        <v>232</v>
      </c>
      <c r="AC69" s="9">
        <v>0.3399409535217166</v>
      </c>
      <c r="AD69" s="45">
        <v>0.24631105230043682</v>
      </c>
    </row>
    <row r="70" spans="1:30">
      <c r="A70" s="1" t="s">
        <v>155</v>
      </c>
      <c r="B70" s="1" t="s">
        <v>258</v>
      </c>
      <c r="C70" s="34">
        <v>0.30956420874186574</v>
      </c>
      <c r="D70" s="34">
        <v>0.32979787981619219</v>
      </c>
      <c r="E70" s="34">
        <v>2.0233671074326443E-2</v>
      </c>
      <c r="F70" s="41">
        <v>6.5361790875503187E-2</v>
      </c>
      <c r="H70">
        <v>100</v>
      </c>
      <c r="I70">
        <v>91</v>
      </c>
      <c r="J70">
        <v>9</v>
      </c>
      <c r="K70">
        <v>9</v>
      </c>
      <c r="AA70" s="1" t="s">
        <v>69</v>
      </c>
      <c r="AB70" s="1" t="s">
        <v>201</v>
      </c>
      <c r="AC70" s="9">
        <v>0.14174504735159599</v>
      </c>
      <c r="AD70" s="45">
        <v>0.24702630511590368</v>
      </c>
    </row>
    <row r="71" spans="1:30">
      <c r="A71" s="1" t="s">
        <v>115</v>
      </c>
      <c r="B71" s="1" t="s">
        <v>259</v>
      </c>
      <c r="C71" s="34">
        <v>0.32401015442681486</v>
      </c>
      <c r="D71" s="34">
        <v>0.35829724752823844</v>
      </c>
      <c r="E71" s="34">
        <v>3.4287093101423582E-2</v>
      </c>
      <c r="F71" s="41">
        <v>0.10582104490545562</v>
      </c>
      <c r="H71">
        <v>105</v>
      </c>
      <c r="I71">
        <v>109</v>
      </c>
      <c r="J71">
        <v>-4</v>
      </c>
      <c r="K71">
        <v>4</v>
      </c>
      <c r="AA71" s="1" t="s">
        <v>0</v>
      </c>
      <c r="AB71" s="1" t="s">
        <v>346</v>
      </c>
      <c r="AC71" s="9">
        <v>0.55863222551113823</v>
      </c>
      <c r="AD71" s="45">
        <v>0.25</v>
      </c>
    </row>
    <row r="72" spans="1:30">
      <c r="A72" s="1" t="s">
        <v>147</v>
      </c>
      <c r="B72" s="1" t="s">
        <v>260</v>
      </c>
      <c r="C72" s="34">
        <v>0.49187351166469018</v>
      </c>
      <c r="D72" s="34">
        <v>0.50812286720441735</v>
      </c>
      <c r="E72" s="34">
        <v>1.6249355539727173E-2</v>
      </c>
      <c r="F72" s="41">
        <v>3.3035638541976109E-2</v>
      </c>
      <c r="H72">
        <v>165</v>
      </c>
      <c r="I72">
        <v>162</v>
      </c>
      <c r="J72">
        <v>3</v>
      </c>
      <c r="K72">
        <v>3</v>
      </c>
      <c r="AA72" s="1" t="s">
        <v>2</v>
      </c>
      <c r="AB72" s="1" t="s">
        <v>305</v>
      </c>
      <c r="AC72" s="9">
        <v>0.30213276579791121</v>
      </c>
      <c r="AD72" s="45">
        <v>0.25000000000003275</v>
      </c>
    </row>
    <row r="73" spans="1:30">
      <c r="A73" s="1" t="s">
        <v>156</v>
      </c>
      <c r="B73" s="1" t="s">
        <v>261</v>
      </c>
      <c r="C73" s="34">
        <v>0.47992980972441263</v>
      </c>
      <c r="D73" s="34">
        <v>0.4907313977197395</v>
      </c>
      <c r="E73" s="34">
        <v>1.0801587995326878E-2</v>
      </c>
      <c r="F73" s="41">
        <v>2.2506599457802826E-2</v>
      </c>
      <c r="H73">
        <v>157</v>
      </c>
      <c r="I73">
        <v>153</v>
      </c>
      <c r="J73">
        <v>4</v>
      </c>
      <c r="K73">
        <v>4</v>
      </c>
      <c r="AA73" s="1" t="s">
        <v>151</v>
      </c>
      <c r="AB73" s="1" t="s">
        <v>335</v>
      </c>
      <c r="AC73" s="9">
        <v>0.5652875187151517</v>
      </c>
      <c r="AD73" s="45">
        <v>0.25063032653632239</v>
      </c>
    </row>
    <row r="74" spans="1:30">
      <c r="A74" s="1" t="s">
        <v>162</v>
      </c>
      <c r="B74" s="1" t="s">
        <v>262</v>
      </c>
      <c r="C74" s="34">
        <v>0.35254313721396296</v>
      </c>
      <c r="D74" s="34">
        <v>0.40243904985727919</v>
      </c>
      <c r="E74" s="34">
        <v>4.989591264331622E-2</v>
      </c>
      <c r="F74" s="41">
        <v>0.14153136843799557</v>
      </c>
      <c r="H74">
        <v>116</v>
      </c>
      <c r="I74">
        <v>119</v>
      </c>
      <c r="J74">
        <v>-3</v>
      </c>
      <c r="K74">
        <v>3</v>
      </c>
      <c r="AA74" s="1" t="s">
        <v>3</v>
      </c>
      <c r="AB74" s="1" t="s">
        <v>282</v>
      </c>
      <c r="AC74" s="9">
        <v>0.51968742563159387</v>
      </c>
      <c r="AD74" s="45">
        <v>0.25075605718943711</v>
      </c>
    </row>
    <row r="75" spans="1:30">
      <c r="A75" s="1" t="s">
        <v>121</v>
      </c>
      <c r="B75" s="1" t="s">
        <v>263</v>
      </c>
      <c r="C75" s="34">
        <v>0.4663835113290109</v>
      </c>
      <c r="D75" s="34">
        <v>0.52475109063469627</v>
      </c>
      <c r="E75" s="34">
        <v>5.8367579305685369E-2</v>
      </c>
      <c r="F75" s="41">
        <v>0.1251493200078205</v>
      </c>
      <c r="H75">
        <v>151</v>
      </c>
      <c r="I75">
        <v>171</v>
      </c>
      <c r="J75">
        <v>-20</v>
      </c>
      <c r="K75">
        <v>20</v>
      </c>
      <c r="AA75" s="1" t="s">
        <v>27</v>
      </c>
      <c r="AB75" s="1" t="s">
        <v>341</v>
      </c>
      <c r="AC75" s="9">
        <v>0.33788818515248409</v>
      </c>
      <c r="AD75" s="45">
        <v>0.25303091218189994</v>
      </c>
    </row>
    <row r="76" spans="1:30">
      <c r="A76" s="1" t="s">
        <v>119</v>
      </c>
      <c r="B76" s="1" t="s">
        <v>264</v>
      </c>
      <c r="C76" s="34">
        <v>0.31535302114222064</v>
      </c>
      <c r="D76" s="34">
        <v>0.37456623444556902</v>
      </c>
      <c r="E76" s="34">
        <v>5.9213213303348389E-2</v>
      </c>
      <c r="F76" s="41">
        <v>0.18776802292515188</v>
      </c>
      <c r="H76">
        <v>102</v>
      </c>
      <c r="I76">
        <v>115</v>
      </c>
      <c r="J76">
        <v>-13</v>
      </c>
      <c r="K76">
        <v>13</v>
      </c>
      <c r="AA76" s="1" t="s">
        <v>76</v>
      </c>
      <c r="AB76" s="1" t="s">
        <v>280</v>
      </c>
      <c r="AC76" s="9">
        <v>0.66244867909798133</v>
      </c>
      <c r="AD76" s="45">
        <v>0.25315802688598515</v>
      </c>
    </row>
    <row r="77" spans="1:30">
      <c r="A77" s="1" t="s">
        <v>64</v>
      </c>
      <c r="B77" s="1" t="s">
        <v>265</v>
      </c>
      <c r="C77" s="34">
        <v>0.19957429199089116</v>
      </c>
      <c r="D77" s="34">
        <v>0.19716672407960811</v>
      </c>
      <c r="E77" s="34">
        <v>2.4075679112830484E-3</v>
      </c>
      <c r="F77" s="41">
        <v>1.2063517235942057E-2</v>
      </c>
      <c r="H77">
        <v>28</v>
      </c>
      <c r="I77">
        <v>20</v>
      </c>
      <c r="J77">
        <v>8</v>
      </c>
      <c r="K77">
        <v>8</v>
      </c>
      <c r="AA77" s="1" t="s">
        <v>75</v>
      </c>
      <c r="AB77" s="1" t="s">
        <v>199</v>
      </c>
      <c r="AC77" s="9">
        <v>0.4759953846412836</v>
      </c>
      <c r="AD77" s="45">
        <v>0.25960598542851326</v>
      </c>
    </row>
    <row r="78" spans="1:30">
      <c r="A78" s="1" t="s">
        <v>12</v>
      </c>
      <c r="B78" s="1" t="s">
        <v>266</v>
      </c>
      <c r="C78" s="34">
        <v>0.21815733344437974</v>
      </c>
      <c r="D78" s="34">
        <v>0.20084410397759303</v>
      </c>
      <c r="E78" s="34">
        <v>1.7313229466786706E-2</v>
      </c>
      <c r="F78" s="41">
        <v>7.9361207773475093E-2</v>
      </c>
      <c r="H78">
        <v>36</v>
      </c>
      <c r="I78">
        <v>22</v>
      </c>
      <c r="J78">
        <v>14</v>
      </c>
      <c r="K78">
        <v>14</v>
      </c>
      <c r="AA78" s="1" t="s">
        <v>171</v>
      </c>
      <c r="AB78" s="1" t="s">
        <v>356</v>
      </c>
      <c r="AC78" s="9">
        <v>0.59793151149109203</v>
      </c>
      <c r="AD78" s="45">
        <v>0.26064877890114108</v>
      </c>
    </row>
    <row r="79" spans="1:30">
      <c r="A79" s="1" t="s">
        <v>159</v>
      </c>
      <c r="B79" s="1" t="s">
        <v>267</v>
      </c>
      <c r="C79" s="34">
        <v>0.41069010527260835</v>
      </c>
      <c r="D79" s="34">
        <v>0.42912814673586652</v>
      </c>
      <c r="E79" s="34">
        <v>1.843804146325817E-2</v>
      </c>
      <c r="F79" s="41">
        <v>4.4895265862369256E-2</v>
      </c>
      <c r="H79">
        <v>129</v>
      </c>
      <c r="I79">
        <v>129</v>
      </c>
      <c r="J79">
        <v>0</v>
      </c>
      <c r="K79">
        <v>0</v>
      </c>
      <c r="AA79" s="1" t="s">
        <v>39</v>
      </c>
      <c r="AB79" s="1" t="s">
        <v>302</v>
      </c>
      <c r="AC79" s="9">
        <v>0.36423228610174541</v>
      </c>
      <c r="AD79" s="45">
        <v>0.27114929806743787</v>
      </c>
    </row>
    <row r="80" spans="1:30">
      <c r="A80" s="1" t="s">
        <v>107</v>
      </c>
      <c r="B80" s="1" t="s">
        <v>268</v>
      </c>
      <c r="C80" s="34">
        <v>0.2638128452526905</v>
      </c>
      <c r="D80" s="34">
        <v>0.32187807971801935</v>
      </c>
      <c r="E80" s="34">
        <v>5.8065234465328852E-2</v>
      </c>
      <c r="F80" s="41">
        <v>0.22010010319896156</v>
      </c>
      <c r="H80">
        <v>74</v>
      </c>
      <c r="I80">
        <v>87</v>
      </c>
      <c r="J80">
        <v>-13</v>
      </c>
      <c r="K80">
        <v>13</v>
      </c>
      <c r="AA80" s="1" t="s">
        <v>83</v>
      </c>
      <c r="AB80" s="1" t="s">
        <v>257</v>
      </c>
      <c r="AC80" s="9">
        <v>0.17997360776834653</v>
      </c>
      <c r="AD80" s="45">
        <v>0.27117573616612817</v>
      </c>
    </row>
    <row r="81" spans="1:30">
      <c r="A81" s="1" t="s">
        <v>63</v>
      </c>
      <c r="B81" s="1" t="s">
        <v>269</v>
      </c>
      <c r="C81" s="34">
        <v>0.21511925412455832</v>
      </c>
      <c r="D81" s="34">
        <v>0.28447667788123243</v>
      </c>
      <c r="E81" s="34">
        <v>6.9357423756674114E-2</v>
      </c>
      <c r="F81" s="41">
        <v>0.32241383524189232</v>
      </c>
      <c r="H81">
        <v>35</v>
      </c>
      <c r="I81">
        <v>60</v>
      </c>
      <c r="J81">
        <v>-25</v>
      </c>
      <c r="K81">
        <v>25</v>
      </c>
      <c r="AA81" s="1" t="s">
        <v>18</v>
      </c>
      <c r="AB81" s="1" t="s">
        <v>226</v>
      </c>
      <c r="AC81" s="9">
        <v>0.32771005121851665</v>
      </c>
      <c r="AD81" s="45">
        <v>0.27221014689471035</v>
      </c>
    </row>
    <row r="82" spans="1:30">
      <c r="A82" s="1" t="s">
        <v>68</v>
      </c>
      <c r="B82" s="1" t="s">
        <v>270</v>
      </c>
      <c r="C82" s="34">
        <v>0.37721308913011925</v>
      </c>
      <c r="D82" s="34">
        <v>0.42933604919975332</v>
      </c>
      <c r="E82" s="34">
        <v>5.2122960069634072E-2</v>
      </c>
      <c r="F82" s="41">
        <v>0.1381790864941442</v>
      </c>
      <c r="H82">
        <v>123</v>
      </c>
      <c r="I82">
        <v>130</v>
      </c>
      <c r="J82">
        <v>-7</v>
      </c>
      <c r="K82">
        <v>7</v>
      </c>
      <c r="AA82" s="1" t="s">
        <v>26</v>
      </c>
      <c r="AB82" s="1" t="s">
        <v>203</v>
      </c>
      <c r="AC82" s="9">
        <v>0.38603742501835586</v>
      </c>
      <c r="AD82" s="45">
        <v>0.27243257731173498</v>
      </c>
    </row>
    <row r="83" spans="1:30">
      <c r="A83" s="1" t="s">
        <v>82</v>
      </c>
      <c r="B83" s="1" t="s">
        <v>271</v>
      </c>
      <c r="C83" s="34">
        <v>0.15073200718952398</v>
      </c>
      <c r="D83" s="34">
        <v>0.19009173044814914</v>
      </c>
      <c r="E83" s="34">
        <v>3.9359723258625162E-2</v>
      </c>
      <c r="F83" s="41">
        <v>0.26112385811419553</v>
      </c>
      <c r="H83">
        <v>8</v>
      </c>
      <c r="I83">
        <v>18</v>
      </c>
      <c r="J83">
        <v>-10</v>
      </c>
      <c r="K83">
        <v>10</v>
      </c>
      <c r="AA83" s="1" t="s">
        <v>157</v>
      </c>
      <c r="AB83" s="1" t="s">
        <v>197</v>
      </c>
      <c r="AC83" s="9">
        <v>0.52076542442406637</v>
      </c>
      <c r="AD83" s="45">
        <v>0.27500000000000002</v>
      </c>
    </row>
    <row r="84" spans="1:30">
      <c r="A84" s="1" t="s">
        <v>11</v>
      </c>
      <c r="B84" s="1" t="s">
        <v>272</v>
      </c>
      <c r="C84" s="34">
        <v>0.22227758370008968</v>
      </c>
      <c r="D84" s="34">
        <v>0.22977649079660875</v>
      </c>
      <c r="E84" s="34">
        <v>7.4989070965190696E-3</v>
      </c>
      <c r="F84" s="41">
        <v>3.3736677228942018E-2</v>
      </c>
      <c r="H84">
        <v>39</v>
      </c>
      <c r="I84">
        <v>38</v>
      </c>
      <c r="J84">
        <v>1</v>
      </c>
      <c r="K84">
        <v>1</v>
      </c>
      <c r="AA84" s="1" t="s">
        <v>79</v>
      </c>
      <c r="AB84" s="1" t="s">
        <v>351</v>
      </c>
      <c r="AC84" s="9">
        <v>0.4244298196925862</v>
      </c>
      <c r="AD84" s="45">
        <v>0.27989720746073432</v>
      </c>
    </row>
    <row r="85" spans="1:30">
      <c r="A85" s="1" t="s">
        <v>62</v>
      </c>
      <c r="B85" s="1" t="s">
        <v>273</v>
      </c>
      <c r="C85" s="34">
        <v>0.18337245706852615</v>
      </c>
      <c r="D85" s="34">
        <v>0.17473025800159203</v>
      </c>
      <c r="E85" s="34">
        <v>8.6421990669341142E-3</v>
      </c>
      <c r="F85" s="41">
        <v>4.7129210161068691E-2</v>
      </c>
      <c r="H85">
        <v>16</v>
      </c>
      <c r="I85">
        <v>13</v>
      </c>
      <c r="J85">
        <v>3</v>
      </c>
      <c r="K85">
        <v>3</v>
      </c>
      <c r="AA85" s="1" t="s">
        <v>13</v>
      </c>
      <c r="AB85" s="1" t="s">
        <v>198</v>
      </c>
      <c r="AC85" s="9">
        <v>0.3287563027540058</v>
      </c>
      <c r="AD85" s="45">
        <v>0.28226638190309072</v>
      </c>
    </row>
    <row r="86" spans="1:30">
      <c r="A86" s="1" t="s">
        <v>104</v>
      </c>
      <c r="B86" s="1" t="s">
        <v>274</v>
      </c>
      <c r="C86" s="34">
        <v>0.32537721883751325</v>
      </c>
      <c r="D86" s="34">
        <v>0.35171086151848407</v>
      </c>
      <c r="E86" s="34">
        <v>2.6333642680970826E-2</v>
      </c>
      <c r="F86" s="41">
        <v>8.0932656487304078E-2</v>
      </c>
      <c r="H86">
        <v>106</v>
      </c>
      <c r="I86">
        <v>104</v>
      </c>
      <c r="J86">
        <v>2</v>
      </c>
      <c r="K86">
        <v>2</v>
      </c>
      <c r="AA86" s="1" t="s">
        <v>57</v>
      </c>
      <c r="AB86" s="1" t="s">
        <v>368</v>
      </c>
      <c r="AC86" s="9">
        <v>0.42195272691059094</v>
      </c>
      <c r="AD86" s="45">
        <v>0.28858337560069985</v>
      </c>
    </row>
    <row r="87" spans="1:30">
      <c r="A87" s="1" t="s">
        <v>70</v>
      </c>
      <c r="B87" s="1" t="s">
        <v>275</v>
      </c>
      <c r="C87" s="34">
        <v>0.2374925044253442</v>
      </c>
      <c r="D87" s="34">
        <v>0.24138384523300757</v>
      </c>
      <c r="E87" s="34">
        <v>3.8913408076633738E-3</v>
      </c>
      <c r="F87" s="41">
        <v>1.6385109993593997E-2</v>
      </c>
      <c r="H87">
        <v>48</v>
      </c>
      <c r="I87">
        <v>41</v>
      </c>
      <c r="J87">
        <v>7</v>
      </c>
      <c r="K87">
        <v>7</v>
      </c>
      <c r="AA87" s="1" t="s">
        <v>46</v>
      </c>
      <c r="AB87" s="1" t="s">
        <v>228</v>
      </c>
      <c r="AC87" s="9">
        <v>0.31771045709783408</v>
      </c>
      <c r="AD87" s="45">
        <v>0.30106645200087523</v>
      </c>
    </row>
    <row r="88" spans="1:30">
      <c r="A88" s="1" t="s">
        <v>35</v>
      </c>
      <c r="B88" s="1" t="s">
        <v>276</v>
      </c>
      <c r="C88" s="34">
        <v>0.27299332759444578</v>
      </c>
      <c r="D88" s="34">
        <v>0.30087231437862427</v>
      </c>
      <c r="E88" s="34">
        <v>2.7878986784178494E-2</v>
      </c>
      <c r="F88" s="41">
        <v>0.10212332671220097</v>
      </c>
      <c r="H88">
        <v>79</v>
      </c>
      <c r="I88">
        <v>72</v>
      </c>
      <c r="J88">
        <v>7</v>
      </c>
      <c r="K88">
        <v>7</v>
      </c>
      <c r="AA88" s="1" t="s">
        <v>71</v>
      </c>
      <c r="AB88" s="1" t="s">
        <v>242</v>
      </c>
      <c r="AC88" s="9">
        <v>0.53533801580748119</v>
      </c>
      <c r="AD88" s="45">
        <v>0.30295772347214545</v>
      </c>
    </row>
    <row r="89" spans="1:30">
      <c r="A89" s="1" t="s">
        <v>92</v>
      </c>
      <c r="B89" s="1" t="s">
        <v>277</v>
      </c>
      <c r="C89" s="34">
        <v>0.24173291452893006</v>
      </c>
      <c r="D89" s="34">
        <v>0.28133102720752978</v>
      </c>
      <c r="E89" s="34">
        <v>3.9598112678599723E-2</v>
      </c>
      <c r="F89" s="41">
        <v>0.16380935445123551</v>
      </c>
      <c r="H89">
        <v>50</v>
      </c>
      <c r="I89">
        <v>55</v>
      </c>
      <c r="J89">
        <v>-5</v>
      </c>
      <c r="K89">
        <v>5</v>
      </c>
      <c r="AA89" s="1" t="s">
        <v>115</v>
      </c>
      <c r="AB89" s="1" t="s">
        <v>259</v>
      </c>
      <c r="AC89" s="9">
        <v>0.49297674201001634</v>
      </c>
      <c r="AD89" s="45">
        <v>0.30453751734489459</v>
      </c>
    </row>
    <row r="90" spans="1:30">
      <c r="A90" s="1" t="s">
        <v>176</v>
      </c>
      <c r="B90" s="1" t="s">
        <v>278</v>
      </c>
      <c r="C90" s="34">
        <v>0.48753151317289084</v>
      </c>
      <c r="D90" s="34">
        <v>0.49827351536596648</v>
      </c>
      <c r="E90" s="34">
        <v>1.0742002193075639E-2</v>
      </c>
      <c r="F90" s="41">
        <v>2.2033451998140389E-2</v>
      </c>
      <c r="H90">
        <v>162</v>
      </c>
      <c r="I90">
        <v>156</v>
      </c>
      <c r="J90">
        <v>6</v>
      </c>
      <c r="K90">
        <v>6</v>
      </c>
      <c r="AA90" s="1" t="s">
        <v>52</v>
      </c>
      <c r="AB90" s="1" t="s">
        <v>321</v>
      </c>
      <c r="AC90" s="9">
        <v>0.45490169881535109</v>
      </c>
      <c r="AD90" s="45">
        <v>0.30852972001359358</v>
      </c>
    </row>
    <row r="91" spans="1:30">
      <c r="A91" s="1" t="s">
        <v>124</v>
      </c>
      <c r="B91" s="1" t="s">
        <v>279</v>
      </c>
      <c r="C91" s="34">
        <v>0.44983001241499637</v>
      </c>
      <c r="D91" s="34">
        <v>0.43335427827586587</v>
      </c>
      <c r="E91" s="34">
        <v>1.6475734139130505E-2</v>
      </c>
      <c r="F91" s="41">
        <v>3.6626578228245492E-2</v>
      </c>
      <c r="H91">
        <v>147</v>
      </c>
      <c r="I91">
        <v>131</v>
      </c>
      <c r="J91">
        <v>16</v>
      </c>
      <c r="K91">
        <v>16</v>
      </c>
      <c r="AA91" s="1" t="s">
        <v>59</v>
      </c>
      <c r="AB91" s="1" t="s">
        <v>241</v>
      </c>
      <c r="AC91" s="9">
        <v>0.53046636841205552</v>
      </c>
      <c r="AD91" s="45">
        <v>0.3093458943370172</v>
      </c>
    </row>
    <row r="92" spans="1:30">
      <c r="A92" s="1" t="s">
        <v>76</v>
      </c>
      <c r="B92" s="1" t="s">
        <v>280</v>
      </c>
      <c r="C92" s="34">
        <v>0.42316842721101028</v>
      </c>
      <c r="D92" s="34">
        <v>0.44767103241921852</v>
      </c>
      <c r="E92" s="34">
        <v>2.4502605208208239E-2</v>
      </c>
      <c r="F92" s="41">
        <v>5.7902725327828315E-2</v>
      </c>
      <c r="H92">
        <v>133</v>
      </c>
      <c r="I92">
        <v>135</v>
      </c>
      <c r="J92">
        <v>-2</v>
      </c>
      <c r="K92">
        <v>2</v>
      </c>
      <c r="AA92" s="1" t="s">
        <v>68</v>
      </c>
      <c r="AB92" s="1" t="s">
        <v>270</v>
      </c>
      <c r="AC92" s="9">
        <v>0.73982896292078637</v>
      </c>
      <c r="AD92" s="45">
        <v>0.31427415680682302</v>
      </c>
    </row>
    <row r="93" spans="1:30">
      <c r="A93" s="1" t="s">
        <v>31</v>
      </c>
      <c r="B93" s="1" t="s">
        <v>281</v>
      </c>
      <c r="C93" s="34">
        <v>0.28549453232003358</v>
      </c>
      <c r="D93" s="34">
        <v>0.31915324330958067</v>
      </c>
      <c r="E93" s="34">
        <v>3.3658710989547092E-2</v>
      </c>
      <c r="F93" s="41">
        <v>0.11789616675326153</v>
      </c>
      <c r="H93">
        <v>86</v>
      </c>
      <c r="I93">
        <v>85</v>
      </c>
      <c r="J93">
        <v>1</v>
      </c>
      <c r="K93">
        <v>1</v>
      </c>
      <c r="AA93" s="1" t="s">
        <v>123</v>
      </c>
      <c r="AB93" s="1" t="s">
        <v>193</v>
      </c>
      <c r="AC93" s="9">
        <v>0.39259150110321334</v>
      </c>
      <c r="AD93" s="45">
        <v>0.316475561473405</v>
      </c>
    </row>
    <row r="94" spans="1:30">
      <c r="A94" s="1" t="s">
        <v>3</v>
      </c>
      <c r="B94" s="1" t="s">
        <v>282</v>
      </c>
      <c r="C94" s="34">
        <v>0.26046936365828072</v>
      </c>
      <c r="D94" s="34">
        <v>0.29729932064470355</v>
      </c>
      <c r="E94" s="34">
        <v>3.6829956986422829E-2</v>
      </c>
      <c r="F94" s="41">
        <v>0.14139842194547456</v>
      </c>
      <c r="H94">
        <v>67</v>
      </c>
      <c r="I94">
        <v>68</v>
      </c>
      <c r="J94">
        <v>-1</v>
      </c>
      <c r="K94">
        <v>1</v>
      </c>
      <c r="AA94" s="1" t="s">
        <v>112</v>
      </c>
      <c r="AB94" s="1" t="s">
        <v>256</v>
      </c>
      <c r="AC94" s="9">
        <v>0.47378287405380759</v>
      </c>
      <c r="AD94" s="45">
        <v>0.31969372159378773</v>
      </c>
    </row>
    <row r="95" spans="1:30">
      <c r="A95" s="1" t="s">
        <v>144</v>
      </c>
      <c r="B95" s="1" t="s">
        <v>283</v>
      </c>
      <c r="C95" s="34">
        <v>0.2630550444538382</v>
      </c>
      <c r="D95" s="34">
        <v>0.35332163869508459</v>
      </c>
      <c r="E95" s="34">
        <v>9.026659424124639E-2</v>
      </c>
      <c r="F95" s="41">
        <v>0.34314717069448436</v>
      </c>
      <c r="H95">
        <v>73</v>
      </c>
      <c r="I95">
        <v>106</v>
      </c>
      <c r="J95">
        <v>-33</v>
      </c>
      <c r="K95">
        <v>33</v>
      </c>
      <c r="AA95" s="1" t="s">
        <v>73</v>
      </c>
      <c r="AB95" s="1" t="s">
        <v>328</v>
      </c>
      <c r="AC95" s="9">
        <v>0.53922405845240051</v>
      </c>
      <c r="AD95" s="45">
        <v>0.3293411025063393</v>
      </c>
    </row>
    <row r="96" spans="1:30">
      <c r="A96" s="1" t="s">
        <v>154</v>
      </c>
      <c r="B96" s="1" t="s">
        <v>284</v>
      </c>
      <c r="C96" s="34">
        <v>0.43804845516943286</v>
      </c>
      <c r="D96" s="34">
        <v>0.50889259936117803</v>
      </c>
      <c r="E96" s="34">
        <v>7.0844144191745173E-2</v>
      </c>
      <c r="F96" s="41">
        <v>0.16172672989873541</v>
      </c>
      <c r="H96">
        <v>141</v>
      </c>
      <c r="I96">
        <v>163</v>
      </c>
      <c r="J96">
        <v>-22</v>
      </c>
      <c r="K96">
        <v>22</v>
      </c>
      <c r="AA96" s="1" t="s">
        <v>187</v>
      </c>
      <c r="AB96" s="1" t="s">
        <v>290</v>
      </c>
      <c r="AC96" s="9">
        <v>0.26588075622113677</v>
      </c>
      <c r="AD96" s="45">
        <v>0.33333333333333331</v>
      </c>
    </row>
    <row r="97" spans="1:30">
      <c r="A97" s="1" t="s">
        <v>61</v>
      </c>
      <c r="B97" s="1" t="s">
        <v>285</v>
      </c>
      <c r="C97" s="34">
        <v>0.2265488151917576</v>
      </c>
      <c r="D97" s="34">
        <v>0.20919757739711548</v>
      </c>
      <c r="E97" s="34">
        <v>1.7351237794642121E-2</v>
      </c>
      <c r="F97" s="41">
        <v>7.6589399860491528E-2</v>
      </c>
      <c r="H97">
        <v>43</v>
      </c>
      <c r="I97">
        <v>26</v>
      </c>
      <c r="J97">
        <v>17</v>
      </c>
      <c r="K97">
        <v>17</v>
      </c>
      <c r="AA97" s="1" t="s">
        <v>25</v>
      </c>
      <c r="AB97" s="1" t="s">
        <v>252</v>
      </c>
      <c r="AC97" s="9">
        <v>0.26893281462070989</v>
      </c>
      <c r="AD97" s="45">
        <v>0.33352999611760759</v>
      </c>
    </row>
    <row r="98" spans="1:30">
      <c r="A98" s="1" t="s">
        <v>20</v>
      </c>
      <c r="B98" s="1" t="s">
        <v>286</v>
      </c>
      <c r="C98" s="34">
        <v>0.25224420823472465</v>
      </c>
      <c r="D98" s="34">
        <v>0.35096556728643785</v>
      </c>
      <c r="E98" s="34">
        <v>9.8721359051713198E-2</v>
      </c>
      <c r="F98" s="41">
        <v>0.39137215376556239</v>
      </c>
      <c r="H98">
        <v>61</v>
      </c>
      <c r="I98">
        <v>103</v>
      </c>
      <c r="J98">
        <v>-42</v>
      </c>
      <c r="K98">
        <v>42</v>
      </c>
      <c r="AA98" s="1" t="s">
        <v>95</v>
      </c>
      <c r="AB98" s="1" t="s">
        <v>253</v>
      </c>
      <c r="AC98" s="9">
        <v>0.5547581607023423</v>
      </c>
      <c r="AD98" s="45">
        <v>0.33570906925655958</v>
      </c>
    </row>
    <row r="99" spans="1:30">
      <c r="A99" s="1" t="s">
        <v>172</v>
      </c>
      <c r="B99" s="1" t="s">
        <v>287</v>
      </c>
      <c r="C99" s="34">
        <v>0.4938672090447746</v>
      </c>
      <c r="D99" s="34">
        <v>0.50429303629127298</v>
      </c>
      <c r="E99" s="34">
        <v>1.0425827246498376E-2</v>
      </c>
      <c r="F99" s="41">
        <v>2.11105881410182E-2</v>
      </c>
      <c r="H99">
        <v>167</v>
      </c>
      <c r="I99">
        <v>159</v>
      </c>
      <c r="J99">
        <v>8</v>
      </c>
      <c r="K99">
        <v>8</v>
      </c>
      <c r="AA99" s="1" t="s">
        <v>100</v>
      </c>
      <c r="AB99" s="1" t="s">
        <v>309</v>
      </c>
      <c r="AC99" s="9">
        <v>0.41881686487178466</v>
      </c>
      <c r="AD99" s="45">
        <v>0.34498159844079829</v>
      </c>
    </row>
    <row r="100" spans="1:30">
      <c r="A100" s="1" t="s">
        <v>88</v>
      </c>
      <c r="B100" s="1" t="s">
        <v>288</v>
      </c>
      <c r="C100" s="34">
        <v>0.52864236237859985</v>
      </c>
      <c r="D100" s="34">
        <v>0.5256442714843802</v>
      </c>
      <c r="E100" s="34">
        <v>2.9980908942196516E-3</v>
      </c>
      <c r="F100" s="41">
        <v>5.6713027702318284E-3</v>
      </c>
      <c r="H100">
        <v>176</v>
      </c>
      <c r="I100">
        <v>172</v>
      </c>
      <c r="J100">
        <v>4</v>
      </c>
      <c r="K100">
        <v>4</v>
      </c>
      <c r="AA100" s="1" t="s">
        <v>188</v>
      </c>
      <c r="AB100" s="1" t="s">
        <v>371</v>
      </c>
      <c r="AC100" s="9">
        <v>0.56139842001262419</v>
      </c>
      <c r="AD100" s="45">
        <v>0.35439283314449677</v>
      </c>
    </row>
    <row r="101" spans="1:30">
      <c r="A101" s="1" t="s">
        <v>34</v>
      </c>
      <c r="B101" s="1" t="s">
        <v>289</v>
      </c>
      <c r="C101" s="34">
        <v>0.29002142849067641</v>
      </c>
      <c r="D101" s="34">
        <v>0.33459811860445593</v>
      </c>
      <c r="E101" s="34">
        <v>4.4576690113779516E-2</v>
      </c>
      <c r="F101" s="41">
        <v>0.15370136732918191</v>
      </c>
      <c r="H101">
        <v>88</v>
      </c>
      <c r="I101">
        <v>92</v>
      </c>
      <c r="J101">
        <v>-4</v>
      </c>
      <c r="K101">
        <v>4</v>
      </c>
      <c r="AA101" s="1" t="s">
        <v>155</v>
      </c>
      <c r="AB101" s="1" t="s">
        <v>258</v>
      </c>
      <c r="AC101" s="9">
        <v>0.45542607956600156</v>
      </c>
      <c r="AD101" s="45">
        <v>0.35780299706915397</v>
      </c>
    </row>
    <row r="102" spans="1:30">
      <c r="A102" s="1" t="s">
        <v>187</v>
      </c>
      <c r="B102" s="1" t="s">
        <v>290</v>
      </c>
      <c r="C102" s="34" t="e">
        <v>#N/A</v>
      </c>
      <c r="D102" s="34" t="e">
        <v>#N/A</v>
      </c>
      <c r="E102" s="34" t="e">
        <v>#N/A</v>
      </c>
      <c r="F102" s="41" t="e">
        <v>#N/A</v>
      </c>
      <c r="H102" t="e">
        <v>#VALUE!</v>
      </c>
      <c r="I102" t="e">
        <v>#VALUE!</v>
      </c>
      <c r="J102" t="e">
        <v>#VALUE!</v>
      </c>
      <c r="K102" t="e">
        <v>#VALUE!</v>
      </c>
      <c r="AA102" s="1" t="s">
        <v>118</v>
      </c>
      <c r="AB102" s="1" t="s">
        <v>319</v>
      </c>
      <c r="AC102" s="9">
        <v>0.46194704322123348</v>
      </c>
      <c r="AD102" s="45">
        <v>0.35847167004602953</v>
      </c>
    </row>
    <row r="103" spans="1:30">
      <c r="A103" s="1" t="s">
        <v>67</v>
      </c>
      <c r="B103" s="1" t="s">
        <v>291</v>
      </c>
      <c r="C103" s="34">
        <v>0.23491910281175618</v>
      </c>
      <c r="D103" s="34">
        <v>0.2194795939193627</v>
      </c>
      <c r="E103" s="34">
        <v>1.5439508892393483E-2</v>
      </c>
      <c r="F103" s="41">
        <v>6.5722662429735942E-2</v>
      </c>
      <c r="H103">
        <v>46</v>
      </c>
      <c r="I103">
        <v>35</v>
      </c>
      <c r="J103">
        <v>11</v>
      </c>
      <c r="K103">
        <v>11</v>
      </c>
      <c r="AA103" s="1" t="s">
        <v>119</v>
      </c>
      <c r="AB103" s="1" t="s">
        <v>264</v>
      </c>
      <c r="AC103" s="9">
        <v>0.51636671328634987</v>
      </c>
      <c r="AD103" s="45">
        <v>0.35956523821885955</v>
      </c>
    </row>
    <row r="104" spans="1:30">
      <c r="A104" s="1" t="s">
        <v>29</v>
      </c>
      <c r="B104" s="1" t="s">
        <v>292</v>
      </c>
      <c r="C104" s="34">
        <v>0.16329216659172788</v>
      </c>
      <c r="D104" s="34">
        <v>0.12286632254302154</v>
      </c>
      <c r="E104" s="34">
        <v>4.0425844048706333E-2</v>
      </c>
      <c r="F104" s="41">
        <v>0.24756756488987783</v>
      </c>
      <c r="H104">
        <v>9</v>
      </c>
      <c r="I104">
        <v>1</v>
      </c>
      <c r="J104">
        <v>8</v>
      </c>
      <c r="K104">
        <v>8</v>
      </c>
      <c r="AA104" s="1" t="s">
        <v>176</v>
      </c>
      <c r="AB104" s="1" t="s">
        <v>278</v>
      </c>
      <c r="AC104" s="9">
        <v>0.52857908843951007</v>
      </c>
      <c r="AD104" s="45">
        <v>0.36428872416408753</v>
      </c>
    </row>
    <row r="105" spans="1:30">
      <c r="A105" s="1" t="s">
        <v>158</v>
      </c>
      <c r="B105" s="1" t="s">
        <v>293</v>
      </c>
      <c r="C105" s="34">
        <v>0.49125599093019628</v>
      </c>
      <c r="D105" s="34">
        <v>0.53661935254235682</v>
      </c>
      <c r="E105" s="34">
        <v>4.5363361612160535E-2</v>
      </c>
      <c r="F105" s="41">
        <v>9.2341594707607999E-2</v>
      </c>
      <c r="H105">
        <v>163</v>
      </c>
      <c r="I105">
        <v>179</v>
      </c>
      <c r="J105">
        <v>-16</v>
      </c>
      <c r="K105">
        <v>16</v>
      </c>
      <c r="AA105" s="1" t="s">
        <v>65</v>
      </c>
      <c r="AB105" s="1" t="s">
        <v>367</v>
      </c>
      <c r="AC105" s="9">
        <v>0.41231336390537515</v>
      </c>
      <c r="AD105" s="45">
        <v>0.36569543948068545</v>
      </c>
    </row>
    <row r="106" spans="1:30">
      <c r="A106" s="1" t="s">
        <v>180</v>
      </c>
      <c r="B106" s="1" t="s">
        <v>294</v>
      </c>
      <c r="C106" s="34">
        <v>0.49131395329259275</v>
      </c>
      <c r="D106" s="34">
        <v>0.50180908806843005</v>
      </c>
      <c r="E106" s="34">
        <v>1.04951347758373E-2</v>
      </c>
      <c r="F106" s="41">
        <v>2.1361361112386564E-2</v>
      </c>
      <c r="H106">
        <v>164</v>
      </c>
      <c r="I106">
        <v>158</v>
      </c>
      <c r="J106">
        <v>6</v>
      </c>
      <c r="K106">
        <v>6</v>
      </c>
      <c r="AA106" s="1" t="s">
        <v>84</v>
      </c>
      <c r="AB106" s="1" t="s">
        <v>244</v>
      </c>
      <c r="AC106" s="9">
        <v>0.50665216058972384</v>
      </c>
      <c r="AD106" s="45">
        <v>0.36854710754497166</v>
      </c>
    </row>
    <row r="107" spans="1:30">
      <c r="A107" s="1" t="s">
        <v>55</v>
      </c>
      <c r="B107" s="1" t="s">
        <v>295</v>
      </c>
      <c r="C107" s="34">
        <v>0.22453042071810311</v>
      </c>
      <c r="D107" s="34">
        <v>0.25198423147012816</v>
      </c>
      <c r="E107" s="34">
        <v>2.7453810752025049E-2</v>
      </c>
      <c r="F107" s="41">
        <v>0.122272120918943</v>
      </c>
      <c r="H107">
        <v>41</v>
      </c>
      <c r="I107">
        <v>46</v>
      </c>
      <c r="J107">
        <v>-5</v>
      </c>
      <c r="K107">
        <v>5</v>
      </c>
      <c r="AA107" s="1" t="s">
        <v>91</v>
      </c>
      <c r="AB107" s="1" t="s">
        <v>330</v>
      </c>
      <c r="AC107" s="9">
        <v>0.27898793607950045</v>
      </c>
      <c r="AD107" s="45">
        <v>0.37040444560466435</v>
      </c>
    </row>
    <row r="108" spans="1:30">
      <c r="A108" s="1" t="s">
        <v>137</v>
      </c>
      <c r="B108" s="1" t="s">
        <v>296</v>
      </c>
      <c r="C108" s="34">
        <v>0.35765689792076594</v>
      </c>
      <c r="D108" s="34">
        <v>0.40671278240044428</v>
      </c>
      <c r="E108" s="34">
        <v>4.9055884479678347E-2</v>
      </c>
      <c r="F108" s="41">
        <v>0.13715906156113342</v>
      </c>
      <c r="H108">
        <v>117</v>
      </c>
      <c r="I108">
        <v>121</v>
      </c>
      <c r="J108">
        <v>-4</v>
      </c>
      <c r="K108">
        <v>4</v>
      </c>
      <c r="AA108" s="1" t="s">
        <v>85</v>
      </c>
      <c r="AB108" s="1" t="s">
        <v>230</v>
      </c>
      <c r="AC108" s="9">
        <v>0.46086672458747008</v>
      </c>
      <c r="AD108" s="45">
        <v>0.37343510546734082</v>
      </c>
    </row>
    <row r="109" spans="1:30">
      <c r="A109" s="1" t="s">
        <v>152</v>
      </c>
      <c r="B109" s="1" t="s">
        <v>297</v>
      </c>
      <c r="C109" s="34">
        <v>0.52008043469837306</v>
      </c>
      <c r="D109" s="34">
        <v>0.53024092609775109</v>
      </c>
      <c r="E109" s="34">
        <v>1.0160491399378024E-2</v>
      </c>
      <c r="F109" s="41">
        <v>1.953638460802842E-2</v>
      </c>
      <c r="H109">
        <v>175</v>
      </c>
      <c r="I109">
        <v>174</v>
      </c>
      <c r="J109">
        <v>1</v>
      </c>
      <c r="K109">
        <v>1</v>
      </c>
      <c r="AA109" s="1" t="s">
        <v>149</v>
      </c>
      <c r="AB109" s="1" t="s">
        <v>362</v>
      </c>
      <c r="AC109" s="9">
        <v>0.48483171073549086</v>
      </c>
      <c r="AD109" s="45">
        <v>0.37479217275858456</v>
      </c>
    </row>
    <row r="110" spans="1:30">
      <c r="A110" s="1" t="s">
        <v>8</v>
      </c>
      <c r="B110" s="1" t="s">
        <v>298</v>
      </c>
      <c r="C110" s="34">
        <v>0.24176157980365387</v>
      </c>
      <c r="D110" s="34">
        <v>0.21478690402821476</v>
      </c>
      <c r="E110" s="34">
        <v>2.6974675775439105E-2</v>
      </c>
      <c r="F110" s="41">
        <v>0.11157552741567345</v>
      </c>
      <c r="H110">
        <v>51</v>
      </c>
      <c r="I110">
        <v>30</v>
      </c>
      <c r="J110">
        <v>21</v>
      </c>
      <c r="K110">
        <v>21</v>
      </c>
      <c r="AA110" s="1" t="s">
        <v>9</v>
      </c>
      <c r="AB110" s="1" t="s">
        <v>379</v>
      </c>
      <c r="AC110" s="9">
        <v>0.24706474689072669</v>
      </c>
      <c r="AD110" s="45">
        <v>0.37933298088708117</v>
      </c>
    </row>
    <row r="111" spans="1:30">
      <c r="A111" s="1" t="s">
        <v>53</v>
      </c>
      <c r="B111" s="1" t="s">
        <v>299</v>
      </c>
      <c r="C111" s="34">
        <v>0.4838241260904948</v>
      </c>
      <c r="D111" s="34">
        <v>0.49289604320763158</v>
      </c>
      <c r="E111" s="34">
        <v>9.0719171171367852E-3</v>
      </c>
      <c r="F111" s="41">
        <v>1.8750443865711581E-2</v>
      </c>
      <c r="H111">
        <v>161</v>
      </c>
      <c r="I111">
        <v>154</v>
      </c>
      <c r="J111">
        <v>7</v>
      </c>
      <c r="K111">
        <v>7</v>
      </c>
      <c r="AA111" s="1" t="s">
        <v>190</v>
      </c>
      <c r="AB111" s="1" t="s">
        <v>325</v>
      </c>
      <c r="AC111" s="9">
        <v>0.67781283034577489</v>
      </c>
      <c r="AD111" s="45">
        <v>0.38031134124005916</v>
      </c>
    </row>
    <row r="112" spans="1:30">
      <c r="A112" s="1" t="s">
        <v>131</v>
      </c>
      <c r="B112" s="1" t="s">
        <v>300</v>
      </c>
      <c r="C112" s="34">
        <v>0.49900152521141444</v>
      </c>
      <c r="D112" s="34">
        <v>0.47840312099644688</v>
      </c>
      <c r="E112" s="34">
        <v>2.0598404214967558E-2</v>
      </c>
      <c r="F112" s="41">
        <v>4.1279240992781595E-2</v>
      </c>
      <c r="H112">
        <v>169</v>
      </c>
      <c r="I112">
        <v>147</v>
      </c>
      <c r="J112">
        <v>22</v>
      </c>
      <c r="K112">
        <v>22</v>
      </c>
      <c r="AA112" s="1" t="s">
        <v>111</v>
      </c>
      <c r="AB112" s="1" t="s">
        <v>227</v>
      </c>
      <c r="AC112" s="9">
        <v>0.46916843907391304</v>
      </c>
      <c r="AD112" s="45">
        <v>0.3914285714285714</v>
      </c>
    </row>
    <row r="113" spans="1:30">
      <c r="A113" s="1" t="s">
        <v>130</v>
      </c>
      <c r="B113" s="1" t="s">
        <v>301</v>
      </c>
      <c r="C113" s="34">
        <v>0.24619163080071474</v>
      </c>
      <c r="D113" s="34">
        <v>0.2895902283811595</v>
      </c>
      <c r="E113" s="34">
        <v>4.3398597580444759E-2</v>
      </c>
      <c r="F113" s="41">
        <v>0.17627974370735094</v>
      </c>
      <c r="H113">
        <v>56</v>
      </c>
      <c r="I113">
        <v>62</v>
      </c>
      <c r="J113">
        <v>-6</v>
      </c>
      <c r="K113">
        <v>6</v>
      </c>
      <c r="AA113" s="1" t="s">
        <v>159</v>
      </c>
      <c r="AB113" s="1" t="s">
        <v>267</v>
      </c>
      <c r="AC113" s="9">
        <v>0.57383087685520462</v>
      </c>
      <c r="AD113" s="45">
        <v>0.39840671665228994</v>
      </c>
    </row>
    <row r="114" spans="1:30">
      <c r="A114" s="1" t="s">
        <v>39</v>
      </c>
      <c r="B114" s="1" t="s">
        <v>302</v>
      </c>
      <c r="C114" s="34">
        <v>0.26106085115908445</v>
      </c>
      <c r="D114" s="34">
        <v>0.27928506692129218</v>
      </c>
      <c r="E114" s="34">
        <v>1.8224215762207729E-2</v>
      </c>
      <c r="F114" s="41">
        <v>6.9808305922906502E-2</v>
      </c>
      <c r="H114">
        <v>69</v>
      </c>
      <c r="I114">
        <v>53</v>
      </c>
      <c r="J114">
        <v>16</v>
      </c>
      <c r="K114">
        <v>16</v>
      </c>
      <c r="AA114" s="1" t="s">
        <v>66</v>
      </c>
      <c r="AB114" s="1" t="s">
        <v>306</v>
      </c>
      <c r="AC114" s="9">
        <v>0.52630728281415462</v>
      </c>
      <c r="AD114" s="45">
        <v>0.4005468209682595</v>
      </c>
    </row>
    <row r="115" spans="1:30">
      <c r="A115" s="1" t="s">
        <v>175</v>
      </c>
      <c r="B115" s="1" t="s">
        <v>303</v>
      </c>
      <c r="C115" s="34">
        <v>0.49977454810342098</v>
      </c>
      <c r="D115" s="34">
        <v>0.50575651386859821</v>
      </c>
      <c r="E115" s="34">
        <v>5.9819657651772329E-3</v>
      </c>
      <c r="F115" s="41">
        <v>1.196932854599741E-2</v>
      </c>
      <c r="H115">
        <v>170</v>
      </c>
      <c r="I115">
        <v>161</v>
      </c>
      <c r="J115">
        <v>9</v>
      </c>
      <c r="K115">
        <v>9</v>
      </c>
      <c r="AA115" s="1" t="s">
        <v>158</v>
      </c>
      <c r="AB115" s="1" t="s">
        <v>293</v>
      </c>
      <c r="AC115" s="9">
        <v>0.73170337896423254</v>
      </c>
      <c r="AD115" s="45">
        <v>0.40181649031673988</v>
      </c>
    </row>
    <row r="116" spans="1:30">
      <c r="A116" s="1" t="s">
        <v>129</v>
      </c>
      <c r="B116" s="1" t="s">
        <v>304</v>
      </c>
      <c r="C116" s="34">
        <v>0.25217108154261175</v>
      </c>
      <c r="D116" s="34">
        <v>0.3456431467347344</v>
      </c>
      <c r="E116" s="34">
        <v>9.3472065192122644E-2</v>
      </c>
      <c r="F116" s="41">
        <v>0.3706692481164926</v>
      </c>
      <c r="H116">
        <v>60</v>
      </c>
      <c r="I116">
        <v>97</v>
      </c>
      <c r="J116">
        <v>-37</v>
      </c>
      <c r="K116">
        <v>37</v>
      </c>
      <c r="AA116" s="1" t="s">
        <v>97</v>
      </c>
      <c r="AB116" s="1" t="s">
        <v>221</v>
      </c>
      <c r="AC116" s="9">
        <v>0.54360279847006665</v>
      </c>
      <c r="AD116" s="45">
        <v>0.40732293065490355</v>
      </c>
    </row>
    <row r="117" spans="1:30">
      <c r="A117" s="1" t="s">
        <v>2</v>
      </c>
      <c r="B117" s="1" t="s">
        <v>305</v>
      </c>
      <c r="C117" s="34">
        <v>0.24338732509046909</v>
      </c>
      <c r="D117" s="34">
        <v>0.24434170374745637</v>
      </c>
      <c r="E117" s="34">
        <v>9.5437865698727586E-4</v>
      </c>
      <c r="F117" s="41">
        <v>3.9212340109844477E-3</v>
      </c>
      <c r="H117">
        <v>54</v>
      </c>
      <c r="I117">
        <v>42</v>
      </c>
      <c r="J117">
        <v>12</v>
      </c>
      <c r="K117">
        <v>12</v>
      </c>
      <c r="AA117" s="1" t="s">
        <v>145</v>
      </c>
      <c r="AB117" s="1" t="s">
        <v>382</v>
      </c>
      <c r="AC117" s="9">
        <v>0.53862874604267608</v>
      </c>
      <c r="AD117" s="45">
        <v>0.41228696489879191</v>
      </c>
    </row>
    <row r="118" spans="1:30">
      <c r="A118" s="1" t="s">
        <v>66</v>
      </c>
      <c r="B118" s="1" t="s">
        <v>306</v>
      </c>
      <c r="C118" s="34">
        <v>0.19640837186171958</v>
      </c>
      <c r="D118" s="34">
        <v>0.27938641778928802</v>
      </c>
      <c r="E118" s="34">
        <v>8.2978045927568439E-2</v>
      </c>
      <c r="F118" s="41">
        <v>0.42247713343904075</v>
      </c>
      <c r="H118">
        <v>26</v>
      </c>
      <c r="I118">
        <v>54</v>
      </c>
      <c r="J118">
        <v>-28</v>
      </c>
      <c r="K118">
        <v>28</v>
      </c>
      <c r="AA118" s="1" t="s">
        <v>189</v>
      </c>
      <c r="AB118" s="1" t="s">
        <v>366</v>
      </c>
      <c r="AC118" s="9">
        <v>0.16096682875073054</v>
      </c>
      <c r="AD118" s="45">
        <v>0.41553251243182143</v>
      </c>
    </row>
    <row r="119" spans="1:30">
      <c r="A119" s="1" t="s">
        <v>94</v>
      </c>
      <c r="B119" s="1" t="s">
        <v>307</v>
      </c>
      <c r="C119" s="34">
        <v>0.36911170244269492</v>
      </c>
      <c r="D119" s="34">
        <v>0.38080255295957699</v>
      </c>
      <c r="E119" s="34">
        <v>1.1690850516882068E-2</v>
      </c>
      <c r="F119" s="41">
        <v>3.1672933801650698E-2</v>
      </c>
      <c r="H119">
        <v>120</v>
      </c>
      <c r="I119">
        <v>116</v>
      </c>
      <c r="J119">
        <v>4</v>
      </c>
      <c r="K119">
        <v>4</v>
      </c>
      <c r="AA119" s="1" t="s">
        <v>180</v>
      </c>
      <c r="AB119" s="1" t="s">
        <v>294</v>
      </c>
      <c r="AC119" s="9">
        <v>0.46471415429638141</v>
      </c>
      <c r="AD119" s="45">
        <v>0.41730286303410191</v>
      </c>
    </row>
    <row r="120" spans="1:30">
      <c r="A120" s="1" t="s">
        <v>87</v>
      </c>
      <c r="B120" s="1" t="s">
        <v>308</v>
      </c>
      <c r="C120" s="34" t="e">
        <v>#N/A</v>
      </c>
      <c r="D120" s="34" t="e">
        <v>#N/A</v>
      </c>
      <c r="E120" s="34" t="e">
        <v>#N/A</v>
      </c>
      <c r="F120" s="41" t="e">
        <v>#N/A</v>
      </c>
      <c r="H120" t="e">
        <v>#VALUE!</v>
      </c>
      <c r="I120" t="e">
        <v>#VALUE!</v>
      </c>
      <c r="J120" t="e">
        <v>#VALUE!</v>
      </c>
      <c r="K120" t="e">
        <v>#VALUE!</v>
      </c>
      <c r="AA120" s="1" t="s">
        <v>42</v>
      </c>
      <c r="AB120" s="1" t="s">
        <v>355</v>
      </c>
      <c r="AC120" s="9">
        <v>0.40267630775421276</v>
      </c>
      <c r="AD120" s="45">
        <v>0.42657418958229176</v>
      </c>
    </row>
    <row r="121" spans="1:30">
      <c r="A121" s="1" t="s">
        <v>100</v>
      </c>
      <c r="B121" s="1" t="s">
        <v>309</v>
      </c>
      <c r="C121" s="34">
        <v>0.37661608330287599</v>
      </c>
      <c r="D121" s="34">
        <v>0.3654381281451356</v>
      </c>
      <c r="E121" s="34">
        <v>1.1177955157740393E-2</v>
      </c>
      <c r="F121" s="41">
        <v>2.9679972930818897E-2</v>
      </c>
      <c r="H121">
        <v>122</v>
      </c>
      <c r="I121">
        <v>112</v>
      </c>
      <c r="J121">
        <v>10</v>
      </c>
      <c r="K121">
        <v>10</v>
      </c>
      <c r="AA121" s="1" t="s">
        <v>23</v>
      </c>
      <c r="AB121" s="1" t="s">
        <v>215</v>
      </c>
      <c r="AC121" s="9">
        <v>0.26449895848596555</v>
      </c>
      <c r="AD121" s="45">
        <v>0.4293761798076775</v>
      </c>
    </row>
    <row r="122" spans="1:30">
      <c r="A122" s="1" t="s">
        <v>142</v>
      </c>
      <c r="B122" s="1" t="s">
        <v>310</v>
      </c>
      <c r="C122" s="34">
        <v>0.54330046813420896</v>
      </c>
      <c r="D122" s="34">
        <v>0.52038672864895519</v>
      </c>
      <c r="E122" s="34">
        <v>2.291373948525377E-2</v>
      </c>
      <c r="F122" s="41">
        <v>4.2175077750151134E-2</v>
      </c>
      <c r="H122">
        <v>181</v>
      </c>
      <c r="I122">
        <v>169</v>
      </c>
      <c r="J122">
        <v>12</v>
      </c>
      <c r="K122">
        <v>12</v>
      </c>
      <c r="AA122" s="1" t="s">
        <v>170</v>
      </c>
      <c r="AB122" s="1" t="s">
        <v>361</v>
      </c>
      <c r="AC122" s="9">
        <v>0.56715897848645613</v>
      </c>
      <c r="AD122" s="45">
        <v>0.43136463964356908</v>
      </c>
    </row>
    <row r="123" spans="1:30">
      <c r="A123" s="1" t="s">
        <v>150</v>
      </c>
      <c r="B123" s="1" t="s">
        <v>311</v>
      </c>
      <c r="C123" s="34">
        <v>0.41540726652091875</v>
      </c>
      <c r="D123" s="34">
        <v>0.46686412573273106</v>
      </c>
      <c r="E123" s="34">
        <v>5.1456859211812311E-2</v>
      </c>
      <c r="F123" s="41">
        <v>0.12387086928634911</v>
      </c>
      <c r="H123">
        <v>130</v>
      </c>
      <c r="I123">
        <v>142</v>
      </c>
      <c r="J123">
        <v>-12</v>
      </c>
      <c r="K123">
        <v>12</v>
      </c>
      <c r="AA123" s="1" t="s">
        <v>163</v>
      </c>
      <c r="AB123" s="1" t="s">
        <v>229</v>
      </c>
      <c r="AC123" s="9">
        <v>0.67102139608635403</v>
      </c>
      <c r="AD123" s="45">
        <v>0.43175808745819372</v>
      </c>
    </row>
    <row r="124" spans="1:30">
      <c r="A124" s="1" t="s">
        <v>141</v>
      </c>
      <c r="B124" s="1" t="s">
        <v>312</v>
      </c>
      <c r="C124" s="34">
        <v>0.44252464240563311</v>
      </c>
      <c r="D124" s="34">
        <v>0.40292246328402337</v>
      </c>
      <c r="E124" s="34">
        <v>3.9602179121609737E-2</v>
      </c>
      <c r="F124" s="41">
        <v>8.9491466297393296E-2</v>
      </c>
      <c r="H124">
        <v>143</v>
      </c>
      <c r="I124">
        <v>120</v>
      </c>
      <c r="J124">
        <v>23</v>
      </c>
      <c r="K124">
        <v>23</v>
      </c>
      <c r="AA124" s="1" t="s">
        <v>72</v>
      </c>
      <c r="AB124" s="1" t="s">
        <v>212</v>
      </c>
      <c r="AC124" s="9">
        <v>0.46580340345631566</v>
      </c>
      <c r="AD124" s="45">
        <v>0.43462074751392743</v>
      </c>
    </row>
    <row r="125" spans="1:30">
      <c r="A125" s="1" t="s">
        <v>1</v>
      </c>
      <c r="B125" s="1" t="s">
        <v>313</v>
      </c>
      <c r="C125" s="34" t="e">
        <v>#N/A</v>
      </c>
      <c r="D125" s="34" t="e">
        <v>#N/A</v>
      </c>
      <c r="E125" s="34" t="e">
        <v>#N/A</v>
      </c>
      <c r="F125" s="41" t="e">
        <v>#N/A</v>
      </c>
      <c r="H125" t="e">
        <v>#VALUE!</v>
      </c>
      <c r="I125" t="e">
        <v>#VALUE!</v>
      </c>
      <c r="J125" t="e">
        <v>#VALUE!</v>
      </c>
      <c r="K125" t="e">
        <v>#VALUE!</v>
      </c>
      <c r="AA125" s="1" t="s">
        <v>93</v>
      </c>
      <c r="AB125" s="1" t="s">
        <v>317</v>
      </c>
      <c r="AC125" s="9">
        <v>0.38845789716663831</v>
      </c>
      <c r="AD125" s="45">
        <v>0.43606865747283297</v>
      </c>
    </row>
    <row r="126" spans="1:30">
      <c r="A126" s="1" t="s">
        <v>183</v>
      </c>
      <c r="B126" s="1" t="s">
        <v>314</v>
      </c>
      <c r="C126" s="34">
        <v>0.42609774035535936</v>
      </c>
      <c r="D126" s="34">
        <v>0.49067223410038291</v>
      </c>
      <c r="E126" s="34">
        <v>6.4574493745023553E-2</v>
      </c>
      <c r="F126" s="41">
        <v>0.15154854773735565</v>
      </c>
      <c r="H126">
        <v>135</v>
      </c>
      <c r="I126">
        <v>152</v>
      </c>
      <c r="J126">
        <v>-17</v>
      </c>
      <c r="K126">
        <v>17</v>
      </c>
      <c r="AA126" s="1" t="s">
        <v>20</v>
      </c>
      <c r="AB126" s="1" t="s">
        <v>286</v>
      </c>
      <c r="AC126" s="9">
        <v>0.56731800497499185</v>
      </c>
      <c r="AD126" s="45">
        <v>0.44652345441293295</v>
      </c>
    </row>
    <row r="127" spans="1:30">
      <c r="A127" s="1" t="s">
        <v>28</v>
      </c>
      <c r="B127" s="1" t="s">
        <v>315</v>
      </c>
      <c r="C127" s="34">
        <v>0.20179266301501289</v>
      </c>
      <c r="D127" s="34">
        <v>0.19924784010865501</v>
      </c>
      <c r="E127" s="34">
        <v>2.5448229063578798E-3</v>
      </c>
      <c r="F127" s="41">
        <v>1.261107747098095E-2</v>
      </c>
      <c r="H127">
        <v>30</v>
      </c>
      <c r="I127">
        <v>21</v>
      </c>
      <c r="J127">
        <v>9</v>
      </c>
      <c r="K127">
        <v>9</v>
      </c>
      <c r="AA127" s="1" t="s">
        <v>89</v>
      </c>
      <c r="AB127" s="1" t="s">
        <v>223</v>
      </c>
      <c r="AC127" s="9">
        <v>0.46253101179120559</v>
      </c>
      <c r="AD127" s="45">
        <v>0.45545772567643067</v>
      </c>
    </row>
    <row r="128" spans="1:30">
      <c r="A128" s="1" t="s">
        <v>19</v>
      </c>
      <c r="B128" s="1" t="s">
        <v>316</v>
      </c>
      <c r="C128" s="34">
        <v>0.20706850003516575</v>
      </c>
      <c r="D128" s="34">
        <v>0.21076449018390614</v>
      </c>
      <c r="E128" s="34">
        <v>3.6959901487403912E-3</v>
      </c>
      <c r="F128" s="41">
        <v>1.7849118277829382E-2</v>
      </c>
      <c r="H128">
        <v>31</v>
      </c>
      <c r="I128">
        <v>29</v>
      </c>
      <c r="J128">
        <v>2</v>
      </c>
      <c r="K128">
        <v>2</v>
      </c>
      <c r="AA128" s="1" t="s">
        <v>80</v>
      </c>
      <c r="AB128" s="1" t="s">
        <v>340</v>
      </c>
      <c r="AC128" s="9">
        <v>0.85507263191954941</v>
      </c>
      <c r="AD128" s="45">
        <v>0.45558852662187005</v>
      </c>
    </row>
    <row r="129" spans="1:30">
      <c r="A129" s="1" t="s">
        <v>93</v>
      </c>
      <c r="B129" s="1" t="s">
        <v>317</v>
      </c>
      <c r="C129" s="34">
        <v>0.29926217388984111</v>
      </c>
      <c r="D129" s="34">
        <v>0.35674232384584997</v>
      </c>
      <c r="E129" s="34">
        <v>5.7480149956008864E-2</v>
      </c>
      <c r="F129" s="41">
        <v>0.19207288782566753</v>
      </c>
      <c r="H129">
        <v>93</v>
      </c>
      <c r="I129">
        <v>108</v>
      </c>
      <c r="J129">
        <v>-15</v>
      </c>
      <c r="K129">
        <v>15</v>
      </c>
      <c r="AA129" s="1" t="s">
        <v>132</v>
      </c>
      <c r="AB129" s="1" t="s">
        <v>210</v>
      </c>
      <c r="AC129" s="9">
        <v>0.41303690575239127</v>
      </c>
      <c r="AD129" s="45">
        <v>0.46177534665825537</v>
      </c>
    </row>
    <row r="130" spans="1:30">
      <c r="A130" s="1" t="s">
        <v>185</v>
      </c>
      <c r="B130" s="1" t="s">
        <v>318</v>
      </c>
      <c r="C130" s="34">
        <v>0.53411907811809445</v>
      </c>
      <c r="D130" s="34">
        <v>0.51345706335565744</v>
      </c>
      <c r="E130" s="34">
        <v>2.0662014762437009E-2</v>
      </c>
      <c r="F130" s="41">
        <v>3.8684285225753741E-2</v>
      </c>
      <c r="H130">
        <v>179</v>
      </c>
      <c r="I130">
        <v>166</v>
      </c>
      <c r="J130">
        <v>13</v>
      </c>
      <c r="K130">
        <v>13</v>
      </c>
      <c r="AA130" s="1" t="s">
        <v>182</v>
      </c>
      <c r="AB130" s="1" t="s">
        <v>334</v>
      </c>
      <c r="AC130" s="9">
        <v>0.58247804975032191</v>
      </c>
      <c r="AD130" s="45">
        <v>0.46306643376175871</v>
      </c>
    </row>
    <row r="131" spans="1:30">
      <c r="A131" s="1" t="s">
        <v>118</v>
      </c>
      <c r="B131" s="1" t="s">
        <v>319</v>
      </c>
      <c r="C131" s="34">
        <v>0.47043153061902648</v>
      </c>
      <c r="D131" s="34">
        <v>0.47326139947510443</v>
      </c>
      <c r="E131" s="34">
        <v>2.8298688560779439E-3</v>
      </c>
      <c r="F131" s="41">
        <v>6.0154744567274343E-3</v>
      </c>
      <c r="H131">
        <v>153</v>
      </c>
      <c r="I131">
        <v>146</v>
      </c>
      <c r="J131">
        <v>7</v>
      </c>
      <c r="K131">
        <v>7</v>
      </c>
      <c r="AA131" s="1" t="s">
        <v>162</v>
      </c>
      <c r="AB131" s="1" t="s">
        <v>262</v>
      </c>
      <c r="AC131" s="9">
        <v>0.5983958419999873</v>
      </c>
      <c r="AD131" s="45">
        <v>0.46783806046743082</v>
      </c>
    </row>
    <row r="132" spans="1:30">
      <c r="A132" s="1" t="s">
        <v>38</v>
      </c>
      <c r="B132" s="1" t="s">
        <v>320</v>
      </c>
      <c r="C132" s="34">
        <v>0.15035367206743214</v>
      </c>
      <c r="D132" s="34">
        <v>0.13861950876016288</v>
      </c>
      <c r="E132" s="34">
        <v>1.1734163307269257E-2</v>
      </c>
      <c r="F132" s="41">
        <v>7.8043742769425689E-2</v>
      </c>
      <c r="H132">
        <v>7</v>
      </c>
      <c r="I132">
        <v>5</v>
      </c>
      <c r="J132">
        <v>2</v>
      </c>
      <c r="K132">
        <v>2</v>
      </c>
      <c r="AA132" s="1" t="s">
        <v>49</v>
      </c>
      <c r="AB132" s="1" t="s">
        <v>324</v>
      </c>
      <c r="AC132" s="9">
        <v>0.32141315752674593</v>
      </c>
      <c r="AD132" s="45">
        <v>0.46897515601452605</v>
      </c>
    </row>
    <row r="133" spans="1:30">
      <c r="A133" s="1" t="s">
        <v>52</v>
      </c>
      <c r="B133" s="1" t="s">
        <v>321</v>
      </c>
      <c r="C133" s="34">
        <v>0.26003987695621089</v>
      </c>
      <c r="D133" s="34">
        <v>0.27587384060229114</v>
      </c>
      <c r="E133" s="34">
        <v>1.5833963646080251E-2</v>
      </c>
      <c r="F133" s="41">
        <v>6.0890521220891801E-2</v>
      </c>
      <c r="H133">
        <v>66</v>
      </c>
      <c r="I133">
        <v>52</v>
      </c>
      <c r="J133">
        <v>14</v>
      </c>
      <c r="K133">
        <v>14</v>
      </c>
      <c r="AA133" s="1" t="s">
        <v>152</v>
      </c>
      <c r="AB133" s="1" t="s">
        <v>297</v>
      </c>
      <c r="AC133" s="9">
        <v>0.64965264054902272</v>
      </c>
      <c r="AD133" s="45">
        <v>0.46918441876001632</v>
      </c>
    </row>
    <row r="134" spans="1:30">
      <c r="A134" s="1" t="s">
        <v>143</v>
      </c>
      <c r="B134" s="1" t="s">
        <v>322</v>
      </c>
      <c r="C134" s="34">
        <v>0.37390452422062742</v>
      </c>
      <c r="D134" s="34">
        <v>0.41285066197546477</v>
      </c>
      <c r="E134" s="34">
        <v>3.8946137754837351E-2</v>
      </c>
      <c r="F134" s="41">
        <v>0.10416064859342718</v>
      </c>
      <c r="H134">
        <v>121</v>
      </c>
      <c r="I134">
        <v>123</v>
      </c>
      <c r="J134">
        <v>-2</v>
      </c>
      <c r="K134">
        <v>2</v>
      </c>
      <c r="AA134" s="1" t="s">
        <v>134</v>
      </c>
      <c r="AB134" s="1" t="s">
        <v>245</v>
      </c>
      <c r="AC134" s="9">
        <v>0.36026346194102637</v>
      </c>
      <c r="AD134" s="45">
        <v>0.47605365490787438</v>
      </c>
    </row>
    <row r="135" spans="1:30">
      <c r="A135" s="1" t="s">
        <v>30</v>
      </c>
      <c r="B135" s="1" t="s">
        <v>323</v>
      </c>
      <c r="C135" s="34">
        <v>0.38110707475577404</v>
      </c>
      <c r="D135" s="34">
        <v>0.4842400233043434</v>
      </c>
      <c r="E135" s="34">
        <v>0.10313294854856936</v>
      </c>
      <c r="F135" s="41">
        <v>0.27061410133795166</v>
      </c>
      <c r="H135">
        <v>124</v>
      </c>
      <c r="I135">
        <v>148</v>
      </c>
      <c r="J135">
        <v>-24</v>
      </c>
      <c r="K135">
        <v>24</v>
      </c>
      <c r="AA135" s="1" t="s">
        <v>135</v>
      </c>
      <c r="AB135" s="1" t="s">
        <v>224</v>
      </c>
      <c r="AC135" s="9">
        <v>0.37913451276371168</v>
      </c>
      <c r="AD135" s="45">
        <v>0.48490809956207886</v>
      </c>
    </row>
    <row r="136" spans="1:30">
      <c r="A136" s="1" t="s">
        <v>49</v>
      </c>
      <c r="B136" s="1" t="s">
        <v>324</v>
      </c>
      <c r="C136" s="34">
        <v>0.30251536458590561</v>
      </c>
      <c r="D136" s="34">
        <v>0.31586674126906716</v>
      </c>
      <c r="E136" s="34">
        <v>1.3351376683161553E-2</v>
      </c>
      <c r="F136" s="41">
        <v>4.4134540741219606E-2</v>
      </c>
      <c r="H136">
        <v>97</v>
      </c>
      <c r="I136">
        <v>82</v>
      </c>
      <c r="J136">
        <v>15</v>
      </c>
      <c r="K136">
        <v>15</v>
      </c>
      <c r="AA136" s="1" t="s">
        <v>90</v>
      </c>
      <c r="AB136" s="1" t="s">
        <v>214</v>
      </c>
      <c r="AC136" s="9">
        <v>0.27208347095133512</v>
      </c>
      <c r="AD136" s="45">
        <v>0.48605081500874509</v>
      </c>
    </row>
    <row r="137" spans="1:30">
      <c r="A137" s="1" t="s">
        <v>190</v>
      </c>
      <c r="B137" s="1" t="s">
        <v>325</v>
      </c>
      <c r="C137" s="34">
        <v>0.47233071884485517</v>
      </c>
      <c r="D137" s="34">
        <v>0.4639543554167333</v>
      </c>
      <c r="E137" s="34">
        <v>8.3763634281218691E-3</v>
      </c>
      <c r="F137" s="41">
        <v>1.7734106832194466E-2</v>
      </c>
      <c r="H137">
        <v>155</v>
      </c>
      <c r="I137">
        <v>140</v>
      </c>
      <c r="J137">
        <v>15</v>
      </c>
      <c r="K137">
        <v>15</v>
      </c>
      <c r="AA137" s="1" t="s">
        <v>138</v>
      </c>
      <c r="AB137" s="1" t="s">
        <v>383</v>
      </c>
      <c r="AC137" s="9">
        <v>0.68734008330621421</v>
      </c>
      <c r="AD137" s="45">
        <v>0.49268870362052852</v>
      </c>
    </row>
    <row r="138" spans="1:30">
      <c r="A138" s="1" t="s">
        <v>86</v>
      </c>
      <c r="B138" s="1" t="s">
        <v>326</v>
      </c>
      <c r="C138" s="34">
        <v>0.28610784214925428</v>
      </c>
      <c r="D138" s="34">
        <v>0.31435710926109312</v>
      </c>
      <c r="E138" s="34">
        <v>2.8249267111838838E-2</v>
      </c>
      <c r="F138" s="41">
        <v>9.8736430639681669E-2</v>
      </c>
      <c r="H138">
        <v>87</v>
      </c>
      <c r="I138">
        <v>79</v>
      </c>
      <c r="J138">
        <v>8</v>
      </c>
      <c r="K138">
        <v>8</v>
      </c>
      <c r="AA138" s="1" t="s">
        <v>88</v>
      </c>
      <c r="AB138" s="1" t="s">
        <v>288</v>
      </c>
      <c r="AC138" s="9">
        <v>0.64094567425905891</v>
      </c>
      <c r="AD138" s="45">
        <v>0.49416341519656926</v>
      </c>
    </row>
    <row r="139" spans="1:30">
      <c r="A139" s="1" t="s">
        <v>37</v>
      </c>
      <c r="B139" s="1" t="s">
        <v>327</v>
      </c>
      <c r="C139" s="34">
        <v>0.31570069855053312</v>
      </c>
      <c r="D139" s="34">
        <v>0.3560886763440102</v>
      </c>
      <c r="E139" s="34">
        <v>4.0387977793477081E-2</v>
      </c>
      <c r="F139" s="41">
        <v>0.12793122720003205</v>
      </c>
      <c r="H139">
        <v>103</v>
      </c>
      <c r="I139">
        <v>107</v>
      </c>
      <c r="J139">
        <v>-4</v>
      </c>
      <c r="K139">
        <v>4</v>
      </c>
      <c r="AA139" s="1" t="s">
        <v>173</v>
      </c>
      <c r="AB139" s="1" t="s">
        <v>192</v>
      </c>
      <c r="AC139" s="9">
        <v>0.60826799741979087</v>
      </c>
      <c r="AD139" s="45">
        <v>0.49932392099260908</v>
      </c>
    </row>
    <row r="140" spans="1:30">
      <c r="A140" s="1" t="s">
        <v>73</v>
      </c>
      <c r="B140" s="1" t="s">
        <v>328</v>
      </c>
      <c r="C140" s="34">
        <v>0.2808829375783552</v>
      </c>
      <c r="D140" s="34">
        <v>0.34934320125718454</v>
      </c>
      <c r="E140" s="34">
        <v>6.8460263678829347E-2</v>
      </c>
      <c r="F140" s="41">
        <v>0.24373236861257067</v>
      </c>
      <c r="H140">
        <v>83</v>
      </c>
      <c r="I140">
        <v>100</v>
      </c>
      <c r="J140">
        <v>-17</v>
      </c>
      <c r="K140">
        <v>17</v>
      </c>
      <c r="AA140" s="1" t="s">
        <v>133</v>
      </c>
      <c r="AB140" s="1" t="s">
        <v>206</v>
      </c>
      <c r="AC140" s="9">
        <v>0.61271011528442465</v>
      </c>
      <c r="AD140" s="45">
        <v>0.5</v>
      </c>
    </row>
    <row r="141" spans="1:30">
      <c r="A141" s="1" t="s">
        <v>81</v>
      </c>
      <c r="B141" s="1" t="s">
        <v>329</v>
      </c>
      <c r="C141" s="34">
        <v>0.14627522058468675</v>
      </c>
      <c r="D141" s="34">
        <v>0.14318190928390462</v>
      </c>
      <c r="E141" s="34">
        <v>3.0933113007821367E-3</v>
      </c>
      <c r="F141" s="41">
        <v>2.1147199699427209E-2</v>
      </c>
      <c r="H141">
        <v>6</v>
      </c>
      <c r="I141">
        <v>7</v>
      </c>
      <c r="J141">
        <v>-1</v>
      </c>
      <c r="K141">
        <v>1</v>
      </c>
      <c r="AA141" s="1" t="s">
        <v>174</v>
      </c>
      <c r="AB141" s="1" t="s">
        <v>338</v>
      </c>
      <c r="AC141" s="9">
        <v>0.79409422949550468</v>
      </c>
      <c r="AD141" s="45">
        <v>0.5</v>
      </c>
    </row>
    <row r="142" spans="1:30">
      <c r="A142" s="1" t="s">
        <v>91</v>
      </c>
      <c r="B142" s="1" t="s">
        <v>330</v>
      </c>
      <c r="C142" s="34">
        <v>0.21397964649425563</v>
      </c>
      <c r="D142" s="34">
        <v>0.24821011717292824</v>
      </c>
      <c r="E142" s="34">
        <v>3.4230470678672603E-2</v>
      </c>
      <c r="F142" s="41">
        <v>0.15997068524735381</v>
      </c>
      <c r="H142">
        <v>33</v>
      </c>
      <c r="I142">
        <v>45</v>
      </c>
      <c r="J142">
        <v>-12</v>
      </c>
      <c r="K142">
        <v>12</v>
      </c>
      <c r="AA142" s="1" t="s">
        <v>165</v>
      </c>
      <c r="AB142" s="1" t="s">
        <v>225</v>
      </c>
      <c r="AC142" s="9">
        <v>0.60296625438795692</v>
      </c>
      <c r="AD142" s="45">
        <v>0.50879631691606542</v>
      </c>
    </row>
    <row r="143" spans="1:30">
      <c r="A143" s="1" t="s">
        <v>5</v>
      </c>
      <c r="B143" s="1" t="s">
        <v>331</v>
      </c>
      <c r="C143" s="34">
        <v>0.2628310971464865</v>
      </c>
      <c r="D143" s="34">
        <v>0.29033048828935865</v>
      </c>
      <c r="E143" s="34">
        <v>2.7499391142872143E-2</v>
      </c>
      <c r="F143" s="41">
        <v>0.10462761614370772</v>
      </c>
      <c r="H143">
        <v>71</v>
      </c>
      <c r="I143">
        <v>63</v>
      </c>
      <c r="J143">
        <v>8</v>
      </c>
      <c r="K143">
        <v>8</v>
      </c>
      <c r="AA143" s="1" t="s">
        <v>104</v>
      </c>
      <c r="AB143" s="1" t="s">
        <v>274</v>
      </c>
      <c r="AC143" s="9">
        <v>0.36973328581976694</v>
      </c>
      <c r="AD143" s="45">
        <v>0.51179011798694707</v>
      </c>
    </row>
    <row r="144" spans="1:30">
      <c r="A144" s="1" t="s">
        <v>103</v>
      </c>
      <c r="B144" s="1" t="s">
        <v>332</v>
      </c>
      <c r="C144" s="34">
        <v>0.23381724586661129</v>
      </c>
      <c r="D144" s="34" t="e">
        <v>#N/A</v>
      </c>
      <c r="E144" s="34" t="e">
        <v>#N/A</v>
      </c>
      <c r="F144" s="41" t="e">
        <v>#N/A</v>
      </c>
      <c r="H144">
        <v>45</v>
      </c>
      <c r="I144" t="e">
        <v>#VALUE!</v>
      </c>
      <c r="J144" t="e">
        <v>#VALUE!</v>
      </c>
      <c r="K144" t="e">
        <v>#VALUE!</v>
      </c>
      <c r="AA144" s="1" t="s">
        <v>37</v>
      </c>
      <c r="AB144" s="1" t="s">
        <v>327</v>
      </c>
      <c r="AC144" s="9">
        <v>0.48871993822803877</v>
      </c>
      <c r="AD144" s="45">
        <v>0.51281581195716208</v>
      </c>
    </row>
    <row r="145" spans="1:30">
      <c r="A145" s="1" t="s">
        <v>48</v>
      </c>
      <c r="B145" s="1" t="s">
        <v>333</v>
      </c>
      <c r="C145" s="34">
        <v>0.27504325260751777</v>
      </c>
      <c r="D145" s="34">
        <v>0.24513406717940636</v>
      </c>
      <c r="E145" s="34">
        <v>2.9909185428111412E-2</v>
      </c>
      <c r="F145" s="41">
        <v>0.10874357085498597</v>
      </c>
      <c r="H145">
        <v>81</v>
      </c>
      <c r="I145">
        <v>43</v>
      </c>
      <c r="J145">
        <v>38</v>
      </c>
      <c r="K145">
        <v>38</v>
      </c>
      <c r="AA145" s="1" t="s">
        <v>147</v>
      </c>
      <c r="AB145" s="1" t="s">
        <v>260</v>
      </c>
      <c r="AC145" s="9">
        <v>0.52651625229443899</v>
      </c>
      <c r="AD145" s="45">
        <v>0.5148135755968587</v>
      </c>
    </row>
    <row r="146" spans="1:30">
      <c r="A146" s="1" t="s">
        <v>182</v>
      </c>
      <c r="B146" s="1" t="s">
        <v>334</v>
      </c>
      <c r="C146" s="34">
        <v>0.50452512136330008</v>
      </c>
      <c r="D146" s="34">
        <v>0.53640741555012728</v>
      </c>
      <c r="E146" s="34">
        <v>3.1882294186827198E-2</v>
      </c>
      <c r="F146" s="41">
        <v>6.3192679287557799E-2</v>
      </c>
      <c r="H146">
        <v>172</v>
      </c>
      <c r="I146">
        <v>178</v>
      </c>
      <c r="J146">
        <v>-6</v>
      </c>
      <c r="K146">
        <v>6</v>
      </c>
      <c r="AA146" s="1" t="s">
        <v>150</v>
      </c>
      <c r="AB146" s="1" t="s">
        <v>311</v>
      </c>
      <c r="AC146" s="9">
        <v>0.59927107308343086</v>
      </c>
      <c r="AD146" s="45">
        <v>0.51643292415389008</v>
      </c>
    </row>
    <row r="147" spans="1:30">
      <c r="A147" s="1" t="s">
        <v>151</v>
      </c>
      <c r="B147" s="1" t="s">
        <v>335</v>
      </c>
      <c r="C147" s="34">
        <v>0.33002619881993828</v>
      </c>
      <c r="D147" s="34">
        <v>0.35002423784206321</v>
      </c>
      <c r="E147" s="34">
        <v>1.9998039022124936E-2</v>
      </c>
      <c r="F147" s="41">
        <v>6.0595307565372507E-2</v>
      </c>
      <c r="H147">
        <v>109</v>
      </c>
      <c r="I147">
        <v>101</v>
      </c>
      <c r="J147">
        <v>8</v>
      </c>
      <c r="K147">
        <v>8</v>
      </c>
      <c r="AA147" s="1" t="s">
        <v>128</v>
      </c>
      <c r="AB147" s="1" t="s">
        <v>342</v>
      </c>
      <c r="AC147" s="9">
        <v>0.26036553689660691</v>
      </c>
      <c r="AD147" s="45">
        <v>0.51681524863952333</v>
      </c>
    </row>
    <row r="148" spans="1:30">
      <c r="A148" s="1" t="s">
        <v>161</v>
      </c>
      <c r="B148" s="1" t="s">
        <v>336</v>
      </c>
      <c r="C148" s="34">
        <v>0.34523046346204328</v>
      </c>
      <c r="D148" s="34">
        <v>0.31464267803074286</v>
      </c>
      <c r="E148" s="34">
        <v>3.0587785431300418E-2</v>
      </c>
      <c r="F148" s="41">
        <v>8.8601061228953296E-2</v>
      </c>
      <c r="H148">
        <v>113</v>
      </c>
      <c r="I148">
        <v>80</v>
      </c>
      <c r="J148">
        <v>33</v>
      </c>
      <c r="K148">
        <v>33</v>
      </c>
      <c r="AA148" s="1" t="s">
        <v>136</v>
      </c>
      <c r="AB148" s="1" t="s">
        <v>345</v>
      </c>
      <c r="AC148" s="9">
        <v>0.62535691125585413</v>
      </c>
      <c r="AD148" s="45">
        <v>0.51691281985887749</v>
      </c>
    </row>
    <row r="149" spans="1:30">
      <c r="A149" s="1" t="s">
        <v>120</v>
      </c>
      <c r="B149" s="1" t="s">
        <v>337</v>
      </c>
      <c r="C149" s="34">
        <v>0.30770686296922195</v>
      </c>
      <c r="D149" s="34">
        <v>0.33796426481520764</v>
      </c>
      <c r="E149" s="34">
        <v>3.0257401845985687E-2</v>
      </c>
      <c r="F149" s="41">
        <v>9.8331904443132792E-2</v>
      </c>
      <c r="H149">
        <v>99</v>
      </c>
      <c r="I149">
        <v>94</v>
      </c>
      <c r="J149">
        <v>5</v>
      </c>
      <c r="K149">
        <v>5</v>
      </c>
      <c r="AA149" s="1" t="s">
        <v>125</v>
      </c>
      <c r="AB149" s="1" t="s">
        <v>354</v>
      </c>
      <c r="AC149" s="9">
        <v>0.60627401172620821</v>
      </c>
      <c r="AD149" s="45">
        <v>0.51711147866612273</v>
      </c>
    </row>
    <row r="150" spans="1:30">
      <c r="A150" s="1" t="s">
        <v>174</v>
      </c>
      <c r="B150" s="1" t="s">
        <v>338</v>
      </c>
      <c r="C150" s="34">
        <v>0.38235213643241872</v>
      </c>
      <c r="D150" s="34">
        <v>0.46682635491015917</v>
      </c>
      <c r="E150" s="34">
        <v>8.4474218477740448E-2</v>
      </c>
      <c r="F150" s="41">
        <v>0.22093303640444387</v>
      </c>
      <c r="H150">
        <v>125</v>
      </c>
      <c r="I150">
        <v>141</v>
      </c>
      <c r="J150">
        <v>-16</v>
      </c>
      <c r="K150">
        <v>16</v>
      </c>
      <c r="AA150" s="1" t="s">
        <v>184</v>
      </c>
      <c r="AB150" s="1" t="s">
        <v>248</v>
      </c>
      <c r="AC150" s="9">
        <v>0.51767462353864091</v>
      </c>
      <c r="AD150" s="45">
        <v>0.51730843634470824</v>
      </c>
    </row>
    <row r="151" spans="1:30">
      <c r="A151" s="1" t="s">
        <v>7</v>
      </c>
      <c r="B151" s="1" t="s">
        <v>339</v>
      </c>
      <c r="C151" s="34">
        <v>0.18587195144821328</v>
      </c>
      <c r="D151" s="34">
        <v>0.2160449526954652</v>
      </c>
      <c r="E151" s="34">
        <v>3.0173001247251918E-2</v>
      </c>
      <c r="F151" s="41">
        <v>0.16233219166291785</v>
      </c>
      <c r="H151">
        <v>18</v>
      </c>
      <c r="I151">
        <v>31</v>
      </c>
      <c r="J151">
        <v>-13</v>
      </c>
      <c r="K151">
        <v>13</v>
      </c>
      <c r="AA151" s="1" t="s">
        <v>137</v>
      </c>
      <c r="AB151" s="1" t="s">
        <v>296</v>
      </c>
      <c r="AC151" s="9">
        <v>0.51391636678343333</v>
      </c>
      <c r="AD151" s="45">
        <v>0.52500000000000002</v>
      </c>
    </row>
    <row r="152" spans="1:30">
      <c r="A152" s="1" t="s">
        <v>80</v>
      </c>
      <c r="B152" s="1" t="s">
        <v>340</v>
      </c>
      <c r="C152" s="34">
        <v>0.42571015541007878</v>
      </c>
      <c r="D152" s="34">
        <v>0.48485872169251576</v>
      </c>
      <c r="E152" s="34">
        <v>5.9148566282436976E-2</v>
      </c>
      <c r="F152" s="41">
        <v>0.1389409332400357</v>
      </c>
      <c r="H152">
        <v>134</v>
      </c>
      <c r="I152">
        <v>149</v>
      </c>
      <c r="J152">
        <v>-15</v>
      </c>
      <c r="K152">
        <v>15</v>
      </c>
      <c r="AA152" s="1" t="s">
        <v>107</v>
      </c>
      <c r="AB152" s="1" t="s">
        <v>268</v>
      </c>
      <c r="AC152" s="9">
        <v>0.47383348547562426</v>
      </c>
      <c r="AD152" s="45">
        <v>0.52589285714285716</v>
      </c>
    </row>
    <row r="153" spans="1:30">
      <c r="A153" s="1" t="s">
        <v>27</v>
      </c>
      <c r="B153" s="1" t="s">
        <v>341</v>
      </c>
      <c r="C153" s="34">
        <v>0.29970448782638004</v>
      </c>
      <c r="D153" s="34">
        <v>0.29258608798563329</v>
      </c>
      <c r="E153" s="34">
        <v>7.1183998407467475E-3</v>
      </c>
      <c r="F153" s="41">
        <v>2.3751395557581587E-2</v>
      </c>
      <c r="H153">
        <v>95</v>
      </c>
      <c r="I153">
        <v>66</v>
      </c>
      <c r="J153">
        <v>29</v>
      </c>
      <c r="K153">
        <v>29</v>
      </c>
      <c r="AA153" s="1" t="s">
        <v>166</v>
      </c>
      <c r="AB153" s="1" t="s">
        <v>205</v>
      </c>
      <c r="AC153" s="9">
        <v>0.62215662678655304</v>
      </c>
      <c r="AD153" s="45">
        <v>0.52609828950127713</v>
      </c>
    </row>
    <row r="154" spans="1:30">
      <c r="A154" s="1" t="s">
        <v>128</v>
      </c>
      <c r="B154" s="1" t="s">
        <v>342</v>
      </c>
      <c r="C154" s="34">
        <v>0.47536360406836337</v>
      </c>
      <c r="D154" s="34">
        <v>0.43547329944979229</v>
      </c>
      <c r="E154" s="34">
        <v>3.9890304618571071E-2</v>
      </c>
      <c r="F154" s="41">
        <v>8.3915352957552758E-2</v>
      </c>
      <c r="H154">
        <v>156</v>
      </c>
      <c r="I154">
        <v>133</v>
      </c>
      <c r="J154">
        <v>23</v>
      </c>
      <c r="K154">
        <v>23</v>
      </c>
      <c r="AA154" s="1" t="s">
        <v>86</v>
      </c>
      <c r="AB154" s="1" t="s">
        <v>326</v>
      </c>
      <c r="AC154" s="9">
        <v>0.39234953299546221</v>
      </c>
      <c r="AD154" s="45">
        <v>0.52935292541889067</v>
      </c>
    </row>
    <row r="155" spans="1:30">
      <c r="A155" s="1" t="s">
        <v>106</v>
      </c>
      <c r="B155" s="1" t="s">
        <v>343</v>
      </c>
      <c r="C155" s="34">
        <v>0.22195639221102992</v>
      </c>
      <c r="D155" s="34">
        <v>0.29149306211212417</v>
      </c>
      <c r="E155" s="34">
        <v>6.953666990109425E-2</v>
      </c>
      <c r="F155" s="41">
        <v>0.31328978277399971</v>
      </c>
      <c r="H155">
        <v>38</v>
      </c>
      <c r="I155">
        <v>65</v>
      </c>
      <c r="J155">
        <v>-27</v>
      </c>
      <c r="K155">
        <v>27</v>
      </c>
      <c r="AA155" s="1" t="s">
        <v>143</v>
      </c>
      <c r="AB155" s="1" t="s">
        <v>322</v>
      </c>
      <c r="AC155" s="9">
        <v>0.45993820486640058</v>
      </c>
      <c r="AD155" s="45">
        <v>0.53291411605405759</v>
      </c>
    </row>
    <row r="156" spans="1:30">
      <c r="A156" s="1" t="s">
        <v>102</v>
      </c>
      <c r="B156" s="1" t="s">
        <v>344</v>
      </c>
      <c r="C156" s="34">
        <v>0.32692239317750854</v>
      </c>
      <c r="D156" s="34">
        <v>0.31726301388741368</v>
      </c>
      <c r="E156" s="34">
        <v>9.6593792900948605E-3</v>
      </c>
      <c r="F156" s="41">
        <v>2.9546398447077689E-2</v>
      </c>
      <c r="H156">
        <v>108</v>
      </c>
      <c r="I156">
        <v>83</v>
      </c>
      <c r="J156">
        <v>25</v>
      </c>
      <c r="K156">
        <v>25</v>
      </c>
      <c r="AA156" s="1" t="s">
        <v>191</v>
      </c>
      <c r="AB156" s="1" t="s">
        <v>219</v>
      </c>
      <c r="AC156" s="9">
        <v>0.63976588405958967</v>
      </c>
      <c r="AD156" s="45">
        <v>0.53343148028243059</v>
      </c>
    </row>
    <row r="157" spans="1:30">
      <c r="A157" s="1" t="s">
        <v>136</v>
      </c>
      <c r="B157" s="1" t="s">
        <v>345</v>
      </c>
      <c r="C157" s="34">
        <v>0.55594509345682586</v>
      </c>
      <c r="D157" s="34">
        <v>0.56302480545729328</v>
      </c>
      <c r="E157" s="34">
        <v>7.0797120004674197E-3</v>
      </c>
      <c r="F157" s="41">
        <v>1.2734552537277179E-2</v>
      </c>
      <c r="H157">
        <v>182</v>
      </c>
      <c r="I157">
        <v>181</v>
      </c>
      <c r="J157">
        <v>1</v>
      </c>
      <c r="K157">
        <v>1</v>
      </c>
      <c r="AA157" s="1" t="s">
        <v>120</v>
      </c>
      <c r="AB157" s="1" t="s">
        <v>337</v>
      </c>
      <c r="AC157" s="9">
        <v>0.39837654016623525</v>
      </c>
      <c r="AD157" s="45">
        <v>0.54486707920883626</v>
      </c>
    </row>
    <row r="158" spans="1:30">
      <c r="A158" s="1" t="s">
        <v>0</v>
      </c>
      <c r="B158" s="1" t="s">
        <v>346</v>
      </c>
      <c r="C158" s="34">
        <v>0.28141294690244967</v>
      </c>
      <c r="D158" s="34">
        <v>0.31965922623294979</v>
      </c>
      <c r="E158" s="34">
        <v>3.8246279330500121E-2</v>
      </c>
      <c r="F158" s="41">
        <v>0.13590803035710364</v>
      </c>
      <c r="H158">
        <v>84</v>
      </c>
      <c r="I158">
        <v>86</v>
      </c>
      <c r="J158">
        <v>-2</v>
      </c>
      <c r="K158">
        <v>2</v>
      </c>
      <c r="AA158" s="1" t="s">
        <v>160</v>
      </c>
      <c r="AB158" s="1" t="s">
        <v>380</v>
      </c>
      <c r="AC158" s="9">
        <v>0.66948898978547733</v>
      </c>
      <c r="AD158" s="45">
        <v>0.5459635765324139</v>
      </c>
    </row>
    <row r="159" spans="1:30">
      <c r="A159" s="1" t="s">
        <v>99</v>
      </c>
      <c r="B159" s="1" t="s">
        <v>347</v>
      </c>
      <c r="C159" s="34">
        <v>0.18668607800269502</v>
      </c>
      <c r="D159" s="34">
        <v>0.18672592649292558</v>
      </c>
      <c r="E159" s="34">
        <v>3.9848490230559586E-5</v>
      </c>
      <c r="F159" s="41">
        <v>2.1345185809722956E-4</v>
      </c>
      <c r="H159">
        <v>20</v>
      </c>
      <c r="I159">
        <v>17</v>
      </c>
      <c r="J159">
        <v>3</v>
      </c>
      <c r="K159">
        <v>3</v>
      </c>
      <c r="AA159" s="1" t="s">
        <v>116</v>
      </c>
      <c r="AB159" s="1" t="s">
        <v>233</v>
      </c>
      <c r="AC159" s="9">
        <v>0.5618946693199709</v>
      </c>
      <c r="AD159" s="45">
        <v>0.55663716467667657</v>
      </c>
    </row>
    <row r="160" spans="1:30">
      <c r="A160" s="1" t="s">
        <v>117</v>
      </c>
      <c r="B160" s="1" t="s">
        <v>348</v>
      </c>
      <c r="C160" s="34">
        <v>0.17733067440079164</v>
      </c>
      <c r="D160" s="34">
        <v>0.1789020843518552</v>
      </c>
      <c r="E160" s="34">
        <v>1.5714099510635571E-3</v>
      </c>
      <c r="F160" s="41">
        <v>8.8614671791748516E-3</v>
      </c>
      <c r="H160">
        <v>14</v>
      </c>
      <c r="I160">
        <v>15</v>
      </c>
      <c r="J160">
        <v>-1</v>
      </c>
      <c r="K160">
        <v>1</v>
      </c>
      <c r="AA160" s="1" t="s">
        <v>131</v>
      </c>
      <c r="AB160" s="1" t="s">
        <v>300</v>
      </c>
      <c r="AC160" s="9">
        <v>0.54650499553169063</v>
      </c>
      <c r="AD160" s="45">
        <v>0.56184625431173185</v>
      </c>
    </row>
    <row r="161" spans="1:30">
      <c r="A161" s="1" t="s">
        <v>181</v>
      </c>
      <c r="B161" s="1" t="s">
        <v>349</v>
      </c>
      <c r="C161" s="34">
        <v>0.48173624709307505</v>
      </c>
      <c r="D161" s="34">
        <v>0.51498779679174045</v>
      </c>
      <c r="E161" s="34">
        <v>3.3251549698665395E-2</v>
      </c>
      <c r="F161" s="41">
        <v>6.9024388136276038E-2</v>
      </c>
      <c r="H161">
        <v>160</v>
      </c>
      <c r="I161">
        <v>167</v>
      </c>
      <c r="J161">
        <v>-7</v>
      </c>
      <c r="K161">
        <v>7</v>
      </c>
      <c r="AA161" s="1" t="s">
        <v>185</v>
      </c>
      <c r="AB161" s="1" t="s">
        <v>318</v>
      </c>
      <c r="AC161" s="9">
        <v>0.51463635255220219</v>
      </c>
      <c r="AD161" s="45">
        <v>0.56317685884297641</v>
      </c>
    </row>
    <row r="162" spans="1:30">
      <c r="A162" s="1" t="s">
        <v>140</v>
      </c>
      <c r="B162" s="1" t="s">
        <v>350</v>
      </c>
      <c r="C162" s="34">
        <v>0.53364219930013301</v>
      </c>
      <c r="D162" s="34">
        <v>0.56394196858565082</v>
      </c>
      <c r="E162" s="34">
        <v>3.0299769285517808E-2</v>
      </c>
      <c r="F162" s="41">
        <v>5.6779185239202758E-2</v>
      </c>
      <c r="H162">
        <v>178</v>
      </c>
      <c r="I162">
        <v>182</v>
      </c>
      <c r="J162">
        <v>-4</v>
      </c>
      <c r="K162">
        <v>4</v>
      </c>
      <c r="AA162" s="1" t="s">
        <v>168</v>
      </c>
      <c r="AB162" s="1" t="s">
        <v>378</v>
      </c>
      <c r="AC162" s="9">
        <v>0.66389685691609435</v>
      </c>
      <c r="AD162" s="45">
        <v>0.56664858328603607</v>
      </c>
    </row>
    <row r="163" spans="1:30">
      <c r="A163" s="1" t="s">
        <v>79</v>
      </c>
      <c r="B163" s="1" t="s">
        <v>351</v>
      </c>
      <c r="C163" s="34">
        <v>0.36038851889372431</v>
      </c>
      <c r="D163" s="34">
        <v>0.34821852659961205</v>
      </c>
      <c r="E163" s="34">
        <v>1.2169992294112253E-2</v>
      </c>
      <c r="F163" s="41">
        <v>3.3769089901837537E-2</v>
      </c>
      <c r="H163">
        <v>118</v>
      </c>
      <c r="I163">
        <v>98</v>
      </c>
      <c r="J163">
        <v>20</v>
      </c>
      <c r="K163">
        <v>20</v>
      </c>
      <c r="AA163" s="1" t="s">
        <v>124</v>
      </c>
      <c r="AB163" s="1" t="s">
        <v>279</v>
      </c>
      <c r="AC163" s="9">
        <v>0.45062613750050651</v>
      </c>
      <c r="AD163" s="45">
        <v>0.57805812569880966</v>
      </c>
    </row>
    <row r="164" spans="1:30">
      <c r="A164" s="1" t="s">
        <v>36</v>
      </c>
      <c r="B164" s="1" t="s">
        <v>352</v>
      </c>
      <c r="C164" s="34">
        <v>0.19043812801351434</v>
      </c>
      <c r="D164" s="34">
        <v>0.20698046712305743</v>
      </c>
      <c r="E164" s="34">
        <v>1.6542339109543086E-2</v>
      </c>
      <c r="F164" s="41">
        <v>8.6864638305881522E-2</v>
      </c>
      <c r="H164">
        <v>21</v>
      </c>
      <c r="I164">
        <v>24</v>
      </c>
      <c r="J164">
        <v>-3</v>
      </c>
      <c r="K164">
        <v>3</v>
      </c>
      <c r="AA164" s="1" t="s">
        <v>183</v>
      </c>
      <c r="AB164" s="1" t="s">
        <v>314</v>
      </c>
      <c r="AC164" s="9">
        <v>0.60120286341656026</v>
      </c>
      <c r="AD164" s="45">
        <v>0.57810439189831397</v>
      </c>
    </row>
    <row r="165" spans="1:30">
      <c r="A165" s="1" t="s">
        <v>186</v>
      </c>
      <c r="B165" s="1" t="s">
        <v>353</v>
      </c>
      <c r="C165" s="34">
        <v>0.27492073086097685</v>
      </c>
      <c r="D165" s="34">
        <v>0.28385752610855491</v>
      </c>
      <c r="E165" s="34">
        <v>8.9367952475780665E-3</v>
      </c>
      <c r="F165" s="41">
        <v>3.2506807397137558E-2</v>
      </c>
      <c r="H165">
        <v>80</v>
      </c>
      <c r="I165">
        <v>58</v>
      </c>
      <c r="J165">
        <v>22</v>
      </c>
      <c r="K165">
        <v>22</v>
      </c>
      <c r="AA165" s="1" t="s">
        <v>141</v>
      </c>
      <c r="AB165" s="1" t="s">
        <v>312</v>
      </c>
      <c r="AC165" s="9">
        <v>0.28337767369600053</v>
      </c>
      <c r="AD165" s="45">
        <v>0.58495160718140538</v>
      </c>
    </row>
    <row r="166" spans="1:30">
      <c r="A166" s="1" t="s">
        <v>125</v>
      </c>
      <c r="B166" s="1" t="s">
        <v>354</v>
      </c>
      <c r="C166" s="34">
        <v>0.49345968390510775</v>
      </c>
      <c r="D166" s="34">
        <v>0.49560443680892335</v>
      </c>
      <c r="E166" s="34">
        <v>2.1447529038156055E-3</v>
      </c>
      <c r="F166" s="41">
        <v>4.3463589301614381E-3</v>
      </c>
      <c r="H166">
        <v>166</v>
      </c>
      <c r="I166">
        <v>155</v>
      </c>
      <c r="J166">
        <v>11</v>
      </c>
      <c r="K166">
        <v>11</v>
      </c>
      <c r="AA166" s="1" t="s">
        <v>175</v>
      </c>
      <c r="AB166" s="1" t="s">
        <v>303</v>
      </c>
      <c r="AC166" s="9">
        <v>0.83458971058250631</v>
      </c>
      <c r="AD166" s="45">
        <v>0.58587561733473337</v>
      </c>
    </row>
    <row r="167" spans="1:30">
      <c r="A167" s="1" t="s">
        <v>42</v>
      </c>
      <c r="B167" s="1" t="s">
        <v>355</v>
      </c>
      <c r="C167" s="34">
        <v>0.29158552971087726</v>
      </c>
      <c r="D167" s="34">
        <v>0.30488226826645337</v>
      </c>
      <c r="E167" s="34">
        <v>1.3296738555576115E-2</v>
      </c>
      <c r="F167" s="41">
        <v>4.5601503506571626E-2</v>
      </c>
      <c r="H167">
        <v>91</v>
      </c>
      <c r="I167">
        <v>75</v>
      </c>
      <c r="J167">
        <v>16</v>
      </c>
      <c r="K167">
        <v>16</v>
      </c>
      <c r="AA167" s="1" t="s">
        <v>129</v>
      </c>
      <c r="AB167" s="1" t="s">
        <v>304</v>
      </c>
      <c r="AC167" s="9">
        <v>0.66307685516823356</v>
      </c>
      <c r="AD167" s="45">
        <v>0.58667219523662573</v>
      </c>
    </row>
    <row r="168" spans="1:30">
      <c r="A168" s="1" t="s">
        <v>171</v>
      </c>
      <c r="B168" s="1" t="s">
        <v>356</v>
      </c>
      <c r="C168" s="34">
        <v>0.43637555590543825</v>
      </c>
      <c r="D168" s="34">
        <v>0.42013115440688892</v>
      </c>
      <c r="E168" s="34">
        <v>1.6244401498549332E-2</v>
      </c>
      <c r="F168" s="41">
        <v>3.7225736590226113E-2</v>
      </c>
      <c r="H168">
        <v>139</v>
      </c>
      <c r="I168">
        <v>125</v>
      </c>
      <c r="J168">
        <v>14</v>
      </c>
      <c r="K168">
        <v>14</v>
      </c>
      <c r="AA168" s="1" t="s">
        <v>146</v>
      </c>
      <c r="AB168" s="1" t="s">
        <v>211</v>
      </c>
      <c r="AC168" s="9">
        <v>0.61604564218618596</v>
      </c>
      <c r="AD168" s="45">
        <v>0.58802335566459163</v>
      </c>
    </row>
    <row r="169" spans="1:30">
      <c r="A169" s="1" t="s">
        <v>24</v>
      </c>
      <c r="B169" s="1" t="s">
        <v>357</v>
      </c>
      <c r="C169" s="34">
        <v>0.19362180775449547</v>
      </c>
      <c r="D169" s="34">
        <v>0.16620241760364293</v>
      </c>
      <c r="E169" s="34">
        <v>2.7419390150852541E-2</v>
      </c>
      <c r="F169" s="41">
        <v>0.1416131295789739</v>
      </c>
      <c r="H169">
        <v>24</v>
      </c>
      <c r="I169">
        <v>10</v>
      </c>
      <c r="J169">
        <v>14</v>
      </c>
      <c r="K169">
        <v>14</v>
      </c>
      <c r="AA169" s="1" t="s">
        <v>142</v>
      </c>
      <c r="AB169" s="1" t="s">
        <v>310</v>
      </c>
      <c r="AC169" s="9">
        <v>0.42269198471948333</v>
      </c>
      <c r="AD169" s="45">
        <v>0.60404449164715113</v>
      </c>
    </row>
    <row r="170" spans="1:30">
      <c r="A170" s="1" t="s">
        <v>47</v>
      </c>
      <c r="B170" s="1" t="s">
        <v>358</v>
      </c>
      <c r="C170" s="34">
        <v>0.13858244171683301</v>
      </c>
      <c r="D170" s="34">
        <v>0.13430052428917011</v>
      </c>
      <c r="E170" s="34">
        <v>4.2819174276629013E-3</v>
      </c>
      <c r="F170" s="41">
        <v>3.0897979387693206E-2</v>
      </c>
      <c r="H170">
        <v>4</v>
      </c>
      <c r="I170">
        <v>3</v>
      </c>
      <c r="J170">
        <v>1</v>
      </c>
      <c r="K170">
        <v>1</v>
      </c>
      <c r="AA170" s="1" t="s">
        <v>94</v>
      </c>
      <c r="AB170" s="1" t="s">
        <v>307</v>
      </c>
      <c r="AC170" s="9">
        <v>0.40548687497823332</v>
      </c>
      <c r="AD170" s="45">
        <v>0.61024342346907046</v>
      </c>
    </row>
    <row r="171" spans="1:30">
      <c r="A171" s="1" t="s">
        <v>101</v>
      </c>
      <c r="B171" s="1" t="s">
        <v>359</v>
      </c>
      <c r="C171" s="34">
        <v>0.24844554384309456</v>
      </c>
      <c r="D171" s="34">
        <v>0.32604830316613614</v>
      </c>
      <c r="E171" s="34">
        <v>7.7602759323041587E-2</v>
      </c>
      <c r="F171" s="41">
        <v>0.31235319467855499</v>
      </c>
      <c r="H171">
        <v>57</v>
      </c>
      <c r="I171">
        <v>88</v>
      </c>
      <c r="J171">
        <v>-31</v>
      </c>
      <c r="K171">
        <v>31</v>
      </c>
      <c r="AA171" s="1" t="s">
        <v>179</v>
      </c>
      <c r="AB171" s="1" t="s">
        <v>218</v>
      </c>
      <c r="AC171" s="9">
        <v>0.36595662669909956</v>
      </c>
      <c r="AD171" s="45">
        <v>0.63549170649583819</v>
      </c>
    </row>
    <row r="172" spans="1:30">
      <c r="A172" s="1" t="s">
        <v>167</v>
      </c>
      <c r="B172" s="1" t="s">
        <v>360</v>
      </c>
      <c r="C172" s="34">
        <v>0.34858529567330515</v>
      </c>
      <c r="D172" s="34">
        <v>0.39817904523504161</v>
      </c>
      <c r="E172" s="34">
        <v>4.9593749561736455E-2</v>
      </c>
      <c r="F172" s="41">
        <v>0.14227149044237317</v>
      </c>
      <c r="H172">
        <v>115</v>
      </c>
      <c r="I172">
        <v>118</v>
      </c>
      <c r="J172">
        <v>-3</v>
      </c>
      <c r="K172">
        <v>3</v>
      </c>
      <c r="AA172" s="1" t="s">
        <v>172</v>
      </c>
      <c r="AB172" s="1" t="s">
        <v>287</v>
      </c>
      <c r="AC172" s="9">
        <v>0.46991132218955123</v>
      </c>
      <c r="AD172" s="45">
        <v>0.63947166054305205</v>
      </c>
    </row>
    <row r="173" spans="1:30">
      <c r="A173" s="1" t="s">
        <v>170</v>
      </c>
      <c r="B173" s="1" t="s">
        <v>361</v>
      </c>
      <c r="C173" s="34">
        <v>0.50076979094621688</v>
      </c>
      <c r="D173" s="34">
        <v>0.52304938847640414</v>
      </c>
      <c r="E173" s="34">
        <v>2.2279597530187267E-2</v>
      </c>
      <c r="F173" s="41">
        <v>4.4490697987371437E-2</v>
      </c>
      <c r="H173">
        <v>171</v>
      </c>
      <c r="I173">
        <v>170</v>
      </c>
      <c r="J173">
        <v>1</v>
      </c>
      <c r="K173">
        <v>1</v>
      </c>
      <c r="AA173" s="1" t="s">
        <v>127</v>
      </c>
      <c r="AB173" s="1" t="s">
        <v>364</v>
      </c>
      <c r="AC173" s="9">
        <v>0.4904696444453629</v>
      </c>
      <c r="AD173" s="45">
        <v>0.64116549840397907</v>
      </c>
    </row>
    <row r="174" spans="1:30">
      <c r="A174" s="1" t="s">
        <v>149</v>
      </c>
      <c r="B174" s="1" t="s">
        <v>362</v>
      </c>
      <c r="C174" s="34">
        <v>0.22512041268026409</v>
      </c>
      <c r="D174" s="34">
        <v>0.29302765495935557</v>
      </c>
      <c r="E174" s="34">
        <v>6.7907242279091479E-2</v>
      </c>
      <c r="F174" s="41">
        <v>0.30164853320315893</v>
      </c>
      <c r="H174">
        <v>42</v>
      </c>
      <c r="I174">
        <v>67</v>
      </c>
      <c r="J174">
        <v>-25</v>
      </c>
      <c r="K174">
        <v>25</v>
      </c>
      <c r="AA174" s="1" t="s">
        <v>53</v>
      </c>
      <c r="AB174" s="1" t="s">
        <v>299</v>
      </c>
      <c r="AC174" s="9">
        <v>0.65752195018419946</v>
      </c>
      <c r="AD174" s="45">
        <v>0.64199545586237228</v>
      </c>
    </row>
    <row r="175" spans="1:30">
      <c r="A175" s="1" t="s">
        <v>164</v>
      </c>
      <c r="B175" s="1" t="s">
        <v>363</v>
      </c>
      <c r="C175" s="34">
        <v>0.48109525694356803</v>
      </c>
      <c r="D175" s="34" t="e">
        <v>#N/A</v>
      </c>
      <c r="E175" s="34" t="e">
        <v>#N/A</v>
      </c>
      <c r="F175" s="41" t="e">
        <v>#N/A</v>
      </c>
      <c r="H175">
        <v>159</v>
      </c>
      <c r="I175" t="e">
        <v>#VALUE!</v>
      </c>
      <c r="J175" t="e">
        <v>#VALUE!</v>
      </c>
      <c r="K175" t="e">
        <v>#VALUE!</v>
      </c>
      <c r="AA175" s="1" t="s">
        <v>153</v>
      </c>
      <c r="AB175" s="1" t="s">
        <v>381</v>
      </c>
      <c r="AC175" s="9">
        <v>0.62808527409279957</v>
      </c>
      <c r="AD175" s="45">
        <v>0.64889594186462729</v>
      </c>
    </row>
    <row r="176" spans="1:30">
      <c r="A176" s="1" t="s">
        <v>127</v>
      </c>
      <c r="B176" s="1" t="s">
        <v>364</v>
      </c>
      <c r="C176" s="34">
        <v>0.5090392101147706</v>
      </c>
      <c r="D176" s="34">
        <v>0.52771289893491458</v>
      </c>
      <c r="E176" s="34">
        <v>1.8673688820143974E-2</v>
      </c>
      <c r="F176" s="41">
        <v>3.6684185518702395E-2</v>
      </c>
      <c r="H176">
        <v>173</v>
      </c>
      <c r="I176">
        <v>173</v>
      </c>
      <c r="J176">
        <v>0</v>
      </c>
      <c r="K176">
        <v>0</v>
      </c>
      <c r="AA176" s="1" t="s">
        <v>98</v>
      </c>
      <c r="AB176" s="1" t="s">
        <v>196</v>
      </c>
      <c r="AC176" s="9">
        <v>0.43019482270560622</v>
      </c>
      <c r="AD176" s="45">
        <v>0.67119679208355054</v>
      </c>
    </row>
    <row r="177" spans="1:30">
      <c r="A177" s="1" t="s">
        <v>169</v>
      </c>
      <c r="B177" s="1" t="s">
        <v>365</v>
      </c>
      <c r="C177" s="34">
        <v>0.34644203478426333</v>
      </c>
      <c r="D177" s="34">
        <v>0.41084554063112771</v>
      </c>
      <c r="E177" s="34">
        <v>6.4403505846864384E-2</v>
      </c>
      <c r="F177" s="41">
        <v>0.18589980250800048</v>
      </c>
      <c r="H177">
        <v>114</v>
      </c>
      <c r="I177">
        <v>122</v>
      </c>
      <c r="J177">
        <v>-8</v>
      </c>
      <c r="K177">
        <v>8</v>
      </c>
      <c r="AA177" s="1" t="s">
        <v>21</v>
      </c>
      <c r="AB177" s="1" t="s">
        <v>239</v>
      </c>
      <c r="AC177" s="9">
        <v>0.65421055354747193</v>
      </c>
      <c r="AD177" s="45">
        <v>0.67869927588832368</v>
      </c>
    </row>
    <row r="178" spans="1:30">
      <c r="A178" s="1" t="s">
        <v>189</v>
      </c>
      <c r="B178" s="1" t="s">
        <v>366</v>
      </c>
      <c r="C178" s="34">
        <v>0.3003347732480402</v>
      </c>
      <c r="D178" s="34">
        <v>0.30017325075135848</v>
      </c>
      <c r="E178" s="34">
        <v>1.6152249668172081E-4</v>
      </c>
      <c r="F178" s="41">
        <v>5.3780817630572119E-4</v>
      </c>
      <c r="H178">
        <v>96</v>
      </c>
      <c r="I178">
        <v>71</v>
      </c>
      <c r="J178">
        <v>25</v>
      </c>
      <c r="K178">
        <v>25</v>
      </c>
      <c r="AA178" s="1" t="s">
        <v>169</v>
      </c>
      <c r="AB178" s="1" t="s">
        <v>365</v>
      </c>
      <c r="AC178" s="9">
        <v>0.5702341671533141</v>
      </c>
      <c r="AD178" s="45">
        <v>0.6815142781112401</v>
      </c>
    </row>
    <row r="179" spans="1:30">
      <c r="A179" s="1" t="s">
        <v>65</v>
      </c>
      <c r="B179" s="1" t="s">
        <v>367</v>
      </c>
      <c r="C179" s="34">
        <v>0.28431020857436645</v>
      </c>
      <c r="D179" s="34">
        <v>0.30164691301638091</v>
      </c>
      <c r="E179" s="34">
        <v>1.7336704442014461E-2</v>
      </c>
      <c r="F179" s="41">
        <v>6.0978128534135048E-2</v>
      </c>
      <c r="H179">
        <v>85</v>
      </c>
      <c r="I179">
        <v>73</v>
      </c>
      <c r="J179">
        <v>12</v>
      </c>
      <c r="K179">
        <v>12</v>
      </c>
      <c r="AA179" s="1" t="s">
        <v>140</v>
      </c>
      <c r="AB179" s="1" t="s">
        <v>350</v>
      </c>
      <c r="AC179" s="9">
        <v>0.64874462493882556</v>
      </c>
      <c r="AD179" s="45">
        <v>0.68246489637852803</v>
      </c>
    </row>
    <row r="180" spans="1:30">
      <c r="A180" s="1" t="s">
        <v>57</v>
      </c>
      <c r="B180" s="1" t="s">
        <v>368</v>
      </c>
      <c r="C180" s="34">
        <v>0.25843107282487315</v>
      </c>
      <c r="D180" s="34">
        <v>0.2840352521662815</v>
      </c>
      <c r="E180" s="34">
        <v>2.5604179341408351E-2</v>
      </c>
      <c r="F180" s="41">
        <v>9.9075467441019083E-2</v>
      </c>
      <c r="H180">
        <v>65</v>
      </c>
      <c r="I180">
        <v>59</v>
      </c>
      <c r="J180">
        <v>6</v>
      </c>
      <c r="K180">
        <v>6</v>
      </c>
      <c r="AA180" s="1" t="s">
        <v>178</v>
      </c>
      <c r="AB180" s="1" t="s">
        <v>246</v>
      </c>
      <c r="AC180" s="9">
        <v>0.5897645718127823</v>
      </c>
      <c r="AD180" s="45">
        <v>0.6862202380715251</v>
      </c>
    </row>
    <row r="181" spans="1:30">
      <c r="A181" s="1" t="s">
        <v>114</v>
      </c>
      <c r="B181" s="1" t="s">
        <v>369</v>
      </c>
      <c r="C181" s="34">
        <v>0.25679736244970092</v>
      </c>
      <c r="D181" s="34">
        <v>0.29749316013675209</v>
      </c>
      <c r="E181" s="34">
        <v>4.0695797687051172E-2</v>
      </c>
      <c r="F181" s="41">
        <v>0.15847436009013638</v>
      </c>
      <c r="H181">
        <v>64</v>
      </c>
      <c r="I181">
        <v>69</v>
      </c>
      <c r="J181">
        <v>-5</v>
      </c>
      <c r="K181">
        <v>5</v>
      </c>
      <c r="AA181" s="1" t="s">
        <v>121</v>
      </c>
      <c r="AB181" s="1" t="s">
        <v>263</v>
      </c>
      <c r="AC181" s="9">
        <v>0.56595689496744717</v>
      </c>
      <c r="AD181" s="45">
        <v>0.70622886343096802</v>
      </c>
    </row>
    <row r="182" spans="1:30">
      <c r="A182" s="1" t="s">
        <v>113</v>
      </c>
      <c r="B182" s="1" t="s">
        <v>370</v>
      </c>
      <c r="C182" s="34">
        <v>0.45030088655824108</v>
      </c>
      <c r="D182" s="34" t="e">
        <v>#N/A</v>
      </c>
      <c r="E182" s="34" t="e">
        <v>#N/A</v>
      </c>
      <c r="F182" s="41" t="e">
        <v>#N/A</v>
      </c>
      <c r="H182">
        <v>148</v>
      </c>
      <c r="I182" t="e">
        <v>#VALUE!</v>
      </c>
      <c r="J182" t="e">
        <v>#VALUE!</v>
      </c>
      <c r="K182" t="e">
        <v>#VALUE!</v>
      </c>
      <c r="AA182" s="1" t="s">
        <v>156</v>
      </c>
      <c r="AB182" s="1" t="s">
        <v>261</v>
      </c>
      <c r="AC182" s="9">
        <v>0.51034185679384136</v>
      </c>
      <c r="AD182" s="45">
        <v>0.72314355070894276</v>
      </c>
    </row>
    <row r="183" spans="1:30">
      <c r="A183" s="1" t="s">
        <v>188</v>
      </c>
      <c r="B183" s="1" t="s">
        <v>371</v>
      </c>
      <c r="C183" s="34">
        <v>0.49775610584587726</v>
      </c>
      <c r="D183" s="34">
        <v>0.51602031018556616</v>
      </c>
      <c r="E183" s="34">
        <v>1.8264204339688894E-2</v>
      </c>
      <c r="F183" s="41">
        <v>3.6693079452337511E-2</v>
      </c>
      <c r="H183">
        <v>168</v>
      </c>
      <c r="I183">
        <v>168</v>
      </c>
      <c r="J183">
        <v>0</v>
      </c>
      <c r="K183">
        <v>0</v>
      </c>
      <c r="AA183" s="1" t="s">
        <v>181</v>
      </c>
      <c r="AB183" s="1" t="s">
        <v>349</v>
      </c>
      <c r="AC183" s="9">
        <v>0.74893566394825994</v>
      </c>
      <c r="AD183" s="45">
        <v>0.75271658616351422</v>
      </c>
    </row>
    <row r="184" spans="1:30">
      <c r="A184" s="1" t="s">
        <v>60</v>
      </c>
      <c r="B184" s="1" t="s">
        <v>372</v>
      </c>
      <c r="C184" s="34">
        <v>0.2418877512903522</v>
      </c>
      <c r="D184" s="34">
        <v>0.25645446095432195</v>
      </c>
      <c r="E184" s="34">
        <v>1.4566709663969751E-2</v>
      </c>
      <c r="F184" s="41">
        <v>6.0220947882906509E-2</v>
      </c>
      <c r="H184">
        <v>52</v>
      </c>
      <c r="I184">
        <v>47</v>
      </c>
      <c r="J184">
        <v>5</v>
      </c>
      <c r="K184">
        <v>5</v>
      </c>
      <c r="AA184" s="1" t="s">
        <v>154</v>
      </c>
      <c r="AB184" s="1" t="s">
        <v>284</v>
      </c>
      <c r="AC184" s="9">
        <v>0.63149183627520999</v>
      </c>
      <c r="AD184" s="45">
        <v>0.85852953132586085</v>
      </c>
    </row>
    <row r="185" spans="1:30">
      <c r="A185" s="1" t="s">
        <v>33</v>
      </c>
      <c r="B185" s="1" t="s">
        <v>373</v>
      </c>
      <c r="C185" s="34">
        <v>0.26933054316460192</v>
      </c>
      <c r="D185" s="34">
        <v>0.27154837772390977</v>
      </c>
      <c r="E185" s="34">
        <v>2.2178345593078519E-3</v>
      </c>
      <c r="F185" s="41">
        <v>8.2346195617049554E-3</v>
      </c>
      <c r="H185">
        <v>76</v>
      </c>
      <c r="I185">
        <v>51</v>
      </c>
      <c r="J185">
        <v>25</v>
      </c>
      <c r="K185">
        <v>25</v>
      </c>
      <c r="AA185" s="1" t="s">
        <v>177</v>
      </c>
      <c r="AB185" s="1" t="s">
        <v>220</v>
      </c>
      <c r="AC185" s="9">
        <v>0.49083997038340443</v>
      </c>
      <c r="AD185" s="45">
        <v>0.88739915224708654</v>
      </c>
    </row>
    <row r="186" spans="1:30">
      <c r="A186" s="1" t="s">
        <v>14</v>
      </c>
      <c r="B186" s="1" t="s">
        <v>374</v>
      </c>
      <c r="C186" s="34">
        <v>0.16386213909167979</v>
      </c>
      <c r="D186" s="34">
        <v>0.15677281525549766</v>
      </c>
      <c r="E186" s="34">
        <v>7.089323836182132E-3</v>
      </c>
      <c r="F186" s="41">
        <v>4.3263952707316373E-2</v>
      </c>
      <c r="H186">
        <v>10</v>
      </c>
      <c r="I186">
        <v>9</v>
      </c>
      <c r="J186">
        <v>1</v>
      </c>
      <c r="K186">
        <v>1</v>
      </c>
      <c r="AA186" s="1" t="s">
        <v>30</v>
      </c>
      <c r="AB186" s="1" t="s">
        <v>323</v>
      </c>
      <c r="AC186" s="9">
        <v>0.78875517320394728</v>
      </c>
      <c r="AD186" s="45">
        <v>0.97634252591561754</v>
      </c>
    </row>
    <row r="187" spans="1:30">
      <c r="A187" s="1" t="s">
        <v>6</v>
      </c>
      <c r="B187" s="1" t="s">
        <v>375</v>
      </c>
      <c r="C187" s="34">
        <v>0.18054363107450833</v>
      </c>
      <c r="D187" s="34">
        <v>0.19180817445711154</v>
      </c>
      <c r="E187" s="34">
        <v>1.1264543382603215E-2</v>
      </c>
      <c r="F187" s="41">
        <v>6.2392360869016006E-2</v>
      </c>
      <c r="H187">
        <v>15</v>
      </c>
      <c r="I187">
        <v>19</v>
      </c>
      <c r="J187">
        <v>-4</v>
      </c>
      <c r="K187">
        <v>4</v>
      </c>
      <c r="AA187" s="1" t="s">
        <v>103</v>
      </c>
      <c r="AB187" s="1" t="s">
        <v>332</v>
      </c>
      <c r="AC187" s="9">
        <v>0.35102084310650117</v>
      </c>
      <c r="AD187" s="45" t="e">
        <v>#N/A</v>
      </c>
    </row>
    <row r="188" spans="1:30">
      <c r="A188" s="1" t="s">
        <v>10</v>
      </c>
      <c r="B188" s="1" t="s">
        <v>376</v>
      </c>
      <c r="C188" s="34">
        <v>0.18580276801468162</v>
      </c>
      <c r="D188" s="34">
        <v>0.22475369091624697</v>
      </c>
      <c r="E188" s="34">
        <v>3.8950922901565349E-2</v>
      </c>
      <c r="F188" s="41">
        <v>0.20963585913040625</v>
      </c>
      <c r="H188">
        <v>17</v>
      </c>
      <c r="I188">
        <v>36</v>
      </c>
      <c r="J188">
        <v>-19</v>
      </c>
      <c r="K188">
        <v>19</v>
      </c>
      <c r="AA188" s="1" t="s">
        <v>102</v>
      </c>
      <c r="AB188" s="1" t="s">
        <v>344</v>
      </c>
      <c r="AC188" s="9">
        <v>0.39829430526704868</v>
      </c>
      <c r="AD188" s="45" t="e">
        <v>#N/A</v>
      </c>
    </row>
    <row r="189" spans="1:30">
      <c r="A189" s="1" t="s">
        <v>139</v>
      </c>
      <c r="B189" s="1" t="s">
        <v>377</v>
      </c>
      <c r="C189" s="34">
        <v>0.23664226603738905</v>
      </c>
      <c r="D189" s="34">
        <v>0.31900275568180891</v>
      </c>
      <c r="E189" s="34">
        <v>8.236048964441986E-2</v>
      </c>
      <c r="F189" s="41">
        <v>0.34803795206815274</v>
      </c>
      <c r="H189">
        <v>47</v>
      </c>
      <c r="I189">
        <v>84</v>
      </c>
      <c r="J189">
        <v>-37</v>
      </c>
      <c r="K189">
        <v>37</v>
      </c>
      <c r="AA189" s="1" t="s">
        <v>148</v>
      </c>
      <c r="AB189" s="1" t="s">
        <v>231</v>
      </c>
      <c r="AC189" s="9">
        <v>0.56047945672997734</v>
      </c>
      <c r="AD189" s="45" t="e">
        <v>#N/A</v>
      </c>
    </row>
    <row r="190" spans="1:30">
      <c r="A190" s="1" t="s">
        <v>168</v>
      </c>
      <c r="B190" s="1" t="s">
        <v>378</v>
      </c>
      <c r="C190" s="34">
        <v>0.40884989618379097</v>
      </c>
      <c r="D190" s="34">
        <v>0.43369429765081763</v>
      </c>
      <c r="E190" s="34">
        <v>2.4844401467026656E-2</v>
      </c>
      <c r="F190" s="41">
        <v>6.0766559314126153E-2</v>
      </c>
      <c r="H190">
        <v>128</v>
      </c>
      <c r="I190">
        <v>132</v>
      </c>
      <c r="J190">
        <v>-4</v>
      </c>
      <c r="K190">
        <v>4</v>
      </c>
      <c r="AA190" s="1" t="s">
        <v>7</v>
      </c>
      <c r="AB190" s="1" t="s">
        <v>339</v>
      </c>
      <c r="AC190" s="9">
        <v>0.58791523493766851</v>
      </c>
      <c r="AD190" s="45" t="e">
        <v>#N/A</v>
      </c>
    </row>
    <row r="191" spans="1:30">
      <c r="A191" s="1" t="s">
        <v>9</v>
      </c>
      <c r="B191" s="1" t="s">
        <v>379</v>
      </c>
      <c r="C191" s="34">
        <v>0.22441711028689174</v>
      </c>
      <c r="D191" s="34">
        <v>0.25648789942364769</v>
      </c>
      <c r="E191" s="34">
        <v>3.2070789136755956E-2</v>
      </c>
      <c r="F191" s="41">
        <v>0.14290705862737962</v>
      </c>
      <c r="H191">
        <v>40</v>
      </c>
      <c r="I191">
        <v>48</v>
      </c>
      <c r="J191">
        <v>-8</v>
      </c>
      <c r="K191">
        <v>8</v>
      </c>
      <c r="AA191" s="1" t="s">
        <v>17</v>
      </c>
      <c r="AB191" s="1" t="s">
        <v>195</v>
      </c>
      <c r="AC191" s="9">
        <v>0.61262378772827442</v>
      </c>
      <c r="AD191" s="45" t="e">
        <v>#N/A</v>
      </c>
    </row>
    <row r="192" spans="1:30">
      <c r="A192" s="1" t="s">
        <v>160</v>
      </c>
      <c r="B192" s="1" t="s">
        <v>380</v>
      </c>
      <c r="C192" s="34">
        <v>0.27016880610970867</v>
      </c>
      <c r="D192" s="34">
        <v>0.36615254384335955</v>
      </c>
      <c r="E192" s="34">
        <v>9.5983737733650876E-2</v>
      </c>
      <c r="F192" s="41">
        <v>0.35527320535544848</v>
      </c>
      <c r="H192">
        <v>78</v>
      </c>
      <c r="I192">
        <v>114</v>
      </c>
      <c r="J192">
        <v>-36</v>
      </c>
      <c r="K192">
        <v>36</v>
      </c>
      <c r="AA192" s="1" t="s">
        <v>164</v>
      </c>
      <c r="AB192" s="1" t="s">
        <v>363</v>
      </c>
      <c r="AC192" s="9">
        <v>0.70278734256587649</v>
      </c>
      <c r="AD192" s="45" t="e">
        <v>#N/A</v>
      </c>
    </row>
    <row r="193" spans="1:30">
      <c r="A193" s="1" t="s">
        <v>153</v>
      </c>
      <c r="B193" s="1" t="s">
        <v>381</v>
      </c>
      <c r="C193" s="34">
        <v>0.47087801862313006</v>
      </c>
      <c r="D193" s="34">
        <v>0.51069205382976357</v>
      </c>
      <c r="E193" s="34">
        <v>3.9814035206633513E-2</v>
      </c>
      <c r="F193" s="41">
        <v>8.455275810718807E-2</v>
      </c>
      <c r="H193">
        <v>154</v>
      </c>
      <c r="I193">
        <v>165</v>
      </c>
      <c r="J193">
        <v>-11</v>
      </c>
      <c r="K193">
        <v>11</v>
      </c>
      <c r="AA193" s="1" t="s">
        <v>108</v>
      </c>
      <c r="AB193" s="1" t="s">
        <v>249</v>
      </c>
      <c r="AC193" s="9">
        <v>0.85635284796810685</v>
      </c>
      <c r="AD193" s="45" t="e">
        <v>#N/A</v>
      </c>
    </row>
    <row r="194" spans="1:30">
      <c r="A194" s="1" t="s">
        <v>145</v>
      </c>
      <c r="B194" s="1" t="s">
        <v>382</v>
      </c>
      <c r="C194" s="34">
        <v>0.53218719446422769</v>
      </c>
      <c r="D194" s="34">
        <v>0.50910812289654195</v>
      </c>
      <c r="E194" s="34">
        <v>2.3079071567685738E-2</v>
      </c>
      <c r="F194" s="41">
        <v>4.3366454149503325E-2</v>
      </c>
      <c r="H194">
        <v>177</v>
      </c>
      <c r="I194">
        <v>164</v>
      </c>
      <c r="J194">
        <v>13</v>
      </c>
      <c r="K194">
        <v>13</v>
      </c>
      <c r="AA194" s="1" t="s">
        <v>1</v>
      </c>
      <c r="AB194" s="1" t="s">
        <v>313</v>
      </c>
      <c r="AC194" s="9" t="e">
        <v>#N/A</v>
      </c>
      <c r="AD194" s="45" t="e">
        <v>#N/A</v>
      </c>
    </row>
    <row r="195" spans="1:30">
      <c r="A195" s="1" t="s">
        <v>138</v>
      </c>
      <c r="B195" s="1" t="s">
        <v>383</v>
      </c>
      <c r="C195" s="34">
        <v>0.44705814048574682</v>
      </c>
      <c r="D195" s="34">
        <v>0.48632008097595553</v>
      </c>
      <c r="E195" s="34">
        <v>3.9261940490208702E-2</v>
      </c>
      <c r="F195" s="41">
        <v>8.7822895803997686E-2</v>
      </c>
      <c r="H195">
        <v>145</v>
      </c>
      <c r="I195">
        <v>150</v>
      </c>
      <c r="J195">
        <v>-5</v>
      </c>
      <c r="K195">
        <v>5</v>
      </c>
      <c r="AA195" s="1" t="s">
        <v>113</v>
      </c>
      <c r="AB195" s="1" t="s">
        <v>370</v>
      </c>
      <c r="AC195" s="9" t="e">
        <v>#N/A</v>
      </c>
      <c r="AD195" s="45" t="e">
        <v>#N/A</v>
      </c>
    </row>
    <row r="197" spans="1:30">
      <c r="A197" s="12" t="s">
        <v>7</v>
      </c>
      <c r="B197" s="10" t="s">
        <v>339</v>
      </c>
      <c r="C197" s="34">
        <v>0.18587195144821328</v>
      </c>
      <c r="D197" s="34" t="e">
        <v>#N/A</v>
      </c>
      <c r="E197" s="16">
        <v>18</v>
      </c>
      <c r="F197" s="34" t="e">
        <v>#N/A</v>
      </c>
      <c r="G197" s="49" t="e">
        <f t="shared" ref="G197:G202" si="0">E197-F197</f>
        <v>#N/A</v>
      </c>
      <c r="H197" s="49"/>
      <c r="I197" s="49"/>
    </row>
    <row r="198" spans="1:30">
      <c r="A198" s="12" t="s">
        <v>103</v>
      </c>
      <c r="B198" s="10" t="s">
        <v>332</v>
      </c>
      <c r="C198" s="34">
        <v>0.23381724586661129</v>
      </c>
      <c r="D198" s="34" t="e">
        <v>#N/A</v>
      </c>
      <c r="E198" s="16">
        <v>45</v>
      </c>
      <c r="F198" s="34" t="e">
        <v>#N/A</v>
      </c>
      <c r="G198" s="49" t="e">
        <f t="shared" si="0"/>
        <v>#N/A</v>
      </c>
      <c r="H198" s="49"/>
      <c r="I198" s="49"/>
    </row>
    <row r="199" spans="1:30">
      <c r="A199" s="11" t="s">
        <v>108</v>
      </c>
      <c r="B199" s="10" t="s">
        <v>249</v>
      </c>
      <c r="C199" s="34">
        <v>0.32392751567078631</v>
      </c>
      <c r="D199" s="34" t="e">
        <v>#N/A</v>
      </c>
      <c r="E199" s="16">
        <v>104</v>
      </c>
      <c r="F199" s="34" t="e">
        <v>#N/A</v>
      </c>
      <c r="G199" s="49" t="e">
        <f t="shared" si="0"/>
        <v>#N/A</v>
      </c>
      <c r="H199" s="49"/>
      <c r="I199" s="49"/>
    </row>
    <row r="200" spans="1:30">
      <c r="A200" s="12" t="s">
        <v>102</v>
      </c>
      <c r="B200" s="10" t="s">
        <v>344</v>
      </c>
      <c r="C200" s="34">
        <v>0.32692239317750854</v>
      </c>
      <c r="D200" s="34" t="e">
        <v>#N/A</v>
      </c>
      <c r="E200" s="16">
        <v>108</v>
      </c>
      <c r="F200" s="34" t="e">
        <v>#N/A</v>
      </c>
      <c r="G200" s="49" t="e">
        <f t="shared" si="0"/>
        <v>#N/A</v>
      </c>
      <c r="H200" s="49"/>
      <c r="I200" s="49"/>
    </row>
    <row r="201" spans="1:30">
      <c r="A201" s="12" t="s">
        <v>113</v>
      </c>
      <c r="B201" s="10" t="s">
        <v>370</v>
      </c>
      <c r="C201" s="34">
        <v>0.45030088655824108</v>
      </c>
      <c r="D201" s="34" t="e">
        <v>#N/A</v>
      </c>
      <c r="E201" s="16">
        <v>148</v>
      </c>
      <c r="F201" s="34" t="e">
        <v>#N/A</v>
      </c>
      <c r="G201" s="49" t="e">
        <f t="shared" si="0"/>
        <v>#N/A</v>
      </c>
      <c r="H201" s="49"/>
      <c r="I201" s="49"/>
    </row>
    <row r="202" spans="1:30">
      <c r="A202" s="12" t="s">
        <v>164</v>
      </c>
      <c r="B202" s="10" t="s">
        <v>363</v>
      </c>
      <c r="C202" s="34">
        <v>0.48109525694356803</v>
      </c>
      <c r="D202" s="34" t="e">
        <v>#N/A</v>
      </c>
      <c r="E202" s="16">
        <v>159</v>
      </c>
      <c r="F202" s="34" t="e">
        <v>#N/A</v>
      </c>
      <c r="G202" s="49" t="e">
        <f t="shared" si="0"/>
        <v>#N/A</v>
      </c>
      <c r="H202" s="49"/>
      <c r="I202" s="49"/>
    </row>
    <row r="203" spans="1:30" ht="14" customHeight="1">
      <c r="A203" s="11" t="s">
        <v>17</v>
      </c>
      <c r="B203" s="10" t="s">
        <v>195</v>
      </c>
      <c r="C203" s="34" t="e">
        <v>#N/A</v>
      </c>
      <c r="D203" s="34" t="e">
        <v>#N/A</v>
      </c>
      <c r="E203" s="34" t="e">
        <v>#N/A</v>
      </c>
      <c r="F203" s="34" t="e">
        <v>#N/A</v>
      </c>
      <c r="G203" s="34"/>
      <c r="H203" s="34"/>
      <c r="I203" s="34"/>
    </row>
    <row r="204" spans="1:30">
      <c r="A204" s="11" t="s">
        <v>148</v>
      </c>
      <c r="B204" s="10" t="s">
        <v>435</v>
      </c>
      <c r="C204" s="34" t="e">
        <v>#N/A</v>
      </c>
      <c r="D204" s="34" t="e">
        <v>#N/A</v>
      </c>
      <c r="E204" s="34" t="e">
        <v>#N/A</v>
      </c>
      <c r="F204" s="34" t="e">
        <v>#N/A</v>
      </c>
      <c r="G204" s="34"/>
      <c r="H204" s="34"/>
      <c r="I204" s="34"/>
    </row>
    <row r="205" spans="1:30">
      <c r="A205" s="12" t="s">
        <v>187</v>
      </c>
      <c r="B205" s="10" t="s">
        <v>290</v>
      </c>
      <c r="C205" s="34" t="e">
        <v>#N/A</v>
      </c>
      <c r="D205" s="34" t="e">
        <v>#N/A</v>
      </c>
      <c r="E205" s="34" t="e">
        <v>#N/A</v>
      </c>
      <c r="F205" s="34" t="e">
        <v>#N/A</v>
      </c>
      <c r="G205" s="34"/>
      <c r="H205" s="34"/>
      <c r="I205" s="34"/>
    </row>
    <row r="206" spans="1:30">
      <c r="A206" s="12" t="s">
        <v>87</v>
      </c>
      <c r="B206" s="10" t="s">
        <v>308</v>
      </c>
      <c r="C206" s="34" t="e">
        <v>#N/A</v>
      </c>
      <c r="D206" s="34" t="e">
        <v>#N/A</v>
      </c>
      <c r="E206" s="34" t="e">
        <v>#N/A</v>
      </c>
      <c r="F206" s="34" t="e">
        <v>#N/A</v>
      </c>
      <c r="G206" s="34"/>
      <c r="H206" s="34"/>
      <c r="I206" s="34"/>
    </row>
    <row r="207" spans="1:30">
      <c r="A207" s="12" t="s">
        <v>1</v>
      </c>
      <c r="B207" s="10" t="s">
        <v>313</v>
      </c>
      <c r="C207" s="34" t="e">
        <v>#N/A</v>
      </c>
      <c r="D207" s="34" t="e">
        <v>#N/A</v>
      </c>
      <c r="E207" s="34" t="e">
        <v>#N/A</v>
      </c>
      <c r="F207" s="34" t="e">
        <v>#N/A</v>
      </c>
      <c r="G207" s="34"/>
      <c r="H207" s="34"/>
      <c r="I207" s="34"/>
    </row>
  </sheetData>
  <sortState ref="AA4:AD195">
    <sortCondition ref="AD4:AD195"/>
  </sortState>
  <conditionalFormatting sqref="J4:J1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800000"/>
  </sheetPr>
  <dimension ref="A1:BH66"/>
  <sheetViews>
    <sheetView topLeftCell="A2" workbookViewId="0">
      <pane xSplit="3" ySplit="8" topLeftCell="D10" activePane="bottomRight" state="frozen"/>
      <selection activeCell="A2" sqref="A2"/>
      <selection pane="topRight" activeCell="D2" sqref="D2"/>
      <selection pane="bottomLeft" activeCell="A10" sqref="A10"/>
      <selection pane="bottomRight" activeCell="D26" sqref="D26"/>
    </sheetView>
  </sheetViews>
  <sheetFormatPr baseColWidth="10" defaultRowHeight="15" x14ac:dyDescent="0"/>
  <sheetData>
    <row r="1" spans="1:60">
      <c r="A1" s="14" t="s">
        <v>440</v>
      </c>
      <c r="B1" s="14"/>
      <c r="C1" s="14"/>
      <c r="D1" s="14"/>
      <c r="E1" s="14"/>
      <c r="F1" s="14"/>
    </row>
    <row r="2" spans="1:60">
      <c r="A2" s="14"/>
      <c r="B2" s="14" t="s">
        <v>496</v>
      </c>
      <c r="C2" s="14"/>
      <c r="D2" s="14"/>
      <c r="E2" s="14"/>
      <c r="F2" s="14"/>
    </row>
    <row r="3" spans="1:60">
      <c r="A3">
        <v>4</v>
      </c>
      <c r="D3" s="15" t="s">
        <v>441</v>
      </c>
      <c r="E3" s="16" t="s">
        <v>463</v>
      </c>
    </row>
    <row r="4" spans="1:60">
      <c r="A4">
        <v>2</v>
      </c>
      <c r="D4" s="15" t="s">
        <v>442</v>
      </c>
      <c r="E4" s="16">
        <v>57</v>
      </c>
    </row>
    <row r="5" spans="1:60">
      <c r="D5" s="15" t="s">
        <v>443</v>
      </c>
      <c r="E5" s="16">
        <v>192</v>
      </c>
    </row>
    <row r="6" spans="1:60">
      <c r="C6" s="17" t="s">
        <v>444</v>
      </c>
      <c r="D6" s="18" t="s">
        <v>445</v>
      </c>
      <c r="E6" s="19" t="s">
        <v>446</v>
      </c>
      <c r="F6" s="20" t="s">
        <v>447</v>
      </c>
    </row>
    <row r="8" spans="1:60"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 t="s">
        <v>449</v>
      </c>
    </row>
    <row r="9" spans="1:60" ht="76" thickBot="1">
      <c r="D9" s="32" t="s">
        <v>391</v>
      </c>
      <c r="E9" s="32" t="s">
        <v>392</v>
      </c>
      <c r="F9" s="32" t="s">
        <v>393</v>
      </c>
      <c r="G9" s="32" t="s">
        <v>394</v>
      </c>
      <c r="H9" s="32" t="s">
        <v>395</v>
      </c>
      <c r="I9" s="32" t="s">
        <v>396</v>
      </c>
      <c r="J9" s="32" t="s">
        <v>384</v>
      </c>
      <c r="K9" s="32" t="s">
        <v>488</v>
      </c>
      <c r="L9" s="32" t="s">
        <v>389</v>
      </c>
      <c r="M9" s="32" t="s">
        <v>388</v>
      </c>
      <c r="N9" s="32" t="s">
        <v>489</v>
      </c>
      <c r="O9" s="32" t="s">
        <v>490</v>
      </c>
      <c r="P9" s="32" t="s">
        <v>460</v>
      </c>
      <c r="Q9" s="32" t="s">
        <v>466</v>
      </c>
      <c r="R9" s="32" t="s">
        <v>465</v>
      </c>
      <c r="S9" s="32" t="s">
        <v>437</v>
      </c>
      <c r="T9" s="32" t="s">
        <v>438</v>
      </c>
      <c r="U9" s="32" t="s">
        <v>439</v>
      </c>
      <c r="V9" s="32" t="s">
        <v>397</v>
      </c>
      <c r="W9" s="32" t="s">
        <v>398</v>
      </c>
      <c r="X9" s="32" t="s">
        <v>399</v>
      </c>
      <c r="Y9" s="32" t="s">
        <v>400</v>
      </c>
      <c r="Z9" s="32" t="s">
        <v>401</v>
      </c>
      <c r="AA9" s="32" t="s">
        <v>402</v>
      </c>
      <c r="AB9" s="32" t="s">
        <v>403</v>
      </c>
      <c r="AC9" s="32" t="s">
        <v>404</v>
      </c>
      <c r="AD9" s="32" t="s">
        <v>405</v>
      </c>
      <c r="AE9" s="32" t="s">
        <v>406</v>
      </c>
      <c r="AF9" s="32" t="s">
        <v>407</v>
      </c>
      <c r="AG9" s="32" t="s">
        <v>408</v>
      </c>
      <c r="AH9" s="32" t="s">
        <v>409</v>
      </c>
      <c r="AI9" s="32" t="s">
        <v>410</v>
      </c>
      <c r="AJ9" s="32" t="s">
        <v>411</v>
      </c>
      <c r="AK9" s="32" t="s">
        <v>412</v>
      </c>
      <c r="AL9" s="32" t="s">
        <v>413</v>
      </c>
      <c r="AM9" s="32" t="s">
        <v>414</v>
      </c>
      <c r="AN9" s="32" t="s">
        <v>415</v>
      </c>
      <c r="AO9" s="32" t="s">
        <v>416</v>
      </c>
      <c r="AP9" s="32" t="s">
        <v>417</v>
      </c>
      <c r="AQ9" s="32" t="s">
        <v>418</v>
      </c>
      <c r="AR9" s="32" t="s">
        <v>419</v>
      </c>
      <c r="AS9" s="32" t="s">
        <v>420</v>
      </c>
      <c r="AT9" s="32" t="s">
        <v>436</v>
      </c>
      <c r="AU9" s="32" t="s">
        <v>421</v>
      </c>
      <c r="AV9" s="32" t="s">
        <v>422</v>
      </c>
      <c r="AW9" s="32" t="s">
        <v>423</v>
      </c>
      <c r="AX9" s="32" t="s">
        <v>424</v>
      </c>
      <c r="AY9" s="32" t="s">
        <v>425</v>
      </c>
      <c r="AZ9" s="32" t="s">
        <v>426</v>
      </c>
      <c r="BA9" s="32" t="s">
        <v>427</v>
      </c>
      <c r="BB9" s="32" t="s">
        <v>428</v>
      </c>
      <c r="BC9" s="32" t="s">
        <v>429</v>
      </c>
      <c r="BD9" s="32" t="s">
        <v>430</v>
      </c>
      <c r="BE9" s="32" t="s">
        <v>431</v>
      </c>
      <c r="BF9" s="32" t="s">
        <v>432</v>
      </c>
      <c r="BG9" s="32" t="s">
        <v>433</v>
      </c>
      <c r="BH9" s="32" t="s">
        <v>434</v>
      </c>
    </row>
    <row r="10" spans="1:60" ht="16" thickTop="1">
      <c r="C10" s="33" t="s">
        <v>391</v>
      </c>
      <c r="D10" s="30"/>
      <c r="E10">
        <v>148</v>
      </c>
      <c r="F10">
        <v>125</v>
      </c>
      <c r="G10">
        <v>146</v>
      </c>
      <c r="H10">
        <v>148</v>
      </c>
      <c r="I10" s="27">
        <v>148</v>
      </c>
      <c r="J10">
        <v>144</v>
      </c>
      <c r="K10" s="17">
        <v>148</v>
      </c>
      <c r="L10">
        <v>130</v>
      </c>
      <c r="M10" s="17">
        <v>145</v>
      </c>
      <c r="N10">
        <v>130</v>
      </c>
      <c r="O10">
        <v>142</v>
      </c>
      <c r="P10">
        <v>145</v>
      </c>
      <c r="Q10">
        <v>147</v>
      </c>
      <c r="R10">
        <v>145</v>
      </c>
      <c r="S10">
        <v>147</v>
      </c>
      <c r="T10">
        <v>148</v>
      </c>
      <c r="U10">
        <v>144</v>
      </c>
      <c r="V10">
        <v>148</v>
      </c>
      <c r="W10" s="27">
        <v>148</v>
      </c>
      <c r="X10">
        <v>148</v>
      </c>
      <c r="Y10">
        <v>148</v>
      </c>
      <c r="Z10">
        <v>148</v>
      </c>
      <c r="AA10">
        <v>148</v>
      </c>
      <c r="AB10">
        <v>148</v>
      </c>
      <c r="AC10">
        <v>148</v>
      </c>
      <c r="AD10" s="18">
        <v>148</v>
      </c>
      <c r="AE10">
        <v>148</v>
      </c>
      <c r="AF10" s="27">
        <v>148</v>
      </c>
      <c r="AG10">
        <v>148</v>
      </c>
      <c r="AH10" s="18">
        <v>148</v>
      </c>
      <c r="AI10">
        <v>148</v>
      </c>
      <c r="AJ10">
        <v>148</v>
      </c>
      <c r="AK10">
        <v>148</v>
      </c>
      <c r="AL10">
        <v>148</v>
      </c>
      <c r="AM10">
        <v>148</v>
      </c>
      <c r="AN10" s="17">
        <v>148</v>
      </c>
      <c r="AO10">
        <v>147</v>
      </c>
      <c r="AP10">
        <v>148</v>
      </c>
      <c r="AQ10">
        <v>148</v>
      </c>
      <c r="AR10" s="27">
        <v>148</v>
      </c>
      <c r="AS10" s="27">
        <v>148</v>
      </c>
      <c r="AT10">
        <v>148</v>
      </c>
      <c r="AU10">
        <v>146</v>
      </c>
      <c r="AV10">
        <v>146</v>
      </c>
      <c r="AW10">
        <v>145</v>
      </c>
      <c r="AX10">
        <v>145</v>
      </c>
      <c r="AY10">
        <v>146</v>
      </c>
      <c r="AZ10">
        <v>144</v>
      </c>
      <c r="BA10">
        <v>145</v>
      </c>
      <c r="BB10">
        <v>148</v>
      </c>
      <c r="BC10">
        <v>148</v>
      </c>
      <c r="BD10">
        <v>148</v>
      </c>
      <c r="BE10">
        <v>147</v>
      </c>
      <c r="BF10">
        <v>140</v>
      </c>
      <c r="BG10">
        <v>148</v>
      </c>
      <c r="BH10">
        <v>143</v>
      </c>
    </row>
    <row r="11" spans="1:60">
      <c r="C11" s="33" t="s">
        <v>392</v>
      </c>
      <c r="D11" s="23">
        <v>1.7676640301942825E-2</v>
      </c>
      <c r="E11" s="30"/>
      <c r="F11">
        <v>148</v>
      </c>
      <c r="G11">
        <v>187</v>
      </c>
      <c r="H11" s="27">
        <v>192</v>
      </c>
      <c r="I11" s="27">
        <v>189</v>
      </c>
      <c r="J11">
        <v>183</v>
      </c>
      <c r="K11">
        <v>192</v>
      </c>
      <c r="L11">
        <v>159</v>
      </c>
      <c r="M11">
        <v>186</v>
      </c>
      <c r="N11" s="17">
        <v>150</v>
      </c>
      <c r="O11" s="18">
        <v>159</v>
      </c>
      <c r="P11" s="17">
        <v>186</v>
      </c>
      <c r="Q11" s="17">
        <v>187</v>
      </c>
      <c r="R11" s="27">
        <v>184</v>
      </c>
      <c r="S11" s="18">
        <v>191</v>
      </c>
      <c r="T11" s="27">
        <v>192</v>
      </c>
      <c r="U11" s="17">
        <v>180</v>
      </c>
      <c r="V11">
        <v>192</v>
      </c>
      <c r="W11" s="27">
        <v>192</v>
      </c>
      <c r="X11">
        <v>192</v>
      </c>
      <c r="Y11">
        <v>192</v>
      </c>
      <c r="Z11" s="17">
        <v>192</v>
      </c>
      <c r="AA11">
        <v>192</v>
      </c>
      <c r="AB11">
        <v>192</v>
      </c>
      <c r="AC11">
        <v>192</v>
      </c>
      <c r="AD11" s="17">
        <v>192</v>
      </c>
      <c r="AE11">
        <v>192</v>
      </c>
      <c r="AF11">
        <v>192</v>
      </c>
      <c r="AG11" s="18">
        <v>192</v>
      </c>
      <c r="AH11" s="17">
        <v>192</v>
      </c>
      <c r="AI11">
        <v>192</v>
      </c>
      <c r="AJ11">
        <v>192</v>
      </c>
      <c r="AK11">
        <v>192</v>
      </c>
      <c r="AL11">
        <v>192</v>
      </c>
      <c r="AM11">
        <v>192</v>
      </c>
      <c r="AN11" s="18">
        <v>192</v>
      </c>
      <c r="AO11" s="17">
        <v>189</v>
      </c>
      <c r="AP11">
        <v>192</v>
      </c>
      <c r="AQ11" s="17">
        <v>192</v>
      </c>
      <c r="AR11">
        <v>192</v>
      </c>
      <c r="AS11">
        <v>192</v>
      </c>
      <c r="AT11">
        <v>192</v>
      </c>
      <c r="AU11">
        <v>178</v>
      </c>
      <c r="AV11" s="27">
        <v>178</v>
      </c>
      <c r="AW11">
        <v>177</v>
      </c>
      <c r="AX11">
        <v>173</v>
      </c>
      <c r="AY11" s="18">
        <v>178</v>
      </c>
      <c r="AZ11" s="18">
        <v>176</v>
      </c>
      <c r="BA11" s="18">
        <v>177</v>
      </c>
      <c r="BB11">
        <v>192</v>
      </c>
      <c r="BC11" s="18">
        <v>192</v>
      </c>
      <c r="BD11" s="18">
        <v>190</v>
      </c>
      <c r="BE11" s="18">
        <v>189</v>
      </c>
      <c r="BF11">
        <v>174</v>
      </c>
      <c r="BG11" s="27">
        <v>192</v>
      </c>
      <c r="BH11">
        <v>175</v>
      </c>
    </row>
    <row r="12" spans="1:60">
      <c r="B12" s="21" t="s">
        <v>448</v>
      </c>
      <c r="C12" s="33" t="s">
        <v>393</v>
      </c>
      <c r="D12" s="23">
        <v>-2.0970895886421204E-2</v>
      </c>
      <c r="E12" s="23">
        <v>1.7103783320635557E-3</v>
      </c>
      <c r="F12" s="30"/>
      <c r="G12" s="17">
        <v>148</v>
      </c>
      <c r="H12" s="27">
        <v>148</v>
      </c>
      <c r="I12" s="27">
        <v>148</v>
      </c>
      <c r="J12">
        <v>145</v>
      </c>
      <c r="K12">
        <v>148</v>
      </c>
      <c r="L12" s="29">
        <v>131</v>
      </c>
      <c r="M12">
        <v>148</v>
      </c>
      <c r="N12" s="27">
        <v>130</v>
      </c>
      <c r="O12" s="27">
        <v>134</v>
      </c>
      <c r="P12" s="27">
        <v>148</v>
      </c>
      <c r="Q12" s="27">
        <v>148</v>
      </c>
      <c r="R12" s="29">
        <v>148</v>
      </c>
      <c r="S12" s="27">
        <v>147</v>
      </c>
      <c r="T12" s="27">
        <v>148</v>
      </c>
      <c r="U12" s="29">
        <v>147</v>
      </c>
      <c r="V12">
        <v>148</v>
      </c>
      <c r="W12" s="17">
        <v>148</v>
      </c>
      <c r="X12" s="27">
        <v>148</v>
      </c>
      <c r="Y12" s="17">
        <v>148</v>
      </c>
      <c r="Z12" s="27">
        <v>148</v>
      </c>
      <c r="AA12" s="27">
        <v>148</v>
      </c>
      <c r="AB12" s="27">
        <v>148</v>
      </c>
      <c r="AC12" s="27">
        <v>148</v>
      </c>
      <c r="AD12" s="27">
        <v>148</v>
      </c>
      <c r="AE12">
        <v>148</v>
      </c>
      <c r="AF12" s="27">
        <v>148</v>
      </c>
      <c r="AG12" s="27">
        <v>148</v>
      </c>
      <c r="AH12" s="17">
        <v>148</v>
      </c>
      <c r="AI12" s="27">
        <v>148</v>
      </c>
      <c r="AJ12" s="27">
        <v>148</v>
      </c>
      <c r="AK12" s="27">
        <v>148</v>
      </c>
      <c r="AL12" s="27">
        <v>148</v>
      </c>
      <c r="AM12" s="27">
        <v>148</v>
      </c>
      <c r="AN12">
        <v>148</v>
      </c>
      <c r="AO12">
        <v>148</v>
      </c>
      <c r="AP12" s="27">
        <v>148</v>
      </c>
      <c r="AQ12">
        <v>148</v>
      </c>
      <c r="AR12">
        <v>148</v>
      </c>
      <c r="AS12" s="27">
        <v>148</v>
      </c>
      <c r="AT12" s="27">
        <v>148</v>
      </c>
      <c r="AU12" s="27">
        <v>145</v>
      </c>
      <c r="AV12" s="27">
        <v>145</v>
      </c>
      <c r="AW12">
        <v>145</v>
      </c>
      <c r="AX12" s="27">
        <v>144</v>
      </c>
      <c r="AY12" s="27">
        <v>145</v>
      </c>
      <c r="AZ12" s="27">
        <v>145</v>
      </c>
      <c r="BA12" s="27">
        <v>145</v>
      </c>
      <c r="BB12" s="27">
        <v>148</v>
      </c>
      <c r="BC12" s="27">
        <v>148</v>
      </c>
      <c r="BD12" s="27">
        <v>148</v>
      </c>
      <c r="BE12" s="27">
        <v>148</v>
      </c>
      <c r="BF12" s="27">
        <v>142</v>
      </c>
      <c r="BG12" s="27">
        <v>148</v>
      </c>
      <c r="BH12" s="17">
        <v>144</v>
      </c>
    </row>
    <row r="13" spans="1:60">
      <c r="C13" s="33" t="s">
        <v>394</v>
      </c>
      <c r="D13" s="23">
        <v>8.5278181359171867E-3</v>
      </c>
      <c r="E13" s="23">
        <v>1.7883237433125032E-6</v>
      </c>
      <c r="F13" s="24">
        <v>3.5970628261566162E-2</v>
      </c>
      <c r="G13" s="30"/>
      <c r="H13" s="18">
        <v>187</v>
      </c>
      <c r="I13" s="27">
        <v>187</v>
      </c>
      <c r="J13">
        <v>181</v>
      </c>
      <c r="K13" s="27">
        <v>187</v>
      </c>
      <c r="L13" s="17">
        <v>157</v>
      </c>
      <c r="M13" s="17">
        <v>184</v>
      </c>
      <c r="N13">
        <v>148</v>
      </c>
      <c r="O13">
        <v>157</v>
      </c>
      <c r="P13" s="18">
        <v>184</v>
      </c>
      <c r="Q13">
        <v>184</v>
      </c>
      <c r="R13" s="18">
        <v>183</v>
      </c>
      <c r="S13" s="17">
        <v>186</v>
      </c>
      <c r="T13">
        <v>187</v>
      </c>
      <c r="U13">
        <v>177</v>
      </c>
      <c r="V13">
        <v>187</v>
      </c>
      <c r="W13">
        <v>187</v>
      </c>
      <c r="X13">
        <v>187</v>
      </c>
      <c r="Y13" s="27">
        <v>187</v>
      </c>
      <c r="Z13">
        <v>187</v>
      </c>
      <c r="AA13">
        <v>187</v>
      </c>
      <c r="AB13">
        <v>187</v>
      </c>
      <c r="AC13" s="17">
        <v>187</v>
      </c>
      <c r="AD13">
        <v>187</v>
      </c>
      <c r="AE13">
        <v>187</v>
      </c>
      <c r="AF13">
        <v>187</v>
      </c>
      <c r="AG13" s="17">
        <v>187</v>
      </c>
      <c r="AH13" s="27">
        <v>187</v>
      </c>
      <c r="AI13" s="27">
        <v>187</v>
      </c>
      <c r="AJ13">
        <v>187</v>
      </c>
      <c r="AK13">
        <v>187</v>
      </c>
      <c r="AL13">
        <v>187</v>
      </c>
      <c r="AM13">
        <v>187</v>
      </c>
      <c r="AN13">
        <v>187</v>
      </c>
      <c r="AO13">
        <v>186</v>
      </c>
      <c r="AP13">
        <v>187</v>
      </c>
      <c r="AQ13" s="17">
        <v>187</v>
      </c>
      <c r="AR13">
        <v>187</v>
      </c>
      <c r="AS13" s="17">
        <v>187</v>
      </c>
      <c r="AT13">
        <v>187</v>
      </c>
      <c r="AU13" s="17">
        <v>175</v>
      </c>
      <c r="AV13" s="27">
        <v>175</v>
      </c>
      <c r="AW13" s="18">
        <v>174</v>
      </c>
      <c r="AX13" s="27">
        <v>170</v>
      </c>
      <c r="AY13" s="27">
        <v>175</v>
      </c>
      <c r="AZ13">
        <v>173</v>
      </c>
      <c r="BA13" s="17">
        <v>174</v>
      </c>
      <c r="BB13" s="17">
        <v>187</v>
      </c>
      <c r="BC13" s="18">
        <v>187</v>
      </c>
      <c r="BD13" s="18">
        <v>185</v>
      </c>
      <c r="BE13">
        <v>186</v>
      </c>
      <c r="BF13" s="18">
        <v>173</v>
      </c>
      <c r="BG13" s="18">
        <v>187</v>
      </c>
      <c r="BH13">
        <v>172</v>
      </c>
    </row>
    <row r="14" spans="1:60">
      <c r="C14" s="33" t="s">
        <v>395</v>
      </c>
      <c r="D14" s="23">
        <v>6.0252044349908829E-3</v>
      </c>
      <c r="E14" s="26">
        <v>6.1234205961227417E-2</v>
      </c>
      <c r="F14" s="26">
        <v>0.22978036105632782</v>
      </c>
      <c r="G14" s="25">
        <v>5.1267839968204498E-2</v>
      </c>
      <c r="H14" s="30"/>
      <c r="I14" s="29">
        <v>189</v>
      </c>
      <c r="J14" s="27">
        <v>183</v>
      </c>
      <c r="K14" s="17">
        <v>192</v>
      </c>
      <c r="L14" s="27">
        <v>159</v>
      </c>
      <c r="M14" s="17">
        <v>186</v>
      </c>
      <c r="N14" s="27">
        <v>150</v>
      </c>
      <c r="O14" s="27">
        <v>159</v>
      </c>
      <c r="P14" s="27">
        <v>186</v>
      </c>
      <c r="Q14" s="27">
        <v>187</v>
      </c>
      <c r="R14" s="27">
        <v>184</v>
      </c>
      <c r="S14" s="27">
        <v>191</v>
      </c>
      <c r="T14" s="27">
        <v>192</v>
      </c>
      <c r="U14" s="27">
        <v>180</v>
      </c>
      <c r="V14">
        <v>192</v>
      </c>
      <c r="W14" s="18">
        <v>192</v>
      </c>
      <c r="X14" s="27">
        <v>192</v>
      </c>
      <c r="Y14" s="27">
        <v>192</v>
      </c>
      <c r="Z14" s="27">
        <v>192</v>
      </c>
      <c r="AA14" s="27">
        <v>192</v>
      </c>
      <c r="AB14" s="27">
        <v>192</v>
      </c>
      <c r="AC14" s="27">
        <v>192</v>
      </c>
      <c r="AD14" s="27">
        <v>192</v>
      </c>
      <c r="AE14">
        <v>192</v>
      </c>
      <c r="AF14" s="18">
        <v>192</v>
      </c>
      <c r="AG14" s="27">
        <v>192</v>
      </c>
      <c r="AH14" s="18">
        <v>192</v>
      </c>
      <c r="AI14" s="27">
        <v>192</v>
      </c>
      <c r="AJ14" s="27">
        <v>192</v>
      </c>
      <c r="AK14" s="27">
        <v>192</v>
      </c>
      <c r="AL14" s="27">
        <v>192</v>
      </c>
      <c r="AM14" s="27">
        <v>192</v>
      </c>
      <c r="AN14">
        <v>192</v>
      </c>
      <c r="AO14">
        <v>189</v>
      </c>
      <c r="AP14" s="27">
        <v>192</v>
      </c>
      <c r="AQ14" s="17">
        <v>192</v>
      </c>
      <c r="AR14">
        <v>192</v>
      </c>
      <c r="AS14" s="27">
        <v>192</v>
      </c>
      <c r="AT14" s="27">
        <v>192</v>
      </c>
      <c r="AU14" s="27">
        <v>178</v>
      </c>
      <c r="AV14" s="27">
        <v>178</v>
      </c>
      <c r="AW14" s="18">
        <v>177</v>
      </c>
      <c r="AX14" s="27">
        <v>173</v>
      </c>
      <c r="AY14" s="27">
        <v>178</v>
      </c>
      <c r="AZ14" s="27">
        <v>176</v>
      </c>
      <c r="BA14" s="27">
        <v>177</v>
      </c>
      <c r="BB14" s="27">
        <v>192</v>
      </c>
      <c r="BC14" s="27">
        <v>192</v>
      </c>
      <c r="BD14" s="27">
        <v>190</v>
      </c>
      <c r="BE14" s="27">
        <v>189</v>
      </c>
      <c r="BF14" s="27">
        <v>174</v>
      </c>
      <c r="BG14" s="27">
        <v>192</v>
      </c>
      <c r="BH14">
        <v>175</v>
      </c>
    </row>
    <row r="15" spans="1:60">
      <c r="C15" s="33" t="s">
        <v>396</v>
      </c>
      <c r="D15" s="26">
        <v>8.727119117975235E-2</v>
      </c>
      <c r="E15" s="26">
        <v>0.37512165307998657</v>
      </c>
      <c r="F15" s="26">
        <v>0.44975224137306213</v>
      </c>
      <c r="G15" s="26">
        <v>0.21364954113960266</v>
      </c>
      <c r="H15" s="28">
        <v>0.56613588333129883</v>
      </c>
      <c r="I15" s="30"/>
      <c r="J15" s="18">
        <v>182</v>
      </c>
      <c r="K15">
        <v>189</v>
      </c>
      <c r="L15" s="27">
        <v>158</v>
      </c>
      <c r="M15" s="27">
        <v>185</v>
      </c>
      <c r="N15" s="27">
        <v>149</v>
      </c>
      <c r="O15" s="27">
        <v>158</v>
      </c>
      <c r="P15" s="27">
        <v>185</v>
      </c>
      <c r="Q15" s="27">
        <v>186</v>
      </c>
      <c r="R15" s="29">
        <v>184</v>
      </c>
      <c r="S15" s="27">
        <v>188</v>
      </c>
      <c r="T15" s="27">
        <v>189</v>
      </c>
      <c r="U15" s="27">
        <v>179</v>
      </c>
      <c r="V15">
        <v>189</v>
      </c>
      <c r="W15" s="18">
        <v>189</v>
      </c>
      <c r="X15" s="27">
        <v>189</v>
      </c>
      <c r="Y15" s="27">
        <v>189</v>
      </c>
      <c r="Z15" s="27">
        <v>189</v>
      </c>
      <c r="AA15" s="27">
        <v>189</v>
      </c>
      <c r="AB15" s="27">
        <v>189</v>
      </c>
      <c r="AC15" s="27">
        <v>189</v>
      </c>
      <c r="AD15" s="27">
        <v>189</v>
      </c>
      <c r="AE15">
        <v>189</v>
      </c>
      <c r="AF15">
        <v>189</v>
      </c>
      <c r="AG15" s="27">
        <v>189</v>
      </c>
      <c r="AH15" s="27">
        <v>189</v>
      </c>
      <c r="AI15" s="27">
        <v>189</v>
      </c>
      <c r="AJ15" s="27">
        <v>189</v>
      </c>
      <c r="AK15" s="27">
        <v>189</v>
      </c>
      <c r="AL15" s="27">
        <v>189</v>
      </c>
      <c r="AM15" s="27">
        <v>189</v>
      </c>
      <c r="AN15" s="18">
        <v>189</v>
      </c>
      <c r="AO15">
        <v>187</v>
      </c>
      <c r="AP15" s="27">
        <v>189</v>
      </c>
      <c r="AQ15" s="18">
        <v>189</v>
      </c>
      <c r="AR15">
        <v>189</v>
      </c>
      <c r="AS15" s="27">
        <v>189</v>
      </c>
      <c r="AT15" s="27">
        <v>189</v>
      </c>
      <c r="AU15" s="27">
        <v>177</v>
      </c>
      <c r="AV15" s="27">
        <v>177</v>
      </c>
      <c r="AW15" s="17">
        <v>176</v>
      </c>
      <c r="AX15" s="27">
        <v>172</v>
      </c>
      <c r="AY15" s="27">
        <v>177</v>
      </c>
      <c r="AZ15" s="27">
        <v>175</v>
      </c>
      <c r="BA15" s="27">
        <v>176</v>
      </c>
      <c r="BB15" s="27">
        <v>189</v>
      </c>
      <c r="BC15" s="27">
        <v>189</v>
      </c>
      <c r="BD15" s="27">
        <v>187</v>
      </c>
      <c r="BE15" s="27">
        <v>187</v>
      </c>
      <c r="BF15" s="27">
        <v>174</v>
      </c>
      <c r="BG15" s="27">
        <v>189</v>
      </c>
      <c r="BH15">
        <v>174</v>
      </c>
    </row>
    <row r="16" spans="1:60">
      <c r="C16" s="33" t="s">
        <v>384</v>
      </c>
      <c r="D16" s="23">
        <v>-7.9908845946192741E-3</v>
      </c>
      <c r="E16" s="23">
        <v>1.8934803083539009E-2</v>
      </c>
      <c r="F16" s="23">
        <v>1.3694098219275475E-2</v>
      </c>
      <c r="G16" s="23">
        <v>-4.6252983156591654E-4</v>
      </c>
      <c r="H16" s="26">
        <v>0.10829339921474457</v>
      </c>
      <c r="I16" s="25">
        <v>5.2803207188844681E-2</v>
      </c>
      <c r="J16" s="30"/>
      <c r="K16" s="27">
        <v>183</v>
      </c>
      <c r="L16">
        <v>153</v>
      </c>
      <c r="M16">
        <v>183</v>
      </c>
      <c r="N16">
        <v>148</v>
      </c>
      <c r="O16" s="27">
        <v>157</v>
      </c>
      <c r="P16" s="27">
        <v>183</v>
      </c>
      <c r="Q16" s="27">
        <v>181</v>
      </c>
      <c r="R16" s="27">
        <v>181</v>
      </c>
      <c r="S16">
        <v>182</v>
      </c>
      <c r="T16">
        <v>183</v>
      </c>
      <c r="U16">
        <v>173</v>
      </c>
      <c r="V16">
        <v>183</v>
      </c>
      <c r="W16">
        <v>183</v>
      </c>
      <c r="X16">
        <v>183</v>
      </c>
      <c r="Y16" s="27">
        <v>183</v>
      </c>
      <c r="Z16">
        <v>183</v>
      </c>
      <c r="AA16">
        <v>183</v>
      </c>
      <c r="AB16" s="18">
        <v>183</v>
      </c>
      <c r="AC16" s="17">
        <v>183</v>
      </c>
      <c r="AD16" s="27">
        <v>183</v>
      </c>
      <c r="AE16" s="17">
        <v>183</v>
      </c>
      <c r="AF16" s="27">
        <v>183</v>
      </c>
      <c r="AG16">
        <v>183</v>
      </c>
      <c r="AH16">
        <v>183</v>
      </c>
      <c r="AI16">
        <v>183</v>
      </c>
      <c r="AJ16" s="17">
        <v>183</v>
      </c>
      <c r="AK16">
        <v>183</v>
      </c>
      <c r="AL16" s="18">
        <v>183</v>
      </c>
      <c r="AM16" s="18">
        <v>183</v>
      </c>
      <c r="AN16" s="27">
        <v>183</v>
      </c>
      <c r="AO16" s="27">
        <v>180</v>
      </c>
      <c r="AP16">
        <v>183</v>
      </c>
      <c r="AQ16">
        <v>183</v>
      </c>
      <c r="AR16">
        <v>183</v>
      </c>
      <c r="AS16">
        <v>183</v>
      </c>
      <c r="AT16" s="27">
        <v>183</v>
      </c>
      <c r="AU16">
        <v>172</v>
      </c>
      <c r="AV16">
        <v>172</v>
      </c>
      <c r="AW16">
        <v>171</v>
      </c>
      <c r="AX16">
        <v>167</v>
      </c>
      <c r="AY16">
        <v>172</v>
      </c>
      <c r="AZ16">
        <v>170</v>
      </c>
      <c r="BA16" s="18">
        <v>171</v>
      </c>
      <c r="BB16" s="18">
        <v>183</v>
      </c>
      <c r="BC16">
        <v>183</v>
      </c>
      <c r="BD16">
        <v>181</v>
      </c>
      <c r="BE16" s="17">
        <v>182</v>
      </c>
      <c r="BF16" s="27">
        <v>168</v>
      </c>
      <c r="BG16">
        <v>183</v>
      </c>
      <c r="BH16" s="17">
        <v>169</v>
      </c>
    </row>
    <row r="17" spans="3:60">
      <c r="C17" s="33" t="s">
        <v>488</v>
      </c>
      <c r="D17" s="24">
        <v>3.2112237066030502E-2</v>
      </c>
      <c r="E17" s="23">
        <v>-1.4894146006554365E-3</v>
      </c>
      <c r="F17" s="23">
        <v>1.2713364325463772E-2</v>
      </c>
      <c r="G17" s="26">
        <v>8.5051864385604858E-2</v>
      </c>
      <c r="H17" s="24">
        <v>-2.2609492763876915E-2</v>
      </c>
      <c r="I17" s="23">
        <v>2.5561419315636158E-3</v>
      </c>
      <c r="J17" s="26">
        <v>-0.11559947580099106</v>
      </c>
      <c r="K17" s="30"/>
      <c r="L17" s="27">
        <v>159</v>
      </c>
      <c r="M17">
        <v>186</v>
      </c>
      <c r="N17" s="17">
        <v>150</v>
      </c>
      <c r="O17">
        <v>159</v>
      </c>
      <c r="P17" s="27">
        <v>186</v>
      </c>
      <c r="Q17">
        <v>187</v>
      </c>
      <c r="R17">
        <v>184</v>
      </c>
      <c r="S17">
        <v>191</v>
      </c>
      <c r="T17">
        <v>192</v>
      </c>
      <c r="U17">
        <v>180</v>
      </c>
      <c r="V17">
        <v>192</v>
      </c>
      <c r="W17">
        <v>192</v>
      </c>
      <c r="X17" s="17">
        <v>192</v>
      </c>
      <c r="Y17">
        <v>192</v>
      </c>
      <c r="Z17">
        <v>192</v>
      </c>
      <c r="AA17">
        <v>192</v>
      </c>
      <c r="AB17">
        <v>192</v>
      </c>
      <c r="AC17">
        <v>192</v>
      </c>
      <c r="AD17" s="27">
        <v>192</v>
      </c>
      <c r="AE17">
        <v>192</v>
      </c>
      <c r="AF17" s="27">
        <v>192</v>
      </c>
      <c r="AG17">
        <v>192</v>
      </c>
      <c r="AH17">
        <v>192</v>
      </c>
      <c r="AI17">
        <v>192</v>
      </c>
      <c r="AJ17">
        <v>192</v>
      </c>
      <c r="AK17">
        <v>192</v>
      </c>
      <c r="AL17">
        <v>192</v>
      </c>
      <c r="AM17">
        <v>192</v>
      </c>
      <c r="AN17" s="27">
        <v>192</v>
      </c>
      <c r="AO17" s="18">
        <v>189</v>
      </c>
      <c r="AP17">
        <v>192</v>
      </c>
      <c r="AQ17" s="17">
        <v>192</v>
      </c>
      <c r="AR17">
        <v>192</v>
      </c>
      <c r="AS17" s="17">
        <v>192</v>
      </c>
      <c r="AT17">
        <v>192</v>
      </c>
      <c r="AU17">
        <v>178</v>
      </c>
      <c r="AV17">
        <v>178</v>
      </c>
      <c r="AW17">
        <v>177</v>
      </c>
      <c r="AX17" s="27">
        <v>173</v>
      </c>
      <c r="AY17">
        <v>178</v>
      </c>
      <c r="AZ17">
        <v>176</v>
      </c>
      <c r="BA17">
        <v>177</v>
      </c>
      <c r="BB17" s="27">
        <v>192</v>
      </c>
      <c r="BC17" s="18">
        <v>192</v>
      </c>
      <c r="BD17" s="17">
        <v>190</v>
      </c>
      <c r="BE17">
        <v>189</v>
      </c>
      <c r="BF17">
        <v>174</v>
      </c>
      <c r="BG17" s="18">
        <v>192</v>
      </c>
      <c r="BH17" s="17">
        <v>175</v>
      </c>
    </row>
    <row r="18" spans="3:60">
      <c r="C18" s="33" t="s">
        <v>389</v>
      </c>
      <c r="D18" s="23">
        <v>-5.916134687140584E-4</v>
      </c>
      <c r="E18" s="23">
        <v>-9.1861074906773865E-5</v>
      </c>
      <c r="F18" s="28">
        <v>0.53491413593292236</v>
      </c>
      <c r="G18" s="24">
        <v>3.6892727017402649E-2</v>
      </c>
      <c r="H18" s="26">
        <v>0.18576906621456146</v>
      </c>
      <c r="I18" s="26">
        <v>0.22274711728096008</v>
      </c>
      <c r="J18" s="23">
        <v>1.9896583398804069E-4</v>
      </c>
      <c r="K18" s="26">
        <v>7.9798877239227295E-2</v>
      </c>
      <c r="L18" s="30"/>
      <c r="M18" s="17">
        <v>156</v>
      </c>
      <c r="N18" s="27">
        <v>136</v>
      </c>
      <c r="O18" s="27">
        <v>140</v>
      </c>
      <c r="P18" s="29">
        <v>156</v>
      </c>
      <c r="Q18" s="29">
        <v>155</v>
      </c>
      <c r="R18" s="29">
        <v>154</v>
      </c>
      <c r="S18" s="27">
        <v>158</v>
      </c>
      <c r="T18" s="27">
        <v>159</v>
      </c>
      <c r="U18" s="29">
        <v>155</v>
      </c>
      <c r="V18">
        <v>159</v>
      </c>
      <c r="W18" s="27">
        <v>159</v>
      </c>
      <c r="X18" s="29">
        <v>159</v>
      </c>
      <c r="Y18" s="27">
        <v>159</v>
      </c>
      <c r="Z18" s="29">
        <v>159</v>
      </c>
      <c r="AA18" s="29">
        <v>159</v>
      </c>
      <c r="AB18" s="27">
        <v>159</v>
      </c>
      <c r="AC18" s="27">
        <v>159</v>
      </c>
      <c r="AD18" s="27">
        <v>159</v>
      </c>
      <c r="AE18">
        <v>159</v>
      </c>
      <c r="AF18" s="18">
        <v>159</v>
      </c>
      <c r="AG18" s="29">
        <v>159</v>
      </c>
      <c r="AH18">
        <v>159</v>
      </c>
      <c r="AI18" s="27">
        <v>159</v>
      </c>
      <c r="AJ18" s="29">
        <v>159</v>
      </c>
      <c r="AK18" s="29">
        <v>159</v>
      </c>
      <c r="AL18" s="27">
        <v>159</v>
      </c>
      <c r="AM18" s="29">
        <v>159</v>
      </c>
      <c r="AN18">
        <v>159</v>
      </c>
      <c r="AO18">
        <v>157</v>
      </c>
      <c r="AP18" s="29">
        <v>159</v>
      </c>
      <c r="AQ18">
        <v>159</v>
      </c>
      <c r="AR18" s="17">
        <v>159</v>
      </c>
      <c r="AS18" s="27">
        <v>159</v>
      </c>
      <c r="AT18" s="29">
        <v>159</v>
      </c>
      <c r="AU18" s="27">
        <v>151</v>
      </c>
      <c r="AV18" s="27">
        <v>151</v>
      </c>
      <c r="AW18">
        <v>151</v>
      </c>
      <c r="AX18" s="27">
        <v>150</v>
      </c>
      <c r="AY18" s="27">
        <v>151</v>
      </c>
      <c r="AZ18" s="18">
        <v>150</v>
      </c>
      <c r="BA18" s="27">
        <v>151</v>
      </c>
      <c r="BB18" s="27">
        <v>159</v>
      </c>
      <c r="BC18" s="27">
        <v>159</v>
      </c>
      <c r="BD18" s="27">
        <v>158</v>
      </c>
      <c r="BE18" s="29">
        <v>158</v>
      </c>
      <c r="BF18" s="27">
        <v>150</v>
      </c>
      <c r="BG18" s="29">
        <v>159</v>
      </c>
      <c r="BH18" s="27">
        <v>150</v>
      </c>
    </row>
    <row r="19" spans="3:60">
      <c r="C19" s="33" t="s">
        <v>388</v>
      </c>
      <c r="D19" s="24">
        <v>3.1395319849252701E-2</v>
      </c>
      <c r="E19" s="23">
        <v>1.120587345212698E-2</v>
      </c>
      <c r="F19" s="23">
        <v>1.6647491604089737E-2</v>
      </c>
      <c r="G19" s="24">
        <v>2.2653236985206604E-2</v>
      </c>
      <c r="H19" s="24">
        <v>3.4872561693191528E-2</v>
      </c>
      <c r="I19" s="26">
        <v>6.2871143221855164E-2</v>
      </c>
      <c r="J19" s="23">
        <v>7.1038291789591312E-3</v>
      </c>
      <c r="K19" s="23">
        <v>3.694355022162199E-3</v>
      </c>
      <c r="L19" s="24">
        <v>3.2939258962869644E-2</v>
      </c>
      <c r="M19" s="30"/>
      <c r="N19" s="17">
        <v>150</v>
      </c>
      <c r="O19" s="17">
        <v>159</v>
      </c>
      <c r="P19" s="27">
        <v>186</v>
      </c>
      <c r="Q19" s="17">
        <v>184</v>
      </c>
      <c r="R19" s="27">
        <v>184</v>
      </c>
      <c r="S19" s="27">
        <v>185</v>
      </c>
      <c r="T19" s="18">
        <v>186</v>
      </c>
      <c r="U19" s="18">
        <v>176</v>
      </c>
      <c r="V19">
        <v>186</v>
      </c>
      <c r="W19" s="17">
        <v>186</v>
      </c>
      <c r="X19">
        <v>186</v>
      </c>
      <c r="Y19" s="27">
        <v>186</v>
      </c>
      <c r="Z19">
        <v>186</v>
      </c>
      <c r="AA19" s="17">
        <v>186</v>
      </c>
      <c r="AB19">
        <v>186</v>
      </c>
      <c r="AC19" s="27">
        <v>186</v>
      </c>
      <c r="AD19">
        <v>186</v>
      </c>
      <c r="AE19">
        <v>186</v>
      </c>
      <c r="AF19">
        <v>186</v>
      </c>
      <c r="AG19" s="27">
        <v>186</v>
      </c>
      <c r="AH19" s="17">
        <v>186</v>
      </c>
      <c r="AI19" s="27">
        <v>186</v>
      </c>
      <c r="AJ19">
        <v>186</v>
      </c>
      <c r="AK19" s="18">
        <v>186</v>
      </c>
      <c r="AL19">
        <v>186</v>
      </c>
      <c r="AM19">
        <v>186</v>
      </c>
      <c r="AN19">
        <v>186</v>
      </c>
      <c r="AO19">
        <v>183</v>
      </c>
      <c r="AP19">
        <v>186</v>
      </c>
      <c r="AQ19">
        <v>186</v>
      </c>
      <c r="AR19">
        <v>186</v>
      </c>
      <c r="AS19" s="17">
        <v>186</v>
      </c>
      <c r="AT19" s="17">
        <v>186</v>
      </c>
      <c r="AU19">
        <v>175</v>
      </c>
      <c r="AV19" s="17">
        <v>175</v>
      </c>
      <c r="AW19">
        <v>174</v>
      </c>
      <c r="AX19">
        <v>170</v>
      </c>
      <c r="AY19" s="17">
        <v>175</v>
      </c>
      <c r="AZ19">
        <v>173</v>
      </c>
      <c r="BA19" s="17">
        <v>174</v>
      </c>
      <c r="BB19">
        <v>186</v>
      </c>
      <c r="BC19">
        <v>186</v>
      </c>
      <c r="BD19" s="17">
        <v>184</v>
      </c>
      <c r="BE19" s="17">
        <v>185</v>
      </c>
      <c r="BF19" s="18">
        <v>171</v>
      </c>
      <c r="BG19" s="17">
        <v>186</v>
      </c>
      <c r="BH19">
        <v>172</v>
      </c>
    </row>
    <row r="20" spans="3:60">
      <c r="C20" s="33" t="s">
        <v>489</v>
      </c>
      <c r="D20" s="23">
        <v>1.7850667238235474E-2</v>
      </c>
      <c r="E20" s="24">
        <v>3.048340231180191E-2</v>
      </c>
      <c r="F20" s="26">
        <v>0.3121618926525116</v>
      </c>
      <c r="G20" s="23">
        <v>2.3978017270565033E-2</v>
      </c>
      <c r="H20" s="26">
        <v>0.17794914543628693</v>
      </c>
      <c r="I20" s="26">
        <v>0.25192612409591675</v>
      </c>
      <c r="J20" s="23">
        <v>1.0230120969936252E-3</v>
      </c>
      <c r="K20" s="24">
        <v>4.2793113738298416E-2</v>
      </c>
      <c r="L20" s="26">
        <v>0.35395532846450806</v>
      </c>
      <c r="M20" s="24">
        <v>3.8116339594125748E-2</v>
      </c>
      <c r="N20" s="30"/>
      <c r="O20" s="27">
        <v>140</v>
      </c>
      <c r="P20" s="29">
        <v>150</v>
      </c>
      <c r="Q20" s="27">
        <v>148</v>
      </c>
      <c r="R20" s="27">
        <v>148</v>
      </c>
      <c r="S20" s="27">
        <v>150</v>
      </c>
      <c r="T20" s="27">
        <v>150</v>
      </c>
      <c r="U20" s="27">
        <v>146</v>
      </c>
      <c r="V20">
        <v>150</v>
      </c>
      <c r="W20">
        <v>150</v>
      </c>
      <c r="X20" s="27">
        <v>150</v>
      </c>
      <c r="Y20" s="17">
        <v>150</v>
      </c>
      <c r="Z20" s="27">
        <v>150</v>
      </c>
      <c r="AA20" s="27">
        <v>150</v>
      </c>
      <c r="AB20" s="27">
        <v>150</v>
      </c>
      <c r="AC20" s="27">
        <v>150</v>
      </c>
      <c r="AD20" s="18">
        <v>150</v>
      </c>
      <c r="AE20">
        <v>150</v>
      </c>
      <c r="AF20" s="17">
        <v>150</v>
      </c>
      <c r="AG20" s="27">
        <v>150</v>
      </c>
      <c r="AH20">
        <v>150</v>
      </c>
      <c r="AI20" s="27">
        <v>150</v>
      </c>
      <c r="AJ20" s="27">
        <v>150</v>
      </c>
      <c r="AK20" s="27">
        <v>150</v>
      </c>
      <c r="AL20" s="27">
        <v>150</v>
      </c>
      <c r="AM20" s="27">
        <v>150</v>
      </c>
      <c r="AN20">
        <v>150</v>
      </c>
      <c r="AO20">
        <v>148</v>
      </c>
      <c r="AP20" s="27">
        <v>150</v>
      </c>
      <c r="AQ20">
        <v>150</v>
      </c>
      <c r="AR20" s="27">
        <v>150</v>
      </c>
      <c r="AS20" s="27">
        <v>150</v>
      </c>
      <c r="AT20" s="27">
        <v>150</v>
      </c>
      <c r="AU20" s="27">
        <v>145</v>
      </c>
      <c r="AV20" s="27">
        <v>145</v>
      </c>
      <c r="AW20" s="17">
        <v>145</v>
      </c>
      <c r="AX20" s="27">
        <v>144</v>
      </c>
      <c r="AY20" s="27">
        <v>145</v>
      </c>
      <c r="AZ20" s="27">
        <v>145</v>
      </c>
      <c r="BA20" s="27">
        <v>145</v>
      </c>
      <c r="BB20" s="27">
        <v>150</v>
      </c>
      <c r="BC20" s="27">
        <v>150</v>
      </c>
      <c r="BD20" s="27">
        <v>148</v>
      </c>
      <c r="BE20" s="27">
        <v>149</v>
      </c>
      <c r="BF20" s="27">
        <v>145</v>
      </c>
      <c r="BG20" s="27">
        <v>150</v>
      </c>
      <c r="BH20" s="17">
        <v>145</v>
      </c>
    </row>
    <row r="21" spans="3:60">
      <c r="C21" s="33" t="s">
        <v>490</v>
      </c>
      <c r="D21" s="23">
        <v>-2.9764084611088037E-3</v>
      </c>
      <c r="E21" s="25">
        <v>5.7377882301807404E-2</v>
      </c>
      <c r="F21" s="26">
        <v>0.460094153881073</v>
      </c>
      <c r="G21" s="23">
        <v>1.9119562581181526E-2</v>
      </c>
      <c r="H21" s="26">
        <v>0.43577331304550171</v>
      </c>
      <c r="I21" s="26">
        <v>0.40270185470581055</v>
      </c>
      <c r="J21" s="26">
        <v>7.6552823185920715E-2</v>
      </c>
      <c r="K21" s="23">
        <v>-9.9826743826270103E-3</v>
      </c>
      <c r="L21" s="26">
        <v>0.40255314111709595</v>
      </c>
      <c r="M21" s="24">
        <v>3.1862791627645493E-2</v>
      </c>
      <c r="N21" s="26">
        <v>0.30528977513313293</v>
      </c>
      <c r="O21" s="30"/>
      <c r="P21" s="27">
        <v>159</v>
      </c>
      <c r="Q21" s="27">
        <v>158</v>
      </c>
      <c r="R21" s="29">
        <v>158</v>
      </c>
      <c r="S21" s="29">
        <v>158</v>
      </c>
      <c r="T21" s="27">
        <v>159</v>
      </c>
      <c r="U21" s="29">
        <v>156</v>
      </c>
      <c r="V21">
        <v>159</v>
      </c>
      <c r="W21">
        <v>159</v>
      </c>
      <c r="X21" s="27">
        <v>159</v>
      </c>
      <c r="Y21" s="18">
        <v>159</v>
      </c>
      <c r="Z21" s="27">
        <v>159</v>
      </c>
      <c r="AA21" s="27">
        <v>159</v>
      </c>
      <c r="AB21" s="27">
        <v>159</v>
      </c>
      <c r="AC21" s="27">
        <v>159</v>
      </c>
      <c r="AD21" s="27">
        <v>159</v>
      </c>
      <c r="AE21">
        <v>159</v>
      </c>
      <c r="AF21">
        <v>159</v>
      </c>
      <c r="AG21" s="27">
        <v>159</v>
      </c>
      <c r="AH21">
        <v>159</v>
      </c>
      <c r="AI21" s="27">
        <v>159</v>
      </c>
      <c r="AJ21" s="27">
        <v>159</v>
      </c>
      <c r="AK21" s="27">
        <v>159</v>
      </c>
      <c r="AL21" s="27">
        <v>159</v>
      </c>
      <c r="AM21" s="27">
        <v>159</v>
      </c>
      <c r="AN21">
        <v>159</v>
      </c>
      <c r="AO21">
        <v>157</v>
      </c>
      <c r="AP21" s="27">
        <v>159</v>
      </c>
      <c r="AQ21">
        <v>159</v>
      </c>
      <c r="AR21">
        <v>159</v>
      </c>
      <c r="AS21" s="27">
        <v>159</v>
      </c>
      <c r="AT21" s="27">
        <v>159</v>
      </c>
      <c r="AU21" s="27">
        <v>157</v>
      </c>
      <c r="AV21" s="27">
        <v>157</v>
      </c>
      <c r="AW21" s="17">
        <v>157</v>
      </c>
      <c r="AX21" s="27">
        <v>155</v>
      </c>
      <c r="AY21" s="27">
        <v>157</v>
      </c>
      <c r="AZ21" s="27">
        <v>156</v>
      </c>
      <c r="BA21" s="27">
        <v>157</v>
      </c>
      <c r="BB21" s="27">
        <v>159</v>
      </c>
      <c r="BC21" s="27">
        <v>159</v>
      </c>
      <c r="BD21" s="29">
        <v>159</v>
      </c>
      <c r="BE21" s="27">
        <v>159</v>
      </c>
      <c r="BF21" s="27">
        <v>151</v>
      </c>
      <c r="BG21" s="29">
        <v>159</v>
      </c>
      <c r="BH21" s="18">
        <v>155</v>
      </c>
    </row>
    <row r="22" spans="3:60">
      <c r="C22" s="33" t="s">
        <v>460</v>
      </c>
      <c r="D22" s="23">
        <v>1.0671554133296013E-2</v>
      </c>
      <c r="E22" s="24">
        <v>3.096524253487587E-2</v>
      </c>
      <c r="F22" s="26">
        <v>0.3933144211769104</v>
      </c>
      <c r="G22" s="25">
        <v>5.3174600005149841E-2</v>
      </c>
      <c r="H22" s="26">
        <v>0.22965134680271149</v>
      </c>
      <c r="I22" s="26">
        <v>0.30771353840827942</v>
      </c>
      <c r="J22" s="26">
        <v>9.0306632220745087E-2</v>
      </c>
      <c r="K22" s="26">
        <v>0.11416815966367722</v>
      </c>
      <c r="L22" s="28">
        <v>0.63363081216812134</v>
      </c>
      <c r="M22" s="26">
        <v>0.29814490675926208</v>
      </c>
      <c r="N22" s="28">
        <v>0.59478199481964111</v>
      </c>
      <c r="O22" s="26">
        <v>0.43600192666053772</v>
      </c>
      <c r="P22" s="30"/>
      <c r="Q22" s="27">
        <v>184</v>
      </c>
      <c r="R22" s="29">
        <v>184</v>
      </c>
      <c r="S22" s="27">
        <v>185</v>
      </c>
      <c r="T22" s="27">
        <v>186</v>
      </c>
      <c r="U22" s="27">
        <v>176</v>
      </c>
      <c r="V22">
        <v>186</v>
      </c>
      <c r="W22" s="18">
        <v>186</v>
      </c>
      <c r="X22" s="27">
        <v>186</v>
      </c>
      <c r="Y22" s="27">
        <v>186</v>
      </c>
      <c r="Z22" s="27">
        <v>186</v>
      </c>
      <c r="AA22" s="27">
        <v>186</v>
      </c>
      <c r="AB22" s="27">
        <v>186</v>
      </c>
      <c r="AC22" s="27">
        <v>186</v>
      </c>
      <c r="AD22" s="18">
        <v>186</v>
      </c>
      <c r="AE22">
        <v>186</v>
      </c>
      <c r="AF22">
        <v>186</v>
      </c>
      <c r="AG22" s="27">
        <v>186</v>
      </c>
      <c r="AH22" s="17">
        <v>186</v>
      </c>
      <c r="AI22" s="27">
        <v>186</v>
      </c>
      <c r="AJ22" s="27">
        <v>186</v>
      </c>
      <c r="AK22" s="27">
        <v>186</v>
      </c>
      <c r="AL22" s="27">
        <v>186</v>
      </c>
      <c r="AM22" s="27">
        <v>186</v>
      </c>
      <c r="AN22">
        <v>186</v>
      </c>
      <c r="AO22">
        <v>183</v>
      </c>
      <c r="AP22" s="27">
        <v>186</v>
      </c>
      <c r="AQ22">
        <v>186</v>
      </c>
      <c r="AR22">
        <v>186</v>
      </c>
      <c r="AS22" s="27">
        <v>186</v>
      </c>
      <c r="AT22" s="27">
        <v>186</v>
      </c>
      <c r="AU22" s="27">
        <v>175</v>
      </c>
      <c r="AV22" s="27">
        <v>175</v>
      </c>
      <c r="AW22">
        <v>174</v>
      </c>
      <c r="AX22" s="27">
        <v>170</v>
      </c>
      <c r="AY22" s="27">
        <v>175</v>
      </c>
      <c r="AZ22" s="27">
        <v>173</v>
      </c>
      <c r="BA22" s="27">
        <v>174</v>
      </c>
      <c r="BB22" s="27">
        <v>186</v>
      </c>
      <c r="BC22" s="27">
        <v>186</v>
      </c>
      <c r="BD22" s="27">
        <v>184</v>
      </c>
      <c r="BE22" s="27">
        <v>185</v>
      </c>
      <c r="BF22" s="27">
        <v>171</v>
      </c>
      <c r="BG22" s="27">
        <v>186</v>
      </c>
      <c r="BH22" s="18">
        <v>172</v>
      </c>
    </row>
    <row r="23" spans="3:60">
      <c r="C23" s="33" t="s">
        <v>466</v>
      </c>
      <c r="D23" s="23">
        <v>-1.780408201739192E-4</v>
      </c>
      <c r="E23" s="24">
        <v>2.5633564218878746E-2</v>
      </c>
      <c r="F23" s="26">
        <v>0.43494600057601929</v>
      </c>
      <c r="G23" s="23">
        <v>1.4301135204732418E-2</v>
      </c>
      <c r="H23" s="26">
        <v>0.334686279296875</v>
      </c>
      <c r="I23" s="26">
        <v>0.30403578281402588</v>
      </c>
      <c r="J23" s="26">
        <v>7.3890380561351776E-2</v>
      </c>
      <c r="K23" s="23">
        <v>-2.6844503008760512E-4</v>
      </c>
      <c r="L23" s="28">
        <v>0.73534309864044189</v>
      </c>
      <c r="M23" s="24">
        <v>3.051164373755455E-2</v>
      </c>
      <c r="N23" s="26">
        <v>0.29501995444297791</v>
      </c>
      <c r="O23" s="26">
        <v>0.45074397325515747</v>
      </c>
      <c r="P23" s="26">
        <v>0.47139987349510193</v>
      </c>
      <c r="Q23" s="30"/>
      <c r="R23" s="29">
        <v>184</v>
      </c>
      <c r="S23" s="27">
        <v>186</v>
      </c>
      <c r="T23" s="29">
        <v>187</v>
      </c>
      <c r="U23" s="29">
        <v>176</v>
      </c>
      <c r="V23" s="17">
        <v>187</v>
      </c>
      <c r="W23">
        <v>187</v>
      </c>
      <c r="X23" s="29">
        <v>187</v>
      </c>
      <c r="Y23" s="27">
        <v>187</v>
      </c>
      <c r="Z23" s="29">
        <v>187</v>
      </c>
      <c r="AA23" s="29">
        <v>187</v>
      </c>
      <c r="AB23" s="27">
        <v>187</v>
      </c>
      <c r="AC23" s="27">
        <v>187</v>
      </c>
      <c r="AD23" s="27">
        <v>187</v>
      </c>
      <c r="AE23">
        <v>187</v>
      </c>
      <c r="AF23">
        <v>187</v>
      </c>
      <c r="AG23" s="29">
        <v>187</v>
      </c>
      <c r="AH23" s="27">
        <v>187</v>
      </c>
      <c r="AI23" s="29">
        <v>187</v>
      </c>
      <c r="AJ23" s="29">
        <v>187</v>
      </c>
      <c r="AK23" s="29">
        <v>187</v>
      </c>
      <c r="AL23" s="27">
        <v>187</v>
      </c>
      <c r="AM23" s="29">
        <v>187</v>
      </c>
      <c r="AN23">
        <v>187</v>
      </c>
      <c r="AO23">
        <v>185</v>
      </c>
      <c r="AP23" s="29">
        <v>187</v>
      </c>
      <c r="AQ23">
        <v>187</v>
      </c>
      <c r="AR23">
        <v>187</v>
      </c>
      <c r="AS23" s="27">
        <v>187</v>
      </c>
      <c r="AT23" s="29">
        <v>187</v>
      </c>
      <c r="AU23" s="27">
        <v>176</v>
      </c>
      <c r="AV23" s="27">
        <v>176</v>
      </c>
      <c r="AW23">
        <v>175</v>
      </c>
      <c r="AX23" s="27">
        <v>171</v>
      </c>
      <c r="AY23" s="27">
        <v>176</v>
      </c>
      <c r="AZ23" s="27">
        <v>174</v>
      </c>
      <c r="BA23" s="27">
        <v>175</v>
      </c>
      <c r="BB23" s="27">
        <v>187</v>
      </c>
      <c r="BC23" s="27">
        <v>187</v>
      </c>
      <c r="BD23" s="27">
        <v>185</v>
      </c>
      <c r="BE23" s="29">
        <v>185</v>
      </c>
      <c r="BF23" s="29">
        <v>171</v>
      </c>
      <c r="BG23" s="27">
        <v>187</v>
      </c>
      <c r="BH23" s="17">
        <v>173</v>
      </c>
    </row>
    <row r="24" spans="3:60">
      <c r="C24" s="33" t="s">
        <v>465</v>
      </c>
      <c r="D24" s="23">
        <v>4.7634625807404518E-3</v>
      </c>
      <c r="E24" s="26">
        <v>7.4286632239818573E-2</v>
      </c>
      <c r="F24" s="28">
        <v>0.53506314754486084</v>
      </c>
      <c r="G24" s="25">
        <v>5.1427733153104782E-2</v>
      </c>
      <c r="H24" s="26">
        <v>0.43772464990615845</v>
      </c>
      <c r="I24" s="28">
        <v>0.50641989707946777</v>
      </c>
      <c r="J24" s="26">
        <v>9.7210727632045746E-2</v>
      </c>
      <c r="K24" s="23">
        <v>7.6161972247064114E-3</v>
      </c>
      <c r="L24" s="28">
        <v>0.74155634641647339</v>
      </c>
      <c r="M24" s="26">
        <v>8.7669171392917633E-2</v>
      </c>
      <c r="N24" s="26">
        <v>0.42148658633232117</v>
      </c>
      <c r="O24" s="28">
        <v>0.54056453704833984</v>
      </c>
      <c r="P24" s="28">
        <v>0.66899549961090088</v>
      </c>
      <c r="Q24" s="28">
        <v>0.92534446716308594</v>
      </c>
      <c r="R24" s="30"/>
      <c r="S24" s="27">
        <v>183</v>
      </c>
      <c r="T24" s="29">
        <v>184</v>
      </c>
      <c r="U24" s="29">
        <v>174</v>
      </c>
      <c r="V24">
        <v>184</v>
      </c>
      <c r="W24">
        <v>184</v>
      </c>
      <c r="X24" s="29">
        <v>184</v>
      </c>
      <c r="Y24" s="27">
        <v>184</v>
      </c>
      <c r="Z24" s="29">
        <v>184</v>
      </c>
      <c r="AA24" s="29">
        <v>184</v>
      </c>
      <c r="AB24" s="27">
        <v>184</v>
      </c>
      <c r="AC24" s="27">
        <v>184</v>
      </c>
      <c r="AD24" s="27">
        <v>184</v>
      </c>
      <c r="AE24">
        <v>184</v>
      </c>
      <c r="AF24">
        <v>184</v>
      </c>
      <c r="AG24" s="29">
        <v>184</v>
      </c>
      <c r="AH24" s="27">
        <v>184</v>
      </c>
      <c r="AI24" s="29">
        <v>184</v>
      </c>
      <c r="AJ24" s="29">
        <v>184</v>
      </c>
      <c r="AK24" s="29">
        <v>184</v>
      </c>
      <c r="AL24" s="27">
        <v>184</v>
      </c>
      <c r="AM24" s="29">
        <v>184</v>
      </c>
      <c r="AN24">
        <v>184</v>
      </c>
      <c r="AO24">
        <v>182</v>
      </c>
      <c r="AP24" s="29">
        <v>184</v>
      </c>
      <c r="AQ24">
        <v>184</v>
      </c>
      <c r="AR24">
        <v>184</v>
      </c>
      <c r="AS24" s="27">
        <v>184</v>
      </c>
      <c r="AT24" s="29">
        <v>184</v>
      </c>
      <c r="AU24" s="27">
        <v>174</v>
      </c>
      <c r="AV24" s="27">
        <v>174</v>
      </c>
      <c r="AW24">
        <v>173</v>
      </c>
      <c r="AX24" s="27">
        <v>169</v>
      </c>
      <c r="AY24" s="27">
        <v>174</v>
      </c>
      <c r="AZ24" s="27">
        <v>172</v>
      </c>
      <c r="BA24" s="27">
        <v>173</v>
      </c>
      <c r="BB24" s="27">
        <v>184</v>
      </c>
      <c r="BC24" s="27">
        <v>184</v>
      </c>
      <c r="BD24" s="27">
        <v>182</v>
      </c>
      <c r="BE24" s="29">
        <v>183</v>
      </c>
      <c r="BF24" s="29">
        <v>170</v>
      </c>
      <c r="BG24" s="29">
        <v>184</v>
      </c>
      <c r="BH24" s="18">
        <v>171</v>
      </c>
    </row>
    <row r="25" spans="3:60">
      <c r="C25" s="33" t="s">
        <v>437</v>
      </c>
      <c r="D25" s="23">
        <v>3.0141521710902452E-3</v>
      </c>
      <c r="E25" s="25">
        <v>-5.3338520228862762E-2</v>
      </c>
      <c r="F25" s="26">
        <v>-0.44838070869445801</v>
      </c>
      <c r="G25" s="24">
        <v>-2.1618437021970749E-2</v>
      </c>
      <c r="H25" s="26">
        <v>-0.12202587723731995</v>
      </c>
      <c r="I25" s="26">
        <v>-0.19686290621757507</v>
      </c>
      <c r="J25" s="23">
        <v>1.7335519660264254E-3</v>
      </c>
      <c r="K25" s="23">
        <v>-1.8918627873063087E-2</v>
      </c>
      <c r="L25" s="26">
        <v>-0.23339471220970154</v>
      </c>
      <c r="M25" s="26">
        <v>-6.2053676694631577E-2</v>
      </c>
      <c r="N25" s="26">
        <v>-0.21918690204620361</v>
      </c>
      <c r="O25" s="28">
        <v>-0.62106382846832275</v>
      </c>
      <c r="P25" s="26">
        <v>-0.27318140864372253</v>
      </c>
      <c r="Q25" s="26">
        <v>-0.23524802923202515</v>
      </c>
      <c r="R25" s="26">
        <v>-0.29920193552970886</v>
      </c>
      <c r="S25" s="30"/>
      <c r="T25" s="27">
        <v>191</v>
      </c>
      <c r="U25" s="27">
        <v>179</v>
      </c>
      <c r="V25">
        <v>191</v>
      </c>
      <c r="W25">
        <v>191</v>
      </c>
      <c r="X25" s="27">
        <v>191</v>
      </c>
      <c r="Y25" s="18">
        <v>191</v>
      </c>
      <c r="Z25" s="27">
        <v>191</v>
      </c>
      <c r="AA25" s="27">
        <v>191</v>
      </c>
      <c r="AB25" s="27">
        <v>191</v>
      </c>
      <c r="AC25" s="27">
        <v>191</v>
      </c>
      <c r="AD25" s="18">
        <v>191</v>
      </c>
      <c r="AE25">
        <v>191</v>
      </c>
      <c r="AF25" s="18">
        <v>191</v>
      </c>
      <c r="AG25" s="27">
        <v>191</v>
      </c>
      <c r="AH25" s="18">
        <v>191</v>
      </c>
      <c r="AI25" s="27">
        <v>191</v>
      </c>
      <c r="AJ25" s="27">
        <v>191</v>
      </c>
      <c r="AK25" s="27">
        <v>191</v>
      </c>
      <c r="AL25" s="27">
        <v>191</v>
      </c>
      <c r="AM25" s="27">
        <v>191</v>
      </c>
      <c r="AN25">
        <v>191</v>
      </c>
      <c r="AO25">
        <v>188</v>
      </c>
      <c r="AP25" s="27">
        <v>191</v>
      </c>
      <c r="AQ25">
        <v>191</v>
      </c>
      <c r="AR25">
        <v>191</v>
      </c>
      <c r="AS25" s="27">
        <v>191</v>
      </c>
      <c r="AT25" s="27">
        <v>191</v>
      </c>
      <c r="AU25" s="27">
        <v>177</v>
      </c>
      <c r="AV25" s="27">
        <v>177</v>
      </c>
      <c r="AW25">
        <v>176</v>
      </c>
      <c r="AX25" s="27">
        <v>172</v>
      </c>
      <c r="AY25" s="27">
        <v>177</v>
      </c>
      <c r="AZ25" s="27">
        <v>175</v>
      </c>
      <c r="BA25" s="27">
        <v>176</v>
      </c>
      <c r="BB25" s="27">
        <v>191</v>
      </c>
      <c r="BC25" s="27">
        <v>191</v>
      </c>
      <c r="BD25" s="29">
        <v>189</v>
      </c>
      <c r="BE25" s="27">
        <v>188</v>
      </c>
      <c r="BF25" s="27">
        <v>173</v>
      </c>
      <c r="BG25" s="27">
        <v>191</v>
      </c>
      <c r="BH25" s="18">
        <v>174</v>
      </c>
    </row>
    <row r="26" spans="3:60">
      <c r="C26" s="33" t="s">
        <v>438</v>
      </c>
      <c r="D26" s="23">
        <v>-4.0983539656735957E-4</v>
      </c>
      <c r="E26" s="26">
        <v>-8.6337998509407043E-2</v>
      </c>
      <c r="F26" s="26">
        <v>-0.47424745559692383</v>
      </c>
      <c r="G26" s="23">
        <v>-1.1110186576843262E-2</v>
      </c>
      <c r="H26" s="26">
        <v>-0.19294668734073639</v>
      </c>
      <c r="I26" s="26">
        <v>-0.3006349503993988</v>
      </c>
      <c r="J26" s="23">
        <v>-4.1630971245467663E-3</v>
      </c>
      <c r="K26" s="23">
        <v>-8.9997574687004089E-3</v>
      </c>
      <c r="L26" s="26">
        <v>-0.49406614899635315</v>
      </c>
      <c r="M26" s="25">
        <v>-5.2704822272062302E-2</v>
      </c>
      <c r="N26" s="26">
        <v>-0.34211882948875427</v>
      </c>
      <c r="O26" s="26">
        <v>-0.42317196726799011</v>
      </c>
      <c r="P26" s="26">
        <v>-0.42140403389930725</v>
      </c>
      <c r="Q26" s="28">
        <v>-0.53396117687225342</v>
      </c>
      <c r="R26" s="28">
        <v>-0.5844845175743103</v>
      </c>
      <c r="S26" s="26">
        <v>0.42950734496116638</v>
      </c>
      <c r="T26" s="30"/>
      <c r="U26" s="29">
        <v>180</v>
      </c>
      <c r="V26">
        <v>192</v>
      </c>
      <c r="W26">
        <v>192</v>
      </c>
      <c r="X26" s="27">
        <v>192</v>
      </c>
      <c r="Y26" s="17">
        <v>192</v>
      </c>
      <c r="Z26" s="29">
        <v>192</v>
      </c>
      <c r="AA26" s="27">
        <v>192</v>
      </c>
      <c r="AB26" s="27">
        <v>192</v>
      </c>
      <c r="AC26" s="27">
        <v>192</v>
      </c>
      <c r="AD26" s="17">
        <v>192</v>
      </c>
      <c r="AE26">
        <v>192</v>
      </c>
      <c r="AF26" s="18">
        <v>192</v>
      </c>
      <c r="AG26" s="29">
        <v>192</v>
      </c>
      <c r="AH26" s="27">
        <v>192</v>
      </c>
      <c r="AI26" s="27">
        <v>192</v>
      </c>
      <c r="AJ26" s="27">
        <v>192</v>
      </c>
      <c r="AK26" s="27">
        <v>192</v>
      </c>
      <c r="AL26" s="27">
        <v>192</v>
      </c>
      <c r="AM26" s="27">
        <v>192</v>
      </c>
      <c r="AN26" s="18">
        <v>192</v>
      </c>
      <c r="AO26">
        <v>189</v>
      </c>
      <c r="AP26" s="27">
        <v>192</v>
      </c>
      <c r="AQ26">
        <v>192</v>
      </c>
      <c r="AR26" s="27">
        <v>192</v>
      </c>
      <c r="AS26" s="27">
        <v>192</v>
      </c>
      <c r="AT26" s="27">
        <v>192</v>
      </c>
      <c r="AU26" s="27">
        <v>178</v>
      </c>
      <c r="AV26" s="27">
        <v>178</v>
      </c>
      <c r="AW26" s="18">
        <v>177</v>
      </c>
      <c r="AX26" s="17">
        <v>173</v>
      </c>
      <c r="AY26" s="27">
        <v>178</v>
      </c>
      <c r="AZ26" s="27">
        <v>176</v>
      </c>
      <c r="BA26" s="27">
        <v>177</v>
      </c>
      <c r="BB26" s="27">
        <v>192</v>
      </c>
      <c r="BC26" s="27">
        <v>192</v>
      </c>
      <c r="BD26" s="29">
        <v>190</v>
      </c>
      <c r="BE26" s="29">
        <v>189</v>
      </c>
      <c r="BF26" s="27">
        <v>174</v>
      </c>
      <c r="BG26" s="29">
        <v>192</v>
      </c>
      <c r="BH26" s="27">
        <v>175</v>
      </c>
    </row>
    <row r="27" spans="3:60">
      <c r="C27" s="33" t="s">
        <v>439</v>
      </c>
      <c r="D27" s="23">
        <v>8.241600113478853E-8</v>
      </c>
      <c r="E27" s="24">
        <v>-3.2921068370342255E-2</v>
      </c>
      <c r="F27" s="28">
        <v>-0.50843775272369385</v>
      </c>
      <c r="G27" s="23">
        <v>-4.707076121121645E-3</v>
      </c>
      <c r="H27" s="26">
        <v>-0.24355803430080414</v>
      </c>
      <c r="I27" s="26">
        <v>-0.29070180654525757</v>
      </c>
      <c r="J27" s="23">
        <v>-1.1296832002699375E-2</v>
      </c>
      <c r="K27" s="23">
        <v>-1.9683372229337692E-3</v>
      </c>
      <c r="L27" s="28">
        <v>-0.64493197202682495</v>
      </c>
      <c r="M27" s="25">
        <v>-3.8279499858617783E-2</v>
      </c>
      <c r="N27" s="26">
        <v>-0.30578067898750305</v>
      </c>
      <c r="O27" s="28">
        <v>-0.50380605459213257</v>
      </c>
      <c r="P27" s="26">
        <v>-0.45867946743965149</v>
      </c>
      <c r="Q27" s="28">
        <v>-0.77855408191680908</v>
      </c>
      <c r="R27" s="28">
        <v>-0.76350128650665283</v>
      </c>
      <c r="S27" s="26">
        <v>0.46404159069061279</v>
      </c>
      <c r="T27" s="28">
        <v>0.65857475996017456</v>
      </c>
      <c r="U27" s="30"/>
      <c r="V27">
        <v>180</v>
      </c>
      <c r="W27" s="18">
        <v>180</v>
      </c>
      <c r="X27" s="29">
        <v>180</v>
      </c>
      <c r="Y27" s="18">
        <v>180</v>
      </c>
      <c r="Z27" s="29">
        <v>180</v>
      </c>
      <c r="AA27" s="29">
        <v>180</v>
      </c>
      <c r="AB27" s="27">
        <v>180</v>
      </c>
      <c r="AC27" s="27">
        <v>180</v>
      </c>
      <c r="AD27" s="27">
        <v>180</v>
      </c>
      <c r="AE27">
        <v>180</v>
      </c>
      <c r="AF27" s="27">
        <v>180</v>
      </c>
      <c r="AG27" s="29">
        <v>180</v>
      </c>
      <c r="AH27" s="17">
        <v>180</v>
      </c>
      <c r="AI27" s="29">
        <v>180</v>
      </c>
      <c r="AJ27" s="29">
        <v>180</v>
      </c>
      <c r="AK27" s="29">
        <v>180</v>
      </c>
      <c r="AL27" s="27">
        <v>180</v>
      </c>
      <c r="AM27" s="29">
        <v>180</v>
      </c>
      <c r="AN27">
        <v>180</v>
      </c>
      <c r="AO27">
        <v>178</v>
      </c>
      <c r="AP27" s="29">
        <v>180</v>
      </c>
      <c r="AQ27">
        <v>180</v>
      </c>
      <c r="AR27">
        <v>180</v>
      </c>
      <c r="AS27" s="27">
        <v>180</v>
      </c>
      <c r="AT27" s="29">
        <v>180</v>
      </c>
      <c r="AU27" s="27">
        <v>173</v>
      </c>
      <c r="AV27" s="27">
        <v>173</v>
      </c>
      <c r="AW27">
        <v>173</v>
      </c>
      <c r="AX27" s="27">
        <v>171</v>
      </c>
      <c r="AY27" s="27">
        <v>173</v>
      </c>
      <c r="AZ27" s="27">
        <v>173</v>
      </c>
      <c r="BA27" s="27">
        <v>173</v>
      </c>
      <c r="BB27" s="27">
        <v>180</v>
      </c>
      <c r="BC27" s="27">
        <v>180</v>
      </c>
      <c r="BD27" s="27">
        <v>180</v>
      </c>
      <c r="BE27" s="29">
        <v>179</v>
      </c>
      <c r="BF27" s="27">
        <v>169</v>
      </c>
      <c r="BG27" s="29">
        <v>180</v>
      </c>
      <c r="BH27" s="27">
        <v>172</v>
      </c>
    </row>
    <row r="28" spans="3:60">
      <c r="C28" s="33" t="s">
        <v>397</v>
      </c>
      <c r="D28" s="23">
        <v>-1.2660573236644268E-2</v>
      </c>
      <c r="E28" s="23">
        <v>4.3683416151907295E-5</v>
      </c>
      <c r="F28" s="23">
        <v>3.3218041062355042E-3</v>
      </c>
      <c r="G28" s="23">
        <v>-4.0722815319895744E-3</v>
      </c>
      <c r="H28" s="23">
        <v>-3.224753076210618E-3</v>
      </c>
      <c r="I28" s="23">
        <v>-7.1467331144958735E-4</v>
      </c>
      <c r="J28" s="23">
        <v>-3.6082644946873188E-3</v>
      </c>
      <c r="K28" s="23">
        <v>-4.0261596441268921E-3</v>
      </c>
      <c r="L28" s="23">
        <v>8.717014454305172E-3</v>
      </c>
      <c r="M28" s="23">
        <v>-3.6032393109053373E-3</v>
      </c>
      <c r="N28" s="23">
        <v>2.5618968065828085E-3</v>
      </c>
      <c r="O28" s="23">
        <v>-2.8168942662887275E-4</v>
      </c>
      <c r="P28" s="23">
        <v>-1.222326245624572E-4</v>
      </c>
      <c r="Q28" s="24">
        <v>3.4397099167108536E-2</v>
      </c>
      <c r="R28" s="23">
        <v>1.3402262702584267E-2</v>
      </c>
      <c r="S28" s="23">
        <v>-6.147321779280901E-3</v>
      </c>
      <c r="T28" s="23">
        <v>-2.0264393242541701E-4</v>
      </c>
      <c r="U28" s="23">
        <v>-3.6420794203877449E-3</v>
      </c>
      <c r="V28" s="30"/>
      <c r="W28">
        <v>192</v>
      </c>
      <c r="X28">
        <v>192</v>
      </c>
      <c r="Y28">
        <v>192</v>
      </c>
      <c r="Z28">
        <v>192</v>
      </c>
      <c r="AA28">
        <v>192</v>
      </c>
      <c r="AB28">
        <v>192</v>
      </c>
      <c r="AC28">
        <v>192</v>
      </c>
      <c r="AD28">
        <v>192</v>
      </c>
      <c r="AE28">
        <v>192</v>
      </c>
      <c r="AF28">
        <v>192</v>
      </c>
      <c r="AG28">
        <v>192</v>
      </c>
      <c r="AH28">
        <v>192</v>
      </c>
      <c r="AI28">
        <v>192</v>
      </c>
      <c r="AJ28">
        <v>192</v>
      </c>
      <c r="AK28">
        <v>192</v>
      </c>
      <c r="AL28">
        <v>192</v>
      </c>
      <c r="AM28">
        <v>192</v>
      </c>
      <c r="AN28">
        <v>192</v>
      </c>
      <c r="AO28">
        <v>189</v>
      </c>
      <c r="AP28">
        <v>192</v>
      </c>
      <c r="AQ28">
        <v>192</v>
      </c>
      <c r="AR28" s="17">
        <v>192</v>
      </c>
      <c r="AS28" s="17">
        <v>192</v>
      </c>
      <c r="AT28" s="18">
        <v>192</v>
      </c>
      <c r="AU28">
        <v>178</v>
      </c>
      <c r="AV28">
        <v>178</v>
      </c>
      <c r="AW28">
        <v>177</v>
      </c>
      <c r="AX28">
        <v>173</v>
      </c>
      <c r="AY28">
        <v>178</v>
      </c>
      <c r="AZ28">
        <v>176</v>
      </c>
      <c r="BA28">
        <v>177</v>
      </c>
      <c r="BB28" s="17">
        <v>192</v>
      </c>
      <c r="BC28">
        <v>192</v>
      </c>
      <c r="BD28">
        <v>190</v>
      </c>
      <c r="BE28">
        <v>189</v>
      </c>
      <c r="BF28">
        <v>174</v>
      </c>
      <c r="BG28">
        <v>192</v>
      </c>
      <c r="BH28">
        <v>175</v>
      </c>
    </row>
    <row r="29" spans="3:60">
      <c r="C29" s="33" t="s">
        <v>398</v>
      </c>
      <c r="D29" s="26">
        <v>0.12483283132314682</v>
      </c>
      <c r="E29" s="26">
        <v>0.10771866887807846</v>
      </c>
      <c r="F29" s="24">
        <v>-3.9099954068660736E-2</v>
      </c>
      <c r="G29" s="23">
        <v>-4.7534299665130675E-4</v>
      </c>
      <c r="H29" s="25">
        <v>5.2858978509902954E-2</v>
      </c>
      <c r="I29" s="25">
        <v>5.2589576691389084E-2</v>
      </c>
      <c r="J29" s="23">
        <v>1.9835349172353745E-2</v>
      </c>
      <c r="K29" s="23">
        <v>-1.8675969913601875E-2</v>
      </c>
      <c r="L29" s="26">
        <v>-8.8227935135364532E-2</v>
      </c>
      <c r="M29" s="24">
        <v>-2.5375939905643463E-2</v>
      </c>
      <c r="N29" s="23">
        <v>-2.1663941442966461E-2</v>
      </c>
      <c r="O29" s="23">
        <v>-4.6846736222505569E-3</v>
      </c>
      <c r="P29" s="25">
        <v>-3.610529750585556E-2</v>
      </c>
      <c r="Q29" s="23">
        <v>-6.3640088774263859E-3</v>
      </c>
      <c r="R29" s="23">
        <v>-4.2013330385088921E-3</v>
      </c>
      <c r="S29" s="23">
        <v>1.8019890412688255E-2</v>
      </c>
      <c r="T29" s="23">
        <v>1.4074462465941906E-2</v>
      </c>
      <c r="U29" s="25">
        <v>3.750966489315033E-2</v>
      </c>
      <c r="V29" s="23">
        <v>-3.6205395008437335E-4</v>
      </c>
      <c r="W29" s="30"/>
      <c r="X29">
        <v>192</v>
      </c>
      <c r="Y29">
        <v>192</v>
      </c>
      <c r="Z29" s="17">
        <v>192</v>
      </c>
      <c r="AA29" s="27">
        <v>192</v>
      </c>
      <c r="AB29">
        <v>192</v>
      </c>
      <c r="AC29">
        <v>192</v>
      </c>
      <c r="AD29">
        <v>192</v>
      </c>
      <c r="AE29" s="17">
        <v>192</v>
      </c>
      <c r="AF29" s="27">
        <v>192</v>
      </c>
      <c r="AG29" s="17">
        <v>192</v>
      </c>
      <c r="AH29">
        <v>192</v>
      </c>
      <c r="AI29">
        <v>192</v>
      </c>
      <c r="AJ29" s="18">
        <v>192</v>
      </c>
      <c r="AK29" s="27">
        <v>192</v>
      </c>
      <c r="AL29" s="17">
        <v>192</v>
      </c>
      <c r="AM29" s="17">
        <v>192</v>
      </c>
      <c r="AN29" s="17">
        <v>192</v>
      </c>
      <c r="AO29" s="17">
        <v>189</v>
      </c>
      <c r="AP29" s="27">
        <v>192</v>
      </c>
      <c r="AQ29" s="27">
        <v>192</v>
      </c>
      <c r="AR29">
        <v>192</v>
      </c>
      <c r="AS29" s="27">
        <v>192</v>
      </c>
      <c r="AT29">
        <v>192</v>
      </c>
      <c r="AU29">
        <v>178</v>
      </c>
      <c r="AV29" s="17">
        <v>178</v>
      </c>
      <c r="AW29">
        <v>177</v>
      </c>
      <c r="AX29">
        <v>173</v>
      </c>
      <c r="AY29" s="17">
        <v>178</v>
      </c>
      <c r="AZ29" s="17">
        <v>176</v>
      </c>
      <c r="BA29">
        <v>177</v>
      </c>
      <c r="BB29">
        <v>192</v>
      </c>
      <c r="BC29" s="17">
        <v>192</v>
      </c>
      <c r="BD29">
        <v>190</v>
      </c>
      <c r="BE29">
        <v>189</v>
      </c>
      <c r="BF29">
        <v>174</v>
      </c>
      <c r="BG29">
        <v>192</v>
      </c>
      <c r="BH29">
        <v>175</v>
      </c>
    </row>
    <row r="30" spans="3:60">
      <c r="C30" s="33" t="s">
        <v>399</v>
      </c>
      <c r="D30" s="23">
        <v>-1.2558931484818459E-3</v>
      </c>
      <c r="E30" s="23">
        <v>1.0028169490396976E-2</v>
      </c>
      <c r="F30" s="26">
        <v>0.41993358731269836</v>
      </c>
      <c r="G30" s="23">
        <v>1.9859034568071365E-2</v>
      </c>
      <c r="H30" s="26">
        <v>0.18224804103374481</v>
      </c>
      <c r="I30" s="26">
        <v>0.19236858189105988</v>
      </c>
      <c r="J30" s="23">
        <v>1.4786699786782265E-2</v>
      </c>
      <c r="K30" s="24">
        <v>2.5108464062213898E-2</v>
      </c>
      <c r="L30" s="28">
        <v>0.66802364587783813</v>
      </c>
      <c r="M30" s="23">
        <v>7.5189224444329739E-3</v>
      </c>
      <c r="N30" s="26">
        <v>0.22236186265945435</v>
      </c>
      <c r="O30" s="26">
        <v>0.35868322849273682</v>
      </c>
      <c r="P30" s="26">
        <v>0.36609649658203125</v>
      </c>
      <c r="Q30" s="28">
        <v>0.60568970441818237</v>
      </c>
      <c r="R30" s="28">
        <v>0.59454965591430664</v>
      </c>
      <c r="S30" s="26">
        <v>-0.16880092024803162</v>
      </c>
      <c r="T30" s="26">
        <v>-0.33626911044120789</v>
      </c>
      <c r="U30" s="28">
        <v>-0.56202268600463867</v>
      </c>
      <c r="V30" s="23">
        <v>6.8567073903977871E-3</v>
      </c>
      <c r="W30" s="23">
        <v>-1.445713359862566E-2</v>
      </c>
      <c r="X30" s="30"/>
      <c r="Y30" s="27">
        <v>192</v>
      </c>
      <c r="Z30" s="29">
        <v>192</v>
      </c>
      <c r="AA30" s="29">
        <v>192</v>
      </c>
      <c r="AB30" s="27">
        <v>192</v>
      </c>
      <c r="AC30" s="27">
        <v>192</v>
      </c>
      <c r="AD30" s="27">
        <v>192</v>
      </c>
      <c r="AE30">
        <v>192</v>
      </c>
      <c r="AF30">
        <v>192</v>
      </c>
      <c r="AG30" s="27">
        <v>192</v>
      </c>
      <c r="AH30">
        <v>192</v>
      </c>
      <c r="AI30" s="27">
        <v>192</v>
      </c>
      <c r="AJ30" s="29">
        <v>192</v>
      </c>
      <c r="AK30" s="29">
        <v>192</v>
      </c>
      <c r="AL30" s="27">
        <v>192</v>
      </c>
      <c r="AM30" s="29">
        <v>192</v>
      </c>
      <c r="AN30">
        <v>192</v>
      </c>
      <c r="AO30">
        <v>189</v>
      </c>
      <c r="AP30" s="29">
        <v>192</v>
      </c>
      <c r="AQ30">
        <v>192</v>
      </c>
      <c r="AR30">
        <v>192</v>
      </c>
      <c r="AS30" s="27">
        <v>192</v>
      </c>
      <c r="AT30" s="29">
        <v>192</v>
      </c>
      <c r="AU30" s="27">
        <v>178</v>
      </c>
      <c r="AV30" s="27">
        <v>178</v>
      </c>
      <c r="AW30">
        <v>177</v>
      </c>
      <c r="AX30" s="27">
        <v>173</v>
      </c>
      <c r="AY30" s="27">
        <v>178</v>
      </c>
      <c r="AZ30" s="17">
        <v>176</v>
      </c>
      <c r="BA30" s="27">
        <v>177</v>
      </c>
      <c r="BB30" s="27">
        <v>192</v>
      </c>
      <c r="BC30" s="27">
        <v>192</v>
      </c>
      <c r="BD30" s="27">
        <v>190</v>
      </c>
      <c r="BE30" s="27">
        <v>189</v>
      </c>
      <c r="BF30" s="27">
        <v>174</v>
      </c>
      <c r="BG30" s="27">
        <v>192</v>
      </c>
      <c r="BH30" s="27">
        <v>175</v>
      </c>
    </row>
    <row r="31" spans="3:60">
      <c r="C31" s="33" t="s">
        <v>400</v>
      </c>
      <c r="D31" s="23">
        <v>-1.0869101621210575E-2</v>
      </c>
      <c r="E31" s="23">
        <v>5.5859569692984223E-4</v>
      </c>
      <c r="F31" s="24">
        <v>-2.9753664508461952E-2</v>
      </c>
      <c r="G31" s="26">
        <v>-0.23724998533725739</v>
      </c>
      <c r="H31" s="26">
        <v>-5.4858185350894928E-2</v>
      </c>
      <c r="I31" s="26">
        <v>-8.9725486934185028E-2</v>
      </c>
      <c r="J31" s="26">
        <v>-0.11529306322336197</v>
      </c>
      <c r="K31" s="23">
        <v>-1.2585876975208521E-3</v>
      </c>
      <c r="L31" s="26">
        <v>-0.11789883673191071</v>
      </c>
      <c r="M31" s="26">
        <v>-6.2826193869113922E-2</v>
      </c>
      <c r="N31" s="24">
        <v>-3.9819613099098206E-2</v>
      </c>
      <c r="O31" s="25">
        <v>-4.5945469290018082E-2</v>
      </c>
      <c r="P31" s="26">
        <v>-0.13628238439559937</v>
      </c>
      <c r="Q31" s="26">
        <v>-0.11637462675571442</v>
      </c>
      <c r="R31" s="26">
        <v>-0.13757336139678955</v>
      </c>
      <c r="S31" s="25">
        <v>5.0159763544797897E-2</v>
      </c>
      <c r="T31" s="24">
        <v>2.6154566556215286E-2</v>
      </c>
      <c r="U31" s="25">
        <v>4.1284281760454178E-2</v>
      </c>
      <c r="V31" s="23">
        <v>1.1151096783578396E-2</v>
      </c>
      <c r="W31" s="23">
        <v>1.5128877945244312E-2</v>
      </c>
      <c r="X31" s="26">
        <v>-5.4198257625102997E-2</v>
      </c>
      <c r="Y31" s="30"/>
      <c r="Z31">
        <v>192</v>
      </c>
      <c r="AA31" s="27">
        <v>192</v>
      </c>
      <c r="AB31" s="27">
        <v>192</v>
      </c>
      <c r="AC31" s="27">
        <v>192</v>
      </c>
      <c r="AD31">
        <v>192</v>
      </c>
      <c r="AE31" s="18">
        <v>192</v>
      </c>
      <c r="AF31" s="27">
        <v>192</v>
      </c>
      <c r="AG31" s="27">
        <v>192</v>
      </c>
      <c r="AH31">
        <v>192</v>
      </c>
      <c r="AI31" s="27">
        <v>192</v>
      </c>
      <c r="AJ31" s="18">
        <v>192</v>
      </c>
      <c r="AK31" s="27">
        <v>192</v>
      </c>
      <c r="AL31" s="27">
        <v>192</v>
      </c>
      <c r="AM31" s="27">
        <v>192</v>
      </c>
      <c r="AN31" s="27">
        <v>192</v>
      </c>
      <c r="AO31" s="27">
        <v>189</v>
      </c>
      <c r="AP31" s="27">
        <v>192</v>
      </c>
      <c r="AQ31">
        <v>192</v>
      </c>
      <c r="AR31" s="17">
        <v>192</v>
      </c>
      <c r="AS31" s="27">
        <v>192</v>
      </c>
      <c r="AT31" s="27">
        <v>192</v>
      </c>
      <c r="AU31" s="17">
        <v>178</v>
      </c>
      <c r="AV31" s="17">
        <v>178</v>
      </c>
      <c r="AW31">
        <v>177</v>
      </c>
      <c r="AX31" s="27">
        <v>173</v>
      </c>
      <c r="AY31" s="17">
        <v>178</v>
      </c>
      <c r="AZ31">
        <v>176</v>
      </c>
      <c r="BA31" s="27">
        <v>177</v>
      </c>
      <c r="BB31">
        <v>192</v>
      </c>
      <c r="BC31">
        <v>192</v>
      </c>
      <c r="BD31">
        <v>190</v>
      </c>
      <c r="BE31" s="27">
        <v>189</v>
      </c>
      <c r="BF31" s="27">
        <v>174</v>
      </c>
      <c r="BG31">
        <v>192</v>
      </c>
      <c r="BH31">
        <v>175</v>
      </c>
    </row>
    <row r="32" spans="3:60">
      <c r="C32" s="33" t="s">
        <v>401</v>
      </c>
      <c r="D32" s="23">
        <v>1.3523601228371263E-4</v>
      </c>
      <c r="E32" s="24">
        <v>2.0527245476841927E-2</v>
      </c>
      <c r="F32" s="26">
        <v>0.37032151222229004</v>
      </c>
      <c r="G32" s="23">
        <v>-1.4955642109271139E-4</v>
      </c>
      <c r="H32" s="26">
        <v>0.11930295825004578</v>
      </c>
      <c r="I32" s="26">
        <v>0.15111906826496124</v>
      </c>
      <c r="J32" s="23">
        <v>5.729401484131813E-3</v>
      </c>
      <c r="K32" s="23">
        <v>1.5515796840190887E-2</v>
      </c>
      <c r="L32" s="28">
        <v>0.56576639413833618</v>
      </c>
      <c r="M32" s="23">
        <v>3.3093404490500689E-3</v>
      </c>
      <c r="N32" s="26">
        <v>0.22682240605354309</v>
      </c>
      <c r="O32" s="26">
        <v>0.27772969007492065</v>
      </c>
      <c r="P32" s="26">
        <v>0.32343354821205139</v>
      </c>
      <c r="Q32" s="28">
        <v>0.57338201999664307</v>
      </c>
      <c r="R32" s="28">
        <v>0.54684674739837646</v>
      </c>
      <c r="S32" s="26">
        <v>-0.1351182758808136</v>
      </c>
      <c r="T32" s="28">
        <v>-0.51133900880813599</v>
      </c>
      <c r="U32" s="28">
        <v>-0.63739311695098877</v>
      </c>
      <c r="V32" s="23">
        <v>4.1301604360342026E-3</v>
      </c>
      <c r="W32" s="24">
        <v>-2.0270684733986855E-2</v>
      </c>
      <c r="X32" s="28">
        <v>0.53616565465927124</v>
      </c>
      <c r="Y32" s="23">
        <v>-1.2402823194861412E-3</v>
      </c>
      <c r="Z32" s="30"/>
      <c r="AA32" s="27">
        <v>192</v>
      </c>
      <c r="AB32" s="27">
        <v>192</v>
      </c>
      <c r="AC32" s="27">
        <v>192</v>
      </c>
      <c r="AD32" s="27">
        <v>192</v>
      </c>
      <c r="AE32" s="17">
        <v>192</v>
      </c>
      <c r="AF32" s="18">
        <v>192</v>
      </c>
      <c r="AG32" s="29">
        <v>192</v>
      </c>
      <c r="AH32">
        <v>192</v>
      </c>
      <c r="AI32" s="27">
        <v>192</v>
      </c>
      <c r="AJ32" s="27">
        <v>192</v>
      </c>
      <c r="AK32" s="29">
        <v>192</v>
      </c>
      <c r="AL32" s="27">
        <v>192</v>
      </c>
      <c r="AM32" s="27">
        <v>192</v>
      </c>
      <c r="AN32">
        <v>192</v>
      </c>
      <c r="AO32">
        <v>189</v>
      </c>
      <c r="AP32" s="27">
        <v>192</v>
      </c>
      <c r="AQ32">
        <v>192</v>
      </c>
      <c r="AR32">
        <v>192</v>
      </c>
      <c r="AS32" s="27">
        <v>192</v>
      </c>
      <c r="AT32" s="27">
        <v>192</v>
      </c>
      <c r="AU32" s="27">
        <v>178</v>
      </c>
      <c r="AV32" s="27">
        <v>178</v>
      </c>
      <c r="AW32">
        <v>177</v>
      </c>
      <c r="AX32" s="17">
        <v>173</v>
      </c>
      <c r="AY32" s="27">
        <v>178</v>
      </c>
      <c r="AZ32" s="27">
        <v>176</v>
      </c>
      <c r="BA32" s="27">
        <v>177</v>
      </c>
      <c r="BB32" s="27">
        <v>192</v>
      </c>
      <c r="BC32" s="27">
        <v>192</v>
      </c>
      <c r="BD32" s="27">
        <v>190</v>
      </c>
      <c r="BE32" s="27">
        <v>189</v>
      </c>
      <c r="BF32" s="27">
        <v>174</v>
      </c>
      <c r="BG32" s="27">
        <v>192</v>
      </c>
      <c r="BH32" s="27">
        <v>175</v>
      </c>
    </row>
    <row r="33" spans="3:60">
      <c r="C33" s="33" t="s">
        <v>402</v>
      </c>
      <c r="D33" s="23">
        <v>-1.0518225841224194E-2</v>
      </c>
      <c r="E33" s="23">
        <v>9.8050711676478386E-4</v>
      </c>
      <c r="F33" s="26">
        <v>0.39956146478652954</v>
      </c>
      <c r="G33" s="23">
        <v>1.9762719050049782E-2</v>
      </c>
      <c r="H33" s="26">
        <v>0.17862512171268463</v>
      </c>
      <c r="I33" s="26">
        <v>0.16865426301956177</v>
      </c>
      <c r="J33" s="23">
        <v>5.2610700950026512E-3</v>
      </c>
      <c r="K33" s="23">
        <v>1.2919277884066105E-2</v>
      </c>
      <c r="L33" s="28">
        <v>0.73378682136535645</v>
      </c>
      <c r="M33" s="24">
        <v>2.3569557815790176E-2</v>
      </c>
      <c r="N33" s="26">
        <v>0.20104455947875977</v>
      </c>
      <c r="O33" s="26">
        <v>0.34689858555793762</v>
      </c>
      <c r="P33" s="26">
        <v>0.38842302560806274</v>
      </c>
      <c r="Q33" s="28">
        <v>0.69766688346862793</v>
      </c>
      <c r="R33" s="28">
        <v>0.65442681312561035</v>
      </c>
      <c r="S33" s="26">
        <v>-0.22666972875595093</v>
      </c>
      <c r="T33" s="26">
        <v>-0.48710551857948303</v>
      </c>
      <c r="U33" s="28">
        <v>-0.67169272899627686</v>
      </c>
      <c r="V33" s="23">
        <v>1.8206112086772919E-2</v>
      </c>
      <c r="W33" s="26">
        <v>-6.6541805863380432E-2</v>
      </c>
      <c r="X33" s="28">
        <v>0.5587923526763916</v>
      </c>
      <c r="Y33" s="26">
        <v>-6.2217116355895996E-2</v>
      </c>
      <c r="Z33" s="26">
        <v>0.4594971239566803</v>
      </c>
      <c r="AA33" s="30"/>
      <c r="AB33" s="27">
        <v>192</v>
      </c>
      <c r="AC33" s="27">
        <v>192</v>
      </c>
      <c r="AD33" s="27">
        <v>192</v>
      </c>
      <c r="AE33">
        <v>192</v>
      </c>
      <c r="AF33" s="18">
        <v>192</v>
      </c>
      <c r="AG33" s="29">
        <v>192</v>
      </c>
      <c r="AH33" s="17">
        <v>192</v>
      </c>
      <c r="AI33" s="27">
        <v>192</v>
      </c>
      <c r="AJ33" s="29">
        <v>192</v>
      </c>
      <c r="AK33" s="29">
        <v>192</v>
      </c>
      <c r="AL33" s="27">
        <v>192</v>
      </c>
      <c r="AM33" s="27">
        <v>192</v>
      </c>
      <c r="AN33">
        <v>192</v>
      </c>
      <c r="AO33">
        <v>189</v>
      </c>
      <c r="AP33" s="29">
        <v>192</v>
      </c>
      <c r="AQ33">
        <v>192</v>
      </c>
      <c r="AR33">
        <v>192</v>
      </c>
      <c r="AS33" s="27">
        <v>192</v>
      </c>
      <c r="AT33" s="29">
        <v>192</v>
      </c>
      <c r="AU33" s="27">
        <v>178</v>
      </c>
      <c r="AV33" s="27">
        <v>178</v>
      </c>
      <c r="AW33">
        <v>177</v>
      </c>
      <c r="AX33" s="27">
        <v>173</v>
      </c>
      <c r="AY33" s="27">
        <v>178</v>
      </c>
      <c r="AZ33" s="18">
        <v>176</v>
      </c>
      <c r="BA33" s="27">
        <v>177</v>
      </c>
      <c r="BB33" s="27">
        <v>192</v>
      </c>
      <c r="BC33" s="27">
        <v>192</v>
      </c>
      <c r="BD33" s="27">
        <v>190</v>
      </c>
      <c r="BE33" s="27">
        <v>189</v>
      </c>
      <c r="BF33" s="27">
        <v>174</v>
      </c>
      <c r="BG33" s="27">
        <v>192</v>
      </c>
      <c r="BH33" s="27">
        <v>175</v>
      </c>
    </row>
    <row r="34" spans="3:60">
      <c r="C34" s="33" t="s">
        <v>403</v>
      </c>
      <c r="D34" s="23">
        <v>-2.3615262471139431E-3</v>
      </c>
      <c r="E34" s="23">
        <v>1.2581976130604744E-2</v>
      </c>
      <c r="F34" s="26">
        <v>0.11309978365898132</v>
      </c>
      <c r="G34" s="23">
        <v>1.239992119371891E-2</v>
      </c>
      <c r="H34" s="26">
        <v>0.16638943552970886</v>
      </c>
      <c r="I34" s="26">
        <v>0.11152344942092896</v>
      </c>
      <c r="J34" s="25">
        <v>3.8112252950668335E-2</v>
      </c>
      <c r="K34" s="23">
        <v>1.4787600957788527E-4</v>
      </c>
      <c r="L34" s="26">
        <v>0.27087503671646118</v>
      </c>
      <c r="M34" s="23">
        <v>1.4891201630234718E-2</v>
      </c>
      <c r="N34" s="26">
        <v>0.13227343559265137</v>
      </c>
      <c r="O34" s="26">
        <v>0.26212620735168457</v>
      </c>
      <c r="P34" s="26">
        <v>0.19896604120731354</v>
      </c>
      <c r="Q34" s="26">
        <v>0.32247379422187805</v>
      </c>
      <c r="R34" s="26">
        <v>0.31963995099067688</v>
      </c>
      <c r="S34" s="26">
        <v>-0.10333697497844696</v>
      </c>
      <c r="T34" s="26">
        <v>-0.21226561069488525</v>
      </c>
      <c r="U34" s="26">
        <v>-0.23293668031692505</v>
      </c>
      <c r="V34" s="23">
        <v>8.9583249064162374E-4</v>
      </c>
      <c r="W34" s="23">
        <v>1.399350818246603E-3</v>
      </c>
      <c r="X34" s="26">
        <v>0.18909825384616852</v>
      </c>
      <c r="Y34" s="26">
        <v>-0.17409704625606537</v>
      </c>
      <c r="Z34" s="26">
        <v>0.14525803923606873</v>
      </c>
      <c r="AA34" s="26">
        <v>0.21115858852863312</v>
      </c>
      <c r="AB34" s="30"/>
      <c r="AC34" s="18">
        <v>192</v>
      </c>
      <c r="AD34" s="27">
        <v>192</v>
      </c>
      <c r="AE34">
        <v>192</v>
      </c>
      <c r="AF34" s="18">
        <v>192</v>
      </c>
      <c r="AG34" s="27">
        <v>192</v>
      </c>
      <c r="AH34">
        <v>192</v>
      </c>
      <c r="AI34" s="27">
        <v>192</v>
      </c>
      <c r="AJ34" s="27">
        <v>192</v>
      </c>
      <c r="AK34" s="27">
        <v>192</v>
      </c>
      <c r="AL34" s="18">
        <v>192</v>
      </c>
      <c r="AM34" s="27">
        <v>192</v>
      </c>
      <c r="AN34">
        <v>192</v>
      </c>
      <c r="AO34">
        <v>189</v>
      </c>
      <c r="AP34" s="27">
        <v>192</v>
      </c>
      <c r="AQ34">
        <v>192</v>
      </c>
      <c r="AR34">
        <v>192</v>
      </c>
      <c r="AS34" s="27">
        <v>192</v>
      </c>
      <c r="AT34" s="27">
        <v>192</v>
      </c>
      <c r="AU34" s="27">
        <v>178</v>
      </c>
      <c r="AV34" s="27">
        <v>178</v>
      </c>
      <c r="AW34">
        <v>177</v>
      </c>
      <c r="AX34" s="27">
        <v>173</v>
      </c>
      <c r="AY34" s="27">
        <v>178</v>
      </c>
      <c r="AZ34" s="27">
        <v>176</v>
      </c>
      <c r="BA34" s="27">
        <v>177</v>
      </c>
      <c r="BB34" s="27">
        <v>192</v>
      </c>
      <c r="BC34" s="27">
        <v>192</v>
      </c>
      <c r="BD34" s="27">
        <v>190</v>
      </c>
      <c r="BE34" s="27">
        <v>189</v>
      </c>
      <c r="BF34" s="27">
        <v>174</v>
      </c>
      <c r="BG34" s="27">
        <v>192</v>
      </c>
      <c r="BH34" s="27">
        <v>175</v>
      </c>
    </row>
    <row r="35" spans="3:60">
      <c r="C35" s="33" t="s">
        <v>404</v>
      </c>
      <c r="D35" s="23">
        <v>1.38624282553792E-2</v>
      </c>
      <c r="E35" s="23">
        <v>6.4071817323565483E-3</v>
      </c>
      <c r="F35" s="26">
        <v>0.37417128682136536</v>
      </c>
      <c r="G35" s="24">
        <v>2.0770048722624779E-2</v>
      </c>
      <c r="H35" s="26">
        <v>0.15662150084972382</v>
      </c>
      <c r="I35" s="26">
        <v>0.18440844118595123</v>
      </c>
      <c r="J35" s="24">
        <v>3.3205956220626831E-2</v>
      </c>
      <c r="K35" s="23">
        <v>-8.9340368285775185E-3</v>
      </c>
      <c r="L35" s="26">
        <v>0.29180237650871277</v>
      </c>
      <c r="M35" s="26">
        <v>0.12145528942346573</v>
      </c>
      <c r="N35" s="26">
        <v>0.19618290662765503</v>
      </c>
      <c r="O35" s="26">
        <v>0.36906915903091431</v>
      </c>
      <c r="P35" s="26">
        <v>0.2781556248664856</v>
      </c>
      <c r="Q35" s="26">
        <v>0.36537843942642212</v>
      </c>
      <c r="R35" s="26">
        <v>0.40187567472457886</v>
      </c>
      <c r="S35" s="26">
        <v>-0.22462721168994904</v>
      </c>
      <c r="T35" s="26">
        <v>-0.21783354878425598</v>
      </c>
      <c r="U35" s="26">
        <v>-0.38183519244194031</v>
      </c>
      <c r="V35" s="23">
        <v>5.7724182261154056E-4</v>
      </c>
      <c r="W35" s="23">
        <v>-1.1207261122763157E-2</v>
      </c>
      <c r="X35" s="26">
        <v>0.28136581182479858</v>
      </c>
      <c r="Y35" s="26">
        <v>-6.9561585783958435E-2</v>
      </c>
      <c r="Z35" s="26">
        <v>0.17706383764743805</v>
      </c>
      <c r="AA35" s="26">
        <v>0.26434570550918579</v>
      </c>
      <c r="AB35" s="25">
        <v>4.6696335077285767E-2</v>
      </c>
      <c r="AC35" s="30"/>
      <c r="AD35" s="27">
        <v>192</v>
      </c>
      <c r="AE35">
        <v>192</v>
      </c>
      <c r="AF35" s="17">
        <v>192</v>
      </c>
      <c r="AG35" s="27">
        <v>192</v>
      </c>
      <c r="AH35">
        <v>192</v>
      </c>
      <c r="AI35" s="27">
        <v>192</v>
      </c>
      <c r="AJ35" s="27">
        <v>192</v>
      </c>
      <c r="AK35" s="27">
        <v>192</v>
      </c>
      <c r="AL35" s="27">
        <v>192</v>
      </c>
      <c r="AM35" s="27">
        <v>192</v>
      </c>
      <c r="AN35">
        <v>192</v>
      </c>
      <c r="AO35">
        <v>189</v>
      </c>
      <c r="AP35" s="27">
        <v>192</v>
      </c>
      <c r="AQ35">
        <v>192</v>
      </c>
      <c r="AR35">
        <v>192</v>
      </c>
      <c r="AS35" s="27">
        <v>192</v>
      </c>
      <c r="AT35" s="27">
        <v>192</v>
      </c>
      <c r="AU35" s="27">
        <v>178</v>
      </c>
      <c r="AV35" s="27">
        <v>178</v>
      </c>
      <c r="AW35">
        <v>177</v>
      </c>
      <c r="AX35" s="18">
        <v>173</v>
      </c>
      <c r="AY35" s="27">
        <v>178</v>
      </c>
      <c r="AZ35">
        <v>176</v>
      </c>
      <c r="BA35" s="27">
        <v>177</v>
      </c>
      <c r="BB35" s="27">
        <v>192</v>
      </c>
      <c r="BC35" s="27">
        <v>192</v>
      </c>
      <c r="BD35" s="27">
        <v>190</v>
      </c>
      <c r="BE35" s="27">
        <v>189</v>
      </c>
      <c r="BF35" s="27">
        <v>174</v>
      </c>
      <c r="BG35" s="27">
        <v>192</v>
      </c>
      <c r="BH35">
        <v>175</v>
      </c>
    </row>
    <row r="36" spans="3:60">
      <c r="C36" s="33" t="s">
        <v>405</v>
      </c>
      <c r="D36" s="25">
        <v>-4.4330868870019913E-2</v>
      </c>
      <c r="E36" s="24">
        <v>2.6865145191550255E-2</v>
      </c>
      <c r="F36" s="26">
        <v>8.5993342101573944E-2</v>
      </c>
      <c r="G36" s="23">
        <v>-1.2078328290954232E-3</v>
      </c>
      <c r="H36" s="26">
        <v>0.1473986804485321</v>
      </c>
      <c r="I36" s="26">
        <v>9.0539343655109406E-2</v>
      </c>
      <c r="J36" s="26">
        <v>9.0893641114234924E-2</v>
      </c>
      <c r="K36" s="26">
        <v>-8.3821065723896027E-2</v>
      </c>
      <c r="L36" s="26">
        <v>0.10168484598398209</v>
      </c>
      <c r="M36" s="23">
        <v>-1.8183831125497818E-3</v>
      </c>
      <c r="N36" s="25">
        <v>5.0162076950073242E-2</v>
      </c>
      <c r="O36" s="26">
        <v>0.16845837235450745</v>
      </c>
      <c r="P36" s="25">
        <v>5.3723905235528946E-2</v>
      </c>
      <c r="Q36" s="26">
        <v>0.19686499238014221</v>
      </c>
      <c r="R36" s="26">
        <v>0.17971335351467133</v>
      </c>
      <c r="S36" s="25">
        <v>-3.6331895738840103E-2</v>
      </c>
      <c r="T36" s="24">
        <v>-2.5942312553524971E-2</v>
      </c>
      <c r="U36" s="26">
        <v>-8.5158072412014008E-2</v>
      </c>
      <c r="V36" s="23">
        <v>1.4437787467613816E-3</v>
      </c>
      <c r="W36" s="23">
        <v>4.5396169298328459E-4</v>
      </c>
      <c r="X36" s="26">
        <v>0.12298448383808136</v>
      </c>
      <c r="Y36" s="23">
        <v>-1.4860592782497406E-2</v>
      </c>
      <c r="Z36" s="26">
        <v>5.6281786412000656E-2</v>
      </c>
      <c r="AA36" s="26">
        <v>0.10784735530614853</v>
      </c>
      <c r="AB36" s="26">
        <v>5.7626821100711823E-2</v>
      </c>
      <c r="AC36" s="26">
        <v>5.9290308505296707E-2</v>
      </c>
      <c r="AD36" s="30"/>
      <c r="AE36">
        <v>192</v>
      </c>
      <c r="AF36">
        <v>192</v>
      </c>
      <c r="AG36" s="18">
        <v>192</v>
      </c>
      <c r="AH36">
        <v>192</v>
      </c>
      <c r="AI36" s="27">
        <v>192</v>
      </c>
      <c r="AJ36" s="27">
        <v>192</v>
      </c>
      <c r="AK36" s="27">
        <v>192</v>
      </c>
      <c r="AL36" s="27">
        <v>192</v>
      </c>
      <c r="AM36" s="27">
        <v>192</v>
      </c>
      <c r="AN36">
        <v>192</v>
      </c>
      <c r="AO36">
        <v>189</v>
      </c>
      <c r="AP36" s="27">
        <v>192</v>
      </c>
      <c r="AQ36" s="17">
        <v>192</v>
      </c>
      <c r="AR36">
        <v>192</v>
      </c>
      <c r="AS36" s="27">
        <v>192</v>
      </c>
      <c r="AT36" s="27">
        <v>192</v>
      </c>
      <c r="AU36" s="27">
        <v>178</v>
      </c>
      <c r="AV36" s="27">
        <v>178</v>
      </c>
      <c r="AW36" s="17">
        <v>177</v>
      </c>
      <c r="AX36">
        <v>173</v>
      </c>
      <c r="AY36" s="27">
        <v>178</v>
      </c>
      <c r="AZ36">
        <v>176</v>
      </c>
      <c r="BA36" s="17">
        <v>177</v>
      </c>
      <c r="BB36">
        <v>192</v>
      </c>
      <c r="BC36" s="17">
        <v>192</v>
      </c>
      <c r="BD36" s="18">
        <v>190</v>
      </c>
      <c r="BE36" s="27">
        <v>189</v>
      </c>
      <c r="BF36" s="27">
        <v>174</v>
      </c>
      <c r="BG36" s="27">
        <v>192</v>
      </c>
      <c r="BH36">
        <v>175</v>
      </c>
    </row>
    <row r="37" spans="3:60">
      <c r="C37" s="33" t="s">
        <v>406</v>
      </c>
      <c r="D37" s="23">
        <v>-1.7134476453065872E-2</v>
      </c>
      <c r="E37" s="23">
        <v>-1.1052528861910105E-3</v>
      </c>
      <c r="F37" s="23">
        <v>-1.4105410082265735E-3</v>
      </c>
      <c r="G37" s="23">
        <v>-1.0453862138092518E-2</v>
      </c>
      <c r="H37" s="23">
        <v>-5.9222206473350525E-3</v>
      </c>
      <c r="I37" s="23">
        <v>-1.9069148227572441E-2</v>
      </c>
      <c r="J37" s="24">
        <v>-2.1828684955835342E-2</v>
      </c>
      <c r="K37" s="23">
        <v>3.5120185930281878E-3</v>
      </c>
      <c r="L37" s="23">
        <v>6.6774908918887377E-4</v>
      </c>
      <c r="M37" s="23">
        <v>-1.7500963294878602E-3</v>
      </c>
      <c r="N37" s="23">
        <v>7.2520584799349308E-3</v>
      </c>
      <c r="O37" s="23">
        <v>-7.7294104266911745E-4</v>
      </c>
      <c r="P37" s="23">
        <v>8.4451522752715391E-7</v>
      </c>
      <c r="Q37" s="23">
        <v>1.0476404801011086E-2</v>
      </c>
      <c r="R37" s="23">
        <v>1.9835911225527525E-3</v>
      </c>
      <c r="S37" s="23">
        <v>1.3774950957667897E-6</v>
      </c>
      <c r="T37" s="23">
        <v>-1.0142140090465546E-2</v>
      </c>
      <c r="U37" s="23">
        <v>-2.6801512576639652E-3</v>
      </c>
      <c r="V37" s="23">
        <v>1.2913498794659972E-3</v>
      </c>
      <c r="W37" s="24">
        <v>-2.207450196146965E-2</v>
      </c>
      <c r="X37" s="23">
        <v>1.1125426972284913E-3</v>
      </c>
      <c r="Y37" s="25">
        <v>4.9776516854763031E-2</v>
      </c>
      <c r="Z37" s="24">
        <v>2.2916235029697418E-2</v>
      </c>
      <c r="AA37" s="23">
        <v>3.1453429255634546E-4</v>
      </c>
      <c r="AB37" s="23">
        <v>-2.7405326254665852E-3</v>
      </c>
      <c r="AC37" s="23">
        <v>-1.0880193440243602E-4</v>
      </c>
      <c r="AD37" s="23">
        <v>-8.315390907227993E-3</v>
      </c>
      <c r="AE37" s="30"/>
      <c r="AF37" s="18">
        <v>192</v>
      </c>
      <c r="AG37">
        <v>192</v>
      </c>
      <c r="AH37">
        <v>192</v>
      </c>
      <c r="AI37">
        <v>192</v>
      </c>
      <c r="AJ37">
        <v>192</v>
      </c>
      <c r="AK37">
        <v>192</v>
      </c>
      <c r="AL37">
        <v>192</v>
      </c>
      <c r="AM37">
        <v>192</v>
      </c>
      <c r="AN37">
        <v>192</v>
      </c>
      <c r="AO37">
        <v>189</v>
      </c>
      <c r="AP37">
        <v>192</v>
      </c>
      <c r="AQ37">
        <v>192</v>
      </c>
      <c r="AR37">
        <v>192</v>
      </c>
      <c r="AS37">
        <v>192</v>
      </c>
      <c r="AT37">
        <v>192</v>
      </c>
      <c r="AU37">
        <v>178</v>
      </c>
      <c r="AV37">
        <v>178</v>
      </c>
      <c r="AW37">
        <v>177</v>
      </c>
      <c r="AX37">
        <v>173</v>
      </c>
      <c r="AY37">
        <v>178</v>
      </c>
      <c r="AZ37">
        <v>176</v>
      </c>
      <c r="BA37">
        <v>177</v>
      </c>
      <c r="BB37">
        <v>192</v>
      </c>
      <c r="BC37">
        <v>192</v>
      </c>
      <c r="BD37">
        <v>190</v>
      </c>
      <c r="BE37">
        <v>189</v>
      </c>
      <c r="BF37">
        <v>174</v>
      </c>
      <c r="BG37">
        <v>192</v>
      </c>
      <c r="BH37">
        <v>175</v>
      </c>
    </row>
    <row r="38" spans="3:60">
      <c r="C38" s="33" t="s">
        <v>407</v>
      </c>
      <c r="D38" s="26">
        <v>9.2490918934345245E-2</v>
      </c>
      <c r="E38" s="23">
        <v>1.3385430909693241E-2</v>
      </c>
      <c r="F38" s="26">
        <v>-7.9306699335575104E-2</v>
      </c>
      <c r="G38" s="23">
        <v>3.5350315738469362E-3</v>
      </c>
      <c r="H38" s="25">
        <v>4.4148996472358704E-2</v>
      </c>
      <c r="I38" s="23">
        <v>1.415634248405695E-2</v>
      </c>
      <c r="J38" s="26">
        <v>0.17213672399520874</v>
      </c>
      <c r="K38" s="26">
        <v>-9.4516739249229431E-2</v>
      </c>
      <c r="L38" s="25">
        <v>-5.3350683301687241E-2</v>
      </c>
      <c r="M38" s="23">
        <v>-2.8852017130702734E-3</v>
      </c>
      <c r="N38" s="24">
        <v>-2.9568754136562347E-2</v>
      </c>
      <c r="O38" s="23">
        <v>-1.0637777158990502E-3</v>
      </c>
      <c r="P38" s="23">
        <v>-1.4231652952730656E-2</v>
      </c>
      <c r="Q38" s="23">
        <v>5.0017738249152899E-4</v>
      </c>
      <c r="R38" s="23">
        <v>1.0062517685582861E-4</v>
      </c>
      <c r="S38" s="25">
        <v>4.7861017286777496E-2</v>
      </c>
      <c r="T38" s="25">
        <v>3.8142509758472443E-2</v>
      </c>
      <c r="U38" s="26">
        <v>5.9438373893499374E-2</v>
      </c>
      <c r="V38" s="23">
        <v>-3.5756207071244717E-3</v>
      </c>
      <c r="W38" s="26">
        <v>0.16555702686309814</v>
      </c>
      <c r="X38" s="23">
        <v>-1.5880893915891647E-2</v>
      </c>
      <c r="Y38" s="26">
        <v>-0.13114325702190399</v>
      </c>
      <c r="Z38" s="25">
        <v>-4.7251980751752853E-2</v>
      </c>
      <c r="AA38" s="25">
        <v>-3.3858615905046463E-2</v>
      </c>
      <c r="AB38" s="25">
        <v>4.3558236211538315E-2</v>
      </c>
      <c r="AC38" s="24">
        <v>-2.7666663751006126E-2</v>
      </c>
      <c r="AD38" s="23">
        <v>6.2771630473434925E-3</v>
      </c>
      <c r="AE38" s="25">
        <v>-4.8582673072814941E-2</v>
      </c>
      <c r="AF38" s="30"/>
      <c r="AG38" s="18">
        <v>192</v>
      </c>
      <c r="AH38">
        <v>192</v>
      </c>
      <c r="AI38">
        <v>192</v>
      </c>
      <c r="AJ38" s="17">
        <v>192</v>
      </c>
      <c r="AK38">
        <v>192</v>
      </c>
      <c r="AL38">
        <v>192</v>
      </c>
      <c r="AM38">
        <v>192</v>
      </c>
      <c r="AN38" s="27">
        <v>192</v>
      </c>
      <c r="AO38" s="27">
        <v>189</v>
      </c>
      <c r="AP38" s="18">
        <v>192</v>
      </c>
      <c r="AQ38">
        <v>192</v>
      </c>
      <c r="AR38" s="17">
        <v>192</v>
      </c>
      <c r="AS38" s="17">
        <v>192</v>
      </c>
      <c r="AT38">
        <v>192</v>
      </c>
      <c r="AU38" s="17">
        <v>178</v>
      </c>
      <c r="AV38">
        <v>178</v>
      </c>
      <c r="AW38">
        <v>177</v>
      </c>
      <c r="AX38">
        <v>173</v>
      </c>
      <c r="AY38">
        <v>178</v>
      </c>
      <c r="AZ38">
        <v>176</v>
      </c>
      <c r="BA38">
        <v>177</v>
      </c>
      <c r="BB38" s="27">
        <v>192</v>
      </c>
      <c r="BC38" s="17">
        <v>192</v>
      </c>
      <c r="BD38" s="18">
        <v>190</v>
      </c>
      <c r="BE38">
        <v>189</v>
      </c>
      <c r="BF38" s="17">
        <v>174</v>
      </c>
      <c r="BG38" s="18">
        <v>192</v>
      </c>
      <c r="BH38" s="17">
        <v>175</v>
      </c>
    </row>
    <row r="39" spans="3:60">
      <c r="C39" s="33" t="s">
        <v>408</v>
      </c>
      <c r="D39" s="23">
        <v>1.4386953553184867E-3</v>
      </c>
      <c r="E39" s="25">
        <v>3.7120845168828964E-2</v>
      </c>
      <c r="F39" s="26">
        <v>0.3396638035774231</v>
      </c>
      <c r="G39" s="24">
        <v>2.8386954218149185E-2</v>
      </c>
      <c r="H39" s="26">
        <v>0.16636751592159271</v>
      </c>
      <c r="I39" s="26">
        <v>0.23062397539615631</v>
      </c>
      <c r="J39" s="23">
        <v>4.8433323390781879E-3</v>
      </c>
      <c r="K39" s="23">
        <v>1.9656021147966385E-2</v>
      </c>
      <c r="L39" s="28">
        <v>0.5904163122177124</v>
      </c>
      <c r="M39" s="26">
        <v>6.9009579718112946E-2</v>
      </c>
      <c r="N39" s="26">
        <v>0.22084103524684906</v>
      </c>
      <c r="O39" s="26">
        <v>0.29872828722000122</v>
      </c>
      <c r="P39" s="26">
        <v>0.40494143962860107</v>
      </c>
      <c r="Q39" s="28">
        <v>0.63457953929901123</v>
      </c>
      <c r="R39" s="28">
        <v>0.63092821836471558</v>
      </c>
      <c r="S39" s="26">
        <v>-0.18759627640247345</v>
      </c>
      <c r="T39" s="28">
        <v>-0.52775275707244873</v>
      </c>
      <c r="U39" s="28">
        <v>-0.62883585691452026</v>
      </c>
      <c r="V39" s="23">
        <v>6.188628263771534E-3</v>
      </c>
      <c r="W39" s="24">
        <v>-2.2439215332269669E-2</v>
      </c>
      <c r="X39" s="26">
        <v>0.46077030897140503</v>
      </c>
      <c r="Y39" s="26">
        <v>-6.2155883759260178E-2</v>
      </c>
      <c r="Z39" s="28">
        <v>0.53455185890197754</v>
      </c>
      <c r="AA39" s="28">
        <v>0.54325008392333984</v>
      </c>
      <c r="AB39" s="26">
        <v>0.17856763303279877</v>
      </c>
      <c r="AC39" s="26">
        <v>0.29169207811355591</v>
      </c>
      <c r="AD39" s="25">
        <v>3.8034964352846146E-2</v>
      </c>
      <c r="AE39" s="23">
        <v>5.5571896955370903E-3</v>
      </c>
      <c r="AF39" s="25">
        <v>-4.6235118061304092E-2</v>
      </c>
      <c r="AG39" s="30"/>
      <c r="AH39" s="18">
        <v>192</v>
      </c>
      <c r="AI39" s="27">
        <v>192</v>
      </c>
      <c r="AJ39" s="27">
        <v>192</v>
      </c>
      <c r="AK39" s="29">
        <v>192</v>
      </c>
      <c r="AL39" s="27">
        <v>192</v>
      </c>
      <c r="AM39" s="27">
        <v>192</v>
      </c>
      <c r="AN39">
        <v>192</v>
      </c>
      <c r="AO39">
        <v>189</v>
      </c>
      <c r="AP39" s="27">
        <v>192</v>
      </c>
      <c r="AQ39">
        <v>192</v>
      </c>
      <c r="AR39" s="17">
        <v>192</v>
      </c>
      <c r="AS39" s="27">
        <v>192</v>
      </c>
      <c r="AT39" s="29">
        <v>192</v>
      </c>
      <c r="AU39" s="27">
        <v>178</v>
      </c>
      <c r="AV39" s="27">
        <v>178</v>
      </c>
      <c r="AW39">
        <v>177</v>
      </c>
      <c r="AX39" s="27">
        <v>173</v>
      </c>
      <c r="AY39" s="27">
        <v>178</v>
      </c>
      <c r="AZ39" s="27">
        <v>176</v>
      </c>
      <c r="BA39" s="27">
        <v>177</v>
      </c>
      <c r="BB39" s="27">
        <v>192</v>
      </c>
      <c r="BC39" s="27">
        <v>192</v>
      </c>
      <c r="BD39" s="27">
        <v>190</v>
      </c>
      <c r="BE39" s="29">
        <v>189</v>
      </c>
      <c r="BF39" s="27">
        <v>174</v>
      </c>
      <c r="BG39" s="27">
        <v>192</v>
      </c>
      <c r="BH39" s="27">
        <v>175</v>
      </c>
    </row>
    <row r="40" spans="3:60">
      <c r="C40" s="33" t="s">
        <v>409</v>
      </c>
      <c r="D40" s="25">
        <v>-5.4638281464576721E-2</v>
      </c>
      <c r="E40" s="24">
        <v>2.2359080612659454E-2</v>
      </c>
      <c r="F40" s="24">
        <v>3.4579318016767502E-2</v>
      </c>
      <c r="G40" s="26">
        <v>7.8676752746105194E-2</v>
      </c>
      <c r="H40" s="25">
        <v>3.7982050329446793E-2</v>
      </c>
      <c r="I40" s="26">
        <v>6.6975697875022888E-2</v>
      </c>
      <c r="J40" s="23">
        <v>7.2722695767879486E-3</v>
      </c>
      <c r="K40" s="23">
        <v>4.5625269412994385E-3</v>
      </c>
      <c r="L40" s="23">
        <v>1.4622126705944538E-2</v>
      </c>
      <c r="M40" s="24">
        <v>2.1151270717382431E-2</v>
      </c>
      <c r="N40" s="23">
        <v>-2.6895856990449829E-6</v>
      </c>
      <c r="O40" s="23">
        <v>2.3627810180187225E-2</v>
      </c>
      <c r="P40" s="24">
        <v>2.8143033385276794E-2</v>
      </c>
      <c r="Q40" s="26">
        <v>6.5252497792243958E-2</v>
      </c>
      <c r="R40" s="26">
        <v>6.789785623550415E-2</v>
      </c>
      <c r="S40" s="25">
        <v>-5.2070807665586472E-2</v>
      </c>
      <c r="T40" s="26">
        <v>-7.1865737438201904E-2</v>
      </c>
      <c r="U40" s="24">
        <v>-3.04095558822155E-2</v>
      </c>
      <c r="V40" s="23">
        <v>2.6813331714947708E-5</v>
      </c>
      <c r="W40" s="23">
        <v>-2.0765792578458786E-3</v>
      </c>
      <c r="X40" s="23">
        <v>1.5749111771583557E-2</v>
      </c>
      <c r="Y40" s="23">
        <v>-1.0747729800641537E-2</v>
      </c>
      <c r="Z40" s="23">
        <v>6.4087691716849804E-3</v>
      </c>
      <c r="AA40" s="24">
        <v>2.1149763837456703E-2</v>
      </c>
      <c r="AB40" s="23">
        <v>2.3605574388056993E-3</v>
      </c>
      <c r="AC40" s="23">
        <v>1.8354935571551323E-2</v>
      </c>
      <c r="AD40" s="23">
        <v>3.7287213490344584E-4</v>
      </c>
      <c r="AE40" s="23">
        <v>1.8354562344029546E-3</v>
      </c>
      <c r="AF40" s="23">
        <v>-1.178819453343749E-3</v>
      </c>
      <c r="AG40" s="25">
        <v>3.5959102213382721E-2</v>
      </c>
      <c r="AH40" s="30"/>
      <c r="AI40">
        <v>192</v>
      </c>
      <c r="AJ40" s="17">
        <v>192</v>
      </c>
      <c r="AK40">
        <v>192</v>
      </c>
      <c r="AL40">
        <v>192</v>
      </c>
      <c r="AM40">
        <v>192</v>
      </c>
      <c r="AN40">
        <v>192</v>
      </c>
      <c r="AO40" s="17">
        <v>189</v>
      </c>
      <c r="AP40">
        <v>192</v>
      </c>
      <c r="AQ40">
        <v>192</v>
      </c>
      <c r="AR40">
        <v>192</v>
      </c>
      <c r="AS40" s="18">
        <v>192</v>
      </c>
      <c r="AT40" s="18">
        <v>192</v>
      </c>
      <c r="AU40">
        <v>178</v>
      </c>
      <c r="AV40" s="17">
        <v>178</v>
      </c>
      <c r="AW40">
        <v>177</v>
      </c>
      <c r="AX40">
        <v>173</v>
      </c>
      <c r="AY40" s="18">
        <v>178</v>
      </c>
      <c r="AZ40" s="17">
        <v>176</v>
      </c>
      <c r="BA40" s="27">
        <v>177</v>
      </c>
      <c r="BB40">
        <v>192</v>
      </c>
      <c r="BC40" s="17">
        <v>192</v>
      </c>
      <c r="BD40" s="18">
        <v>190</v>
      </c>
      <c r="BE40" s="27">
        <v>189</v>
      </c>
      <c r="BF40">
        <v>174</v>
      </c>
      <c r="BG40" s="17">
        <v>192</v>
      </c>
      <c r="BH40">
        <v>175</v>
      </c>
    </row>
    <row r="41" spans="3:60">
      <c r="C41" s="33" t="s">
        <v>410</v>
      </c>
      <c r="D41" s="23">
        <v>1.0305203497409821E-2</v>
      </c>
      <c r="E41" s="23">
        <v>9.6687739714980125E-3</v>
      </c>
      <c r="F41" s="26">
        <v>0.33416497707366943</v>
      </c>
      <c r="G41" s="26">
        <v>6.722472608089447E-2</v>
      </c>
      <c r="H41" s="26">
        <v>0.26580959558486938</v>
      </c>
      <c r="I41" s="26">
        <v>0.27983897924423218</v>
      </c>
      <c r="J41" s="23">
        <v>2.0166916772723198E-2</v>
      </c>
      <c r="K41" s="23">
        <v>1.097551267594099E-2</v>
      </c>
      <c r="L41" s="26">
        <v>0.47530853748321533</v>
      </c>
      <c r="M41" s="26">
        <v>7.7656745910644531E-2</v>
      </c>
      <c r="N41" s="26">
        <v>0.26624777913093567</v>
      </c>
      <c r="O41" s="26">
        <v>0.40586480498313904</v>
      </c>
      <c r="P41" s="26">
        <v>0.40138521790504456</v>
      </c>
      <c r="Q41" s="28">
        <v>0.5433318018913269</v>
      </c>
      <c r="R41" s="28">
        <v>0.58631438016891479</v>
      </c>
      <c r="S41" s="26">
        <v>-0.34448093175888062</v>
      </c>
      <c r="T41" s="26">
        <v>-0.32642173767089844</v>
      </c>
      <c r="U41" s="28">
        <v>-0.54464191198348999</v>
      </c>
      <c r="V41" s="23">
        <v>3.3546661143191159E-4</v>
      </c>
      <c r="W41" s="23">
        <v>-5.4962332360446453E-3</v>
      </c>
      <c r="X41" s="26">
        <v>0.33513236045837402</v>
      </c>
      <c r="Y41" s="26">
        <v>-0.2239336371421814</v>
      </c>
      <c r="Z41" s="26">
        <v>0.24049121141433716</v>
      </c>
      <c r="AA41" s="26">
        <v>0.43216866254806519</v>
      </c>
      <c r="AB41" s="26">
        <v>0.33363884687423706</v>
      </c>
      <c r="AC41" s="26">
        <v>0.30884066224098206</v>
      </c>
      <c r="AD41" s="26">
        <v>5.9614941477775574E-2</v>
      </c>
      <c r="AE41" s="23">
        <v>-1.047811284661293E-2</v>
      </c>
      <c r="AF41" s="23">
        <v>2.3630894720554352E-3</v>
      </c>
      <c r="AG41" s="26">
        <v>0.36276814341545105</v>
      </c>
      <c r="AH41" s="23">
        <v>1.6714783385396004E-2</v>
      </c>
      <c r="AI41" s="30"/>
      <c r="AJ41" s="27">
        <v>192</v>
      </c>
      <c r="AK41" s="27">
        <v>192</v>
      </c>
      <c r="AL41" s="27">
        <v>192</v>
      </c>
      <c r="AM41" s="27">
        <v>192</v>
      </c>
      <c r="AN41">
        <v>192</v>
      </c>
      <c r="AO41">
        <v>189</v>
      </c>
      <c r="AP41" s="27">
        <v>192</v>
      </c>
      <c r="AQ41" s="17">
        <v>192</v>
      </c>
      <c r="AR41">
        <v>192</v>
      </c>
      <c r="AS41" s="27">
        <v>192</v>
      </c>
      <c r="AT41" s="29">
        <v>192</v>
      </c>
      <c r="AU41" s="27">
        <v>178</v>
      </c>
      <c r="AV41" s="27">
        <v>178</v>
      </c>
      <c r="AW41">
        <v>177</v>
      </c>
      <c r="AX41" s="27">
        <v>173</v>
      </c>
      <c r="AY41" s="27">
        <v>178</v>
      </c>
      <c r="AZ41" s="17">
        <v>176</v>
      </c>
      <c r="BA41" s="27">
        <v>177</v>
      </c>
      <c r="BB41" s="27">
        <v>192</v>
      </c>
      <c r="BC41" s="27">
        <v>192</v>
      </c>
      <c r="BD41" s="27">
        <v>190</v>
      </c>
      <c r="BE41" s="27">
        <v>189</v>
      </c>
      <c r="BF41" s="29">
        <v>174</v>
      </c>
      <c r="BG41" s="27">
        <v>192</v>
      </c>
      <c r="BH41">
        <v>175</v>
      </c>
    </row>
    <row r="42" spans="3:60">
      <c r="C42" s="33" t="s">
        <v>411</v>
      </c>
      <c r="D42" s="23">
        <v>-8.9919120073318481E-3</v>
      </c>
      <c r="E42" s="23">
        <v>8.6799860000610352E-3</v>
      </c>
      <c r="F42" s="26">
        <v>0.36217963695526123</v>
      </c>
      <c r="G42" s="23">
        <v>3.1304191797971725E-3</v>
      </c>
      <c r="H42" s="26">
        <v>0.21080470085144043</v>
      </c>
      <c r="I42" s="26">
        <v>0.16714590787887573</v>
      </c>
      <c r="J42" s="24">
        <v>2.3413203656673431E-2</v>
      </c>
      <c r="K42" s="23">
        <v>-1.8401434645056725E-3</v>
      </c>
      <c r="L42" s="28">
        <v>0.59575814008712769</v>
      </c>
      <c r="M42" s="23">
        <v>1.019111555069685E-2</v>
      </c>
      <c r="N42" s="26">
        <v>0.25616350769996643</v>
      </c>
      <c r="O42" s="26">
        <v>0.42616686224937439</v>
      </c>
      <c r="P42" s="26">
        <v>0.33671090006828308</v>
      </c>
      <c r="Q42" s="28">
        <v>0.70355898141860962</v>
      </c>
      <c r="R42" s="28">
        <v>0.63852715492248535</v>
      </c>
      <c r="S42" s="26">
        <v>-0.20355519652366638</v>
      </c>
      <c r="T42" s="26">
        <v>-0.26863852143287659</v>
      </c>
      <c r="U42" s="28">
        <v>-0.68613439798355103</v>
      </c>
      <c r="V42" s="23">
        <v>1.1844785884022713E-2</v>
      </c>
      <c r="W42" s="25">
        <v>-3.6533169448375702E-2</v>
      </c>
      <c r="X42" s="28">
        <v>0.53993886709213257</v>
      </c>
      <c r="Y42" s="25">
        <v>-5.1709827035665512E-2</v>
      </c>
      <c r="Z42" s="26">
        <v>0.47457727789878845</v>
      </c>
      <c r="AA42" s="28">
        <v>0.54820233583450317</v>
      </c>
      <c r="AB42" s="26">
        <v>0.18588791787624359</v>
      </c>
      <c r="AC42" s="26">
        <v>0.33966213464736938</v>
      </c>
      <c r="AD42" s="26">
        <v>0.22695921361446381</v>
      </c>
      <c r="AE42" s="23">
        <v>6.1869355849921703E-3</v>
      </c>
      <c r="AF42" s="24">
        <v>-2.4033842608332634E-2</v>
      </c>
      <c r="AG42" s="26">
        <v>0.41006475687026978</v>
      </c>
      <c r="AH42" s="24">
        <v>2.2694172337651253E-2</v>
      </c>
      <c r="AI42" s="26">
        <v>0.38661983609199524</v>
      </c>
      <c r="AJ42" s="30"/>
      <c r="AK42" s="29">
        <v>192</v>
      </c>
      <c r="AL42" s="27">
        <v>192</v>
      </c>
      <c r="AM42" s="29">
        <v>192</v>
      </c>
      <c r="AN42">
        <v>192</v>
      </c>
      <c r="AO42">
        <v>189</v>
      </c>
      <c r="AP42" s="29">
        <v>192</v>
      </c>
      <c r="AQ42">
        <v>192</v>
      </c>
      <c r="AR42">
        <v>192</v>
      </c>
      <c r="AS42" s="27">
        <v>192</v>
      </c>
      <c r="AT42" s="29">
        <v>192</v>
      </c>
      <c r="AU42" s="27">
        <v>178</v>
      </c>
      <c r="AV42" s="27">
        <v>178</v>
      </c>
      <c r="AW42">
        <v>177</v>
      </c>
      <c r="AX42" s="27">
        <v>173</v>
      </c>
      <c r="AY42" s="27">
        <v>178</v>
      </c>
      <c r="AZ42">
        <v>176</v>
      </c>
      <c r="BA42" s="27">
        <v>177</v>
      </c>
      <c r="BB42" s="27">
        <v>192</v>
      </c>
      <c r="BC42" s="27">
        <v>192</v>
      </c>
      <c r="BD42" s="27">
        <v>190</v>
      </c>
      <c r="BE42" s="27">
        <v>189</v>
      </c>
      <c r="BF42" s="27">
        <v>174</v>
      </c>
      <c r="BG42" s="27">
        <v>192</v>
      </c>
      <c r="BH42">
        <v>175</v>
      </c>
    </row>
    <row r="43" spans="3:60">
      <c r="C43" s="33" t="s">
        <v>412</v>
      </c>
      <c r="D43" s="23">
        <v>-1.4880102826282382E-3</v>
      </c>
      <c r="E43" s="23">
        <v>4.4364863424561918E-4</v>
      </c>
      <c r="F43" s="26">
        <v>0.36241361498832703</v>
      </c>
      <c r="G43" s="23">
        <v>1.9123658537864685E-2</v>
      </c>
      <c r="H43" s="26">
        <v>0.16548512876033783</v>
      </c>
      <c r="I43" s="26">
        <v>0.15956461429595947</v>
      </c>
      <c r="J43" s="23">
        <v>9.3761086463928223E-3</v>
      </c>
      <c r="K43" s="23">
        <v>9.0404395014047623E-3</v>
      </c>
      <c r="L43" s="28">
        <v>0.72417789697647095</v>
      </c>
      <c r="M43" s="25">
        <v>3.8438815623521805E-2</v>
      </c>
      <c r="N43" s="26">
        <v>0.25699523091316223</v>
      </c>
      <c r="O43" s="26">
        <v>0.31069168448448181</v>
      </c>
      <c r="P43" s="26">
        <v>0.43323981761932373</v>
      </c>
      <c r="Q43" s="28">
        <v>0.76196658611297607</v>
      </c>
      <c r="R43" s="28">
        <v>0.69951844215393066</v>
      </c>
      <c r="S43" s="26">
        <v>-0.19670458137989044</v>
      </c>
      <c r="T43" s="26">
        <v>-0.39405903220176697</v>
      </c>
      <c r="U43" s="28">
        <v>-0.72963708639144897</v>
      </c>
      <c r="V43" s="23">
        <v>6.7953369580209255E-3</v>
      </c>
      <c r="W43" s="26">
        <v>-6.8934343755245209E-2</v>
      </c>
      <c r="X43" s="28">
        <v>0.52534061670303345</v>
      </c>
      <c r="Y43" s="26">
        <v>-0.12561191618442535</v>
      </c>
      <c r="Z43" s="28">
        <v>0.51932793855667114</v>
      </c>
      <c r="AA43" s="28">
        <v>0.67169946432113647</v>
      </c>
      <c r="AB43" s="26">
        <v>0.29575720429420471</v>
      </c>
      <c r="AC43" s="26">
        <v>0.2879709005355835</v>
      </c>
      <c r="AD43" s="26">
        <v>0.14736245572566986</v>
      </c>
      <c r="AE43" s="23">
        <v>3.1555790337733924E-4</v>
      </c>
      <c r="AF43" s="23">
        <v>-1.7030706629157066E-2</v>
      </c>
      <c r="AG43" s="28">
        <v>0.53945338726043701</v>
      </c>
      <c r="AH43" s="23">
        <v>1.1227190494537354E-2</v>
      </c>
      <c r="AI43" s="26">
        <v>0.49449422955513</v>
      </c>
      <c r="AJ43" s="28">
        <v>0.7380671501159668</v>
      </c>
      <c r="AK43" s="30"/>
      <c r="AL43" s="27">
        <v>192</v>
      </c>
      <c r="AM43" s="29">
        <v>192</v>
      </c>
      <c r="AN43">
        <v>192</v>
      </c>
      <c r="AO43">
        <v>189</v>
      </c>
      <c r="AP43" s="29">
        <v>192</v>
      </c>
      <c r="AQ43">
        <v>192</v>
      </c>
      <c r="AR43">
        <v>192</v>
      </c>
      <c r="AS43" s="27">
        <v>192</v>
      </c>
      <c r="AT43" s="29">
        <v>192</v>
      </c>
      <c r="AU43" s="27">
        <v>178</v>
      </c>
      <c r="AV43" s="27">
        <v>178</v>
      </c>
      <c r="AW43">
        <v>177</v>
      </c>
      <c r="AX43" s="27">
        <v>173</v>
      </c>
      <c r="AY43" s="27">
        <v>178</v>
      </c>
      <c r="AZ43">
        <v>176</v>
      </c>
      <c r="BA43" s="27">
        <v>177</v>
      </c>
      <c r="BB43" s="27">
        <v>192</v>
      </c>
      <c r="BC43" s="27">
        <v>192</v>
      </c>
      <c r="BD43" s="27">
        <v>190</v>
      </c>
      <c r="BE43" s="27">
        <v>189</v>
      </c>
      <c r="BF43" s="29">
        <v>174</v>
      </c>
      <c r="BG43" s="27">
        <v>192</v>
      </c>
      <c r="BH43" s="17">
        <v>175</v>
      </c>
    </row>
    <row r="44" spans="3:60">
      <c r="C44" s="33" t="s">
        <v>413</v>
      </c>
      <c r="D44" s="23">
        <v>-8.9063896666630171E-6</v>
      </c>
      <c r="E44" s="23">
        <v>6.8672294728457928E-3</v>
      </c>
      <c r="F44" s="26">
        <v>0.25604665279388428</v>
      </c>
      <c r="G44" s="23">
        <v>4.6384003944694996E-3</v>
      </c>
      <c r="H44" s="26">
        <v>0.1277364045381546</v>
      </c>
      <c r="I44" s="26">
        <v>0.14621959626674652</v>
      </c>
      <c r="J44" s="25">
        <v>4.3937221169471741E-2</v>
      </c>
      <c r="K44" s="23">
        <v>-3.1667829025536776E-3</v>
      </c>
      <c r="L44" s="26">
        <v>0.41227325797080994</v>
      </c>
      <c r="M44" s="23">
        <v>1.7217166721820831E-2</v>
      </c>
      <c r="N44" s="26">
        <v>0.12029401212930679</v>
      </c>
      <c r="O44" s="26">
        <v>0.19099800288677216</v>
      </c>
      <c r="P44" s="26">
        <v>0.21868115663528442</v>
      </c>
      <c r="Q44" s="26">
        <v>0.43587544560432434</v>
      </c>
      <c r="R44" s="26">
        <v>0.42022594809532166</v>
      </c>
      <c r="S44" s="26">
        <v>-0.10978608578443527</v>
      </c>
      <c r="T44" s="26">
        <v>-0.22160814702510834</v>
      </c>
      <c r="U44" s="26">
        <v>-0.40176036953926086</v>
      </c>
      <c r="V44" s="23">
        <v>-1.3574672266258858E-5</v>
      </c>
      <c r="W44" s="24">
        <v>-2.3395463824272156E-2</v>
      </c>
      <c r="X44" s="26">
        <v>0.26306474208831787</v>
      </c>
      <c r="Y44" s="26">
        <v>-7.1747176349163055E-2</v>
      </c>
      <c r="Z44" s="26">
        <v>0.23466236889362335</v>
      </c>
      <c r="AA44" s="26">
        <v>0.35843110084533691</v>
      </c>
      <c r="AB44" s="25">
        <v>4.4277597218751907E-2</v>
      </c>
      <c r="AC44" s="26">
        <v>0.21921704709529877</v>
      </c>
      <c r="AD44" s="26">
        <v>0.14645226299762726</v>
      </c>
      <c r="AE44" s="23">
        <v>7.8106495493557304E-6</v>
      </c>
      <c r="AF44" s="23">
        <v>-3.7124874070286751E-3</v>
      </c>
      <c r="AG44" s="26">
        <v>0.18346971273422241</v>
      </c>
      <c r="AH44" s="23">
        <v>1.970302127301693E-2</v>
      </c>
      <c r="AI44" s="26">
        <v>0.20906504988670349</v>
      </c>
      <c r="AJ44" s="26">
        <v>0.39125588536262512</v>
      </c>
      <c r="AK44" s="26">
        <v>0.3734937310218811</v>
      </c>
      <c r="AL44" s="30"/>
      <c r="AM44" s="27">
        <v>192</v>
      </c>
      <c r="AN44">
        <v>192</v>
      </c>
      <c r="AO44">
        <v>189</v>
      </c>
      <c r="AP44" s="27">
        <v>192</v>
      </c>
      <c r="AQ44">
        <v>192</v>
      </c>
      <c r="AR44">
        <v>192</v>
      </c>
      <c r="AS44" s="27">
        <v>192</v>
      </c>
      <c r="AT44" s="27">
        <v>192</v>
      </c>
      <c r="AU44" s="27">
        <v>178</v>
      </c>
      <c r="AV44" s="27">
        <v>178</v>
      </c>
      <c r="AW44">
        <v>177</v>
      </c>
      <c r="AX44">
        <v>173</v>
      </c>
      <c r="AY44" s="27">
        <v>178</v>
      </c>
      <c r="AZ44">
        <v>176</v>
      </c>
      <c r="BA44" s="18">
        <v>177</v>
      </c>
      <c r="BB44" s="17">
        <v>192</v>
      </c>
      <c r="BC44" s="18">
        <v>192</v>
      </c>
      <c r="BD44" s="27">
        <v>190</v>
      </c>
      <c r="BE44" s="27">
        <v>189</v>
      </c>
      <c r="BF44" s="27">
        <v>174</v>
      </c>
      <c r="BG44" s="27">
        <v>192</v>
      </c>
      <c r="BH44">
        <v>175</v>
      </c>
    </row>
    <row r="45" spans="3:60">
      <c r="C45" s="33" t="s">
        <v>414</v>
      </c>
      <c r="D45" s="23">
        <v>-2.9081781394779682E-3</v>
      </c>
      <c r="E45" s="23">
        <v>1.0865989606827497E-3</v>
      </c>
      <c r="F45" s="26">
        <v>0.32977461814880371</v>
      </c>
      <c r="G45" s="23">
        <v>2.3916861973702908E-3</v>
      </c>
      <c r="H45" s="26">
        <v>0.15515853464603424</v>
      </c>
      <c r="I45" s="26">
        <v>0.14240512251853943</v>
      </c>
      <c r="J45" s="25">
        <v>4.1156839579343796E-2</v>
      </c>
      <c r="K45" s="23">
        <v>1.8529042790760286E-5</v>
      </c>
      <c r="L45" s="28">
        <v>0.55439740419387817</v>
      </c>
      <c r="M45" s="23">
        <v>4.6886736527085304E-3</v>
      </c>
      <c r="N45" s="26">
        <v>0.21406812965869904</v>
      </c>
      <c r="O45" s="26">
        <v>0.24098360538482666</v>
      </c>
      <c r="P45" s="26">
        <v>0.29064068198204041</v>
      </c>
      <c r="Q45" s="28">
        <v>0.64858728647232056</v>
      </c>
      <c r="R45" s="28">
        <v>0.5769006609916687</v>
      </c>
      <c r="S45" s="26">
        <v>-0.13596323132514954</v>
      </c>
      <c r="T45" s="26">
        <v>-0.24257968366146088</v>
      </c>
      <c r="U45" s="28">
        <v>-0.5650516152381897</v>
      </c>
      <c r="V45" s="23">
        <v>1.7152579501271248E-2</v>
      </c>
      <c r="W45" s="24">
        <v>-2.7831045910716057E-2</v>
      </c>
      <c r="X45" s="28">
        <v>0.51344728469848633</v>
      </c>
      <c r="Y45" s="26">
        <v>-0.10680826753377914</v>
      </c>
      <c r="Z45" s="26">
        <v>0.49678757786750793</v>
      </c>
      <c r="AA45" s="26">
        <v>0.48880693316459656</v>
      </c>
      <c r="AB45" s="26">
        <v>0.14798501133918762</v>
      </c>
      <c r="AC45" s="26">
        <v>0.28976726531982422</v>
      </c>
      <c r="AD45" s="26">
        <v>0.20799754559993744</v>
      </c>
      <c r="AE45" s="23">
        <v>-6.3302148191723973E-5</v>
      </c>
      <c r="AF45" s="23">
        <v>-1.1897697113454342E-2</v>
      </c>
      <c r="AG45" s="26">
        <v>0.45493888854980469</v>
      </c>
      <c r="AH45" s="23">
        <v>4.7178301028907299E-3</v>
      </c>
      <c r="AI45" s="26">
        <v>0.34903562068939209</v>
      </c>
      <c r="AJ45" s="28">
        <v>0.63594770431518555</v>
      </c>
      <c r="AK45" s="28">
        <v>0.62761527299880981</v>
      </c>
      <c r="AL45" s="26">
        <v>0.3955114483833313</v>
      </c>
      <c r="AM45" s="30"/>
      <c r="AN45">
        <v>192</v>
      </c>
      <c r="AO45">
        <v>189</v>
      </c>
      <c r="AP45" s="29">
        <v>192</v>
      </c>
      <c r="AQ45">
        <v>192</v>
      </c>
      <c r="AR45">
        <v>192</v>
      </c>
      <c r="AS45" s="27">
        <v>192</v>
      </c>
      <c r="AT45" s="29">
        <v>192</v>
      </c>
      <c r="AU45" s="27">
        <v>178</v>
      </c>
      <c r="AV45" s="27">
        <v>178</v>
      </c>
      <c r="AW45">
        <v>177</v>
      </c>
      <c r="AX45" s="18">
        <v>173</v>
      </c>
      <c r="AY45" s="27">
        <v>178</v>
      </c>
      <c r="AZ45">
        <v>176</v>
      </c>
      <c r="BA45" s="27">
        <v>177</v>
      </c>
      <c r="BB45" s="27">
        <v>192</v>
      </c>
      <c r="BC45" s="27">
        <v>192</v>
      </c>
      <c r="BD45" s="27">
        <v>190</v>
      </c>
      <c r="BE45" s="27">
        <v>189</v>
      </c>
      <c r="BF45" s="27">
        <v>174</v>
      </c>
      <c r="BG45" s="27">
        <v>192</v>
      </c>
      <c r="BH45">
        <v>175</v>
      </c>
    </row>
    <row r="46" spans="3:60">
      <c r="C46" s="33" t="s">
        <v>415</v>
      </c>
      <c r="D46" s="24">
        <v>4.2865071445703506E-2</v>
      </c>
      <c r="E46" s="25">
        <v>4.8236943781375885E-2</v>
      </c>
      <c r="F46" s="23">
        <v>-5.6123821996152401E-3</v>
      </c>
      <c r="G46" s="23">
        <v>2.0128490403294563E-2</v>
      </c>
      <c r="H46" s="23">
        <v>1.7345709726214409E-2</v>
      </c>
      <c r="I46" s="25">
        <v>4.4281315058469772E-2</v>
      </c>
      <c r="J46" s="26">
        <v>6.4541257917881012E-2</v>
      </c>
      <c r="K46" s="26">
        <v>-5.4148495197296143E-2</v>
      </c>
      <c r="L46" s="23">
        <v>-8.9020328596234322E-3</v>
      </c>
      <c r="M46" s="23">
        <v>1.0171196423470974E-2</v>
      </c>
      <c r="N46" s="23">
        <v>-5.3350082598626614E-3</v>
      </c>
      <c r="O46" s="23">
        <v>1.6564204997848719E-5</v>
      </c>
      <c r="P46" s="23">
        <v>1.616600202396512E-4</v>
      </c>
      <c r="Q46" s="23">
        <v>1.4389801770448685E-2</v>
      </c>
      <c r="R46" s="23">
        <v>1.0227213613688946E-2</v>
      </c>
      <c r="S46" s="23">
        <v>1.5860877931118011E-2</v>
      </c>
      <c r="T46" s="25">
        <v>-3.9339516311883926E-2</v>
      </c>
      <c r="U46" s="23">
        <v>-1.6476735472679138E-3</v>
      </c>
      <c r="V46" s="23">
        <v>-1.3739028014242649E-2</v>
      </c>
      <c r="W46" s="24">
        <v>3.1155992299318314E-2</v>
      </c>
      <c r="X46" s="23">
        <v>-1.1947446502745152E-2</v>
      </c>
      <c r="Y46" s="26">
        <v>-7.4251510202884674E-2</v>
      </c>
      <c r="Z46" s="23">
        <v>1.5802637790329754E-5</v>
      </c>
      <c r="AA46" s="23">
        <v>-6.3975498778745532E-4</v>
      </c>
      <c r="AB46" s="23">
        <v>1.1023947969079018E-2</v>
      </c>
      <c r="AC46" s="23">
        <v>-2.1145867649465799E-3</v>
      </c>
      <c r="AD46" s="23">
        <v>-1.3562184758484364E-3</v>
      </c>
      <c r="AE46" s="23">
        <v>-9.7369169816374779E-4</v>
      </c>
      <c r="AF46" s="26">
        <v>0.10982667654752731</v>
      </c>
      <c r="AG46" s="23">
        <v>8.4003182128071785E-3</v>
      </c>
      <c r="AH46" s="23">
        <v>1.8845664337277412E-2</v>
      </c>
      <c r="AI46" s="23">
        <v>4.007362003903836E-4</v>
      </c>
      <c r="AJ46" s="23">
        <v>-6.8890266120433807E-3</v>
      </c>
      <c r="AK46" s="23">
        <v>-3.1410783994942904E-3</v>
      </c>
      <c r="AL46" s="23">
        <v>2.4307931307703257E-3</v>
      </c>
      <c r="AM46" s="23">
        <v>-6.0016489587724209E-3</v>
      </c>
      <c r="AN46" s="30"/>
      <c r="AO46" s="29">
        <v>189</v>
      </c>
      <c r="AP46">
        <v>192</v>
      </c>
      <c r="AQ46" s="17">
        <v>192</v>
      </c>
      <c r="AR46">
        <v>192</v>
      </c>
      <c r="AS46">
        <v>192</v>
      </c>
      <c r="AT46">
        <v>192</v>
      </c>
      <c r="AU46">
        <v>178</v>
      </c>
      <c r="AV46">
        <v>178</v>
      </c>
      <c r="AW46">
        <v>177</v>
      </c>
      <c r="AX46">
        <v>173</v>
      </c>
      <c r="AY46">
        <v>178</v>
      </c>
      <c r="AZ46" s="18">
        <v>176</v>
      </c>
      <c r="BA46" s="27">
        <v>177</v>
      </c>
      <c r="BB46" s="17">
        <v>192</v>
      </c>
      <c r="BC46" s="17">
        <v>192</v>
      </c>
      <c r="BD46">
        <v>190</v>
      </c>
      <c r="BE46">
        <v>189</v>
      </c>
      <c r="BF46">
        <v>174</v>
      </c>
      <c r="BG46">
        <v>192</v>
      </c>
      <c r="BH46">
        <v>175</v>
      </c>
    </row>
    <row r="47" spans="3:60">
      <c r="C47" s="33" t="s">
        <v>416</v>
      </c>
      <c r="D47" s="23">
        <v>1.5036976896226406E-2</v>
      </c>
      <c r="E47" s="24">
        <v>2.2551069036126137E-2</v>
      </c>
      <c r="F47" s="23">
        <v>-1.8956849817186594E-3</v>
      </c>
      <c r="G47" s="23">
        <v>2.1703080274164677E-3</v>
      </c>
      <c r="H47" s="23">
        <v>9.1641796752810478E-3</v>
      </c>
      <c r="I47" s="23">
        <v>1.390036940574646E-2</v>
      </c>
      <c r="J47" s="26">
        <v>0.10916771739721298</v>
      </c>
      <c r="K47" s="25">
        <v>-3.8198616355657578E-2</v>
      </c>
      <c r="L47" s="23">
        <v>-1.1130193248391151E-2</v>
      </c>
      <c r="M47" s="23">
        <v>1.1879484169185162E-2</v>
      </c>
      <c r="N47" s="23">
        <v>-1.7687473446130753E-2</v>
      </c>
      <c r="O47" s="23">
        <v>-2.3190833162516356E-3</v>
      </c>
      <c r="P47" s="23">
        <v>4.3776835082098842E-4</v>
      </c>
      <c r="Q47" s="23">
        <v>6.5862745977938175E-3</v>
      </c>
      <c r="R47" s="23">
        <v>5.4230191744863987E-3</v>
      </c>
      <c r="S47" s="23">
        <v>1.8119128420948982E-2</v>
      </c>
      <c r="T47" s="23">
        <v>-1.0508403182029724E-2</v>
      </c>
      <c r="U47" s="23">
        <v>-3.3141770400106907E-3</v>
      </c>
      <c r="V47" s="23">
        <v>-7.2528175078332424E-3</v>
      </c>
      <c r="W47" s="24">
        <v>2.8713125735521317E-2</v>
      </c>
      <c r="X47" s="23">
        <v>-1.6387255862355232E-2</v>
      </c>
      <c r="Y47" s="26">
        <v>-5.5785473436117172E-2</v>
      </c>
      <c r="Z47" s="23">
        <v>-9.7698159515857697E-4</v>
      </c>
      <c r="AA47" s="23">
        <v>-8.9500155299901962E-3</v>
      </c>
      <c r="AB47" s="23">
        <v>3.4943763166666031E-3</v>
      </c>
      <c r="AC47" s="23">
        <v>-1.7000099644064903E-2</v>
      </c>
      <c r="AD47" s="23">
        <v>-1.0209749452769756E-2</v>
      </c>
      <c r="AE47" s="23">
        <v>-4.6715047210454941E-3</v>
      </c>
      <c r="AF47" s="26">
        <v>7.3086746037006378E-2</v>
      </c>
      <c r="AG47" s="23">
        <v>1.7139303963631392E-3</v>
      </c>
      <c r="AH47" s="24">
        <v>3.0818885192275047E-2</v>
      </c>
      <c r="AI47" s="23">
        <v>4.2716171592473984E-3</v>
      </c>
      <c r="AJ47" s="23">
        <v>-1.8918357091024518E-3</v>
      </c>
      <c r="AK47" s="23">
        <v>-3.4718122333288193E-3</v>
      </c>
      <c r="AL47" s="23">
        <v>1.8345274729654193E-3</v>
      </c>
      <c r="AM47" s="23">
        <v>-1.5569518320262432E-2</v>
      </c>
      <c r="AN47" s="28">
        <v>0.55652612447738647</v>
      </c>
      <c r="AO47" s="30"/>
      <c r="AP47">
        <v>189</v>
      </c>
      <c r="AQ47" s="17">
        <v>189</v>
      </c>
      <c r="AR47">
        <v>189</v>
      </c>
      <c r="AS47">
        <v>189</v>
      </c>
      <c r="AT47">
        <v>189</v>
      </c>
      <c r="AU47">
        <v>175</v>
      </c>
      <c r="AV47">
        <v>175</v>
      </c>
      <c r="AW47">
        <v>174</v>
      </c>
      <c r="AX47">
        <v>171</v>
      </c>
      <c r="AY47">
        <v>175</v>
      </c>
      <c r="AZ47">
        <v>173</v>
      </c>
      <c r="BA47" s="27">
        <v>174</v>
      </c>
      <c r="BB47" s="18">
        <v>189</v>
      </c>
      <c r="BC47">
        <v>189</v>
      </c>
      <c r="BD47">
        <v>187</v>
      </c>
      <c r="BE47">
        <v>186</v>
      </c>
      <c r="BF47">
        <v>173</v>
      </c>
      <c r="BG47">
        <v>189</v>
      </c>
      <c r="BH47">
        <v>172</v>
      </c>
    </row>
    <row r="48" spans="3:60">
      <c r="C48" s="33" t="s">
        <v>417</v>
      </c>
      <c r="D48" s="23">
        <v>-5.3138695657253265E-3</v>
      </c>
      <c r="E48" s="23">
        <v>8.3101796917617321E-4</v>
      </c>
      <c r="F48" s="26">
        <v>0.37964180111885071</v>
      </c>
      <c r="G48" s="23">
        <v>8.353695273399353E-3</v>
      </c>
      <c r="H48" s="26">
        <v>0.14791001379489899</v>
      </c>
      <c r="I48" s="26">
        <v>0.15098448097705841</v>
      </c>
      <c r="J48" s="23">
        <v>1.6945226117968559E-2</v>
      </c>
      <c r="K48" s="23">
        <v>1.1417526984587312E-3</v>
      </c>
      <c r="L48" s="28">
        <v>0.68147361278533936</v>
      </c>
      <c r="M48" s="23">
        <v>1.5660705044865608E-2</v>
      </c>
      <c r="N48" s="26">
        <v>0.22084122896194458</v>
      </c>
      <c r="O48" s="26">
        <v>0.29179105162620544</v>
      </c>
      <c r="P48" s="26">
        <v>0.34673446416854858</v>
      </c>
      <c r="Q48" s="28">
        <v>0.71832185983657837</v>
      </c>
      <c r="R48" s="28">
        <v>0.64491158723831177</v>
      </c>
      <c r="S48" s="26">
        <v>-0.16047912836074829</v>
      </c>
      <c r="T48" s="26">
        <v>-0.35218143463134766</v>
      </c>
      <c r="U48" s="28">
        <v>-0.71142399311065674</v>
      </c>
      <c r="V48" s="23">
        <v>1.3028859160840511E-2</v>
      </c>
      <c r="W48" s="26">
        <v>-9.3577183783054352E-2</v>
      </c>
      <c r="X48" s="28">
        <v>0.53241831064224243</v>
      </c>
      <c r="Y48" s="26">
        <v>-8.4881946444511414E-2</v>
      </c>
      <c r="Z48" s="26">
        <v>0.47228136658668518</v>
      </c>
      <c r="AA48" s="28">
        <v>0.64833164215087891</v>
      </c>
      <c r="AB48" s="26">
        <v>0.18787826597690582</v>
      </c>
      <c r="AC48" s="26">
        <v>0.30885323882102966</v>
      </c>
      <c r="AD48" s="26">
        <v>9.0014137327671051E-2</v>
      </c>
      <c r="AE48" s="23">
        <v>3.4579236526042223E-3</v>
      </c>
      <c r="AF48" s="25">
        <v>-3.7855777889490128E-2</v>
      </c>
      <c r="AG48" s="26">
        <v>0.48781129717826843</v>
      </c>
      <c r="AH48" s="23">
        <v>1.6178371384739876E-2</v>
      </c>
      <c r="AI48" s="26">
        <v>0.40531620383262634</v>
      </c>
      <c r="AJ48" s="28">
        <v>0.63691753149032593</v>
      </c>
      <c r="AK48" s="28">
        <v>0.75451403856277466</v>
      </c>
      <c r="AL48" s="26">
        <v>0.4105573296546936</v>
      </c>
      <c r="AM48" s="28">
        <v>0.57549041509628296</v>
      </c>
      <c r="AN48" s="23">
        <v>-3.0610230751335621E-3</v>
      </c>
      <c r="AO48" s="23">
        <v>-5.2025234326720238E-3</v>
      </c>
      <c r="AP48" s="30"/>
      <c r="AQ48">
        <v>192</v>
      </c>
      <c r="AR48">
        <v>192</v>
      </c>
      <c r="AS48" s="27">
        <v>192</v>
      </c>
      <c r="AT48" s="29">
        <v>192</v>
      </c>
      <c r="AU48" s="27">
        <v>178</v>
      </c>
      <c r="AV48" s="27">
        <v>178</v>
      </c>
      <c r="AW48">
        <v>177</v>
      </c>
      <c r="AX48" s="27">
        <v>173</v>
      </c>
      <c r="AY48" s="27">
        <v>178</v>
      </c>
      <c r="AZ48">
        <v>176</v>
      </c>
      <c r="BA48" s="27">
        <v>177</v>
      </c>
      <c r="BB48" s="27">
        <v>192</v>
      </c>
      <c r="BC48" s="27">
        <v>192</v>
      </c>
      <c r="BD48" s="27">
        <v>190</v>
      </c>
      <c r="BE48" s="27">
        <v>189</v>
      </c>
      <c r="BF48" s="27">
        <v>174</v>
      </c>
      <c r="BG48" s="27">
        <v>192</v>
      </c>
      <c r="BH48" s="17">
        <v>175</v>
      </c>
    </row>
    <row r="49" spans="3:60">
      <c r="C49" s="33" t="s">
        <v>418</v>
      </c>
      <c r="D49" s="23">
        <v>6.6813444718718529E-3</v>
      </c>
      <c r="E49" s="24">
        <v>-3.0516963452100754E-2</v>
      </c>
      <c r="F49" s="23">
        <v>-6.5147114219143987E-4</v>
      </c>
      <c r="G49" s="24">
        <v>-2.9929125681519508E-2</v>
      </c>
      <c r="H49" s="24">
        <v>-2.9134588316082954E-2</v>
      </c>
      <c r="I49" s="25">
        <v>-4.2825948446989059E-2</v>
      </c>
      <c r="J49" s="23">
        <v>-3.8714767433702946E-3</v>
      </c>
      <c r="K49" s="24">
        <v>2.6733700186014175E-2</v>
      </c>
      <c r="L49" s="23">
        <v>2.184651792049408E-3</v>
      </c>
      <c r="M49" s="23">
        <v>2.7204568032175303E-3</v>
      </c>
      <c r="N49" s="23">
        <v>2.1133569534868002E-3</v>
      </c>
      <c r="O49" s="23">
        <v>-6.942767184227705E-3</v>
      </c>
      <c r="P49" s="23">
        <v>3.7946361117064953E-3</v>
      </c>
      <c r="Q49" s="23">
        <v>-7.4776733526960015E-5</v>
      </c>
      <c r="R49" s="23">
        <v>-1.3700478011742234E-3</v>
      </c>
      <c r="S49" s="23">
        <v>1.8281757365912199E-3</v>
      </c>
      <c r="T49" s="23">
        <v>-9.0652545914053917E-3</v>
      </c>
      <c r="U49" s="23">
        <v>-9.9684565793722868E-4</v>
      </c>
      <c r="V49" s="23">
        <v>-3.0979696020949632E-5</v>
      </c>
      <c r="W49" s="26">
        <v>-8.5499346256256104E-2</v>
      </c>
      <c r="X49" s="23">
        <v>-5.1273182034492493E-3</v>
      </c>
      <c r="Y49" s="23">
        <v>1.7860805615782738E-2</v>
      </c>
      <c r="Z49" s="23">
        <v>3.2718988950364292E-4</v>
      </c>
      <c r="AA49" s="23">
        <v>-1.2374585494399071E-3</v>
      </c>
      <c r="AB49" s="23">
        <v>-1.872357539832592E-2</v>
      </c>
      <c r="AC49" s="23">
        <v>-7.241496816277504E-3</v>
      </c>
      <c r="AD49" s="24">
        <v>-3.0754832550883293E-2</v>
      </c>
      <c r="AE49" s="23">
        <v>9.901159442961216E-3</v>
      </c>
      <c r="AF49" s="23">
        <v>-1.8972739577293396E-2</v>
      </c>
      <c r="AG49" s="23">
        <v>3.6745503166457638E-5</v>
      </c>
      <c r="AH49" s="23">
        <v>-3.9703473448753357E-3</v>
      </c>
      <c r="AI49" s="24">
        <v>-2.1961947903037071E-2</v>
      </c>
      <c r="AJ49" s="23">
        <v>-5.4117497056722641E-3</v>
      </c>
      <c r="AK49" s="23">
        <v>-7.0445399614982307E-5</v>
      </c>
      <c r="AL49" s="23">
        <v>6.5392139367759228E-4</v>
      </c>
      <c r="AM49" s="23">
        <v>-9.4730006530880928E-3</v>
      </c>
      <c r="AN49" s="24">
        <v>-2.0015539601445198E-2</v>
      </c>
      <c r="AO49" s="24">
        <v>-2.7389969676733017E-2</v>
      </c>
      <c r="AP49" s="23">
        <v>8.4123265696689487E-4</v>
      </c>
      <c r="AQ49" s="30"/>
      <c r="AR49" s="18">
        <v>192</v>
      </c>
      <c r="AS49">
        <v>192</v>
      </c>
      <c r="AT49">
        <v>192</v>
      </c>
      <c r="AU49">
        <v>178</v>
      </c>
      <c r="AV49" s="18">
        <v>178</v>
      </c>
      <c r="AW49">
        <v>177</v>
      </c>
      <c r="AX49">
        <v>173</v>
      </c>
      <c r="AY49" s="27">
        <v>178</v>
      </c>
      <c r="AZ49">
        <v>176</v>
      </c>
      <c r="BA49" s="18">
        <v>177</v>
      </c>
      <c r="BB49">
        <v>192</v>
      </c>
      <c r="BC49">
        <v>192</v>
      </c>
      <c r="BD49">
        <v>190</v>
      </c>
      <c r="BE49">
        <v>189</v>
      </c>
      <c r="BF49">
        <v>174</v>
      </c>
      <c r="BG49">
        <v>192</v>
      </c>
      <c r="BH49" s="17">
        <v>175</v>
      </c>
    </row>
    <row r="50" spans="3:60">
      <c r="C50" s="33" t="s">
        <v>419</v>
      </c>
      <c r="D50" s="26">
        <v>9.0541303157806396E-2</v>
      </c>
      <c r="E50" s="23">
        <v>4.0763630531728268E-3</v>
      </c>
      <c r="F50" s="23">
        <v>-1.1048601008951664E-3</v>
      </c>
      <c r="G50" s="23">
        <v>7.2490621823817492E-4</v>
      </c>
      <c r="H50" s="23">
        <v>7.7848811633884907E-3</v>
      </c>
      <c r="I50" s="23">
        <v>9.6271466463804245E-3</v>
      </c>
      <c r="J50" s="23">
        <v>5.0987245049327612E-4</v>
      </c>
      <c r="K50" s="23">
        <v>-3.3142061438411474E-3</v>
      </c>
      <c r="L50" s="24">
        <v>3.2031059265136719E-2</v>
      </c>
      <c r="M50" s="23">
        <v>2.0135175436735153E-2</v>
      </c>
      <c r="N50" s="26">
        <v>8.2449726760387421E-2</v>
      </c>
      <c r="O50" s="23">
        <v>2.0212516188621521E-2</v>
      </c>
      <c r="P50" s="23">
        <v>1.7252078279852867E-2</v>
      </c>
      <c r="Q50" s="23">
        <v>1.2740802951157093E-2</v>
      </c>
      <c r="R50" s="23">
        <v>1.6666047275066376E-2</v>
      </c>
      <c r="S50" s="23">
        <v>-1.2412314303219318E-2</v>
      </c>
      <c r="T50" s="26">
        <v>-6.2320377677679062E-2</v>
      </c>
      <c r="U50" s="23">
        <v>-1.0473168455064297E-2</v>
      </c>
      <c r="V50" s="24">
        <v>-2.4290993809700012E-2</v>
      </c>
      <c r="W50" s="23">
        <v>-2.1856632083654404E-3</v>
      </c>
      <c r="X50" s="23">
        <v>-3.7664338015019894E-3</v>
      </c>
      <c r="Y50" s="24">
        <v>-2.9174895957112312E-2</v>
      </c>
      <c r="Z50" s="23">
        <v>4.9415407702326775E-3</v>
      </c>
      <c r="AA50" s="23">
        <v>-4.565185918181669E-7</v>
      </c>
      <c r="AB50" s="23">
        <v>1.5383102931082249E-2</v>
      </c>
      <c r="AC50" s="23">
        <v>2.3023963440209627E-3</v>
      </c>
      <c r="AD50" s="23">
        <v>-1.1918709613382816E-2</v>
      </c>
      <c r="AE50" s="23">
        <v>-9.9411699920892715E-4</v>
      </c>
      <c r="AF50" s="24">
        <v>2.6888197287917137E-2</v>
      </c>
      <c r="AG50" s="24">
        <v>2.122209221124649E-2</v>
      </c>
      <c r="AH50" s="23">
        <v>-7.7689248428214341E-5</v>
      </c>
      <c r="AI50" s="23">
        <v>1.3258066959679127E-2</v>
      </c>
      <c r="AJ50" s="23">
        <v>-3.5545248538255692E-3</v>
      </c>
      <c r="AK50" s="23">
        <v>1.0621428955346346E-3</v>
      </c>
      <c r="AL50" s="23">
        <v>2.1581724922725698E-6</v>
      </c>
      <c r="AM50" s="23">
        <v>1.1541576895979233E-5</v>
      </c>
      <c r="AN50" s="23">
        <v>9.2923957854509354E-3</v>
      </c>
      <c r="AO50" s="23">
        <v>3.1179841607809067E-3</v>
      </c>
      <c r="AP50" s="23">
        <v>8.6201925296336412E-4</v>
      </c>
      <c r="AQ50" s="25">
        <v>3.7702091038227081E-2</v>
      </c>
      <c r="AR50" s="30"/>
      <c r="AS50">
        <v>192</v>
      </c>
      <c r="AT50">
        <v>192</v>
      </c>
      <c r="AU50">
        <v>178</v>
      </c>
      <c r="AV50">
        <v>178</v>
      </c>
      <c r="AW50">
        <v>177</v>
      </c>
      <c r="AX50">
        <v>173</v>
      </c>
      <c r="AY50">
        <v>178</v>
      </c>
      <c r="AZ50" s="17">
        <v>176</v>
      </c>
      <c r="BA50" s="18">
        <v>177</v>
      </c>
      <c r="BB50">
        <v>192</v>
      </c>
      <c r="BC50">
        <v>192</v>
      </c>
      <c r="BD50">
        <v>190</v>
      </c>
      <c r="BE50">
        <v>189</v>
      </c>
      <c r="BF50">
        <v>174</v>
      </c>
      <c r="BG50">
        <v>192</v>
      </c>
      <c r="BH50">
        <v>175</v>
      </c>
    </row>
    <row r="51" spans="3:60">
      <c r="C51" s="33" t="s">
        <v>420</v>
      </c>
      <c r="D51" s="26">
        <v>-0.10166613012552261</v>
      </c>
      <c r="E51" s="23">
        <v>-1.1939933756366372E-3</v>
      </c>
      <c r="F51" s="26">
        <v>0.32147699594497681</v>
      </c>
      <c r="G51" s="24">
        <v>2.697519026696682E-2</v>
      </c>
      <c r="H51" s="26">
        <v>0.11005859822034836</v>
      </c>
      <c r="I51" s="26">
        <v>8.8975228369235992E-2</v>
      </c>
      <c r="J51" s="23">
        <v>1.1979654431343079E-2</v>
      </c>
      <c r="K51" s="24">
        <v>2.9581433162093163E-2</v>
      </c>
      <c r="L51" s="26">
        <v>0.44722145795822144</v>
      </c>
      <c r="M51" s="24">
        <v>2.2811340168118477E-2</v>
      </c>
      <c r="N51" s="26">
        <v>0.18699358403682709</v>
      </c>
      <c r="O51" s="26">
        <v>0.23483829200267792</v>
      </c>
      <c r="P51" s="26">
        <v>0.30581378936767578</v>
      </c>
      <c r="Q51" s="26">
        <v>0.42879456281661987</v>
      </c>
      <c r="R51" s="26">
        <v>0.42198756337165833</v>
      </c>
      <c r="S51" s="26">
        <v>-0.23113648593425751</v>
      </c>
      <c r="T51" s="26">
        <v>-0.23596148192882538</v>
      </c>
      <c r="U51" s="26">
        <v>-0.3235991895198822</v>
      </c>
      <c r="V51" s="24">
        <v>3.1323820352554321E-2</v>
      </c>
      <c r="W51" s="26">
        <v>-0.13606894016265869</v>
      </c>
      <c r="X51" s="26">
        <v>0.31878834962844849</v>
      </c>
      <c r="Y51" s="26">
        <v>-0.11968668550252914</v>
      </c>
      <c r="Z51" s="26">
        <v>0.19997088611125946</v>
      </c>
      <c r="AA51" s="26">
        <v>0.43973284959793091</v>
      </c>
      <c r="AB51" s="26">
        <v>0.18359138071537018</v>
      </c>
      <c r="AC51" s="26">
        <v>0.13596867024898529</v>
      </c>
      <c r="AD51" s="26">
        <v>0.10873901098966599</v>
      </c>
      <c r="AE51" s="23">
        <v>2.017308259382844E-3</v>
      </c>
      <c r="AF51" s="24">
        <v>-3.271179273724556E-2</v>
      </c>
      <c r="AG51" s="26">
        <v>0.23677513003349304</v>
      </c>
      <c r="AH51" s="25">
        <v>4.3955639004707336E-2</v>
      </c>
      <c r="AI51" s="26">
        <v>0.34692317247390747</v>
      </c>
      <c r="AJ51" s="26">
        <v>0.34255003929138184</v>
      </c>
      <c r="AK51" s="26">
        <v>0.39500167965888977</v>
      </c>
      <c r="AL51" s="26">
        <v>0.17930454015731812</v>
      </c>
      <c r="AM51" s="26">
        <v>0.2917158305644989</v>
      </c>
      <c r="AN51" s="23">
        <v>-1.3845443725585938E-2</v>
      </c>
      <c r="AO51" s="23">
        <v>-3.8854281883686781E-3</v>
      </c>
      <c r="AP51" s="26">
        <v>0.38580676913261414</v>
      </c>
      <c r="AQ51" s="23">
        <v>-7.4590081349015236E-3</v>
      </c>
      <c r="AR51" s="23">
        <v>-2.1047500808890618E-7</v>
      </c>
      <c r="AS51" s="30"/>
      <c r="AT51" s="27">
        <v>192</v>
      </c>
      <c r="AU51" s="27">
        <v>178</v>
      </c>
      <c r="AV51" s="27">
        <v>178</v>
      </c>
      <c r="AW51">
        <v>177</v>
      </c>
      <c r="AX51" s="27">
        <v>173</v>
      </c>
      <c r="AY51" s="27">
        <v>178</v>
      </c>
      <c r="AZ51">
        <v>176</v>
      </c>
      <c r="BA51" s="27">
        <v>177</v>
      </c>
      <c r="BB51" s="27">
        <v>192</v>
      </c>
      <c r="BC51" s="27">
        <v>192</v>
      </c>
      <c r="BD51" s="27">
        <v>190</v>
      </c>
      <c r="BE51" s="27">
        <v>189</v>
      </c>
      <c r="BF51" s="27">
        <v>174</v>
      </c>
      <c r="BG51" s="27">
        <v>192</v>
      </c>
      <c r="BH51" s="17">
        <v>175</v>
      </c>
    </row>
    <row r="52" spans="3:60">
      <c r="C52" s="33" t="s">
        <v>436</v>
      </c>
      <c r="D52" s="23">
        <v>-7.537778583355248E-4</v>
      </c>
      <c r="E52" s="23">
        <v>1.7058217898011208E-2</v>
      </c>
      <c r="F52" s="26">
        <v>0.37974125146865845</v>
      </c>
      <c r="G52" s="23">
        <v>1.7816448584198952E-2</v>
      </c>
      <c r="H52" s="26">
        <v>0.29634958505630493</v>
      </c>
      <c r="I52" s="26">
        <v>0.26101425290107727</v>
      </c>
      <c r="J52" s="26">
        <v>6.607721745967865E-2</v>
      </c>
      <c r="K52" s="23">
        <v>-2.0639557624235749E-4</v>
      </c>
      <c r="L52" s="28">
        <v>0.70476174354553223</v>
      </c>
      <c r="M52" s="24">
        <v>2.5420879945158958E-2</v>
      </c>
      <c r="N52" s="26">
        <v>0.27124661207199097</v>
      </c>
      <c r="O52" s="26">
        <v>0.41059714555740356</v>
      </c>
      <c r="P52" s="26">
        <v>0.43474680185317993</v>
      </c>
      <c r="Q52" s="28">
        <v>0.92942804098129272</v>
      </c>
      <c r="R52" s="28">
        <v>0.85157811641693115</v>
      </c>
      <c r="S52" s="26">
        <v>-0.23403017222881317</v>
      </c>
      <c r="T52" s="26">
        <v>-0.36653438210487366</v>
      </c>
      <c r="U52" s="28">
        <v>-0.70441097021102905</v>
      </c>
      <c r="V52" s="25">
        <v>4.5856591314077377E-2</v>
      </c>
      <c r="W52" s="23">
        <v>-9.6314931288361549E-3</v>
      </c>
      <c r="X52" s="28">
        <v>0.5991513729095459</v>
      </c>
      <c r="Y52" s="26">
        <v>-0.12807361781597137</v>
      </c>
      <c r="Z52" s="26">
        <v>0.47952562570571899</v>
      </c>
      <c r="AA52" s="28">
        <v>0.6421552300453186</v>
      </c>
      <c r="AB52" s="26">
        <v>0.26193234324455261</v>
      </c>
      <c r="AC52" s="26">
        <v>0.37625128030776978</v>
      </c>
      <c r="AD52" s="26">
        <v>0.22425103187561035</v>
      </c>
      <c r="AE52" s="23">
        <v>5.1244581118226051E-3</v>
      </c>
      <c r="AF52" s="23">
        <v>1.9396464631427079E-4</v>
      </c>
      <c r="AG52" s="28">
        <v>0.56129854917526245</v>
      </c>
      <c r="AH52" s="25">
        <v>5.1242146641016006E-2</v>
      </c>
      <c r="AI52" s="28">
        <v>0.52815902233123779</v>
      </c>
      <c r="AJ52" s="28">
        <v>0.77326589822769165</v>
      </c>
      <c r="AK52" s="28">
        <v>0.73925703763961792</v>
      </c>
      <c r="AL52" s="26">
        <v>0.45653432607650757</v>
      </c>
      <c r="AM52" s="28">
        <v>0.67571038007736206</v>
      </c>
      <c r="AN52" s="23">
        <v>2.7200717013329268E-3</v>
      </c>
      <c r="AO52" s="23">
        <v>1.9803405739367008E-3</v>
      </c>
      <c r="AP52" s="28">
        <v>0.72851496934890747</v>
      </c>
      <c r="AQ52" s="23">
        <v>-4.0175876347348094E-4</v>
      </c>
      <c r="AR52" s="23">
        <v>2.5021857582032681E-3</v>
      </c>
      <c r="AS52" s="26">
        <v>0.43857070803642273</v>
      </c>
      <c r="AT52" s="30"/>
      <c r="AU52" s="27">
        <v>178</v>
      </c>
      <c r="AV52" s="27">
        <v>178</v>
      </c>
      <c r="AW52">
        <v>177</v>
      </c>
      <c r="AX52" s="27">
        <v>173</v>
      </c>
      <c r="AY52" s="27">
        <v>178</v>
      </c>
      <c r="AZ52">
        <v>176</v>
      </c>
      <c r="BA52" s="27">
        <v>177</v>
      </c>
      <c r="BB52" s="27">
        <v>192</v>
      </c>
      <c r="BC52" s="27">
        <v>192</v>
      </c>
      <c r="BD52" s="27">
        <v>190</v>
      </c>
      <c r="BE52" s="29">
        <v>189</v>
      </c>
      <c r="BF52" s="29">
        <v>174</v>
      </c>
      <c r="BG52" s="27">
        <v>192</v>
      </c>
      <c r="BH52">
        <v>175</v>
      </c>
    </row>
    <row r="53" spans="3:60">
      <c r="C53" s="33" t="s">
        <v>421</v>
      </c>
      <c r="D53" s="23">
        <v>1.785154890967533E-4</v>
      </c>
      <c r="E53" s="23">
        <v>-1.5898862853646278E-2</v>
      </c>
      <c r="F53" s="26">
        <v>-0.35634097456932068</v>
      </c>
      <c r="G53" s="24">
        <v>-2.5050435215234756E-2</v>
      </c>
      <c r="H53" s="26">
        <v>-0.2245345413684845</v>
      </c>
      <c r="I53" s="26">
        <v>-0.23103964328765869</v>
      </c>
      <c r="J53" s="23">
        <v>-1.9928624387830496E-3</v>
      </c>
      <c r="K53" s="23">
        <v>-2.1841831039637327E-3</v>
      </c>
      <c r="L53" s="26">
        <v>-0.39029812812805176</v>
      </c>
      <c r="M53" s="23">
        <v>-7.2351694107055664E-3</v>
      </c>
      <c r="N53" s="26">
        <v>-0.25306287407875061</v>
      </c>
      <c r="O53" s="26">
        <v>-0.39356598258018494</v>
      </c>
      <c r="P53" s="26">
        <v>-0.24804751574993134</v>
      </c>
      <c r="Q53" s="26">
        <v>-0.29897266626358032</v>
      </c>
      <c r="R53" s="26">
        <v>-0.34586605429649353</v>
      </c>
      <c r="S53" s="26">
        <v>0.27997696399688721</v>
      </c>
      <c r="T53" s="26">
        <v>0.20006974041461945</v>
      </c>
      <c r="U53" s="26">
        <v>0.36406120657920837</v>
      </c>
      <c r="V53" s="23">
        <v>5.5058463476598263E-4</v>
      </c>
      <c r="W53" s="23">
        <v>5.6723365560173988E-3</v>
      </c>
      <c r="X53" s="26">
        <v>-0.28364768624305725</v>
      </c>
      <c r="Y53" s="24">
        <v>3.3039893954992294E-2</v>
      </c>
      <c r="Z53" s="26">
        <v>-0.22888414561748505</v>
      </c>
      <c r="AA53" s="26">
        <v>-0.28957071900367737</v>
      </c>
      <c r="AB53" s="26">
        <v>-0.16041116416454315</v>
      </c>
      <c r="AC53" s="26">
        <v>-0.14008685946464539</v>
      </c>
      <c r="AD53" s="26">
        <v>-7.9294584691524506E-2</v>
      </c>
      <c r="AE53" s="23">
        <v>-2.9199177515693009E-4</v>
      </c>
      <c r="AF53" s="24">
        <v>3.3682011067867279E-2</v>
      </c>
      <c r="AG53" s="26">
        <v>-0.25294396281242371</v>
      </c>
      <c r="AH53" s="23">
        <v>-5.4826228879392147E-3</v>
      </c>
      <c r="AI53" s="26">
        <v>-0.25718274712562561</v>
      </c>
      <c r="AJ53" s="26">
        <v>-0.33115243911743164</v>
      </c>
      <c r="AK53" s="26">
        <v>-0.30325999855995178</v>
      </c>
      <c r="AL53" s="26">
        <v>-0.16088336706161499</v>
      </c>
      <c r="AM53" s="26">
        <v>-0.2283402681350708</v>
      </c>
      <c r="AN53" s="23">
        <v>7.8120743855834007E-3</v>
      </c>
      <c r="AO53" s="23">
        <v>1.5940637094900012E-3</v>
      </c>
      <c r="AP53" s="26">
        <v>-0.2758961021900177</v>
      </c>
      <c r="AQ53" s="23">
        <v>1.3434772379696369E-2</v>
      </c>
      <c r="AR53" s="23">
        <v>-2.2971080034039915E-4</v>
      </c>
      <c r="AS53" s="26">
        <v>-0.20147368311882019</v>
      </c>
      <c r="AT53" s="26">
        <v>-0.31018424034118652</v>
      </c>
      <c r="AU53" s="30"/>
      <c r="AV53" s="27">
        <v>178</v>
      </c>
      <c r="AW53">
        <v>177</v>
      </c>
      <c r="AX53" s="17">
        <v>173</v>
      </c>
      <c r="AY53" s="27">
        <v>178</v>
      </c>
      <c r="AZ53" s="27">
        <v>176</v>
      </c>
      <c r="BA53" s="27">
        <v>177</v>
      </c>
      <c r="BB53" s="27">
        <v>178</v>
      </c>
      <c r="BC53" s="27">
        <v>178</v>
      </c>
      <c r="BD53" s="27">
        <v>178</v>
      </c>
      <c r="BE53" s="27">
        <v>177</v>
      </c>
      <c r="BF53" s="27">
        <v>165</v>
      </c>
      <c r="BG53" s="27">
        <v>178</v>
      </c>
      <c r="BH53" s="27">
        <v>175</v>
      </c>
    </row>
    <row r="54" spans="3:60">
      <c r="C54" s="33" t="s">
        <v>422</v>
      </c>
      <c r="D54" s="23">
        <v>-5.6854059221222997E-4</v>
      </c>
      <c r="E54" s="26">
        <v>-6.6659018397331238E-2</v>
      </c>
      <c r="F54" s="26">
        <v>-0.28976044058799744</v>
      </c>
      <c r="G54" s="26">
        <v>-7.1172453463077545E-2</v>
      </c>
      <c r="H54" s="26">
        <v>-0.25274083018302917</v>
      </c>
      <c r="I54" s="26">
        <v>-0.33665445446968079</v>
      </c>
      <c r="J54" s="23">
        <v>-1.7276719212532043E-2</v>
      </c>
      <c r="K54" s="23">
        <v>-7.9293263843283057E-4</v>
      </c>
      <c r="L54" s="26">
        <v>-0.22266268730163574</v>
      </c>
      <c r="M54" s="24">
        <v>-2.7258425951004028E-2</v>
      </c>
      <c r="N54" s="26">
        <v>-0.16724242269992828</v>
      </c>
      <c r="O54" s="26">
        <v>-0.36603027582168579</v>
      </c>
      <c r="P54" s="26">
        <v>-0.19815622270107269</v>
      </c>
      <c r="Q54" s="26">
        <v>-0.21995614469051361</v>
      </c>
      <c r="R54" s="26">
        <v>-0.29439234733581543</v>
      </c>
      <c r="S54" s="26">
        <v>0.27309119701385498</v>
      </c>
      <c r="T54" s="26">
        <v>0.19274485111236572</v>
      </c>
      <c r="U54" s="26">
        <v>0.23207072913646698</v>
      </c>
      <c r="V54" s="23">
        <v>4.1139996610581875E-3</v>
      </c>
      <c r="W54" s="24">
        <v>-3.1151715666055679E-2</v>
      </c>
      <c r="X54" s="26">
        <v>-0.18835744261741638</v>
      </c>
      <c r="Y54" s="24">
        <v>3.2401163130998611E-2</v>
      </c>
      <c r="Z54" s="26">
        <v>-0.13963700830936432</v>
      </c>
      <c r="AA54" s="26">
        <v>-0.17422960698604584</v>
      </c>
      <c r="AB54" s="26">
        <v>-0.15363816916942596</v>
      </c>
      <c r="AC54" s="26">
        <v>-0.17577114701271057</v>
      </c>
      <c r="AD54" s="26">
        <v>-6.239188089966774E-2</v>
      </c>
      <c r="AE54" s="23">
        <v>9.7610140219330788E-3</v>
      </c>
      <c r="AF54" s="23">
        <v>3.0412995256483555E-3</v>
      </c>
      <c r="AG54" s="26">
        <v>-0.22389908134937286</v>
      </c>
      <c r="AH54" s="24">
        <v>-3.6399334669113159E-2</v>
      </c>
      <c r="AI54" s="26">
        <v>-0.18204091489315033</v>
      </c>
      <c r="AJ54" s="26">
        <v>-0.15853181481361389</v>
      </c>
      <c r="AK54" s="26">
        <v>-0.16123579442501068</v>
      </c>
      <c r="AL54" s="26">
        <v>-7.5801528990268707E-2</v>
      </c>
      <c r="AM54" s="26">
        <v>-0.14761453866958618</v>
      </c>
      <c r="AN54" s="23">
        <v>-1.377304142806679E-4</v>
      </c>
      <c r="AO54" s="23">
        <v>8.385481487493962E-5</v>
      </c>
      <c r="AP54" s="26">
        <v>-0.11585058271884918</v>
      </c>
      <c r="AQ54" s="25">
        <v>4.2133878916501999E-2</v>
      </c>
      <c r="AR54" s="23">
        <v>-2.1445224992930889E-3</v>
      </c>
      <c r="AS54" s="26">
        <v>-7.7484823763370514E-2</v>
      </c>
      <c r="AT54" s="26">
        <v>-0.18741805851459503</v>
      </c>
      <c r="AU54" s="26">
        <v>0.37872958183288574</v>
      </c>
      <c r="AV54" s="30"/>
      <c r="AW54">
        <v>177</v>
      </c>
      <c r="AX54">
        <v>173</v>
      </c>
      <c r="AY54" s="29">
        <v>178</v>
      </c>
      <c r="AZ54" s="27">
        <v>176</v>
      </c>
      <c r="BA54" s="27">
        <v>177</v>
      </c>
      <c r="BB54" s="27">
        <v>178</v>
      </c>
      <c r="BC54" s="27">
        <v>178</v>
      </c>
      <c r="BD54" s="27">
        <v>178</v>
      </c>
      <c r="BE54" s="27">
        <v>177</v>
      </c>
      <c r="BF54" s="27">
        <v>165</v>
      </c>
      <c r="BG54" s="27">
        <v>178</v>
      </c>
      <c r="BH54" s="18">
        <v>175</v>
      </c>
    </row>
    <row r="55" spans="3:60">
      <c r="C55" s="33" t="s">
        <v>423</v>
      </c>
      <c r="D55" s="23">
        <v>2.3013993632048368E-3</v>
      </c>
      <c r="E55" s="23">
        <v>1.0163633851334453E-4</v>
      </c>
      <c r="F55" s="23">
        <v>6.0519343242049217E-3</v>
      </c>
      <c r="G55" s="25">
        <v>5.3644724190235138E-2</v>
      </c>
      <c r="H55" s="25">
        <v>5.2431508898735046E-2</v>
      </c>
      <c r="I55" s="24">
        <v>3.2455146312713623E-2</v>
      </c>
      <c r="J55" s="23">
        <v>1.6705241054296494E-2</v>
      </c>
      <c r="K55" s="23">
        <v>1.969863660633564E-3</v>
      </c>
      <c r="L55" s="23">
        <v>-5.1782685332000256E-3</v>
      </c>
      <c r="M55" s="23">
        <v>9.4028509920462966E-5</v>
      </c>
      <c r="N55" s="24">
        <v>3.4433323889970779E-2</v>
      </c>
      <c r="O55" s="24">
        <v>3.1397785991430283E-2</v>
      </c>
      <c r="P55" s="23">
        <v>1.1050809174776077E-2</v>
      </c>
      <c r="Q55" s="23">
        <v>-7.0712401065975428E-4</v>
      </c>
      <c r="R55" s="23">
        <v>2.7495459653437138E-3</v>
      </c>
      <c r="S55" s="23">
        <v>-8.4372162818908691E-3</v>
      </c>
      <c r="T55" s="25">
        <v>3.990551084280014E-2</v>
      </c>
      <c r="U55" s="23">
        <v>3.1349554192274809E-3</v>
      </c>
      <c r="V55" s="23">
        <v>-9.1971252113580704E-3</v>
      </c>
      <c r="W55" s="23">
        <v>2.0831400528550148E-2</v>
      </c>
      <c r="X55" s="23">
        <v>-3.4408518113195896E-3</v>
      </c>
      <c r="Y55" s="23">
        <v>-1.9842744222842157E-5</v>
      </c>
      <c r="Z55" s="23">
        <v>-1.4284868724644184E-2</v>
      </c>
      <c r="AA55" s="23">
        <v>-4.7391727566719055E-3</v>
      </c>
      <c r="AB55" s="23">
        <v>-8.1649469211697578E-3</v>
      </c>
      <c r="AC55" s="23">
        <v>9.3303900212049484E-3</v>
      </c>
      <c r="AD55" s="24">
        <v>2.3651555180549622E-2</v>
      </c>
      <c r="AE55" s="23">
        <v>-5.2666561678051949E-3</v>
      </c>
      <c r="AF55" s="23">
        <v>2.425311366096139E-3</v>
      </c>
      <c r="AG55" s="23">
        <v>-3.1725333537906408E-3</v>
      </c>
      <c r="AH55" s="23">
        <v>-7.7524180524051189E-3</v>
      </c>
      <c r="AI55" s="23">
        <v>1.1586024425923824E-2</v>
      </c>
      <c r="AJ55" s="23">
        <v>5.0410223193466663E-3</v>
      </c>
      <c r="AK55" s="23">
        <v>-5.9112319722771645E-3</v>
      </c>
      <c r="AL55" s="23">
        <v>1.0732943192124367E-3</v>
      </c>
      <c r="AM55" s="23">
        <v>-1.0051020653918386E-3</v>
      </c>
      <c r="AN55" s="23">
        <v>-1.4527576277032495E-3</v>
      </c>
      <c r="AO55" s="23">
        <v>-1.4846380800008774E-3</v>
      </c>
      <c r="AP55" s="23">
        <v>-5.7175476104021072E-3</v>
      </c>
      <c r="AQ55" s="23">
        <v>-1.9106468185782433E-2</v>
      </c>
      <c r="AR55" s="23">
        <v>-1.4947736635804176E-2</v>
      </c>
      <c r="AS55" s="23">
        <v>4.8549839993938804E-4</v>
      </c>
      <c r="AT55" s="23">
        <v>2.7293479070067406E-3</v>
      </c>
      <c r="AU55" s="23">
        <v>-9.638196206651628E-4</v>
      </c>
      <c r="AV55" s="23">
        <v>1.7010134456540982E-7</v>
      </c>
      <c r="AW55" s="30"/>
      <c r="AX55" s="27">
        <v>173</v>
      </c>
      <c r="AY55">
        <v>177</v>
      </c>
      <c r="AZ55">
        <v>176</v>
      </c>
      <c r="BA55" s="18">
        <v>177</v>
      </c>
      <c r="BB55">
        <v>177</v>
      </c>
      <c r="BC55" s="18">
        <v>177</v>
      </c>
      <c r="BD55">
        <v>177</v>
      </c>
      <c r="BE55" s="17">
        <v>176</v>
      </c>
      <c r="BF55" s="17">
        <v>165</v>
      </c>
      <c r="BG55">
        <v>177</v>
      </c>
      <c r="BH55" s="27">
        <v>175</v>
      </c>
    </row>
    <row r="56" spans="3:60">
      <c r="C56" s="33" t="s">
        <v>424</v>
      </c>
      <c r="D56" s="23">
        <v>-1.38245610287413E-4</v>
      </c>
      <c r="E56" s="23">
        <v>-3.4124450394301675E-6</v>
      </c>
      <c r="F56" s="26">
        <v>0.10734827816486359</v>
      </c>
      <c r="G56" s="26">
        <v>0.12969820201396942</v>
      </c>
      <c r="H56" s="26">
        <v>8.4411472082138062E-2</v>
      </c>
      <c r="I56" s="26">
        <v>8.1756293773651123E-2</v>
      </c>
      <c r="J56" s="23">
        <v>4.682847298681736E-3</v>
      </c>
      <c r="K56" s="26">
        <v>0.1051199659705162</v>
      </c>
      <c r="L56" s="26">
        <v>0.1482025682926178</v>
      </c>
      <c r="M56" s="23">
        <v>1.4466960914433002E-2</v>
      </c>
      <c r="N56" s="26">
        <v>0.13010753691196442</v>
      </c>
      <c r="O56" s="26">
        <v>7.4085742235183716E-2</v>
      </c>
      <c r="P56" s="26">
        <v>0.17282316088676453</v>
      </c>
      <c r="Q56" s="26">
        <v>0.10693273693323135</v>
      </c>
      <c r="R56" s="26">
        <v>0.14886777102947235</v>
      </c>
      <c r="S56" s="26">
        <v>-9.610072523355484E-2</v>
      </c>
      <c r="T56" s="24">
        <v>-2.9279811307787895E-2</v>
      </c>
      <c r="U56" s="26">
        <v>-9.0217128396034241E-2</v>
      </c>
      <c r="V56" s="23">
        <v>7.4725947342813015E-5</v>
      </c>
      <c r="W56" s="23">
        <v>-5.476947408169508E-4</v>
      </c>
      <c r="X56" s="26">
        <v>0.10283449292182922</v>
      </c>
      <c r="Y56" s="26">
        <v>-7.8787736594676971E-2</v>
      </c>
      <c r="Z56" s="24">
        <v>3.6332357674837112E-2</v>
      </c>
      <c r="AA56" s="26">
        <v>9.4245970249176025E-2</v>
      </c>
      <c r="AB56" s="26">
        <v>8.5181638598442078E-2</v>
      </c>
      <c r="AC56" s="25">
        <v>5.737459659576416E-2</v>
      </c>
      <c r="AD56" s="23">
        <v>1.0966000147163868E-2</v>
      </c>
      <c r="AE56" s="23">
        <v>7.7722582500427961E-4</v>
      </c>
      <c r="AF56" s="23">
        <v>-2.753816545009613E-3</v>
      </c>
      <c r="AG56" s="26">
        <v>9.4365991652011871E-2</v>
      </c>
      <c r="AH56" s="23">
        <v>4.0363296284340322E-4</v>
      </c>
      <c r="AI56" s="26">
        <v>0.22143091261386871</v>
      </c>
      <c r="AJ56" s="26">
        <v>0.10007023811340332</v>
      </c>
      <c r="AK56" s="26">
        <v>0.12337063252925873</v>
      </c>
      <c r="AL56" s="23">
        <v>3.6184031050652266E-3</v>
      </c>
      <c r="AM56" s="25">
        <v>5.7938192039728165E-2</v>
      </c>
      <c r="AN56" s="23">
        <v>-7.2369594126939774E-3</v>
      </c>
      <c r="AO56" s="23">
        <v>-6.4192240824922919E-4</v>
      </c>
      <c r="AP56" s="26">
        <v>9.2958077788352966E-2</v>
      </c>
      <c r="AQ56" s="23">
        <v>-8.4980707615613937E-3</v>
      </c>
      <c r="AR56" s="23">
        <v>-1.1342141777276993E-2</v>
      </c>
      <c r="AS56" s="26">
        <v>0.1242341622710228</v>
      </c>
      <c r="AT56" s="26">
        <v>0.13646131753921509</v>
      </c>
      <c r="AU56" s="24">
        <v>-3.3028457313776016E-2</v>
      </c>
      <c r="AV56" s="23">
        <v>-2.1202780306339264E-2</v>
      </c>
      <c r="AW56" s="26">
        <v>0.25541597604751587</v>
      </c>
      <c r="AX56" s="30"/>
      <c r="AY56" s="18">
        <v>173</v>
      </c>
      <c r="AZ56">
        <v>172</v>
      </c>
      <c r="BA56">
        <v>173</v>
      </c>
      <c r="BB56" s="27">
        <v>173</v>
      </c>
      <c r="BC56" s="27">
        <v>173</v>
      </c>
      <c r="BD56" s="27">
        <v>173</v>
      </c>
      <c r="BE56" s="17">
        <v>172</v>
      </c>
      <c r="BF56" s="27">
        <v>163</v>
      </c>
      <c r="BG56" s="27">
        <v>173</v>
      </c>
      <c r="BH56">
        <v>171</v>
      </c>
    </row>
    <row r="57" spans="3:60">
      <c r="C57" s="33" t="s">
        <v>425</v>
      </c>
      <c r="D57" s="23">
        <v>1.6673089703544974E-4</v>
      </c>
      <c r="E57" s="25">
        <v>-4.0327455848455429E-2</v>
      </c>
      <c r="F57" s="26">
        <v>-0.31929430365562439</v>
      </c>
      <c r="G57" s="26">
        <v>-0.10467849671840668</v>
      </c>
      <c r="H57" s="26">
        <v>-0.24892386794090271</v>
      </c>
      <c r="I57" s="26">
        <v>-0.33202493190765381</v>
      </c>
      <c r="J57" s="23">
        <v>-9.3344273045659065E-3</v>
      </c>
      <c r="K57" s="23">
        <v>1.8841572455130517E-4</v>
      </c>
      <c r="L57" s="26">
        <v>-0.19061736762523651</v>
      </c>
      <c r="M57" s="24">
        <v>-3.5336345434188843E-2</v>
      </c>
      <c r="N57" s="26">
        <v>-0.1411941796541214</v>
      </c>
      <c r="O57" s="26">
        <v>-0.33176696300506592</v>
      </c>
      <c r="P57" s="26">
        <v>-0.17708373069763184</v>
      </c>
      <c r="Q57" s="26">
        <v>-0.17329727113246918</v>
      </c>
      <c r="R57" s="26">
        <v>-0.24747440218925476</v>
      </c>
      <c r="S57" s="26">
        <v>0.2385450154542923</v>
      </c>
      <c r="T57" s="26">
        <v>0.11506892740726471</v>
      </c>
      <c r="U57" s="26">
        <v>0.19132208824157715</v>
      </c>
      <c r="V57" s="23">
        <v>4.1468825884294347E-7</v>
      </c>
      <c r="W57" s="24">
        <v>-2.9188992455601692E-2</v>
      </c>
      <c r="X57" s="26">
        <v>-0.18727971613407135</v>
      </c>
      <c r="Y57" s="24">
        <v>2.6892522349953651E-2</v>
      </c>
      <c r="Z57" s="26">
        <v>-7.5404651463031769E-2</v>
      </c>
      <c r="AA57" s="26">
        <v>-0.1462244838476181</v>
      </c>
      <c r="AB57" s="26">
        <v>-9.7370602190494537E-2</v>
      </c>
      <c r="AC57" s="26">
        <v>-0.19601228833198547</v>
      </c>
      <c r="AD57" s="26">
        <v>-6.6766180098056793E-2</v>
      </c>
      <c r="AE57" s="23">
        <v>2.7487631887197495E-3</v>
      </c>
      <c r="AF57" s="23">
        <v>4.2927800677716732E-3</v>
      </c>
      <c r="AG57" s="26">
        <v>-0.15093713998794556</v>
      </c>
      <c r="AH57" s="25">
        <v>-4.9360673874616623E-2</v>
      </c>
      <c r="AI57" s="26">
        <v>-0.18710756301879883</v>
      </c>
      <c r="AJ57" s="26">
        <v>-0.18108485639095306</v>
      </c>
      <c r="AK57" s="26">
        <v>-0.1435750275850296</v>
      </c>
      <c r="AL57" s="26">
        <v>-6.6946730017662048E-2</v>
      </c>
      <c r="AM57" s="26">
        <v>-9.8048508167266846E-2</v>
      </c>
      <c r="AN57" s="23">
        <v>5.7350238785147667E-4</v>
      </c>
      <c r="AO57" s="23">
        <v>-1.7819716595113277E-3</v>
      </c>
      <c r="AP57" s="26">
        <v>-0.11794020235538483</v>
      </c>
      <c r="AQ57" s="26">
        <v>0.11742152273654938</v>
      </c>
      <c r="AR57" s="23">
        <v>5.5362260900437832E-3</v>
      </c>
      <c r="AS57" s="26">
        <v>-8.1563584506511688E-2</v>
      </c>
      <c r="AT57" s="26">
        <v>-0.18844935297966003</v>
      </c>
      <c r="AU57" s="26">
        <v>0.38469585776329041</v>
      </c>
      <c r="AV57" s="28">
        <v>0.66385060548782349</v>
      </c>
      <c r="AW57" s="23">
        <v>-1.1132476851344109E-2</v>
      </c>
      <c r="AX57" s="25">
        <v>-4.4369295239448547E-2</v>
      </c>
      <c r="AY57" s="30"/>
      <c r="AZ57" s="27">
        <v>176</v>
      </c>
      <c r="BA57" s="27">
        <v>177</v>
      </c>
      <c r="BB57" s="27">
        <v>178</v>
      </c>
      <c r="BC57" s="27">
        <v>178</v>
      </c>
      <c r="BD57" s="27">
        <v>178</v>
      </c>
      <c r="BE57" s="27">
        <v>177</v>
      </c>
      <c r="BF57" s="27">
        <v>165</v>
      </c>
      <c r="BG57" s="27">
        <v>178</v>
      </c>
      <c r="BH57">
        <v>175</v>
      </c>
    </row>
    <row r="58" spans="3:60">
      <c r="C58" s="33" t="s">
        <v>426</v>
      </c>
      <c r="D58" s="23">
        <v>8.2274544865867938E-7</v>
      </c>
      <c r="E58" s="25">
        <v>-5.8198411017656326E-2</v>
      </c>
      <c r="F58" s="26">
        <v>-0.15064138174057007</v>
      </c>
      <c r="G58" s="23">
        <v>-4.8301960341632366E-3</v>
      </c>
      <c r="H58" s="26">
        <v>-7.8191719949245453E-2</v>
      </c>
      <c r="I58" s="26">
        <v>-0.12498711794614792</v>
      </c>
      <c r="J58" s="23">
        <v>-6.3697149744257331E-4</v>
      </c>
      <c r="K58" s="23">
        <v>2.579236934252549E-5</v>
      </c>
      <c r="L58" s="25">
        <v>-6.575891375541687E-2</v>
      </c>
      <c r="M58" s="23">
        <v>-7.7274655923247337E-3</v>
      </c>
      <c r="N58" s="26">
        <v>-0.12277664989233017</v>
      </c>
      <c r="O58" s="26">
        <v>-0.18068940937519073</v>
      </c>
      <c r="P58" s="26">
        <v>-8.872135728597641E-2</v>
      </c>
      <c r="Q58" s="26">
        <v>-6.0627996921539307E-2</v>
      </c>
      <c r="R58" s="26">
        <v>-9.8719850182533264E-2</v>
      </c>
      <c r="S58" s="26">
        <v>0.10331779718399048</v>
      </c>
      <c r="T58" s="26">
        <v>0.31484714150428772</v>
      </c>
      <c r="U58" s="26">
        <v>6.2450196593999863E-2</v>
      </c>
      <c r="V58" s="23">
        <v>6.9517171941697598E-3</v>
      </c>
      <c r="W58" s="24">
        <v>-3.2096195966005325E-2</v>
      </c>
      <c r="X58" s="24">
        <v>-3.017793595790863E-2</v>
      </c>
      <c r="Y58" s="23">
        <v>-5.1006106659770012E-3</v>
      </c>
      <c r="Z58" s="26">
        <v>-0.10839740186929703</v>
      </c>
      <c r="AA58" s="25">
        <v>-5.5549886077642441E-2</v>
      </c>
      <c r="AB58" s="26">
        <v>-0.1179484948515892</v>
      </c>
      <c r="AC58" s="23">
        <v>-5.1962807774543762E-3</v>
      </c>
      <c r="AD58" s="23">
        <v>-1.5366851584985852E-4</v>
      </c>
      <c r="AE58" s="23">
        <v>-1.078666839748621E-2</v>
      </c>
      <c r="AF58" s="23">
        <v>6.5906918607652187E-3</v>
      </c>
      <c r="AG58" s="26">
        <v>-0.10693871974945068</v>
      </c>
      <c r="AH58" s="24">
        <v>-2.3362003266811371E-2</v>
      </c>
      <c r="AI58" s="24">
        <v>-2.3257479071617126E-2</v>
      </c>
      <c r="AJ58" s="23">
        <v>-8.6837578564882278E-3</v>
      </c>
      <c r="AK58" s="23">
        <v>-1.261504553258419E-2</v>
      </c>
      <c r="AL58" s="23">
        <v>-2.3851620499044657E-3</v>
      </c>
      <c r="AM58" s="23">
        <v>-2.5337815750390291E-3</v>
      </c>
      <c r="AN58" s="25">
        <v>-4.7586563974618912E-2</v>
      </c>
      <c r="AO58" s="23">
        <v>-8.1028901040554047E-3</v>
      </c>
      <c r="AP58" s="23">
        <v>-6.3195978291332722E-3</v>
      </c>
      <c r="AQ58" s="23">
        <v>1.3653947971761227E-2</v>
      </c>
      <c r="AR58" s="24">
        <v>-2.5792572647333145E-2</v>
      </c>
      <c r="AS58" s="23">
        <v>-2.0600723102688789E-2</v>
      </c>
      <c r="AT58" s="23">
        <v>-7.558437529951334E-3</v>
      </c>
      <c r="AU58" s="26">
        <v>8.3680517971515656E-2</v>
      </c>
      <c r="AV58" s="26">
        <v>0.20625139772891998</v>
      </c>
      <c r="AW58" s="23">
        <v>2.9943818226456642E-3</v>
      </c>
      <c r="AX58" s="23">
        <v>-2.8851412935182452E-4</v>
      </c>
      <c r="AY58" s="26">
        <v>0.12237356603145599</v>
      </c>
      <c r="AZ58" s="30"/>
      <c r="BA58" s="27">
        <v>176</v>
      </c>
      <c r="BB58" s="27">
        <v>176</v>
      </c>
      <c r="BC58" s="27">
        <v>176</v>
      </c>
      <c r="BD58" s="27">
        <v>176</v>
      </c>
      <c r="BE58" s="27">
        <v>175</v>
      </c>
      <c r="BF58">
        <v>164</v>
      </c>
      <c r="BG58" s="27">
        <v>176</v>
      </c>
      <c r="BH58" s="27">
        <v>175</v>
      </c>
    </row>
    <row r="59" spans="3:60">
      <c r="C59" s="33" t="s">
        <v>427</v>
      </c>
      <c r="D59" s="23">
        <v>-2.4867008323781192E-4</v>
      </c>
      <c r="E59" s="25">
        <v>-4.3095245957374573E-2</v>
      </c>
      <c r="F59" s="26">
        <v>-0.25826674699783325</v>
      </c>
      <c r="G59" s="24">
        <v>-3.2220572233200073E-2</v>
      </c>
      <c r="H59" s="26">
        <v>-0.18361687660217285</v>
      </c>
      <c r="I59" s="26">
        <v>-0.23453958332538605</v>
      </c>
      <c r="J59" s="25">
        <v>-5.4933171719312668E-2</v>
      </c>
      <c r="K59" s="23">
        <v>4.5870463363826275E-3</v>
      </c>
      <c r="L59" s="26">
        <v>-0.3129633367061615</v>
      </c>
      <c r="M59" s="24">
        <v>-3.1126441434025764E-2</v>
      </c>
      <c r="N59" s="26">
        <v>-0.24662476778030396</v>
      </c>
      <c r="O59" s="26">
        <v>-0.29718297719955444</v>
      </c>
      <c r="P59" s="26">
        <v>-0.23666417598724365</v>
      </c>
      <c r="Q59" s="26">
        <v>-0.32127562165260315</v>
      </c>
      <c r="R59" s="26">
        <v>-0.3658389151096344</v>
      </c>
      <c r="S59" s="26">
        <v>0.23271013796329498</v>
      </c>
      <c r="T59" s="26">
        <v>0.40131723880767822</v>
      </c>
      <c r="U59" s="26">
        <v>0.31147864460945129</v>
      </c>
      <c r="V59" s="23">
        <v>-1.441824366338551E-3</v>
      </c>
      <c r="W59" s="23">
        <v>-1.2643917463719845E-2</v>
      </c>
      <c r="X59" s="26">
        <v>-0.14812922477722168</v>
      </c>
      <c r="Y59" s="26">
        <v>6.8222329020500183E-2</v>
      </c>
      <c r="Z59" s="26">
        <v>-0.2315736711025238</v>
      </c>
      <c r="AA59" s="26">
        <v>-0.21889875829219818</v>
      </c>
      <c r="AB59" s="26">
        <v>-0.28821703791618347</v>
      </c>
      <c r="AC59" s="26">
        <v>-7.2120547294616699E-2</v>
      </c>
      <c r="AD59" s="24">
        <v>-3.2659385353326797E-2</v>
      </c>
      <c r="AE59" s="23">
        <v>1.1258115991950035E-3</v>
      </c>
      <c r="AF59" s="23">
        <v>-6.2572495080530643E-3</v>
      </c>
      <c r="AG59" s="26">
        <v>-0.29491895437240601</v>
      </c>
      <c r="AH59" s="26">
        <v>-5.8630440384149551E-2</v>
      </c>
      <c r="AI59" s="26">
        <v>-0.24336501955986023</v>
      </c>
      <c r="AJ59" s="26">
        <v>-0.1499098539352417</v>
      </c>
      <c r="AK59" s="26">
        <v>-0.21782487630844116</v>
      </c>
      <c r="AL59" s="25">
        <v>-5.0165548920631409E-2</v>
      </c>
      <c r="AM59" s="26">
        <v>-0.16417233645915985</v>
      </c>
      <c r="AN59" s="26">
        <v>-8.1854932010173798E-2</v>
      </c>
      <c r="AO59" s="26">
        <v>-7.5946316123008728E-2</v>
      </c>
      <c r="AP59" s="26">
        <v>-0.16927129030227661</v>
      </c>
      <c r="AQ59" s="25">
        <v>3.716760128736496E-2</v>
      </c>
      <c r="AR59" s="25">
        <v>-5.0879959017038345E-2</v>
      </c>
      <c r="AS59" s="26">
        <v>-6.6902026534080505E-2</v>
      </c>
      <c r="AT59" s="26">
        <v>-0.21568913757801056</v>
      </c>
      <c r="AU59" s="26">
        <v>0.15532422065734863</v>
      </c>
      <c r="AV59" s="26">
        <v>0.29399806261062622</v>
      </c>
      <c r="AW59" s="25">
        <v>5.4706159979104996E-2</v>
      </c>
      <c r="AX59" s="23">
        <v>-6.7195924930274487E-3</v>
      </c>
      <c r="AY59" s="26">
        <v>0.25809392333030701</v>
      </c>
      <c r="AZ59" s="26">
        <v>0.3049711287021637</v>
      </c>
      <c r="BA59" s="30"/>
      <c r="BB59" s="27">
        <v>177</v>
      </c>
      <c r="BC59" s="27">
        <v>177</v>
      </c>
      <c r="BD59" s="27">
        <v>177</v>
      </c>
      <c r="BE59" s="27">
        <v>176</v>
      </c>
      <c r="BF59" s="27">
        <v>165</v>
      </c>
      <c r="BG59" s="27">
        <v>177</v>
      </c>
      <c r="BH59" s="27">
        <v>175</v>
      </c>
    </row>
    <row r="60" spans="3:60">
      <c r="C60" s="33" t="s">
        <v>428</v>
      </c>
      <c r="D60" s="23">
        <v>-9.4393854960799217E-3</v>
      </c>
      <c r="E60" s="23">
        <v>-1.5777338296175003E-2</v>
      </c>
      <c r="F60" s="26">
        <v>-0.3172488808631897</v>
      </c>
      <c r="G60" s="24">
        <v>-2.7189116925001144E-2</v>
      </c>
      <c r="H60" s="26">
        <v>-5.7199038565158844E-2</v>
      </c>
      <c r="I60" s="26">
        <v>-0.1386602371931076</v>
      </c>
      <c r="J60" s="25">
        <v>3.8953296840190887E-2</v>
      </c>
      <c r="K60" s="26">
        <v>-0.16450701653957367</v>
      </c>
      <c r="L60" s="26">
        <v>-0.41046896576881409</v>
      </c>
      <c r="M60" s="23">
        <v>-9.0679256245493889E-3</v>
      </c>
      <c r="N60" s="26">
        <v>-0.25636976957321167</v>
      </c>
      <c r="O60" s="26">
        <v>-0.30072647333145142</v>
      </c>
      <c r="P60" s="26">
        <v>-0.26953327655792236</v>
      </c>
      <c r="Q60" s="26">
        <v>-0.18761540949344635</v>
      </c>
      <c r="R60" s="26">
        <v>-0.25227615237236023</v>
      </c>
      <c r="S60" s="26">
        <v>0.20928482711315155</v>
      </c>
      <c r="T60" s="26">
        <v>0.28933405876159668</v>
      </c>
      <c r="U60" s="26">
        <v>0.34748256206512451</v>
      </c>
      <c r="V60" s="24">
        <v>-3.3321268856525421E-2</v>
      </c>
      <c r="W60" s="23">
        <v>1.3838872313499451E-2</v>
      </c>
      <c r="X60" s="26">
        <v>-0.25443658232688904</v>
      </c>
      <c r="Y60" s="23">
        <v>-1.0085913818329573E-3</v>
      </c>
      <c r="Z60" s="26">
        <v>-0.25553521513938904</v>
      </c>
      <c r="AA60" s="26">
        <v>-0.22719825804233551</v>
      </c>
      <c r="AB60" s="26">
        <v>-0.12147752195596695</v>
      </c>
      <c r="AC60" s="26">
        <v>-0.11636393517255783</v>
      </c>
      <c r="AD60" s="23">
        <v>1.3014553405810148E-4</v>
      </c>
      <c r="AE60" s="23">
        <v>-1.7545158043503761E-3</v>
      </c>
      <c r="AF60" s="26">
        <v>0.11967328190803528</v>
      </c>
      <c r="AG60" s="26">
        <v>-0.32896766066551208</v>
      </c>
      <c r="AH60" s="23">
        <v>-2.5117530021816492E-3</v>
      </c>
      <c r="AI60" s="26">
        <v>-0.20830820500850677</v>
      </c>
      <c r="AJ60" s="26">
        <v>-0.16992901265621185</v>
      </c>
      <c r="AK60" s="26">
        <v>-0.19759108126163483</v>
      </c>
      <c r="AL60" s="24">
        <v>-2.0617112517356873E-2</v>
      </c>
      <c r="AM60" s="26">
        <v>-0.13101419806480408</v>
      </c>
      <c r="AN60" s="24">
        <v>3.3512040972709656E-2</v>
      </c>
      <c r="AO60" s="25">
        <v>3.4943293780088425E-2</v>
      </c>
      <c r="AP60" s="26">
        <v>-0.15296684205532074</v>
      </c>
      <c r="AQ60" s="23">
        <v>-2.8307761531323195E-3</v>
      </c>
      <c r="AR60" s="23">
        <v>-4.0685329586267471E-3</v>
      </c>
      <c r="AS60" s="26">
        <v>-0.12246348708868027</v>
      </c>
      <c r="AT60" s="26">
        <v>-0.17710228264331818</v>
      </c>
      <c r="AU60" s="26">
        <v>0.22453600168228149</v>
      </c>
      <c r="AV60" s="26">
        <v>0.18046386539936066</v>
      </c>
      <c r="AW60" s="23">
        <v>4.8409876762889326E-4</v>
      </c>
      <c r="AX60" s="26">
        <v>-9.2559397220611572E-2</v>
      </c>
      <c r="AY60" s="26">
        <v>0.18255279958248138</v>
      </c>
      <c r="AZ60" s="26">
        <v>0.1576569527387619</v>
      </c>
      <c r="BA60" s="26">
        <v>0.1748126894235611</v>
      </c>
      <c r="BB60" s="30"/>
      <c r="BC60" s="27">
        <v>192</v>
      </c>
      <c r="BD60" s="29">
        <v>190</v>
      </c>
      <c r="BE60" s="27">
        <v>189</v>
      </c>
      <c r="BF60" s="27">
        <v>174</v>
      </c>
      <c r="BG60" s="29">
        <v>192</v>
      </c>
      <c r="BH60" s="27">
        <v>175</v>
      </c>
    </row>
    <row r="61" spans="3:60">
      <c r="C61" s="33" t="s">
        <v>429</v>
      </c>
      <c r="D61" s="23">
        <v>-1.837443932890892E-2</v>
      </c>
      <c r="E61" s="25">
        <v>-4.9606733024120331E-2</v>
      </c>
      <c r="F61" s="26">
        <v>-0.30614843964576721</v>
      </c>
      <c r="G61" s="25">
        <v>-4.4373955577611923E-2</v>
      </c>
      <c r="H61" s="26">
        <v>-0.25226950645446777</v>
      </c>
      <c r="I61" s="26">
        <v>-0.28893601894378662</v>
      </c>
      <c r="J61" s="23">
        <v>8.3391191437840462E-3</v>
      </c>
      <c r="K61" s="25">
        <v>-5.1710363477468491E-2</v>
      </c>
      <c r="L61" s="26">
        <v>-0.31843718886375427</v>
      </c>
      <c r="M61" s="23">
        <v>-7.6892990618944168E-3</v>
      </c>
      <c r="N61" s="26">
        <v>-0.2394135445356369</v>
      </c>
      <c r="O61" s="26">
        <v>-0.40828099846839905</v>
      </c>
      <c r="P61" s="26">
        <v>-0.22341091930866241</v>
      </c>
      <c r="Q61" s="26">
        <v>-0.21102982759475708</v>
      </c>
      <c r="R61" s="26">
        <v>-0.29684799909591675</v>
      </c>
      <c r="S61" s="26">
        <v>0.15480512380599976</v>
      </c>
      <c r="T61" s="26">
        <v>0.24961712956428528</v>
      </c>
      <c r="U61" s="26">
        <v>0.29816854000091553</v>
      </c>
      <c r="V61" s="23">
        <v>-1.1322107457090169E-4</v>
      </c>
      <c r="W61" s="24">
        <v>-2.4006249383091927E-2</v>
      </c>
      <c r="X61" s="26">
        <v>-0.27367085218429565</v>
      </c>
      <c r="Y61" s="23">
        <v>-6.1575374566018581E-3</v>
      </c>
      <c r="Z61" s="26">
        <v>-0.24224460124969482</v>
      </c>
      <c r="AA61" s="26">
        <v>-0.20501929521560669</v>
      </c>
      <c r="AB61" s="26">
        <v>-0.13843776285648346</v>
      </c>
      <c r="AC61" s="26">
        <v>-8.5157722234725952E-2</v>
      </c>
      <c r="AD61" s="24">
        <v>-3.125956654548645E-2</v>
      </c>
      <c r="AE61" s="23">
        <v>1.2284738477319479E-3</v>
      </c>
      <c r="AF61" s="24">
        <v>2.1686287596821785E-2</v>
      </c>
      <c r="AG61" s="26">
        <v>-0.2552458643913269</v>
      </c>
      <c r="AH61" s="24">
        <v>-2.1029748022556305E-2</v>
      </c>
      <c r="AI61" s="26">
        <v>-0.17282590270042419</v>
      </c>
      <c r="AJ61" s="26">
        <v>-0.21296884119510651</v>
      </c>
      <c r="AK61" s="26">
        <v>-0.19219738245010376</v>
      </c>
      <c r="AL61" s="25">
        <v>-3.514537587761879E-2</v>
      </c>
      <c r="AM61" s="26">
        <v>-8.4281481802463531E-2</v>
      </c>
      <c r="AN61" s="24">
        <v>2.0337279886007309E-2</v>
      </c>
      <c r="AO61" s="23">
        <v>8.9353602379560471E-3</v>
      </c>
      <c r="AP61" s="26">
        <v>-0.1407301127910614</v>
      </c>
      <c r="AQ61" s="23">
        <v>1.2429851107299328E-2</v>
      </c>
      <c r="AR61" s="23">
        <v>-1.2366798182483763E-4</v>
      </c>
      <c r="AS61" s="26">
        <v>-9.4633281230926514E-2</v>
      </c>
      <c r="AT61" s="26">
        <v>-0.19299307465553284</v>
      </c>
      <c r="AU61" s="26">
        <v>0.35620298981666565</v>
      </c>
      <c r="AV61" s="26">
        <v>0.40810370445251465</v>
      </c>
      <c r="AW61" s="25">
        <v>-4.4916752725839615E-2</v>
      </c>
      <c r="AX61" s="26">
        <v>-0.12300114333629608</v>
      </c>
      <c r="AY61" s="26">
        <v>0.426381915807724</v>
      </c>
      <c r="AZ61" s="26">
        <v>0.26367831230163574</v>
      </c>
      <c r="BA61" s="26">
        <v>0.23436647653579712</v>
      </c>
      <c r="BB61" s="26">
        <v>0.42449504137039185</v>
      </c>
      <c r="BC61" s="30"/>
      <c r="BD61" s="29">
        <v>190</v>
      </c>
      <c r="BE61" s="27">
        <v>189</v>
      </c>
      <c r="BF61" s="27">
        <v>174</v>
      </c>
      <c r="BG61" s="29">
        <v>192</v>
      </c>
      <c r="BH61" s="27">
        <v>175</v>
      </c>
    </row>
    <row r="62" spans="3:60">
      <c r="C62" s="33" t="s">
        <v>430</v>
      </c>
      <c r="D62" s="23">
        <v>-9.3474384630098939E-4</v>
      </c>
      <c r="E62" s="25">
        <v>-5.1055248826742172E-2</v>
      </c>
      <c r="F62" s="26">
        <v>-0.43200355768203735</v>
      </c>
      <c r="G62" s="25">
        <v>-3.6567568778991699E-2</v>
      </c>
      <c r="H62" s="26">
        <v>-0.25787264108657837</v>
      </c>
      <c r="I62" s="26">
        <v>-0.32105955481529236</v>
      </c>
      <c r="J62" s="23">
        <v>2.2415959392674267E-4</v>
      </c>
      <c r="K62" s="24">
        <v>-2.56029162555933E-2</v>
      </c>
      <c r="L62" s="26">
        <v>-0.44069239497184753</v>
      </c>
      <c r="M62" s="24">
        <v>-2.9451090842485428E-2</v>
      </c>
      <c r="N62" s="26">
        <v>-0.37994763255119324</v>
      </c>
      <c r="O62" s="28">
        <v>-0.61056232452392578</v>
      </c>
      <c r="P62" s="26">
        <v>-0.40662643313407898</v>
      </c>
      <c r="Q62" s="26">
        <v>-0.34058073163032532</v>
      </c>
      <c r="R62" s="26">
        <v>-0.44477570056915283</v>
      </c>
      <c r="S62" s="28">
        <v>0.54615461826324463</v>
      </c>
      <c r="T62" s="28">
        <v>0.50354444980621338</v>
      </c>
      <c r="U62" s="26">
        <v>0.47233733534812927</v>
      </c>
      <c r="V62" s="23">
        <v>4.2061951717187185E-6</v>
      </c>
      <c r="W62" s="23">
        <v>2.1238678600639105E-3</v>
      </c>
      <c r="X62" s="26">
        <v>-0.34166932106018066</v>
      </c>
      <c r="Y62" s="23">
        <v>9.7876379732042551E-4</v>
      </c>
      <c r="Z62" s="26">
        <v>-0.32100653648376465</v>
      </c>
      <c r="AA62" s="26">
        <v>-0.32387945055961609</v>
      </c>
      <c r="AB62" s="26">
        <v>-0.15412931144237518</v>
      </c>
      <c r="AC62" s="26">
        <v>-0.18373741209506989</v>
      </c>
      <c r="AD62" s="25">
        <v>-4.3520014733076096E-2</v>
      </c>
      <c r="AE62" s="23">
        <v>-1.8290067091584206E-3</v>
      </c>
      <c r="AF62" s="25">
        <v>4.9795243889093399E-2</v>
      </c>
      <c r="AG62" s="26">
        <v>-0.34478029608726501</v>
      </c>
      <c r="AH62" s="25">
        <v>-3.7609193474054337E-2</v>
      </c>
      <c r="AI62" s="26">
        <v>-0.31810456514358521</v>
      </c>
      <c r="AJ62" s="26">
        <v>-0.31431624293327332</v>
      </c>
      <c r="AK62" s="26">
        <v>-0.272958904504776</v>
      </c>
      <c r="AL62" s="26">
        <v>-7.7209614217281342E-2</v>
      </c>
      <c r="AM62" s="26">
        <v>-0.1594063937664032</v>
      </c>
      <c r="AN62" s="23">
        <v>-4.6475277486024424E-5</v>
      </c>
      <c r="AO62" s="23">
        <v>-1.1238049046369269E-4</v>
      </c>
      <c r="AP62" s="26">
        <v>-0.22147850692272186</v>
      </c>
      <c r="AQ62" s="23">
        <v>3.2186245080083609E-3</v>
      </c>
      <c r="AR62" s="23">
        <v>-1.0859962552785873E-2</v>
      </c>
      <c r="AS62" s="26">
        <v>-0.19057966768741608</v>
      </c>
      <c r="AT62" s="26">
        <v>-0.28743252158164978</v>
      </c>
      <c r="AU62" s="26">
        <v>0.43032404780387878</v>
      </c>
      <c r="AV62" s="26">
        <v>0.37433046102523804</v>
      </c>
      <c r="AW62" s="23">
        <v>-1.4430386945605278E-2</v>
      </c>
      <c r="AX62" s="26">
        <v>-0.12805020809173584</v>
      </c>
      <c r="AY62" s="26">
        <v>0.36251834034919739</v>
      </c>
      <c r="AZ62" s="26">
        <v>0.26788285374641418</v>
      </c>
      <c r="BA62" s="26">
        <v>0.2634301483631134</v>
      </c>
      <c r="BB62" s="28">
        <v>0.50277900695800781</v>
      </c>
      <c r="BC62" s="28">
        <v>0.55287528038024902</v>
      </c>
      <c r="BD62" s="30"/>
      <c r="BE62" s="27">
        <v>188</v>
      </c>
      <c r="BF62" s="27">
        <v>174</v>
      </c>
      <c r="BG62" s="29">
        <v>190</v>
      </c>
      <c r="BH62" s="27">
        <v>175</v>
      </c>
    </row>
    <row r="63" spans="3:60">
      <c r="C63" s="33" t="s">
        <v>431</v>
      </c>
      <c r="D63" s="23">
        <v>-1.8980255117639899E-3</v>
      </c>
      <c r="E63" s="25">
        <v>-4.4444911181926727E-2</v>
      </c>
      <c r="F63" s="26">
        <v>-0.48007440567016602</v>
      </c>
      <c r="G63" s="23">
        <v>-1.7414705827832222E-2</v>
      </c>
      <c r="H63" s="26">
        <v>-0.21058046817779541</v>
      </c>
      <c r="I63" s="26">
        <v>-0.29522228240966797</v>
      </c>
      <c r="J63" s="24">
        <v>-3.0052704736590385E-2</v>
      </c>
      <c r="K63" s="23">
        <v>-5.4012745385989547E-4</v>
      </c>
      <c r="L63" s="28">
        <v>-0.63303267955780029</v>
      </c>
      <c r="M63" s="24">
        <v>-2.5731215253472328E-2</v>
      </c>
      <c r="N63" s="26">
        <v>-0.23779673874378204</v>
      </c>
      <c r="O63" s="26">
        <v>-0.33697307109832764</v>
      </c>
      <c r="P63" s="26">
        <v>-0.33924686908721924</v>
      </c>
      <c r="Q63" s="28">
        <v>-0.6043822169303894</v>
      </c>
      <c r="R63" s="28">
        <v>-0.61199218034744263</v>
      </c>
      <c r="S63" s="26">
        <v>0.28036841750144958</v>
      </c>
      <c r="T63" s="28">
        <v>0.50224953889846802</v>
      </c>
      <c r="U63" s="28">
        <v>0.59241533279418945</v>
      </c>
      <c r="V63" s="23">
        <v>-1.1183934286236763E-2</v>
      </c>
      <c r="W63" s="23">
        <v>8.3606289699673653E-3</v>
      </c>
      <c r="X63" s="26">
        <v>-0.40779274702072144</v>
      </c>
      <c r="Y63" s="26">
        <v>6.078030914068222E-2</v>
      </c>
      <c r="Z63" s="26">
        <v>-0.44759327173233032</v>
      </c>
      <c r="AA63" s="26">
        <v>-0.48810407519340515</v>
      </c>
      <c r="AB63" s="26">
        <v>-0.11387008428573608</v>
      </c>
      <c r="AC63" s="26">
        <v>-0.27776363492012024</v>
      </c>
      <c r="AD63" s="26">
        <v>-9.1061681509017944E-2</v>
      </c>
      <c r="AE63" s="23">
        <v>-7.3049105703830719E-3</v>
      </c>
      <c r="AF63" s="23">
        <v>1.3312517665326595E-2</v>
      </c>
      <c r="AG63" s="28">
        <v>-0.50489318370819092</v>
      </c>
      <c r="AH63" s="26">
        <v>-7.0281043648719788E-2</v>
      </c>
      <c r="AI63" s="26">
        <v>-0.27368807792663574</v>
      </c>
      <c r="AJ63" s="26">
        <v>-0.40011808276176453</v>
      </c>
      <c r="AK63" s="26">
        <v>-0.43490424752235413</v>
      </c>
      <c r="AL63" s="26">
        <v>-0.4432237446308136</v>
      </c>
      <c r="AM63" s="26">
        <v>-0.38246962428092957</v>
      </c>
      <c r="AN63" s="23">
        <v>-9.556611068546772E-3</v>
      </c>
      <c r="AO63" s="23">
        <v>-5.6216749362647533E-3</v>
      </c>
      <c r="AP63" s="26">
        <v>-0.479850172996521</v>
      </c>
      <c r="AQ63" s="23">
        <v>-3.1765055609866977E-4</v>
      </c>
      <c r="AR63" s="23">
        <v>-2.780040493234992E-3</v>
      </c>
      <c r="AS63" s="26">
        <v>-0.24425257742404938</v>
      </c>
      <c r="AT63" s="28">
        <v>-0.53511530160903931</v>
      </c>
      <c r="AU63" s="26">
        <v>0.35847786068916321</v>
      </c>
      <c r="AV63" s="26">
        <v>0.29979574680328369</v>
      </c>
      <c r="AW63" s="24">
        <v>2.6669900864362717E-2</v>
      </c>
      <c r="AX63" s="24">
        <v>-2.5752872228622437E-2</v>
      </c>
      <c r="AY63" s="26">
        <v>0.23148816823959351</v>
      </c>
      <c r="AZ63" s="26">
        <v>0.10063261538743973</v>
      </c>
      <c r="BA63" s="26">
        <v>0.26149630546569824</v>
      </c>
      <c r="BB63" s="26">
        <v>0.16781774163246155</v>
      </c>
      <c r="BC63" s="26">
        <v>0.19876150786876678</v>
      </c>
      <c r="BD63" s="26">
        <v>0.27731660008430481</v>
      </c>
      <c r="BE63" s="30"/>
      <c r="BF63" s="27">
        <v>174</v>
      </c>
      <c r="BG63" s="27">
        <v>189</v>
      </c>
      <c r="BH63" s="27">
        <v>174</v>
      </c>
    </row>
    <row r="64" spans="3:60">
      <c r="C64" s="33" t="s">
        <v>432</v>
      </c>
      <c r="D64" s="23">
        <v>-1.9256703555583954E-2</v>
      </c>
      <c r="E64" s="23">
        <v>-1.0434143245220184E-2</v>
      </c>
      <c r="F64" s="26">
        <v>-0.34874042868614197</v>
      </c>
      <c r="G64" s="25">
        <v>-5.0384521484375E-2</v>
      </c>
      <c r="H64" s="26">
        <v>-0.36451160907745361</v>
      </c>
      <c r="I64" s="26">
        <v>-0.3169398307800293</v>
      </c>
      <c r="J64" s="26">
        <v>-6.9516569375991821E-2</v>
      </c>
      <c r="K64" s="23">
        <v>1.070608664304018E-2</v>
      </c>
      <c r="L64" s="26">
        <v>-0.41053757071495056</v>
      </c>
      <c r="M64" s="25">
        <v>-5.8328721672296524E-2</v>
      </c>
      <c r="N64" s="26">
        <v>-0.2683073878288269</v>
      </c>
      <c r="O64" s="26">
        <v>-0.38589701056480408</v>
      </c>
      <c r="P64" s="26">
        <v>-0.33835923671722412</v>
      </c>
      <c r="Q64" s="28">
        <v>-0.58776295185089111</v>
      </c>
      <c r="R64" s="28">
        <v>-0.60552561283111572</v>
      </c>
      <c r="S64" s="26">
        <v>0.19647632539272308</v>
      </c>
      <c r="T64" s="26">
        <v>0.21841831505298615</v>
      </c>
      <c r="U64" s="26">
        <v>0.46631693840026855</v>
      </c>
      <c r="V64" s="23">
        <v>-1.4873950276523829E-3</v>
      </c>
      <c r="W64" s="23">
        <v>-5.8148236712440848E-4</v>
      </c>
      <c r="X64" s="26">
        <v>-0.33806252479553223</v>
      </c>
      <c r="Y64" s="26">
        <v>0.19744019210338593</v>
      </c>
      <c r="Z64" s="26">
        <v>-0.25302448868751526</v>
      </c>
      <c r="AA64" s="26">
        <v>-0.4035516083240509</v>
      </c>
      <c r="AB64" s="26">
        <v>-0.27356839179992676</v>
      </c>
      <c r="AC64" s="26">
        <v>-0.37240833044052124</v>
      </c>
      <c r="AD64" s="26">
        <v>-0.14967840909957886</v>
      </c>
      <c r="AE64" s="23">
        <v>5.6247031316161156E-3</v>
      </c>
      <c r="AF64" s="24">
        <v>-2.219860814511776E-2</v>
      </c>
      <c r="AG64" s="26">
        <v>-0.3908531665802002</v>
      </c>
      <c r="AH64" s="23">
        <v>-5.0466583343222737E-4</v>
      </c>
      <c r="AI64" s="28">
        <v>-0.57664436101913452</v>
      </c>
      <c r="AJ64" s="26">
        <v>-0.49119541049003601</v>
      </c>
      <c r="AK64" s="28">
        <v>-0.51877063512802124</v>
      </c>
      <c r="AL64" s="26">
        <v>-0.24959753453731537</v>
      </c>
      <c r="AM64" s="26">
        <v>-0.39526686072349548</v>
      </c>
      <c r="AN64" s="23">
        <v>-7.1322903968393803E-3</v>
      </c>
      <c r="AO64" s="23">
        <v>-1.1540469713509083E-2</v>
      </c>
      <c r="AP64" s="26">
        <v>-0.422547847032547</v>
      </c>
      <c r="AQ64" s="23">
        <v>1.9632566720247269E-2</v>
      </c>
      <c r="AR64" s="23">
        <v>-8.3631007000803947E-3</v>
      </c>
      <c r="AS64" s="26">
        <v>-0.22976525127887726</v>
      </c>
      <c r="AT64" s="28">
        <v>-0.58913886547088623</v>
      </c>
      <c r="AU64" s="26">
        <v>0.24275295436382294</v>
      </c>
      <c r="AV64" s="26">
        <v>0.20684172213077545</v>
      </c>
      <c r="AW64" s="24">
        <v>-3.758561983704567E-2</v>
      </c>
      <c r="AX64" s="26">
        <v>-0.2105458676815033</v>
      </c>
      <c r="AY64" s="26">
        <v>0.19686062633991241</v>
      </c>
      <c r="AZ64" s="23">
        <v>1.206350140273571E-2</v>
      </c>
      <c r="BA64" s="26">
        <v>0.23985159397125244</v>
      </c>
      <c r="BB64" s="26">
        <v>0.1147446408867836</v>
      </c>
      <c r="BC64" s="26">
        <v>0.21962274610996246</v>
      </c>
      <c r="BD64" s="26">
        <v>0.21459424495697021</v>
      </c>
      <c r="BE64" s="26">
        <v>0.32845151424407959</v>
      </c>
      <c r="BF64" s="30"/>
      <c r="BG64" s="27">
        <v>174</v>
      </c>
      <c r="BH64">
        <v>163</v>
      </c>
    </row>
    <row r="65" spans="3:60">
      <c r="C65" s="33" t="s">
        <v>433</v>
      </c>
      <c r="D65" s="23">
        <v>-1.0626418225001544E-4</v>
      </c>
      <c r="E65" s="26">
        <v>-6.0528945177793503E-2</v>
      </c>
      <c r="F65" s="26">
        <v>-0.49378204345703125</v>
      </c>
      <c r="G65" s="25">
        <v>-3.8241669535636902E-2</v>
      </c>
      <c r="H65" s="26">
        <v>-0.27790093421936035</v>
      </c>
      <c r="I65" s="26">
        <v>-0.36307767033576965</v>
      </c>
      <c r="J65" s="23">
        <v>1.9876704027410597E-4</v>
      </c>
      <c r="K65" s="25">
        <v>-4.2567569762468338E-2</v>
      </c>
      <c r="L65" s="28">
        <v>-0.50904732942581177</v>
      </c>
      <c r="M65" s="24">
        <v>-2.24944818764925E-2</v>
      </c>
      <c r="N65" s="26">
        <v>-0.40337827801704407</v>
      </c>
      <c r="O65" s="28">
        <v>-0.64543229341506958</v>
      </c>
      <c r="P65" s="26">
        <v>-0.43162527680397034</v>
      </c>
      <c r="Q65" s="26">
        <v>-0.39352080225944519</v>
      </c>
      <c r="R65" s="28">
        <v>-0.5105019211769104</v>
      </c>
      <c r="S65" s="26">
        <v>0.34216096997261047</v>
      </c>
      <c r="T65" s="28">
        <v>0.5639883279800415</v>
      </c>
      <c r="U65" s="28">
        <v>0.52972888946533203</v>
      </c>
      <c r="V65" s="23">
        <v>-2.426051301881671E-3</v>
      </c>
      <c r="W65" s="23">
        <v>7.8422399237751961E-3</v>
      </c>
      <c r="X65" s="26">
        <v>-0.39017078280448914</v>
      </c>
      <c r="Y65" s="23">
        <v>4.3935016728937626E-3</v>
      </c>
      <c r="Z65" s="26">
        <v>-0.38834452629089355</v>
      </c>
      <c r="AA65" s="26">
        <v>-0.38764488697052002</v>
      </c>
      <c r="AB65" s="26">
        <v>-0.22524873912334442</v>
      </c>
      <c r="AC65" s="26">
        <v>-0.17493103444576263</v>
      </c>
      <c r="AD65" s="26">
        <v>-5.5739328265190125E-2</v>
      </c>
      <c r="AE65" s="23">
        <v>-1.2432236690074205E-4</v>
      </c>
      <c r="AF65" s="25">
        <v>4.5144017785787582E-2</v>
      </c>
      <c r="AG65" s="26">
        <v>-0.39427459239959717</v>
      </c>
      <c r="AH65" s="24">
        <v>-2.8001537546515465E-2</v>
      </c>
      <c r="AI65" s="26">
        <v>-0.33304032683372498</v>
      </c>
      <c r="AJ65" s="26">
        <v>-0.3338610827922821</v>
      </c>
      <c r="AK65" s="26">
        <v>-0.33154001832008362</v>
      </c>
      <c r="AL65" s="26">
        <v>-9.6262581646442413E-2</v>
      </c>
      <c r="AM65" s="26">
        <v>-0.19328850507736206</v>
      </c>
      <c r="AN65" s="23">
        <v>5.1081535639241338E-4</v>
      </c>
      <c r="AO65" s="23">
        <v>3.6578960716724396E-3</v>
      </c>
      <c r="AP65" s="26">
        <v>-0.25851324200630188</v>
      </c>
      <c r="AQ65" s="23">
        <v>2.1703511010855436E-3</v>
      </c>
      <c r="AR65" s="23">
        <v>-1.9208595156669617E-2</v>
      </c>
      <c r="AS65" s="26">
        <v>-0.25381851196289062</v>
      </c>
      <c r="AT65" s="26">
        <v>-0.32606860995292664</v>
      </c>
      <c r="AU65" s="26">
        <v>0.46912595629692078</v>
      </c>
      <c r="AV65" s="26">
        <v>0.4027060866355896</v>
      </c>
      <c r="AW65" s="23">
        <v>-4.5739691704511642E-3</v>
      </c>
      <c r="AX65" s="26">
        <v>-0.1061987429857254</v>
      </c>
      <c r="AY65" s="26">
        <v>0.37864404916763306</v>
      </c>
      <c r="AZ65" s="26">
        <v>0.31737387180328369</v>
      </c>
      <c r="BA65" s="26">
        <v>0.33406078815460205</v>
      </c>
      <c r="BB65" s="28">
        <v>0.57929879426956177</v>
      </c>
      <c r="BC65" s="28">
        <v>0.61368948221206665</v>
      </c>
      <c r="BD65" s="28">
        <v>0.89402449131011963</v>
      </c>
      <c r="BE65" s="26">
        <v>0.32146260142326355</v>
      </c>
      <c r="BF65" s="26">
        <v>0.24049431085586548</v>
      </c>
      <c r="BG65" s="30"/>
      <c r="BH65" s="27">
        <v>175</v>
      </c>
    </row>
    <row r="66" spans="3:60">
      <c r="C66" s="33" t="s">
        <v>434</v>
      </c>
      <c r="D66" s="23">
        <v>3.8741845637559891E-3</v>
      </c>
      <c r="E66" s="23">
        <v>-5.2706301212310791E-3</v>
      </c>
      <c r="F66" s="24">
        <v>-3.9340641349554062E-2</v>
      </c>
      <c r="G66" s="23">
        <v>4.3233204632997513E-3</v>
      </c>
      <c r="H66" s="23">
        <v>-4.9692254833644256E-5</v>
      </c>
      <c r="I66" s="23">
        <v>-3.8355819415301085E-3</v>
      </c>
      <c r="J66" s="24">
        <v>3.484383225440979E-2</v>
      </c>
      <c r="K66" s="24">
        <v>-2.2879552096128464E-2</v>
      </c>
      <c r="L66" s="26">
        <v>-0.12721937894821167</v>
      </c>
      <c r="M66" s="23">
        <v>-1.938111730851233E-3</v>
      </c>
      <c r="N66" s="24">
        <v>-3.4589365124702454E-2</v>
      </c>
      <c r="O66" s="25">
        <v>-6.0795247554779053E-2</v>
      </c>
      <c r="P66" s="25">
        <v>-5.045657604932785E-2</v>
      </c>
      <c r="Q66" s="24">
        <v>-3.6376878619194031E-2</v>
      </c>
      <c r="R66" s="25">
        <v>-3.924141451716423E-2</v>
      </c>
      <c r="S66" s="25">
        <v>3.9218433201313019E-2</v>
      </c>
      <c r="T66" s="26">
        <v>0.18116270005702972</v>
      </c>
      <c r="U66" s="26">
        <v>7.7901504933834076E-2</v>
      </c>
      <c r="V66" s="23">
        <v>8.0251600593328476E-3</v>
      </c>
      <c r="W66" s="23">
        <v>1.0994649492204189E-2</v>
      </c>
      <c r="X66" s="26">
        <v>-6.1107020825147629E-2</v>
      </c>
      <c r="Y66" s="23">
        <v>-3.6844003479927778E-3</v>
      </c>
      <c r="Z66" s="26">
        <v>-0.12011077255010605</v>
      </c>
      <c r="AA66" s="26">
        <v>-6.640615314245224E-2</v>
      </c>
      <c r="AB66" s="26">
        <v>-7.7470093965530396E-2</v>
      </c>
      <c r="AC66" s="23">
        <v>-6.532511065415747E-7</v>
      </c>
      <c r="AD66" s="23">
        <v>9.4353519380092621E-3</v>
      </c>
      <c r="AE66" s="23">
        <v>-1.7291989177465439E-2</v>
      </c>
      <c r="AF66" s="24">
        <v>2.5351831689476967E-2</v>
      </c>
      <c r="AG66" s="26">
        <v>-8.0187886953353882E-2</v>
      </c>
      <c r="AH66" s="23">
        <v>3.0567971407435834E-4</v>
      </c>
      <c r="AI66" s="23">
        <v>-1.7242062836885452E-2</v>
      </c>
      <c r="AJ66" s="23">
        <v>-6.8022273480892181E-3</v>
      </c>
      <c r="AK66" s="24">
        <v>-3.5253815352916718E-2</v>
      </c>
      <c r="AL66" s="23">
        <v>-2.0861290977336466E-4</v>
      </c>
      <c r="AM66" s="23">
        <v>-5.3611160255968571E-3</v>
      </c>
      <c r="AN66" s="23">
        <v>-3.6925503518432379E-3</v>
      </c>
      <c r="AO66" s="23">
        <v>2.9411395985334821E-8</v>
      </c>
      <c r="AP66" s="24">
        <v>-3.3826597034931183E-2</v>
      </c>
      <c r="AQ66" s="24">
        <v>-3.1662154942750931E-2</v>
      </c>
      <c r="AR66" s="23">
        <v>-2.0856605842709541E-2</v>
      </c>
      <c r="AS66" s="24">
        <v>-2.3755913600325584E-2</v>
      </c>
      <c r="AT66" s="23">
        <v>-1.2485348619520664E-2</v>
      </c>
      <c r="AU66" s="26">
        <v>0.13879550993442535</v>
      </c>
      <c r="AV66" s="25">
        <v>4.2548984289169312E-2</v>
      </c>
      <c r="AW66" s="26">
        <v>6.7712582647800446E-2</v>
      </c>
      <c r="AX66" s="23">
        <v>-4.5995315304026008E-4</v>
      </c>
      <c r="AY66" s="23">
        <v>1.4060946181416512E-2</v>
      </c>
      <c r="AZ66" s="26">
        <v>0.11438238620758057</v>
      </c>
      <c r="BA66" s="26">
        <v>9.1925166547298431E-2</v>
      </c>
      <c r="BB66" s="26">
        <v>8.7205104529857635E-2</v>
      </c>
      <c r="BC66" s="26">
        <v>6.0123395174741745E-2</v>
      </c>
      <c r="BD66" s="26">
        <v>0.14638563990592957</v>
      </c>
      <c r="BE66" s="26">
        <v>7.5352609157562256E-2</v>
      </c>
      <c r="BF66" s="23">
        <v>4.3643682147376239E-4</v>
      </c>
      <c r="BG66" s="26">
        <v>0.16769340634346008</v>
      </c>
      <c r="BH66" s="30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2]!PairCompare">
                <anchor moveWithCells="1" sizeWithCells="1">
                  <from>
                    <xdr:col>0</xdr:col>
                    <xdr:colOff>127000</xdr:colOff>
                    <xdr:row>9</xdr:row>
                    <xdr:rowOff>152400</xdr:rowOff>
                  </from>
                  <to>
                    <xdr:col>1</xdr:col>
                    <xdr:colOff>444500</xdr:colOff>
                    <xdr:row>11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I195"/>
  <sheetViews>
    <sheetView topLeftCell="B1" workbookViewId="0">
      <selection activeCell="R35" sqref="R35"/>
    </sheetView>
  </sheetViews>
  <sheetFormatPr baseColWidth="10" defaultRowHeight="15" x14ac:dyDescent="0"/>
  <cols>
    <col min="6" max="6" width="11.83203125" bestFit="1" customWidth="1"/>
  </cols>
  <sheetData>
    <row r="3" spans="3:9" ht="135">
      <c r="E3" s="13" t="s">
        <v>498</v>
      </c>
      <c r="F3" s="13" t="s">
        <v>500</v>
      </c>
      <c r="G3" s="13" t="s">
        <v>501</v>
      </c>
      <c r="H3" s="13" t="s">
        <v>502</v>
      </c>
      <c r="I3" s="13" t="s">
        <v>503</v>
      </c>
    </row>
    <row r="4" spans="3:9">
      <c r="C4" s="1" t="s">
        <v>173</v>
      </c>
      <c r="D4" s="1" t="s">
        <v>192</v>
      </c>
      <c r="E4" s="34">
        <v>0.60678818374601995</v>
      </c>
      <c r="F4" s="35">
        <v>0.43872589444444443</v>
      </c>
      <c r="G4">
        <v>6235280000</v>
      </c>
      <c r="H4">
        <v>17243112603.552856</v>
      </c>
      <c r="I4" s="2">
        <v>36.160988699425715</v>
      </c>
    </row>
    <row r="5" spans="3:9">
      <c r="C5" s="1" t="s">
        <v>123</v>
      </c>
      <c r="D5" s="1" t="s">
        <v>193</v>
      </c>
      <c r="E5" s="34">
        <v>0.33432753286334033</v>
      </c>
      <c r="F5" s="35">
        <v>9.4141243113590942</v>
      </c>
      <c r="G5">
        <v>357940000</v>
      </c>
      <c r="H5">
        <v>11786099137.931034</v>
      </c>
      <c r="I5" s="2">
        <v>3.0369674971428573</v>
      </c>
    </row>
    <row r="6" spans="3:9">
      <c r="C6" s="1" t="s">
        <v>74</v>
      </c>
      <c r="D6" s="1" t="s">
        <v>194</v>
      </c>
      <c r="E6" s="34">
        <v>0.30726395206854085</v>
      </c>
      <c r="F6" s="35">
        <v>1.4371596060420111</v>
      </c>
      <c r="G6">
        <v>319330000</v>
      </c>
      <c r="H6">
        <v>159425577393.59558</v>
      </c>
      <c r="I6" s="2">
        <v>0.20030035658056716</v>
      </c>
    </row>
    <row r="7" spans="3:9">
      <c r="C7" s="1" t="s">
        <v>17</v>
      </c>
      <c r="D7" s="1" t="s">
        <v>195</v>
      </c>
      <c r="E7" s="34" t="e">
        <v>#N/A</v>
      </c>
      <c r="F7" s="35" t="e">
        <v>#N/A</v>
      </c>
      <c r="G7" t="e">
        <v>#N/A</v>
      </c>
      <c r="H7" t="e">
        <v>#N/A</v>
      </c>
      <c r="I7" s="2" t="e">
        <v>#N/A</v>
      </c>
    </row>
    <row r="8" spans="3:9">
      <c r="C8" s="1" t="s">
        <v>98</v>
      </c>
      <c r="D8" s="1" t="s">
        <v>196</v>
      </c>
      <c r="E8" s="34">
        <v>0.53224087750075044</v>
      </c>
      <c r="F8" s="35">
        <v>-3.8241370666953585</v>
      </c>
      <c r="G8">
        <v>239490000</v>
      </c>
      <c r="H8">
        <v>84390572976.737091</v>
      </c>
      <c r="I8" s="2">
        <v>0.28378762171222283</v>
      </c>
    </row>
    <row r="9" spans="3:9">
      <c r="C9" s="1" t="s">
        <v>157</v>
      </c>
      <c r="D9" s="1" t="s">
        <v>197</v>
      </c>
      <c r="E9" s="34">
        <v>0.35074503175938637</v>
      </c>
      <c r="F9" s="35">
        <v>4.7467147607757303</v>
      </c>
      <c r="G9">
        <v>5940000</v>
      </c>
      <c r="H9">
        <v>1211324625.822222</v>
      </c>
      <c r="I9" s="2">
        <v>0.49037226465763062</v>
      </c>
    </row>
    <row r="10" spans="3:9">
      <c r="C10" s="1" t="s">
        <v>13</v>
      </c>
      <c r="D10" s="1" t="s">
        <v>198</v>
      </c>
      <c r="E10" s="34">
        <v>0.23071816793476735</v>
      </c>
      <c r="F10" s="35">
        <v>1.7185267334828791</v>
      </c>
      <c r="G10">
        <v>127740000</v>
      </c>
      <c r="H10">
        <v>368736062143.66998</v>
      </c>
      <c r="I10" s="2">
        <v>3.4642665340996373E-2</v>
      </c>
    </row>
    <row r="11" spans="3:9">
      <c r="C11" s="1" t="s">
        <v>75</v>
      </c>
      <c r="D11" s="1" t="s">
        <v>199</v>
      </c>
      <c r="E11" s="34">
        <v>0.28053467238785246</v>
      </c>
      <c r="F11" s="35">
        <v>6.0831140102497185</v>
      </c>
      <c r="G11">
        <v>527600000</v>
      </c>
      <c r="H11">
        <v>9371187175.5071449</v>
      </c>
      <c r="I11" s="2">
        <v>5.6300230709184147</v>
      </c>
    </row>
    <row r="12" spans="3:9">
      <c r="C12" s="1" t="s">
        <v>16</v>
      </c>
      <c r="D12" s="1" t="s">
        <v>200</v>
      </c>
      <c r="E12" s="34">
        <v>0.18419438676784475</v>
      </c>
      <c r="F12" s="35">
        <v>2.9459653117277789</v>
      </c>
      <c r="G12" t="e">
        <v>#N/A</v>
      </c>
      <c r="H12">
        <v>924843128520.74121</v>
      </c>
      <c r="I12" s="2" t="e">
        <v>#N/A</v>
      </c>
    </row>
    <row r="13" spans="3:9">
      <c r="C13" s="1" t="s">
        <v>69</v>
      </c>
      <c r="D13" s="1" t="s">
        <v>201</v>
      </c>
      <c r="E13" s="34">
        <v>0.17276027499482055</v>
      </c>
      <c r="F13" s="35">
        <v>-7.0185250841523192</v>
      </c>
      <c r="G13" t="e">
        <v>#N/A</v>
      </c>
      <c r="H13">
        <v>379069258278.14569</v>
      </c>
      <c r="I13" s="2" t="e">
        <v>#N/A</v>
      </c>
    </row>
    <row r="14" spans="3:9">
      <c r="C14" s="1" t="s">
        <v>110</v>
      </c>
      <c r="D14" s="1" t="s">
        <v>202</v>
      </c>
      <c r="E14" s="34">
        <v>0.28489006576531944</v>
      </c>
      <c r="F14" s="35">
        <v>1.0876686927386128</v>
      </c>
      <c r="G14">
        <v>232320000</v>
      </c>
      <c r="H14">
        <v>51774221668.74221</v>
      </c>
      <c r="I14" s="2">
        <v>0.44871751329534554</v>
      </c>
    </row>
    <row r="15" spans="3:9">
      <c r="C15" s="1" t="s">
        <v>26</v>
      </c>
      <c r="D15" s="1" t="s">
        <v>203</v>
      </c>
      <c r="E15" s="34">
        <v>0.32917643034138644</v>
      </c>
      <c r="F15" s="35">
        <v>11.428442557707614</v>
      </c>
      <c r="G15">
        <v>4750000</v>
      </c>
      <c r="H15">
        <v>7538000000</v>
      </c>
      <c r="I15" s="2">
        <v>6.3014062085433808E-2</v>
      </c>
    </row>
    <row r="16" spans="3:9">
      <c r="C16" s="1" t="s">
        <v>15</v>
      </c>
      <c r="D16" s="1" t="s">
        <v>204</v>
      </c>
      <c r="E16" s="34">
        <v>0.31245285791858202</v>
      </c>
      <c r="F16" s="35">
        <v>1.2486079665244378</v>
      </c>
      <c r="G16">
        <v>57430000</v>
      </c>
      <c r="H16">
        <v>20594899945.744102</v>
      </c>
      <c r="I16" s="2">
        <v>0.27885544552921121</v>
      </c>
    </row>
    <row r="17" spans="3:9">
      <c r="C17" s="1" t="s">
        <v>166</v>
      </c>
      <c r="D17" s="1" t="s">
        <v>205</v>
      </c>
      <c r="E17" s="34">
        <v>0.50162757086255194</v>
      </c>
      <c r="F17" s="35">
        <v>0.96420297373565766</v>
      </c>
      <c r="G17">
        <v>1226940000</v>
      </c>
      <c r="H17">
        <v>100357022443.83257</v>
      </c>
      <c r="I17" s="2">
        <v>1.222575132384671</v>
      </c>
    </row>
    <row r="18" spans="3:9">
      <c r="C18" s="1" t="s">
        <v>133</v>
      </c>
      <c r="D18" s="1" t="s">
        <v>206</v>
      </c>
      <c r="E18" s="34">
        <v>0.35205107872874314</v>
      </c>
      <c r="F18" s="35">
        <v>1.9467088453583161</v>
      </c>
      <c r="G18">
        <v>12210000</v>
      </c>
      <c r="H18">
        <v>4109500000</v>
      </c>
      <c r="I18" s="2">
        <v>0.29711643752281297</v>
      </c>
    </row>
    <row r="19" spans="3:9">
      <c r="C19" s="1" t="s">
        <v>51</v>
      </c>
      <c r="D19" s="1" t="s">
        <v>207</v>
      </c>
      <c r="E19" s="34">
        <v>0.20778917149386739</v>
      </c>
      <c r="F19" s="35">
        <v>2.5639184627732821</v>
      </c>
      <c r="G19">
        <v>98050000</v>
      </c>
      <c r="H19">
        <v>54713128376.268669</v>
      </c>
      <c r="I19" s="2">
        <v>0.17920744601862013</v>
      </c>
    </row>
    <row r="20" spans="3:9">
      <c r="C20" s="1" t="s">
        <v>4</v>
      </c>
      <c r="D20" s="1" t="s">
        <v>208</v>
      </c>
      <c r="E20" s="34">
        <v>0.21750620153419656</v>
      </c>
      <c r="F20" s="35">
        <v>13.381940050042552</v>
      </c>
      <c r="G20" t="e">
        <v>#N/A</v>
      </c>
      <c r="H20">
        <v>469374172185.43048</v>
      </c>
      <c r="I20" s="2" t="e">
        <v>#N/A</v>
      </c>
    </row>
    <row r="21" spans="3:9">
      <c r="C21" s="1" t="s">
        <v>109</v>
      </c>
      <c r="D21" s="1" t="s">
        <v>209</v>
      </c>
      <c r="E21" s="34" t="e">
        <v>#N/A</v>
      </c>
      <c r="F21" s="35">
        <v>6.8843595348896072</v>
      </c>
      <c r="G21">
        <v>27860000</v>
      </c>
      <c r="H21">
        <v>1401000000</v>
      </c>
      <c r="I21" s="2">
        <v>1.9885795860099929</v>
      </c>
    </row>
    <row r="22" spans="3:9">
      <c r="C22" s="1" t="s">
        <v>132</v>
      </c>
      <c r="D22" s="1" t="s">
        <v>210</v>
      </c>
      <c r="E22" s="34">
        <v>0.4638565564451243</v>
      </c>
      <c r="F22" s="35">
        <v>1.6723815174114209</v>
      </c>
      <c r="G22">
        <v>682910000</v>
      </c>
      <c r="H22">
        <v>6633055845.5167513</v>
      </c>
      <c r="I22" s="2">
        <v>10.295556315292828</v>
      </c>
    </row>
    <row r="23" spans="3:9">
      <c r="C23" s="1" t="s">
        <v>146</v>
      </c>
      <c r="D23" s="1" t="s">
        <v>211</v>
      </c>
      <c r="E23" s="34">
        <v>0.42436500528127041</v>
      </c>
      <c r="F23" s="35">
        <v>0.77111825060897343</v>
      </c>
      <c r="G23">
        <v>125420000</v>
      </c>
      <c r="H23">
        <v>1516078205.3553376</v>
      </c>
      <c r="I23" s="2">
        <v>8.2726603124410811</v>
      </c>
    </row>
    <row r="24" spans="3:9">
      <c r="C24" s="1" t="s">
        <v>72</v>
      </c>
      <c r="D24" s="1" t="s">
        <v>212</v>
      </c>
      <c r="E24" s="34">
        <v>0.35409716678887782</v>
      </c>
      <c r="F24" s="35">
        <v>3.1654285261023012</v>
      </c>
      <c r="G24">
        <v>725830000</v>
      </c>
      <c r="H24">
        <v>19649724655.58194</v>
      </c>
      <c r="I24" s="2">
        <v>3.6938431083501819</v>
      </c>
    </row>
    <row r="25" spans="3:9">
      <c r="C25" s="1" t="s">
        <v>122</v>
      </c>
      <c r="D25" s="1" t="s">
        <v>213</v>
      </c>
      <c r="E25" s="34">
        <v>0.23903176193975847</v>
      </c>
      <c r="F25" s="35">
        <v>1.396675033939341</v>
      </c>
      <c r="G25">
        <v>415150000</v>
      </c>
      <c r="H25">
        <v>16577887610.020311</v>
      </c>
      <c r="I25" s="2">
        <v>2.5042394409108395</v>
      </c>
    </row>
    <row r="26" spans="3:9">
      <c r="C26" s="1" t="s">
        <v>90</v>
      </c>
      <c r="D26" s="1" t="s">
        <v>214</v>
      </c>
      <c r="E26" s="34">
        <v>0.37875854409701254</v>
      </c>
      <c r="F26" s="35">
        <v>3.5624187041875941</v>
      </c>
      <c r="G26">
        <v>279600000</v>
      </c>
      <c r="H26">
        <v>14857275329.700508</v>
      </c>
      <c r="I26" s="2">
        <v>1.8819062970520863</v>
      </c>
    </row>
    <row r="27" spans="3:9">
      <c r="C27" s="1" t="s">
        <v>23</v>
      </c>
      <c r="D27" s="1" t="s">
        <v>215</v>
      </c>
      <c r="E27" s="34">
        <v>0.26537966326154672</v>
      </c>
      <c r="F27" s="35">
        <v>2.319937593589628</v>
      </c>
      <c r="G27">
        <v>338460000</v>
      </c>
      <c r="H27">
        <v>2087889553821.6841</v>
      </c>
      <c r="I27" s="2">
        <v>1.6210627587100141E-2</v>
      </c>
    </row>
    <row r="28" spans="3:9">
      <c r="C28" s="1" t="s">
        <v>43</v>
      </c>
      <c r="D28" s="1" t="s">
        <v>216</v>
      </c>
      <c r="E28" s="34">
        <v>0.21729452065156737</v>
      </c>
      <c r="F28" s="35">
        <v>3.0336715457834056</v>
      </c>
      <c r="G28">
        <v>770000</v>
      </c>
      <c r="H28">
        <v>10732435033.686237</v>
      </c>
      <c r="I28" s="2">
        <v>7.1745134965473948E-3</v>
      </c>
    </row>
    <row r="29" spans="3:9">
      <c r="C29" s="1" t="s">
        <v>54</v>
      </c>
      <c r="D29" s="1" t="s">
        <v>217</v>
      </c>
      <c r="E29" s="34">
        <v>0.20224535982309999</v>
      </c>
      <c r="F29" s="35">
        <v>4.5427026129349901</v>
      </c>
      <c r="G29">
        <v>636760000</v>
      </c>
      <c r="H29">
        <v>47714490182.802979</v>
      </c>
      <c r="I29" s="2">
        <v>1.3345212273262388</v>
      </c>
    </row>
    <row r="30" spans="3:9">
      <c r="C30" s="1" t="s">
        <v>179</v>
      </c>
      <c r="D30" s="1" t="s">
        <v>218</v>
      </c>
      <c r="E30" s="34">
        <v>0.49480493029949163</v>
      </c>
      <c r="F30" s="35">
        <v>0.42093202696530257</v>
      </c>
      <c r="G30">
        <v>1083870000</v>
      </c>
      <c r="H30">
        <v>8820312673.5140133</v>
      </c>
      <c r="I30" s="2">
        <v>12.28833988226617</v>
      </c>
    </row>
    <row r="31" spans="3:9">
      <c r="C31" s="1" t="s">
        <v>191</v>
      </c>
      <c r="D31" s="1" t="s">
        <v>219</v>
      </c>
      <c r="E31" s="34">
        <v>0.61330729749273527</v>
      </c>
      <c r="F31" s="35">
        <v>4.848208498095543E-2</v>
      </c>
      <c r="G31">
        <v>562680000</v>
      </c>
      <c r="H31">
        <v>1610544922.0622473</v>
      </c>
      <c r="I31" s="2">
        <v>34.937243431838439</v>
      </c>
    </row>
    <row r="32" spans="3:9">
      <c r="C32" s="1" t="s">
        <v>177</v>
      </c>
      <c r="D32" s="1" t="s">
        <v>220</v>
      </c>
      <c r="E32" s="34">
        <v>0.48992184753755968</v>
      </c>
      <c r="F32" s="35">
        <v>6.9612031662907761</v>
      </c>
      <c r="G32">
        <v>722290000</v>
      </c>
      <c r="H32">
        <v>11242266333.924583</v>
      </c>
      <c r="I32" s="2">
        <v>6.4247721815700345</v>
      </c>
    </row>
    <row r="33" spans="3:9">
      <c r="C33" s="1" t="s">
        <v>97</v>
      </c>
      <c r="D33" s="1" t="s">
        <v>221</v>
      </c>
      <c r="E33" s="34">
        <v>0.45534097746979885</v>
      </c>
      <c r="F33" s="35">
        <v>-2.4614551267603899E-3</v>
      </c>
      <c r="G33">
        <v>649390000</v>
      </c>
      <c r="H33">
        <v>22393529277.555794</v>
      </c>
      <c r="I33" s="2">
        <v>2.8999001986295192</v>
      </c>
    </row>
    <row r="34" spans="3:9">
      <c r="C34" s="1" t="s">
        <v>32</v>
      </c>
      <c r="D34" s="1" t="s">
        <v>222</v>
      </c>
      <c r="E34" s="34">
        <v>0.20721708328212404</v>
      </c>
      <c r="F34" s="35">
        <v>1.4956458083265465</v>
      </c>
      <c r="G34" t="e">
        <v>#N/A</v>
      </c>
      <c r="H34">
        <v>1577040082217.7634</v>
      </c>
      <c r="I34" s="2" t="e">
        <v>#N/A</v>
      </c>
    </row>
    <row r="35" spans="3:9">
      <c r="C35" s="1" t="s">
        <v>89</v>
      </c>
      <c r="D35" s="1" t="s">
        <v>223</v>
      </c>
      <c r="E35" s="34">
        <v>0.32639657877799322</v>
      </c>
      <c r="F35" s="35">
        <v>6.7618188707474491</v>
      </c>
      <c r="G35">
        <v>195940000</v>
      </c>
      <c r="H35">
        <v>1648089239.7770095</v>
      </c>
      <c r="I35" s="2">
        <v>11.888919317652432</v>
      </c>
    </row>
    <row r="36" spans="3:9">
      <c r="C36" s="1" t="s">
        <v>135</v>
      </c>
      <c r="D36" s="1" t="s">
        <v>224</v>
      </c>
      <c r="E36" s="34">
        <v>0.53613188137957501</v>
      </c>
      <c r="F36" s="35">
        <v>3.5785006471772163</v>
      </c>
      <c r="G36">
        <v>242210000</v>
      </c>
      <c r="H36">
        <v>2013014939.1148791</v>
      </c>
      <c r="I36" s="2">
        <v>12.032200819458374</v>
      </c>
    </row>
    <row r="37" spans="3:9">
      <c r="C37" s="1" t="s">
        <v>165</v>
      </c>
      <c r="D37" s="1" t="s">
        <v>225</v>
      </c>
      <c r="E37" s="34">
        <v>0.5464868438301782</v>
      </c>
      <c r="F37" s="35">
        <v>10.297845901633604</v>
      </c>
      <c r="G37">
        <v>561230000</v>
      </c>
      <c r="H37">
        <v>7587673160.6757431</v>
      </c>
      <c r="I37" s="2">
        <v>7.396602200904737</v>
      </c>
    </row>
    <row r="38" spans="3:9">
      <c r="C38" s="1" t="s">
        <v>18</v>
      </c>
      <c r="D38" s="1" t="s">
        <v>226</v>
      </c>
      <c r="E38" s="34">
        <v>0.24229165620289997</v>
      </c>
      <c r="F38" s="35">
        <v>7.0954116221954466</v>
      </c>
      <c r="G38">
        <v>79660000</v>
      </c>
      <c r="H38">
        <v>212740792703.08478</v>
      </c>
      <c r="I38" s="2">
        <v>3.7444628737084193E-2</v>
      </c>
    </row>
    <row r="39" spans="3:9">
      <c r="C39" s="1" t="s">
        <v>111</v>
      </c>
      <c r="D39" s="1" t="s">
        <v>227</v>
      </c>
      <c r="E39" s="34">
        <v>0.30843809645024678</v>
      </c>
      <c r="F39" s="35">
        <v>3.1228760062505976</v>
      </c>
      <c r="G39">
        <v>1131650000</v>
      </c>
      <c r="H39">
        <v>5926612009749.6123</v>
      </c>
      <c r="I39" s="2">
        <v>1.9094383066385511E-2</v>
      </c>
    </row>
    <row r="40" spans="3:9">
      <c r="C40" s="1" t="s">
        <v>46</v>
      </c>
      <c r="D40" s="1" t="s">
        <v>228</v>
      </c>
      <c r="E40" s="34">
        <v>0.28123639466136074</v>
      </c>
      <c r="F40" s="35">
        <v>2.3472463907490404</v>
      </c>
      <c r="G40">
        <v>1060210000</v>
      </c>
      <c r="H40">
        <v>288188988824.43134</v>
      </c>
      <c r="I40" s="2">
        <v>0.36788706061420495</v>
      </c>
    </row>
    <row r="41" spans="3:9">
      <c r="C41" s="1" t="s">
        <v>163</v>
      </c>
      <c r="D41" s="1" t="s">
        <v>229</v>
      </c>
      <c r="E41" s="34">
        <v>0.44342957900389784</v>
      </c>
      <c r="F41" s="35">
        <v>1.735688252470351</v>
      </c>
      <c r="G41">
        <v>50670000</v>
      </c>
      <c r="H41">
        <v>541097513.04319727</v>
      </c>
      <c r="I41" s="2">
        <v>9.3643010323639899</v>
      </c>
    </row>
    <row r="42" spans="3:9">
      <c r="C42" s="1" t="s">
        <v>85</v>
      </c>
      <c r="D42" s="1" t="s">
        <v>230</v>
      </c>
      <c r="E42" s="34">
        <v>0.45792194559476546</v>
      </c>
      <c r="F42" s="35">
        <v>23.668243821004616</v>
      </c>
      <c r="G42">
        <v>282960000</v>
      </c>
      <c r="H42">
        <v>11897620542.054543</v>
      </c>
      <c r="I42" s="2">
        <v>2.3782906758525431</v>
      </c>
    </row>
    <row r="43" spans="3:9">
      <c r="C43" s="1" t="s">
        <v>148</v>
      </c>
      <c r="D43" s="1" t="s">
        <v>231</v>
      </c>
      <c r="E43" s="34" t="e">
        <v>#N/A</v>
      </c>
      <c r="F43" s="35" t="e">
        <v>#N/A</v>
      </c>
      <c r="G43" t="e">
        <v>#N/A</v>
      </c>
      <c r="H43" t="e">
        <v>#N/A</v>
      </c>
      <c r="I43" s="2" t="e">
        <v>#N/A</v>
      </c>
    </row>
    <row r="44" spans="3:9">
      <c r="C44" s="1" t="s">
        <v>78</v>
      </c>
      <c r="D44" s="1" t="s">
        <v>232</v>
      </c>
      <c r="E44" s="34">
        <v>0.312671061034413</v>
      </c>
      <c r="F44" s="35">
        <v>4.0903448845221106</v>
      </c>
      <c r="G44">
        <v>109310000</v>
      </c>
      <c r="H44">
        <v>35831464225.570671</v>
      </c>
      <c r="I44" s="2">
        <v>0.30506707543922335</v>
      </c>
    </row>
    <row r="45" spans="3:9">
      <c r="C45" s="1" t="s">
        <v>116</v>
      </c>
      <c r="D45" s="1" t="s">
        <v>233</v>
      </c>
      <c r="E45" s="34">
        <v>0.45381580150779155</v>
      </c>
      <c r="F45" s="35">
        <v>1.834626221796156</v>
      </c>
      <c r="G45">
        <v>2369020000</v>
      </c>
      <c r="H45">
        <v>22780280529.885296</v>
      </c>
      <c r="I45" s="2">
        <v>10.399432952074926</v>
      </c>
    </row>
    <row r="46" spans="3:9">
      <c r="C46" s="1" t="s">
        <v>96</v>
      </c>
      <c r="D46" s="1" t="s">
        <v>234</v>
      </c>
      <c r="E46" s="34">
        <v>0.17774037724141339</v>
      </c>
      <c r="F46" s="35">
        <v>0.54912929809904909</v>
      </c>
      <c r="G46">
        <v>169390000</v>
      </c>
      <c r="H46">
        <v>60851860676.609673</v>
      </c>
      <c r="I46" s="2">
        <v>0.278364536624778</v>
      </c>
    </row>
    <row r="47" spans="3:9">
      <c r="C47" s="1" t="s">
        <v>41</v>
      </c>
      <c r="D47" s="1" t="s">
        <v>235</v>
      </c>
      <c r="E47" s="34">
        <v>0.33940744917088767</v>
      </c>
      <c r="F47" s="35">
        <v>3.8623082021472042E-2</v>
      </c>
      <c r="G47">
        <v>116440000</v>
      </c>
      <c r="H47">
        <v>62704800000</v>
      </c>
      <c r="I47" s="2">
        <v>0.18569551294318776</v>
      </c>
    </row>
    <row r="48" spans="3:9">
      <c r="C48" s="1" t="s">
        <v>56</v>
      </c>
      <c r="D48" s="1" t="s">
        <v>236</v>
      </c>
      <c r="E48" s="34">
        <v>0.21810959773805752</v>
      </c>
      <c r="F48" s="35">
        <v>20.928940980951396</v>
      </c>
      <c r="G48">
        <v>59860000</v>
      </c>
      <c r="H48">
        <v>23132450331.125828</v>
      </c>
      <c r="I48" s="2">
        <v>0.25877068422559407</v>
      </c>
    </row>
    <row r="49" spans="3:9">
      <c r="C49" s="1" t="s">
        <v>50</v>
      </c>
      <c r="D49" s="1" t="s">
        <v>237</v>
      </c>
      <c r="E49" s="34">
        <v>0.1426225817822378</v>
      </c>
      <c r="F49" s="35">
        <v>3.4994450171735769</v>
      </c>
      <c r="G49">
        <v>279050000</v>
      </c>
      <c r="H49">
        <v>192032097601.84314</v>
      </c>
      <c r="I49" s="2">
        <v>0.14531424875573595</v>
      </c>
    </row>
    <row r="50" spans="3:9">
      <c r="C50" s="1" t="s">
        <v>22</v>
      </c>
      <c r="D50" s="1" t="s">
        <v>238</v>
      </c>
      <c r="E50" s="34">
        <v>0.14354005392994351</v>
      </c>
      <c r="F50" s="35">
        <v>-0.21955448027922236</v>
      </c>
      <c r="G50" t="e">
        <v>#N/A</v>
      </c>
      <c r="H50">
        <v>309865711250.29449</v>
      </c>
      <c r="I50" s="2" t="e">
        <v>#N/A</v>
      </c>
    </row>
    <row r="51" spans="3:9">
      <c r="C51" s="1" t="s">
        <v>21</v>
      </c>
      <c r="D51" s="1" t="s">
        <v>239</v>
      </c>
      <c r="E51" s="34">
        <v>0.4674006239701145</v>
      </c>
      <c r="F51" s="35">
        <v>9.2330467337842386</v>
      </c>
      <c r="G51">
        <v>162170000</v>
      </c>
      <c r="H51">
        <v>1049054416.7543509</v>
      </c>
      <c r="I51" s="2">
        <v>15.458683306604305</v>
      </c>
    </row>
    <row r="52" spans="3:9">
      <c r="C52" s="1" t="s">
        <v>45</v>
      </c>
      <c r="D52" s="1" t="s">
        <v>240</v>
      </c>
      <c r="E52" s="34" t="e">
        <v>#N/A</v>
      </c>
      <c r="F52" s="35">
        <v>6.6074472838687672</v>
      </c>
      <c r="G52">
        <v>36230000</v>
      </c>
      <c r="H52">
        <v>466389674.07407403</v>
      </c>
      <c r="I52" s="2">
        <v>7.7681822763181065</v>
      </c>
    </row>
    <row r="53" spans="3:9">
      <c r="C53" s="1" t="s">
        <v>59</v>
      </c>
      <c r="D53" s="1" t="s">
        <v>241</v>
      </c>
      <c r="E53" s="34">
        <v>0.36470801005935244</v>
      </c>
      <c r="F53" s="35">
        <v>3.1406485956887145</v>
      </c>
      <c r="G53">
        <v>119830000</v>
      </c>
      <c r="H53">
        <v>51766377245.50898</v>
      </c>
      <c r="I53" s="2">
        <v>0.23148229869687456</v>
      </c>
    </row>
    <row r="54" spans="3:9">
      <c r="C54" s="1" t="s">
        <v>71</v>
      </c>
      <c r="D54" s="1" t="s">
        <v>242</v>
      </c>
      <c r="E54" s="34">
        <v>0.28935695710916826</v>
      </c>
      <c r="F54" s="35">
        <v>0.28855080486513224</v>
      </c>
      <c r="G54">
        <v>208620000</v>
      </c>
      <c r="H54">
        <v>57978116000</v>
      </c>
      <c r="I54" s="2">
        <v>0.35982542102609888</v>
      </c>
    </row>
    <row r="55" spans="3:9">
      <c r="C55" s="1" t="s">
        <v>126</v>
      </c>
      <c r="D55" s="1" t="s">
        <v>243</v>
      </c>
      <c r="E55" s="34">
        <v>0.25655678113973845</v>
      </c>
      <c r="F55" s="35">
        <v>2.9172073263716225</v>
      </c>
      <c r="G55">
        <v>925110000</v>
      </c>
      <c r="H55">
        <v>218894280919.76962</v>
      </c>
      <c r="I55" s="2">
        <v>0.42262867541024363</v>
      </c>
    </row>
    <row r="56" spans="3:9">
      <c r="C56" s="1" t="s">
        <v>84</v>
      </c>
      <c r="D56" s="1" t="s">
        <v>244</v>
      </c>
      <c r="E56" s="34">
        <v>0.36087565278648004</v>
      </c>
      <c r="F56" s="35">
        <v>-2.6208242397959904E-2</v>
      </c>
      <c r="G56">
        <v>276690000</v>
      </c>
      <c r="H56">
        <v>21214700000</v>
      </c>
      <c r="I56" s="2">
        <v>1.3042371563114257</v>
      </c>
    </row>
    <row r="57" spans="3:9">
      <c r="C57" s="1" t="s">
        <v>134</v>
      </c>
      <c r="D57" s="1" t="s">
        <v>245</v>
      </c>
      <c r="E57" s="34">
        <v>0.42427069512376903</v>
      </c>
      <c r="F57" s="35">
        <v>4.9621665378498765</v>
      </c>
      <c r="G57">
        <v>31550000</v>
      </c>
      <c r="H57">
        <v>14006505450.485285</v>
      </c>
      <c r="I57" s="2">
        <v>0.22525247365613871</v>
      </c>
    </row>
    <row r="58" spans="3:9">
      <c r="C58" s="1" t="s">
        <v>178</v>
      </c>
      <c r="D58" s="1" t="s">
        <v>246</v>
      </c>
      <c r="E58" s="34">
        <v>0.46699736833992539</v>
      </c>
      <c r="F58" s="35">
        <v>1.9149706356184537E-3</v>
      </c>
      <c r="G58">
        <v>144770000</v>
      </c>
      <c r="H58">
        <v>2117008130.0813007</v>
      </c>
      <c r="I58" s="2">
        <v>6.838424375556853</v>
      </c>
    </row>
    <row r="59" spans="3:9">
      <c r="C59" s="1" t="s">
        <v>58</v>
      </c>
      <c r="D59" s="1" t="s">
        <v>247</v>
      </c>
      <c r="E59" s="34">
        <v>0.22855720701691717</v>
      </c>
      <c r="F59" s="35">
        <v>8.009287411149927</v>
      </c>
      <c r="G59">
        <v>135430000</v>
      </c>
      <c r="H59">
        <v>19216566443.635132</v>
      </c>
      <c r="I59" s="2">
        <v>0.70475649433646259</v>
      </c>
    </row>
    <row r="60" spans="3:9">
      <c r="C60" s="1" t="s">
        <v>184</v>
      </c>
      <c r="D60" s="1" t="s">
        <v>248</v>
      </c>
      <c r="E60" s="34">
        <v>0.52476343109866619</v>
      </c>
      <c r="F60" s="35">
        <v>0.61917401845078501</v>
      </c>
      <c r="G60">
        <v>3819970000</v>
      </c>
      <c r="H60">
        <v>29717009195.63459</v>
      </c>
      <c r="I60" s="2">
        <v>12.854490082942638</v>
      </c>
    </row>
    <row r="61" spans="3:9">
      <c r="C61" s="1" t="s">
        <v>108</v>
      </c>
      <c r="D61" s="1" t="s">
        <v>249</v>
      </c>
      <c r="E61" s="34">
        <v>0.40590247494049897</v>
      </c>
      <c r="F61" s="35">
        <v>4.041731687837439</v>
      </c>
      <c r="G61">
        <v>71120000</v>
      </c>
      <c r="H61">
        <v>3189296039.24229</v>
      </c>
      <c r="I61" s="2">
        <v>2.2299591861311385</v>
      </c>
    </row>
    <row r="62" spans="3:9">
      <c r="C62" s="1" t="s">
        <v>77</v>
      </c>
      <c r="D62" s="1" t="s">
        <v>250</v>
      </c>
      <c r="E62" s="34">
        <v>0.17128828620285977</v>
      </c>
      <c r="F62" s="35">
        <v>1.841503945684493</v>
      </c>
      <c r="G62" t="e">
        <v>#N/A</v>
      </c>
      <c r="H62">
        <v>238745695364.2384</v>
      </c>
      <c r="I62" s="2" t="e">
        <v>#N/A</v>
      </c>
    </row>
    <row r="63" spans="3:9">
      <c r="C63" s="1" t="s">
        <v>40</v>
      </c>
      <c r="D63" s="1" t="s">
        <v>251</v>
      </c>
      <c r="E63" s="34">
        <v>0.136150783116851</v>
      </c>
      <c r="F63" s="35">
        <v>1.3152923441523678</v>
      </c>
      <c r="G63" t="e">
        <v>#N/A</v>
      </c>
      <c r="H63">
        <v>2560002000000</v>
      </c>
      <c r="I63" s="2" t="e">
        <v>#N/A</v>
      </c>
    </row>
    <row r="64" spans="3:9">
      <c r="C64" s="1" t="s">
        <v>25</v>
      </c>
      <c r="D64" s="1" t="s">
        <v>252</v>
      </c>
      <c r="E64" s="34">
        <v>0.34204626273768096</v>
      </c>
      <c r="F64" s="35">
        <v>1.3095414684872531</v>
      </c>
      <c r="G64">
        <v>77560000</v>
      </c>
      <c r="H64">
        <v>13011421194.391794</v>
      </c>
      <c r="I64" s="2">
        <v>0.59609168622894204</v>
      </c>
    </row>
    <row r="65" spans="3:9">
      <c r="C65" s="1" t="s">
        <v>95</v>
      </c>
      <c r="D65" s="1" t="s">
        <v>253</v>
      </c>
      <c r="E65" s="34">
        <v>0.45585575566709985</v>
      </c>
      <c r="F65" s="35">
        <v>4.6329942668073594</v>
      </c>
      <c r="G65">
        <v>128030000</v>
      </c>
      <c r="H65">
        <v>806523947.75036287</v>
      </c>
      <c r="I65" s="2">
        <v>15.874296151665931</v>
      </c>
    </row>
    <row r="66" spans="3:9">
      <c r="C66" s="1" t="s">
        <v>105</v>
      </c>
      <c r="D66" s="1" t="s">
        <v>254</v>
      </c>
      <c r="E66" s="34">
        <v>0.28959699291819135</v>
      </c>
      <c r="F66" s="35">
        <v>6.9809740131179003</v>
      </c>
      <c r="G66">
        <v>907910000</v>
      </c>
      <c r="H66">
        <v>11667377223.715273</v>
      </c>
      <c r="I66" s="2">
        <v>7.7816117760773995</v>
      </c>
    </row>
    <row r="67" spans="3:9">
      <c r="C67" s="1" t="s">
        <v>44</v>
      </c>
      <c r="D67" s="1" t="s">
        <v>255</v>
      </c>
      <c r="E67" s="34">
        <v>0.12664961707374184</v>
      </c>
      <c r="F67" s="35">
        <v>1.4060950376956256</v>
      </c>
      <c r="G67" t="e">
        <v>#N/A</v>
      </c>
      <c r="H67">
        <v>3280529801324.5034</v>
      </c>
      <c r="I67" s="2" t="e">
        <v>#N/A</v>
      </c>
    </row>
    <row r="68" spans="3:9">
      <c r="C68" s="1" t="s">
        <v>112</v>
      </c>
      <c r="D68" s="1" t="s">
        <v>256</v>
      </c>
      <c r="E68" s="34">
        <v>0.42213363847225766</v>
      </c>
      <c r="F68" s="35">
        <v>8.0730811125025159</v>
      </c>
      <c r="G68">
        <v>1582780000</v>
      </c>
      <c r="H68">
        <v>31305891329.222198</v>
      </c>
      <c r="I68" s="2">
        <v>5.0558534920951717</v>
      </c>
    </row>
    <row r="69" spans="3:9">
      <c r="C69" s="1" t="s">
        <v>83</v>
      </c>
      <c r="D69" s="1" t="s">
        <v>257</v>
      </c>
      <c r="E69" s="34">
        <v>0.20980088859268187</v>
      </c>
      <c r="F69" s="35">
        <v>0.74736617257407056</v>
      </c>
      <c r="G69" t="e">
        <v>#N/A</v>
      </c>
      <c r="H69">
        <v>301083245491.39075</v>
      </c>
      <c r="I69" s="2" t="e">
        <v>#N/A</v>
      </c>
    </row>
    <row r="70" spans="3:9">
      <c r="C70" s="1" t="s">
        <v>155</v>
      </c>
      <c r="D70" s="1" t="s">
        <v>258</v>
      </c>
      <c r="E70" s="34">
        <v>0.32905621631163334</v>
      </c>
      <c r="F70" s="35">
        <v>8.2263278521352028</v>
      </c>
      <c r="G70">
        <v>48150000</v>
      </c>
      <c r="H70">
        <v>773270880.04724741</v>
      </c>
      <c r="I70" s="2">
        <v>6.2267959705217404</v>
      </c>
    </row>
    <row r="71" spans="3:9">
      <c r="C71" s="1" t="s">
        <v>115</v>
      </c>
      <c r="D71" s="1" t="s">
        <v>259</v>
      </c>
      <c r="E71" s="34">
        <v>0.3509908278120023</v>
      </c>
      <c r="F71" s="35">
        <v>1.6677837328114429</v>
      </c>
      <c r="G71">
        <v>376200000</v>
      </c>
      <c r="H71">
        <v>41186395243.348969</v>
      </c>
      <c r="I71" s="2">
        <v>0.91340841502935632</v>
      </c>
    </row>
    <row r="72" spans="3:9">
      <c r="C72" s="1" t="s">
        <v>147</v>
      </c>
      <c r="D72" s="1" t="s">
        <v>260</v>
      </c>
      <c r="E72" s="34">
        <v>0.50218903504338885</v>
      </c>
      <c r="F72" s="35">
        <v>2.2469345032362025</v>
      </c>
      <c r="G72">
        <v>214880000</v>
      </c>
      <c r="H72">
        <v>4510589866.0609903</v>
      </c>
      <c r="I72" s="2">
        <v>4.7639002077493355</v>
      </c>
    </row>
    <row r="73" spans="3:9">
      <c r="C73" s="1" t="s">
        <v>156</v>
      </c>
      <c r="D73" s="1" t="s">
        <v>261</v>
      </c>
      <c r="E73" s="34">
        <v>0.49089359106433739</v>
      </c>
      <c r="F73" s="35">
        <v>1.0072348218217728</v>
      </c>
      <c r="G73">
        <v>146830000</v>
      </c>
      <c r="H73">
        <v>878517652.02035058</v>
      </c>
      <c r="I73" s="2">
        <v>16.713380734277919</v>
      </c>
    </row>
    <row r="74" spans="3:9">
      <c r="C74" s="1" t="s">
        <v>162</v>
      </c>
      <c r="D74" s="1" t="s">
        <v>262</v>
      </c>
      <c r="E74" s="34">
        <v>0.40243904985727919</v>
      </c>
      <c r="F74" s="35">
        <v>8.4267338361621498</v>
      </c>
      <c r="G74">
        <v>173480000</v>
      </c>
      <c r="H74">
        <v>2225615170.8728442</v>
      </c>
      <c r="I74" s="2">
        <v>7.7946988441835803</v>
      </c>
    </row>
    <row r="75" spans="3:9">
      <c r="C75" s="1" t="s">
        <v>121</v>
      </c>
      <c r="D75" s="1" t="s">
        <v>263</v>
      </c>
      <c r="E75" s="34">
        <v>0.52227492613594984</v>
      </c>
      <c r="F75" s="35">
        <v>2.2355578024941023</v>
      </c>
      <c r="G75">
        <v>1120480000</v>
      </c>
      <c r="H75">
        <v>6709734806.796423</v>
      </c>
      <c r="I75" s="2">
        <v>16.699318710257277</v>
      </c>
    </row>
    <row r="76" spans="3:9">
      <c r="C76" s="1" t="s">
        <v>119</v>
      </c>
      <c r="D76" s="1" t="s">
        <v>264</v>
      </c>
      <c r="E76" s="34">
        <v>0.37370106135009562</v>
      </c>
      <c r="F76" s="35">
        <v>5.1777537829829194</v>
      </c>
      <c r="G76">
        <v>457100000</v>
      </c>
      <c r="H76">
        <v>15400319554.174299</v>
      </c>
      <c r="I76" s="2">
        <v>2.968120228882535</v>
      </c>
    </row>
    <row r="77" spans="3:9">
      <c r="C77" s="1" t="s">
        <v>64</v>
      </c>
      <c r="D77" s="1" t="s">
        <v>265</v>
      </c>
      <c r="E77" s="34">
        <v>0.19599165571115057</v>
      </c>
      <c r="F77" s="35">
        <v>-32.643014676244775</v>
      </c>
      <c r="G77">
        <v>302100000</v>
      </c>
      <c r="H77">
        <v>128631634125.22844</v>
      </c>
      <c r="I77" s="2">
        <v>0.23485669139979409</v>
      </c>
    </row>
    <row r="78" spans="3:9">
      <c r="C78" s="1" t="s">
        <v>12</v>
      </c>
      <c r="D78" s="1" t="s">
        <v>266</v>
      </c>
      <c r="E78" s="34">
        <v>0.20046378815690319</v>
      </c>
      <c r="F78" s="35">
        <v>23.458976709048098</v>
      </c>
      <c r="G78" t="e">
        <v>#N/A</v>
      </c>
      <c r="H78">
        <v>12574305880.479408</v>
      </c>
      <c r="I78" s="2" t="e">
        <v>#N/A</v>
      </c>
    </row>
    <row r="79" spans="3:9">
      <c r="C79" s="1" t="s">
        <v>159</v>
      </c>
      <c r="D79" s="1" t="s">
        <v>267</v>
      </c>
      <c r="E79" s="34">
        <v>0.4241753223903349</v>
      </c>
      <c r="F79" s="35">
        <v>1.3988203058168935</v>
      </c>
      <c r="G79">
        <v>2502150000</v>
      </c>
      <c r="H79">
        <v>1727111096363.2629</v>
      </c>
      <c r="I79" s="2">
        <v>0.14487487257008064</v>
      </c>
    </row>
    <row r="80" spans="3:9">
      <c r="C80" s="1" t="s">
        <v>107</v>
      </c>
      <c r="D80" s="1" t="s">
        <v>268</v>
      </c>
      <c r="E80" s="34">
        <v>0.31784267185556037</v>
      </c>
      <c r="F80" s="35">
        <v>1.8828815670385068</v>
      </c>
      <c r="G80">
        <v>1047640000.0000001</v>
      </c>
      <c r="H80">
        <v>706558240891.85669</v>
      </c>
      <c r="I80" s="2">
        <v>0.14827369342937835</v>
      </c>
    </row>
    <row r="81" spans="3:9">
      <c r="C81" s="1" t="s">
        <v>63</v>
      </c>
      <c r="D81" s="1" t="s">
        <v>269</v>
      </c>
      <c r="E81" s="34">
        <v>0.28219460049845968</v>
      </c>
      <c r="F81" s="35">
        <v>0.91116150153848219</v>
      </c>
      <c r="G81">
        <v>92690000</v>
      </c>
      <c r="H81">
        <v>331014973186.13586</v>
      </c>
      <c r="I81" s="2">
        <v>2.8001754454738424E-2</v>
      </c>
    </row>
    <row r="82" spans="3:9">
      <c r="C82" s="1" t="s">
        <v>68</v>
      </c>
      <c r="D82" s="1" t="s">
        <v>270</v>
      </c>
      <c r="E82" s="34">
        <v>0.429099058317926</v>
      </c>
      <c r="F82" s="35">
        <v>1.736329358984291</v>
      </c>
      <c r="G82">
        <v>2791470000</v>
      </c>
      <c r="H82">
        <v>82150312820.512817</v>
      </c>
      <c r="I82" s="2">
        <v>3.3980028853925117</v>
      </c>
    </row>
    <row r="83" spans="3:9">
      <c r="C83" s="1" t="s">
        <v>82</v>
      </c>
      <c r="D83" s="1" t="s">
        <v>271</v>
      </c>
      <c r="E83" s="34">
        <v>0.18980231570160586</v>
      </c>
      <c r="F83" s="35">
        <v>12.812797999348016</v>
      </c>
      <c r="G83" t="e">
        <v>#N/A</v>
      </c>
      <c r="H83">
        <v>211389968514.15692</v>
      </c>
      <c r="I83" s="2" t="e">
        <v>#N/A</v>
      </c>
    </row>
    <row r="84" spans="3:9">
      <c r="C84" s="1" t="s">
        <v>11</v>
      </c>
      <c r="D84" s="1" t="s">
        <v>272</v>
      </c>
      <c r="E84" s="34">
        <v>0.22971212274074182</v>
      </c>
      <c r="F84" s="35">
        <v>2.3706509788864727</v>
      </c>
      <c r="G84">
        <v>478850000</v>
      </c>
      <c r="H84">
        <v>217332709280.5563</v>
      </c>
      <c r="I84" s="2">
        <v>0.22033038725977008</v>
      </c>
    </row>
    <row r="85" spans="3:9">
      <c r="C85" s="1" t="s">
        <v>62</v>
      </c>
      <c r="D85" s="1" t="s">
        <v>273</v>
      </c>
      <c r="E85" s="34">
        <v>0.17499737222247735</v>
      </c>
      <c r="F85" s="35">
        <v>0.46794364150618384</v>
      </c>
      <c r="G85" t="e">
        <v>#N/A</v>
      </c>
      <c r="H85">
        <v>2051412153369.5364</v>
      </c>
      <c r="I85" s="2" t="e">
        <v>#N/A</v>
      </c>
    </row>
    <row r="86" spans="3:9">
      <c r="C86" s="1" t="s">
        <v>104</v>
      </c>
      <c r="D86" s="1" t="s">
        <v>274</v>
      </c>
      <c r="E86" s="34">
        <v>0.35024140412045457</v>
      </c>
      <c r="F86" s="35">
        <v>1.5974842123222719</v>
      </c>
      <c r="G86">
        <v>149640000</v>
      </c>
      <c r="H86">
        <v>14252029781.747644</v>
      </c>
      <c r="I86" s="2">
        <v>1.0499557066014671</v>
      </c>
    </row>
    <row r="87" spans="3:9">
      <c r="C87" s="1" t="s">
        <v>70</v>
      </c>
      <c r="D87" s="1" t="s">
        <v>275</v>
      </c>
      <c r="E87" s="34">
        <v>0.24201214051798337</v>
      </c>
      <c r="F87" s="35">
        <v>-2.4893695725665351E-2</v>
      </c>
      <c r="G87" t="e">
        <v>#N/A</v>
      </c>
      <c r="H87">
        <v>5458836663870.8467</v>
      </c>
      <c r="I87" s="2" t="e">
        <v>#N/A</v>
      </c>
    </row>
    <row r="88" spans="3:9">
      <c r="C88" s="1" t="s">
        <v>35</v>
      </c>
      <c r="D88" s="1" t="s">
        <v>276</v>
      </c>
      <c r="E88" s="34">
        <v>0.29924343332087755</v>
      </c>
      <c r="F88" s="35">
        <v>6.1704398402302498</v>
      </c>
      <c r="G88">
        <v>760550000</v>
      </c>
      <c r="H88">
        <v>27573535999.999996</v>
      </c>
      <c r="I88" s="2">
        <v>2.7582606742929165</v>
      </c>
    </row>
    <row r="89" spans="3:9">
      <c r="C89" s="1" t="s">
        <v>92</v>
      </c>
      <c r="D89" s="1" t="s">
        <v>277</v>
      </c>
      <c r="E89" s="34">
        <v>0.28041436659293506</v>
      </c>
      <c r="F89" s="35">
        <v>6.6826022526634388</v>
      </c>
      <c r="G89">
        <v>297860000</v>
      </c>
      <c r="H89">
        <v>149058911550.68158</v>
      </c>
      <c r="I89" s="2">
        <v>0.19982703274921237</v>
      </c>
    </row>
    <row r="90" spans="3:9">
      <c r="C90" s="1" t="s">
        <v>176</v>
      </c>
      <c r="D90" s="1" t="s">
        <v>278</v>
      </c>
      <c r="E90" s="34">
        <v>0.49275590906973149</v>
      </c>
      <c r="F90" s="35">
        <v>0.59153542399613046</v>
      </c>
      <c r="G90">
        <v>1778390000</v>
      </c>
      <c r="H90">
        <v>31408632915.3409</v>
      </c>
      <c r="I90" s="2">
        <v>5.6621057172194913</v>
      </c>
    </row>
    <row r="91" spans="3:9">
      <c r="C91" s="1" t="s">
        <v>124</v>
      </c>
      <c r="D91" s="1" t="s">
        <v>279</v>
      </c>
      <c r="E91" s="34" t="e">
        <v>#N/A</v>
      </c>
      <c r="F91" s="35">
        <v>2.4271180466611479</v>
      </c>
      <c r="G91">
        <v>27180000</v>
      </c>
      <c r="H91">
        <v>151175993.97967243</v>
      </c>
      <c r="I91" s="2">
        <v>17.979045008729827</v>
      </c>
    </row>
    <row r="92" spans="3:9">
      <c r="C92" s="1" t="s">
        <v>76</v>
      </c>
      <c r="D92" s="1" t="s">
        <v>280</v>
      </c>
      <c r="E92" s="34" t="e">
        <v>#N/A</v>
      </c>
      <c r="F92" s="35" t="e">
        <v>#N/A</v>
      </c>
      <c r="G92">
        <v>66760000.000000007</v>
      </c>
      <c r="H92" t="e">
        <v>#N/A</v>
      </c>
      <c r="I92" s="2" t="e">
        <v>#N/A</v>
      </c>
    </row>
    <row r="93" spans="3:9">
      <c r="C93" s="1" t="s">
        <v>31</v>
      </c>
      <c r="D93" s="1" t="s">
        <v>281</v>
      </c>
      <c r="E93" s="34">
        <v>0.32003776412533508</v>
      </c>
      <c r="F93" s="35">
        <v>-1.4795711369868129E-2</v>
      </c>
      <c r="G93">
        <v>-69070000</v>
      </c>
      <c r="H93">
        <v>1014483158313.5824</v>
      </c>
      <c r="I93" s="2">
        <v>-6.8083929668007435E-3</v>
      </c>
    </row>
    <row r="94" spans="3:9">
      <c r="C94" s="1" t="s">
        <v>3</v>
      </c>
      <c r="D94" s="1" t="s">
        <v>282</v>
      </c>
      <c r="E94" s="34">
        <v>0.29666761032366501</v>
      </c>
      <c r="F94" s="35">
        <v>1.0173197416477793</v>
      </c>
      <c r="G94">
        <v>2600000</v>
      </c>
      <c r="H94">
        <v>109462798286.12534</v>
      </c>
      <c r="I94" s="2">
        <v>2.3752361904761901E-3</v>
      </c>
    </row>
    <row r="95" spans="3:9">
      <c r="C95" s="1" t="s">
        <v>144</v>
      </c>
      <c r="D95" s="1" t="s">
        <v>283</v>
      </c>
      <c r="E95" s="34">
        <v>0.34701971549207372</v>
      </c>
      <c r="F95" s="35">
        <v>9.4794297132493828</v>
      </c>
      <c r="G95">
        <v>314690000</v>
      </c>
      <c r="H95">
        <v>4616164824.6453753</v>
      </c>
      <c r="I95" s="2">
        <v>6.8171309291187461</v>
      </c>
    </row>
    <row r="96" spans="3:9">
      <c r="C96" s="1" t="s">
        <v>154</v>
      </c>
      <c r="D96" s="1" t="s">
        <v>284</v>
      </c>
      <c r="E96" s="34">
        <v>0.50892055313976603</v>
      </c>
      <c r="F96" s="35">
        <v>4.7969115297667502</v>
      </c>
      <c r="G96">
        <v>419980000</v>
      </c>
      <c r="H96">
        <v>7296361373.9405107</v>
      </c>
      <c r="I96" s="2">
        <v>5.7560197264898276</v>
      </c>
    </row>
    <row r="97" spans="3:9">
      <c r="C97" s="1" t="s">
        <v>61</v>
      </c>
      <c r="D97" s="1" t="s">
        <v>285</v>
      </c>
      <c r="E97" s="34">
        <v>0.21156950531044272</v>
      </c>
      <c r="F97" s="35">
        <v>1.5368800955720958</v>
      </c>
      <c r="G97">
        <v>164720000</v>
      </c>
      <c r="H97">
        <v>24009680459.986805</v>
      </c>
      <c r="I97" s="2">
        <v>0.68605661068464929</v>
      </c>
    </row>
    <row r="98" spans="3:9">
      <c r="C98" s="1" t="s">
        <v>20</v>
      </c>
      <c r="D98" s="1" t="s">
        <v>286</v>
      </c>
      <c r="E98" s="34">
        <v>0.35077717712695183</v>
      </c>
      <c r="F98" s="35">
        <v>12.702749798569688</v>
      </c>
      <c r="G98">
        <v>640980000</v>
      </c>
      <c r="H98">
        <v>39006223284.165924</v>
      </c>
      <c r="I98" s="2">
        <v>1.6432762416662821</v>
      </c>
    </row>
    <row r="99" spans="3:9">
      <c r="C99" s="1" t="s">
        <v>172</v>
      </c>
      <c r="D99" s="1" t="s">
        <v>287</v>
      </c>
      <c r="E99" s="34">
        <v>0.50390865979426136</v>
      </c>
      <c r="F99" s="35">
        <v>5.4887654282568921</v>
      </c>
      <c r="G99">
        <v>123040000</v>
      </c>
      <c r="H99">
        <v>2132495560.7157493</v>
      </c>
      <c r="I99" s="2">
        <v>5.7697658211632072</v>
      </c>
    </row>
    <row r="100" spans="3:9">
      <c r="C100" s="1" t="s">
        <v>88</v>
      </c>
      <c r="D100" s="1" t="s">
        <v>288</v>
      </c>
      <c r="E100" s="34">
        <v>0.52707087395734364</v>
      </c>
      <c r="F100" s="35">
        <v>45.920719109450488</v>
      </c>
      <c r="G100">
        <v>513020000</v>
      </c>
      <c r="H100">
        <v>986201593.73689365</v>
      </c>
      <c r="I100" s="2">
        <v>52.019790198885786</v>
      </c>
    </row>
    <row r="101" spans="3:9">
      <c r="C101" s="1" t="s">
        <v>34</v>
      </c>
      <c r="D101" s="1" t="s">
        <v>289</v>
      </c>
      <c r="E101" s="34">
        <v>0.33454134258860763</v>
      </c>
      <c r="F101" s="35">
        <v>2.7437263427109975</v>
      </c>
      <c r="G101">
        <v>39350000</v>
      </c>
      <c r="H101">
        <v>62360446570.972885</v>
      </c>
      <c r="I101" s="2">
        <v>6.310089514066497E-2</v>
      </c>
    </row>
    <row r="102" spans="3:9">
      <c r="C102" s="1" t="s">
        <v>187</v>
      </c>
      <c r="D102" s="1" t="s">
        <v>290</v>
      </c>
      <c r="E102" s="34" t="e">
        <v>#N/A</v>
      </c>
      <c r="F102" s="35" t="e">
        <v>#N/A</v>
      </c>
      <c r="G102" t="e">
        <v>#N/A</v>
      </c>
      <c r="H102">
        <v>4826167676.3641043</v>
      </c>
      <c r="I102" s="2" t="e">
        <v>#N/A</v>
      </c>
    </row>
    <row r="103" spans="3:9">
      <c r="C103" s="1" t="s">
        <v>67</v>
      </c>
      <c r="D103" s="1" t="s">
        <v>291</v>
      </c>
      <c r="E103" s="34">
        <v>0.21904282548216944</v>
      </c>
      <c r="F103" s="35">
        <v>1.7138383930126491</v>
      </c>
      <c r="G103">
        <v>249580000</v>
      </c>
      <c r="H103">
        <v>36306384146.107506</v>
      </c>
      <c r="I103" s="2">
        <v>0.6874273102923637</v>
      </c>
    </row>
    <row r="104" spans="3:9">
      <c r="C104" s="1" t="s">
        <v>29</v>
      </c>
      <c r="D104" s="1" t="s">
        <v>292</v>
      </c>
      <c r="E104" s="34">
        <v>0.12268189205708516</v>
      </c>
      <c r="F104" t="e">
        <v>#N/A</v>
      </c>
      <c r="G104" t="e">
        <v>#N/A</v>
      </c>
      <c r="H104">
        <v>53333642384.105957</v>
      </c>
      <c r="I104" s="2" t="e">
        <v>#N/A</v>
      </c>
    </row>
    <row r="105" spans="3:9">
      <c r="C105" s="1" t="s">
        <v>158</v>
      </c>
      <c r="D105" s="1" t="s">
        <v>293</v>
      </c>
      <c r="E105" s="34">
        <v>0.53798348302321553</v>
      </c>
      <c r="F105" s="35">
        <v>9.8661891010768716</v>
      </c>
      <c r="G105">
        <v>445310000</v>
      </c>
      <c r="H105">
        <v>8720543553.6735344</v>
      </c>
      <c r="I105" s="2">
        <v>5.1064477490329478</v>
      </c>
    </row>
    <row r="106" spans="3:9">
      <c r="C106" s="1" t="s">
        <v>180</v>
      </c>
      <c r="D106" s="1" t="s">
        <v>294</v>
      </c>
      <c r="E106" s="34">
        <v>0.4940922140501014</v>
      </c>
      <c r="F106" s="35">
        <v>2.7417310823458392</v>
      </c>
      <c r="G106">
        <v>772400000</v>
      </c>
      <c r="H106">
        <v>5106263006.6627569</v>
      </c>
      <c r="I106" s="2">
        <v>15.126522057170902</v>
      </c>
    </row>
    <row r="107" spans="3:9">
      <c r="C107" s="1" t="s">
        <v>55</v>
      </c>
      <c r="D107" s="1" t="s">
        <v>295</v>
      </c>
      <c r="E107" s="34">
        <v>0.25038040031505954</v>
      </c>
      <c r="F107" s="35">
        <v>3.9989019458976123</v>
      </c>
      <c r="G107">
        <v>143560000</v>
      </c>
      <c r="H107">
        <v>237796914597.17917</v>
      </c>
      <c r="I107" s="2">
        <v>6.0370842171432848E-2</v>
      </c>
    </row>
    <row r="108" spans="3:9">
      <c r="C108" s="1" t="s">
        <v>137</v>
      </c>
      <c r="D108" s="1" t="s">
        <v>296</v>
      </c>
      <c r="E108" s="34">
        <v>0.40567830086347778</v>
      </c>
      <c r="F108" s="35">
        <v>8.583633064127886</v>
      </c>
      <c r="G108">
        <v>33259999.999999996</v>
      </c>
      <c r="H108">
        <v>1908460937.5</v>
      </c>
      <c r="I108" s="2">
        <v>1.742765562892219</v>
      </c>
    </row>
    <row r="109" spans="3:9">
      <c r="C109" s="1" t="s">
        <v>152</v>
      </c>
      <c r="D109" s="1" t="s">
        <v>297</v>
      </c>
      <c r="E109" s="34">
        <v>0.52379846211179282</v>
      </c>
      <c r="F109" s="35">
        <v>1.5959025565826019</v>
      </c>
      <c r="G109">
        <v>985100000</v>
      </c>
      <c r="H109">
        <v>9251388616.8750019</v>
      </c>
      <c r="I109" s="2">
        <v>10.648131224356176</v>
      </c>
    </row>
    <row r="110" spans="3:9">
      <c r="C110" s="1" t="s">
        <v>8</v>
      </c>
      <c r="D110" s="1" t="s">
        <v>298</v>
      </c>
      <c r="E110" s="34">
        <v>0.21432566020855032</v>
      </c>
      <c r="F110" s="35">
        <v>12.096281761363569</v>
      </c>
      <c r="G110">
        <v>6280000</v>
      </c>
      <c r="H110">
        <v>8255629139.0728474</v>
      </c>
      <c r="I110" s="2">
        <v>7.6069308519172152E-2</v>
      </c>
    </row>
    <row r="111" spans="3:9">
      <c r="C111" s="1" t="s">
        <v>53</v>
      </c>
      <c r="D111" s="1" t="s">
        <v>299</v>
      </c>
      <c r="E111" s="34" t="e">
        <v>#N/A</v>
      </c>
      <c r="F111" s="35">
        <v>5.3122474678183558</v>
      </c>
      <c r="G111">
        <v>58780000</v>
      </c>
      <c r="H111">
        <v>162935849.8081167</v>
      </c>
      <c r="I111" s="2">
        <v>36.075547566249512</v>
      </c>
    </row>
    <row r="112" spans="3:9">
      <c r="C112" s="1" t="s">
        <v>131</v>
      </c>
      <c r="D112" s="1" t="s">
        <v>300</v>
      </c>
      <c r="E112" s="34">
        <v>0.47166700366047171</v>
      </c>
      <c r="F112" s="35">
        <v>0.37483187539141893</v>
      </c>
      <c r="G112">
        <v>286690000</v>
      </c>
      <c r="H112">
        <v>3636296935.9974642</v>
      </c>
      <c r="I112" s="2">
        <v>7.8841196152579531</v>
      </c>
    </row>
    <row r="113" spans="3:9">
      <c r="C113" s="1" t="s">
        <v>130</v>
      </c>
      <c r="D113" s="1" t="s">
        <v>301</v>
      </c>
      <c r="E113" s="34">
        <v>0.28605435650888011</v>
      </c>
      <c r="F113" s="35">
        <v>4.4306529257884035</v>
      </c>
      <c r="G113">
        <v>155550000</v>
      </c>
      <c r="H113">
        <v>9728729228.5293903</v>
      </c>
      <c r="I113" s="2">
        <v>1.5988727442824839</v>
      </c>
    </row>
    <row r="114" spans="3:9">
      <c r="C114" s="1" t="s">
        <v>39</v>
      </c>
      <c r="D114" s="1" t="s">
        <v>302</v>
      </c>
      <c r="E114" s="34">
        <v>0.27869580074281786</v>
      </c>
      <c r="F114" s="35">
        <v>1.8051016902872887</v>
      </c>
      <c r="G114">
        <v>185490000</v>
      </c>
      <c r="H114">
        <v>1034804491265.3715</v>
      </c>
      <c r="I114" s="2">
        <v>1.7925125138680116E-2</v>
      </c>
    </row>
    <row r="115" spans="3:9">
      <c r="C115" s="1" t="s">
        <v>175</v>
      </c>
      <c r="D115" s="1" t="s">
        <v>303</v>
      </c>
      <c r="E115" s="34">
        <v>0.50575651386859821</v>
      </c>
      <c r="F115" s="35">
        <v>3.3784538079069866</v>
      </c>
      <c r="G115">
        <v>120990000</v>
      </c>
      <c r="H115">
        <v>297451432.83535665</v>
      </c>
      <c r="I115" s="2">
        <v>40.675547885818922</v>
      </c>
    </row>
    <row r="116" spans="3:9">
      <c r="C116" s="1" t="s">
        <v>129</v>
      </c>
      <c r="D116" s="1" t="s">
        <v>304</v>
      </c>
      <c r="E116" s="34">
        <v>0.34019636181004864</v>
      </c>
      <c r="F116" s="35">
        <v>3.3452714442789735</v>
      </c>
      <c r="G116">
        <v>245070000</v>
      </c>
      <c r="H116">
        <v>5808796184.0084085</v>
      </c>
      <c r="I116" s="2">
        <v>4.2189464432351178</v>
      </c>
    </row>
    <row r="117" spans="3:9">
      <c r="C117" s="1" t="s">
        <v>2</v>
      </c>
      <c r="D117" s="1" t="s">
        <v>305</v>
      </c>
      <c r="E117" s="34">
        <v>0.24434170374745637</v>
      </c>
      <c r="F117" s="35" t="e">
        <v>#N/A</v>
      </c>
      <c r="G117" t="e">
        <v>#N/A</v>
      </c>
      <c r="H117">
        <v>6108770905.8115492</v>
      </c>
      <c r="I117" s="2" t="e">
        <v>#N/A</v>
      </c>
    </row>
    <row r="118" spans="3:9">
      <c r="C118" s="1" t="s">
        <v>66</v>
      </c>
      <c r="D118" s="1" t="s">
        <v>306</v>
      </c>
      <c r="E118" s="34">
        <v>0.27897370424869639</v>
      </c>
      <c r="F118" s="35">
        <v>3.2184705029919414</v>
      </c>
      <c r="G118">
        <v>193430000</v>
      </c>
      <c r="H118">
        <v>9189454662.7944508</v>
      </c>
      <c r="I118" s="2">
        <v>2.1049127189575714</v>
      </c>
    </row>
    <row r="119" spans="3:9">
      <c r="C119" s="1" t="s">
        <v>94</v>
      </c>
      <c r="D119" s="1" t="s">
        <v>307</v>
      </c>
      <c r="E119" s="34">
        <v>0.37367686383970755</v>
      </c>
      <c r="F119" s="35">
        <v>23.461357899019482</v>
      </c>
      <c r="G119">
        <v>372180000</v>
      </c>
      <c r="H119">
        <v>6200357070.1147928</v>
      </c>
      <c r="I119" s="2">
        <v>6.0025575267894933</v>
      </c>
    </row>
    <row r="120" spans="3:9">
      <c r="C120" s="1" t="s">
        <v>87</v>
      </c>
      <c r="D120" s="1" t="s">
        <v>308</v>
      </c>
      <c r="E120" s="34" t="e">
        <v>#N/A</v>
      </c>
      <c r="F120" s="35">
        <v>18.497414973792868</v>
      </c>
      <c r="G120">
        <v>75400000</v>
      </c>
      <c r="H120">
        <v>4111066225.1655631</v>
      </c>
      <c r="I120" s="2">
        <v>1.834074078847111</v>
      </c>
    </row>
    <row r="121" spans="3:9">
      <c r="C121" s="1" t="s">
        <v>100</v>
      </c>
      <c r="D121" s="1" t="s">
        <v>309</v>
      </c>
      <c r="E121" s="34">
        <v>0.36382873749822237</v>
      </c>
      <c r="F121" s="35">
        <v>1.366260304547934</v>
      </c>
      <c r="G121">
        <v>911590000</v>
      </c>
      <c r="H121">
        <v>90804562195.55661</v>
      </c>
      <c r="I121" s="2">
        <v>1.0039033039295986</v>
      </c>
    </row>
    <row r="122" spans="3:9">
      <c r="C122" s="1" t="s">
        <v>142</v>
      </c>
      <c r="D122" s="1" t="s">
        <v>310</v>
      </c>
      <c r="E122" s="34">
        <v>0.51679393176571786</v>
      </c>
      <c r="F122" s="35">
        <v>8.2290767496033759</v>
      </c>
      <c r="G122">
        <v>2013270000</v>
      </c>
      <c r="H122">
        <v>9586185528.3828907</v>
      </c>
      <c r="I122" s="2">
        <v>21.001784224174322</v>
      </c>
    </row>
    <row r="123" spans="3:9">
      <c r="C123" s="1" t="s">
        <v>150</v>
      </c>
      <c r="D123" s="1" t="s">
        <v>311</v>
      </c>
      <c r="E123" s="34">
        <v>0.46690189081517902</v>
      </c>
      <c r="F123" s="35" t="e">
        <v>#N/A</v>
      </c>
      <c r="G123">
        <v>356980000</v>
      </c>
      <c r="H123" t="e">
        <v>#N/A</v>
      </c>
      <c r="I123" s="2" t="e">
        <v>#N/A</v>
      </c>
    </row>
    <row r="124" spans="3:9">
      <c r="C124" s="1" t="s">
        <v>141</v>
      </c>
      <c r="D124" s="1" t="s">
        <v>312</v>
      </c>
      <c r="E124" s="34">
        <v>0.40107174018402908</v>
      </c>
      <c r="F124" s="35">
        <v>7.0470053741707632</v>
      </c>
      <c r="G124">
        <v>326210000</v>
      </c>
      <c r="H124">
        <v>12170331921.868597</v>
      </c>
      <c r="I124" s="2">
        <v>2.6803706102200922</v>
      </c>
    </row>
    <row r="125" spans="3:9">
      <c r="C125" s="1" t="s">
        <v>1</v>
      </c>
      <c r="D125" s="1" t="s">
        <v>313</v>
      </c>
      <c r="E125" s="34" t="e">
        <v>#N/A</v>
      </c>
      <c r="F125" s="35" t="e">
        <v>#N/A</v>
      </c>
      <c r="G125" t="e">
        <v>#N/A</v>
      </c>
      <c r="H125" t="e">
        <v>#N/A</v>
      </c>
      <c r="I125" s="2" t="e">
        <v>#N/A</v>
      </c>
    </row>
    <row r="126" spans="3:9">
      <c r="C126" s="1" t="s">
        <v>183</v>
      </c>
      <c r="D126" s="1" t="s">
        <v>314</v>
      </c>
      <c r="E126" s="34">
        <v>0.4873070613028363</v>
      </c>
      <c r="F126" s="35">
        <v>0.29600408428087516</v>
      </c>
      <c r="G126">
        <v>855540000</v>
      </c>
      <c r="H126">
        <v>12897180524.735674</v>
      </c>
      <c r="I126" s="2">
        <v>6.6335428767485149</v>
      </c>
    </row>
    <row r="127" spans="3:9">
      <c r="C127" s="1" t="s">
        <v>28</v>
      </c>
      <c r="D127" s="1" t="s">
        <v>315</v>
      </c>
      <c r="E127" s="34">
        <v>0.19906873911310161</v>
      </c>
      <c r="F127" s="35">
        <v>-2.2694807748724766</v>
      </c>
      <c r="G127" t="e">
        <v>#N/A</v>
      </c>
      <c r="H127">
        <v>779356291390.72852</v>
      </c>
      <c r="I127" s="2" t="e">
        <v>#N/A</v>
      </c>
    </row>
    <row r="128" spans="3:9">
      <c r="C128" s="1" t="s">
        <v>19</v>
      </c>
      <c r="D128" s="1" t="s">
        <v>316</v>
      </c>
      <c r="E128" s="34">
        <v>0.20811871458117187</v>
      </c>
      <c r="F128" s="35">
        <v>-0.99414920299409937</v>
      </c>
      <c r="G128" t="e">
        <v>#N/A</v>
      </c>
      <c r="H128">
        <v>126679321011.8044</v>
      </c>
      <c r="I128" s="2" t="e">
        <v>#N/A</v>
      </c>
    </row>
    <row r="129" spans="3:9">
      <c r="C129" s="1" t="s">
        <v>93</v>
      </c>
      <c r="D129" s="1" t="s">
        <v>317</v>
      </c>
      <c r="E129" s="34">
        <v>0.34991358224339797</v>
      </c>
      <c r="F129" s="35">
        <v>7.7543253170677877</v>
      </c>
      <c r="G129">
        <v>774030000</v>
      </c>
      <c r="H129">
        <v>6551182459.1864634</v>
      </c>
      <c r="I129" s="2">
        <v>11.815118947184999</v>
      </c>
    </row>
    <row r="130" spans="3:9">
      <c r="C130" s="1" t="s">
        <v>185</v>
      </c>
      <c r="D130" s="1" t="s">
        <v>318</v>
      </c>
      <c r="E130" s="34">
        <v>0.50667101042104146</v>
      </c>
      <c r="F130" s="35">
        <v>17.064414377246965</v>
      </c>
      <c r="G130">
        <v>470010000</v>
      </c>
      <c r="H130">
        <v>5548814097.9694195</v>
      </c>
      <c r="I130" s="2">
        <v>8.470458582708682</v>
      </c>
    </row>
    <row r="131" spans="3:9">
      <c r="C131" s="1" t="s">
        <v>118</v>
      </c>
      <c r="D131" s="1" t="s">
        <v>319</v>
      </c>
      <c r="E131" s="34">
        <v>0.46896356084462321</v>
      </c>
      <c r="F131" s="35">
        <v>3.1231474704312761</v>
      </c>
      <c r="G131">
        <v>1659140000</v>
      </c>
      <c r="H131">
        <v>193668738106.96085</v>
      </c>
      <c r="I131" s="2">
        <v>0.85668963210968907</v>
      </c>
    </row>
    <row r="132" spans="3:9">
      <c r="C132" s="1" t="s">
        <v>38</v>
      </c>
      <c r="D132" s="1" t="s">
        <v>320</v>
      </c>
      <c r="E132" s="34">
        <v>0.14080720818433906</v>
      </c>
      <c r="F132" s="35">
        <v>2.8443710699399634</v>
      </c>
      <c r="G132" t="e">
        <v>#N/A</v>
      </c>
      <c r="H132">
        <v>412989604299.39069</v>
      </c>
      <c r="I132" s="2" t="e">
        <v>#N/A</v>
      </c>
    </row>
    <row r="133" spans="3:9">
      <c r="C133" s="1" t="s">
        <v>52</v>
      </c>
      <c r="D133" s="1" t="s">
        <v>321</v>
      </c>
      <c r="E133" s="34">
        <v>0.2733521723390554</v>
      </c>
      <c r="F133" s="35">
        <v>3.220310739856945</v>
      </c>
      <c r="G133">
        <v>211990000</v>
      </c>
      <c r="H133">
        <v>46866060195.731117</v>
      </c>
      <c r="I133" s="2">
        <v>0.45233160012735507</v>
      </c>
    </row>
    <row r="134" spans="3:9">
      <c r="C134" s="1" t="s">
        <v>143</v>
      </c>
      <c r="D134" s="1" t="s">
        <v>322</v>
      </c>
      <c r="E134" s="34">
        <v>0.40749399291657279</v>
      </c>
      <c r="F134" s="35">
        <v>1.1398229802578779</v>
      </c>
      <c r="G134">
        <v>2780610000</v>
      </c>
      <c r="H134">
        <v>176869569654.04333</v>
      </c>
      <c r="I134" s="2">
        <v>1.5721245918327669</v>
      </c>
    </row>
    <row r="135" spans="3:9">
      <c r="C135" s="1" t="s">
        <v>30</v>
      </c>
      <c r="D135" s="1" t="s">
        <v>323</v>
      </c>
      <c r="E135" s="34" t="e">
        <v>#N/A</v>
      </c>
      <c r="F135" s="35">
        <v>1.3624191556390293</v>
      </c>
      <c r="G135">
        <v>35350000</v>
      </c>
      <c r="H135">
        <v>171345538.90686101</v>
      </c>
      <c r="I135" s="2">
        <v>20.630826005464517</v>
      </c>
    </row>
    <row r="136" spans="3:9">
      <c r="C136" s="1" t="s">
        <v>49</v>
      </c>
      <c r="D136" s="1" t="s">
        <v>324</v>
      </c>
      <c r="E136" s="34">
        <v>0.31171070955575447</v>
      </c>
      <c r="F136" s="35">
        <v>8.852036450511708</v>
      </c>
      <c r="G136">
        <v>65530000</v>
      </c>
      <c r="H136">
        <v>26688773969.784451</v>
      </c>
      <c r="I136" s="2">
        <v>0.24553394649821469</v>
      </c>
    </row>
    <row r="137" spans="3:9">
      <c r="C137" s="1" t="s">
        <v>190</v>
      </c>
      <c r="D137" s="1" t="s">
        <v>325</v>
      </c>
      <c r="E137" s="34">
        <v>0.46291110827763121</v>
      </c>
      <c r="F137" s="35">
        <v>0.31595854651030064</v>
      </c>
      <c r="G137">
        <v>413680000</v>
      </c>
      <c r="H137">
        <v>9480047958.8083858</v>
      </c>
      <c r="I137" s="2">
        <v>4.3636910044914829</v>
      </c>
    </row>
    <row r="138" spans="3:9">
      <c r="C138" s="1" t="s">
        <v>86</v>
      </c>
      <c r="D138" s="1" t="s">
        <v>326</v>
      </c>
      <c r="E138" s="34">
        <v>0.31435710926109312</v>
      </c>
      <c r="F138" s="35">
        <v>2.3274749253690019</v>
      </c>
      <c r="G138">
        <v>148270000</v>
      </c>
      <c r="H138">
        <v>18333172802.381542</v>
      </c>
      <c r="I138" s="2">
        <v>0.80875253617169429</v>
      </c>
    </row>
    <row r="139" spans="3:9">
      <c r="C139" s="1" t="s">
        <v>37</v>
      </c>
      <c r="D139" s="1" t="s">
        <v>327</v>
      </c>
      <c r="E139" s="34">
        <v>0.3523092726236115</v>
      </c>
      <c r="F139" s="35">
        <v>4.6660950157739345</v>
      </c>
      <c r="G139">
        <v>441920000</v>
      </c>
      <c r="H139">
        <v>157053003533.56891</v>
      </c>
      <c r="I139" s="2">
        <v>0.28138271160509382</v>
      </c>
    </row>
    <row r="140" spans="3:9">
      <c r="C140" s="1" t="s">
        <v>73</v>
      </c>
      <c r="D140" s="1" t="s">
        <v>328</v>
      </c>
      <c r="E140" s="34">
        <v>0.34559079563043632</v>
      </c>
      <c r="F140" s="35">
        <v>0.85826180798183227</v>
      </c>
      <c r="G140">
        <v>310030000</v>
      </c>
      <c r="H140">
        <v>199589447423.74707</v>
      </c>
      <c r="I140" s="2">
        <v>0.1553338635893797</v>
      </c>
    </row>
    <row r="141" spans="3:9">
      <c r="C141" s="1" t="s">
        <v>81</v>
      </c>
      <c r="D141" s="1" t="s">
        <v>329</v>
      </c>
      <c r="E141" s="34">
        <v>0.14214720439468459</v>
      </c>
      <c r="F141" s="35">
        <v>1.9291064759404306</v>
      </c>
      <c r="G141">
        <v>1522070000</v>
      </c>
      <c r="H141">
        <v>469440132669.9834</v>
      </c>
      <c r="I141" s="2">
        <v>0.32423090700470975</v>
      </c>
    </row>
    <row r="142" spans="3:9">
      <c r="C142" s="1" t="s">
        <v>91</v>
      </c>
      <c r="D142" s="1" t="s">
        <v>330</v>
      </c>
      <c r="E142" s="34">
        <v>0.24882083164621882</v>
      </c>
      <c r="F142" s="35">
        <v>0.64502058487601754</v>
      </c>
      <c r="G142" t="e">
        <v>#N/A</v>
      </c>
      <c r="H142">
        <v>228872317880.79471</v>
      </c>
      <c r="I142" s="2" t="e">
        <v>#N/A</v>
      </c>
    </row>
    <row r="143" spans="3:9">
      <c r="C143" s="1" t="s">
        <v>5</v>
      </c>
      <c r="D143" s="1" t="s">
        <v>331</v>
      </c>
      <c r="E143" s="34">
        <v>0.28732907702414173</v>
      </c>
      <c r="F143" s="35">
        <v>8.2641370514499766</v>
      </c>
      <c r="G143">
        <v>2180000</v>
      </c>
      <c r="H143">
        <v>98313183979.817734</v>
      </c>
      <c r="I143" s="2">
        <v>2.2174035177698267E-3</v>
      </c>
    </row>
    <row r="144" spans="3:9">
      <c r="C144" s="1" t="s">
        <v>103</v>
      </c>
      <c r="D144" s="1" t="s">
        <v>332</v>
      </c>
      <c r="E144" s="34" t="e">
        <v>#N/A</v>
      </c>
      <c r="F144" s="35" t="e">
        <v>#N/A</v>
      </c>
      <c r="G144" t="e">
        <v>#N/A</v>
      </c>
      <c r="H144" t="e">
        <v>#N/A</v>
      </c>
      <c r="I144" s="2" t="e">
        <v>#N/A</v>
      </c>
    </row>
    <row r="145" spans="3:9">
      <c r="C145" s="1" t="s">
        <v>48</v>
      </c>
      <c r="D145" s="1" t="s">
        <v>333</v>
      </c>
      <c r="E145" s="34">
        <v>0.24503011237146949</v>
      </c>
      <c r="F145" s="35">
        <v>2.8968691037312082</v>
      </c>
      <c r="G145">
        <v>1331040000</v>
      </c>
      <c r="H145">
        <v>1479819314058.2314</v>
      </c>
      <c r="I145" s="2">
        <v>8.9946116215349189E-2</v>
      </c>
    </row>
    <row r="146" spans="3:9">
      <c r="C146" s="1" t="s">
        <v>182</v>
      </c>
      <c r="D146" s="1" t="s">
        <v>334</v>
      </c>
      <c r="E146" s="34">
        <v>0.537172089249216</v>
      </c>
      <c r="F146" s="35">
        <v>0.75217665084054364</v>
      </c>
      <c r="G146">
        <v>934380000</v>
      </c>
      <c r="H146">
        <v>5627667377.4301558</v>
      </c>
      <c r="I146" s="2">
        <v>16.603326695307988</v>
      </c>
    </row>
    <row r="147" spans="3:9">
      <c r="C147" s="1" t="s">
        <v>151</v>
      </c>
      <c r="D147" s="1" t="s">
        <v>335</v>
      </c>
      <c r="E147" s="34">
        <v>0.34910081498741302</v>
      </c>
      <c r="F147" s="35">
        <v>19.642473912156227</v>
      </c>
      <c r="G147">
        <v>5500000</v>
      </c>
      <c r="H147">
        <v>651701399.62962961</v>
      </c>
      <c r="I147" s="2">
        <v>0.84394478869091294</v>
      </c>
    </row>
    <row r="148" spans="3:9">
      <c r="C148" s="1" t="s">
        <v>161</v>
      </c>
      <c r="D148" s="1" t="s">
        <v>336</v>
      </c>
      <c r="E148" s="34">
        <v>0.31463523243981095</v>
      </c>
      <c r="F148" s="35">
        <v>10.10874232659744</v>
      </c>
      <c r="G148">
        <v>41070000</v>
      </c>
      <c r="H148">
        <v>1197809020</v>
      </c>
      <c r="I148" s="2">
        <v>3.4287602876792498</v>
      </c>
    </row>
    <row r="149" spans="3:9">
      <c r="C149" s="1" t="s">
        <v>120</v>
      </c>
      <c r="D149" s="1" t="s">
        <v>337</v>
      </c>
      <c r="E149" s="34">
        <v>0.33653451249050603</v>
      </c>
      <c r="F149" s="35">
        <v>14.15255788340245</v>
      </c>
      <c r="G149">
        <v>31140000</v>
      </c>
      <c r="H149">
        <v>704776456.29629624</v>
      </c>
      <c r="I149" s="2">
        <v>4.418422284371597</v>
      </c>
    </row>
    <row r="150" spans="3:9">
      <c r="C150" s="1" t="s">
        <v>174</v>
      </c>
      <c r="D150" s="1" t="s">
        <v>338</v>
      </c>
      <c r="E150" s="34">
        <v>0.46682635491015917</v>
      </c>
      <c r="F150" s="35">
        <v>0.12783675775845318</v>
      </c>
      <c r="G150">
        <v>77430000</v>
      </c>
      <c r="H150">
        <v>573509396.00000012</v>
      </c>
      <c r="I150" s="2">
        <v>13.501086562843337</v>
      </c>
    </row>
    <row r="151" spans="3:9">
      <c r="C151" s="1" t="s">
        <v>7</v>
      </c>
      <c r="D151" s="1" t="s">
        <v>339</v>
      </c>
      <c r="E151" s="34">
        <v>0.2160449526954652</v>
      </c>
      <c r="F151" s="35" t="e">
        <v>#N/A</v>
      </c>
      <c r="G151" t="e">
        <v>#N/A</v>
      </c>
      <c r="H151">
        <v>1899809579.6103706</v>
      </c>
      <c r="I151" s="2" t="e">
        <v>#N/A</v>
      </c>
    </row>
    <row r="152" spans="3:9">
      <c r="C152" s="1" t="s">
        <v>80</v>
      </c>
      <c r="D152" s="1" t="s">
        <v>340</v>
      </c>
      <c r="E152" s="34">
        <v>0.48485872169251576</v>
      </c>
      <c r="F152" s="35">
        <v>1.5243390486579462</v>
      </c>
      <c r="G152">
        <v>30710000</v>
      </c>
      <c r="H152">
        <v>196806609.56899652</v>
      </c>
      <c r="I152" s="2">
        <v>15.604150728095176</v>
      </c>
    </row>
    <row r="153" spans="3:9">
      <c r="C153" s="1" t="s">
        <v>27</v>
      </c>
      <c r="D153" s="1" t="s">
        <v>341</v>
      </c>
      <c r="E153" s="34">
        <v>0.29072498742336322</v>
      </c>
      <c r="F153" s="35">
        <v>4.9601686627836283</v>
      </c>
      <c r="G153">
        <v>-131139999.99999999</v>
      </c>
      <c r="H153">
        <v>434666133333.33331</v>
      </c>
      <c r="I153" s="2">
        <v>-3.0170282417524435E-2</v>
      </c>
    </row>
    <row r="154" spans="3:9">
      <c r="C154" s="1" t="s">
        <v>128</v>
      </c>
      <c r="D154" s="1" t="s">
        <v>342</v>
      </c>
      <c r="E154" s="34">
        <v>0.43230077750723761</v>
      </c>
      <c r="F154" s="35">
        <v>1.8310500811958972</v>
      </c>
      <c r="G154">
        <v>1017570000</v>
      </c>
      <c r="H154">
        <v>12954023882.262312</v>
      </c>
      <c r="I154" s="2">
        <v>7.8552425813676194</v>
      </c>
    </row>
    <row r="155" spans="3:9">
      <c r="C155" s="1" t="s">
        <v>106</v>
      </c>
      <c r="D155" s="1" t="s">
        <v>343</v>
      </c>
      <c r="E155" s="34">
        <v>0.29168694854085603</v>
      </c>
      <c r="F155" s="35">
        <v>3.4880865923179654</v>
      </c>
      <c r="G155">
        <v>608480000</v>
      </c>
      <c r="H155">
        <v>38423239717.479965</v>
      </c>
      <c r="I155" s="2">
        <v>1.5836249219848657</v>
      </c>
    </row>
    <row r="156" spans="3:9">
      <c r="C156" s="1" t="s">
        <v>102</v>
      </c>
      <c r="D156" s="1" t="s">
        <v>344</v>
      </c>
      <c r="E156" s="34" t="e">
        <v>#N/A</v>
      </c>
      <c r="F156" s="35">
        <v>39.39149907360288</v>
      </c>
      <c r="G156">
        <v>23200000</v>
      </c>
      <c r="H156">
        <v>936609214.45144188</v>
      </c>
      <c r="I156" s="2">
        <v>2.4770202601079356</v>
      </c>
    </row>
    <row r="157" spans="3:9">
      <c r="C157" s="1" t="s">
        <v>136</v>
      </c>
      <c r="D157" s="1" t="s">
        <v>345</v>
      </c>
      <c r="E157" s="34">
        <v>0.55672241607471351</v>
      </c>
      <c r="F157" s="35">
        <v>4.5453834558056867</v>
      </c>
      <c r="G157">
        <v>450270000</v>
      </c>
      <c r="H157">
        <v>1905015045.1354063</v>
      </c>
      <c r="I157" s="2">
        <v>23.636033801927024</v>
      </c>
    </row>
    <row r="158" spans="3:9">
      <c r="C158" s="1" t="s">
        <v>0</v>
      </c>
      <c r="D158" s="1" t="s">
        <v>346</v>
      </c>
      <c r="E158" s="34">
        <v>0.31893049589594796</v>
      </c>
      <c r="F158" s="35">
        <v>18.507947907997497</v>
      </c>
      <c r="G158">
        <v>9140000</v>
      </c>
      <c r="H158">
        <v>208765019307.67331</v>
      </c>
      <c r="I158" s="2">
        <v>4.3781281127992372E-3</v>
      </c>
    </row>
    <row r="159" spans="3:9">
      <c r="C159" s="1" t="s">
        <v>99</v>
      </c>
      <c r="D159" s="1" t="s">
        <v>347</v>
      </c>
      <c r="E159" s="34">
        <v>0.18468634869412706</v>
      </c>
      <c r="F159" s="35">
        <v>0.63384320431645425</v>
      </c>
      <c r="G159">
        <v>234990000</v>
      </c>
      <c r="H159">
        <v>87268098543.046356</v>
      </c>
      <c r="I159" s="2">
        <v>0.26927365660899272</v>
      </c>
    </row>
    <row r="160" spans="3:9">
      <c r="C160" s="1" t="s">
        <v>117</v>
      </c>
      <c r="D160" s="1" t="s">
        <v>348</v>
      </c>
      <c r="E160" s="34">
        <v>0.17845825629062931</v>
      </c>
      <c r="F160" s="35">
        <v>0.78059052251111538</v>
      </c>
      <c r="G160">
        <v>62420000</v>
      </c>
      <c r="H160">
        <v>46908328071.523178</v>
      </c>
      <c r="I160" s="2">
        <v>0.1330680554310644</v>
      </c>
    </row>
    <row r="161" spans="3:9">
      <c r="C161" s="1" t="s">
        <v>181</v>
      </c>
      <c r="D161" s="1" t="s">
        <v>349</v>
      </c>
      <c r="E161" s="34">
        <v>0.51498779679174045</v>
      </c>
      <c r="F161" s="35">
        <v>35.046204730458626</v>
      </c>
      <c r="G161">
        <v>205910000</v>
      </c>
      <c r="H161">
        <v>678625481.68675172</v>
      </c>
      <c r="I161" s="2">
        <v>30.342214602405168</v>
      </c>
    </row>
    <row r="162" spans="3:9">
      <c r="C162" s="1" t="s">
        <v>140</v>
      </c>
      <c r="D162" s="1" t="s">
        <v>350</v>
      </c>
      <c r="E162" s="34">
        <v>0.56365853070545402</v>
      </c>
      <c r="F162" s="35">
        <v>0.60956709293763156</v>
      </c>
      <c r="G162">
        <v>661650000</v>
      </c>
      <c r="H162">
        <v>917044253.99025702</v>
      </c>
      <c r="I162" s="2">
        <v>72.150280329549901</v>
      </c>
    </row>
    <row r="163" spans="3:9">
      <c r="C163" s="1" t="s">
        <v>79</v>
      </c>
      <c r="D163" s="1" t="s">
        <v>351</v>
      </c>
      <c r="E163" s="34">
        <v>0.34756416578687632</v>
      </c>
      <c r="F163" s="35">
        <v>0.43041590581607431</v>
      </c>
      <c r="G163">
        <v>1075020000</v>
      </c>
      <c r="H163">
        <v>363703902726.7373</v>
      </c>
      <c r="I163" s="2">
        <v>0.29557560200493582</v>
      </c>
    </row>
    <row r="164" spans="3:9">
      <c r="C164" s="1" t="s">
        <v>36</v>
      </c>
      <c r="D164" s="1" t="s">
        <v>352</v>
      </c>
      <c r="E164" s="34">
        <v>0.20710597397595829</v>
      </c>
      <c r="F164" s="35">
        <v>1.7520463899340488</v>
      </c>
      <c r="G164" t="e">
        <v>#N/A</v>
      </c>
      <c r="H164">
        <v>1407405298013.2451</v>
      </c>
      <c r="I164" s="2" t="e">
        <v>#N/A</v>
      </c>
    </row>
    <row r="165" spans="3:9">
      <c r="C165" s="1" t="s">
        <v>186</v>
      </c>
      <c r="D165" s="1" t="s">
        <v>353</v>
      </c>
      <c r="E165" s="34">
        <v>0.28168141402503183</v>
      </c>
      <c r="F165" s="35">
        <v>0.96507588051452253</v>
      </c>
      <c r="G165">
        <v>703750000</v>
      </c>
      <c r="H165">
        <v>49551751282.50486</v>
      </c>
      <c r="I165" s="2">
        <v>1.4202323465577928</v>
      </c>
    </row>
    <row r="166" spans="3:9">
      <c r="C166" s="1" t="s">
        <v>125</v>
      </c>
      <c r="D166" s="1" t="s">
        <v>354</v>
      </c>
      <c r="E166" s="34">
        <v>0.49224427663092313</v>
      </c>
      <c r="F166" s="35">
        <v>4.6649079458626908</v>
      </c>
      <c r="G166">
        <v>2288890000</v>
      </c>
      <c r="H166">
        <v>62045783132.530113</v>
      </c>
      <c r="I166" s="2">
        <v>3.6890339430657506</v>
      </c>
    </row>
    <row r="167" spans="3:9">
      <c r="C167" s="1" t="s">
        <v>42</v>
      </c>
      <c r="D167" s="1" t="s">
        <v>355</v>
      </c>
      <c r="E167" s="34">
        <v>0.30488226826645337</v>
      </c>
      <c r="F167" s="35">
        <v>-2.8726386554621848</v>
      </c>
      <c r="G167">
        <v>157090000</v>
      </c>
      <c r="H167">
        <v>3251366120.2185793</v>
      </c>
      <c r="I167" s="2">
        <v>4.8315075630252098</v>
      </c>
    </row>
    <row r="168" spans="3:9">
      <c r="C168" s="1" t="s">
        <v>171</v>
      </c>
      <c r="D168" s="1" t="s">
        <v>356</v>
      </c>
      <c r="E168" s="34">
        <v>0.41364752068012139</v>
      </c>
      <c r="F168" s="35">
        <v>2.5434414206193283</v>
      </c>
      <c r="G168">
        <v>56570000</v>
      </c>
      <c r="H168">
        <v>3645267040.0218549</v>
      </c>
      <c r="I168" s="2">
        <v>1.5518753325589238</v>
      </c>
    </row>
    <row r="169" spans="3:9">
      <c r="C169" s="1" t="s">
        <v>24</v>
      </c>
      <c r="D169" s="1" t="s">
        <v>357</v>
      </c>
      <c r="E169" s="34">
        <v>0.16566072116835812</v>
      </c>
      <c r="F169" s="35">
        <v>1.1521702715779674</v>
      </c>
      <c r="G169" t="e">
        <v>#N/A</v>
      </c>
      <c r="H169">
        <v>458973278963.64331</v>
      </c>
      <c r="I169" s="2" t="e">
        <v>#N/A</v>
      </c>
    </row>
    <row r="170" spans="3:9">
      <c r="C170" s="1" t="s">
        <v>47</v>
      </c>
      <c r="D170" s="1" t="s">
        <v>358</v>
      </c>
      <c r="E170" s="34">
        <v>0.13406936458135882</v>
      </c>
      <c r="F170" s="35">
        <v>-1.1788802192947598</v>
      </c>
      <c r="G170" t="e">
        <v>#N/A</v>
      </c>
      <c r="H170">
        <v>527919933356.44086</v>
      </c>
      <c r="I170" s="2" t="e">
        <v>#N/A</v>
      </c>
    </row>
    <row r="171" spans="3:9">
      <c r="C171" s="1" t="s">
        <v>101</v>
      </c>
      <c r="D171" s="1" t="s">
        <v>359</v>
      </c>
      <c r="E171" s="34">
        <v>0.3220960461066118</v>
      </c>
      <c r="F171" s="35">
        <v>2.3346801409264049</v>
      </c>
      <c r="G171">
        <v>244650000</v>
      </c>
      <c r="H171">
        <v>59147033451.852592</v>
      </c>
      <c r="I171" s="2">
        <v>0.41363021223905039</v>
      </c>
    </row>
    <row r="172" spans="3:9">
      <c r="C172" s="1" t="s">
        <v>167</v>
      </c>
      <c r="D172" s="1" t="s">
        <v>360</v>
      </c>
      <c r="E172" s="34">
        <v>0.39247138353658556</v>
      </c>
      <c r="F172" s="35">
        <v>0.27990159077109894</v>
      </c>
      <c r="G172">
        <v>408890000</v>
      </c>
      <c r="H172">
        <v>5640410958.90411</v>
      </c>
      <c r="I172" s="2">
        <v>7.2492944748026709</v>
      </c>
    </row>
    <row r="173" spans="3:9">
      <c r="C173" s="1" t="s">
        <v>170</v>
      </c>
      <c r="D173" s="1" t="s">
        <v>361</v>
      </c>
      <c r="E173" s="34">
        <v>0.5230222910074287</v>
      </c>
      <c r="F173" s="35">
        <v>1.8799099727238051</v>
      </c>
      <c r="G173">
        <v>2934220000</v>
      </c>
      <c r="H173">
        <v>23056525009.402031</v>
      </c>
      <c r="I173" s="2">
        <v>12.726202230403231</v>
      </c>
    </row>
    <row r="174" spans="3:9">
      <c r="C174" s="1" t="s">
        <v>149</v>
      </c>
      <c r="D174" s="1" t="s">
        <v>362</v>
      </c>
      <c r="E174" s="34">
        <v>0.28863004464091246</v>
      </c>
      <c r="F174" s="35">
        <v>1.9798463761072915</v>
      </c>
      <c r="G174">
        <v>-76590000</v>
      </c>
      <c r="H174">
        <v>318522264428.69995</v>
      </c>
      <c r="I174" s="2">
        <v>-2.4045414890344154E-2</v>
      </c>
    </row>
    <row r="175" spans="3:9">
      <c r="C175" s="1" t="s">
        <v>164</v>
      </c>
      <c r="D175" s="1" t="s">
        <v>363</v>
      </c>
      <c r="E175" s="34" t="e">
        <v>#N/A</v>
      </c>
      <c r="F175" s="35" t="e">
        <v>#N/A</v>
      </c>
      <c r="G175" t="e">
        <v>#N/A</v>
      </c>
      <c r="H175" t="e">
        <v>#N/A</v>
      </c>
      <c r="I175" s="2" t="e">
        <v>#N/A</v>
      </c>
    </row>
    <row r="176" spans="3:9">
      <c r="C176" s="1" t="s">
        <v>127</v>
      </c>
      <c r="D176" s="1" t="s">
        <v>364</v>
      </c>
      <c r="E176" s="34">
        <v>0.52410035242496678</v>
      </c>
      <c r="F176" s="35">
        <v>1.3020106243142326</v>
      </c>
      <c r="G176">
        <v>499010000</v>
      </c>
      <c r="H176">
        <v>3153400897.3179455</v>
      </c>
      <c r="I176" s="2">
        <v>15.824502378508923</v>
      </c>
    </row>
    <row r="177" spans="3:9">
      <c r="C177" s="1" t="s">
        <v>169</v>
      </c>
      <c r="D177" s="1" t="s">
        <v>365</v>
      </c>
      <c r="E177" s="34">
        <v>0.41084554063112771</v>
      </c>
      <c r="F177" s="35">
        <v>4.6541329282062112</v>
      </c>
      <c r="G177">
        <v>39510000</v>
      </c>
      <c r="H177">
        <v>348330401.52439982</v>
      </c>
      <c r="I177" s="2">
        <v>11.342679199717344</v>
      </c>
    </row>
    <row r="178" spans="3:9">
      <c r="C178" s="1" t="s">
        <v>189</v>
      </c>
      <c r="D178" s="1" t="s">
        <v>366</v>
      </c>
      <c r="E178" s="34">
        <v>0.30862077805106686</v>
      </c>
      <c r="F178" s="35">
        <v>2.6664825992730812</v>
      </c>
      <c r="G178">
        <v>6900000</v>
      </c>
      <c r="H178">
        <v>20603922191.345772</v>
      </c>
      <c r="I178" s="2">
        <v>3.3488769448460617E-2</v>
      </c>
    </row>
    <row r="179" spans="3:9">
      <c r="C179" s="1" t="s">
        <v>65</v>
      </c>
      <c r="D179" s="1" t="s">
        <v>367</v>
      </c>
      <c r="E179" s="34">
        <v>0.3003028535571029</v>
      </c>
      <c r="F179" s="35">
        <v>3.1628799743233591</v>
      </c>
      <c r="G179">
        <v>473850000</v>
      </c>
      <c r="H179">
        <v>44290845562.543671</v>
      </c>
      <c r="I179" s="2">
        <v>1.0698599089305494</v>
      </c>
    </row>
    <row r="180" spans="3:9">
      <c r="C180" s="1" t="s">
        <v>57</v>
      </c>
      <c r="D180" s="1" t="s">
        <v>368</v>
      </c>
      <c r="E180" s="34">
        <v>0.28320929807685585</v>
      </c>
      <c r="F180" s="35">
        <v>1.2634053466350483</v>
      </c>
      <c r="G180">
        <v>1362160000</v>
      </c>
      <c r="H180">
        <v>734364471759.67786</v>
      </c>
      <c r="I180" s="2">
        <v>0.18548827624190531</v>
      </c>
    </row>
    <row r="181" spans="3:9">
      <c r="C181" s="1" t="s">
        <v>114</v>
      </c>
      <c r="D181" s="1" t="s">
        <v>369</v>
      </c>
      <c r="E181" s="34">
        <v>0.29676589227257633</v>
      </c>
      <c r="F181" s="35">
        <v>10.414634574225467</v>
      </c>
      <c r="G181">
        <v>39880000</v>
      </c>
      <c r="H181">
        <v>20000701754.385963</v>
      </c>
      <c r="I181" s="2">
        <v>0.19939300375425426</v>
      </c>
    </row>
    <row r="182" spans="3:9">
      <c r="C182" s="1" t="s">
        <v>113</v>
      </c>
      <c r="D182" s="1" t="s">
        <v>370</v>
      </c>
      <c r="E182" s="34" t="e">
        <v>#N/A</v>
      </c>
      <c r="F182" s="35">
        <v>4.7845662709972263</v>
      </c>
      <c r="G182">
        <v>17500000</v>
      </c>
      <c r="H182">
        <v>31350804.128110897</v>
      </c>
      <c r="I182" s="2">
        <v>55.819939828300974</v>
      </c>
    </row>
    <row r="183" spans="3:9">
      <c r="C183" s="1" t="s">
        <v>188</v>
      </c>
      <c r="D183" s="1" t="s">
        <v>371</v>
      </c>
      <c r="E183" s="34">
        <v>0.51581971452281128</v>
      </c>
      <c r="F183" s="35">
        <v>4.8038913775573313</v>
      </c>
      <c r="G183">
        <v>1785880000</v>
      </c>
      <c r="H183">
        <v>17010765766.699051</v>
      </c>
      <c r="I183" s="2">
        <v>10.498527958665502</v>
      </c>
    </row>
    <row r="184" spans="3:9">
      <c r="C184" s="1" t="s">
        <v>60</v>
      </c>
      <c r="D184" s="1" t="s">
        <v>372</v>
      </c>
      <c r="E184" s="34">
        <v>0.25277799029742598</v>
      </c>
      <c r="F184" s="35">
        <v>4.7089338913418235</v>
      </c>
      <c r="G184">
        <v>667990000</v>
      </c>
      <c r="H184">
        <v>137929309475.80646</v>
      </c>
      <c r="I184" s="2">
        <v>0.48429880678636256</v>
      </c>
    </row>
    <row r="185" spans="3:9">
      <c r="C185" s="1" t="s">
        <v>33</v>
      </c>
      <c r="D185" s="1" t="s">
        <v>373</v>
      </c>
      <c r="E185" s="34">
        <v>0.27107410308465674</v>
      </c>
      <c r="F185" s="35">
        <v>1.3264976329830966</v>
      </c>
      <c r="G185">
        <v>5360000</v>
      </c>
      <c r="H185">
        <v>297648476848.07837</v>
      </c>
      <c r="I185" s="2">
        <v>1.8007819347033909E-3</v>
      </c>
    </row>
    <row r="186" spans="3:9">
      <c r="C186" s="1" t="s">
        <v>14</v>
      </c>
      <c r="D186" s="1" t="s">
        <v>374</v>
      </c>
      <c r="E186" s="34">
        <v>0.15656050047576747</v>
      </c>
      <c r="F186" s="35">
        <v>2.0875707960830736</v>
      </c>
      <c r="G186" t="e">
        <v>#N/A</v>
      </c>
      <c r="H186">
        <v>2248831038714.1626</v>
      </c>
      <c r="I186" s="2" t="e">
        <v>#N/A</v>
      </c>
    </row>
    <row r="187" spans="3:9">
      <c r="C187" s="1" t="s">
        <v>6</v>
      </c>
      <c r="D187" s="1" t="s">
        <v>375</v>
      </c>
      <c r="E187" s="34">
        <v>0.19179491777549199</v>
      </c>
      <c r="F187" s="35">
        <v>1.6194575326900229</v>
      </c>
      <c r="G187" t="e">
        <v>#N/A</v>
      </c>
      <c r="H187">
        <v>14586736313339.039</v>
      </c>
      <c r="I187" s="2" t="e">
        <v>#N/A</v>
      </c>
    </row>
    <row r="188" spans="3:9">
      <c r="C188" s="1" t="s">
        <v>10</v>
      </c>
      <c r="D188" s="1" t="s">
        <v>376</v>
      </c>
      <c r="E188" s="34">
        <v>0.22262900022851181</v>
      </c>
      <c r="F188" s="35">
        <v>4.0405974670249245</v>
      </c>
      <c r="G188">
        <v>50610000</v>
      </c>
      <c r="H188">
        <v>40264991931.457199</v>
      </c>
      <c r="I188" s="2">
        <v>0.12569231377508538</v>
      </c>
    </row>
    <row r="189" spans="3:9">
      <c r="C189" s="1" t="s">
        <v>139</v>
      </c>
      <c r="D189" s="1" t="s">
        <v>377</v>
      </c>
      <c r="E189" s="34">
        <v>0.31466909528506604</v>
      </c>
      <c r="F189" s="35">
        <v>2.1086868867135995</v>
      </c>
      <c r="G189">
        <v>190300000</v>
      </c>
      <c r="H189">
        <v>38981605338.33886</v>
      </c>
      <c r="I189" s="2">
        <v>0.48817897146179806</v>
      </c>
    </row>
    <row r="190" spans="3:9">
      <c r="C190" s="1" t="s">
        <v>168</v>
      </c>
      <c r="D190" s="1" t="s">
        <v>378</v>
      </c>
      <c r="E190" s="34">
        <v>0.427013571905421</v>
      </c>
      <c r="F190" s="35">
        <v>5.5670570836244995</v>
      </c>
      <c r="G190">
        <v>103310000</v>
      </c>
      <c r="H190">
        <v>698753388.29243135</v>
      </c>
      <c r="I190" s="2">
        <v>14.784901473245423</v>
      </c>
    </row>
    <row r="191" spans="3:9">
      <c r="C191" s="1" t="s">
        <v>9</v>
      </c>
      <c r="D191" s="1" t="s">
        <v>379</v>
      </c>
      <c r="E191" s="34">
        <v>0.25432116195686855</v>
      </c>
      <c r="F191" s="35">
        <v>-0.3583026635316825</v>
      </c>
      <c r="G191">
        <v>66810000</v>
      </c>
      <c r="H191">
        <v>391847491771.6745</v>
      </c>
      <c r="I191" s="2">
        <v>1.7050000677031128E-2</v>
      </c>
    </row>
    <row r="192" spans="3:9">
      <c r="C192" s="1" t="s">
        <v>160</v>
      </c>
      <c r="D192" s="1" t="s">
        <v>380</v>
      </c>
      <c r="E192" s="34">
        <v>0.36029832786952581</v>
      </c>
      <c r="F192" s="35">
        <v>7.516900447638494</v>
      </c>
      <c r="G192">
        <v>3744280000</v>
      </c>
      <c r="H192">
        <v>106426845156.81296</v>
      </c>
      <c r="I192" s="2">
        <v>3.5181725010104823</v>
      </c>
    </row>
    <row r="193" spans="3:9">
      <c r="C193" s="1" t="s">
        <v>153</v>
      </c>
      <c r="D193" s="1" t="s">
        <v>381</v>
      </c>
      <c r="E193" s="34">
        <v>0.51081168483599959</v>
      </c>
      <c r="F193" s="35">
        <v>0.49001655559788859</v>
      </c>
      <c r="G193">
        <v>499690000</v>
      </c>
      <c r="H193">
        <v>26365156990.243877</v>
      </c>
      <c r="I193" s="2">
        <v>1.8952665451030863</v>
      </c>
    </row>
    <row r="194" spans="3:9">
      <c r="C194" s="1" t="s">
        <v>145</v>
      </c>
      <c r="D194" s="1" t="s">
        <v>382</v>
      </c>
      <c r="E194" s="34">
        <v>0.5053188084953355</v>
      </c>
      <c r="F194" s="35">
        <v>6.4312306749833361</v>
      </c>
      <c r="G194">
        <v>1268690000</v>
      </c>
      <c r="H194">
        <v>16192857209.288303</v>
      </c>
      <c r="I194" s="2">
        <v>7.8348742510510938</v>
      </c>
    </row>
    <row r="195" spans="3:9">
      <c r="C195" s="1" t="s">
        <v>138</v>
      </c>
      <c r="D195" s="1" t="s">
        <v>383</v>
      </c>
      <c r="E195" s="34">
        <v>0.47931595517860281</v>
      </c>
      <c r="F195" s="35">
        <v>1.4102221032914102</v>
      </c>
      <c r="G195">
        <v>736760000</v>
      </c>
      <c r="H195">
        <v>7474000000</v>
      </c>
      <c r="I195" s="2">
        <v>9.8576398180358584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B175"/>
  <sheetViews>
    <sheetView tabSelected="1" workbookViewId="0">
      <selection activeCell="N42" sqref="N42"/>
    </sheetView>
  </sheetViews>
  <sheetFormatPr baseColWidth="10" defaultRowHeight="15" x14ac:dyDescent="0"/>
  <sheetData>
    <row r="1" spans="1:80">
      <c r="A1" s="14" t="s">
        <v>440</v>
      </c>
      <c r="B1" s="14"/>
      <c r="C1" s="14"/>
      <c r="D1" s="14"/>
      <c r="E1" s="14"/>
      <c r="F1" s="14"/>
    </row>
    <row r="2" spans="1:80">
      <c r="A2" s="14"/>
      <c r="B2" s="14" t="s">
        <v>505</v>
      </c>
      <c r="C2" s="14"/>
      <c r="D2" s="14"/>
      <c r="E2" s="14"/>
      <c r="F2" s="14"/>
    </row>
    <row r="3" spans="1:80">
      <c r="A3">
        <v>3</v>
      </c>
      <c r="D3" s="15" t="s">
        <v>441</v>
      </c>
      <c r="E3" s="16" t="s">
        <v>504</v>
      </c>
      <c r="BZ3">
        <v>36.160988699425715</v>
      </c>
      <c r="CA3">
        <v>0.60678818374601995</v>
      </c>
      <c r="CB3" t="s">
        <v>192</v>
      </c>
    </row>
    <row r="4" spans="1:80">
      <c r="A4">
        <v>4</v>
      </c>
      <c r="D4" s="15" t="s">
        <v>442</v>
      </c>
      <c r="E4" s="16">
        <v>5</v>
      </c>
      <c r="BZ4">
        <v>3.0369674971428573</v>
      </c>
      <c r="CA4">
        <v>0.33432753286334033</v>
      </c>
      <c r="CB4" t="s">
        <v>193</v>
      </c>
    </row>
    <row r="5" spans="1:80">
      <c r="D5" s="15" t="s">
        <v>443</v>
      </c>
      <c r="E5" s="16">
        <v>192</v>
      </c>
      <c r="BZ5">
        <v>0.20030035658056716</v>
      </c>
      <c r="CA5">
        <v>0.30726395206854085</v>
      </c>
      <c r="CB5" t="s">
        <v>194</v>
      </c>
    </row>
    <row r="6" spans="1:80">
      <c r="C6" s="17" t="s">
        <v>444</v>
      </c>
      <c r="D6" s="18" t="s">
        <v>445</v>
      </c>
      <c r="E6" s="19" t="s">
        <v>446</v>
      </c>
      <c r="F6" s="20" t="s">
        <v>447</v>
      </c>
      <c r="BZ6">
        <v>0.28378762171222283</v>
      </c>
      <c r="CA6">
        <v>0.53224087750075044</v>
      </c>
      <c r="CB6" t="s">
        <v>196</v>
      </c>
    </row>
    <row r="7" spans="1:80">
      <c r="BZ7">
        <v>0.49037226465763062</v>
      </c>
      <c r="CA7">
        <v>0.35074503175938637</v>
      </c>
      <c r="CB7" t="s">
        <v>197</v>
      </c>
    </row>
    <row r="8" spans="1:80">
      <c r="D8" s="22"/>
      <c r="E8" s="22"/>
      <c r="F8" s="22"/>
      <c r="G8" s="22"/>
      <c r="H8" s="22" t="s">
        <v>449</v>
      </c>
      <c r="BZ8">
        <v>3.4642665340996373E-2</v>
      </c>
      <c r="CA8">
        <v>0.23071816793476735</v>
      </c>
      <c r="CB8" t="s">
        <v>198</v>
      </c>
    </row>
    <row r="9" spans="1:80" ht="136" thickBot="1">
      <c r="D9" s="32" t="s">
        <v>498</v>
      </c>
      <c r="E9" s="32" t="s">
        <v>500</v>
      </c>
      <c r="F9" s="32" t="s">
        <v>501</v>
      </c>
      <c r="G9" s="32" t="s">
        <v>502</v>
      </c>
      <c r="H9" s="32" t="s">
        <v>503</v>
      </c>
      <c r="BZ9">
        <v>5.6300230709184147</v>
      </c>
      <c r="CA9">
        <v>0.28053467238785246</v>
      </c>
      <c r="CB9" t="s">
        <v>199</v>
      </c>
    </row>
    <row r="10" spans="1:80" ht="16" thickTop="1">
      <c r="C10" s="33" t="s">
        <v>498</v>
      </c>
      <c r="D10" s="30"/>
      <c r="E10">
        <v>173</v>
      </c>
      <c r="F10" s="27">
        <v>152</v>
      </c>
      <c r="G10" s="27">
        <v>176</v>
      </c>
      <c r="H10" s="27">
        <v>151</v>
      </c>
      <c r="BZ10">
        <v>0.44871751329534554</v>
      </c>
      <c r="CA10">
        <v>0.28489006576531944</v>
      </c>
      <c r="CB10" t="s">
        <v>202</v>
      </c>
    </row>
    <row r="11" spans="1:80">
      <c r="C11" s="33" t="s">
        <v>500</v>
      </c>
      <c r="D11" s="23">
        <v>2.0978642627596855E-2</v>
      </c>
      <c r="E11" s="30"/>
      <c r="F11">
        <v>159</v>
      </c>
      <c r="G11">
        <v>181</v>
      </c>
      <c r="H11" s="17">
        <v>159</v>
      </c>
      <c r="BZ11">
        <v>6.3014062085433808E-2</v>
      </c>
      <c r="CA11">
        <v>0.32917643034138644</v>
      </c>
      <c r="CB11" t="s">
        <v>203</v>
      </c>
    </row>
    <row r="12" spans="1:80">
      <c r="B12" s="21" t="s">
        <v>448</v>
      </c>
      <c r="C12" s="33" t="s">
        <v>501</v>
      </c>
      <c r="D12" s="26">
        <v>0.11902806162834167</v>
      </c>
      <c r="E12" s="23">
        <v>-1.3184500858187675E-2</v>
      </c>
      <c r="F12" s="30"/>
      <c r="G12">
        <v>159</v>
      </c>
      <c r="H12" s="17">
        <v>159</v>
      </c>
      <c r="BZ12">
        <v>0.27885544552921121</v>
      </c>
      <c r="CA12">
        <v>0.31245285791858202</v>
      </c>
      <c r="CB12" t="s">
        <v>204</v>
      </c>
    </row>
    <row r="13" spans="1:80">
      <c r="C13" s="33" t="s">
        <v>502</v>
      </c>
      <c r="D13" s="26">
        <v>-6.319253146648407E-2</v>
      </c>
      <c r="E13" s="23">
        <v>-9.6890563145279884E-3</v>
      </c>
      <c r="F13" s="23">
        <v>1.1650688946247101E-2</v>
      </c>
      <c r="G13" s="30"/>
      <c r="H13">
        <v>159</v>
      </c>
      <c r="BZ13">
        <v>1.222575132384671</v>
      </c>
      <c r="CA13">
        <v>0.50162757086255194</v>
      </c>
      <c r="CB13" t="s">
        <v>205</v>
      </c>
    </row>
    <row r="14" spans="1:80">
      <c r="C14" s="33" t="s">
        <v>503</v>
      </c>
      <c r="D14" s="26">
        <v>0.37644845247268677</v>
      </c>
      <c r="E14" s="24">
        <v>3.0245540663599968E-2</v>
      </c>
      <c r="F14" s="24">
        <v>2.627994678914547E-2</v>
      </c>
      <c r="G14" s="23">
        <v>-2.2431822493672371E-2</v>
      </c>
      <c r="H14" s="30"/>
      <c r="BZ14">
        <v>0.29711643752281297</v>
      </c>
      <c r="CA14">
        <v>0.35205107872874314</v>
      </c>
      <c r="CB14" t="s">
        <v>206</v>
      </c>
    </row>
    <row r="15" spans="1:80">
      <c r="BZ15">
        <v>0.17920744601862013</v>
      </c>
      <c r="CA15">
        <v>0.20778917149386739</v>
      </c>
      <c r="CB15" t="s">
        <v>207</v>
      </c>
    </row>
    <row r="16" spans="1:80">
      <c r="BZ16">
        <v>10.295556315292828</v>
      </c>
      <c r="CA16">
        <v>0.4638565564451243</v>
      </c>
      <c r="CB16" t="s">
        <v>210</v>
      </c>
    </row>
    <row r="17" spans="78:80">
      <c r="BZ17">
        <v>8.2726603124410811</v>
      </c>
      <c r="CA17">
        <v>0.42436500528127041</v>
      </c>
      <c r="CB17" t="s">
        <v>211</v>
      </c>
    </row>
    <row r="18" spans="78:80">
      <c r="BZ18">
        <v>3.6938431083501819</v>
      </c>
      <c r="CA18">
        <v>0.35409716678887782</v>
      </c>
      <c r="CB18" t="s">
        <v>212</v>
      </c>
    </row>
    <row r="19" spans="78:80">
      <c r="BZ19">
        <v>2.5042394409108395</v>
      </c>
      <c r="CA19">
        <v>0.23903176193975847</v>
      </c>
      <c r="CB19" t="s">
        <v>213</v>
      </c>
    </row>
    <row r="20" spans="78:80">
      <c r="BZ20">
        <v>1.8819062970520863</v>
      </c>
      <c r="CA20">
        <v>0.37875854409701254</v>
      </c>
      <c r="CB20" t="s">
        <v>214</v>
      </c>
    </row>
    <row r="21" spans="78:80">
      <c r="BZ21">
        <v>1.6210627587100141E-2</v>
      </c>
      <c r="CA21">
        <v>0.26537966326154672</v>
      </c>
      <c r="CB21" t="s">
        <v>215</v>
      </c>
    </row>
    <row r="22" spans="78:80">
      <c r="BZ22">
        <v>7.1745134965473948E-3</v>
      </c>
      <c r="CA22">
        <v>0.21729452065156737</v>
      </c>
      <c r="CB22" t="s">
        <v>216</v>
      </c>
    </row>
    <row r="23" spans="78:80">
      <c r="BZ23">
        <v>1.3345212273262388</v>
      </c>
      <c r="CA23">
        <v>0.20224535982309999</v>
      </c>
      <c r="CB23" t="s">
        <v>217</v>
      </c>
    </row>
    <row r="24" spans="78:80">
      <c r="BZ24">
        <v>12.28833988226617</v>
      </c>
      <c r="CA24">
        <v>0.49480493029949163</v>
      </c>
      <c r="CB24" t="s">
        <v>218</v>
      </c>
    </row>
    <row r="25" spans="78:80">
      <c r="BZ25">
        <v>34.937243431838439</v>
      </c>
      <c r="CA25">
        <v>0.61330729749273527</v>
      </c>
      <c r="CB25" t="s">
        <v>219</v>
      </c>
    </row>
    <row r="26" spans="78:80">
      <c r="BZ26">
        <v>6.4247721815700345</v>
      </c>
      <c r="CA26">
        <v>0.48992184753755968</v>
      </c>
      <c r="CB26" t="s">
        <v>220</v>
      </c>
    </row>
    <row r="27" spans="78:80">
      <c r="BZ27">
        <v>2.8999001986295192</v>
      </c>
      <c r="CA27">
        <v>0.45534097746979885</v>
      </c>
      <c r="CB27" t="s">
        <v>221</v>
      </c>
    </row>
    <row r="28" spans="78:80">
      <c r="BZ28">
        <v>11.888919317652432</v>
      </c>
      <c r="CA28">
        <v>0.32639657877799322</v>
      </c>
      <c r="CB28" t="s">
        <v>223</v>
      </c>
    </row>
    <row r="29" spans="78:80">
      <c r="BZ29">
        <v>12.032200819458374</v>
      </c>
      <c r="CA29">
        <v>0.53613188137957501</v>
      </c>
      <c r="CB29" t="s">
        <v>224</v>
      </c>
    </row>
    <row r="30" spans="78:80">
      <c r="BZ30">
        <v>7.396602200904737</v>
      </c>
      <c r="CA30">
        <v>0.5464868438301782</v>
      </c>
      <c r="CB30" t="s">
        <v>225</v>
      </c>
    </row>
    <row r="31" spans="78:80">
      <c r="BZ31">
        <v>3.7444628737084193E-2</v>
      </c>
      <c r="CA31">
        <v>0.24229165620289997</v>
      </c>
      <c r="CB31" t="s">
        <v>226</v>
      </c>
    </row>
    <row r="32" spans="78:80">
      <c r="BZ32">
        <v>1.9094383066385511E-2</v>
      </c>
      <c r="CA32">
        <v>0.30843809645024678</v>
      </c>
      <c r="CB32" t="s">
        <v>227</v>
      </c>
    </row>
    <row r="33" spans="78:80">
      <c r="BZ33">
        <v>0.36788706061420495</v>
      </c>
      <c r="CA33">
        <v>0.28123639466136074</v>
      </c>
      <c r="CB33" t="s">
        <v>228</v>
      </c>
    </row>
    <row r="34" spans="78:80">
      <c r="BZ34">
        <v>9.3643010323639899</v>
      </c>
      <c r="CA34">
        <v>0.44342957900389784</v>
      </c>
      <c r="CB34" t="s">
        <v>229</v>
      </c>
    </row>
    <row r="35" spans="78:80">
      <c r="BZ35">
        <v>2.3782906758525431</v>
      </c>
      <c r="CA35">
        <v>0.45792194559476546</v>
      </c>
      <c r="CB35" t="s">
        <v>230</v>
      </c>
    </row>
    <row r="36" spans="78:80">
      <c r="BZ36">
        <v>0.30506707543922335</v>
      </c>
      <c r="CA36">
        <v>0.312671061034413</v>
      </c>
      <c r="CB36" t="s">
        <v>232</v>
      </c>
    </row>
    <row r="37" spans="78:80">
      <c r="BZ37">
        <v>10.399432952074926</v>
      </c>
      <c r="CA37">
        <v>0.45381580150779155</v>
      </c>
      <c r="CB37" t="s">
        <v>233</v>
      </c>
    </row>
    <row r="38" spans="78:80">
      <c r="BZ38">
        <v>0.278364536624778</v>
      </c>
      <c r="CA38">
        <v>0.17774037724141339</v>
      </c>
      <c r="CB38" t="s">
        <v>234</v>
      </c>
    </row>
    <row r="39" spans="78:80">
      <c r="BZ39">
        <v>0.18569551294318776</v>
      </c>
      <c r="CA39">
        <v>0.33940744917088767</v>
      </c>
      <c r="CB39" t="s">
        <v>235</v>
      </c>
    </row>
    <row r="40" spans="78:80">
      <c r="BZ40">
        <v>0.25877068422559407</v>
      </c>
      <c r="CA40">
        <v>0.21810959773805752</v>
      </c>
      <c r="CB40" t="s">
        <v>236</v>
      </c>
    </row>
    <row r="41" spans="78:80">
      <c r="BZ41">
        <v>0.14531424875573595</v>
      </c>
      <c r="CA41">
        <v>0.1426225817822378</v>
      </c>
      <c r="CB41" t="s">
        <v>237</v>
      </c>
    </row>
    <row r="42" spans="78:80">
      <c r="BZ42">
        <v>15.458683306604305</v>
      </c>
      <c r="CA42">
        <v>0.4674006239701145</v>
      </c>
      <c r="CB42" t="s">
        <v>239</v>
      </c>
    </row>
    <row r="43" spans="78:80">
      <c r="BZ43">
        <v>0.23148229869687456</v>
      </c>
      <c r="CA43">
        <v>0.36470801005935244</v>
      </c>
      <c r="CB43" t="s">
        <v>241</v>
      </c>
    </row>
    <row r="44" spans="78:80">
      <c r="BZ44">
        <v>0.35982542102609888</v>
      </c>
      <c r="CA44">
        <v>0.28935695710916826</v>
      </c>
      <c r="CB44" t="s">
        <v>242</v>
      </c>
    </row>
    <row r="45" spans="78:80">
      <c r="BZ45">
        <v>0.42262867541024363</v>
      </c>
      <c r="CA45">
        <v>0.25655678113973845</v>
      </c>
      <c r="CB45" t="s">
        <v>243</v>
      </c>
    </row>
    <row r="46" spans="78:80">
      <c r="BZ46">
        <v>1.3042371563114257</v>
      </c>
      <c r="CA46">
        <v>0.36087565278648004</v>
      </c>
      <c r="CB46" t="s">
        <v>244</v>
      </c>
    </row>
    <row r="47" spans="78:80">
      <c r="BZ47">
        <v>0.22525247365613871</v>
      </c>
      <c r="CA47">
        <v>0.42427069512376903</v>
      </c>
      <c r="CB47" t="s">
        <v>245</v>
      </c>
    </row>
    <row r="48" spans="78:80">
      <c r="BZ48">
        <v>6.838424375556853</v>
      </c>
      <c r="CA48">
        <v>0.46699736833992539</v>
      </c>
      <c r="CB48" t="s">
        <v>246</v>
      </c>
    </row>
    <row r="49" spans="78:80">
      <c r="BZ49">
        <v>0.70475649433646259</v>
      </c>
      <c r="CA49">
        <v>0.22855720701691717</v>
      </c>
      <c r="CB49" t="s">
        <v>247</v>
      </c>
    </row>
    <row r="50" spans="78:80">
      <c r="BZ50">
        <v>12.854490082942638</v>
      </c>
      <c r="CA50">
        <v>0.52476343109866619</v>
      </c>
      <c r="CB50" t="s">
        <v>248</v>
      </c>
    </row>
    <row r="51" spans="78:80">
      <c r="BZ51">
        <v>2.2299591861311385</v>
      </c>
      <c r="CA51">
        <v>0.40590247494049897</v>
      </c>
      <c r="CB51" t="s">
        <v>249</v>
      </c>
    </row>
    <row r="52" spans="78:80">
      <c r="BZ52">
        <v>0.59609168622894204</v>
      </c>
      <c r="CA52">
        <v>0.34204626273768096</v>
      </c>
      <c r="CB52" t="s">
        <v>252</v>
      </c>
    </row>
    <row r="53" spans="78:80">
      <c r="BZ53">
        <v>15.874296151665931</v>
      </c>
      <c r="CA53">
        <v>0.45585575566709985</v>
      </c>
      <c r="CB53" t="s">
        <v>253</v>
      </c>
    </row>
    <row r="54" spans="78:80">
      <c r="BZ54">
        <v>7.7816117760773995</v>
      </c>
      <c r="CA54">
        <v>0.28959699291819135</v>
      </c>
      <c r="CB54" t="s">
        <v>254</v>
      </c>
    </row>
    <row r="55" spans="78:80">
      <c r="BZ55">
        <v>5.0558534920951717</v>
      </c>
      <c r="CA55">
        <v>0.42213363847225766</v>
      </c>
      <c r="CB55" t="s">
        <v>256</v>
      </c>
    </row>
    <row r="56" spans="78:80">
      <c r="BZ56">
        <v>6.2267959705217404</v>
      </c>
      <c r="CA56">
        <v>0.32905621631163334</v>
      </c>
      <c r="CB56" t="s">
        <v>258</v>
      </c>
    </row>
    <row r="57" spans="78:80">
      <c r="BZ57">
        <v>0.91340841502935632</v>
      </c>
      <c r="CA57">
        <v>0.3509908278120023</v>
      </c>
      <c r="CB57" t="s">
        <v>259</v>
      </c>
    </row>
    <row r="58" spans="78:80">
      <c r="BZ58">
        <v>4.7639002077493355</v>
      </c>
      <c r="CA58">
        <v>0.50218903504338885</v>
      </c>
      <c r="CB58" t="s">
        <v>260</v>
      </c>
    </row>
    <row r="59" spans="78:80">
      <c r="BZ59">
        <v>16.713380734277919</v>
      </c>
      <c r="CA59">
        <v>0.49089359106433739</v>
      </c>
      <c r="CB59" t="s">
        <v>261</v>
      </c>
    </row>
    <row r="60" spans="78:80">
      <c r="BZ60">
        <v>7.7946988441835803</v>
      </c>
      <c r="CA60">
        <v>0.40243904985727919</v>
      </c>
      <c r="CB60" t="s">
        <v>262</v>
      </c>
    </row>
    <row r="61" spans="78:80">
      <c r="BZ61">
        <v>16.699318710257277</v>
      </c>
      <c r="CA61">
        <v>0.52227492613594984</v>
      </c>
      <c r="CB61" t="s">
        <v>263</v>
      </c>
    </row>
    <row r="62" spans="78:80">
      <c r="BZ62">
        <v>2.968120228882535</v>
      </c>
      <c r="CA62">
        <v>0.37370106135009562</v>
      </c>
      <c r="CB62" t="s">
        <v>264</v>
      </c>
    </row>
    <row r="63" spans="78:80">
      <c r="BZ63">
        <v>0.23485669139979409</v>
      </c>
      <c r="CA63">
        <v>0.19599165571115057</v>
      </c>
      <c r="CB63" t="s">
        <v>265</v>
      </c>
    </row>
    <row r="64" spans="78:80">
      <c r="BZ64">
        <v>0.14487487257008064</v>
      </c>
      <c r="CA64">
        <v>0.4241753223903349</v>
      </c>
      <c r="CB64" t="s">
        <v>267</v>
      </c>
    </row>
    <row r="65" spans="78:80">
      <c r="BZ65">
        <v>0.14827369342937835</v>
      </c>
      <c r="CA65">
        <v>0.31784267185556037</v>
      </c>
      <c r="CB65" t="s">
        <v>268</v>
      </c>
    </row>
    <row r="66" spans="78:80">
      <c r="BZ66">
        <v>2.8001754454738424E-2</v>
      </c>
      <c r="CA66">
        <v>0.28219460049845968</v>
      </c>
      <c r="CB66" t="s">
        <v>269</v>
      </c>
    </row>
    <row r="67" spans="78:80">
      <c r="BZ67">
        <v>3.3980028853925117</v>
      </c>
      <c r="CA67">
        <v>0.429099058317926</v>
      </c>
      <c r="CB67" t="s">
        <v>270</v>
      </c>
    </row>
    <row r="68" spans="78:80">
      <c r="BZ68">
        <v>0.22033038725977008</v>
      </c>
      <c r="CA68">
        <v>0.22971212274074182</v>
      </c>
      <c r="CB68" t="s">
        <v>272</v>
      </c>
    </row>
    <row r="69" spans="78:80">
      <c r="BZ69">
        <v>1.0499557066014671</v>
      </c>
      <c r="CA69">
        <v>0.35024140412045457</v>
      </c>
      <c r="CB69" t="s">
        <v>274</v>
      </c>
    </row>
    <row r="70" spans="78:80">
      <c r="BZ70">
        <v>2.7582606742929165</v>
      </c>
      <c r="CA70">
        <v>0.29924343332087755</v>
      </c>
      <c r="CB70" t="s">
        <v>276</v>
      </c>
    </row>
    <row r="71" spans="78:80">
      <c r="BZ71">
        <v>0.19982703274921237</v>
      </c>
      <c r="CA71">
        <v>0.28041436659293506</v>
      </c>
      <c r="CB71" t="s">
        <v>277</v>
      </c>
    </row>
    <row r="72" spans="78:80">
      <c r="BZ72">
        <v>5.6621057172194913</v>
      </c>
      <c r="CA72">
        <v>0.49275590906973149</v>
      </c>
      <c r="CB72" t="s">
        <v>278</v>
      </c>
    </row>
    <row r="73" spans="78:80">
      <c r="BZ73">
        <v>-6.8083929668007435E-3</v>
      </c>
      <c r="CA73">
        <v>0.32003776412533508</v>
      </c>
      <c r="CB73" t="s">
        <v>281</v>
      </c>
    </row>
    <row r="74" spans="78:80">
      <c r="BZ74">
        <v>2.3752361904761901E-3</v>
      </c>
      <c r="CA74">
        <v>0.29666761032366501</v>
      </c>
      <c r="CB74" t="s">
        <v>282</v>
      </c>
    </row>
    <row r="75" spans="78:80">
      <c r="BZ75">
        <v>6.8171309291187461</v>
      </c>
      <c r="CA75">
        <v>0.34701971549207372</v>
      </c>
      <c r="CB75" t="s">
        <v>283</v>
      </c>
    </row>
    <row r="76" spans="78:80">
      <c r="BZ76">
        <v>5.7560197264898276</v>
      </c>
      <c r="CA76">
        <v>0.50892055313976603</v>
      </c>
      <c r="CB76" t="s">
        <v>284</v>
      </c>
    </row>
    <row r="77" spans="78:80">
      <c r="BZ77">
        <v>0.68605661068464929</v>
      </c>
      <c r="CA77">
        <v>0.21156950531044272</v>
      </c>
      <c r="CB77" t="s">
        <v>285</v>
      </c>
    </row>
    <row r="78" spans="78:80">
      <c r="BZ78">
        <v>1.6432762416662821</v>
      </c>
      <c r="CA78">
        <v>0.35077717712695183</v>
      </c>
      <c r="CB78" t="s">
        <v>286</v>
      </c>
    </row>
    <row r="79" spans="78:80">
      <c r="BZ79">
        <v>5.7697658211632072</v>
      </c>
      <c r="CA79">
        <v>0.50390865979426136</v>
      </c>
      <c r="CB79" t="s">
        <v>287</v>
      </c>
    </row>
    <row r="80" spans="78:80">
      <c r="BZ80">
        <v>52.019790198885786</v>
      </c>
      <c r="CA80">
        <v>0.52707087395734364</v>
      </c>
      <c r="CB80" t="s">
        <v>288</v>
      </c>
    </row>
    <row r="81" spans="78:80">
      <c r="BZ81">
        <v>6.310089514066497E-2</v>
      </c>
      <c r="CA81">
        <v>0.33454134258860763</v>
      </c>
      <c r="CB81" t="s">
        <v>289</v>
      </c>
    </row>
    <row r="82" spans="78:80">
      <c r="BZ82">
        <v>0.6874273102923637</v>
      </c>
      <c r="CA82">
        <v>0.21904282548216944</v>
      </c>
      <c r="CB82" t="s">
        <v>291</v>
      </c>
    </row>
    <row r="83" spans="78:80">
      <c r="BZ83">
        <v>5.1064477490329478</v>
      </c>
      <c r="CA83">
        <v>0.53798348302321553</v>
      </c>
      <c r="CB83" t="s">
        <v>293</v>
      </c>
    </row>
    <row r="84" spans="78:80">
      <c r="BZ84">
        <v>15.126522057170902</v>
      </c>
      <c r="CA84">
        <v>0.4940922140501014</v>
      </c>
      <c r="CB84" t="s">
        <v>294</v>
      </c>
    </row>
    <row r="85" spans="78:80">
      <c r="BZ85">
        <v>6.0370842171432848E-2</v>
      </c>
      <c r="CA85">
        <v>0.25038040031505954</v>
      </c>
      <c r="CB85" t="s">
        <v>295</v>
      </c>
    </row>
    <row r="86" spans="78:80">
      <c r="BZ86">
        <v>1.742765562892219</v>
      </c>
      <c r="CA86">
        <v>0.40567830086347778</v>
      </c>
      <c r="CB86" t="s">
        <v>296</v>
      </c>
    </row>
    <row r="87" spans="78:80">
      <c r="BZ87">
        <v>10.648131224356176</v>
      </c>
      <c r="CA87">
        <v>0.52379846211179282</v>
      </c>
      <c r="CB87" t="s">
        <v>297</v>
      </c>
    </row>
    <row r="88" spans="78:80">
      <c r="BZ88">
        <v>7.6069308519172152E-2</v>
      </c>
      <c r="CA88">
        <v>0.21432566020855032</v>
      </c>
      <c r="CB88" t="s">
        <v>298</v>
      </c>
    </row>
    <row r="89" spans="78:80">
      <c r="BZ89">
        <v>7.8841196152579531</v>
      </c>
      <c r="CA89">
        <v>0.47166700366047171</v>
      </c>
      <c r="CB89" t="s">
        <v>300</v>
      </c>
    </row>
    <row r="90" spans="78:80">
      <c r="BZ90">
        <v>1.5988727442824839</v>
      </c>
      <c r="CA90">
        <v>0.28605435650888011</v>
      </c>
      <c r="CB90" t="s">
        <v>301</v>
      </c>
    </row>
    <row r="91" spans="78:80">
      <c r="BZ91">
        <v>1.7925125138680116E-2</v>
      </c>
      <c r="CA91">
        <v>0.27869580074281786</v>
      </c>
      <c r="CB91" t="s">
        <v>302</v>
      </c>
    </row>
    <row r="92" spans="78:80">
      <c r="BZ92">
        <v>40.675547885818922</v>
      </c>
      <c r="CA92">
        <v>0.50575651386859821</v>
      </c>
      <c r="CB92" t="s">
        <v>303</v>
      </c>
    </row>
    <row r="93" spans="78:80">
      <c r="BZ93">
        <v>4.2189464432351178</v>
      </c>
      <c r="CA93">
        <v>0.34019636181004864</v>
      </c>
      <c r="CB93" t="s">
        <v>304</v>
      </c>
    </row>
    <row r="94" spans="78:80">
      <c r="BZ94">
        <v>2.1049127189575714</v>
      </c>
      <c r="CA94">
        <v>0.27897370424869639</v>
      </c>
      <c r="CB94" t="s">
        <v>306</v>
      </c>
    </row>
    <row r="95" spans="78:80">
      <c r="BZ95">
        <v>6.0025575267894933</v>
      </c>
      <c r="CA95">
        <v>0.37367686383970755</v>
      </c>
      <c r="CB95" t="s">
        <v>307</v>
      </c>
    </row>
    <row r="96" spans="78:80">
      <c r="BZ96">
        <v>1.0039033039295986</v>
      </c>
      <c r="CA96">
        <v>0.36382873749822237</v>
      </c>
      <c r="CB96" t="s">
        <v>309</v>
      </c>
    </row>
    <row r="97" spans="78:80">
      <c r="BZ97">
        <v>21.001784224174322</v>
      </c>
      <c r="CA97">
        <v>0.51679393176571786</v>
      </c>
      <c r="CB97" t="s">
        <v>310</v>
      </c>
    </row>
    <row r="98" spans="78:80">
      <c r="BZ98">
        <v>2.6803706102200922</v>
      </c>
      <c r="CA98">
        <v>0.40107174018402908</v>
      </c>
      <c r="CB98" t="s">
        <v>312</v>
      </c>
    </row>
    <row r="99" spans="78:80">
      <c r="BZ99">
        <v>6.6335428767485149</v>
      </c>
      <c r="CA99">
        <v>0.4873070613028363</v>
      </c>
      <c r="CB99" t="s">
        <v>314</v>
      </c>
    </row>
    <row r="100" spans="78:80">
      <c r="BZ100">
        <v>11.815118947184999</v>
      </c>
      <c r="CA100">
        <v>0.34991358224339797</v>
      </c>
      <c r="CB100" t="s">
        <v>317</v>
      </c>
    </row>
    <row r="101" spans="78:80">
      <c r="BZ101">
        <v>8.470458582708682</v>
      </c>
      <c r="CA101">
        <v>0.50667101042104146</v>
      </c>
      <c r="CB101" t="s">
        <v>318</v>
      </c>
    </row>
    <row r="102" spans="78:80">
      <c r="BZ102">
        <v>0.85668963210968907</v>
      </c>
      <c r="CA102">
        <v>0.46896356084462321</v>
      </c>
      <c r="CB102" t="s">
        <v>319</v>
      </c>
    </row>
    <row r="103" spans="78:80">
      <c r="BZ103">
        <v>0.45233160012735507</v>
      </c>
      <c r="CA103">
        <v>0.2733521723390554</v>
      </c>
      <c r="CB103" t="s">
        <v>321</v>
      </c>
    </row>
    <row r="104" spans="78:80">
      <c r="BZ104">
        <v>1.5721245918327669</v>
      </c>
      <c r="CA104">
        <v>0.40749399291657279</v>
      </c>
      <c r="CB104" t="s">
        <v>322</v>
      </c>
    </row>
    <row r="105" spans="78:80">
      <c r="BZ105">
        <v>0.24553394649821469</v>
      </c>
      <c r="CA105">
        <v>0.31171070955575447</v>
      </c>
      <c r="CB105" t="s">
        <v>324</v>
      </c>
    </row>
    <row r="106" spans="78:80">
      <c r="BZ106">
        <v>4.3636910044914829</v>
      </c>
      <c r="CA106">
        <v>0.46291110827763121</v>
      </c>
      <c r="CB106" t="s">
        <v>325</v>
      </c>
    </row>
    <row r="107" spans="78:80">
      <c r="BZ107">
        <v>0.80875253617169429</v>
      </c>
      <c r="CA107">
        <v>0.31435710926109312</v>
      </c>
      <c r="CB107" t="s">
        <v>326</v>
      </c>
    </row>
    <row r="108" spans="78:80">
      <c r="BZ108">
        <v>0.28138271160509382</v>
      </c>
      <c r="CA108">
        <v>0.3523092726236115</v>
      </c>
      <c r="CB108" t="s">
        <v>327</v>
      </c>
    </row>
    <row r="109" spans="78:80">
      <c r="BZ109">
        <v>0.1553338635893797</v>
      </c>
      <c r="CA109">
        <v>0.34559079563043632</v>
      </c>
      <c r="CB109" t="s">
        <v>328</v>
      </c>
    </row>
    <row r="110" spans="78:80">
      <c r="BZ110">
        <v>0.32423090700470975</v>
      </c>
      <c r="CA110">
        <v>0.14214720439468459</v>
      </c>
      <c r="CB110" t="s">
        <v>329</v>
      </c>
    </row>
    <row r="111" spans="78:80">
      <c r="BZ111">
        <v>2.2174035177698267E-3</v>
      </c>
      <c r="CA111">
        <v>0.28732907702414173</v>
      </c>
      <c r="CB111" t="s">
        <v>331</v>
      </c>
    </row>
    <row r="112" spans="78:80">
      <c r="BZ112">
        <v>8.9946116215349189E-2</v>
      </c>
      <c r="CA112">
        <v>0.24503011237146949</v>
      </c>
      <c r="CB112" t="s">
        <v>333</v>
      </c>
    </row>
    <row r="113" spans="78:80">
      <c r="BZ113">
        <v>16.603326695307988</v>
      </c>
      <c r="CA113">
        <v>0.537172089249216</v>
      </c>
      <c r="CB113" t="s">
        <v>334</v>
      </c>
    </row>
    <row r="114" spans="78:80">
      <c r="BZ114">
        <v>0.84394478869091294</v>
      </c>
      <c r="CA114">
        <v>0.34910081498741302</v>
      </c>
      <c r="CB114" t="s">
        <v>335</v>
      </c>
    </row>
    <row r="115" spans="78:80">
      <c r="BZ115">
        <v>3.4287602876792498</v>
      </c>
      <c r="CA115">
        <v>0.31463523243981095</v>
      </c>
      <c r="CB115" t="s">
        <v>336</v>
      </c>
    </row>
    <row r="116" spans="78:80">
      <c r="BZ116">
        <v>4.418422284371597</v>
      </c>
      <c r="CA116">
        <v>0.33653451249050603</v>
      </c>
      <c r="CB116" t="s">
        <v>337</v>
      </c>
    </row>
    <row r="117" spans="78:80">
      <c r="BZ117">
        <v>13.501086562843337</v>
      </c>
      <c r="CA117">
        <v>0.46682635491015917</v>
      </c>
      <c r="CB117" t="s">
        <v>338</v>
      </c>
    </row>
    <row r="118" spans="78:80">
      <c r="BZ118">
        <v>15.604150728095176</v>
      </c>
      <c r="CA118">
        <v>0.48485872169251576</v>
      </c>
      <c r="CB118" t="s">
        <v>340</v>
      </c>
    </row>
    <row r="119" spans="78:80">
      <c r="BZ119">
        <v>-3.0170282417524435E-2</v>
      </c>
      <c r="CA119">
        <v>0.29072498742336322</v>
      </c>
      <c r="CB119" t="s">
        <v>341</v>
      </c>
    </row>
    <row r="120" spans="78:80">
      <c r="BZ120">
        <v>7.8552425813676194</v>
      </c>
      <c r="CA120">
        <v>0.43230077750723761</v>
      </c>
      <c r="CB120" t="s">
        <v>342</v>
      </c>
    </row>
    <row r="121" spans="78:80">
      <c r="BZ121">
        <v>1.5836249219848657</v>
      </c>
      <c r="CA121">
        <v>0.29168694854085603</v>
      </c>
      <c r="CB121" t="s">
        <v>343</v>
      </c>
    </row>
    <row r="122" spans="78:80">
      <c r="BZ122">
        <v>23.636033801927024</v>
      </c>
      <c r="CA122">
        <v>0.55672241607471351</v>
      </c>
      <c r="CB122" t="s">
        <v>345</v>
      </c>
    </row>
    <row r="123" spans="78:80">
      <c r="BZ123">
        <v>4.3781281127992372E-3</v>
      </c>
      <c r="CA123">
        <v>0.31893049589594796</v>
      </c>
      <c r="CB123" t="s">
        <v>346</v>
      </c>
    </row>
    <row r="124" spans="78:80">
      <c r="BZ124">
        <v>0.26927365660899272</v>
      </c>
      <c r="CA124">
        <v>0.18468634869412706</v>
      </c>
      <c r="CB124" t="s">
        <v>347</v>
      </c>
    </row>
    <row r="125" spans="78:80">
      <c r="BZ125">
        <v>0.1330680554310644</v>
      </c>
      <c r="CA125">
        <v>0.17845825629062931</v>
      </c>
      <c r="CB125" t="s">
        <v>348</v>
      </c>
    </row>
    <row r="126" spans="78:80">
      <c r="BZ126">
        <v>30.342214602405168</v>
      </c>
      <c r="CA126">
        <v>0.51498779679174045</v>
      </c>
      <c r="CB126" t="s">
        <v>349</v>
      </c>
    </row>
    <row r="127" spans="78:80">
      <c r="BZ127">
        <v>72.150280329549901</v>
      </c>
      <c r="CA127">
        <v>0.56365853070545402</v>
      </c>
      <c r="CB127" t="s">
        <v>350</v>
      </c>
    </row>
    <row r="128" spans="78:80">
      <c r="BZ128">
        <v>0.29557560200493582</v>
      </c>
      <c r="CA128">
        <v>0.34756416578687632</v>
      </c>
      <c r="CB128" t="s">
        <v>351</v>
      </c>
    </row>
    <row r="129" spans="78:80">
      <c r="BZ129">
        <v>1.4202323465577928</v>
      </c>
      <c r="CA129">
        <v>0.28168141402503183</v>
      </c>
      <c r="CB129" t="s">
        <v>353</v>
      </c>
    </row>
    <row r="130" spans="78:80">
      <c r="BZ130">
        <v>3.6890339430657506</v>
      </c>
      <c r="CA130">
        <v>0.49224427663092313</v>
      </c>
      <c r="CB130" t="s">
        <v>354</v>
      </c>
    </row>
    <row r="131" spans="78:80">
      <c r="BZ131">
        <v>4.8315075630252098</v>
      </c>
      <c r="CA131">
        <v>0.30488226826645337</v>
      </c>
      <c r="CB131" t="s">
        <v>355</v>
      </c>
    </row>
    <row r="132" spans="78:80">
      <c r="BZ132">
        <v>1.5518753325589238</v>
      </c>
      <c r="CA132">
        <v>0.41364752068012139</v>
      </c>
      <c r="CB132" t="s">
        <v>356</v>
      </c>
    </row>
    <row r="133" spans="78:80">
      <c r="BZ133">
        <v>0.41363021223905039</v>
      </c>
      <c r="CA133">
        <v>0.3220960461066118</v>
      </c>
      <c r="CB133" t="s">
        <v>359</v>
      </c>
    </row>
    <row r="134" spans="78:80">
      <c r="BZ134">
        <v>7.2492944748026709</v>
      </c>
      <c r="CA134">
        <v>0.39247138353658556</v>
      </c>
      <c r="CB134" t="s">
        <v>360</v>
      </c>
    </row>
    <row r="135" spans="78:80">
      <c r="BZ135">
        <v>12.726202230403231</v>
      </c>
      <c r="CA135">
        <v>0.5230222910074287</v>
      </c>
      <c r="CB135" t="s">
        <v>361</v>
      </c>
    </row>
    <row r="136" spans="78:80">
      <c r="BZ136">
        <v>-2.4045414890344154E-2</v>
      </c>
      <c r="CA136">
        <v>0.28863004464091246</v>
      </c>
      <c r="CB136" t="s">
        <v>362</v>
      </c>
    </row>
    <row r="137" spans="78:80">
      <c r="BZ137">
        <v>15.824502378508923</v>
      </c>
      <c r="CA137">
        <v>0.52410035242496678</v>
      </c>
      <c r="CB137" t="s">
        <v>364</v>
      </c>
    </row>
    <row r="138" spans="78:80">
      <c r="BZ138">
        <v>11.342679199717344</v>
      </c>
      <c r="CA138">
        <v>0.41084554063112771</v>
      </c>
      <c r="CB138" t="s">
        <v>365</v>
      </c>
    </row>
    <row r="139" spans="78:80">
      <c r="BZ139">
        <v>3.3488769448460617E-2</v>
      </c>
      <c r="CA139">
        <v>0.30862077805106686</v>
      </c>
      <c r="CB139" t="s">
        <v>366</v>
      </c>
    </row>
    <row r="140" spans="78:80">
      <c r="BZ140">
        <v>1.0698599089305494</v>
      </c>
      <c r="CA140">
        <v>0.3003028535571029</v>
      </c>
      <c r="CB140" t="s">
        <v>367</v>
      </c>
    </row>
    <row r="141" spans="78:80">
      <c r="BZ141">
        <v>0.18548827624190531</v>
      </c>
      <c r="CA141">
        <v>0.28320929807685585</v>
      </c>
      <c r="CB141" t="s">
        <v>368</v>
      </c>
    </row>
    <row r="142" spans="78:80">
      <c r="BZ142">
        <v>0.19939300375425426</v>
      </c>
      <c r="CA142">
        <v>0.29676589227257633</v>
      </c>
      <c r="CB142" t="s">
        <v>369</v>
      </c>
    </row>
    <row r="143" spans="78:80">
      <c r="BZ143">
        <v>10.498527958665502</v>
      </c>
      <c r="CA143">
        <v>0.51581971452281128</v>
      </c>
      <c r="CB143" t="s">
        <v>371</v>
      </c>
    </row>
    <row r="144" spans="78:80">
      <c r="BZ144">
        <v>0.48429880678636256</v>
      </c>
      <c r="CA144">
        <v>0.25277799029742598</v>
      </c>
      <c r="CB144" t="s">
        <v>372</v>
      </c>
    </row>
    <row r="145" spans="78:80">
      <c r="BZ145">
        <v>1.8007819347033909E-3</v>
      </c>
      <c r="CA145">
        <v>0.27107410308465674</v>
      </c>
      <c r="CB145" t="s">
        <v>373</v>
      </c>
    </row>
    <row r="146" spans="78:80">
      <c r="BZ146">
        <v>0.12569231377508538</v>
      </c>
      <c r="CA146">
        <v>0.22262900022851181</v>
      </c>
      <c r="CB146" t="s">
        <v>376</v>
      </c>
    </row>
    <row r="147" spans="78:80">
      <c r="BZ147">
        <v>0.48817897146179806</v>
      </c>
      <c r="CA147">
        <v>0.31466909528506604</v>
      </c>
      <c r="CB147" t="s">
        <v>377</v>
      </c>
    </row>
    <row r="148" spans="78:80">
      <c r="BZ148">
        <v>14.784901473245423</v>
      </c>
      <c r="CA148">
        <v>0.427013571905421</v>
      </c>
      <c r="CB148" t="s">
        <v>378</v>
      </c>
    </row>
    <row r="149" spans="78:80">
      <c r="BZ149">
        <v>1.7050000677031128E-2</v>
      </c>
      <c r="CA149">
        <v>0.25432116195686855</v>
      </c>
      <c r="CB149" t="s">
        <v>379</v>
      </c>
    </row>
    <row r="150" spans="78:80">
      <c r="BZ150">
        <v>3.5181725010104823</v>
      </c>
      <c r="CA150">
        <v>0.36029832786952581</v>
      </c>
      <c r="CB150" t="s">
        <v>380</v>
      </c>
    </row>
    <row r="151" spans="78:80">
      <c r="BZ151">
        <v>1.8952665451030863</v>
      </c>
      <c r="CA151">
        <v>0.51081168483599959</v>
      </c>
      <c r="CB151" t="s">
        <v>381</v>
      </c>
    </row>
    <row r="152" spans="78:80">
      <c r="BZ152">
        <v>7.8348742510510938</v>
      </c>
      <c r="CA152">
        <v>0.5053188084953355</v>
      </c>
      <c r="CB152" t="s">
        <v>382</v>
      </c>
    </row>
    <row r="153" spans="78:80">
      <c r="BZ153">
        <v>9.8576398180358584</v>
      </c>
      <c r="CA153">
        <v>0.47931595517860281</v>
      </c>
      <c r="CB153" t="s">
        <v>383</v>
      </c>
    </row>
    <row r="154" spans="78:80">
      <c r="BZ154">
        <v>0.27990159077109894</v>
      </c>
      <c r="CA154">
        <v>0.39247138353658556</v>
      </c>
      <c r="CB154" t="s">
        <v>360</v>
      </c>
    </row>
    <row r="155" spans="78:80">
      <c r="BZ155">
        <v>1.8799099727238051</v>
      </c>
      <c r="CA155">
        <v>0.5230222910074287</v>
      </c>
      <c r="CB155" t="s">
        <v>361</v>
      </c>
    </row>
    <row r="156" spans="78:80">
      <c r="BZ156">
        <v>1.9798463761072915</v>
      </c>
      <c r="CA156">
        <v>0.28863004464091246</v>
      </c>
      <c r="CB156" t="s">
        <v>362</v>
      </c>
    </row>
    <row r="157" spans="78:80">
      <c r="BZ157">
        <v>1.3020106243142326</v>
      </c>
      <c r="CA157">
        <v>0.52410035242496678</v>
      </c>
      <c r="CB157" t="s">
        <v>364</v>
      </c>
    </row>
    <row r="158" spans="78:80">
      <c r="BZ158">
        <v>4.6541329282062112</v>
      </c>
      <c r="CA158">
        <v>0.41084554063112771</v>
      </c>
      <c r="CB158" t="s">
        <v>365</v>
      </c>
    </row>
    <row r="159" spans="78:80">
      <c r="BZ159">
        <v>2.6664825992730812</v>
      </c>
      <c r="CA159">
        <v>0.30862077805106686</v>
      </c>
      <c r="CB159" t="s">
        <v>366</v>
      </c>
    </row>
    <row r="160" spans="78:80">
      <c r="BZ160">
        <v>3.1628799743233591</v>
      </c>
      <c r="CA160">
        <v>0.3003028535571029</v>
      </c>
      <c r="CB160" t="s">
        <v>367</v>
      </c>
    </row>
    <row r="161" spans="78:80">
      <c r="BZ161">
        <v>1.2634053466350483</v>
      </c>
      <c r="CA161">
        <v>0.28320929807685585</v>
      </c>
      <c r="CB161" t="s">
        <v>368</v>
      </c>
    </row>
    <row r="162" spans="78:80">
      <c r="BZ162">
        <v>10.414634574225467</v>
      </c>
      <c r="CA162">
        <v>0.29676589227257633</v>
      </c>
      <c r="CB162" t="s">
        <v>369</v>
      </c>
    </row>
    <row r="163" spans="78:80">
      <c r="BZ163">
        <v>4.8038913775573313</v>
      </c>
      <c r="CA163">
        <v>0.51581971452281128</v>
      </c>
      <c r="CB163" t="s">
        <v>371</v>
      </c>
    </row>
    <row r="164" spans="78:80">
      <c r="BZ164">
        <v>4.7089338913418235</v>
      </c>
      <c r="CA164">
        <v>0.25277799029742598</v>
      </c>
      <c r="CB164" t="s">
        <v>372</v>
      </c>
    </row>
    <row r="165" spans="78:80">
      <c r="BZ165">
        <v>1.3264976329830966</v>
      </c>
      <c r="CA165">
        <v>0.27107410308465674</v>
      </c>
      <c r="CB165" t="s">
        <v>373</v>
      </c>
    </row>
    <row r="166" spans="78:80">
      <c r="BZ166">
        <v>2.0875707960830736</v>
      </c>
      <c r="CA166">
        <v>0.15656050047576747</v>
      </c>
      <c r="CB166" t="s">
        <v>374</v>
      </c>
    </row>
    <row r="167" spans="78:80">
      <c r="BZ167">
        <v>1.6194575326900229</v>
      </c>
      <c r="CA167">
        <v>0.19179491777549199</v>
      </c>
      <c r="CB167" t="s">
        <v>375</v>
      </c>
    </row>
    <row r="168" spans="78:80">
      <c r="BZ168">
        <v>4.0405974670249245</v>
      </c>
      <c r="CA168">
        <v>0.22262900022851181</v>
      </c>
      <c r="CB168" t="s">
        <v>376</v>
      </c>
    </row>
    <row r="169" spans="78:80">
      <c r="BZ169">
        <v>2.1086868867135995</v>
      </c>
      <c r="CA169">
        <v>0.31466909528506604</v>
      </c>
      <c r="CB169" t="s">
        <v>377</v>
      </c>
    </row>
    <row r="170" spans="78:80">
      <c r="BZ170">
        <v>5.5670570836244995</v>
      </c>
      <c r="CA170">
        <v>0.427013571905421</v>
      </c>
      <c r="CB170" t="s">
        <v>378</v>
      </c>
    </row>
    <row r="171" spans="78:80">
      <c r="BZ171">
        <v>-0.3583026635316825</v>
      </c>
      <c r="CA171">
        <v>0.25432116195686855</v>
      </c>
      <c r="CB171" t="s">
        <v>379</v>
      </c>
    </row>
    <row r="172" spans="78:80">
      <c r="BZ172">
        <v>7.516900447638494</v>
      </c>
      <c r="CA172">
        <v>0.36029832786952581</v>
      </c>
      <c r="CB172" t="s">
        <v>380</v>
      </c>
    </row>
    <row r="173" spans="78:80">
      <c r="BZ173">
        <v>0.49001655559788859</v>
      </c>
      <c r="CA173">
        <v>0.51081168483599959</v>
      </c>
      <c r="CB173" t="s">
        <v>381</v>
      </c>
    </row>
    <row r="174" spans="78:80">
      <c r="BZ174">
        <v>6.4312306749833361</v>
      </c>
      <c r="CA174">
        <v>0.5053188084953355</v>
      </c>
      <c r="CB174" t="s">
        <v>382</v>
      </c>
    </row>
    <row r="175" spans="78:80">
      <c r="BZ175">
        <v>1.4102221032914102</v>
      </c>
      <c r="CA175">
        <v>0.47931595517860281</v>
      </c>
      <c r="CB175" t="s">
        <v>383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3]!PairCompare">
                <anchor moveWithCells="1" sizeWithCells="1">
                  <from>
                    <xdr:col>0</xdr:col>
                    <xdr:colOff>127000</xdr:colOff>
                    <xdr:row>8</xdr:row>
                    <xdr:rowOff>1117600</xdr:rowOff>
                  </from>
                  <to>
                    <xdr:col>1</xdr:col>
                    <xdr:colOff>444500</xdr:colOff>
                    <xdr:row>8</xdr:row>
                    <xdr:rowOff>1498600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Explanation</vt:lpstr>
      <vt:lpstr>New Data</vt:lpstr>
      <vt:lpstr>Graphics &amp; Tables</vt:lpstr>
      <vt:lpstr>Correl Matrix</vt:lpstr>
      <vt:lpstr>Aid correl</vt:lpstr>
      <vt:lpstr>Shout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Noble</dc:creator>
  <cp:lastModifiedBy>Ian Noble</cp:lastModifiedBy>
  <dcterms:created xsi:type="dcterms:W3CDTF">2012-07-17T04:55:11Z</dcterms:created>
  <dcterms:modified xsi:type="dcterms:W3CDTF">2012-09-10T15:34:19Z</dcterms:modified>
</cp:coreProperties>
</file>