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105" codeName="{00000000-0000-0000-0000-000000000000}"/>
  <workbookPr showInkAnnotation="0" codeName="ThisWorkbook" autoCompressPictures="0"/>
  <bookViews>
    <workbookView xWindow="0" yWindow="0" windowWidth="25600" windowHeight="16060" tabRatio="714" activeTab="1"/>
  </bookViews>
  <sheets>
    <sheet name="The View" sheetId="12" r:id="rId1"/>
    <sheet name="Shout" sheetId="29" r:id="rId2"/>
    <sheet name="Full Scores" sheetId="1" r:id="rId3"/>
    <sheet name="Data sources" sheetId="8" r:id="rId4"/>
    <sheet name="IncomeGrp" sheetId="25" r:id="rId5"/>
    <sheet name="FULL copy" sheetId="26" r:id="rId6"/>
  </sheets>
  <definedNames>
    <definedName name="_xlnm.Print_Area" localSheetId="3">'Data sources'!$B$2:$F$39</definedName>
    <definedName name="rOut" localSheetId="5">#REF!</definedName>
    <definedName name="rOut" localSheetId="0">#REF!</definedName>
    <definedName name="rOut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26" l="1"/>
  <c r="F2" i="26"/>
  <c r="G2" i="26"/>
  <c r="H2" i="26"/>
  <c r="I2" i="26"/>
  <c r="J2" i="26"/>
  <c r="K2" i="26"/>
  <c r="L2" i="26"/>
  <c r="M2" i="26"/>
  <c r="N2" i="26"/>
  <c r="O2" i="26"/>
  <c r="P2" i="26"/>
  <c r="Q2" i="26"/>
  <c r="R2" i="26"/>
  <c r="S2" i="26"/>
  <c r="T2" i="26"/>
  <c r="U2" i="26"/>
  <c r="V2" i="26"/>
  <c r="W2" i="26"/>
  <c r="X2" i="26"/>
  <c r="Y2" i="26"/>
  <c r="Z2" i="26"/>
  <c r="AA2" i="26"/>
  <c r="AB2" i="26"/>
  <c r="AC2" i="26"/>
  <c r="AD2" i="26"/>
  <c r="AE2" i="26"/>
  <c r="AF2" i="26"/>
  <c r="AG2" i="26"/>
  <c r="AH2" i="26"/>
  <c r="AI2" i="26"/>
  <c r="AJ2" i="26"/>
  <c r="AK2" i="26"/>
  <c r="AL2" i="26"/>
  <c r="AM2" i="26"/>
  <c r="AN2" i="26"/>
  <c r="D2" i="26"/>
  <c r="J2" i="12"/>
  <c r="Q2" i="12"/>
  <c r="X2" i="12"/>
  <c r="A4" i="12"/>
  <c r="K4" i="12"/>
  <c r="L4" i="12"/>
  <c r="M4" i="12"/>
  <c r="N4" i="12"/>
  <c r="O4" i="12"/>
  <c r="P4" i="12"/>
  <c r="J4" i="12"/>
  <c r="R4" i="12"/>
  <c r="S4" i="12"/>
  <c r="T4" i="12"/>
  <c r="U4" i="12"/>
  <c r="V4" i="12"/>
  <c r="W4" i="12"/>
  <c r="Q4" i="12"/>
  <c r="Y4" i="12"/>
  <c r="Z4" i="12"/>
  <c r="AA4" i="12"/>
  <c r="AB4" i="12"/>
  <c r="AC4" i="12"/>
  <c r="AD4" i="12"/>
  <c r="X4" i="12"/>
  <c r="AF4" i="12"/>
  <c r="AG4" i="12"/>
  <c r="AH4" i="12"/>
  <c r="AI4" i="12"/>
  <c r="AJ4" i="12"/>
  <c r="AK4" i="12"/>
  <c r="AE4" i="12"/>
  <c r="I4" i="12"/>
  <c r="G4" i="12" a="1"/>
  <c r="G4" i="12"/>
  <c r="AM1" i="12"/>
  <c r="AL1" i="12"/>
  <c r="G9" i="12"/>
  <c r="B12" i="12"/>
  <c r="A6" i="12"/>
  <c r="K5" i="12"/>
  <c r="L5" i="12"/>
  <c r="M5" i="12"/>
  <c r="N5" i="12"/>
  <c r="O5" i="12"/>
  <c r="P5" i="12"/>
  <c r="J5" i="12"/>
  <c r="R5" i="12"/>
  <c r="S5" i="12"/>
  <c r="T5" i="12"/>
  <c r="U5" i="12"/>
  <c r="V5" i="12"/>
  <c r="W5" i="12"/>
  <c r="Q5" i="12"/>
  <c r="Y5" i="12"/>
  <c r="Z5" i="12"/>
  <c r="AA5" i="12"/>
  <c r="AB5" i="12"/>
  <c r="AC5" i="12"/>
  <c r="AD5" i="12"/>
  <c r="X5" i="12"/>
  <c r="AF5" i="12"/>
  <c r="AG5" i="12"/>
  <c r="AH5" i="12"/>
  <c r="AI5" i="12"/>
  <c r="AJ5" i="12"/>
  <c r="AK5" i="12"/>
  <c r="AE5" i="12"/>
  <c r="I5" i="12"/>
  <c r="G5" i="12" a="1"/>
  <c r="G5" i="12"/>
  <c r="A7" i="12"/>
  <c r="K6" i="12"/>
  <c r="L6" i="12"/>
  <c r="M6" i="12"/>
  <c r="N6" i="12"/>
  <c r="O6" i="12"/>
  <c r="P6" i="12"/>
  <c r="J6" i="12"/>
  <c r="R6" i="12"/>
  <c r="S6" i="12"/>
  <c r="T6" i="12"/>
  <c r="U6" i="12"/>
  <c r="V6" i="12"/>
  <c r="W6" i="12"/>
  <c r="Q6" i="12"/>
  <c r="Y6" i="12"/>
  <c r="Z6" i="12"/>
  <c r="AA6" i="12"/>
  <c r="AB6" i="12"/>
  <c r="AC6" i="12"/>
  <c r="AD6" i="12"/>
  <c r="X6" i="12"/>
  <c r="AF6" i="12"/>
  <c r="AG6" i="12"/>
  <c r="AH6" i="12"/>
  <c r="AI6" i="12"/>
  <c r="AJ6" i="12"/>
  <c r="AK6" i="12"/>
  <c r="AE6" i="12"/>
  <c r="I6" i="12"/>
  <c r="G6" i="12" a="1"/>
  <c r="G6" i="12"/>
  <c r="A8" i="12"/>
  <c r="K7" i="12"/>
  <c r="L7" i="12"/>
  <c r="M7" i="12"/>
  <c r="N7" i="12"/>
  <c r="O7" i="12"/>
  <c r="P7" i="12"/>
  <c r="J7" i="12"/>
  <c r="R7" i="12"/>
  <c r="S7" i="12"/>
  <c r="T7" i="12"/>
  <c r="U7" i="12"/>
  <c r="V7" i="12"/>
  <c r="W7" i="12"/>
  <c r="Q7" i="12"/>
  <c r="Y7" i="12"/>
  <c r="Z7" i="12"/>
  <c r="AA7" i="12"/>
  <c r="AB7" i="12"/>
  <c r="AC7" i="12"/>
  <c r="AD7" i="12"/>
  <c r="X7" i="12"/>
  <c r="AF7" i="12"/>
  <c r="AG7" i="12"/>
  <c r="AH7" i="12"/>
  <c r="AI7" i="12"/>
  <c r="AJ7" i="12"/>
  <c r="AK7" i="12"/>
  <c r="AE7" i="12"/>
  <c r="I7" i="12"/>
  <c r="G7" i="12" a="1"/>
  <c r="G7" i="12"/>
  <c r="A9" i="12"/>
  <c r="K8" i="12"/>
  <c r="L8" i="12"/>
  <c r="M8" i="12"/>
  <c r="N8" i="12"/>
  <c r="O8" i="12"/>
  <c r="P8" i="12"/>
  <c r="J8" i="12"/>
  <c r="R8" i="12"/>
  <c r="S8" i="12"/>
  <c r="T8" i="12"/>
  <c r="U8" i="12"/>
  <c r="V8" i="12"/>
  <c r="W8" i="12"/>
  <c r="Q8" i="12"/>
  <c r="Y8" i="12"/>
  <c r="Z8" i="12"/>
  <c r="AA8" i="12"/>
  <c r="AB8" i="12"/>
  <c r="AC8" i="12"/>
  <c r="AD8" i="12"/>
  <c r="X8" i="12"/>
  <c r="AF8" i="12"/>
  <c r="AG8" i="12"/>
  <c r="AH8" i="12"/>
  <c r="AI8" i="12"/>
  <c r="AJ8" i="12"/>
  <c r="AK8" i="12"/>
  <c r="AE8" i="12"/>
  <c r="I8" i="12"/>
  <c r="G8" i="12" a="1"/>
  <c r="G8" i="12"/>
  <c r="A3" i="12"/>
  <c r="X26" i="12"/>
  <c r="AD26" i="12"/>
  <c r="L7" i="25" a="1"/>
  <c r="L7" i="25"/>
  <c r="L14" i="25" a="1"/>
  <c r="L14" i="25"/>
  <c r="L9" i="25" a="1"/>
  <c r="L9" i="25"/>
  <c r="L16" i="25" a="1"/>
  <c r="L16" i="25"/>
  <c r="AG26" i="12"/>
  <c r="M7" i="25" a="1"/>
  <c r="M7" i="25"/>
  <c r="M14" i="25" a="1"/>
  <c r="M14" i="25"/>
  <c r="M9" i="25" a="1"/>
  <c r="M9" i="25"/>
  <c r="M16" i="25" a="1"/>
  <c r="M16" i="25"/>
  <c r="AH26" i="12"/>
  <c r="N7" i="25" a="1"/>
  <c r="N7" i="25"/>
  <c r="N14" i="25" a="1"/>
  <c r="N14" i="25"/>
  <c r="N9" i="25" a="1"/>
  <c r="N9" i="25"/>
  <c r="N16" i="25" a="1"/>
  <c r="N16" i="25"/>
  <c r="AI26" i="12"/>
  <c r="K7" i="25" a="1"/>
  <c r="K7" i="25"/>
  <c r="K14" i="25" a="1"/>
  <c r="K14" i="25"/>
  <c r="K9" i="25" a="1"/>
  <c r="K9" i="25"/>
  <c r="K16" i="25" a="1"/>
  <c r="K16" i="25"/>
  <c r="AF26" i="12"/>
  <c r="AE26" i="12"/>
  <c r="O7" i="25" a="1"/>
  <c r="O7" i="25"/>
  <c r="O14" i="25" a="1"/>
  <c r="O14" i="25"/>
  <c r="O9" i="25" a="1"/>
  <c r="O9" i="25"/>
  <c r="O16" i="25" a="1"/>
  <c r="O16" i="25"/>
  <c r="Z26" i="12"/>
  <c r="P7" i="25" a="1"/>
  <c r="P7" i="25"/>
  <c r="P14" i="25" a="1"/>
  <c r="P14" i="25"/>
  <c r="P9" i="25" a="1"/>
  <c r="P9" i="25"/>
  <c r="P16" i="25" a="1"/>
  <c r="P16" i="25"/>
  <c r="AA26" i="12"/>
  <c r="Q7" i="25" a="1"/>
  <c r="Q7" i="25"/>
  <c r="Q14" i="25" a="1"/>
  <c r="Q14" i="25"/>
  <c r="Q9" i="25" a="1"/>
  <c r="Q9" i="25"/>
  <c r="Q16" i="25" a="1"/>
  <c r="Q16" i="25"/>
  <c r="AB26" i="12"/>
  <c r="Y26" i="12"/>
  <c r="AF14" i="12"/>
  <c r="AG14" i="12"/>
  <c r="AE14" i="12"/>
  <c r="AF15" i="12"/>
  <c r="AG15" i="12"/>
  <c r="AE15" i="12"/>
  <c r="AF16" i="12"/>
  <c r="AG16" i="12"/>
  <c r="AE16" i="12"/>
  <c r="AF17" i="12"/>
  <c r="AG17" i="12"/>
  <c r="AE17" i="12"/>
  <c r="AF9" i="12"/>
  <c r="AH9" i="12"/>
  <c r="AJ9" i="12"/>
  <c r="AF18" i="12"/>
  <c r="AG9" i="12"/>
  <c r="AI9" i="12"/>
  <c r="AK9" i="12"/>
  <c r="AG18" i="12"/>
  <c r="AE18" i="12"/>
  <c r="AF13" i="12"/>
  <c r="AG13" i="12"/>
  <c r="AE13" i="12"/>
  <c r="AB22" i="12"/>
  <c r="AB23" i="12"/>
  <c r="AB24" i="12"/>
  <c r="AB25" i="12"/>
  <c r="M9" i="12"/>
  <c r="P9" i="12"/>
  <c r="T9" i="12"/>
  <c r="W9" i="12"/>
  <c r="AA9" i="12"/>
  <c r="AD9" i="12"/>
  <c r="AB27" i="12"/>
  <c r="AB21" i="12"/>
  <c r="O5" i="25" a="1"/>
  <c r="O5" i="25"/>
  <c r="O12" i="25" a="1"/>
  <c r="O12" i="25"/>
  <c r="P5" i="25" a="1"/>
  <c r="P5" i="25"/>
  <c r="P12" i="25" a="1"/>
  <c r="P12" i="25"/>
  <c r="Q5" i="25" a="1"/>
  <c r="Q5" i="25"/>
  <c r="Q12" i="25" a="1"/>
  <c r="Q12" i="25"/>
  <c r="O6" i="25" a="1"/>
  <c r="O6" i="25"/>
  <c r="O13" i="25" a="1"/>
  <c r="O13" i="25"/>
  <c r="P6" i="25" a="1"/>
  <c r="P6" i="25"/>
  <c r="P13" i="25" a="1"/>
  <c r="P13" i="25"/>
  <c r="Q6" i="25" a="1"/>
  <c r="Q6" i="25"/>
  <c r="Q13" i="25" a="1"/>
  <c r="Q13" i="25"/>
  <c r="O8" i="25" a="1"/>
  <c r="O8" i="25"/>
  <c r="O15" i="25" a="1"/>
  <c r="O15" i="25"/>
  <c r="P8" i="25" a="1"/>
  <c r="P8" i="25"/>
  <c r="P15" i="25" a="1"/>
  <c r="P15" i="25"/>
  <c r="Q8" i="25" a="1"/>
  <c r="Q8" i="25"/>
  <c r="Q15" i="25" a="1"/>
  <c r="Q15" i="25"/>
  <c r="O10" i="25" a="1"/>
  <c r="O10" i="25"/>
  <c r="O17" i="25" a="1"/>
  <c r="O17" i="25"/>
  <c r="P10" i="25" a="1"/>
  <c r="P10" i="25"/>
  <c r="P17" i="25" a="1"/>
  <c r="P17" i="25"/>
  <c r="Q10" i="25" a="1"/>
  <c r="Q10" i="25"/>
  <c r="Q17" i="25" a="1"/>
  <c r="Q17" i="25"/>
  <c r="J5" i="25" a="1"/>
  <c r="J5" i="25"/>
  <c r="J12" i="25" a="1"/>
  <c r="J12" i="25"/>
  <c r="J6" i="25" a="1"/>
  <c r="J6" i="25"/>
  <c r="J13" i="25" a="1"/>
  <c r="J13" i="25"/>
  <c r="J7" i="25" a="1"/>
  <c r="J7" i="25"/>
  <c r="J14" i="25" a="1"/>
  <c r="J14" i="25"/>
  <c r="J8" i="25" a="1"/>
  <c r="J8" i="25"/>
  <c r="J15" i="25" a="1"/>
  <c r="J15" i="25"/>
  <c r="K5" i="25" a="1"/>
  <c r="K5" i="25"/>
  <c r="L5" i="25" a="1"/>
  <c r="L5" i="25"/>
  <c r="M5" i="25" a="1"/>
  <c r="M5" i="25"/>
  <c r="N5" i="25" a="1"/>
  <c r="N5" i="25"/>
  <c r="K6" i="25" a="1"/>
  <c r="K6" i="25"/>
  <c r="L6" i="25" a="1"/>
  <c r="L6" i="25"/>
  <c r="M6" i="25" a="1"/>
  <c r="M6" i="25"/>
  <c r="N6" i="25" a="1"/>
  <c r="N6" i="25"/>
  <c r="K8" i="25" a="1"/>
  <c r="K8" i="25"/>
  <c r="L8" i="25" a="1"/>
  <c r="L8" i="25"/>
  <c r="M8" i="25" a="1"/>
  <c r="M8" i="25"/>
  <c r="N8" i="25" a="1"/>
  <c r="N8" i="25"/>
  <c r="J9" i="25" a="1"/>
  <c r="J9" i="25"/>
  <c r="J10" i="25" a="1"/>
  <c r="J10" i="25"/>
  <c r="K10" i="25" a="1"/>
  <c r="K10" i="25"/>
  <c r="L10" i="25" a="1"/>
  <c r="L10" i="25"/>
  <c r="M10" i="25" a="1"/>
  <c r="M10" i="25"/>
  <c r="N10" i="25" a="1"/>
  <c r="N10" i="25"/>
  <c r="K12" i="25" a="1"/>
  <c r="K12" i="25"/>
  <c r="L12" i="25" a="1"/>
  <c r="L12" i="25"/>
  <c r="M12" i="25" a="1"/>
  <c r="M12" i="25"/>
  <c r="N12" i="25" a="1"/>
  <c r="N12" i="25"/>
  <c r="K13" i="25" a="1"/>
  <c r="K13" i="25"/>
  <c r="L13" i="25" a="1"/>
  <c r="L13" i="25"/>
  <c r="M13" i="25" a="1"/>
  <c r="M13" i="25"/>
  <c r="N13" i="25" a="1"/>
  <c r="N13" i="25"/>
  <c r="K15" i="25" a="1"/>
  <c r="K15" i="25"/>
  <c r="L15" i="25" a="1"/>
  <c r="L15" i="25"/>
  <c r="M15" i="25" a="1"/>
  <c r="M15" i="25"/>
  <c r="N15" i="25" a="1"/>
  <c r="N15" i="25"/>
  <c r="J16" i="25" a="1"/>
  <c r="J16" i="25"/>
  <c r="J17" i="25" a="1"/>
  <c r="J17" i="25"/>
  <c r="K17" i="25" a="1"/>
  <c r="K17" i="25"/>
  <c r="L17" i="25" a="1"/>
  <c r="L17" i="25"/>
  <c r="M17" i="25" a="1"/>
  <c r="M17" i="25"/>
  <c r="N17" i="25" a="1"/>
  <c r="N17" i="25"/>
  <c r="K9" i="12"/>
  <c r="L9" i="12"/>
  <c r="N9" i="12"/>
  <c r="O9" i="12"/>
  <c r="J9" i="12"/>
  <c r="R9" i="12"/>
  <c r="S9" i="12"/>
  <c r="U9" i="12"/>
  <c r="V9" i="12"/>
  <c r="Q9" i="12"/>
  <c r="Y9" i="12"/>
  <c r="Z9" i="12"/>
  <c r="AB9" i="12"/>
  <c r="AC9" i="12"/>
  <c r="X9" i="12"/>
  <c r="AE9" i="12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10" i="1"/>
  <c r="AH7" i="1"/>
  <c r="AI7" i="1"/>
  <c r="AJ7" i="1"/>
  <c r="AK7" i="1"/>
  <c r="AL7" i="1"/>
  <c r="AM7" i="1"/>
  <c r="AA7" i="1"/>
  <c r="AB7" i="1"/>
  <c r="AC7" i="1"/>
  <c r="AD7" i="1"/>
  <c r="AE7" i="1"/>
  <c r="AF7" i="1"/>
  <c r="X12" i="12"/>
  <c r="Q12" i="12"/>
  <c r="AF22" i="12"/>
  <c r="AG22" i="12"/>
  <c r="AH22" i="12"/>
  <c r="AI22" i="12"/>
  <c r="AE22" i="12"/>
  <c r="AF23" i="12"/>
  <c r="AG23" i="12"/>
  <c r="AH23" i="12"/>
  <c r="AI23" i="12"/>
  <c r="AE23" i="12"/>
  <c r="AF24" i="12"/>
  <c r="AG24" i="12"/>
  <c r="AH24" i="12"/>
  <c r="AI24" i="12"/>
  <c r="AE24" i="12"/>
  <c r="AF25" i="12"/>
  <c r="AG25" i="12"/>
  <c r="AH25" i="12"/>
  <c r="AI25" i="12"/>
  <c r="AE25" i="12"/>
  <c r="AF27" i="12"/>
  <c r="AG27" i="12"/>
  <c r="AH27" i="12"/>
  <c r="AI27" i="12"/>
  <c r="AE27" i="12"/>
  <c r="AF21" i="12"/>
  <c r="AG21" i="12"/>
  <c r="AH21" i="12"/>
  <c r="AI21" i="12"/>
  <c r="AE21" i="12"/>
  <c r="I9" i="12"/>
  <c r="H5" i="12"/>
  <c r="H6" i="12"/>
  <c r="H7" i="12"/>
  <c r="H8" i="12"/>
  <c r="H4" i="12"/>
  <c r="Z22" i="12"/>
  <c r="AA22" i="12"/>
  <c r="Z23" i="12"/>
  <c r="AA23" i="12"/>
  <c r="Z24" i="12"/>
  <c r="AA24" i="12"/>
  <c r="Z25" i="12"/>
  <c r="AA25" i="12"/>
  <c r="Z27" i="12"/>
  <c r="AA27" i="12"/>
  <c r="AA21" i="12"/>
  <c r="Z21" i="12"/>
  <c r="AE12" i="12"/>
  <c r="AJ3" i="12"/>
  <c r="AK3" i="12"/>
  <c r="AF3" i="12"/>
  <c r="AG3" i="12"/>
  <c r="AH3" i="12"/>
  <c r="AI3" i="12"/>
  <c r="AL1" i="1"/>
  <c r="AM1" i="1"/>
  <c r="AL2" i="1"/>
  <c r="AM2" i="1"/>
  <c r="AL3" i="1"/>
  <c r="AM3" i="1"/>
  <c r="AL4" i="1"/>
  <c r="AM4" i="1"/>
  <c r="AK4" i="1"/>
  <c r="AJ4" i="1"/>
  <c r="AI4" i="1"/>
  <c r="AH4" i="1"/>
  <c r="AK3" i="1"/>
  <c r="AJ3" i="1"/>
  <c r="AI3" i="1"/>
  <c r="AH3" i="1"/>
  <c r="AK2" i="1"/>
  <c r="AJ2" i="1"/>
  <c r="AI2" i="1"/>
  <c r="AH2" i="1"/>
  <c r="AK1" i="1"/>
  <c r="AJ1" i="1"/>
  <c r="AI1" i="1"/>
  <c r="AH1" i="1"/>
  <c r="K14" i="12"/>
  <c r="L14" i="12"/>
  <c r="M14" i="12"/>
  <c r="J14" i="12"/>
  <c r="K15" i="12"/>
  <c r="L15" i="12"/>
  <c r="M15" i="12"/>
  <c r="J15" i="12"/>
  <c r="K16" i="12"/>
  <c r="L16" i="12"/>
  <c r="M16" i="12"/>
  <c r="J16" i="12"/>
  <c r="K17" i="12"/>
  <c r="L17" i="12"/>
  <c r="M17" i="12"/>
  <c r="J17" i="12"/>
  <c r="K18" i="12"/>
  <c r="L18" i="12"/>
  <c r="M18" i="12"/>
  <c r="J18" i="12"/>
  <c r="K13" i="12"/>
  <c r="L13" i="12"/>
  <c r="M13" i="12"/>
  <c r="J13" i="12"/>
  <c r="L3" i="12"/>
  <c r="M3" i="12"/>
  <c r="N3" i="12"/>
  <c r="K3" i="12"/>
  <c r="R3" i="12"/>
  <c r="S3" i="12"/>
  <c r="T3" i="12"/>
  <c r="Y3" i="12"/>
  <c r="Z3" i="12"/>
  <c r="AA3" i="12"/>
  <c r="AA18" i="12"/>
  <c r="Z18" i="12"/>
  <c r="Y18" i="12"/>
  <c r="X18" i="12"/>
  <c r="AA17" i="12"/>
  <c r="Z17" i="12"/>
  <c r="Y17" i="12"/>
  <c r="X17" i="12"/>
  <c r="AA16" i="12"/>
  <c r="Z16" i="12"/>
  <c r="Y16" i="12"/>
  <c r="X16" i="12"/>
  <c r="AA15" i="12"/>
  <c r="Z15" i="12"/>
  <c r="Y15" i="12"/>
  <c r="X15" i="12"/>
  <c r="AA14" i="12"/>
  <c r="Z14" i="12"/>
  <c r="Y14" i="12"/>
  <c r="X14" i="12"/>
  <c r="AA13" i="12"/>
  <c r="Z13" i="12"/>
  <c r="Y13" i="12"/>
  <c r="X13" i="12"/>
  <c r="T18" i="12"/>
  <c r="S18" i="12"/>
  <c r="R18" i="12"/>
  <c r="Q18" i="12"/>
  <c r="T17" i="12"/>
  <c r="S17" i="12"/>
  <c r="R17" i="12"/>
  <c r="Q17" i="12"/>
  <c r="T16" i="12"/>
  <c r="S16" i="12"/>
  <c r="R16" i="12"/>
  <c r="Q16" i="12"/>
  <c r="T15" i="12"/>
  <c r="S15" i="12"/>
  <c r="R15" i="12"/>
  <c r="Q15" i="12"/>
  <c r="T14" i="12"/>
  <c r="S14" i="12"/>
  <c r="R14" i="12"/>
  <c r="Q14" i="12"/>
  <c r="T13" i="12"/>
  <c r="S13" i="12"/>
  <c r="R13" i="12"/>
  <c r="Q13" i="12"/>
  <c r="I17" i="12"/>
  <c r="I16" i="12"/>
  <c r="I15" i="12"/>
  <c r="I14" i="12"/>
  <c r="I13" i="12"/>
  <c r="AD27" i="12"/>
  <c r="X27" i="12"/>
  <c r="Y27" i="12"/>
  <c r="AH20" i="12"/>
  <c r="AG20" i="12"/>
  <c r="AF20" i="12"/>
  <c r="AD25" i="12"/>
  <c r="AD24" i="12"/>
  <c r="AD23" i="12"/>
  <c r="AD22" i="12"/>
  <c r="AD21" i="12"/>
  <c r="X25" i="12"/>
  <c r="X24" i="12"/>
  <c r="X23" i="12"/>
  <c r="X22" i="12"/>
  <c r="X21" i="12"/>
  <c r="Y22" i="12"/>
  <c r="Y23" i="12"/>
  <c r="Y24" i="12"/>
  <c r="Y25" i="12"/>
  <c r="Y21" i="12"/>
  <c r="O3" i="12"/>
  <c r="P3" i="12"/>
  <c r="AB3" i="12"/>
  <c r="AC3" i="12"/>
  <c r="AD3" i="12"/>
  <c r="U3" i="12"/>
  <c r="V3" i="12"/>
  <c r="W3" i="12"/>
  <c r="AF4" i="1"/>
  <c r="AE4" i="1"/>
  <c r="AD4" i="1"/>
  <c r="AC4" i="1"/>
  <c r="AB4" i="1"/>
  <c r="AA4" i="1"/>
  <c r="AF3" i="1"/>
  <c r="AE3" i="1"/>
  <c r="AD3" i="1"/>
  <c r="AC3" i="1"/>
  <c r="AB3" i="1"/>
  <c r="AA3" i="1"/>
  <c r="AF2" i="1"/>
  <c r="AE2" i="1"/>
  <c r="AD2" i="1"/>
  <c r="AC2" i="1"/>
  <c r="AB2" i="1"/>
  <c r="AA2" i="1"/>
  <c r="AF1" i="1"/>
  <c r="AE1" i="1"/>
  <c r="AD1" i="1"/>
  <c r="AC1" i="1"/>
  <c r="AB1" i="1"/>
  <c r="AA1" i="1"/>
  <c r="E1" i="1"/>
  <c r="F1" i="1"/>
  <c r="G1" i="1"/>
  <c r="H1" i="1"/>
  <c r="M1" i="1"/>
  <c r="N1" i="1"/>
  <c r="O1" i="1"/>
  <c r="P1" i="1"/>
  <c r="Q1" i="1"/>
  <c r="R1" i="1"/>
  <c r="T1" i="1"/>
  <c r="U1" i="1"/>
  <c r="V1" i="1"/>
  <c r="W1" i="1"/>
  <c r="X1" i="1"/>
  <c r="Y1" i="1"/>
  <c r="E2" i="1"/>
  <c r="F2" i="1"/>
  <c r="G2" i="1"/>
  <c r="H2" i="1"/>
  <c r="M2" i="1"/>
  <c r="N2" i="1"/>
  <c r="O2" i="1"/>
  <c r="P2" i="1"/>
  <c r="Q2" i="1"/>
  <c r="R2" i="1"/>
  <c r="T2" i="1"/>
  <c r="U2" i="1"/>
  <c r="V2" i="1"/>
  <c r="W2" i="1"/>
  <c r="X2" i="1"/>
  <c r="Y2" i="1"/>
  <c r="E3" i="1"/>
  <c r="F3" i="1"/>
  <c r="G3" i="1"/>
  <c r="H3" i="1"/>
  <c r="M3" i="1"/>
  <c r="N3" i="1"/>
  <c r="O3" i="1"/>
  <c r="P3" i="1"/>
  <c r="Q3" i="1"/>
  <c r="R3" i="1"/>
  <c r="T3" i="1"/>
  <c r="U3" i="1"/>
  <c r="V3" i="1"/>
  <c r="W3" i="1"/>
  <c r="X3" i="1"/>
  <c r="Y3" i="1"/>
  <c r="E4" i="1"/>
  <c r="F4" i="1"/>
  <c r="G4" i="1"/>
  <c r="H4" i="1"/>
  <c r="M4" i="1"/>
  <c r="N4" i="1"/>
  <c r="O4" i="1"/>
  <c r="P4" i="1"/>
  <c r="Q4" i="1"/>
  <c r="R4" i="1"/>
  <c r="T4" i="1"/>
  <c r="U4" i="1"/>
  <c r="V4" i="1"/>
  <c r="W4" i="1"/>
  <c r="X4" i="1"/>
  <c r="Y4" i="1"/>
  <c r="D4" i="1"/>
  <c r="D3" i="1"/>
  <c r="D2" i="1"/>
  <c r="D1" i="1"/>
  <c r="E7" i="1"/>
  <c r="F7" i="1"/>
  <c r="G7" i="1"/>
  <c r="H7" i="1"/>
  <c r="M7" i="1"/>
  <c r="N7" i="1"/>
  <c r="O7" i="1"/>
  <c r="P7" i="1"/>
  <c r="Q7" i="1"/>
  <c r="R7" i="1"/>
  <c r="T7" i="1"/>
  <c r="U7" i="1"/>
  <c r="V7" i="1"/>
  <c r="W7" i="1"/>
  <c r="X7" i="1"/>
  <c r="Y7" i="1"/>
  <c r="D7" i="1"/>
</calcChain>
</file>

<file path=xl/sharedStrings.xml><?xml version="1.0" encoding="utf-8"?>
<sst xmlns="http://schemas.openxmlformats.org/spreadsheetml/2006/main" count="1562" uniqueCount="555">
  <si>
    <t>ISO_3</t>
  </si>
  <si>
    <t>Delt PPt as %</t>
  </si>
  <si>
    <t>%  freshwater withdrawals</t>
  </si>
  <si>
    <t>Improved water</t>
  </si>
  <si>
    <t xml:space="preserve">Delta Temp </t>
  </si>
  <si>
    <t>Water Deaths &lt;5yr</t>
  </si>
  <si>
    <t xml:space="preserve">Improved sanitation </t>
  </si>
  <si>
    <t>Afghanistan</t>
  </si>
  <si>
    <t>AFG</t>
  </si>
  <si>
    <t>Albania</t>
  </si>
  <si>
    <t>ALB</t>
  </si>
  <si>
    <t>Algeria</t>
  </si>
  <si>
    <t>DZA</t>
  </si>
  <si>
    <t>Andorra</t>
  </si>
  <si>
    <t>AND</t>
  </si>
  <si>
    <t>Angola</t>
  </si>
  <si>
    <t>AGO</t>
  </si>
  <si>
    <t>Antigua and Barbuda</t>
  </si>
  <si>
    <t>ATG</t>
  </si>
  <si>
    <t>Argentina</t>
  </si>
  <si>
    <t>ARG</t>
  </si>
  <si>
    <t>Armenia</t>
  </si>
  <si>
    <t>ARM</t>
  </si>
  <si>
    <t>Australia</t>
  </si>
  <si>
    <t>AUS</t>
  </si>
  <si>
    <t>Austria</t>
  </si>
  <si>
    <t>AUT</t>
  </si>
  <si>
    <t>Azerbaijan</t>
  </si>
  <si>
    <t>AZE</t>
  </si>
  <si>
    <t>Bahamas</t>
  </si>
  <si>
    <t>BHS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</si>
  <si>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</si>
  <si>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</si>
  <si>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</si>
  <si>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</si>
  <si>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</si>
  <si>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</si>
  <si>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</si>
  <si>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</si>
  <si>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</si>
  <si>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</si>
  <si>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</si>
  <si>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</si>
  <si>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</si>
  <si>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</si>
  <si>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</si>
  <si>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</si>
  <si>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</si>
  <si>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</si>
  <si>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</si>
  <si>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</si>
  <si>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</si>
  <si>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</si>
  <si>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</si>
  <si>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</si>
  <si>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</si>
  <si>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</si>
  <si>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</si>
  <si>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</si>
  <si>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</si>
  <si>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</si>
  <si>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</si>
  <si>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</si>
  <si>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</si>
  <si>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</si>
  <si>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</si>
  <si>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</si>
  <si>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</si>
  <si>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</si>
  <si>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</si>
  <si>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</si>
  <si>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Central African Republic</t>
  </si>
  <si>
    <t>CAF</t>
  </si>
  <si>
    <t>Chad</t>
  </si>
  <si>
    <t>TCD</t>
  </si>
  <si>
    <t>Chile</t>
  </si>
  <si>
    <t>CHL</t>
  </si>
  <si>
    <t>China</t>
  </si>
  <si>
    <t>CHN</t>
  </si>
  <si>
    <t>Colombia</t>
  </si>
  <si>
    <t>COL</t>
  </si>
  <si>
    <t>Comoros</t>
  </si>
  <si>
    <t>COM</t>
  </si>
  <si>
    <t>Congo</t>
  </si>
  <si>
    <t>COG</t>
  </si>
  <si>
    <t>Congo, the Democratic Republic of the</t>
  </si>
  <si>
    <t>COD</t>
  </si>
  <si>
    <t>Costa Rica</t>
  </si>
  <si>
    <t>CRI</t>
  </si>
  <si>
    <t>Côte d'Ivoire</t>
  </si>
  <si>
    <t>CIV</t>
  </si>
  <si>
    <t>Croatia</t>
  </si>
  <si>
    <t>HRV</t>
  </si>
  <si>
    <t>Cuba</t>
  </si>
  <si>
    <t>CUB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</si>
  <si>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</si>
  <si>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</si>
  <si>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</si>
  <si>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</si>
  <si>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</si>
  <si>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</si>
  <si>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</si>
  <si>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</si>
  <si>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</si>
  <si>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</si>
  <si>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</si>
  <si>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</si>
  <si>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</si>
  <si>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</si>
  <si>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</si>
  <si>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</si>
  <si>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</si>
  <si>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</si>
  <si>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</si>
  <si>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</si>
  <si>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</si>
  <si>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</si>
  <si>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</si>
  <si>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</si>
  <si>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</si>
  <si>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</si>
  <si>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Fiji</t>
  </si>
  <si>
    <t>FJI</t>
  </si>
  <si>
    <t>Finland</t>
  </si>
  <si>
    <t>FIN</t>
  </si>
  <si>
    <t>France</t>
  </si>
  <si>
    <t>FRA</t>
  </si>
  <si>
    <t>Gabon</t>
  </si>
  <si>
    <t>GAB</t>
  </si>
  <si>
    <t>Gambia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</si>
  <si>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</si>
  <si>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</si>
  <si>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</si>
  <si>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</si>
  <si>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</si>
  <si>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</si>
  <si>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</si>
  <si>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</si>
  <si>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</si>
  <si>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Grenada</t>
  </si>
  <si>
    <t>GRD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</si>
  <si>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</si>
  <si>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</si>
  <si>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</si>
  <si>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</si>
  <si>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</si>
  <si>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</si>
  <si>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</si>
  <si>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</si>
  <si>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</si>
  <si>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</si>
  <si>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</si>
  <si>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</si>
  <si>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Hungary</t>
  </si>
  <si>
    <t>HUN</t>
  </si>
  <si>
    <t>Iceland</t>
  </si>
  <si>
    <t>ISL</t>
  </si>
  <si>
    <t>India</t>
  </si>
  <si>
    <t>IND</t>
  </si>
  <si>
    <t>Indonesia</t>
  </si>
  <si>
    <t>IDN</t>
  </si>
  <si>
    <t>Iran, Islamic Republic of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</si>
  <si>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</si>
  <si>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</si>
  <si>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</si>
  <si>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</si>
  <si>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</si>
  <si>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</si>
  <si>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</si>
  <si>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</si>
  <si>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</si>
  <si>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</si>
  <si>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</si>
  <si>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Japan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</si>
  <si>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</si>
  <si>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</si>
  <si>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</si>
  <si>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</si>
  <si>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</si>
  <si>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</si>
  <si>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</si>
  <si>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</si>
  <si>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</si>
  <si>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Korea, Democratic People's Republic of</t>
  </si>
  <si>
    <t>PRK</t>
  </si>
  <si>
    <t>Korea, Republic of</t>
  </si>
  <si>
    <t>KOR</t>
  </si>
  <si>
    <t>Kuwait</t>
  </si>
  <si>
    <t>KWT</t>
  </si>
  <si>
    <t>Kyrgyzstan</t>
  </si>
  <si>
    <t>KGZ</t>
  </si>
  <si>
    <t>Lao People's Democratic Republic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</si>
  <si>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</si>
  <si>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</si>
  <si>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</si>
  <si>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</si>
  <si>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</si>
  <si>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</si>
  <si>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</si>
  <si>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</si>
  <si>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</si>
  <si>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Libyan Arab Jamahiriya</t>
  </si>
  <si>
    <t>LBY</t>
  </si>
  <si>
    <t>Liechtenstein</t>
  </si>
  <si>
    <t>LIE</t>
  </si>
  <si>
    <t>Lithuania</t>
  </si>
  <si>
    <t>LTU</t>
  </si>
  <si>
    <t>Luxembourg</t>
  </si>
  <si>
    <t>LUX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</si>
  <si>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</si>
  <si>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</si>
  <si>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</si>
  <si>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</si>
  <si>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</si>
  <si>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</si>
  <si>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</si>
  <si>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</si>
  <si>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</si>
  <si>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</si>
  <si>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</si>
  <si>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</si>
  <si>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Marshall Islands</t>
  </si>
  <si>
    <t>MHL</t>
  </si>
  <si>
    <t>Mauritania</t>
  </si>
  <si>
    <t>MRT</t>
  </si>
  <si>
    <t>Mauritius</t>
  </si>
  <si>
    <t>MUS</t>
  </si>
  <si>
    <t>Mexico</t>
  </si>
  <si>
    <t>MEX</t>
  </si>
  <si>
    <t>Micronesia, Federated States of</t>
  </si>
  <si>
    <t>FSM</t>
  </si>
  <si>
    <t>Moldova, Republic of</t>
  </si>
  <si>
    <t>MDA</t>
  </si>
  <si>
    <t>Monaco</t>
  </si>
  <si>
    <t>MCO</t>
  </si>
  <si>
    <t xml:space="preserve">Macedonia </t>
  </si>
  <si>
    <t>MKD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</si>
  <si>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</si>
  <si>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</si>
  <si>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</si>
  <si>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</si>
  <si>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</si>
  <si>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</si>
  <si>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</si>
  <si>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</si>
  <si>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</si>
  <si>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</si>
  <si>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</si>
  <si>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</si>
  <si>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Nauru</t>
  </si>
  <si>
    <t>NRU</t>
  </si>
  <si>
    <t>Nepal</t>
  </si>
  <si>
    <t>NPL</t>
  </si>
  <si>
    <t>Netherlands</t>
  </si>
  <si>
    <t>NLD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</si>
  <si>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</si>
  <si>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</si>
  <si>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</si>
  <si>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</si>
  <si>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</si>
  <si>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</si>
  <si>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</si>
  <si>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</si>
  <si>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</si>
  <si>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</si>
  <si>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</si>
  <si>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</si>
  <si>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</si>
  <si>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</si>
  <si>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Palau</t>
  </si>
  <si>
    <t>PLW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</si>
  <si>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</si>
  <si>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</si>
  <si>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</si>
  <si>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</si>
  <si>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</si>
  <si>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</si>
  <si>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</si>
  <si>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</si>
  <si>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</si>
  <si>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</si>
  <si>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</si>
  <si>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</si>
  <si>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</si>
  <si>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</si>
  <si>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Qatar</t>
  </si>
  <si>
    <t>QAT</t>
  </si>
  <si>
    <t>Romania</t>
  </si>
  <si>
    <t>ROU</t>
  </si>
  <si>
    <t>Russian Federation</t>
  </si>
  <si>
    <t>RUS</t>
  </si>
  <si>
    <t>Rwanda</t>
  </si>
  <si>
    <t>RWA</t>
  </si>
  <si>
    <t>Saint Kitts and Nevis</t>
  </si>
  <si>
    <t>KNA</t>
  </si>
  <si>
    <t>Saint Lucia</t>
  </si>
  <si>
    <t>LCA</t>
  </si>
  <si>
    <t>Saint Vincent and the Grenadines</t>
  </si>
  <si>
    <t>VCT</t>
  </si>
  <si>
    <t>Samoa</t>
  </si>
  <si>
    <t>WSM</t>
  </si>
  <si>
    <t>San Marino</t>
  </si>
  <si>
    <t>SMR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</si>
  <si>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</si>
  <si>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</si>
  <si>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</si>
  <si>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</si>
  <si>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</si>
  <si>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</si>
  <si>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</si>
  <si>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</si>
  <si>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</si>
  <si>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</si>
  <si>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</si>
  <si>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</si>
  <si>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</si>
  <si>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</si>
  <si>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Slovakia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</si>
  <si>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</si>
  <si>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</si>
  <si>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</si>
  <si>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</si>
  <si>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</si>
  <si>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</si>
  <si>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</si>
  <si>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</si>
  <si>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</si>
  <si>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Spain</t>
  </si>
  <si>
    <t>ESP</t>
  </si>
  <si>
    <t>Sri Lanka</t>
  </si>
  <si>
    <t>LKA</t>
  </si>
  <si>
    <t>Sudan</t>
  </si>
  <si>
    <t>SDN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</si>
  <si>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</si>
  <si>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</si>
  <si>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</si>
  <si>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</si>
  <si>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</si>
  <si>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</si>
  <si>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</si>
  <si>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</si>
  <si>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Syrian Arab Republic</t>
  </si>
  <si>
    <t>SYR</t>
  </si>
  <si>
    <t>Tajikistan</t>
  </si>
  <si>
    <t>TJK</t>
  </si>
  <si>
    <t>Tanzania</t>
  </si>
  <si>
    <t>TZA</t>
  </si>
  <si>
    <t>Thailand</t>
  </si>
  <si>
    <t>THA</t>
  </si>
  <si>
    <t>Timor-Leste</t>
  </si>
  <si>
    <t>TLS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</si>
  <si>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</si>
  <si>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</si>
  <si>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</si>
  <si>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</si>
  <si>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</si>
  <si>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</si>
  <si>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</si>
  <si>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</si>
  <si>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</si>
  <si>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</si>
  <si>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</si>
  <si>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</si>
  <si>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Tuvalu</t>
  </si>
  <si>
    <t>TUV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</si>
  <si>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</si>
  <si>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</si>
  <si>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</si>
  <si>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</si>
  <si>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</si>
  <si>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</si>
  <si>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</si>
  <si>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</si>
  <si>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</si>
  <si>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</si>
  <si>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Uruguay</t>
  </si>
  <si>
    <t>URY</t>
  </si>
  <si>
    <t>Uzbekistan</t>
  </si>
  <si>
    <t>UZB</t>
  </si>
  <si>
    <t>Vanuatu</t>
  </si>
  <si>
    <t>VUT</t>
  </si>
  <si>
    <t>Venezuela, Bolivarian Republic of</t>
  </si>
  <si>
    <t>VEN</t>
  </si>
  <si>
    <t>Viet Nam</t>
  </si>
  <si>
    <t>VNM</t>
  </si>
  <si>
    <t>Yemen</t>
  </si>
  <si>
    <t>YEM</t>
  </si>
  <si>
    <t>Zambia</t>
  </si>
  <si>
    <t>ZMB</t>
  </si>
  <si>
    <t>Zimbabwe</t>
  </si>
  <si>
    <t>ZWE</t>
  </si>
  <si>
    <t>Water</t>
  </si>
  <si>
    <t>Food</t>
  </si>
  <si>
    <t>Health</t>
  </si>
  <si>
    <t>Total</t>
  </si>
  <si>
    <t>ACDI</t>
  </si>
  <si>
    <t>% Rural Popn</t>
  </si>
  <si>
    <t>Two measure Av</t>
  </si>
  <si>
    <t>CV annual Yield</t>
  </si>
  <si>
    <t>Import Depend</t>
  </si>
  <si>
    <t>%Wasting</t>
  </si>
  <si>
    <t>Maximum</t>
  </si>
  <si>
    <t>Minimum</t>
  </si>
  <si>
    <t>Count --&gt;</t>
  </si>
  <si>
    <t>Missing</t>
  </si>
  <si>
    <t>Mean</t>
  </si>
  <si>
    <t>St Dev</t>
  </si>
  <si>
    <t>CC induced Dalys</t>
  </si>
  <si>
    <t>2*Doc+Nurse/Midwife</t>
  </si>
  <si>
    <t>Longevity</t>
  </si>
  <si>
    <t>% mort communicable diseases</t>
  </si>
  <si>
    <t>Ext Resources for Health</t>
  </si>
  <si>
    <t>Maternal Mortality</t>
  </si>
  <si>
    <t>Delta PPt as %</t>
  </si>
  <si>
    <t>Access to improved water supply</t>
  </si>
  <si>
    <t>CRU data sets</t>
  </si>
  <si>
    <t>WB Stats</t>
  </si>
  <si>
    <t xml:space="preserve">Projected change in temperature - by end of 21st C - </t>
  </si>
  <si>
    <t>Water withdrawn for all uses as percent of total internal &amp; external water</t>
  </si>
  <si>
    <t>Deaths due to water borne diseases in under 5 year-olds</t>
  </si>
  <si>
    <t>Exposure</t>
  </si>
  <si>
    <t>Sensitivity</t>
  </si>
  <si>
    <t>Capacity</t>
  </si>
  <si>
    <t>Access to improved sanitation</t>
  </si>
  <si>
    <t>Time Series</t>
  </si>
  <si>
    <t>No</t>
  </si>
  <si>
    <t>2004 only</t>
  </si>
  <si>
    <t>Increase in Diasability Adjusted Life Years (DALYs) due to climate change late 21st C</t>
  </si>
  <si>
    <t>Life expectancy at birth (both sexes)</t>
  </si>
  <si>
    <t>Percentage mortality due to infectious diseases</t>
  </si>
  <si>
    <t>WHO</t>
  </si>
  <si>
    <t>External resources for health (% of total expenditure on health)</t>
  </si>
  <si>
    <t>Lifetime risk of maternal death (%)</t>
  </si>
  <si>
    <t>From Cline via Wheeler</t>
  </si>
  <si>
    <t>% population in rural livelihoods</t>
  </si>
  <si>
    <t>Synthetic index combining use of fertilizers, mechanization and irrigation in agriculture</t>
  </si>
  <si>
    <t xml:space="preserve">Coefficient of variation of annual cereal yield </t>
  </si>
  <si>
    <t>Impact of CC on agricultural yields</t>
  </si>
  <si>
    <t>Proportion of cereal consumption derived from external sources</t>
  </si>
  <si>
    <t>Malnutrition measure based on the percent of under 5 year-olds with low weight for height</t>
  </si>
  <si>
    <t>Derived from WB Stats</t>
  </si>
  <si>
    <t>FAO</t>
  </si>
  <si>
    <t>SH.XPD.EXTR.ZS</t>
  </si>
  <si>
    <t>SH.MMR.RISK.ZS</t>
  </si>
  <si>
    <t>http://apps.who.int/ghodata/?vid=99001#</t>
  </si>
  <si>
    <t>No (2008)</t>
  </si>
  <si>
    <t>Diseases.xls</t>
  </si>
  <si>
    <t>SP.DYN.LE00.IN</t>
  </si>
  <si>
    <t>Health Calcs.xls</t>
  </si>
  <si>
    <t>Ebi 2008</t>
  </si>
  <si>
    <t>From Paper Ebi 2008</t>
  </si>
  <si>
    <t>SP.POP.TOTL &amp; SP.RUR.TOTL</t>
  </si>
  <si>
    <t>AG.CON.FERT.ZS &amp; AG.LND.TRAC.ZS &amp; AG.LND.IRIG.AG.ZS</t>
  </si>
  <si>
    <t>AG.YLD.CREL.KG</t>
  </si>
  <si>
    <t>SH.H2O.SAFE.ZS</t>
  </si>
  <si>
    <t>SH.STA.ACSN</t>
  </si>
  <si>
    <t>Comp Tab Food Options.xlsm</t>
  </si>
  <si>
    <t>Water withdrawals % of Total - time series.xls</t>
  </si>
  <si>
    <t>FAO - Aquastats</t>
  </si>
  <si>
    <t>CRU Current Monthly Averages.xlsx</t>
  </si>
  <si>
    <t xml:space="preserve">Projected change in precipitation - A2 scenario by end of 21st C - </t>
  </si>
  <si>
    <t>WHO statistics Water Disease.xlsm</t>
  </si>
  <si>
    <t>Wasting Children UNSTAT.xlsm</t>
  </si>
  <si>
    <t>get URL</t>
  </si>
  <si>
    <t>http://www.fao.org/nr/water/aquastat/data/query/index.html?lang=en</t>
  </si>
  <si>
    <t>Agric Stats.xlsm Sheet "Summary"</t>
  </si>
  <si>
    <t>SH.MED.PHYS.ZS &amp; SH.MED.NUMW.P3</t>
  </si>
  <si>
    <t>Infrastructure</t>
  </si>
  <si>
    <t>Scores</t>
  </si>
  <si>
    <t>Choose your countries</t>
  </si>
  <si>
    <t>GLOBAL</t>
  </si>
  <si>
    <t xml:space="preserve">GLOBAL </t>
  </si>
  <si>
    <t>Comparators</t>
  </si>
  <si>
    <t>Coastal</t>
  </si>
  <si>
    <t>Energy</t>
  </si>
  <si>
    <t>Transport</t>
  </si>
  <si>
    <t>% pop with electricity</t>
  </si>
  <si>
    <t>Energy at risk</t>
  </si>
  <si>
    <t xml:space="preserve">GDP per unit of energy </t>
  </si>
  <si>
    <t>% pop with access to electricity</t>
  </si>
  <si>
    <t>UNPD WHO analysis</t>
  </si>
  <si>
    <t>Our formula from WB Stats</t>
  </si>
  <si>
    <t>Energy at risk - percent energy derived from hydro &amp; imports</t>
  </si>
  <si>
    <t>WB DEC</t>
  </si>
  <si>
    <t>Field</t>
  </si>
  <si>
    <t>Measure</t>
  </si>
  <si>
    <t>Explanation</t>
  </si>
  <si>
    <t>Source</t>
  </si>
  <si>
    <t>Detailed Source</t>
  </si>
  <si>
    <t xml:space="preserve">Single </t>
  </si>
  <si>
    <t>Use 85-10</t>
  </si>
  <si>
    <t>Formula    FAO Imports/DomesticSupply</t>
  </si>
  <si>
    <t>% land below 5m</t>
  </si>
  <si>
    <t xml:space="preserve">Area % &lt;5m asl </t>
  </si>
  <si>
    <t>Roads, paved (% of total roads)</t>
  </si>
  <si>
    <t>Floods/ decade/ 100,000 km2</t>
  </si>
  <si>
    <t>% Lecz Pop</t>
  </si>
  <si>
    <t>NONE</t>
  </si>
  <si>
    <t>Infrastr</t>
  </si>
  <si>
    <t>?? Drop GDP/Area - CONST 0.5</t>
  </si>
  <si>
    <t>Frequency of floods / Land Area</t>
  </si>
  <si>
    <t>Percentage paved roads</t>
  </si>
  <si>
    <t>Vehicles per capita</t>
  </si>
  <si>
    <t xml:space="preserve">Population below 5m </t>
  </si>
  <si>
    <t>IS.VEH.NVEH.P3</t>
  </si>
  <si>
    <t>IS.ROD.PAVE.ZS</t>
  </si>
  <si>
    <t>yes</t>
  </si>
  <si>
    <t>??</t>
  </si>
  <si>
    <t>2000 only</t>
  </si>
  <si>
    <t>CRED &amp; WB Stats for area</t>
  </si>
  <si>
    <t>EG.IMP.CONS.ZS &amp; EG.ELC.HYRO.ZS</t>
  </si>
  <si>
    <t>Energy Access.xls</t>
  </si>
  <si>
    <t>WB DEC??</t>
  </si>
  <si>
    <t>Number of medical workers per 1000 population (Doctors, nurses, midwives)</t>
  </si>
  <si>
    <t>CRU</t>
  </si>
  <si>
    <t>Income Grp</t>
  </si>
  <si>
    <t>$C$12:$C$203</t>
  </si>
  <si>
    <t>World</t>
  </si>
  <si>
    <t>GAIN</t>
  </si>
  <si>
    <t>Components</t>
  </si>
  <si>
    <t>Sectors</t>
  </si>
  <si>
    <t>LDCs</t>
  </si>
  <si>
    <t>LMICs</t>
  </si>
  <si>
    <t>UMICs</t>
  </si>
  <si>
    <t>non-OECDs</t>
  </si>
  <si>
    <t>OECDs</t>
  </si>
  <si>
    <t>DROPPED</t>
  </si>
  <si>
    <t>Vuln Index</t>
  </si>
  <si>
    <t>Water Index</t>
  </si>
  <si>
    <t>Infra-structure</t>
  </si>
  <si>
    <t>Infra-str</t>
  </si>
  <si>
    <t>Capacity not assessed</t>
  </si>
  <si>
    <t>GAIN Vuln</t>
  </si>
  <si>
    <t>Rank</t>
  </si>
  <si>
    <t>Measures</t>
  </si>
  <si>
    <t>Low Capacity</t>
  </si>
  <si>
    <t>GAIN Vuln Index</t>
  </si>
  <si>
    <t>GDP per capita, PPP</t>
  </si>
  <si>
    <t>Ln GDP/Cap</t>
  </si>
  <si>
    <t>HDI</t>
  </si>
  <si>
    <t>GINI index</t>
  </si>
  <si>
    <t>Miss Aver</t>
  </si>
  <si>
    <t>Projected GAIN</t>
  </si>
  <si>
    <t>Delta</t>
  </si>
  <si>
    <t>Clim Disaster per cap (95)  Grand Total Affected  78-07</t>
  </si>
  <si>
    <t>..</t>
  </si>
  <si>
    <t>Full GAIN Vuln</t>
  </si>
  <si>
    <t xml:space="preserve">Data worksheet is  </t>
  </si>
  <si>
    <t>FULL copy</t>
  </si>
  <si>
    <t xml:space="preserve">Number of variables  </t>
  </si>
  <si>
    <t xml:space="preserve">Maximum number items  </t>
  </si>
  <si>
    <t>R^2 values</t>
  </si>
  <si>
    <t>P &lt; 5%</t>
  </si>
  <si>
    <t>P &lt; 1%</t>
  </si>
  <si>
    <t>P &lt; 0.1%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</si>
</sst>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-;\-* #,##0_-;_-* &quot;-&quot;_-;_-@_-"/>
    <numFmt numFmtId="43" formatCode="_-* #,##0.00_-;\-* #,##0.00_-;_-* &quot;-&quot;??_-;_-@_-"/>
    <numFmt numFmtId="164" formatCode="0.0"/>
    <numFmt numFmtId="165" formatCode="_(* #,##0.00_);_(* \(#,##0.00\);_(* &quot;-&quot;??_);_(@_)"/>
    <numFmt numFmtId="166" formatCode="#,##0.0000"/>
    <numFmt numFmtId="167" formatCode="_-* #,##0_-;\-* #,##0_-;_-* &quot;-&quot;??_-;_-@_-"/>
    <numFmt numFmtId="168" formatCode="0.000_ ;[Red]\-0.000\ "/>
    <numFmt numFmtId="169" formatCode="_-* #,##0.000_-;\-* #,##0.000_-;_-* &quot;-&quot;??_-;_-@_-"/>
    <numFmt numFmtId="170" formatCode="#.000;[Red]\-#.000"/>
  </numFmts>
  <fonts count="4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b/>
      <sz val="11"/>
      <color theme="5" tint="-0.249977111117893"/>
      <name val="Arial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6"/>
      <color theme="1"/>
      <name val="Calibri"/>
      <scheme val="minor"/>
    </font>
    <font>
      <sz val="11"/>
      <name val="Arial"/>
    </font>
    <font>
      <sz val="12"/>
      <color theme="9" tint="-0.249977111117893"/>
      <name val="Calibri"/>
      <scheme val="minor"/>
    </font>
    <font>
      <sz val="10"/>
      <color theme="0" tint="-0.14999847407452621"/>
      <name val="Calibri"/>
      <scheme val="minor"/>
    </font>
    <font>
      <sz val="12"/>
      <color theme="0"/>
      <name val="Calibri"/>
      <family val="2"/>
      <scheme val="minor"/>
    </font>
    <font>
      <sz val="18"/>
      <color theme="1"/>
      <name val="Calibri"/>
      <scheme val="minor"/>
    </font>
    <font>
      <sz val="12"/>
      <color theme="6" tint="-0.499984740745262"/>
      <name val="Calibri"/>
      <scheme val="minor"/>
    </font>
    <font>
      <b/>
      <sz val="16"/>
      <name val="Arial"/>
    </font>
    <font>
      <b/>
      <sz val="14"/>
      <color theme="5" tint="-0.249977111117893"/>
      <name val="Calibri"/>
      <scheme val="minor"/>
    </font>
    <font>
      <b/>
      <sz val="10"/>
      <color theme="1"/>
      <name val="Calibri"/>
      <scheme val="minor"/>
    </font>
    <font>
      <sz val="10"/>
      <color theme="1"/>
      <name val="Calibri"/>
      <scheme val="minor"/>
    </font>
    <font>
      <sz val="8"/>
      <name val="Calibri"/>
      <family val="2"/>
      <scheme val="minor"/>
    </font>
    <font>
      <sz val="9"/>
      <name val="Times New Roman"/>
      <family val="1"/>
    </font>
    <font>
      <sz val="9"/>
      <color indexed="9"/>
      <name val="Calibri"/>
      <family val="2"/>
    </font>
    <font>
      <b/>
      <sz val="9"/>
      <name val="Times New Roman"/>
      <family val="1"/>
    </font>
    <font>
      <b/>
      <sz val="10"/>
      <name val="Arial"/>
      <family val="2"/>
    </font>
    <font>
      <b/>
      <sz val="10"/>
      <color indexed="8"/>
      <name val="Verdana"/>
      <family val="2"/>
    </font>
    <font>
      <sz val="9"/>
      <name val="Arial"/>
      <family val="2"/>
    </font>
    <font>
      <sz val="10"/>
      <name val="Helvetica"/>
    </font>
    <font>
      <sz val="10"/>
      <name val="Arial Cyr"/>
    </font>
    <font>
      <vertAlign val="superscript"/>
      <sz val="11"/>
      <name val="Arial"/>
      <family val="2"/>
    </font>
    <font>
      <b/>
      <sz val="12"/>
      <name val="Times New Roman"/>
      <family val="1"/>
    </font>
    <font>
      <sz val="10"/>
      <name val="Arial CE"/>
    </font>
    <font>
      <sz val="10"/>
      <name val="Times New Roman"/>
      <family val="1"/>
    </font>
    <font>
      <sz val="8"/>
      <name val="Helvetica"/>
    </font>
    <font>
      <b/>
      <sz val="10"/>
      <color indexed="12"/>
      <name val="Arial"/>
      <family val="2"/>
    </font>
    <font>
      <b/>
      <sz val="16"/>
      <color theme="0"/>
      <name val="Calibri"/>
      <scheme val="minor"/>
    </font>
    <font>
      <b/>
      <sz val="11"/>
      <color rgb="FFFF0000"/>
      <name val="Arial"/>
    </font>
    <font>
      <sz val="16"/>
      <color theme="1"/>
      <name val="Calibri"/>
      <scheme val="minor"/>
    </font>
    <font>
      <b/>
      <sz val="10"/>
      <color theme="0" tint="-0.14999847407452621"/>
      <name val="Calibri"/>
      <scheme val="minor"/>
    </font>
    <font>
      <b/>
      <sz val="18"/>
      <color theme="1"/>
      <name val="Calibri"/>
      <scheme val="minor"/>
    </font>
    <font>
      <b/>
      <sz val="14"/>
      <color theme="0"/>
      <name val="Calibri"/>
      <scheme val="minor"/>
    </font>
    <font>
      <sz val="12"/>
      <color theme="0" tint="-0.14999847407452621"/>
      <name val="Calibri"/>
      <scheme val="minor"/>
    </font>
    <font>
      <sz val="20"/>
      <color theme="1"/>
      <name val="Calibri"/>
      <scheme val="minor"/>
    </font>
    <font>
      <sz val="12"/>
      <color theme="0" tint="-0.249977111117893"/>
      <name val="Calibri"/>
      <scheme val="minor"/>
    </font>
    <font>
      <sz val="10"/>
      <color theme="0" tint="-0.249977111117893"/>
      <name val="Calibri"/>
      <scheme val="minor"/>
    </font>
    <font>
      <b/>
      <sz val="11"/>
      <color theme="4" tint="-0.249977111117893"/>
      <name val="Calibri"/>
      <family val="2"/>
      <scheme val="minor"/>
    </font>
    <font>
      <b/>
      <sz val="10"/>
      <color theme="4" tint="-0.249977111117893"/>
      <name val="Arial"/>
      <family val="2"/>
    </font>
    <font>
      <sz val="12"/>
      <color rgb="FF000000"/>
      <name val="Lucida Grande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7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darkTrellis"/>
    </fill>
    <fill>
      <patternFill patternType="solid">
        <fgColor indexed="5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gray0625">
        <bgColor rgb="FFFFCC99"/>
      </patternFill>
    </fill>
  </fills>
  <borders count="25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ck">
        <color indexed="8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ck">
        <color indexed="8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994">
    <xf numFmtId="0" fontId="0" fillId="0" borderId="0"/>
    <xf numFmtId="0" fontId="3" fillId="0" borderId="0"/>
    <xf numFmtId="0" fontId="5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49" fontId="21" fillId="0" borderId="4" applyNumberFormat="0" applyFont="0" applyFill="0" applyBorder="0" applyProtection="0">
      <alignment horizontal="left" vertical="center" indent="2"/>
    </xf>
    <xf numFmtId="49" fontId="21" fillId="0" borderId="5" applyNumberFormat="0" applyFont="0" applyFill="0" applyBorder="0" applyProtection="0">
      <alignment horizontal="left" vertical="center" indent="5"/>
    </xf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22" fillId="26" borderId="0" applyNumberFormat="0" applyBorder="0" applyAlignment="0" applyProtection="0"/>
    <xf numFmtId="4" fontId="21" fillId="29" borderId="4">
      <alignment horizontal="right" vertical="center"/>
    </xf>
    <xf numFmtId="0" fontId="5" fillId="0" borderId="0" applyNumberFormat="0" applyFill="0" applyBorder="0" applyAlignment="0" applyProtection="0"/>
    <xf numFmtId="4" fontId="23" fillId="0" borderId="6" applyFill="0" applyBorder="0" applyProtection="0">
      <alignment horizontal="right" vertical="center"/>
    </xf>
    <xf numFmtId="0" fontId="24" fillId="0" borderId="0">
      <alignment horizontal="center" wrapText="1"/>
    </xf>
    <xf numFmtId="0" fontId="24" fillId="0" borderId="0">
      <alignment horizontal="left"/>
    </xf>
    <xf numFmtId="0" fontId="24" fillId="0" borderId="0">
      <alignment horizontal="right"/>
    </xf>
    <xf numFmtId="0" fontId="5" fillId="0" borderId="0">
      <alignment horizontal="center" wrapText="1"/>
    </xf>
    <xf numFmtId="1" fontId="25" fillId="30" borderId="4">
      <alignment horizontal="right" vertical="center" indent="1"/>
    </xf>
    <xf numFmtId="0" fontId="25" fillId="25" borderId="4">
      <alignment horizontal="center" vertical="center"/>
    </xf>
    <xf numFmtId="1" fontId="25" fillId="30" borderId="4">
      <alignment horizontal="right" vertical="center" indent="1"/>
    </xf>
    <xf numFmtId="165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27" fillId="0" borderId="0"/>
    <xf numFmtId="0" fontId="27" fillId="0" borderId="0"/>
    <xf numFmtId="0" fontId="28" fillId="0" borderId="3"/>
    <xf numFmtId="1" fontId="29" fillId="0" borderId="0" applyNumberFormat="0" applyFill="0" applyBorder="0" applyAlignment="0" applyProtection="0">
      <alignment horizontal="center" vertical="top"/>
    </xf>
    <xf numFmtId="0" fontId="24" fillId="0" borderId="0"/>
    <xf numFmtId="0" fontId="5" fillId="0" borderId="0">
      <alignment horizontal="left" indent="2"/>
    </xf>
    <xf numFmtId="0" fontId="30" fillId="0" borderId="0" applyNumberFormat="0" applyFill="0" applyBorder="0" applyAlignment="0" applyProtection="0"/>
    <xf numFmtId="4" fontId="21" fillId="0" borderId="7">
      <alignment horizontal="right" vertical="center"/>
    </xf>
    <xf numFmtId="0" fontId="5" fillId="0" borderId="0">
      <alignment horizontal="left"/>
    </xf>
    <xf numFmtId="0" fontId="31" fillId="0" borderId="0"/>
    <xf numFmtId="0" fontId="5" fillId="0" borderId="0"/>
    <xf numFmtId="0" fontId="26" fillId="0" borderId="0"/>
    <xf numFmtId="0" fontId="5" fillId="0" borderId="0" applyNumberFormat="0" applyFill="0" applyBorder="0" applyAlignment="0" applyProtection="0"/>
    <xf numFmtId="0" fontId="26" fillId="0" borderId="0"/>
    <xf numFmtId="1" fontId="10" fillId="0" borderId="0">
      <alignment horizontal="center" vertical="top"/>
    </xf>
    <xf numFmtId="0" fontId="32" fillId="0" borderId="0"/>
    <xf numFmtId="4" fontId="21" fillId="0" borderId="4" applyFill="0" applyBorder="0" applyProtection="0">
      <alignment horizontal="right" vertical="center"/>
    </xf>
    <xf numFmtId="49" fontId="23" fillId="0" borderId="4" applyNumberFormat="0" applyFill="0" applyBorder="0" applyProtection="0">
      <alignment horizontal="left" vertical="center"/>
    </xf>
    <xf numFmtId="0" fontId="21" fillId="0" borderId="4" applyNumberFormat="0" applyFill="0" applyAlignment="0" applyProtection="0"/>
    <xf numFmtId="0" fontId="33" fillId="25" borderId="0" applyNumberFormat="0" applyFont="0" applyBorder="0" applyAlignment="0" applyProtection="0"/>
    <xf numFmtId="0" fontId="30" fillId="0" borderId="0" applyNumberFormat="0" applyFont="0" applyFill="0" applyBorder="0" applyAlignment="0">
      <protection locked="0"/>
    </xf>
    <xf numFmtId="166" fontId="21" fillId="31" borderId="4" applyNumberFormat="0" applyFont="0" applyBorder="0" applyAlignment="0" applyProtection="0">
      <alignment horizontal="right" vertical="center"/>
    </xf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1" fillId="32" borderId="4"/>
    <xf numFmtId="0" fontId="21" fillId="0" borderId="0"/>
    <xf numFmtId="0" fontId="28" fillId="0" borderId="0"/>
    <xf numFmtId="4" fontId="2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01">
    <xf numFmtId="0" fontId="0" fillId="0" borderId="0" xfId="0"/>
    <xf numFmtId="0" fontId="4" fillId="0" borderId="0" xfId="1" applyFont="1" applyAlignment="1">
      <alignment horizontal="center" wrapText="1"/>
    </xf>
    <xf numFmtId="0" fontId="6" fillId="3" borderId="0" xfId="1" applyFont="1" applyFill="1" applyAlignment="1">
      <alignment horizont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0" fillId="0" borderId="0" xfId="0" applyNumberFormat="1"/>
    <xf numFmtId="2" fontId="5" fillId="2" borderId="0" xfId="2" applyNumberFormat="1" applyFill="1"/>
    <xf numFmtId="0" fontId="0" fillId="4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" borderId="0" xfId="0" applyFill="1"/>
    <xf numFmtId="0" fontId="2" fillId="0" borderId="0" xfId="0" applyFont="1"/>
    <xf numFmtId="0" fontId="9" fillId="0" borderId="0" xfId="0" applyFont="1"/>
    <xf numFmtId="0" fontId="0" fillId="3" borderId="0" xfId="0" applyFill="1"/>
    <xf numFmtId="0" fontId="9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5" fillId="7" borderId="0" xfId="2" applyFill="1"/>
    <xf numFmtId="0" fontId="5" fillId="8" borderId="0" xfId="2" applyFill="1"/>
    <xf numFmtId="2" fontId="5" fillId="6" borderId="0" xfId="2" applyNumberFormat="1" applyFill="1"/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wrapText="1"/>
    </xf>
    <xf numFmtId="0" fontId="0" fillId="10" borderId="0" xfId="0" applyFill="1"/>
    <xf numFmtId="0" fontId="2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164" fontId="4" fillId="10" borderId="0" xfId="1" applyNumberFormat="1" applyFont="1" applyFill="1" applyAlignment="1">
      <alignment horizontal="center" wrapText="1"/>
    </xf>
    <xf numFmtId="0" fontId="0" fillId="8" borderId="0" xfId="0" applyFill="1"/>
    <xf numFmtId="0" fontId="0" fillId="7" borderId="0" xfId="0" applyFill="1"/>
    <xf numFmtId="0" fontId="2" fillId="0" borderId="0" xfId="0" applyFont="1" applyFill="1" applyAlignment="1">
      <alignment horizontal="center" wrapText="1"/>
    </xf>
    <xf numFmtId="0" fontId="9" fillId="11" borderId="0" xfId="0" applyFont="1" applyFill="1" applyAlignment="1">
      <alignment horizontal="center"/>
    </xf>
    <xf numFmtId="0" fontId="9" fillId="9" borderId="0" xfId="0" applyFont="1" applyFill="1" applyAlignment="1">
      <alignment horizontal="center"/>
    </xf>
    <xf numFmtId="0" fontId="2" fillId="8" borderId="0" xfId="0" applyFont="1" applyFill="1" applyAlignment="1">
      <alignment horizontal="left"/>
    </xf>
    <xf numFmtId="0" fontId="2" fillId="7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8" borderId="0" xfId="0" applyFont="1" applyFill="1" applyAlignment="1">
      <alignment horizontal="right"/>
    </xf>
    <xf numFmtId="0" fontId="2" fillId="7" borderId="0" xfId="0" applyFont="1" applyFill="1" applyAlignment="1">
      <alignment horizontal="right"/>
    </xf>
    <xf numFmtId="0" fontId="2" fillId="9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11" borderId="0" xfId="0" applyFill="1"/>
    <xf numFmtId="0" fontId="0" fillId="3" borderId="0" xfId="0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0" fontId="0" fillId="12" borderId="0" xfId="0" applyFill="1"/>
    <xf numFmtId="0" fontId="10" fillId="0" borderId="0" xfId="0" applyFont="1"/>
    <xf numFmtId="0" fontId="0" fillId="13" borderId="1" xfId="0" applyFont="1" applyFill="1" applyBorder="1"/>
    <xf numFmtId="0" fontId="0" fillId="13" borderId="2" xfId="0" applyFont="1" applyFill="1" applyBorder="1"/>
    <xf numFmtId="0" fontId="0" fillId="14" borderId="1" xfId="0" applyFont="1" applyFill="1" applyBorder="1"/>
    <xf numFmtId="0" fontId="11" fillId="0" borderId="0" xfId="0" applyFont="1"/>
    <xf numFmtId="0" fontId="0" fillId="2" borderId="0" xfId="0" applyFill="1"/>
    <xf numFmtId="0" fontId="2" fillId="7" borderId="0" xfId="0" applyFont="1" applyFill="1" applyAlignment="1">
      <alignment horizontal="center" wrapText="1"/>
    </xf>
    <xf numFmtId="0" fontId="9" fillId="0" borderId="0" xfId="0" applyFont="1" applyAlignment="1">
      <alignment horizontal="right" vertical="center"/>
    </xf>
    <xf numFmtId="0" fontId="0" fillId="15" borderId="0" xfId="0" applyFill="1" applyAlignment="1">
      <alignment horizontal="right"/>
    </xf>
    <xf numFmtId="0" fontId="2" fillId="8" borderId="0" xfId="0" applyFont="1" applyFill="1" applyAlignment="1">
      <alignment horizontal="center" wrapText="1"/>
    </xf>
    <xf numFmtId="0" fontId="2" fillId="10" borderId="0" xfId="0" applyFont="1" applyFill="1" applyAlignment="1">
      <alignment horizontal="center" wrapText="1"/>
    </xf>
    <xf numFmtId="0" fontId="14" fillId="4" borderId="0" xfId="0" applyFont="1" applyFill="1"/>
    <xf numFmtId="0" fontId="14" fillId="5" borderId="0" xfId="0" applyFont="1" applyFill="1"/>
    <xf numFmtId="0" fontId="0" fillId="5" borderId="0" xfId="0" applyFill="1"/>
    <xf numFmtId="0" fontId="14" fillId="10" borderId="0" xfId="0" applyFont="1" applyFill="1"/>
    <xf numFmtId="0" fontId="2" fillId="17" borderId="0" xfId="0" applyFont="1" applyFill="1" applyAlignment="1">
      <alignment horizontal="center" wrapText="1"/>
    </xf>
    <xf numFmtId="2" fontId="0" fillId="18" borderId="0" xfId="0" applyNumberFormat="1" applyFill="1"/>
    <xf numFmtId="2" fontId="0" fillId="0" borderId="0" xfId="0" applyNumberFormat="1" applyFill="1"/>
    <xf numFmtId="2" fontId="0" fillId="5" borderId="0" xfId="0" applyNumberFormat="1" applyFill="1" applyAlignment="1">
      <alignment horizontal="right"/>
    </xf>
    <xf numFmtId="2" fontId="0" fillId="10" borderId="0" xfId="0" applyNumberFormat="1" applyFill="1" applyAlignment="1">
      <alignment horizontal="right"/>
    </xf>
    <xf numFmtId="0" fontId="14" fillId="16" borderId="0" xfId="0" applyFont="1" applyFill="1" applyAlignment="1">
      <alignment horizontal="center" wrapText="1"/>
    </xf>
    <xf numFmtId="0" fontId="2" fillId="21" borderId="0" xfId="0" applyFont="1" applyFill="1" applyAlignment="1">
      <alignment horizontal="center"/>
    </xf>
    <xf numFmtId="0" fontId="9" fillId="21" borderId="0" xfId="0" applyFont="1" applyFill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164" fontId="4" fillId="20" borderId="0" xfId="1" applyNumberFormat="1" applyFont="1" applyFill="1" applyAlignment="1">
      <alignment horizontal="center" wrapText="1"/>
    </xf>
    <xf numFmtId="0" fontId="2" fillId="21" borderId="0" xfId="0" applyFont="1" applyFill="1" applyAlignment="1">
      <alignment horizontal="right"/>
    </xf>
    <xf numFmtId="164" fontId="16" fillId="21" borderId="0" xfId="1" applyNumberFormat="1" applyFont="1" applyFill="1" applyAlignment="1">
      <alignment horizontal="center" wrapText="1"/>
    </xf>
    <xf numFmtId="0" fontId="0" fillId="0" borderId="0" xfId="0" applyAlignment="1">
      <alignment horizontal="left" wrapText="1"/>
    </xf>
    <xf numFmtId="0" fontId="3" fillId="0" borderId="0" xfId="0" applyFont="1" applyAlignment="1">
      <alignment horizontal="left" wrapText="1"/>
    </xf>
    <xf numFmtId="0" fontId="17" fillId="0" borderId="0" xfId="0" applyFont="1" applyAlignment="1">
      <alignment horizontal="center"/>
    </xf>
    <xf numFmtId="0" fontId="17" fillId="4" borderId="0" xfId="0" applyFont="1" applyFill="1" applyAlignment="1">
      <alignment horizontal="center"/>
    </xf>
    <xf numFmtId="164" fontId="4" fillId="22" borderId="0" xfId="1" applyNumberFormat="1" applyFont="1" applyFill="1" applyAlignment="1">
      <alignment horizontal="center" wrapText="1"/>
    </xf>
    <xf numFmtId="164" fontId="4" fillId="8" borderId="0" xfId="1" applyNumberFormat="1" applyFont="1" applyFill="1" applyAlignment="1">
      <alignment horizontal="center" wrapText="1"/>
    </xf>
    <xf numFmtId="164" fontId="4" fillId="23" borderId="0" xfId="1" applyNumberFormat="1" applyFont="1" applyFill="1" applyAlignment="1">
      <alignment horizontal="center" wrapText="1"/>
    </xf>
    <xf numFmtId="0" fontId="18" fillId="0" borderId="0" xfId="0" applyFont="1" applyAlignment="1">
      <alignment horizontal="center"/>
    </xf>
    <xf numFmtId="0" fontId="19" fillId="0" borderId="0" xfId="0" applyFont="1"/>
    <xf numFmtId="0" fontId="18" fillId="0" borderId="0" xfId="0" applyFont="1"/>
    <xf numFmtId="41" fontId="19" fillId="0" borderId="0" xfId="0" applyNumberFormat="1" applyFont="1" applyAlignment="1">
      <alignment horizontal="center"/>
    </xf>
    <xf numFmtId="2" fontId="0" fillId="7" borderId="0" xfId="0" applyNumberFormat="1" applyFill="1"/>
    <xf numFmtId="0" fontId="0" fillId="22" borderId="0" xfId="0" applyFill="1"/>
    <xf numFmtId="0" fontId="2" fillId="22" borderId="0" xfId="0" applyFont="1" applyFill="1" applyAlignment="1">
      <alignment horizontal="center" wrapText="1"/>
    </xf>
    <xf numFmtId="0" fontId="13" fillId="24" borderId="0" xfId="0" applyFont="1" applyFill="1" applyAlignment="1">
      <alignment horizontal="center"/>
    </xf>
    <xf numFmtId="0" fontId="34" fillId="0" borderId="0" xfId="715" applyFont="1" applyAlignment="1">
      <alignment horizontal="center" wrapText="1"/>
    </xf>
    <xf numFmtId="0" fontId="5" fillId="0" borderId="0" xfId="715"/>
    <xf numFmtId="2" fontId="0" fillId="4" borderId="0" xfId="0" applyNumberFormat="1" applyFill="1"/>
    <xf numFmtId="2" fontId="5" fillId="20" borderId="0" xfId="2" applyNumberFormat="1" applyFill="1"/>
    <xf numFmtId="0" fontId="6" fillId="21" borderId="0" xfId="1" applyFont="1" applyFill="1" applyAlignment="1">
      <alignment horizontal="center" wrapText="1"/>
    </xf>
    <xf numFmtId="164" fontId="36" fillId="20" borderId="0" xfId="1" applyNumberFormat="1" applyFont="1" applyFill="1" applyAlignment="1">
      <alignment horizontal="right" wrapText="1"/>
    </xf>
    <xf numFmtId="0" fontId="35" fillId="33" borderId="0" xfId="0" applyFont="1" applyFill="1" applyAlignment="1">
      <alignment horizontal="center" wrapText="1"/>
    </xf>
    <xf numFmtId="2" fontId="0" fillId="0" borderId="0" xfId="0" applyNumberFormat="1" applyAlignment="1">
      <alignment wrapText="1"/>
    </xf>
    <xf numFmtId="0" fontId="9" fillId="4" borderId="0" xfId="0" applyFont="1" applyFill="1" applyAlignment="1">
      <alignment horizontal="center" wrapText="1"/>
    </xf>
    <xf numFmtId="0" fontId="2" fillId="0" borderId="0" xfId="0" applyFont="1" applyAlignment="1">
      <alignment horizontal="center" wrapText="1"/>
    </xf>
    <xf numFmtId="2" fontId="2" fillId="0" borderId="0" xfId="0" applyNumberFormat="1" applyFont="1" applyAlignment="1">
      <alignment horizontal="center" wrapText="1"/>
    </xf>
    <xf numFmtId="0" fontId="39" fillId="5" borderId="0" xfId="0" applyFont="1" applyFill="1" applyAlignment="1">
      <alignment horizontal="center" wrapText="1"/>
    </xf>
    <xf numFmtId="0" fontId="39" fillId="10" borderId="0" xfId="0" applyFont="1" applyFill="1" applyAlignment="1">
      <alignment horizontal="center" wrapText="1"/>
    </xf>
    <xf numFmtId="0" fontId="39" fillId="7" borderId="0" xfId="0" applyFont="1" applyFill="1" applyAlignment="1">
      <alignment horizontal="center" wrapText="1"/>
    </xf>
    <xf numFmtId="0" fontId="41" fillId="0" borderId="0" xfId="0" applyFont="1"/>
    <xf numFmtId="0" fontId="41" fillId="0" borderId="0" xfId="0" applyFont="1" applyAlignment="1">
      <alignment horizontal="center"/>
    </xf>
    <xf numFmtId="0" fontId="0" fillId="17" borderId="0" xfId="0" applyFill="1" applyAlignment="1">
      <alignment wrapText="1"/>
    </xf>
    <xf numFmtId="0" fontId="40" fillId="33" borderId="0" xfId="0" applyFont="1" applyFill="1" applyAlignment="1">
      <alignment horizontal="center" wrapText="1"/>
    </xf>
    <xf numFmtId="0" fontId="15" fillId="19" borderId="0" xfId="0" applyFont="1" applyFill="1" applyAlignment="1">
      <alignment horizontal="center" wrapText="1"/>
    </xf>
    <xf numFmtId="0" fontId="15" fillId="19" borderId="0" xfId="0" applyFont="1" applyFill="1" applyAlignment="1">
      <alignment horizontal="left" wrapText="1"/>
    </xf>
    <xf numFmtId="164" fontId="0" fillId="0" borderId="0" xfId="0" applyNumberFormat="1"/>
    <xf numFmtId="0" fontId="0" fillId="18" borderId="0" xfId="0" applyFill="1" applyBorder="1" applyAlignment="1">
      <alignment horizontal="center"/>
    </xf>
    <xf numFmtId="0" fontId="39" fillId="5" borderId="8" xfId="0" applyFont="1" applyFill="1" applyBorder="1" applyAlignment="1">
      <alignment horizontal="center" vertical="center" wrapText="1"/>
    </xf>
    <xf numFmtId="0" fontId="37" fillId="3" borderId="10" xfId="0" applyFont="1" applyFill="1" applyBorder="1" applyAlignment="1">
      <alignment horizontal="center"/>
    </xf>
    <xf numFmtId="0" fontId="9" fillId="3" borderId="9" xfId="0" applyFont="1" applyFill="1" applyBorder="1" applyAlignment="1">
      <alignment horizontal="center" wrapText="1"/>
    </xf>
    <xf numFmtId="0" fontId="37" fillId="11" borderId="9" xfId="0" applyFont="1" applyFill="1" applyBorder="1" applyAlignment="1">
      <alignment horizontal="center"/>
    </xf>
    <xf numFmtId="0" fontId="42" fillId="4" borderId="9" xfId="0" applyFont="1" applyFill="1" applyBorder="1" applyAlignment="1">
      <alignment horizontal="center"/>
    </xf>
    <xf numFmtId="0" fontId="0" fillId="18" borderId="11" xfId="0" applyFill="1" applyBorder="1"/>
    <xf numFmtId="0" fontId="0" fillId="18" borderId="12" xfId="0" applyFill="1" applyBorder="1"/>
    <xf numFmtId="0" fontId="0" fillId="18" borderId="13" xfId="0" applyFill="1" applyBorder="1"/>
    <xf numFmtId="0" fontId="43" fillId="18" borderId="14" xfId="0" applyFont="1" applyFill="1" applyBorder="1" applyAlignment="1">
      <alignment horizontal="center"/>
    </xf>
    <xf numFmtId="0" fontId="0" fillId="18" borderId="0" xfId="0" applyFill="1" applyBorder="1"/>
    <xf numFmtId="0" fontId="0" fillId="18" borderId="15" xfId="0" applyFill="1" applyBorder="1"/>
    <xf numFmtId="0" fontId="44" fillId="18" borderId="14" xfId="0" applyFont="1" applyFill="1" applyBorder="1" applyAlignment="1">
      <alignment horizontal="left"/>
    </xf>
    <xf numFmtId="0" fontId="12" fillId="18" borderId="14" xfId="0" applyFont="1" applyFill="1" applyBorder="1" applyAlignment="1">
      <alignment horizontal="left"/>
    </xf>
    <xf numFmtId="0" fontId="38" fillId="18" borderId="14" xfId="0" applyFont="1" applyFill="1" applyBorder="1" applyAlignment="1">
      <alignment horizontal="center" wrapText="1"/>
    </xf>
    <xf numFmtId="0" fontId="0" fillId="18" borderId="14" xfId="0" applyFill="1" applyBorder="1"/>
    <xf numFmtId="0" fontId="0" fillId="18" borderId="14" xfId="0" applyFill="1" applyBorder="1" applyAlignment="1">
      <alignment wrapText="1"/>
    </xf>
    <xf numFmtId="0" fontId="0" fillId="18" borderId="0" xfId="0" applyFill="1" applyBorder="1" applyAlignment="1">
      <alignment wrapText="1"/>
    </xf>
    <xf numFmtId="0" fontId="0" fillId="18" borderId="15" xfId="0" applyFill="1" applyBorder="1" applyAlignment="1">
      <alignment wrapText="1"/>
    </xf>
    <xf numFmtId="2" fontId="0" fillId="18" borderId="15" xfId="0" applyNumberFormat="1" applyFill="1" applyBorder="1" applyAlignment="1">
      <alignment horizontal="center"/>
    </xf>
    <xf numFmtId="0" fontId="0" fillId="18" borderId="16" xfId="0" applyFill="1" applyBorder="1"/>
    <xf numFmtId="0" fontId="0" fillId="18" borderId="3" xfId="0" applyFill="1" applyBorder="1"/>
    <xf numFmtId="0" fontId="0" fillId="18" borderId="17" xfId="0" applyFill="1" applyBorder="1"/>
    <xf numFmtId="0" fontId="45" fillId="5" borderId="0" xfId="1" applyFont="1" applyFill="1" applyAlignment="1">
      <alignment horizontal="center" wrapText="1"/>
    </xf>
    <xf numFmtId="0" fontId="46" fillId="5" borderId="0" xfId="0" applyFont="1" applyFill="1" applyAlignment="1">
      <alignment horizontal="center" wrapText="1"/>
    </xf>
    <xf numFmtId="2" fontId="5" fillId="30" borderId="0" xfId="2" applyNumberFormat="1" applyFill="1"/>
    <xf numFmtId="167" fontId="3" fillId="0" borderId="0" xfId="985" applyNumberFormat="1" applyFont="1"/>
    <xf numFmtId="43" fontId="3" fillId="0" borderId="0" xfId="985" applyNumberFormat="1" applyFont="1"/>
    <xf numFmtId="1" fontId="3" fillId="0" borderId="0" xfId="1" applyNumberFormat="1"/>
    <xf numFmtId="2" fontId="3" fillId="0" borderId="0" xfId="1" applyNumberFormat="1"/>
    <xf numFmtId="43" fontId="0" fillId="0" borderId="0" xfId="0" applyNumberFormat="1"/>
    <xf numFmtId="168" fontId="0" fillId="0" borderId="0" xfId="0" applyNumberFormat="1"/>
    <xf numFmtId="169" fontId="3" fillId="0" borderId="0" xfId="985" applyNumberFormat="1" applyFont="1"/>
    <xf numFmtId="0" fontId="2" fillId="0" borderId="0" xfId="0" applyFont="1" applyAlignment="1">
      <alignment horizontal="center" vertical="center"/>
    </xf>
    <xf numFmtId="0" fontId="0" fillId="34" borderId="0" xfId="0" applyFill="1"/>
    <xf numFmtId="0" fontId="0" fillId="35" borderId="0" xfId="0" applyFill="1"/>
    <xf numFmtId="0" fontId="0" fillId="36" borderId="0" xfId="0" applyFill="1" applyAlignment="1">
      <alignment horizontal="center"/>
    </xf>
    <xf numFmtId="170" fontId="0" fillId="0" borderId="0" xfId="0" applyNumberFormat="1"/>
    <xf numFmtId="170" fontId="0" fillId="34" borderId="0" xfId="0" applyNumberFormat="1" applyFill="1"/>
    <xf numFmtId="170" fontId="0" fillId="35" borderId="0" xfId="0" applyNumberFormat="1" applyFill="1"/>
    <xf numFmtId="170" fontId="0" fillId="36" borderId="0" xfId="0" applyNumberFormat="1" applyFill="1"/>
    <xf numFmtId="0" fontId="0" fillId="36" borderId="0" xfId="0" applyFill="1"/>
    <xf numFmtId="170" fontId="0" fillId="37" borderId="0" xfId="0" applyNumberFormat="1" applyFill="1"/>
    <xf numFmtId="0" fontId="0" fillId="37" borderId="0" xfId="0" applyFill="1"/>
    <xf numFmtId="0" fontId="0" fillId="0" borderId="18" xfId="0" applyBorder="1" applyAlignment="1">
      <alignment wrapText="1"/>
    </xf>
    <xf numFmtId="0" fontId="0" fillId="0" borderId="19" xfId="0" applyBorder="1" applyAlignment="1">
      <alignment horizontal="right"/>
    </xf>
    <xf numFmtId="170" fontId="0" fillId="0" borderId="20" xfId="0" applyNumberFormat="1" applyBorder="1"/>
    <xf numFmtId="170" fontId="0" fillId="0" borderId="21" xfId="0" applyNumberFormat="1" applyBorder="1"/>
    <xf numFmtId="170" fontId="0" fillId="36" borderId="21" xfId="0" applyNumberFormat="1" applyFill="1" applyBorder="1"/>
    <xf numFmtId="0" fontId="0" fillId="0" borderId="21" xfId="0" applyBorder="1"/>
    <xf numFmtId="0" fontId="0" fillId="35" borderId="21" xfId="0" applyFill="1" applyBorder="1"/>
    <xf numFmtId="0" fontId="0" fillId="36" borderId="21" xfId="0" applyFill="1" applyBorder="1"/>
    <xf numFmtId="0" fontId="0" fillId="34" borderId="21" xfId="0" applyFill="1" applyBorder="1"/>
    <xf numFmtId="170" fontId="0" fillId="36" borderId="20" xfId="0" applyNumberFormat="1" applyFill="1" applyBorder="1"/>
    <xf numFmtId="170" fontId="0" fillId="37" borderId="21" xfId="0" applyNumberFormat="1" applyFill="1" applyBorder="1"/>
    <xf numFmtId="170" fontId="0" fillId="34" borderId="21" xfId="0" applyNumberFormat="1" applyFill="1" applyBorder="1"/>
    <xf numFmtId="170" fontId="0" fillId="35" borderId="20" xfId="0" applyNumberFormat="1" applyFill="1" applyBorder="1"/>
    <xf numFmtId="170" fontId="0" fillId="35" borderId="21" xfId="0" applyNumberFormat="1" applyFill="1" applyBorder="1"/>
    <xf numFmtId="0" fontId="0" fillId="37" borderId="21" xfId="0" applyFill="1" applyBorder="1"/>
    <xf numFmtId="0" fontId="0" fillId="4" borderId="19" xfId="0" applyFill="1" applyBorder="1" applyAlignment="1">
      <alignment horizontal="right"/>
    </xf>
    <xf numFmtId="0" fontId="0" fillId="5" borderId="19" xfId="0" applyFill="1" applyBorder="1" applyAlignment="1">
      <alignment horizontal="right"/>
    </xf>
    <xf numFmtId="0" fontId="0" fillId="10" borderId="19" xfId="0" applyFill="1" applyBorder="1" applyAlignment="1">
      <alignment horizontal="right"/>
    </xf>
    <xf numFmtId="0" fontId="0" fillId="7" borderId="19" xfId="0" applyFill="1" applyBorder="1" applyAlignment="1">
      <alignment horizontal="right"/>
    </xf>
    <xf numFmtId="0" fontId="0" fillId="6" borderId="0" xfId="0" applyFill="1"/>
    <xf numFmtId="0" fontId="0" fillId="6" borderId="19" xfId="0" applyFill="1" applyBorder="1" applyAlignment="1">
      <alignment horizontal="right"/>
    </xf>
    <xf numFmtId="0" fontId="0" fillId="0" borderId="22" xfId="0" applyBorder="1"/>
    <xf numFmtId="0" fontId="0" fillId="0" borderId="23" xfId="0" applyBorder="1"/>
    <xf numFmtId="0" fontId="0" fillId="36" borderId="23" xfId="0" applyFill="1" applyBorder="1"/>
    <xf numFmtId="0" fontId="0" fillId="0" borderId="24" xfId="0" applyBorder="1"/>
    <xf numFmtId="170" fontId="0" fillId="0" borderId="23" xfId="0" applyNumberFormat="1" applyBorder="1"/>
    <xf numFmtId="170" fontId="0" fillId="35" borderId="23" xfId="0" applyNumberFormat="1" applyFill="1" applyBorder="1"/>
    <xf numFmtId="170" fontId="0" fillId="36" borderId="23" xfId="0" applyNumberFormat="1" applyFill="1" applyBorder="1"/>
    <xf numFmtId="170" fontId="0" fillId="34" borderId="24" xfId="0" applyNumberFormat="1" applyFill="1" applyBorder="1"/>
    <xf numFmtId="170" fontId="0" fillId="34" borderId="23" xfId="0" applyNumberFormat="1" applyFill="1" applyBorder="1"/>
    <xf numFmtId="170" fontId="0" fillId="36" borderId="24" xfId="0" applyNumberFormat="1" applyFill="1" applyBorder="1"/>
    <xf numFmtId="170" fontId="0" fillId="0" borderId="24" xfId="0" applyNumberFormat="1" applyBorder="1"/>
    <xf numFmtId="0" fontId="0" fillId="36" borderId="22" xfId="0" applyFill="1" applyBorder="1"/>
    <xf numFmtId="0" fontId="0" fillId="37" borderId="23" xfId="0" applyFill="1" applyBorder="1"/>
    <xf numFmtId="0" fontId="0" fillId="34" borderId="24" xfId="0" applyFill="1" applyBorder="1"/>
    <xf numFmtId="0" fontId="0" fillId="34" borderId="23" xfId="0" applyFill="1" applyBorder="1"/>
    <xf numFmtId="0" fontId="0" fillId="36" borderId="24" xfId="0" applyFill="1" applyBorder="1"/>
    <xf numFmtId="170" fontId="0" fillId="35" borderId="24" xfId="0" applyNumberFormat="1" applyFill="1" applyBorder="1"/>
    <xf numFmtId="0" fontId="0" fillId="35" borderId="22" xfId="0" applyFill="1" applyBorder="1"/>
    <xf numFmtId="0" fontId="0" fillId="35" borderId="23" xfId="0" applyFill="1" applyBorder="1"/>
    <xf numFmtId="0" fontId="0" fillId="35" borderId="24" xfId="0" applyFill="1" applyBorder="1"/>
    <xf numFmtId="170" fontId="0" fillId="37" borderId="23" xfId="0" applyNumberFormat="1" applyFill="1" applyBorder="1"/>
    <xf numFmtId="0" fontId="0" fillId="4" borderId="18" xfId="0" applyFill="1" applyBorder="1" applyAlignment="1">
      <alignment wrapText="1"/>
    </xf>
    <xf numFmtId="0" fontId="0" fillId="5" borderId="18" xfId="0" applyFill="1" applyBorder="1" applyAlignment="1">
      <alignment wrapText="1"/>
    </xf>
    <xf numFmtId="0" fontId="0" fillId="10" borderId="18" xfId="0" applyFill="1" applyBorder="1" applyAlignment="1">
      <alignment wrapText="1"/>
    </xf>
    <xf numFmtId="0" fontId="0" fillId="7" borderId="18" xfId="0" applyFill="1" applyBorder="1" applyAlignment="1">
      <alignment wrapText="1"/>
    </xf>
    <xf numFmtId="0" fontId="0" fillId="6" borderId="18" xfId="0" applyFill="1" applyBorder="1" applyAlignment="1">
      <alignment wrapText="1"/>
    </xf>
    <xf numFmtId="0" fontId="39" fillId="18" borderId="0" xfId="0" applyFont="1" applyFill="1" applyBorder="1" applyAlignment="1">
      <alignment horizontal="center" vertical="center" wrapText="1"/>
    </xf>
    <xf numFmtId="0" fontId="39" fillId="18" borderId="15" xfId="0" applyFont="1" applyFill="1" applyBorder="1" applyAlignment="1">
      <alignment horizontal="center" vertical="center" wrapText="1"/>
    </xf>
  </cellXfs>
  <cellStyles count="994">
    <cellStyle name="2x indented GHG Textfiels" xfId="688"/>
    <cellStyle name="5x indented GHG Textfiels" xfId="689"/>
    <cellStyle name="60% - Accent6 2" xfId="690"/>
    <cellStyle name="Accent3 2" xfId="691"/>
    <cellStyle name="Accent5 2" xfId="692"/>
    <cellStyle name="AggblueCels_1x" xfId="693"/>
    <cellStyle name="ANCLAS,REZONES Y SUS PARTES,DE FUNDICION,DE HIERRO O DE ACERO" xfId="694"/>
    <cellStyle name="Bold GHG Numbers (0.00)" xfId="695"/>
    <cellStyle name="BoldCenter" xfId="696"/>
    <cellStyle name="BoldLeft" xfId="697"/>
    <cellStyle name="BoldRight" xfId="698"/>
    <cellStyle name="Center" xfId="699"/>
    <cellStyle name="clsAltData" xfId="700"/>
    <cellStyle name="clsColumnHeader" xfId="701"/>
    <cellStyle name="clsData" xfId="702"/>
    <cellStyle name="Comma" xfId="985" builtinId="3"/>
    <cellStyle name="Comma 2" xfId="703"/>
    <cellStyle name="Comma 3" xfId="704"/>
    <cellStyle name="Comma0 - Stil2" xfId="705"/>
    <cellStyle name="Comma0 - Stil3" xfId="706"/>
    <cellStyle name="Empty_B_border" xfId="707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otnote" xfId="708"/>
    <cellStyle name="H1" xfId="709"/>
    <cellStyle name="H3" xfId="710"/>
    <cellStyle name="Headline" xfId="71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InputCells12_BBorder_CRFReport-template" xfId="712"/>
    <cellStyle name="Left" xfId="713"/>
    <cellStyle name="Navadno_Table2(I).A-Gs1" xfId="714"/>
    <cellStyle name="Normal" xfId="0" builtinId="0"/>
    <cellStyle name="Normal 2" xfId="69"/>
    <cellStyle name="Normal 2 2" xfId="717"/>
    <cellStyle name="Normal 2 3" xfId="2"/>
    <cellStyle name="Normal 2_Summaries" xfId="716"/>
    <cellStyle name="Normal 3" xfId="718"/>
    <cellStyle name="Normal 4" xfId="719"/>
    <cellStyle name="Normal 5" xfId="720"/>
    <cellStyle name="Normal 6" xfId="1"/>
    <cellStyle name="Normal GHG Numbers (0.00)" xfId="721"/>
    <cellStyle name="Normal GHG Textfiels Bold" xfId="722"/>
    <cellStyle name="Normal GHG whole table" xfId="723"/>
    <cellStyle name="Normal GHG-Shade" xfId="724"/>
    <cellStyle name="Normal_Summaries" xfId="715"/>
    <cellStyle name="Not Locked" xfId="725"/>
    <cellStyle name="Pattern" xfId="726"/>
    <cellStyle name="Percent 2" xfId="727"/>
    <cellStyle name="Percent 3" xfId="728"/>
    <cellStyle name="Shade" xfId="729"/>
    <cellStyle name="Standaard_1990" xfId="730"/>
    <cellStyle name="Standard_CRFReport-template" xfId="731"/>
    <cellStyle name="Обычный_2++" xfId="732"/>
  </cellStyles>
  <dxfs count="0"/>
  <tableStyles count="0" defaultTableStyle="TableStyleMedium9" defaultPivotStyle="PivotStyleMedium4"/>
  <colors>
    <mruColors>
      <color rgb="FFFF790B"/>
      <color rgb="FFBC94C7"/>
      <color rgb="FFF8A5FF"/>
      <color rgb="FFF9BAFF"/>
      <color rgb="FFE75EE4"/>
      <color rgb="FFD30000"/>
      <color rgb="FFA90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GAIN Sectors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'The View'!$AD$21</c:f>
              <c:strCache>
                <c:ptCount val="1"/>
                <c:pt idx="0">
                  <c:v>Cambodia</c:v>
                </c:pt>
              </c:strCache>
            </c:strRef>
          </c:tx>
          <c:spPr>
            <a:solidFill>
              <a:srgbClr val="D30000"/>
            </a:solidFill>
          </c:spPr>
          <c:invertIfNegative val="0"/>
          <c:cat>
            <c:strRef>
              <c:f>'The View'!$AE$20:$AI$20</c:f>
              <c:strCache>
                <c:ptCount val="5"/>
                <c:pt idx="0">
                  <c:v>GAIN Vuln</c:v>
                </c:pt>
                <c:pt idx="1">
                  <c:v>Water</c:v>
                </c:pt>
                <c:pt idx="2">
                  <c:v>Food</c:v>
                </c:pt>
                <c:pt idx="3">
                  <c:v>Health</c:v>
                </c:pt>
                <c:pt idx="4">
                  <c:v>Infra-str</c:v>
                </c:pt>
              </c:strCache>
            </c:strRef>
          </c:cat>
          <c:val>
            <c:numRef>
              <c:f>'The View'!$AE$21:$AI$21</c:f>
              <c:numCache>
                <c:formatCode>0.00</c:formatCode>
                <c:ptCount val="5"/>
                <c:pt idx="0">
                  <c:v>0.458403712252121</c:v>
                </c:pt>
                <c:pt idx="1">
                  <c:v>0.392646489708044</c:v>
                </c:pt>
                <c:pt idx="2">
                  <c:v>0.507152797706312</c:v>
                </c:pt>
                <c:pt idx="3">
                  <c:v>0.536265045178307</c:v>
                </c:pt>
                <c:pt idx="4">
                  <c:v>0.39755051641582</c:v>
                </c:pt>
              </c:numCache>
            </c:numRef>
          </c:val>
        </c:ser>
        <c:ser>
          <c:idx val="1"/>
          <c:order val="1"/>
          <c:tx>
            <c:strRef>
              <c:f>'The View'!$AD$22</c:f>
              <c:strCache>
                <c:ptCount val="1"/>
                <c:pt idx="0">
                  <c:v>Bangladesh</c:v>
                </c:pt>
              </c:strCache>
            </c:strRef>
          </c:tx>
          <c:invertIfNegative val="0"/>
          <c:cat>
            <c:strRef>
              <c:f>'The View'!$AE$20:$AI$20</c:f>
              <c:strCache>
                <c:ptCount val="5"/>
                <c:pt idx="0">
                  <c:v>GAIN Vuln</c:v>
                </c:pt>
                <c:pt idx="1">
                  <c:v>Water</c:v>
                </c:pt>
                <c:pt idx="2">
                  <c:v>Food</c:v>
                </c:pt>
                <c:pt idx="3">
                  <c:v>Health</c:v>
                </c:pt>
                <c:pt idx="4">
                  <c:v>Infra-str</c:v>
                </c:pt>
              </c:strCache>
            </c:strRef>
          </c:cat>
          <c:val>
            <c:numRef>
              <c:f>'The View'!$AE$22:$AI$22</c:f>
              <c:numCache>
                <c:formatCode>0.00</c:formatCode>
                <c:ptCount val="5"/>
                <c:pt idx="0">
                  <c:v>0.457934350771369</c:v>
                </c:pt>
                <c:pt idx="1">
                  <c:v>0.261668613601376</c:v>
                </c:pt>
                <c:pt idx="2">
                  <c:v>0.65470124982265</c:v>
                </c:pt>
                <c:pt idx="3">
                  <c:v>0.448634028727167</c:v>
                </c:pt>
                <c:pt idx="4">
                  <c:v>0.466733510934282</c:v>
                </c:pt>
              </c:numCache>
            </c:numRef>
          </c:val>
        </c:ser>
        <c:ser>
          <c:idx val="2"/>
          <c:order val="2"/>
          <c:tx>
            <c:strRef>
              <c:f>'The View'!$AD$23</c:f>
              <c:strCache>
                <c:ptCount val="1"/>
                <c:pt idx="0">
                  <c:v>Bahrain</c:v>
                </c:pt>
              </c:strCache>
            </c:strRef>
          </c:tx>
          <c:invertIfNegative val="0"/>
          <c:cat>
            <c:strRef>
              <c:f>'The View'!$AE$20:$AI$20</c:f>
              <c:strCache>
                <c:ptCount val="5"/>
                <c:pt idx="0">
                  <c:v>GAIN Vuln</c:v>
                </c:pt>
                <c:pt idx="1">
                  <c:v>Water</c:v>
                </c:pt>
                <c:pt idx="2">
                  <c:v>Food</c:v>
                </c:pt>
                <c:pt idx="3">
                  <c:v>Health</c:v>
                </c:pt>
                <c:pt idx="4">
                  <c:v>Infra-str</c:v>
                </c:pt>
              </c:strCache>
            </c:strRef>
          </c:cat>
          <c:val>
            <c:numRef>
              <c:f>'The View'!$AE$23:$AI$23</c:f>
              <c:numCache>
                <c:formatCode>0.00</c:formatCode>
                <c:ptCount val="5"/>
                <c:pt idx="0">
                  <c:v>0.299486129918453</c:v>
                </c:pt>
                <c:pt idx="1">
                  <c:v>0.301729166666667</c:v>
                </c:pt>
                <c:pt idx="2">
                  <c:v>0.477930861289089</c:v>
                </c:pt>
                <c:pt idx="3">
                  <c:v>0.182059033596501</c:v>
                </c:pt>
                <c:pt idx="4">
                  <c:v>0.236225458121556</c:v>
                </c:pt>
              </c:numCache>
            </c:numRef>
          </c:val>
        </c:ser>
        <c:ser>
          <c:idx val="3"/>
          <c:order val="3"/>
          <c:tx>
            <c:strRef>
              <c:f>'The View'!$AD$24</c:f>
              <c:strCache>
                <c:ptCount val="1"/>
                <c:pt idx="0">
                  <c:v>South Africa</c:v>
                </c:pt>
              </c:strCache>
            </c:strRef>
          </c:tx>
          <c:invertIfNegative val="0"/>
          <c:cat>
            <c:strRef>
              <c:f>'The View'!$AE$20:$AI$20</c:f>
              <c:strCache>
                <c:ptCount val="5"/>
                <c:pt idx="0">
                  <c:v>GAIN Vuln</c:v>
                </c:pt>
                <c:pt idx="1">
                  <c:v>Water</c:v>
                </c:pt>
                <c:pt idx="2">
                  <c:v>Food</c:v>
                </c:pt>
                <c:pt idx="3">
                  <c:v>Health</c:v>
                </c:pt>
                <c:pt idx="4">
                  <c:v>Infra-str</c:v>
                </c:pt>
              </c:strCache>
            </c:strRef>
          </c:cat>
          <c:val>
            <c:numRef>
              <c:f>'The View'!$AE$24:$AI$24</c:f>
              <c:numCache>
                <c:formatCode>0.00</c:formatCode>
                <c:ptCount val="5"/>
                <c:pt idx="0">
                  <c:v>0.360426947997717</c:v>
                </c:pt>
                <c:pt idx="1">
                  <c:v>0.274352314814815</c:v>
                </c:pt>
                <c:pt idx="2">
                  <c:v>0.485114230413581</c:v>
                </c:pt>
                <c:pt idx="3">
                  <c:v>0.497573129151941</c:v>
                </c:pt>
                <c:pt idx="4">
                  <c:v>0.184668117610532</c:v>
                </c:pt>
              </c:numCache>
            </c:numRef>
          </c:val>
        </c:ser>
        <c:ser>
          <c:idx val="4"/>
          <c:order val="4"/>
          <c:tx>
            <c:strRef>
              <c:f>'The View'!$AD$25</c:f>
              <c:strCache>
                <c:ptCount val="1"/>
                <c:pt idx="0">
                  <c:v>Denmark</c:v>
                </c:pt>
              </c:strCache>
            </c:strRef>
          </c:tx>
          <c:invertIfNegative val="0"/>
          <c:cat>
            <c:strRef>
              <c:f>'The View'!$AE$20:$AI$20</c:f>
              <c:strCache>
                <c:ptCount val="5"/>
                <c:pt idx="0">
                  <c:v>GAIN Vuln</c:v>
                </c:pt>
                <c:pt idx="1">
                  <c:v>Water</c:v>
                </c:pt>
                <c:pt idx="2">
                  <c:v>Food</c:v>
                </c:pt>
                <c:pt idx="3">
                  <c:v>Health</c:v>
                </c:pt>
                <c:pt idx="4">
                  <c:v>Infra-str</c:v>
                </c:pt>
              </c:strCache>
            </c:strRef>
          </c:cat>
          <c:val>
            <c:numRef>
              <c:f>'The View'!$AE$25:$AI$25</c:f>
              <c:numCache>
                <c:formatCode>0.00</c:formatCode>
                <c:ptCount val="5"/>
                <c:pt idx="0">
                  <c:v>0.102168811380657</c:v>
                </c:pt>
                <c:pt idx="1">
                  <c:v>0.156426851851852</c:v>
                </c:pt>
                <c:pt idx="2">
                  <c:v>0.122169703370328</c:v>
                </c:pt>
                <c:pt idx="3">
                  <c:v>0.0508337916556031</c:v>
                </c:pt>
                <c:pt idx="4">
                  <c:v>0.0792448986448436</c:v>
                </c:pt>
              </c:numCache>
            </c:numRef>
          </c:val>
        </c:ser>
        <c:ser>
          <c:idx val="5"/>
          <c:order val="5"/>
          <c:tx>
            <c:strRef>
              <c:f>'The View'!$AD$26</c:f>
              <c:strCache>
                <c:ptCount val="1"/>
                <c:pt idx="0">
                  <c:v>LDCs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cat>
            <c:strRef>
              <c:f>'The View'!$AE$20:$AI$20</c:f>
              <c:strCache>
                <c:ptCount val="5"/>
                <c:pt idx="0">
                  <c:v>GAIN Vuln</c:v>
                </c:pt>
                <c:pt idx="1">
                  <c:v>Water</c:v>
                </c:pt>
                <c:pt idx="2">
                  <c:v>Food</c:v>
                </c:pt>
                <c:pt idx="3">
                  <c:v>Health</c:v>
                </c:pt>
                <c:pt idx="4">
                  <c:v>Infra-str</c:v>
                </c:pt>
              </c:strCache>
            </c:strRef>
          </c:cat>
          <c:val>
            <c:numRef>
              <c:f>'The View'!$AE$26:$AI$26</c:f>
              <c:numCache>
                <c:formatCode>0.00</c:formatCode>
                <c:ptCount val="5"/>
                <c:pt idx="0">
                  <c:v>0.326257451367206</c:v>
                </c:pt>
                <c:pt idx="1">
                  <c:v>0.277079023230521</c:v>
                </c:pt>
                <c:pt idx="2">
                  <c:v>0.431547165821504</c:v>
                </c:pt>
                <c:pt idx="3">
                  <c:v>0.341559665584782</c:v>
                </c:pt>
                <c:pt idx="4">
                  <c:v>0.254843950832015</c:v>
                </c:pt>
              </c:numCache>
            </c:numRef>
          </c:val>
        </c:ser>
        <c:ser>
          <c:idx val="6"/>
          <c:order val="6"/>
          <c:tx>
            <c:strRef>
              <c:f>'The View'!$AD$27</c:f>
              <c:strCache>
                <c:ptCount val="1"/>
                <c:pt idx="0">
                  <c:v>GLOBAL 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</c:spPr>
          <c:invertIfNegative val="0"/>
          <c:cat>
            <c:strRef>
              <c:f>'The View'!$AE$20:$AI$20</c:f>
              <c:strCache>
                <c:ptCount val="5"/>
                <c:pt idx="0">
                  <c:v>GAIN Vuln</c:v>
                </c:pt>
                <c:pt idx="1">
                  <c:v>Water</c:v>
                </c:pt>
                <c:pt idx="2">
                  <c:v>Food</c:v>
                </c:pt>
                <c:pt idx="3">
                  <c:v>Health</c:v>
                </c:pt>
                <c:pt idx="4">
                  <c:v>Infra-str</c:v>
                </c:pt>
              </c:strCache>
            </c:strRef>
          </c:cat>
          <c:val>
            <c:numRef>
              <c:f>'The View'!$AE$27:$AI$27</c:f>
              <c:numCache>
                <c:formatCode>0.00</c:formatCode>
                <c:ptCount val="5"/>
                <c:pt idx="0">
                  <c:v>0.282673443774381</c:v>
                </c:pt>
                <c:pt idx="1">
                  <c:v>0.337433858183376</c:v>
                </c:pt>
                <c:pt idx="2">
                  <c:v>0.430099019206825</c:v>
                </c:pt>
                <c:pt idx="3">
                  <c:v>0.308074189154837</c:v>
                </c:pt>
                <c:pt idx="4">
                  <c:v>0.0550867085524832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1549432"/>
        <c:axId val="621334504"/>
      </c:barChart>
      <c:catAx>
        <c:axId val="621549432"/>
        <c:scaling>
          <c:orientation val="maxMin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621334504"/>
        <c:crosses val="autoZero"/>
        <c:auto val="1"/>
        <c:lblAlgn val="ctr"/>
        <c:lblOffset val="100"/>
        <c:noMultiLvlLbl val="0"/>
      </c:catAx>
      <c:valAx>
        <c:axId val="621334504"/>
        <c:scaling>
          <c:orientation val="minMax"/>
        </c:scaling>
        <c:delete val="0"/>
        <c:axPos val="t"/>
        <c:majorGridlines/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62154943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6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25400">
      <a:solidFill>
        <a:schemeClr val="accent1">
          <a:lumMod val="75000"/>
        </a:schemeClr>
      </a:solidFill>
    </a:ln>
    <a:effectLst>
      <a:outerShdw blurRad="50800" dist="38100" dir="2700000" sx="102000" sy="102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GAIN Components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'The View'!$X$21</c:f>
              <c:strCache>
                <c:ptCount val="1"/>
                <c:pt idx="0">
                  <c:v>Cambodia</c:v>
                </c:pt>
              </c:strCache>
            </c:strRef>
          </c:tx>
          <c:spPr>
            <a:solidFill>
              <a:srgbClr val="D30000"/>
            </a:solidFill>
          </c:spPr>
          <c:invertIfNegative val="0"/>
          <c:cat>
            <c:strRef>
              <c:f>'The View'!$Y$20:$AB$20</c:f>
              <c:strCache>
                <c:ptCount val="4"/>
                <c:pt idx="0">
                  <c:v>GAIN Vuln</c:v>
                </c:pt>
                <c:pt idx="1">
                  <c:v>Exposure</c:v>
                </c:pt>
                <c:pt idx="2">
                  <c:v>Sensitivity</c:v>
                </c:pt>
                <c:pt idx="3">
                  <c:v>Low Capacity</c:v>
                </c:pt>
              </c:strCache>
            </c:strRef>
          </c:cat>
          <c:val>
            <c:numRef>
              <c:f>'The View'!$Y$21:$AB$21</c:f>
              <c:numCache>
                <c:formatCode>0.00</c:formatCode>
                <c:ptCount val="4"/>
                <c:pt idx="0">
                  <c:v>0.470882794326246</c:v>
                </c:pt>
                <c:pt idx="1">
                  <c:v>0.428931423103045</c:v>
                </c:pt>
                <c:pt idx="2">
                  <c:v>0.413001508956448</c:v>
                </c:pt>
                <c:pt idx="3">
                  <c:v>0.570715450919245</c:v>
                </c:pt>
              </c:numCache>
            </c:numRef>
          </c:val>
        </c:ser>
        <c:ser>
          <c:idx val="1"/>
          <c:order val="1"/>
          <c:tx>
            <c:strRef>
              <c:f>'The View'!$X$22</c:f>
              <c:strCache>
                <c:ptCount val="1"/>
                <c:pt idx="0">
                  <c:v>Bangladesh</c:v>
                </c:pt>
              </c:strCache>
            </c:strRef>
          </c:tx>
          <c:invertIfNegative val="0"/>
          <c:cat>
            <c:strRef>
              <c:f>'The View'!$Y$20:$AB$20</c:f>
              <c:strCache>
                <c:ptCount val="4"/>
                <c:pt idx="0">
                  <c:v>GAIN Vuln</c:v>
                </c:pt>
                <c:pt idx="1">
                  <c:v>Exposure</c:v>
                </c:pt>
                <c:pt idx="2">
                  <c:v>Sensitivity</c:v>
                </c:pt>
                <c:pt idx="3">
                  <c:v>Low Capacity</c:v>
                </c:pt>
              </c:strCache>
            </c:strRef>
          </c:cat>
          <c:val>
            <c:numRef>
              <c:f>'The View'!$Y$22:$AB$22</c:f>
              <c:numCache>
                <c:formatCode>0.00</c:formatCode>
                <c:ptCount val="4"/>
                <c:pt idx="0">
                  <c:v>0.460434092206932</c:v>
                </c:pt>
                <c:pt idx="1">
                  <c:v>0.490277484711845</c:v>
                </c:pt>
                <c:pt idx="2">
                  <c:v>0.410592768217511</c:v>
                </c:pt>
                <c:pt idx="3">
                  <c:v>0.480432023691441</c:v>
                </c:pt>
              </c:numCache>
            </c:numRef>
          </c:val>
        </c:ser>
        <c:ser>
          <c:idx val="2"/>
          <c:order val="2"/>
          <c:tx>
            <c:strRef>
              <c:f>'The View'!$X$23</c:f>
              <c:strCache>
                <c:ptCount val="1"/>
                <c:pt idx="0">
                  <c:v>Bahrain</c:v>
                </c:pt>
              </c:strCache>
            </c:strRef>
          </c:tx>
          <c:invertIfNegative val="0"/>
          <c:cat>
            <c:strRef>
              <c:f>'The View'!$Y$20:$AB$20</c:f>
              <c:strCache>
                <c:ptCount val="4"/>
                <c:pt idx="0">
                  <c:v>GAIN Vuln</c:v>
                </c:pt>
                <c:pt idx="1">
                  <c:v>Exposure</c:v>
                </c:pt>
                <c:pt idx="2">
                  <c:v>Sensitivity</c:v>
                </c:pt>
                <c:pt idx="3">
                  <c:v>Low Capacity</c:v>
                </c:pt>
              </c:strCache>
            </c:strRef>
          </c:cat>
          <c:val>
            <c:numRef>
              <c:f>'The View'!$Y$23:$AB$23</c:f>
              <c:numCache>
                <c:formatCode>0.00</c:formatCode>
                <c:ptCount val="4"/>
                <c:pt idx="0">
                  <c:v>0.290473539976911</c:v>
                </c:pt>
                <c:pt idx="1">
                  <c:v>0.239973049627344</c:v>
                </c:pt>
                <c:pt idx="2">
                  <c:v>0.413074749858815</c:v>
                </c:pt>
                <c:pt idx="3">
                  <c:v>0.218372820444574</c:v>
                </c:pt>
              </c:numCache>
            </c:numRef>
          </c:val>
        </c:ser>
        <c:ser>
          <c:idx val="3"/>
          <c:order val="3"/>
          <c:tx>
            <c:strRef>
              <c:f>'The View'!$X$24</c:f>
              <c:strCache>
                <c:ptCount val="1"/>
                <c:pt idx="0">
                  <c:v>South Africa</c:v>
                </c:pt>
              </c:strCache>
            </c:strRef>
          </c:tx>
          <c:invertIfNegative val="0"/>
          <c:cat>
            <c:strRef>
              <c:f>'The View'!$Y$20:$AB$20</c:f>
              <c:strCache>
                <c:ptCount val="4"/>
                <c:pt idx="0">
                  <c:v>GAIN Vuln</c:v>
                </c:pt>
                <c:pt idx="1">
                  <c:v>Exposure</c:v>
                </c:pt>
                <c:pt idx="2">
                  <c:v>Sensitivity</c:v>
                </c:pt>
                <c:pt idx="3">
                  <c:v>Low Capacity</c:v>
                </c:pt>
              </c:strCache>
            </c:strRef>
          </c:cat>
          <c:val>
            <c:numRef>
              <c:f>'The View'!$Y$24:$AB$24</c:f>
              <c:numCache>
                <c:formatCode>0.00</c:formatCode>
                <c:ptCount val="4"/>
                <c:pt idx="0">
                  <c:v>0.364283134097403</c:v>
                </c:pt>
                <c:pt idx="1">
                  <c:v>0.424663937532625</c:v>
                </c:pt>
                <c:pt idx="2">
                  <c:v>0.273052841864696</c:v>
                </c:pt>
                <c:pt idx="3">
                  <c:v>0.395132622894887</c:v>
                </c:pt>
              </c:numCache>
            </c:numRef>
          </c:val>
        </c:ser>
        <c:ser>
          <c:idx val="4"/>
          <c:order val="4"/>
          <c:tx>
            <c:strRef>
              <c:f>'The View'!$X$25</c:f>
              <c:strCache>
                <c:ptCount val="1"/>
                <c:pt idx="0">
                  <c:v>Denmark</c:v>
                </c:pt>
              </c:strCache>
            </c:strRef>
          </c:tx>
          <c:invertIfNegative val="0"/>
          <c:cat>
            <c:strRef>
              <c:f>'The View'!$Y$20:$AB$20</c:f>
              <c:strCache>
                <c:ptCount val="4"/>
                <c:pt idx="0">
                  <c:v>GAIN Vuln</c:v>
                </c:pt>
                <c:pt idx="1">
                  <c:v>Exposure</c:v>
                </c:pt>
                <c:pt idx="2">
                  <c:v>Sensitivity</c:v>
                </c:pt>
                <c:pt idx="3">
                  <c:v>Low Capacity</c:v>
                </c:pt>
              </c:strCache>
            </c:strRef>
          </c:cat>
          <c:val>
            <c:numRef>
              <c:f>'The View'!$Y$25:$AB$25</c:f>
              <c:numCache>
                <c:formatCode>0.00</c:formatCode>
                <c:ptCount val="4"/>
                <c:pt idx="0">
                  <c:v>0.0985296193741692</c:v>
                </c:pt>
                <c:pt idx="1">
                  <c:v>0.154092988385493</c:v>
                </c:pt>
                <c:pt idx="2">
                  <c:v>0.0720797864147443</c:v>
                </c:pt>
                <c:pt idx="3">
                  <c:v>0.0694160833222698</c:v>
                </c:pt>
              </c:numCache>
            </c:numRef>
          </c:val>
        </c:ser>
        <c:ser>
          <c:idx val="5"/>
          <c:order val="5"/>
          <c:tx>
            <c:strRef>
              <c:f>'The View'!$X$26</c:f>
              <c:strCache>
                <c:ptCount val="1"/>
                <c:pt idx="0">
                  <c:v>LDCs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cat>
            <c:strRef>
              <c:f>'The View'!$Y$20:$AB$20</c:f>
              <c:strCache>
                <c:ptCount val="4"/>
                <c:pt idx="0">
                  <c:v>GAIN Vuln</c:v>
                </c:pt>
                <c:pt idx="1">
                  <c:v>Exposure</c:v>
                </c:pt>
                <c:pt idx="2">
                  <c:v>Sensitivity</c:v>
                </c:pt>
                <c:pt idx="3">
                  <c:v>Low Capacity</c:v>
                </c:pt>
              </c:strCache>
            </c:strRef>
          </c:cat>
          <c:val>
            <c:numRef>
              <c:f>'The View'!$Y$26:$AB$26</c:f>
              <c:numCache>
                <c:formatCode>0.00</c:formatCode>
                <c:ptCount val="4"/>
                <c:pt idx="0">
                  <c:v>0.325921034447442</c:v>
                </c:pt>
                <c:pt idx="1">
                  <c:v>0.316783005085542</c:v>
                </c:pt>
                <c:pt idx="2">
                  <c:v>0.344454168437673</c:v>
                </c:pt>
                <c:pt idx="3">
                  <c:v>0.316525929819113</c:v>
                </c:pt>
              </c:numCache>
            </c:numRef>
          </c:val>
        </c:ser>
        <c:ser>
          <c:idx val="6"/>
          <c:order val="6"/>
          <c:tx>
            <c:strRef>
              <c:f>'The View'!$X$27</c:f>
              <c:strCache>
                <c:ptCount val="1"/>
                <c:pt idx="0">
                  <c:v>GLOBAL 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</c:spPr>
          <c:invertIfNegative val="0"/>
          <c:cat>
            <c:strRef>
              <c:f>'The View'!$Y$20:$AB$20</c:f>
              <c:strCache>
                <c:ptCount val="4"/>
                <c:pt idx="0">
                  <c:v>GAIN Vuln</c:v>
                </c:pt>
                <c:pt idx="1">
                  <c:v>Exposure</c:v>
                </c:pt>
                <c:pt idx="2">
                  <c:v>Sensitivity</c:v>
                </c:pt>
                <c:pt idx="3">
                  <c:v>Low Capacity</c:v>
                </c:pt>
              </c:strCache>
            </c:strRef>
          </c:cat>
          <c:val>
            <c:numRef>
              <c:f>'The View'!$Y$27:$AB$27</c:f>
              <c:numCache>
                <c:formatCode>0.00</c:formatCode>
                <c:ptCount val="4"/>
                <c:pt idx="0">
                  <c:v>0.27638920182136</c:v>
                </c:pt>
                <c:pt idx="1">
                  <c:v>0.30209460081823</c:v>
                </c:pt>
                <c:pt idx="2">
                  <c:v>0.300957738448653</c:v>
                </c:pt>
                <c:pt idx="3">
                  <c:v>0.226115266197197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733032"/>
        <c:axId val="679734440"/>
      </c:barChart>
      <c:catAx>
        <c:axId val="679733032"/>
        <c:scaling>
          <c:orientation val="maxMin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679734440"/>
        <c:crosses val="autoZero"/>
        <c:auto val="1"/>
        <c:lblAlgn val="ctr"/>
        <c:lblOffset val="100"/>
        <c:noMultiLvlLbl val="0"/>
      </c:catAx>
      <c:valAx>
        <c:axId val="679734440"/>
        <c:scaling>
          <c:orientation val="minMax"/>
        </c:scaling>
        <c:delete val="0"/>
        <c:axPos val="t"/>
        <c:majorGridlines/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67973303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6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25400">
      <a:solidFill>
        <a:schemeClr val="accent1">
          <a:lumMod val="75000"/>
        </a:schemeClr>
      </a:solidFill>
    </a:ln>
    <a:effectLst>
      <a:outerShdw blurRad="50800" dist="38100" dir="2700000" sx="102000" sy="102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By Sector</c:v>
          </c:tx>
          <c:cat>
            <c:strRef>
              <c:f>'The View'!$AF$20:$AI$20</c:f>
              <c:strCache>
                <c:ptCount val="4"/>
                <c:pt idx="0">
                  <c:v>Water</c:v>
                </c:pt>
                <c:pt idx="1">
                  <c:v>Food</c:v>
                </c:pt>
                <c:pt idx="2">
                  <c:v>Health</c:v>
                </c:pt>
                <c:pt idx="3">
                  <c:v>Infra-str</c:v>
                </c:pt>
              </c:strCache>
            </c:strRef>
          </c:cat>
          <c:val>
            <c:numRef>
              <c:f>'The View'!$AF$21:$AI$21</c:f>
              <c:numCache>
                <c:formatCode>0.00</c:formatCode>
                <c:ptCount val="4"/>
                <c:pt idx="0">
                  <c:v>0.392646489708044</c:v>
                </c:pt>
                <c:pt idx="1">
                  <c:v>0.507152797706312</c:v>
                </c:pt>
                <c:pt idx="2">
                  <c:v>0.536265045178307</c:v>
                </c:pt>
                <c:pt idx="3">
                  <c:v>0.39755051641582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 sz="14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By Component</c:v>
          </c:tx>
          <c:cat>
            <c:strRef>
              <c:f>'The View'!$Z$20:$AB$20</c:f>
              <c:strCache>
                <c:ptCount val="3"/>
                <c:pt idx="0">
                  <c:v>Exposure</c:v>
                </c:pt>
                <c:pt idx="1">
                  <c:v>Sensitivity</c:v>
                </c:pt>
                <c:pt idx="2">
                  <c:v>Low Capacity</c:v>
                </c:pt>
              </c:strCache>
            </c:strRef>
          </c:cat>
          <c:val>
            <c:numRef>
              <c:f>'The View'!$Z$21:$AB$21</c:f>
              <c:numCache>
                <c:formatCode>0.00</c:formatCode>
                <c:ptCount val="3"/>
                <c:pt idx="0">
                  <c:v>0.428931423103045</c:v>
                </c:pt>
                <c:pt idx="1">
                  <c:v>0.413001508956448</c:v>
                </c:pt>
                <c:pt idx="2">
                  <c:v>0.570715450919245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 sz="14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xVal>
            <c:numRef>
              <c:f>Shout!$CA$3:$CA$177</c:f>
              <c:numCache>
                <c:formatCode>General</c:formatCode>
                <c:ptCount val="175"/>
                <c:pt idx="0">
                  <c:v>0.936666666666667</c:v>
                </c:pt>
                <c:pt idx="1">
                  <c:v>0.0333333333333333</c:v>
                </c:pt>
                <c:pt idx="2">
                  <c:v>0.0673333333333333</c:v>
                </c:pt>
                <c:pt idx="3">
                  <c:v>0.0</c:v>
                </c:pt>
                <c:pt idx="4">
                  <c:v>0.844</c:v>
                </c:pt>
                <c:pt idx="5">
                  <c:v>0.0</c:v>
                </c:pt>
                <c:pt idx="6">
                  <c:v>0.002</c:v>
                </c:pt>
                <c:pt idx="7">
                  <c:v>0.0433333333333333</c:v>
                </c:pt>
                <c:pt idx="8">
                  <c:v>0.0</c:v>
                </c:pt>
                <c:pt idx="9">
                  <c:v>0.0</c:v>
                </c:pt>
                <c:pt idx="10">
                  <c:v>0.179333333333333</c:v>
                </c:pt>
                <c:pt idx="11">
                  <c:v>0.00133333333333333</c:v>
                </c:pt>
                <c:pt idx="12">
                  <c:v>0.0</c:v>
                </c:pt>
                <c:pt idx="13">
                  <c:v>0.222666666666667</c:v>
                </c:pt>
                <c:pt idx="14">
                  <c:v>0.0</c:v>
                </c:pt>
                <c:pt idx="15">
                  <c:v>0.000666666666666666</c:v>
                </c:pt>
                <c:pt idx="16">
                  <c:v>0.0</c:v>
                </c:pt>
                <c:pt idx="17">
                  <c:v>0.0173333333333333</c:v>
                </c:pt>
                <c:pt idx="18">
                  <c:v>0.345333333333333</c:v>
                </c:pt>
                <c:pt idx="19">
                  <c:v>0.216</c:v>
                </c:pt>
                <c:pt idx="20">
                  <c:v>0.163333333333333</c:v>
                </c:pt>
                <c:pt idx="21">
                  <c:v>0.00133333333333333</c:v>
                </c:pt>
                <c:pt idx="22">
                  <c:v>0.227333333333333</c:v>
                </c:pt>
                <c:pt idx="23">
                  <c:v>0.082</c:v>
                </c:pt>
                <c:pt idx="24">
                  <c:v>0.0</c:v>
                </c:pt>
                <c:pt idx="25">
                  <c:v>0.00133333333333333</c:v>
                </c:pt>
                <c:pt idx="26">
                  <c:v>0.524</c:v>
                </c:pt>
                <c:pt idx="27">
                  <c:v>0.725333333333333</c:v>
                </c:pt>
                <c:pt idx="28">
                  <c:v>0.397333333333333</c:v>
                </c:pt>
                <c:pt idx="29">
                  <c:v>0.331333333333333</c:v>
                </c:pt>
                <c:pt idx="30">
                  <c:v>0.0</c:v>
                </c:pt>
                <c:pt idx="31">
                  <c:v>0.062</c:v>
                </c:pt>
                <c:pt idx="32">
                  <c:v>0.340666666666667</c:v>
                </c:pt>
                <c:pt idx="33">
                  <c:v>0.412</c:v>
                </c:pt>
                <c:pt idx="34">
                  <c:v>0.000666666666666666</c:v>
                </c:pt>
                <c:pt idx="35">
                  <c:v>0.0373333333333333</c:v>
                </c:pt>
                <c:pt idx="36">
                  <c:v>0.022</c:v>
                </c:pt>
                <c:pt idx="37">
                  <c:v>0.118</c:v>
                </c:pt>
                <c:pt idx="38">
                  <c:v>0.146666666666667</c:v>
                </c:pt>
                <c:pt idx="39">
                  <c:v>0.524</c:v>
                </c:pt>
                <c:pt idx="40">
                  <c:v>0.00266666666666667</c:v>
                </c:pt>
                <c:pt idx="41">
                  <c:v>0.374</c:v>
                </c:pt>
                <c:pt idx="42">
                  <c:v>0.0</c:v>
                </c:pt>
                <c:pt idx="43">
                  <c:v>0.000666666666666666</c:v>
                </c:pt>
                <c:pt idx="44">
                  <c:v>0.00933333333333333</c:v>
                </c:pt>
                <c:pt idx="45">
                  <c:v>0.000666666666666666</c:v>
                </c:pt>
                <c:pt idx="46">
                  <c:v>0.000666666666666666</c:v>
                </c:pt>
                <c:pt idx="47">
                  <c:v>0.302666666666667</c:v>
                </c:pt>
                <c:pt idx="48">
                  <c:v>0.0</c:v>
                </c:pt>
                <c:pt idx="49">
                  <c:v>0.0486666666666667</c:v>
                </c:pt>
                <c:pt idx="50">
                  <c:v>0.042</c:v>
                </c:pt>
                <c:pt idx="51">
                  <c:v>0.0573333333333333</c:v>
                </c:pt>
                <c:pt idx="52">
                  <c:v>0.0546666666666667</c:v>
                </c:pt>
                <c:pt idx="53">
                  <c:v>0.337333333333333</c:v>
                </c:pt>
                <c:pt idx="54">
                  <c:v>0.252666666666667</c:v>
                </c:pt>
                <c:pt idx="55">
                  <c:v>0.0</c:v>
                </c:pt>
                <c:pt idx="56">
                  <c:v>0.47</c:v>
                </c:pt>
                <c:pt idx="57">
                  <c:v>0.00733333333333333</c:v>
                </c:pt>
                <c:pt idx="58">
                  <c:v>0.0</c:v>
                </c:pt>
                <c:pt idx="59">
                  <c:v>0.0</c:v>
                </c:pt>
                <c:pt idx="60">
                  <c:v>0.068</c:v>
                </c:pt>
                <c:pt idx="61">
                  <c:v>0.190666666666667</c:v>
                </c:pt>
                <c:pt idx="62">
                  <c:v>0.112666666666667</c:v>
                </c:pt>
                <c:pt idx="63">
                  <c:v>0.0</c:v>
                </c:pt>
                <c:pt idx="64">
                  <c:v>0.150666666666667</c:v>
                </c:pt>
                <c:pt idx="65">
                  <c:v>0.0</c:v>
                </c:pt>
                <c:pt idx="66">
                  <c:v>0.00333333333333333</c:v>
                </c:pt>
                <c:pt idx="67">
                  <c:v>0.084</c:v>
                </c:pt>
                <c:pt idx="68">
                  <c:v>0.32</c:v>
                </c:pt>
                <c:pt idx="69">
                  <c:v>0.582</c:v>
                </c:pt>
                <c:pt idx="70">
                  <c:v>0.088</c:v>
                </c:pt>
                <c:pt idx="71">
                  <c:v>0.285333333333333</c:v>
                </c:pt>
                <c:pt idx="72">
                  <c:v>0.0706666666666667</c:v>
                </c:pt>
                <c:pt idx="73">
                  <c:v>0.0</c:v>
                </c:pt>
                <c:pt idx="74">
                  <c:v>0.0</c:v>
                </c:pt>
                <c:pt idx="75">
                  <c:v>0.210666666666667</c:v>
                </c:pt>
                <c:pt idx="76">
                  <c:v>0.0866666666666667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0.0313333333333333</c:v>
                </c:pt>
                <c:pt idx="81">
                  <c:v>0.0</c:v>
                </c:pt>
                <c:pt idx="82">
                  <c:v>0.0393333333333333</c:v>
                </c:pt>
                <c:pt idx="83">
                  <c:v>0.166</c:v>
                </c:pt>
                <c:pt idx="84">
                  <c:v>0.241333333333333</c:v>
                </c:pt>
                <c:pt idx="85">
                  <c:v>0.0</c:v>
                </c:pt>
                <c:pt idx="86">
                  <c:v>0.0</c:v>
                </c:pt>
                <c:pt idx="87">
                  <c:v>0.162666666666667</c:v>
                </c:pt>
                <c:pt idx="88">
                  <c:v>0.161333333333333</c:v>
                </c:pt>
                <c:pt idx="89">
                  <c:v>0.0</c:v>
                </c:pt>
                <c:pt idx="90">
                  <c:v>0.0266666666666667</c:v>
                </c:pt>
                <c:pt idx="91">
                  <c:v>0.0293333333333333</c:v>
                </c:pt>
                <c:pt idx="92">
                  <c:v>0.59</c:v>
                </c:pt>
                <c:pt idx="93">
                  <c:v>0.0</c:v>
                </c:pt>
                <c:pt idx="94">
                  <c:v>0.0</c:v>
                </c:pt>
                <c:pt idx="95">
                  <c:v>0.00133333333333333</c:v>
                </c:pt>
                <c:pt idx="96">
                  <c:v>0.36</c:v>
                </c:pt>
                <c:pt idx="97">
                  <c:v>0.411333333333333</c:v>
                </c:pt>
                <c:pt idx="98">
                  <c:v>0.022</c:v>
                </c:pt>
                <c:pt idx="99">
                  <c:v>0.111333333333333</c:v>
                </c:pt>
                <c:pt idx="100">
                  <c:v>0.586666666666667</c:v>
                </c:pt>
                <c:pt idx="101">
                  <c:v>0.0</c:v>
                </c:pt>
                <c:pt idx="102">
                  <c:v>0.26</c:v>
                </c:pt>
                <c:pt idx="103">
                  <c:v>0.00466666666666667</c:v>
                </c:pt>
                <c:pt idx="104">
                  <c:v>0.0153333333333333</c:v>
                </c:pt>
                <c:pt idx="105">
                  <c:v>0.01</c:v>
                </c:pt>
                <c:pt idx="106">
                  <c:v>0.13</c:v>
                </c:pt>
                <c:pt idx="107">
                  <c:v>0.0</c:v>
                </c:pt>
                <c:pt idx="108">
                  <c:v>0.076</c:v>
                </c:pt>
                <c:pt idx="109">
                  <c:v>0.258666666666667</c:v>
                </c:pt>
                <c:pt idx="110">
                  <c:v>0.252</c:v>
                </c:pt>
                <c:pt idx="111">
                  <c:v>0.014</c:v>
                </c:pt>
                <c:pt idx="112">
                  <c:v>0.224666666666667</c:v>
                </c:pt>
                <c:pt idx="113">
                  <c:v>0.0</c:v>
                </c:pt>
                <c:pt idx="114">
                  <c:v>0.0</c:v>
                </c:pt>
                <c:pt idx="115">
                  <c:v>0.068</c:v>
                </c:pt>
                <c:pt idx="116">
                  <c:v>0.819333333333333</c:v>
                </c:pt>
                <c:pt idx="117">
                  <c:v>0.373333333333333</c:v>
                </c:pt>
                <c:pt idx="118">
                  <c:v>0.0</c:v>
                </c:pt>
                <c:pt idx="119">
                  <c:v>0.0</c:v>
                </c:pt>
                <c:pt idx="120">
                  <c:v>0.136666666666667</c:v>
                </c:pt>
                <c:pt idx="121">
                  <c:v>0.0366666666666667</c:v>
                </c:pt>
                <c:pt idx="122">
                  <c:v>0.192</c:v>
                </c:pt>
                <c:pt idx="123">
                  <c:v>0.0373333333333333</c:v>
                </c:pt>
                <c:pt idx="124">
                  <c:v>0.046</c:v>
                </c:pt>
                <c:pt idx="125">
                  <c:v>0.064</c:v>
                </c:pt>
                <c:pt idx="126">
                  <c:v>0.0</c:v>
                </c:pt>
                <c:pt idx="127">
                  <c:v>0.0</c:v>
                </c:pt>
                <c:pt idx="128">
                  <c:v>0.004</c:v>
                </c:pt>
                <c:pt idx="129">
                  <c:v>0.00333333333333333</c:v>
                </c:pt>
                <c:pt idx="130">
                  <c:v>0.646666666666667</c:v>
                </c:pt>
                <c:pt idx="131">
                  <c:v>0.0186666666666667</c:v>
                </c:pt>
                <c:pt idx="132">
                  <c:v>0.00133333333333333</c:v>
                </c:pt>
                <c:pt idx="133">
                  <c:v>0.0</c:v>
                </c:pt>
                <c:pt idx="134">
                  <c:v>0.042</c:v>
                </c:pt>
                <c:pt idx="135">
                  <c:v>0.285333333333333</c:v>
                </c:pt>
                <c:pt idx="136">
                  <c:v>0.0</c:v>
                </c:pt>
                <c:pt idx="137">
                  <c:v>0.353333333333333</c:v>
                </c:pt>
                <c:pt idx="138">
                  <c:v>0.0</c:v>
                </c:pt>
                <c:pt idx="139">
                  <c:v>0.982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0.056</c:v>
                </c:pt>
                <c:pt idx="144">
                  <c:v>0.0693333333333333</c:v>
                </c:pt>
                <c:pt idx="145">
                  <c:v>0.0</c:v>
                </c:pt>
                <c:pt idx="146">
                  <c:v>0.028</c:v>
                </c:pt>
                <c:pt idx="147">
                  <c:v>0.17</c:v>
                </c:pt>
                <c:pt idx="148">
                  <c:v>0.0286666666666667</c:v>
                </c:pt>
                <c:pt idx="149">
                  <c:v>0.168</c:v>
                </c:pt>
                <c:pt idx="150">
                  <c:v>0.0</c:v>
                </c:pt>
                <c:pt idx="151">
                  <c:v>0.0</c:v>
                </c:pt>
                <c:pt idx="152">
                  <c:v>0.036</c:v>
                </c:pt>
                <c:pt idx="153">
                  <c:v>0.367333333333333</c:v>
                </c:pt>
                <c:pt idx="154">
                  <c:v>0.214666666666667</c:v>
                </c:pt>
                <c:pt idx="155">
                  <c:v>0.0393333333333333</c:v>
                </c:pt>
                <c:pt idx="156">
                  <c:v>0.0993333333333333</c:v>
                </c:pt>
                <c:pt idx="157">
                  <c:v>0.279333333333333</c:v>
                </c:pt>
                <c:pt idx="158">
                  <c:v>0.0366666666666667</c:v>
                </c:pt>
                <c:pt idx="159">
                  <c:v>0.00333333333333333</c:v>
                </c:pt>
                <c:pt idx="160">
                  <c:v>0.0426666666666667</c:v>
                </c:pt>
                <c:pt idx="161">
                  <c:v>0.0566666666666667</c:v>
                </c:pt>
                <c:pt idx="162">
                  <c:v>0.299333333333333</c:v>
                </c:pt>
                <c:pt idx="163">
                  <c:v>0.284666666666667</c:v>
                </c:pt>
                <c:pt idx="164">
                  <c:v>0.002</c:v>
                </c:pt>
                <c:pt idx="165">
                  <c:v>0.00666666666666667</c:v>
                </c:pt>
                <c:pt idx="166">
                  <c:v>0.0</c:v>
                </c:pt>
                <c:pt idx="167">
                  <c:v>0.0</c:v>
                </c:pt>
                <c:pt idx="168">
                  <c:v>0.002</c:v>
                </c:pt>
                <c:pt idx="169">
                  <c:v>0.216666666666667</c:v>
                </c:pt>
                <c:pt idx="170">
                  <c:v>0.0273333333333333</c:v>
                </c:pt>
                <c:pt idx="171">
                  <c:v>0.02</c:v>
                </c:pt>
                <c:pt idx="172">
                  <c:v>0.0433333333333333</c:v>
                </c:pt>
                <c:pt idx="173">
                  <c:v>0.251333333333333</c:v>
                </c:pt>
                <c:pt idx="174">
                  <c:v>0.335333333333333</c:v>
                </c:pt>
              </c:numCache>
            </c:numRef>
          </c:xVal>
          <c:yVal>
            <c:numRef>
              <c:f>Shout!$BZ$3:$BZ$177</c:f>
              <c:numCache>
                <c:formatCode>General</c:formatCode>
                <c:ptCount val="175"/>
                <c:pt idx="0">
                  <c:v>0.352</c:v>
                </c:pt>
                <c:pt idx="1">
                  <c:v>0.818</c:v>
                </c:pt>
                <c:pt idx="2">
                  <c:v>0.754</c:v>
                </c:pt>
                <c:pt idx="3">
                  <c:v>0.934</c:v>
                </c:pt>
                <c:pt idx="4">
                  <c:v>0.564</c:v>
                </c:pt>
                <c:pt idx="5">
                  <c:v>0.868</c:v>
                </c:pt>
                <c:pt idx="6">
                  <c:v>0.866</c:v>
                </c:pt>
                <c:pt idx="7">
                  <c:v>0.798</c:v>
                </c:pt>
                <c:pt idx="8">
                  <c:v>0.97</c:v>
                </c:pt>
                <c:pt idx="9">
                  <c:v>0.955</c:v>
                </c:pt>
                <c:pt idx="10">
                  <c:v>0.787</c:v>
                </c:pt>
                <c:pt idx="11">
                  <c:v>0.856</c:v>
                </c:pt>
                <c:pt idx="12">
                  <c:v>0.895</c:v>
                </c:pt>
                <c:pt idx="13">
                  <c:v>0.543</c:v>
                </c:pt>
                <c:pt idx="14">
                  <c:v>0.903</c:v>
                </c:pt>
                <c:pt idx="15">
                  <c:v>0.826</c:v>
                </c:pt>
                <c:pt idx="16">
                  <c:v>0.953</c:v>
                </c:pt>
                <c:pt idx="17">
                  <c:v>0.772</c:v>
                </c:pt>
                <c:pt idx="18">
                  <c:v>0.492</c:v>
                </c:pt>
                <c:pt idx="19">
                  <c:v>0.619</c:v>
                </c:pt>
                <c:pt idx="20">
                  <c:v>0.729</c:v>
                </c:pt>
                <c:pt idx="21">
                  <c:v>0.812</c:v>
                </c:pt>
                <c:pt idx="22">
                  <c:v>0.694</c:v>
                </c:pt>
                <c:pt idx="23">
                  <c:v>0.813</c:v>
                </c:pt>
                <c:pt idx="24">
                  <c:v>0.92</c:v>
                </c:pt>
                <c:pt idx="25">
                  <c:v>0.84</c:v>
                </c:pt>
                <c:pt idx="26">
                  <c:v>0.389</c:v>
                </c:pt>
                <c:pt idx="27">
                  <c:v>0.394</c:v>
                </c:pt>
                <c:pt idx="28">
                  <c:v>0.593</c:v>
                </c:pt>
                <c:pt idx="29">
                  <c:v>0.523</c:v>
                </c:pt>
                <c:pt idx="30">
                  <c:v>0.966</c:v>
                </c:pt>
                <c:pt idx="31">
                  <c:v>0.708</c:v>
                </c:pt>
                <c:pt idx="32">
                  <c:v>0.369</c:v>
                </c:pt>
                <c:pt idx="33">
                  <c:v>0.392</c:v>
                </c:pt>
                <c:pt idx="34">
                  <c:v>0.878</c:v>
                </c:pt>
                <c:pt idx="35">
                  <c:v>0.772</c:v>
                </c:pt>
                <c:pt idx="36">
                  <c:v>0.807</c:v>
                </c:pt>
                <c:pt idx="37">
                  <c:v>0.576</c:v>
                </c:pt>
                <c:pt idx="38">
                  <c:v>0.601</c:v>
                </c:pt>
                <c:pt idx="39">
                  <c:v>0.389</c:v>
                </c:pt>
                <c:pt idx="40">
                  <c:v>0.854</c:v>
                </c:pt>
                <c:pt idx="41">
                  <c:v>0.484</c:v>
                </c:pt>
                <c:pt idx="42">
                  <c:v>0.871</c:v>
                </c:pt>
                <c:pt idx="43">
                  <c:v>0.863</c:v>
                </c:pt>
                <c:pt idx="44">
                  <c:v>0.914</c:v>
                </c:pt>
                <c:pt idx="45">
                  <c:v>0.903</c:v>
                </c:pt>
                <c:pt idx="46">
                  <c:v>0.955</c:v>
                </c:pt>
                <c:pt idx="47">
                  <c:v>0.52</c:v>
                </c:pt>
                <c:pt idx="48">
                  <c:v>0.814</c:v>
                </c:pt>
                <c:pt idx="49">
                  <c:v>0.777</c:v>
                </c:pt>
                <c:pt idx="50">
                  <c:v>0.806</c:v>
                </c:pt>
                <c:pt idx="51">
                  <c:v>0.703</c:v>
                </c:pt>
                <c:pt idx="52">
                  <c:v>0.747</c:v>
                </c:pt>
                <c:pt idx="53">
                  <c:v>0.719</c:v>
                </c:pt>
                <c:pt idx="54">
                  <c:v>0.472</c:v>
                </c:pt>
                <c:pt idx="55">
                  <c:v>0.883</c:v>
                </c:pt>
                <c:pt idx="56">
                  <c:v>0.414</c:v>
                </c:pt>
                <c:pt idx="57">
                  <c:v>0.741</c:v>
                </c:pt>
                <c:pt idx="58">
                  <c:v>0.959</c:v>
                </c:pt>
                <c:pt idx="59">
                  <c:v>0.961</c:v>
                </c:pt>
                <c:pt idx="60">
                  <c:v>0.755</c:v>
                </c:pt>
                <c:pt idx="61">
                  <c:v>0.456</c:v>
                </c:pt>
                <c:pt idx="62">
                  <c:v>0.778</c:v>
                </c:pt>
                <c:pt idx="63">
                  <c:v>0.947</c:v>
                </c:pt>
                <c:pt idx="64">
                  <c:v>0.526</c:v>
                </c:pt>
                <c:pt idx="65">
                  <c:v>0.942</c:v>
                </c:pt>
                <c:pt idx="66">
                  <c:v>0.813</c:v>
                </c:pt>
                <c:pt idx="67">
                  <c:v>0.704</c:v>
                </c:pt>
                <c:pt idx="68">
                  <c:v>0.435</c:v>
                </c:pt>
                <c:pt idx="69">
                  <c:v>0.396</c:v>
                </c:pt>
                <c:pt idx="70">
                  <c:v>0.729</c:v>
                </c:pt>
                <c:pt idx="71">
                  <c:v>0.532</c:v>
                </c:pt>
                <c:pt idx="72">
                  <c:v>0.732</c:v>
                </c:pt>
                <c:pt idx="73">
                  <c:v>0.879</c:v>
                </c:pt>
                <c:pt idx="74">
                  <c:v>0.969</c:v>
                </c:pt>
                <c:pt idx="75">
                  <c:v>0.612</c:v>
                </c:pt>
                <c:pt idx="76">
                  <c:v>0.734</c:v>
                </c:pt>
                <c:pt idx="77">
                  <c:v>0.965</c:v>
                </c:pt>
                <c:pt idx="78">
                  <c:v>0.935</c:v>
                </c:pt>
                <c:pt idx="79">
                  <c:v>0.951</c:v>
                </c:pt>
                <c:pt idx="80">
                  <c:v>0.766</c:v>
                </c:pt>
                <c:pt idx="81">
                  <c:v>0.96</c:v>
                </c:pt>
                <c:pt idx="82">
                  <c:v>0.77</c:v>
                </c:pt>
                <c:pt idx="83">
                  <c:v>0.804</c:v>
                </c:pt>
                <c:pt idx="84">
                  <c:v>0.541</c:v>
                </c:pt>
                <c:pt idx="85">
                  <c:v>0.937</c:v>
                </c:pt>
                <c:pt idx="86">
                  <c:v>0.916</c:v>
                </c:pt>
                <c:pt idx="87">
                  <c:v>0.71</c:v>
                </c:pt>
                <c:pt idx="88">
                  <c:v>0.619</c:v>
                </c:pt>
                <c:pt idx="89">
                  <c:v>0.866</c:v>
                </c:pt>
                <c:pt idx="90">
                  <c:v>0.803</c:v>
                </c:pt>
                <c:pt idx="91">
                  <c:v>0.514</c:v>
                </c:pt>
                <c:pt idx="92">
                  <c:v>0.442</c:v>
                </c:pt>
                <c:pt idx="93">
                  <c:v>0.951</c:v>
                </c:pt>
                <c:pt idx="94">
                  <c:v>0.87</c:v>
                </c:pt>
                <c:pt idx="95">
                  <c:v>0.96</c:v>
                </c:pt>
                <c:pt idx="96">
                  <c:v>0.543</c:v>
                </c:pt>
                <c:pt idx="97">
                  <c:v>0.493</c:v>
                </c:pt>
                <c:pt idx="98">
                  <c:v>0.829</c:v>
                </c:pt>
                <c:pt idx="99">
                  <c:v>0.771</c:v>
                </c:pt>
                <c:pt idx="100">
                  <c:v>0.371</c:v>
                </c:pt>
                <c:pt idx="101">
                  <c:v>0.902</c:v>
                </c:pt>
                <c:pt idx="102">
                  <c:v>0.52</c:v>
                </c:pt>
                <c:pt idx="103">
                  <c:v>0.804</c:v>
                </c:pt>
                <c:pt idx="104">
                  <c:v>0.854</c:v>
                </c:pt>
                <c:pt idx="105">
                  <c:v>0.72</c:v>
                </c:pt>
                <c:pt idx="106">
                  <c:v>0.727</c:v>
                </c:pt>
                <c:pt idx="107">
                  <c:v>0.834</c:v>
                </c:pt>
                <c:pt idx="108">
                  <c:v>0.654</c:v>
                </c:pt>
                <c:pt idx="109">
                  <c:v>0.402</c:v>
                </c:pt>
                <c:pt idx="110">
                  <c:v>0.586</c:v>
                </c:pt>
                <c:pt idx="111">
                  <c:v>0.686</c:v>
                </c:pt>
                <c:pt idx="112">
                  <c:v>0.553</c:v>
                </c:pt>
                <c:pt idx="113">
                  <c:v>0.964</c:v>
                </c:pt>
                <c:pt idx="114">
                  <c:v>0.95</c:v>
                </c:pt>
                <c:pt idx="115">
                  <c:v>0.699</c:v>
                </c:pt>
                <c:pt idx="116">
                  <c:v>0.34</c:v>
                </c:pt>
                <c:pt idx="117">
                  <c:v>0.511</c:v>
                </c:pt>
                <c:pt idx="118">
                  <c:v>0.971</c:v>
                </c:pt>
                <c:pt idx="119">
                  <c:v>0.846</c:v>
                </c:pt>
                <c:pt idx="120">
                  <c:v>0.572</c:v>
                </c:pt>
                <c:pt idx="121">
                  <c:v>0.84</c:v>
                </c:pt>
                <c:pt idx="122">
                  <c:v>0.541</c:v>
                </c:pt>
                <c:pt idx="123">
                  <c:v>0.761</c:v>
                </c:pt>
                <c:pt idx="124">
                  <c:v>0.806</c:v>
                </c:pt>
                <c:pt idx="125">
                  <c:v>0.751</c:v>
                </c:pt>
                <c:pt idx="126">
                  <c:v>0.88</c:v>
                </c:pt>
                <c:pt idx="127">
                  <c:v>0.909</c:v>
                </c:pt>
                <c:pt idx="128">
                  <c:v>0.91</c:v>
                </c:pt>
                <c:pt idx="129">
                  <c:v>0.817</c:v>
                </c:pt>
                <c:pt idx="130">
                  <c:v>0.46</c:v>
                </c:pt>
                <c:pt idx="131">
                  <c:v>0.838</c:v>
                </c:pt>
                <c:pt idx="132">
                  <c:v>0.821</c:v>
                </c:pt>
                <c:pt idx="133">
                  <c:v>0.772</c:v>
                </c:pt>
                <c:pt idx="134">
                  <c:v>0.771</c:v>
                </c:pt>
                <c:pt idx="135">
                  <c:v>0.651</c:v>
                </c:pt>
                <c:pt idx="136">
                  <c:v>0.843</c:v>
                </c:pt>
                <c:pt idx="137">
                  <c:v>0.464</c:v>
                </c:pt>
                <c:pt idx="138">
                  <c:v>0.826</c:v>
                </c:pt>
                <c:pt idx="139">
                  <c:v>0.365</c:v>
                </c:pt>
                <c:pt idx="140">
                  <c:v>0.944</c:v>
                </c:pt>
                <c:pt idx="141">
                  <c:v>0.88</c:v>
                </c:pt>
                <c:pt idx="142">
                  <c:v>0.929</c:v>
                </c:pt>
                <c:pt idx="143">
                  <c:v>0.61</c:v>
                </c:pt>
                <c:pt idx="144">
                  <c:v>0.683</c:v>
                </c:pt>
                <c:pt idx="145">
                  <c:v>0.955</c:v>
                </c:pt>
                <c:pt idx="146">
                  <c:v>0.759</c:v>
                </c:pt>
                <c:pt idx="147">
                  <c:v>0.531</c:v>
                </c:pt>
                <c:pt idx="148">
                  <c:v>0.769</c:v>
                </c:pt>
                <c:pt idx="149">
                  <c:v>0.572</c:v>
                </c:pt>
                <c:pt idx="150">
                  <c:v>0.963</c:v>
                </c:pt>
                <c:pt idx="151">
                  <c:v>0.96</c:v>
                </c:pt>
                <c:pt idx="152">
                  <c:v>0.742</c:v>
                </c:pt>
                <c:pt idx="153">
                  <c:v>0.688</c:v>
                </c:pt>
                <c:pt idx="154">
                  <c:v>0.53</c:v>
                </c:pt>
                <c:pt idx="155">
                  <c:v>0.783</c:v>
                </c:pt>
                <c:pt idx="156">
                  <c:v>0.489</c:v>
                </c:pt>
                <c:pt idx="157">
                  <c:v>0.499</c:v>
                </c:pt>
                <c:pt idx="158">
                  <c:v>0.768</c:v>
                </c:pt>
                <c:pt idx="159">
                  <c:v>0.837</c:v>
                </c:pt>
                <c:pt idx="160">
                  <c:v>0.769</c:v>
                </c:pt>
                <c:pt idx="161">
                  <c:v>0.806</c:v>
                </c:pt>
                <c:pt idx="162">
                  <c:v>0.739</c:v>
                </c:pt>
                <c:pt idx="163">
                  <c:v>0.514</c:v>
                </c:pt>
                <c:pt idx="164">
                  <c:v>0.796</c:v>
                </c:pt>
                <c:pt idx="165">
                  <c:v>0.903</c:v>
                </c:pt>
                <c:pt idx="166">
                  <c:v>0.947</c:v>
                </c:pt>
                <c:pt idx="167">
                  <c:v>0.956</c:v>
                </c:pt>
                <c:pt idx="168">
                  <c:v>0.865</c:v>
                </c:pt>
                <c:pt idx="169">
                  <c:v>0.71</c:v>
                </c:pt>
                <c:pt idx="170">
                  <c:v>0.693</c:v>
                </c:pt>
                <c:pt idx="171">
                  <c:v>0.844</c:v>
                </c:pt>
                <c:pt idx="172">
                  <c:v>0.725</c:v>
                </c:pt>
                <c:pt idx="173">
                  <c:v>0.575</c:v>
                </c:pt>
                <c:pt idx="174">
                  <c:v>0.481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482776"/>
        <c:axId val="685488216"/>
      </c:scatterChart>
      <c:valAx>
        <c:axId val="685482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AU" sz="1200" b="1"/>
                </a:pPr>
                <a:r>
                  <a:rPr lang="en-US"/>
                  <a:t>Water Deaths &lt;5yr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85488216"/>
        <c:crosses val="autoZero"/>
        <c:crossBetween val="midCat"/>
      </c:valAx>
      <c:valAx>
        <c:axId val="6854882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AU" sz="1200" b="1"/>
                </a:pPr>
                <a:r>
                  <a:rPr lang="en-US"/>
                  <a:t>HDI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8548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1195295</xdr:colOff>
      <xdr:row>19</xdr:row>
      <xdr:rowOff>32872</xdr:rowOff>
    </xdr:from>
    <xdr:to>
      <xdr:col>13</xdr:col>
      <xdr:colOff>806823</xdr:colOff>
      <xdr:row>44</xdr:row>
      <xdr:rowOff>134472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179294</xdr:colOff>
      <xdr:row>19</xdr:row>
      <xdr:rowOff>17929</xdr:rowOff>
    </xdr:from>
    <xdr:to>
      <xdr:col>22</xdr:col>
      <xdr:colOff>313766</xdr:colOff>
      <xdr:row>44</xdr:row>
      <xdr:rowOff>134471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12</xdr:row>
      <xdr:rowOff>167341</xdr:rowOff>
    </xdr:from>
    <xdr:to>
      <xdr:col>4</xdr:col>
      <xdr:colOff>14942</xdr:colOff>
      <xdr:row>24</xdr:row>
      <xdr:rowOff>119530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14941</xdr:colOff>
      <xdr:row>24</xdr:row>
      <xdr:rowOff>179294</xdr:rowOff>
    </xdr:from>
    <xdr:to>
      <xdr:col>4</xdr:col>
      <xdr:colOff>14942</xdr:colOff>
      <xdr:row>38</xdr:row>
      <xdr:rowOff>179295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717177</xdr:colOff>
      <xdr:row>2</xdr:row>
      <xdr:rowOff>328706</xdr:rowOff>
    </xdr:from>
    <xdr:to>
      <xdr:col>4</xdr:col>
      <xdr:colOff>29882</xdr:colOff>
      <xdr:row>9</xdr:row>
      <xdr:rowOff>14942</xdr:rowOff>
    </xdr:to>
    <xdr:sp macro="" textlink="">
      <xdr:nvSpPr>
        <xdr:cNvPr id="11" name="TextBox 10"/>
        <xdr:cNvSpPr txBox="1"/>
      </xdr:nvSpPr>
      <xdr:spPr>
        <a:xfrm>
          <a:off x="3361765" y="836706"/>
          <a:ext cx="1494117" cy="215153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1400"/>
        </a:p>
        <a:p>
          <a:pPr algn="ctr"/>
          <a:r>
            <a:rPr lang="en-US" sz="1400"/>
            <a:t>To</a:t>
          </a:r>
          <a:r>
            <a:rPr lang="en-US" sz="1400" baseline="0"/>
            <a:t> change the countries to be displayed, click on a country name and select a new one from the pop-up list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42</xdr:row>
          <xdr:rowOff>177800</xdr:rowOff>
        </xdr:from>
        <xdr:to>
          <xdr:col>1</xdr:col>
          <xdr:colOff>444500</xdr:colOff>
          <xdr:row>44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Graph Them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558800</xdr:colOff>
      <xdr:row>0</xdr:row>
      <xdr:rowOff>50800</xdr:rowOff>
    </xdr:from>
    <xdr:to>
      <xdr:col>13</xdr:col>
      <xdr:colOff>800100</xdr:colOff>
      <xdr:row>4</xdr:row>
      <xdr:rowOff>533400</xdr:rowOff>
    </xdr:to>
    <xdr:sp macro="" textlink="">
      <xdr:nvSpPr>
        <xdr:cNvPr id="3" name="TextBox 2"/>
        <xdr:cNvSpPr txBox="1"/>
      </xdr:nvSpPr>
      <xdr:spPr>
        <a:xfrm>
          <a:off x="6337300" y="50800"/>
          <a:ext cx="5194300" cy="1244600"/>
        </a:xfrm>
        <a:prstGeom prst="rect">
          <a:avLst/>
        </a:prstGeom>
        <a:solidFill>
          <a:schemeClr val="bg1">
            <a:lumMod val="95000"/>
          </a:schemeClr>
        </a:solidFill>
        <a:ln w="25400" cmpd="sng">
          <a:solidFill>
            <a:schemeClr val="accent1">
              <a:lumMod val="75000"/>
            </a:schemeClr>
          </a:solidFill>
        </a:ln>
        <a:effectLst>
          <a:outerShdw blurRad="50800" dist="38100" dir="2700000" sx="102000" sy="102000" algn="tl" rotWithShape="0">
            <a:schemeClr val="accent1">
              <a:lumMod val="75000"/>
              <a:alpha val="43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Pearson R-squared values in lower left diagonal.  Number of pairs in the correlation</a:t>
          </a:r>
          <a:r>
            <a:rPr lang="en-US" sz="1100" baseline="0"/>
            <a:t> calculation in the upper rioght diagonal.  </a:t>
          </a:r>
        </a:p>
        <a:p>
          <a:r>
            <a:rPr lang="en-US" sz="1100" baseline="0"/>
            <a:t>Shading shows statistical significance; stippled values greater than 0.5</a:t>
          </a:r>
        </a:p>
        <a:p>
          <a:r>
            <a:rPr lang="en-US" sz="1100" baseline="0"/>
            <a:t>Click on a cell then the "Graph Them" button to see a scatter plot.  Click below the diagonal for the column variable on the X axis; click the same pair above the diagonal to swap the variables on the axes.</a:t>
          </a:r>
          <a:endParaRPr lang="en-US" sz="1100"/>
        </a:p>
      </xdr:txBody>
    </xdr:sp>
    <xdr:clientData/>
  </xdr:twoCellAnchor>
  <xdr:twoCellAnchor>
    <xdr:from>
      <xdr:col>2</xdr:col>
      <xdr:colOff>0</xdr:colOff>
      <xdr:row>42</xdr:row>
      <xdr:rowOff>177800</xdr:rowOff>
    </xdr:from>
    <xdr:to>
      <xdr:col>11</xdr:col>
      <xdr:colOff>190500</xdr:colOff>
      <xdr:row>59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M42"/>
  <sheetViews>
    <sheetView zoomScale="85" zoomScaleNormal="85" zoomScalePageLayoutView="85" workbookViewId="0">
      <selection activeCell="B7" sqref="B7"/>
    </sheetView>
  </sheetViews>
  <sheetFormatPr baseColWidth="10" defaultRowHeight="15" x14ac:dyDescent="0"/>
  <cols>
    <col min="1" max="1" width="4.1640625" customWidth="1"/>
    <col min="2" max="2" width="30.6640625" customWidth="1"/>
    <col min="4" max="4" width="17.83203125" customWidth="1"/>
    <col min="5" max="5" width="6" customWidth="1"/>
    <col min="6" max="6" width="15.83203125" customWidth="1"/>
    <col min="7" max="7" width="13.1640625" customWidth="1"/>
  </cols>
  <sheetData>
    <row r="1" spans="1:39" ht="16" thickBot="1">
      <c r="AL1" s="101" t="str">
        <f>IF(AM1=1,"st",IF(AM1=2,"nd",IF(AM1=3,"rd","th")))</f>
        <v>st</v>
      </c>
      <c r="AM1" s="101">
        <f>MOD(G4,10)</f>
        <v>1</v>
      </c>
    </row>
    <row r="2" spans="1:39" ht="24" thickBot="1">
      <c r="A2" s="114"/>
      <c r="B2" s="115"/>
      <c r="C2" s="115"/>
      <c r="D2" s="115"/>
      <c r="E2" s="116"/>
      <c r="J2" s="55" t="str">
        <f>'Full Scores'!M8</f>
        <v>Water</v>
      </c>
      <c r="K2" s="55" t="s">
        <v>534</v>
      </c>
      <c r="L2" s="9"/>
      <c r="M2" s="9"/>
      <c r="N2" s="9"/>
      <c r="O2" s="9"/>
      <c r="P2" s="9"/>
      <c r="Q2" s="56" t="str">
        <f>'Full Scores'!T8</f>
        <v>Food</v>
      </c>
      <c r="R2" s="56" t="s">
        <v>534</v>
      </c>
      <c r="S2" s="57"/>
      <c r="T2" s="57"/>
      <c r="U2" s="57"/>
      <c r="V2" s="57"/>
      <c r="W2" s="57"/>
      <c r="X2" s="58" t="str">
        <f>'Full Scores'!AA8</f>
        <v>Health</v>
      </c>
      <c r="Y2" s="58" t="s">
        <v>534</v>
      </c>
      <c r="Z2" s="21"/>
      <c r="AA2" s="21"/>
      <c r="AB2" s="21"/>
      <c r="AC2" s="21"/>
      <c r="AD2" s="21"/>
      <c r="AE2" s="58" t="s">
        <v>529</v>
      </c>
      <c r="AF2" s="26"/>
      <c r="AG2" s="58" t="s">
        <v>534</v>
      </c>
      <c r="AH2" s="25"/>
      <c r="AI2" s="25"/>
      <c r="AJ2" s="84"/>
      <c r="AK2" s="84"/>
    </row>
    <row r="3" spans="1:39" ht="69">
      <c r="A3" s="117">
        <f>INDEX(IncomeGrp!$C$12:$C$203,'The View'!A4)</f>
        <v>1</v>
      </c>
      <c r="B3" s="109" t="s">
        <v>469</v>
      </c>
      <c r="C3" s="118"/>
      <c r="D3" s="118"/>
      <c r="E3" s="119"/>
      <c r="G3" s="14" t="s">
        <v>533</v>
      </c>
      <c r="H3" s="51" t="s">
        <v>468</v>
      </c>
      <c r="I3" s="64" t="s">
        <v>536</v>
      </c>
      <c r="J3" s="22" t="s">
        <v>394</v>
      </c>
      <c r="K3" s="22" t="str">
        <f>'Full Scores'!M9</f>
        <v>Delt PPt as %</v>
      </c>
      <c r="L3" s="22" t="str">
        <f>'Full Scores'!N9</f>
        <v>%  freshwater withdrawals</v>
      </c>
      <c r="M3" s="22" t="str">
        <f>'Full Scores'!O9</f>
        <v>Improved water</v>
      </c>
      <c r="N3" s="22" t="str">
        <f>'Full Scores'!P9</f>
        <v xml:space="preserve">Delta Temp </v>
      </c>
      <c r="O3" s="22" t="str">
        <f>'Full Scores'!Q9</f>
        <v>Water Deaths &lt;5yr</v>
      </c>
      <c r="P3" s="22" t="str">
        <f>'Full Scores'!R9</f>
        <v xml:space="preserve">Improved sanitation </v>
      </c>
      <c r="Q3" s="23" t="s">
        <v>394</v>
      </c>
      <c r="R3" s="23" t="str">
        <f>'Full Scores'!T9</f>
        <v>ACDI</v>
      </c>
      <c r="S3" s="23" t="str">
        <f>'Full Scores'!U9</f>
        <v>% Rural Popn</v>
      </c>
      <c r="T3" s="23" t="str">
        <f>'Full Scores'!V9</f>
        <v>Two measure Av</v>
      </c>
      <c r="U3" s="23" t="str">
        <f>'Full Scores'!W9</f>
        <v>CV annual Yield</v>
      </c>
      <c r="V3" s="23" t="str">
        <f>'Full Scores'!X9</f>
        <v>Import Depend</v>
      </c>
      <c r="W3" s="23" t="str">
        <f>'Full Scores'!Y9</f>
        <v>%Wasting</v>
      </c>
      <c r="X3" s="54" t="s">
        <v>394</v>
      </c>
      <c r="Y3" s="54" t="str">
        <f>'Full Scores'!AA9</f>
        <v>CC induced Dalys</v>
      </c>
      <c r="Z3" s="54" t="str">
        <f>'Full Scores'!AB9</f>
        <v>2*Doc+Nurse/Midwife</v>
      </c>
      <c r="AA3" s="54" t="str">
        <f>'Full Scores'!AC9</f>
        <v>Longevity</v>
      </c>
      <c r="AB3" s="54" t="str">
        <f>'Full Scores'!AD9</f>
        <v>% mort communicable diseases</v>
      </c>
      <c r="AC3" s="54" t="str">
        <f>'Full Scores'!AE9</f>
        <v>Ext Resources for Health</v>
      </c>
      <c r="AD3" s="54" t="str">
        <f>'Full Scores'!AF9</f>
        <v>Maternal Mortality</v>
      </c>
      <c r="AE3" s="50" t="s">
        <v>394</v>
      </c>
      <c r="AF3" s="50" t="str">
        <f>'Full Scores'!AH9</f>
        <v xml:space="preserve">Area % &lt;5m asl </v>
      </c>
      <c r="AG3" s="50" t="str">
        <f>'Full Scores'!AI9</f>
        <v>% Lecz Pop</v>
      </c>
      <c r="AH3" s="53" t="str">
        <f>'Full Scores'!AJ9</f>
        <v>% pop with electricity</v>
      </c>
      <c r="AI3" s="53" t="str">
        <f>'Full Scores'!AK9</f>
        <v>Energy at risk</v>
      </c>
      <c r="AJ3" s="85" t="str">
        <f>'Full Scores'!AL9</f>
        <v>Floods/ decade/ 100,000 km2</v>
      </c>
      <c r="AK3" s="85" t="str">
        <f>'Full Scores'!AM9</f>
        <v>Roads, paved (% of total roads)</v>
      </c>
    </row>
    <row r="4" spans="1:39" ht="25">
      <c r="A4" s="120">
        <f>MATCH(B4,'Full Scores'!$B$10:$B$201,0)</f>
        <v>29</v>
      </c>
      <c r="B4" s="113" t="s">
        <v>63</v>
      </c>
      <c r="C4" s="118"/>
      <c r="D4" s="118"/>
      <c r="E4" s="119"/>
      <c r="G4" s="3">
        <f t="array" ref="G4">SUM(IF(ISNUMBER('Full Scores'!$D$10:$D$201),IF('The View'!I4&lt;='Full Scores'!$D$10:$D$201,1,0),0))</f>
        <v>31</v>
      </c>
      <c r="H4" s="7" t="str">
        <f>$B$4</f>
        <v>Cambodia</v>
      </c>
      <c r="I4" s="4">
        <f t="shared" ref="I4:I9" si="0">AVERAGE(J4,Q4,X4,AE4)</f>
        <v>0.45840371225212079</v>
      </c>
      <c r="J4" s="89">
        <f t="shared" ref="J4:J9" si="1">AVERAGE(K4:P4)</f>
        <v>0.39264648970804455</v>
      </c>
      <c r="K4" s="5">
        <f>INDEX('Full Scores'!M$10:M$201,$A4)</f>
        <v>0.6087499999999999</v>
      </c>
      <c r="L4" s="5">
        <f>INDEX('Full Scores'!N$10:N$201,$A4)</f>
        <v>4.5872715816005043E-3</v>
      </c>
      <c r="M4" s="5">
        <f>INDEX('Full Scores'!O$10:O$201,$A4)</f>
        <v>0.39</v>
      </c>
      <c r="N4" s="5">
        <f>INDEX('Full Scores'!P$10:P$201,$A4)</f>
        <v>0.24520833333333347</v>
      </c>
      <c r="O4" s="5">
        <f>INDEX('Full Scores'!Q$10:Q$201,$A4)</f>
        <v>0.39733333333333332</v>
      </c>
      <c r="P4" s="5">
        <f>INDEX('Full Scores'!R$10:R$201,$A4)</f>
        <v>0.71</v>
      </c>
      <c r="Q4" s="62">
        <f t="shared" ref="Q4:Q9" si="2">AVERAGE(R4:W4)</f>
        <v>0.50715279770631161</v>
      </c>
      <c r="R4" s="5">
        <f>INDEX('Full Scores'!T$10:T$201,'The View'!$A4)</f>
        <v>0.54241666666666666</v>
      </c>
      <c r="S4" s="5">
        <f>INDEX('Full Scores'!U$10:U$201,'The View'!$A4)</f>
        <v>0.77819999999999989</v>
      </c>
      <c r="T4" s="5">
        <f>INDEX('Full Scores'!V$10:V$201,'The View'!$A4)</f>
        <v>0.94251068376070513</v>
      </c>
      <c r="U4" s="5">
        <f>INDEX('Full Scores'!W$10:W$201,'The View'!$A4)</f>
        <v>7.2351323661405356E-2</v>
      </c>
      <c r="V4" s="5">
        <f>INDEX('Full Scores'!X$10:X$201,'The View'!$A4)</f>
        <v>1.7438112149093136E-2</v>
      </c>
      <c r="W4" s="5">
        <f>INDEX('Full Scores'!Y$10:Y$201,'The View'!$A4)</f>
        <v>0.69000000000000006</v>
      </c>
      <c r="X4" s="63">
        <f t="shared" ref="X4:X9" si="3">AVERAGE(Y4:AD4)</f>
        <v>0.53626504517830675</v>
      </c>
      <c r="Y4" s="5">
        <f>INDEX('Full Scores'!AA$10:AA$201,'The View'!$A4)</f>
        <v>0.76666666666666661</v>
      </c>
      <c r="Z4" s="5">
        <f>INDEX('Full Scores'!AB$10:AB$201,'The View'!$A4)</f>
        <v>0.92771999999999999</v>
      </c>
      <c r="AA4" s="5">
        <f>INDEX('Full Scores'!AC$10:AC$201,'The View'!$A4)</f>
        <v>0.46997560975609753</v>
      </c>
      <c r="AB4" s="5">
        <f>INDEX('Full Scores'!AD$10:AD$201,'The View'!$A4)</f>
        <v>0.74051123160340826</v>
      </c>
      <c r="AC4" s="5">
        <f>INDEX('Full Scores'!AE$10:AE$201,'The View'!$A4)</f>
        <v>9.0910351045003654E-2</v>
      </c>
      <c r="AD4" s="5">
        <f>INDEX('Full Scores'!AF$10:AF$201,'The View'!$A4)</f>
        <v>0.22180641199866491</v>
      </c>
      <c r="AE4" s="83">
        <f t="shared" ref="AE4:AE9" si="4">AVERAGE(AF4:AK4)</f>
        <v>0.39755051641582045</v>
      </c>
      <c r="AF4" s="5">
        <f>INDEX('Full Scores'!AH$10:AH$201,'The View'!$A4)</f>
        <v>4.8000000000000001E-2</v>
      </c>
      <c r="AG4" s="5">
        <f>INDEX('Full Scores'!AI$10:AI$201,'The View'!$A4)</f>
        <v>0.23871618579928555</v>
      </c>
      <c r="AH4" s="5">
        <f>INDEX('Full Scores'!AJ$10:AJ$201,'The View'!$A4)</f>
        <v>0.76</v>
      </c>
      <c r="AI4" s="5">
        <f>INDEX('Full Scores'!AK$10:AK$201,'The View'!$A4)</f>
        <v>0.32500832631824639</v>
      </c>
      <c r="AJ4" s="5">
        <f>INDEX('Full Scores'!AL$10:AL$201,'The View'!$A4)</f>
        <v>7.6478585995921139E-2</v>
      </c>
      <c r="AK4" s="5">
        <f>INDEX('Full Scores'!AM$10:AM$201,'The View'!$A4)</f>
        <v>0.93710000038146968</v>
      </c>
    </row>
    <row r="5" spans="1:39" ht="20">
      <c r="A5" s="120"/>
      <c r="B5" s="111" t="s">
        <v>472</v>
      </c>
      <c r="C5" s="118"/>
      <c r="D5" s="118"/>
      <c r="E5" s="119"/>
      <c r="G5" s="3">
        <f t="array" ref="G5">SUM(IF(ISNUMBER('Full Scores'!$D$10:$D$201),IF('The View'!I5&lt;='Full Scores'!$D$10:$D$201,1,0),0))</f>
        <v>33</v>
      </c>
      <c r="H5" s="52" t="str">
        <f>$B$6</f>
        <v>Bangladesh</v>
      </c>
      <c r="I5" s="4">
        <f t="shared" si="0"/>
        <v>0.45793435077136885</v>
      </c>
      <c r="J5" s="89">
        <f t="shared" si="1"/>
        <v>0.26166861360137644</v>
      </c>
      <c r="K5" s="5">
        <f>INDEX('Full Scores'!M$10:M$201,$A6)</f>
        <v>0.37033333333333329</v>
      </c>
      <c r="L5" s="5">
        <f>INDEX('Full Scores'!N$10:N$201,$A6)</f>
        <v>2.9233903830480846E-2</v>
      </c>
      <c r="M5" s="5">
        <f>INDEX('Full Scores'!O$10:O$201,$A6)</f>
        <v>0.19999999999999996</v>
      </c>
      <c r="N5" s="5">
        <f>INDEX('Full Scores'!P$10:P$201,$A6)</f>
        <v>0.2777777777777779</v>
      </c>
      <c r="O5" s="5">
        <f>INDEX('Full Scores'!Q$10:Q$201,$A6)</f>
        <v>0.22266666666666668</v>
      </c>
      <c r="P5" s="5">
        <f>INDEX('Full Scores'!R$10:R$201,$A6)</f>
        <v>0.47</v>
      </c>
      <c r="Q5" s="62">
        <f t="shared" si="2"/>
        <v>0.65470124982264999</v>
      </c>
      <c r="R5" s="5">
        <f>INDEX('Full Scores'!T$10:T$201,'The View'!$A6)</f>
        <v>0.46758333333333335</v>
      </c>
      <c r="S5" s="5">
        <f>INDEX('Full Scores'!U$10:U$201,'The View'!$A6)</f>
        <v>0.7238</v>
      </c>
      <c r="T5" s="5">
        <f>INDEX('Full Scores'!V$10:V$201,'The View'!$A6)</f>
        <v>0.62250472123106726</v>
      </c>
      <c r="U5" s="5">
        <f>INDEX('Full Scores'!W$10:W$201,'The View'!$A6)</f>
        <v>1</v>
      </c>
      <c r="V5" s="5">
        <f>INDEX('Full Scores'!X$10:X$201,'The View'!$A6)</f>
        <v>0.11431944437149964</v>
      </c>
      <c r="W5" s="5">
        <f>INDEX('Full Scores'!Y$10:Y$201,'The View'!$A6)</f>
        <v>1</v>
      </c>
      <c r="X5" s="63">
        <f t="shared" si="3"/>
        <v>0.44863402872716657</v>
      </c>
      <c r="Y5" s="5">
        <f>INDEX('Full Scores'!AA$10:AA$201,'The View'!$A6)</f>
        <v>0.44999999999999984</v>
      </c>
      <c r="Z5" s="5">
        <f>INDEX('Full Scores'!AB$10:AB$201,'The View'!$A6)</f>
        <v>0.96660000000000001</v>
      </c>
      <c r="AA5" s="5">
        <f>INDEX('Full Scores'!AC$10:AC$201,'The View'!$A6)</f>
        <v>0.36870780487804866</v>
      </c>
      <c r="AB5" s="5">
        <f>INDEX('Full Scores'!AD$10:AD$201,'The View'!$A6)</f>
        <v>0.60510114335971854</v>
      </c>
      <c r="AC5" s="5">
        <f>INDEX('Full Scores'!AE$10:AE$201,'The View'!$A6)</f>
        <v>8.0015608085701781E-2</v>
      </c>
      <c r="AD5" s="5">
        <f>INDEX('Full Scores'!AF$10:AF$201,'The View'!$A6)</f>
        <v>0.22137961603953007</v>
      </c>
      <c r="AE5" s="83">
        <f t="shared" si="4"/>
        <v>0.46673351093428234</v>
      </c>
      <c r="AF5" s="5">
        <f>INDEX('Full Scores'!AH$10:AH$201,'The View'!$A6)</f>
        <v>0.30599999999999999</v>
      </c>
      <c r="AG5" s="5">
        <f>INDEX('Full Scores'!AI$10:AI$201,'The View'!$A6)</f>
        <v>0.45560754787023527</v>
      </c>
      <c r="AH5" s="5">
        <f>INDEX('Full Scores'!AJ$10:AJ$201,'The View'!$A6)</f>
        <v>0.59000000000000008</v>
      </c>
      <c r="AI5" s="5">
        <f>INDEX('Full Scores'!AK$10:AK$201,'The View'!$A6)</f>
        <v>0.19809174313301572</v>
      </c>
      <c r="AJ5" s="5">
        <f>INDEX('Full Scores'!AL$10:AL$201,'The View'!$A6)</f>
        <v>0.34570177460244295</v>
      </c>
      <c r="AK5" s="5">
        <f>INDEX('Full Scores'!AM$10:AM$201,'The View'!$A6)</f>
        <v>0.90500000000000003</v>
      </c>
    </row>
    <row r="6" spans="1:39" ht="20">
      <c r="A6" s="120">
        <f>MATCH(B6,'Full Scores'!$B$10:$B$201,0)</f>
        <v>14</v>
      </c>
      <c r="B6" s="112" t="s">
        <v>33</v>
      </c>
      <c r="C6" s="118"/>
      <c r="D6" s="118"/>
      <c r="E6" s="119"/>
      <c r="G6" s="3">
        <f t="array" ref="G6">SUM(IF(ISNUMBER('Full Scores'!$D$10:$D$201),IF('The View'!I6&lt;='Full Scores'!$D$10:$D$201,1,0),0))</f>
        <v>84</v>
      </c>
      <c r="H6" s="52" t="str">
        <f>$B$7</f>
        <v>Bahrain</v>
      </c>
      <c r="I6" s="4">
        <f t="shared" si="0"/>
        <v>0.29948612991845319</v>
      </c>
      <c r="J6" s="89">
        <f t="shared" si="1"/>
        <v>0.30172916666666666</v>
      </c>
      <c r="K6" s="5">
        <f>INDEX('Full Scores'!M$10:M$201,'The View'!$A7)</f>
        <v>0.28266666666666673</v>
      </c>
      <c r="L6" s="5">
        <f>INDEX('Full Scores'!N$10:N$201,'The View'!$A7)</f>
        <v>1</v>
      </c>
      <c r="M6" s="5">
        <f>INDEX('Full Scores'!O$10:O$201,'The View'!$A7)</f>
        <v>0</v>
      </c>
      <c r="N6" s="5">
        <f>INDEX('Full Scores'!P$10:P$201,'The View'!$A7)</f>
        <v>0.52770833333333322</v>
      </c>
      <c r="O6" s="5">
        <f>INDEX('Full Scores'!Q$10:Q$201,'The View'!$A7)</f>
        <v>0</v>
      </c>
      <c r="P6" s="5">
        <f>INDEX('Full Scores'!R$10:R$201,'The View'!$A7)</f>
        <v>0</v>
      </c>
      <c r="Q6" s="62">
        <f t="shared" si="2"/>
        <v>0.47793086128908885</v>
      </c>
      <c r="R6" s="5">
        <f>INDEX('Full Scores'!T$10:T$201,'The View'!$A7)</f>
        <v>0.54108333333333336</v>
      </c>
      <c r="S6" s="5">
        <f>INDEX('Full Scores'!U$10:U$201,'The View'!$A7)</f>
        <v>0.11440000000000008</v>
      </c>
      <c r="T6" s="5">
        <f>INDEX('Full Scores'!V$10:V$201,'The View'!$A7)</f>
        <v>0.94047619047619047</v>
      </c>
      <c r="U6" s="5">
        <f>INDEX('Full Scores'!W$10:W$201,'The View'!$A7)</f>
        <v>9.162564392500902E-2</v>
      </c>
      <c r="V6" s="5">
        <f>INDEX('Full Scores'!X$10:X$201,'The View'!$A7)</f>
        <v>1</v>
      </c>
      <c r="W6" s="5">
        <f>INDEX('Full Scores'!Y$10:Y$201,'The View'!$A7)</f>
        <v>0.18</v>
      </c>
      <c r="X6" s="63">
        <f t="shared" si="3"/>
        <v>0.18205903359650119</v>
      </c>
      <c r="Y6" s="5">
        <f>INDEX('Full Scores'!AA$10:AA$201,'The View'!$A7)</f>
        <v>7.5000000000000067E-2</v>
      </c>
      <c r="Z6" s="5">
        <f>INDEX('Full Scores'!AB$10:AB$201,'The View'!$A7)</f>
        <v>0.64392000000000005</v>
      </c>
      <c r="AA6" s="5">
        <f>INDEX('Full Scores'!AC$10:AC$201,'The View'!$A7)</f>
        <v>0.17847804878048745</v>
      </c>
      <c r="AB6" s="5">
        <f>INDEX('Full Scores'!AD$10:AD$201,'The View'!$A7)</f>
        <v>0.18367346938775511</v>
      </c>
      <c r="AC6" s="5">
        <f>INDEX('Full Scores'!AE$10:AE$201,'The View'!$A7)</f>
        <v>0</v>
      </c>
      <c r="AD6" s="5">
        <f>INDEX('Full Scores'!AF$10:AF$201,'The View'!$A7)</f>
        <v>1.1282683410764407E-2</v>
      </c>
      <c r="AE6" s="83">
        <f t="shared" si="4"/>
        <v>0.23622545812155601</v>
      </c>
      <c r="AF6" s="5">
        <f>INDEX('Full Scores'!AH$10:AH$201,'The View'!$A7)</f>
        <v>0.45200000000000001</v>
      </c>
      <c r="AG6" s="5">
        <f>INDEX('Full Scores'!AI$10:AI$201,'The View'!$A7)</f>
        <v>0.77416756354415095</v>
      </c>
      <c r="AH6" s="5">
        <f>INDEX('Full Scores'!AJ$10:AJ$201,'The View'!$A7)</f>
        <v>5.9999999999998943E-3</v>
      </c>
      <c r="AI6" s="5">
        <f>INDEX('Full Scores'!AK$10:AK$201,'The View'!$A7)</f>
        <v>0</v>
      </c>
      <c r="AJ6" s="5">
        <f>INDEX('Full Scores'!AL$10:AL$201,'The View'!$A7)</f>
        <v>0</v>
      </c>
      <c r="AK6" s="5">
        <f>INDEX('Full Scores'!AM$10:AM$201,'The View'!$A7)</f>
        <v>0.18518518518518501</v>
      </c>
    </row>
    <row r="7" spans="1:39" ht="20">
      <c r="A7" s="120">
        <f>MATCH(B7,'Full Scores'!$B$10:$B$201,0)</f>
        <v>13</v>
      </c>
      <c r="B7" s="112" t="s">
        <v>31</v>
      </c>
      <c r="C7" s="118"/>
      <c r="D7" s="118"/>
      <c r="E7" s="119"/>
      <c r="G7" s="3">
        <f t="array" ref="G7">SUM(IF(ISNUMBER('Full Scores'!$D$10:$D$201),IF('The View'!I7&lt;='Full Scores'!$D$10:$D$201,1,0),0))</f>
        <v>63</v>
      </c>
      <c r="H7" s="52" t="str">
        <f>$B$8</f>
        <v>South Africa</v>
      </c>
      <c r="I7" s="4">
        <f t="shared" si="0"/>
        <v>0.36042694799771718</v>
      </c>
      <c r="J7" s="89">
        <f t="shared" si="1"/>
        <v>0.27435231481481481</v>
      </c>
      <c r="K7" s="5">
        <f>INDEX('Full Scores'!M$10:M$201,'The View'!$A8)</f>
        <v>0.65808333333333335</v>
      </c>
      <c r="L7" s="5">
        <f>INDEX('Full Scores'!N$10:N$201,'The View'!$A8)</f>
        <v>0.24960000000000002</v>
      </c>
      <c r="M7" s="5">
        <f>INDEX('Full Scores'!O$10:O$201,'The View'!$A8)</f>
        <v>8.9999999999999969E-2</v>
      </c>
      <c r="N7" s="5">
        <f>INDEX('Full Scores'!P$10:P$201,'The View'!$A8)</f>
        <v>0.34909722222222228</v>
      </c>
      <c r="O7" s="5">
        <f>INDEX('Full Scores'!Q$10:Q$201,'The View'!$A8)</f>
        <v>6.933333333333333E-2</v>
      </c>
      <c r="P7" s="5">
        <f>INDEX('Full Scores'!R$10:R$201,'The View'!$A8)</f>
        <v>0.22999999999999998</v>
      </c>
      <c r="Q7" s="62">
        <f t="shared" si="2"/>
        <v>0.48511423041358098</v>
      </c>
      <c r="R7" s="5">
        <f>INDEX('Full Scores'!T$10:T$201,'The View'!$A8)</f>
        <v>0.62974999999999992</v>
      </c>
      <c r="S7" s="5">
        <f>INDEX('Full Scores'!U$10:U$201,'The View'!$A8)</f>
        <v>0.38780275201920511</v>
      </c>
      <c r="T7" s="5">
        <f>INDEX('Full Scores'!V$10:V$201,'The View'!$A8)</f>
        <v>0.845522717178814</v>
      </c>
      <c r="U7" s="5">
        <f>INDEX('Full Scores'!W$10:W$201,'The View'!$A8)</f>
        <v>0.50618494882404419</v>
      </c>
      <c r="V7" s="5">
        <f>INDEX('Full Scores'!X$10:X$201,'The View'!$A8)</f>
        <v>0.25142496445942292</v>
      </c>
      <c r="W7" s="5">
        <f>INDEX('Full Scores'!Y$10:Y$201,'The View'!$A8)</f>
        <v>0.28999999999999998</v>
      </c>
      <c r="X7" s="63">
        <f t="shared" si="3"/>
        <v>0.49757312915194141</v>
      </c>
      <c r="Y7" s="5">
        <f>INDEX('Full Scores'!AA$10:AA$201,'The View'!$A8)</f>
        <v>0.40833333333333333</v>
      </c>
      <c r="Z7" s="5">
        <f>INDEX('Full Scores'!AB$10:AB$201,'The View'!$A8)</f>
        <v>0.64280000000000004</v>
      </c>
      <c r="AA7" s="5">
        <f>INDEX('Full Scores'!AC$10:AC$201,'The View'!$A8)</f>
        <v>0.66750731707317057</v>
      </c>
      <c r="AB7" s="5">
        <f>INDEX('Full Scores'!AD$10:AD$201,'The View'!$A8)</f>
        <v>1</v>
      </c>
      <c r="AC7" s="5">
        <f>INDEX('Full Scores'!AE$10:AE$201,'The View'!$A8)</f>
        <v>1.9032421387803606E-2</v>
      </c>
      <c r="AD7" s="5">
        <f>INDEX('Full Scores'!AF$10:AF$201,'The View'!$A8)</f>
        <v>0.24776570311734111</v>
      </c>
      <c r="AE7" s="83">
        <f t="shared" si="4"/>
        <v>0.18466811761053167</v>
      </c>
      <c r="AF7" s="5">
        <f>INDEX('Full Scores'!AH$10:AH$201,'The View'!$A8)</f>
        <v>2E-3</v>
      </c>
      <c r="AG7" s="5">
        <f>INDEX('Full Scores'!AI$10:AI$201,'The View'!$A8)</f>
        <v>1.0482097953101517E-2</v>
      </c>
      <c r="AH7" s="5">
        <f>INDEX('Full Scores'!AJ$10:AJ$201,'The View'!$A8)</f>
        <v>0.25</v>
      </c>
      <c r="AI7" s="5">
        <f>INDEX('Full Scores'!AK$10:AK$201,'The View'!$A8)</f>
        <v>0</v>
      </c>
      <c r="AJ7" s="5">
        <f>INDEX('Full Scores'!AL$10:AL$201,'The View'!$A8)</f>
        <v>1.8526600080693637E-2</v>
      </c>
      <c r="AK7" s="5">
        <f>INDEX('Full Scores'!AM$10:AM$201,'The View'!$A8)</f>
        <v>0.82700000762939496</v>
      </c>
    </row>
    <row r="8" spans="1:39" ht="20">
      <c r="A8" s="120">
        <f>MATCH(B8,'Full Scores'!$B$10:$B$201,0)</f>
        <v>160</v>
      </c>
      <c r="B8" s="112" t="s">
        <v>325</v>
      </c>
      <c r="C8" s="118"/>
      <c r="D8" s="118"/>
      <c r="E8" s="119"/>
      <c r="G8" s="3">
        <f t="array" ref="G8">SUM(IF(ISNUMBER('Full Scores'!$D$10:$D$201),IF('The View'!I8&lt;='Full Scores'!$D$10:$D$201,1,0),0))</f>
        <v>171</v>
      </c>
      <c r="H8" s="52" t="str">
        <f>$B$9</f>
        <v>Denmark</v>
      </c>
      <c r="I8" s="4">
        <f t="shared" si="0"/>
        <v>0.1021688113806566</v>
      </c>
      <c r="J8" s="89">
        <f t="shared" si="1"/>
        <v>0.15642685185185182</v>
      </c>
      <c r="K8" s="5">
        <f>INDEX('Full Scores'!M$10:M$201,'The View'!$A9)</f>
        <v>0.35275000000000001</v>
      </c>
      <c r="L8" s="5">
        <f>INDEX('Full Scores'!N$10:N$201,'The View'!$A9)</f>
        <v>0.11153333333333332</v>
      </c>
      <c r="M8" s="5">
        <f>INDEX('Full Scores'!O$10:O$201,'The View'!$A9)</f>
        <v>0</v>
      </c>
      <c r="N8" s="5">
        <f>INDEX('Full Scores'!P$10:P$201,'The View'!$A9)</f>
        <v>0.47361111111111087</v>
      </c>
      <c r="O8" s="5">
        <f>INDEX('Full Scores'!Q$10:Q$201,'The View'!$A9)</f>
        <v>6.6666666666666664E-4</v>
      </c>
      <c r="P8" s="5">
        <f>INDEX('Full Scores'!R$10:R$201,'The View'!$A9)</f>
        <v>0</v>
      </c>
      <c r="Q8" s="62">
        <f t="shared" si="2"/>
        <v>0.12216970337032779</v>
      </c>
      <c r="R8" s="5">
        <f>INDEX('Full Scores'!T$10:T$201,'The View'!$A9)</f>
        <v>1.5499999999999995E-2</v>
      </c>
      <c r="S8" s="5">
        <f>INDEX('Full Scores'!U$10:U$201,'The View'!$A9)</f>
        <v>0.13052261334714085</v>
      </c>
      <c r="T8" s="5">
        <f>INDEX('Full Scores'!V$10:V$201,'The View'!$A9)</f>
        <v>0.28616041666666669</v>
      </c>
      <c r="U8" s="5">
        <f>INDEX('Full Scores'!W$10:W$201,'The View'!$A9)</f>
        <v>0.16530911769166265</v>
      </c>
      <c r="V8" s="5">
        <f>INDEX('Full Scores'!X$10:X$201,'The View'!$A9)</f>
        <v>0.13552607251649648</v>
      </c>
      <c r="W8" s="5">
        <f>INDEX('Full Scores'!Y$10:Y$201,'The View'!$A9)</f>
        <v>0</v>
      </c>
      <c r="X8" s="63">
        <f t="shared" si="3"/>
        <v>5.0833791655603144E-2</v>
      </c>
      <c r="Y8" s="5">
        <f>INDEX('Full Scores'!AA$10:AA$201,'The View'!$A9)</f>
        <v>6.6666666666666541E-2</v>
      </c>
      <c r="Z8" s="5">
        <f>INDEX('Full Scores'!AB$10:AB$201,'The View'!$A9)</f>
        <v>0</v>
      </c>
      <c r="AA8" s="5">
        <f>INDEX('Full Scores'!AC$10:AC$201,'The View'!$A9)</f>
        <v>0.12804878048780466</v>
      </c>
      <c r="AB8" s="5">
        <f>INDEX('Full Scores'!AD$10:AD$201,'The View'!$A9)</f>
        <v>0.108</v>
      </c>
      <c r="AC8" s="5">
        <f>INDEX('Full Scores'!AE$10:AE$201,'The View'!$A9)</f>
        <v>0</v>
      </c>
      <c r="AD8" s="5">
        <f>INDEX('Full Scores'!AF$10:AF$201,'The View'!$A9)</f>
        <v>2.2873027791476866E-3</v>
      </c>
      <c r="AE8" s="83">
        <f t="shared" si="4"/>
        <v>7.9244898644843631E-2</v>
      </c>
      <c r="AF8" s="5">
        <f>INDEX('Full Scores'!AH$10:AH$201,'The View'!$A9)</f>
        <v>0.20499999999999999</v>
      </c>
      <c r="AG8" s="5">
        <f>INDEX('Full Scores'!AI$10:AI$201,'The View'!$A9)</f>
        <v>0.27046939186906183</v>
      </c>
      <c r="AH8" s="5">
        <f>INDEX('Full Scores'!AJ$10:AJ$201,'The View'!$A9)</f>
        <v>0</v>
      </c>
      <c r="AI8" s="5">
        <f>INDEX('Full Scores'!AK$10:AK$201,'The View'!$A9)</f>
        <v>0</v>
      </c>
      <c r="AJ8" s="5">
        <f>INDEX('Full Scores'!AL$10:AL$201,'The View'!$A9)</f>
        <v>0</v>
      </c>
      <c r="AK8" s="5">
        <f>INDEX('Full Scores'!AM$10:AM$201,'The View'!$A9)</f>
        <v>0</v>
      </c>
    </row>
    <row r="9" spans="1:39" ht="20">
      <c r="A9" s="120">
        <f>MATCH(B9,'Full Scores'!$B$10:$B$201,0)</f>
        <v>47</v>
      </c>
      <c r="B9" s="112" t="s">
        <v>99</v>
      </c>
      <c r="C9" s="118"/>
      <c r="D9" s="118"/>
      <c r="E9" s="119"/>
      <c r="G9" s="102">
        <f>COUNT('Full Scores'!D10:D201)</f>
        <v>171</v>
      </c>
      <c r="H9" s="86" t="s">
        <v>470</v>
      </c>
      <c r="I9" s="4">
        <f t="shared" si="0"/>
        <v>0.28267344377438053</v>
      </c>
      <c r="J9" s="89">
        <f t="shared" si="1"/>
        <v>0.33743385818337618</v>
      </c>
      <c r="K9" s="5">
        <f>INDEX('Full Scores'!M$10:M$201,'The View'!$A10)</f>
        <v>0.64683333333333337</v>
      </c>
      <c r="L9" s="5">
        <f>INDEX('Full Scores'!N$10:N$201,'The View'!$A10)</f>
        <v>0.52647814910025703</v>
      </c>
      <c r="M9" s="5">
        <f>INDEX('Full Scores'!O$10:O$201,'The View'!$A10)</f>
        <v>0.17000000000000004</v>
      </c>
      <c r="N9" s="5">
        <f>INDEX('Full Scores'!P$10:P$201,'The View'!$A10)</f>
        <v>0.56395833333333334</v>
      </c>
      <c r="O9" s="5">
        <f>INDEX('Full Scores'!Q$10:Q$201,'The View'!$A10)</f>
        <v>6.7333333333333328E-2</v>
      </c>
      <c r="P9" s="5">
        <f>INDEX('Full Scores'!R$10:R$201,'The View'!$A10)</f>
        <v>5.0000000000000044E-2</v>
      </c>
      <c r="Q9" s="62">
        <f t="shared" si="2"/>
        <v>0.43009901920682519</v>
      </c>
      <c r="R9" s="5">
        <f>INDEX('Full Scores'!T$10:T$201,'The View'!$A10)</f>
        <v>0.66583333333333339</v>
      </c>
      <c r="S9" s="5">
        <f>INDEX('Full Scores'!U$10:U$201,'The View'!$A10)</f>
        <v>0.34139999999999998</v>
      </c>
      <c r="T9" s="5">
        <f>INDEX('Full Scores'!V$10:V$201,'The View'!$A10)</f>
        <v>0.75597654337469367</v>
      </c>
      <c r="U9" s="5">
        <f>INDEX('Full Scores'!W$10:W$201,'The View'!$A10)</f>
        <v>8.5091803561478968E-2</v>
      </c>
      <c r="V9" s="5">
        <f>INDEX('Full Scores'!X$10:X$201,'The View'!$A10)</f>
        <v>0.67229243497144475</v>
      </c>
      <c r="W9" s="5">
        <f>INDEX('Full Scores'!Y$10:Y$201,'The View'!$A10)</f>
        <v>0.06</v>
      </c>
      <c r="X9" s="63">
        <f t="shared" si="3"/>
        <v>0.30807418915483747</v>
      </c>
      <c r="Y9" s="5">
        <f>INDEX('Full Scores'!AA$10:AA$201,'The View'!$A10)</f>
        <v>0.20833333333333315</v>
      </c>
      <c r="Z9" s="5">
        <f>INDEX('Full Scores'!AB$10:AB$201,'The View'!$A10)</f>
        <v>0.79571999999999998</v>
      </c>
      <c r="AA9" s="5">
        <f>INDEX('Full Scores'!AC$10:AC$201,'The View'!$A10)</f>
        <v>0.24754487804878034</v>
      </c>
      <c r="AB9" s="5">
        <f>INDEX('Full Scores'!AD$10:AD$201,'The View'!$A10)</f>
        <v>0.52331606217616577</v>
      </c>
      <c r="AC9" s="5">
        <f>INDEX('Full Scores'!AE$10:AE$201,'The View'!$A10)</f>
        <v>3.6068561103771974E-4</v>
      </c>
      <c r="AD9" s="5">
        <f>INDEX('Full Scores'!AF$10:AF$201,'The View'!$A10)</f>
        <v>7.3170175759707662E-2</v>
      </c>
      <c r="AE9" s="83">
        <f t="shared" si="4"/>
        <v>5.5086708552483245E-2</v>
      </c>
      <c r="AF9" s="5">
        <f>INDEX('Full Scores'!AH$10:AH$201,'The View'!$A10)</f>
        <v>4.0000000000000001E-3</v>
      </c>
      <c r="AG9" s="5">
        <f>INDEX('Full Scores'!AI$10:AI$201,'The View'!$A10)</f>
        <v>3.9635043021802749E-2</v>
      </c>
      <c r="AH9" s="5">
        <f>INDEX('Full Scores'!AJ$10:AJ$201,'The View'!$A10)</f>
        <v>7.0000000000000062E-3</v>
      </c>
      <c r="AI9" s="5">
        <f>INDEX('Full Scores'!AK$10:AK$201,'The View'!$A10)</f>
        <v>0</v>
      </c>
      <c r="AJ9" s="5">
        <f>INDEX('Full Scores'!AL$10:AL$201,'The View'!$A10)</f>
        <v>1.4485208293096644E-2</v>
      </c>
      <c r="AK9" s="5">
        <f>INDEX('Full Scores'!AM$10:AM$201,'The View'!$A10)</f>
        <v>0.26540000000000008</v>
      </c>
    </row>
    <row r="10" spans="1:39" ht="21" thickBot="1">
      <c r="A10" s="120">
        <v>3</v>
      </c>
      <c r="B10" s="110" t="s">
        <v>471</v>
      </c>
      <c r="C10" s="118"/>
      <c r="D10" s="118"/>
      <c r="E10" s="119"/>
      <c r="K10" s="5"/>
      <c r="L10" s="5"/>
      <c r="M10" s="5"/>
    </row>
    <row r="11" spans="1:39">
      <c r="A11" s="121"/>
      <c r="B11" s="108"/>
      <c r="C11" s="118"/>
      <c r="D11" s="118"/>
      <c r="E11" s="119"/>
      <c r="K11" s="5"/>
      <c r="L11" s="5"/>
      <c r="M11" s="5"/>
    </row>
    <row r="12" spans="1:39" s="96" customFormat="1" ht="69">
      <c r="A12" s="122"/>
      <c r="B12" s="199" t="str">
        <f>CONCATENATE(B4," is the ",G4,AL1," most vulnerable country out of ",G9," in this study")</f>
        <v>Cambodia is the 31st most vulnerable country out of 171 in this study</v>
      </c>
      <c r="C12" s="199"/>
      <c r="D12" s="199"/>
      <c r="E12" s="200"/>
      <c r="I12" s="93" t="s">
        <v>520</v>
      </c>
      <c r="J12" s="95" t="s">
        <v>528</v>
      </c>
      <c r="K12" s="59" t="s">
        <v>420</v>
      </c>
      <c r="L12" s="59" t="s">
        <v>421</v>
      </c>
      <c r="M12" s="59" t="s">
        <v>535</v>
      </c>
      <c r="P12" s="97"/>
      <c r="Q12" s="98" t="str">
        <f>Q2</f>
        <v>Food</v>
      </c>
      <c r="R12" s="59" t="s">
        <v>420</v>
      </c>
      <c r="S12" s="59" t="s">
        <v>421</v>
      </c>
      <c r="T12" s="59" t="s">
        <v>535</v>
      </c>
      <c r="X12" s="99" t="str">
        <f>X2</f>
        <v>Health</v>
      </c>
      <c r="Y12" s="59" t="s">
        <v>420</v>
      </c>
      <c r="Z12" s="59" t="s">
        <v>421</v>
      </c>
      <c r="AA12" s="59" t="s">
        <v>535</v>
      </c>
      <c r="AD12" s="27"/>
      <c r="AE12" s="100" t="str">
        <f>AE2</f>
        <v>Infra-structure</v>
      </c>
      <c r="AF12" s="59" t="s">
        <v>420</v>
      </c>
      <c r="AG12" s="59" t="s">
        <v>421</v>
      </c>
      <c r="AH12" s="59" t="s">
        <v>531</v>
      </c>
    </row>
    <row r="13" spans="1:39">
      <c r="A13" s="121"/>
      <c r="B13" s="108"/>
      <c r="C13" s="118"/>
      <c r="D13" s="118"/>
      <c r="E13" s="119"/>
      <c r="I13" s="7" t="str">
        <f>$B$4</f>
        <v>Cambodia</v>
      </c>
      <c r="J13" s="4">
        <f t="shared" ref="J13:J18" si="5">AVERAGE(K13:M13)</f>
        <v>0.39264648970804455</v>
      </c>
      <c r="K13" s="5">
        <f t="shared" ref="K13:M18" si="6">AVERAGE(K4,N4)</f>
        <v>0.42697916666666669</v>
      </c>
      <c r="L13" s="5">
        <f t="shared" si="6"/>
        <v>0.20096030245746691</v>
      </c>
      <c r="M13" s="5">
        <f t="shared" si="6"/>
        <v>0.55000000000000004</v>
      </c>
      <c r="P13" s="5"/>
      <c r="Q13" s="4">
        <f t="shared" ref="Q13:Q18" si="7">AVERAGE(R13:T13)</f>
        <v>0.50715279770631172</v>
      </c>
      <c r="R13" s="5">
        <f t="shared" ref="R13:T18" si="8">AVERAGE(R4,U4)</f>
        <v>0.30738399516403603</v>
      </c>
      <c r="S13" s="5">
        <f t="shared" si="8"/>
        <v>0.39781905607454654</v>
      </c>
      <c r="T13" s="5">
        <f t="shared" si="8"/>
        <v>0.81625534188035265</v>
      </c>
      <c r="X13" s="4">
        <f t="shared" ref="X13:X18" si="9">AVERAGE(Y13:AA13)</f>
        <v>0.53626504517830675</v>
      </c>
      <c r="Y13" s="5">
        <f t="shared" ref="Y13:AA18" si="10">AVERAGE(Y4,AB4)</f>
        <v>0.75358894913503738</v>
      </c>
      <c r="Z13" s="5">
        <f t="shared" si="10"/>
        <v>0.50931517552250183</v>
      </c>
      <c r="AA13" s="5">
        <f t="shared" si="10"/>
        <v>0.34589101087738122</v>
      </c>
      <c r="AE13" s="4">
        <f>AVERAGE(AF13:AG13)</f>
        <v>0.39755051641582045</v>
      </c>
      <c r="AF13" s="5">
        <f t="shared" ref="AF13:AG18" si="11">AVERAGE(AF4,AH4,AJ4)</f>
        <v>0.29482619533197374</v>
      </c>
      <c r="AG13" s="5">
        <f t="shared" si="11"/>
        <v>0.50027483749966717</v>
      </c>
      <c r="AH13" s="5"/>
    </row>
    <row r="14" spans="1:39">
      <c r="A14" s="121"/>
      <c r="B14" s="118"/>
      <c r="C14" s="118"/>
      <c r="D14" s="118"/>
      <c r="E14" s="119"/>
      <c r="I14" s="52" t="str">
        <f>$B$6</f>
        <v>Bangladesh</v>
      </c>
      <c r="J14" s="4">
        <f t="shared" si="5"/>
        <v>0.26166861360137644</v>
      </c>
      <c r="K14" s="5">
        <f t="shared" si="6"/>
        <v>0.3240555555555556</v>
      </c>
      <c r="L14" s="5">
        <f t="shared" si="6"/>
        <v>0.12595028524857377</v>
      </c>
      <c r="M14" s="5">
        <f t="shared" si="6"/>
        <v>0.33499999999999996</v>
      </c>
      <c r="P14" s="5"/>
      <c r="Q14" s="4">
        <f t="shared" si="7"/>
        <v>0.65470124982264999</v>
      </c>
      <c r="R14" s="5">
        <f t="shared" si="8"/>
        <v>0.73379166666666662</v>
      </c>
      <c r="S14" s="5">
        <f t="shared" si="8"/>
        <v>0.41905972218574983</v>
      </c>
      <c r="T14" s="5">
        <f t="shared" si="8"/>
        <v>0.81125236061553363</v>
      </c>
      <c r="X14" s="4">
        <f t="shared" si="9"/>
        <v>0.44863402872716646</v>
      </c>
      <c r="Y14" s="5">
        <f t="shared" si="10"/>
        <v>0.52755057167985919</v>
      </c>
      <c r="Z14" s="5">
        <f t="shared" si="10"/>
        <v>0.52330780404285093</v>
      </c>
      <c r="AA14" s="5">
        <f t="shared" si="10"/>
        <v>0.29504371045878935</v>
      </c>
      <c r="AE14" s="4">
        <f t="shared" ref="AE14:AE18" si="12">AVERAGE(AF14:AG14)</f>
        <v>0.46673351093428239</v>
      </c>
      <c r="AF14" s="5">
        <f t="shared" si="11"/>
        <v>0.41390059153414765</v>
      </c>
      <c r="AG14" s="5">
        <f t="shared" si="11"/>
        <v>0.51956643033441707</v>
      </c>
      <c r="AH14" s="5"/>
    </row>
    <row r="15" spans="1:39">
      <c r="A15" s="121"/>
      <c r="B15" s="118"/>
      <c r="C15" s="118"/>
      <c r="D15" s="118"/>
      <c r="E15" s="119"/>
      <c r="I15" s="52" t="str">
        <f>$B$7</f>
        <v>Bahrain</v>
      </c>
      <c r="J15" s="4">
        <f t="shared" si="5"/>
        <v>0.30172916666666666</v>
      </c>
      <c r="K15" s="5">
        <f t="shared" si="6"/>
        <v>0.40518749999999998</v>
      </c>
      <c r="L15" s="5">
        <f t="shared" si="6"/>
        <v>0.5</v>
      </c>
      <c r="M15" s="5">
        <f t="shared" si="6"/>
        <v>0</v>
      </c>
      <c r="P15" s="5"/>
      <c r="Q15" s="4">
        <f t="shared" si="7"/>
        <v>0.47793086128908885</v>
      </c>
      <c r="R15" s="5">
        <f t="shared" si="8"/>
        <v>0.3163544886291712</v>
      </c>
      <c r="S15" s="5">
        <f t="shared" si="8"/>
        <v>0.55720000000000003</v>
      </c>
      <c r="T15" s="5">
        <f t="shared" si="8"/>
        <v>0.5602380952380952</v>
      </c>
      <c r="X15" s="4">
        <f t="shared" si="9"/>
        <v>0.18205903359650119</v>
      </c>
      <c r="Y15" s="5">
        <f t="shared" si="10"/>
        <v>0.12933673469387758</v>
      </c>
      <c r="Z15" s="5">
        <f t="shared" si="10"/>
        <v>0.32196000000000002</v>
      </c>
      <c r="AA15" s="5">
        <f t="shared" si="10"/>
        <v>9.4880366095625931E-2</v>
      </c>
      <c r="AE15" s="4">
        <f t="shared" si="12"/>
        <v>0.23622545812155599</v>
      </c>
      <c r="AF15" s="5">
        <f t="shared" si="11"/>
        <v>0.15266666666666664</v>
      </c>
      <c r="AG15" s="5">
        <f t="shared" si="11"/>
        <v>0.3197842495764453</v>
      </c>
      <c r="AH15" s="5"/>
    </row>
    <row r="16" spans="1:39">
      <c r="A16" s="121"/>
      <c r="B16" s="118"/>
      <c r="C16" s="118"/>
      <c r="D16" s="118"/>
      <c r="E16" s="119"/>
      <c r="I16" s="52" t="str">
        <f>$B$8</f>
        <v>South Africa</v>
      </c>
      <c r="J16" s="4">
        <f t="shared" si="5"/>
        <v>0.27435231481481481</v>
      </c>
      <c r="K16" s="5">
        <f t="shared" si="6"/>
        <v>0.50359027777777787</v>
      </c>
      <c r="L16" s="5">
        <f t="shared" si="6"/>
        <v>0.15946666666666667</v>
      </c>
      <c r="M16" s="5">
        <f t="shared" si="6"/>
        <v>0.15999999999999998</v>
      </c>
      <c r="P16" s="5"/>
      <c r="Q16" s="4">
        <f t="shared" si="7"/>
        <v>0.48511423041358098</v>
      </c>
      <c r="R16" s="5">
        <f t="shared" si="8"/>
        <v>0.567967474412022</v>
      </c>
      <c r="S16" s="5">
        <f t="shared" si="8"/>
        <v>0.31961385823931399</v>
      </c>
      <c r="T16" s="5">
        <f t="shared" si="8"/>
        <v>0.56776135858940702</v>
      </c>
      <c r="X16" s="4">
        <f t="shared" si="9"/>
        <v>0.49757312915194146</v>
      </c>
      <c r="Y16" s="5">
        <f t="shared" si="10"/>
        <v>0.70416666666666661</v>
      </c>
      <c r="Z16" s="5">
        <f t="shared" si="10"/>
        <v>0.33091621069390181</v>
      </c>
      <c r="AA16" s="5">
        <f t="shared" si="10"/>
        <v>0.45763651009525586</v>
      </c>
      <c r="AE16" s="4">
        <f t="shared" si="12"/>
        <v>0.18466811761053167</v>
      </c>
      <c r="AF16" s="5">
        <f t="shared" si="11"/>
        <v>9.0175533360231208E-2</v>
      </c>
      <c r="AG16" s="5">
        <f t="shared" si="11"/>
        <v>0.27916070186083214</v>
      </c>
      <c r="AH16" s="5"/>
    </row>
    <row r="17" spans="1:35">
      <c r="A17" s="121"/>
      <c r="B17" s="118"/>
      <c r="C17" s="118"/>
      <c r="D17" s="118"/>
      <c r="E17" s="119"/>
      <c r="I17" s="52" t="str">
        <f>$B$9</f>
        <v>Denmark</v>
      </c>
      <c r="J17" s="4">
        <f t="shared" si="5"/>
        <v>0.15642685185185182</v>
      </c>
      <c r="K17" s="5">
        <f t="shared" si="6"/>
        <v>0.41318055555555544</v>
      </c>
      <c r="L17" s="5">
        <f t="shared" si="6"/>
        <v>5.609999999999999E-2</v>
      </c>
      <c r="M17" s="5">
        <f t="shared" si="6"/>
        <v>0</v>
      </c>
      <c r="P17" s="5"/>
      <c r="Q17" s="4">
        <f t="shared" si="7"/>
        <v>0.12216970337032777</v>
      </c>
      <c r="R17" s="5">
        <f t="shared" si="8"/>
        <v>9.0404558845831318E-2</v>
      </c>
      <c r="S17" s="5">
        <f t="shared" si="8"/>
        <v>0.13302434293181867</v>
      </c>
      <c r="T17" s="5">
        <f t="shared" si="8"/>
        <v>0.14308020833333335</v>
      </c>
      <c r="X17" s="4">
        <f t="shared" si="9"/>
        <v>5.0833791655603144E-2</v>
      </c>
      <c r="Y17" s="5">
        <f t="shared" si="10"/>
        <v>8.7333333333333263E-2</v>
      </c>
      <c r="Z17" s="5">
        <f t="shared" si="10"/>
        <v>0</v>
      </c>
      <c r="AA17" s="5">
        <f t="shared" si="10"/>
        <v>6.516804163347617E-2</v>
      </c>
      <c r="AE17" s="4">
        <f t="shared" si="12"/>
        <v>7.9244898644843631E-2</v>
      </c>
      <c r="AF17" s="5">
        <f t="shared" si="11"/>
        <v>6.8333333333333329E-2</v>
      </c>
      <c r="AG17" s="5">
        <f t="shared" si="11"/>
        <v>9.0156463956353947E-2</v>
      </c>
      <c r="AH17" s="5"/>
    </row>
    <row r="18" spans="1:35">
      <c r="A18" s="121"/>
      <c r="B18" s="118"/>
      <c r="C18" s="118"/>
      <c r="D18" s="118"/>
      <c r="E18" s="119"/>
      <c r="I18" s="86" t="s">
        <v>470</v>
      </c>
      <c r="J18" s="4">
        <f t="shared" si="5"/>
        <v>0.33743385818337623</v>
      </c>
      <c r="K18" s="5">
        <f t="shared" si="6"/>
        <v>0.60539583333333336</v>
      </c>
      <c r="L18" s="5">
        <f t="shared" si="6"/>
        <v>0.29690574121679519</v>
      </c>
      <c r="M18" s="5">
        <f t="shared" si="6"/>
        <v>0.11000000000000004</v>
      </c>
      <c r="P18" s="5"/>
      <c r="Q18" s="4">
        <f t="shared" si="7"/>
        <v>0.43009901920682508</v>
      </c>
      <c r="R18" s="5">
        <f t="shared" si="8"/>
        <v>0.37546256844740616</v>
      </c>
      <c r="S18" s="5">
        <f t="shared" si="8"/>
        <v>0.50684621748572234</v>
      </c>
      <c r="T18" s="5">
        <f t="shared" si="8"/>
        <v>0.40798827168734686</v>
      </c>
      <c r="X18" s="4">
        <f t="shared" si="9"/>
        <v>0.30807418915483742</v>
      </c>
      <c r="Y18" s="5">
        <f t="shared" si="10"/>
        <v>0.36582469775474946</v>
      </c>
      <c r="Z18" s="5">
        <f t="shared" si="10"/>
        <v>0.39804034280551887</v>
      </c>
      <c r="AA18" s="5">
        <f t="shared" si="10"/>
        <v>0.16035752690424399</v>
      </c>
      <c r="AE18" s="4">
        <f t="shared" si="12"/>
        <v>5.5086708552483252E-2</v>
      </c>
      <c r="AF18" s="5">
        <f t="shared" si="11"/>
        <v>8.4950694310322161E-3</v>
      </c>
      <c r="AG18" s="5">
        <f t="shared" si="11"/>
        <v>0.10167834767393429</v>
      </c>
      <c r="AH18" s="5"/>
    </row>
    <row r="19" spans="1:35">
      <c r="A19" s="123"/>
      <c r="B19" s="118"/>
      <c r="C19" s="118"/>
      <c r="D19" s="118"/>
      <c r="E19" s="119"/>
      <c r="K19" s="5"/>
      <c r="L19" s="5"/>
      <c r="M19" s="5"/>
    </row>
    <row r="20" spans="1:35" s="20" customFormat="1" ht="36">
      <c r="A20" s="124"/>
      <c r="B20" s="125"/>
      <c r="C20" s="125"/>
      <c r="D20" s="125"/>
      <c r="E20" s="126"/>
      <c r="N20"/>
      <c r="O20"/>
      <c r="P20"/>
      <c r="Q20"/>
      <c r="R20"/>
      <c r="S20"/>
      <c r="X20" s="104" t="s">
        <v>519</v>
      </c>
      <c r="Y20" s="96" t="s">
        <v>532</v>
      </c>
      <c r="Z20" s="59" t="s">
        <v>420</v>
      </c>
      <c r="AA20" s="59" t="s">
        <v>421</v>
      </c>
      <c r="AB20" s="59" t="s">
        <v>535</v>
      </c>
      <c r="AC20" s="94"/>
      <c r="AD20" s="93" t="s">
        <v>518</v>
      </c>
      <c r="AE20" s="96" t="s">
        <v>532</v>
      </c>
      <c r="AF20" s="105" t="str">
        <f>J2</f>
        <v>Water</v>
      </c>
      <c r="AG20" s="105" t="str">
        <f>Q2</f>
        <v>Food</v>
      </c>
      <c r="AH20" s="105" t="str">
        <f>X2</f>
        <v>Health</v>
      </c>
      <c r="AI20" s="106" t="s">
        <v>530</v>
      </c>
    </row>
    <row r="21" spans="1:35">
      <c r="A21" s="123"/>
      <c r="B21" s="118"/>
      <c r="C21" s="118"/>
      <c r="D21" s="118"/>
      <c r="E21" s="127"/>
      <c r="X21" s="7" t="str">
        <f>$B$4</f>
        <v>Cambodia</v>
      </c>
      <c r="Y21" s="4">
        <f t="shared" ref="Y21:Y27" si="13">AVERAGE(Z21:AB21)</f>
        <v>0.47088279432624569</v>
      </c>
      <c r="Z21" s="5">
        <f t="shared" ref="Z21:AA25" si="14">AVERAGE(K4,N4,R4,U4,Y4,AB4,AF4,AH4,AJ4)</f>
        <v>0.42893142310304455</v>
      </c>
      <c r="AA21" s="5">
        <f t="shared" si="14"/>
        <v>0.41300150895644799</v>
      </c>
      <c r="AB21" s="5">
        <f>AVERAGE(M4,P4,T4,W4,AA4,AD4)</f>
        <v>0.57071545091924458</v>
      </c>
      <c r="AC21" s="5"/>
      <c r="AD21" s="7" t="str">
        <f>$B$4</f>
        <v>Cambodia</v>
      </c>
      <c r="AE21" s="4">
        <f t="shared" ref="AE21:AE27" si="15">AVERAGE(AF21:AI21)</f>
        <v>0.45840371225212079</v>
      </c>
      <c r="AF21" s="5">
        <f>AVERAGE(K4:P4)</f>
        <v>0.39264648970804455</v>
      </c>
      <c r="AG21" s="5">
        <f>AVERAGE(R4:W4)</f>
        <v>0.50715279770631161</v>
      </c>
      <c r="AH21" s="5">
        <f>AVERAGE(Y4:AD4)</f>
        <v>0.53626504517830675</v>
      </c>
      <c r="AI21" s="5">
        <f>AVERAGE(AF4:AK4)</f>
        <v>0.39755051641582045</v>
      </c>
    </row>
    <row r="22" spans="1:35">
      <c r="A22" s="123"/>
      <c r="B22" s="118"/>
      <c r="C22" s="118"/>
      <c r="D22" s="118"/>
      <c r="E22" s="127"/>
      <c r="X22" s="52" t="str">
        <f>$B$6</f>
        <v>Bangladesh</v>
      </c>
      <c r="Y22" s="4">
        <f t="shared" si="13"/>
        <v>0.46043409220693238</v>
      </c>
      <c r="Z22" s="5">
        <f t="shared" si="14"/>
        <v>0.49027748471184501</v>
      </c>
      <c r="AA22" s="5">
        <f t="shared" si="14"/>
        <v>0.41059276821751112</v>
      </c>
      <c r="AB22" s="5">
        <f>AVERAGE(M5,P5,T5,W5,AA5,AD5)</f>
        <v>0.480432023691441</v>
      </c>
      <c r="AD22" s="52" t="str">
        <f>$B$6</f>
        <v>Bangladesh</v>
      </c>
      <c r="AE22" s="4">
        <f t="shared" si="15"/>
        <v>0.45793435077136885</v>
      </c>
      <c r="AF22" s="5">
        <f>AVERAGE(K5:P5)</f>
        <v>0.26166861360137644</v>
      </c>
      <c r="AG22" s="5">
        <f>AVERAGE(R5:W5)</f>
        <v>0.65470124982264999</v>
      </c>
      <c r="AH22" s="5">
        <f>AVERAGE(Y5:AD5)</f>
        <v>0.44863402872716657</v>
      </c>
      <c r="AI22" s="5">
        <f>AVERAGE(AF5:AK5)</f>
        <v>0.46673351093428234</v>
      </c>
    </row>
    <row r="23" spans="1:35">
      <c r="A23" s="123"/>
      <c r="B23" s="118"/>
      <c r="C23" s="118"/>
      <c r="D23" s="118"/>
      <c r="E23" s="127"/>
      <c r="X23" s="52" t="str">
        <f>$B$7</f>
        <v>Bahrain</v>
      </c>
      <c r="Y23" s="4">
        <f t="shared" si="13"/>
        <v>0.290473539976911</v>
      </c>
      <c r="Z23" s="5">
        <f t="shared" si="14"/>
        <v>0.23997304962734414</v>
      </c>
      <c r="AA23" s="5">
        <f t="shared" si="14"/>
        <v>0.41307474985881509</v>
      </c>
      <c r="AB23" s="5">
        <f>AVERAGE(M6,P6,T6,W6,AA6,AD6)</f>
        <v>0.21837282044457371</v>
      </c>
      <c r="AD23" s="52" t="str">
        <f>$B$7</f>
        <v>Bahrain</v>
      </c>
      <c r="AE23" s="4">
        <f t="shared" si="15"/>
        <v>0.29948612991845319</v>
      </c>
      <c r="AF23" s="5">
        <f>AVERAGE(K6:P6)</f>
        <v>0.30172916666666666</v>
      </c>
      <c r="AG23" s="5">
        <f>AVERAGE(R6:W6)</f>
        <v>0.47793086128908885</v>
      </c>
      <c r="AH23" s="5">
        <f>AVERAGE(Y6:AD6)</f>
        <v>0.18205903359650119</v>
      </c>
      <c r="AI23" s="5">
        <f>AVERAGE(AF6:AK6)</f>
        <v>0.23622545812155601</v>
      </c>
    </row>
    <row r="24" spans="1:35">
      <c r="A24" s="123"/>
      <c r="B24" s="118"/>
      <c r="C24" s="118"/>
      <c r="D24" s="118"/>
      <c r="E24" s="127"/>
      <c r="X24" s="52" t="str">
        <f>$B$8</f>
        <v>South Africa</v>
      </c>
      <c r="Y24" s="4">
        <f t="shared" si="13"/>
        <v>0.36428313409740282</v>
      </c>
      <c r="Z24" s="5">
        <f t="shared" si="14"/>
        <v>0.42466393753262521</v>
      </c>
      <c r="AA24" s="5">
        <f t="shared" si="14"/>
        <v>0.27305284186469575</v>
      </c>
      <c r="AB24" s="5">
        <f>AVERAGE(M7,P7,T7,W7,AA7,AD7)</f>
        <v>0.39513262289488754</v>
      </c>
      <c r="AD24" s="52" t="str">
        <f>$B$8</f>
        <v>South Africa</v>
      </c>
      <c r="AE24" s="4">
        <f t="shared" si="15"/>
        <v>0.36042694799771718</v>
      </c>
      <c r="AF24" s="5">
        <f>AVERAGE(K7:P7)</f>
        <v>0.27435231481481481</v>
      </c>
      <c r="AG24" s="5">
        <f>AVERAGE(R7:W7)</f>
        <v>0.48511423041358098</v>
      </c>
      <c r="AH24" s="5">
        <f>AVERAGE(Y7:AD7)</f>
        <v>0.49757312915194141</v>
      </c>
      <c r="AI24" s="5">
        <f>AVERAGE(AF7:AK7)</f>
        <v>0.18466811761053167</v>
      </c>
    </row>
    <row r="25" spans="1:35">
      <c r="A25" s="123"/>
      <c r="B25" s="118"/>
      <c r="C25" s="118"/>
      <c r="D25" s="118"/>
      <c r="E25" s="127"/>
      <c r="X25" s="52" t="str">
        <f>$B$9</f>
        <v>Denmark</v>
      </c>
      <c r="Y25" s="4">
        <f t="shared" si="13"/>
        <v>9.8529619374169194E-2</v>
      </c>
      <c r="Z25" s="5">
        <f t="shared" si="14"/>
        <v>0.15409298838549335</v>
      </c>
      <c r="AA25" s="5">
        <f t="shared" si="14"/>
        <v>7.2079786414744357E-2</v>
      </c>
      <c r="AB25" s="5">
        <f>AVERAGE(M8,P8,T8,W8,AA8,AD8)</f>
        <v>6.9416083322269839E-2</v>
      </c>
      <c r="AD25" s="52" t="str">
        <f>$B$9</f>
        <v>Denmark</v>
      </c>
      <c r="AE25" s="4">
        <f t="shared" si="15"/>
        <v>0.1021688113806566</v>
      </c>
      <c r="AF25" s="5">
        <f>AVERAGE(K8:P8)</f>
        <v>0.15642685185185182</v>
      </c>
      <c r="AG25" s="5">
        <f>AVERAGE(R8:W8)</f>
        <v>0.12216970337032779</v>
      </c>
      <c r="AH25" s="5">
        <f>AVERAGE(Y8:AD8)</f>
        <v>5.0833791655603144E-2</v>
      </c>
      <c r="AI25" s="5">
        <f>AVERAGE(AF8:AK8)</f>
        <v>7.9244898644843631E-2</v>
      </c>
    </row>
    <row r="26" spans="1:35">
      <c r="A26" s="123"/>
      <c r="B26" s="118"/>
      <c r="C26" s="118"/>
      <c r="D26" s="118"/>
      <c r="E26" s="127"/>
      <c r="X26" s="86" t="str">
        <f>INDEX(IncomeGrp!I12:I17,'The View'!A3)</f>
        <v>LDCs</v>
      </c>
      <c r="Y26" s="4">
        <f t="shared" ca="1" si="13"/>
        <v>0.3259210344474423</v>
      </c>
      <c r="Z26" s="5">
        <f ca="1">LOOKUP($A$3,IncomeGrp!O$12:O$17)</f>
        <v>0.31678300508554164</v>
      </c>
      <c r="AA26" s="5">
        <f ca="1">LOOKUP($A$3,IncomeGrp!P$12:P$17)</f>
        <v>0.34445416843767274</v>
      </c>
      <c r="AB26" s="5">
        <f ca="1">LOOKUP($A$3,IncomeGrp!Q$12:Q$17)</f>
        <v>0.31652592981911265</v>
      </c>
      <c r="AD26" s="86" t="str">
        <f>INDEX(IncomeGrp!I12:I17,'The View'!A3)</f>
        <v>LDCs</v>
      </c>
      <c r="AE26" s="4">
        <f t="shared" ca="1" si="15"/>
        <v>0.32625745136720558</v>
      </c>
      <c r="AF26" s="5">
        <f ca="1">LOOKUP($A$3,IncomeGrp!K$12:K$17)</f>
        <v>0.27707902323052108</v>
      </c>
      <c r="AG26" s="5">
        <f ca="1">LOOKUP($A$3,IncomeGrp!L$12:L$17)</f>
        <v>0.43154716582150393</v>
      </c>
      <c r="AH26" s="5">
        <f ca="1">LOOKUP($A$3,IncomeGrp!M$12:M$17)</f>
        <v>0.34155966558478218</v>
      </c>
      <c r="AI26" s="5">
        <f ca="1">LOOKUP($A$3,IncomeGrp!N$12:N$17)</f>
        <v>0.25484395083201505</v>
      </c>
    </row>
    <row r="27" spans="1:35">
      <c r="A27" s="123"/>
      <c r="B27" s="118"/>
      <c r="C27" s="118"/>
      <c r="D27" s="118"/>
      <c r="E27" s="119"/>
      <c r="X27" s="86" t="str">
        <f>$B$10</f>
        <v xml:space="preserve">GLOBAL </v>
      </c>
      <c r="Y27" s="4">
        <f t="shared" si="13"/>
        <v>0.27638920182136012</v>
      </c>
      <c r="Z27" s="5">
        <f>AVERAGE(K9,N9,R9,U9,Y9,AB9,AF9,AH9,AJ9)</f>
        <v>0.30209460081823053</v>
      </c>
      <c r="AA27" s="5">
        <f>AVERAGE(L9,O9,S9,V9,Z9,AC9,AG9,AI9,AK9)</f>
        <v>0.30095773844865287</v>
      </c>
      <c r="AB27" s="5">
        <f>AVERAGE(M9,P9,T9,W9,AA9,AD9)</f>
        <v>0.22611526619719693</v>
      </c>
      <c r="AD27" s="86" t="str">
        <f>$B$10</f>
        <v xml:space="preserve">GLOBAL </v>
      </c>
      <c r="AE27" s="4">
        <f t="shared" si="15"/>
        <v>0.28267344377438053</v>
      </c>
      <c r="AF27" s="5">
        <f>AVERAGE(K9:P9)</f>
        <v>0.33743385818337618</v>
      </c>
      <c r="AG27" s="5">
        <f>AVERAGE(R9:W9)</f>
        <v>0.43009901920682519</v>
      </c>
      <c r="AH27" s="5">
        <f>AVERAGE(Y9:AD9)</f>
        <v>0.30807418915483747</v>
      </c>
      <c r="AI27" s="5">
        <f>AVERAGE(AF9:AK9)</f>
        <v>5.5086708552483245E-2</v>
      </c>
    </row>
    <row r="28" spans="1:35">
      <c r="A28" s="123"/>
      <c r="B28" s="118"/>
      <c r="C28" s="118"/>
      <c r="D28" s="118"/>
      <c r="E28" s="119"/>
    </row>
    <row r="29" spans="1:35">
      <c r="A29" s="123"/>
      <c r="B29" s="118"/>
      <c r="C29" s="118"/>
      <c r="D29" s="118"/>
      <c r="E29" s="119"/>
    </row>
    <row r="30" spans="1:35">
      <c r="A30" s="123"/>
      <c r="B30" s="118"/>
      <c r="C30" s="118"/>
      <c r="D30" s="118"/>
      <c r="E30" s="119"/>
    </row>
    <row r="31" spans="1:35">
      <c r="A31" s="123"/>
      <c r="B31" s="118"/>
      <c r="C31" s="118"/>
      <c r="D31" s="118"/>
      <c r="E31" s="119"/>
    </row>
    <row r="32" spans="1:35">
      <c r="A32" s="123"/>
      <c r="B32" s="118"/>
      <c r="C32" s="118"/>
      <c r="D32" s="118"/>
      <c r="E32" s="119"/>
    </row>
    <row r="33" spans="1:31">
      <c r="A33" s="123"/>
      <c r="B33" s="118"/>
      <c r="C33" s="118"/>
      <c r="D33" s="118"/>
      <c r="E33" s="119"/>
    </row>
    <row r="34" spans="1:31">
      <c r="A34" s="123"/>
      <c r="B34" s="118"/>
      <c r="C34" s="118"/>
      <c r="D34" s="118"/>
      <c r="E34" s="119"/>
    </row>
    <row r="35" spans="1:31">
      <c r="A35" s="123"/>
      <c r="B35" s="118"/>
      <c r="C35" s="118"/>
      <c r="D35" s="118"/>
      <c r="E35" s="119"/>
    </row>
    <row r="36" spans="1:31">
      <c r="A36" s="123"/>
      <c r="B36" s="118"/>
      <c r="C36" s="118"/>
      <c r="D36" s="118"/>
      <c r="E36" s="119"/>
    </row>
    <row r="37" spans="1:31">
      <c r="A37" s="123"/>
      <c r="B37" s="118"/>
      <c r="C37" s="118"/>
      <c r="D37" s="118"/>
      <c r="E37" s="119"/>
    </row>
    <row r="38" spans="1:31">
      <c r="A38" s="123"/>
      <c r="B38" s="118"/>
      <c r="C38" s="118"/>
      <c r="D38" s="118"/>
      <c r="E38" s="119"/>
    </row>
    <row r="39" spans="1:31">
      <c r="A39" s="123"/>
      <c r="B39" s="118"/>
      <c r="C39" s="118"/>
      <c r="D39" s="118"/>
      <c r="E39" s="119"/>
    </row>
    <row r="40" spans="1:31">
      <c r="A40" s="123"/>
      <c r="B40" s="118"/>
      <c r="C40" s="118"/>
      <c r="D40" s="118"/>
      <c r="E40" s="119"/>
    </row>
    <row r="41" spans="1:31" ht="16" thickBot="1">
      <c r="A41" s="128"/>
      <c r="B41" s="129"/>
      <c r="C41" s="129"/>
      <c r="D41" s="129"/>
      <c r="E41" s="130"/>
    </row>
    <row r="42" spans="1:31">
      <c r="AE42" s="107"/>
    </row>
  </sheetData>
  <mergeCells count="1">
    <mergeCell ref="B12:E12"/>
  </mergeCells>
  <pageMargins left="0.75" right="0.75" top="1" bottom="1" header="0.5" footer="0.5"/>
  <pageSetup orientation="portrait" horizontalDpi="4294967292" verticalDpi="429496729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'Full Scores'!$B$10:$B$201</xm:f>
          </x14:formula1>
          <xm:sqref>B4 B6:B9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CB183"/>
  <sheetViews>
    <sheetView tabSelected="1" topLeftCell="A22" workbookViewId="0">
      <selection activeCell="K36" sqref="K36"/>
    </sheetView>
  </sheetViews>
  <sheetFormatPr baseColWidth="10" defaultRowHeight="15" x14ac:dyDescent="0"/>
  <sheetData>
    <row r="1" spans="1:80">
      <c r="A1">
        <v>3</v>
      </c>
      <c r="D1" s="8" t="s">
        <v>547</v>
      </c>
      <c r="E1" s="3" t="s">
        <v>548</v>
      </c>
    </row>
    <row r="2" spans="1:80">
      <c r="A2">
        <v>4</v>
      </c>
      <c r="D2" s="8" t="s">
        <v>549</v>
      </c>
      <c r="E2" s="3">
        <v>36</v>
      </c>
    </row>
    <row r="3" spans="1:80">
      <c r="D3" s="8" t="s">
        <v>550</v>
      </c>
      <c r="E3" s="3">
        <v>192</v>
      </c>
      <c r="BZ3">
        <v>0.35199999999999998</v>
      </c>
      <c r="CA3">
        <v>0.93666666666666665</v>
      </c>
      <c r="CB3" t="e">
        <v>#VALUE!</v>
      </c>
    </row>
    <row r="4" spans="1:80">
      <c r="C4" s="142" t="s">
        <v>552</v>
      </c>
      <c r="D4" s="143" t="s">
        <v>553</v>
      </c>
      <c r="E4" s="144" t="s">
        <v>554</v>
      </c>
      <c r="BZ4">
        <v>0.81799999999999995</v>
      </c>
      <c r="CA4">
        <v>3.3333333333333333E-2</v>
      </c>
      <c r="CB4">
        <v>0.29280988938017399</v>
      </c>
    </row>
    <row r="5" spans="1:80" ht="106" thickBot="1">
      <c r="B5" s="141" t="s">
        <v>551</v>
      </c>
      <c r="C5" s="152" t="s">
        <v>391</v>
      </c>
      <c r="D5" s="152" t="s">
        <v>392</v>
      </c>
      <c r="E5" s="152" t="s">
        <v>393</v>
      </c>
      <c r="F5" s="152" t="s">
        <v>498</v>
      </c>
      <c r="G5" s="194" t="s">
        <v>1</v>
      </c>
      <c r="H5" s="194" t="s">
        <v>2</v>
      </c>
      <c r="I5" s="194" t="s">
        <v>3</v>
      </c>
      <c r="J5" s="194" t="s">
        <v>4</v>
      </c>
      <c r="K5" s="194" t="s">
        <v>5</v>
      </c>
      <c r="L5" s="194" t="s">
        <v>6</v>
      </c>
      <c r="M5" s="195" t="s">
        <v>395</v>
      </c>
      <c r="N5" s="195" t="s">
        <v>396</v>
      </c>
      <c r="O5" s="195" t="s">
        <v>397</v>
      </c>
      <c r="P5" s="195" t="s">
        <v>398</v>
      </c>
      <c r="Q5" s="195" t="s">
        <v>399</v>
      </c>
      <c r="R5" s="195" t="s">
        <v>400</v>
      </c>
      <c r="S5" s="196" t="s">
        <v>407</v>
      </c>
      <c r="T5" s="196" t="s">
        <v>408</v>
      </c>
      <c r="U5" s="196" t="s">
        <v>409</v>
      </c>
      <c r="V5" s="196" t="s">
        <v>410</v>
      </c>
      <c r="W5" s="196" t="s">
        <v>411</v>
      </c>
      <c r="X5" s="196" t="s">
        <v>412</v>
      </c>
      <c r="Y5" s="197" t="s">
        <v>493</v>
      </c>
      <c r="Z5" s="197" t="s">
        <v>496</v>
      </c>
      <c r="AA5" s="197" t="s">
        <v>476</v>
      </c>
      <c r="AB5" s="197" t="s">
        <v>477</v>
      </c>
      <c r="AC5" s="197" t="s">
        <v>495</v>
      </c>
      <c r="AD5" s="197" t="s">
        <v>494</v>
      </c>
      <c r="AE5" s="198" t="s">
        <v>537</v>
      </c>
      <c r="AF5" s="198" t="s">
        <v>538</v>
      </c>
      <c r="AG5" s="198" t="s">
        <v>539</v>
      </c>
      <c r="AH5" s="198" t="s">
        <v>540</v>
      </c>
      <c r="AI5" s="198" t="s">
        <v>541</v>
      </c>
      <c r="AJ5" s="198" t="s">
        <v>542</v>
      </c>
      <c r="AK5" s="198" t="s">
        <v>543</v>
      </c>
      <c r="AL5" s="198" t="s">
        <v>544</v>
      </c>
      <c r="BZ5">
        <v>0.754</v>
      </c>
      <c r="CA5">
        <v>6.7333333333333328E-2</v>
      </c>
      <c r="CB5">
        <v>0.31056087006768202</v>
      </c>
    </row>
    <row r="6" spans="1:80" ht="16" thickTop="1">
      <c r="B6" s="153" t="s">
        <v>391</v>
      </c>
      <c r="C6">
        <v>0</v>
      </c>
      <c r="D6" s="149">
        <v>151</v>
      </c>
      <c r="E6" s="149">
        <v>163</v>
      </c>
      <c r="F6" s="149">
        <v>155</v>
      </c>
      <c r="G6" s="173">
        <v>164</v>
      </c>
      <c r="H6" s="149">
        <v>164</v>
      </c>
      <c r="I6" s="151">
        <v>164</v>
      </c>
      <c r="J6" s="142">
        <v>164</v>
      </c>
      <c r="K6" s="151">
        <v>164</v>
      </c>
      <c r="L6" s="149">
        <v>164</v>
      </c>
      <c r="M6" s="184">
        <v>164</v>
      </c>
      <c r="N6" s="149">
        <v>164</v>
      </c>
      <c r="O6" s="149">
        <v>164</v>
      </c>
      <c r="P6">
        <v>160</v>
      </c>
      <c r="Q6" s="142">
        <v>154</v>
      </c>
      <c r="R6" s="149">
        <v>164</v>
      </c>
      <c r="S6" s="173">
        <v>164</v>
      </c>
      <c r="T6" s="149">
        <v>164</v>
      </c>
      <c r="U6" s="149">
        <v>164</v>
      </c>
      <c r="V6" s="149">
        <v>164</v>
      </c>
      <c r="W6" s="149">
        <v>163</v>
      </c>
      <c r="X6" s="149">
        <v>164</v>
      </c>
      <c r="Y6" s="190">
        <v>163</v>
      </c>
      <c r="Z6" s="143">
        <v>164</v>
      </c>
      <c r="AA6" s="149">
        <v>164</v>
      </c>
      <c r="AB6">
        <v>135</v>
      </c>
      <c r="AC6">
        <v>164</v>
      </c>
      <c r="AD6" s="149">
        <v>162</v>
      </c>
      <c r="AE6" s="184">
        <v>164</v>
      </c>
      <c r="AF6" s="149">
        <v>164</v>
      </c>
      <c r="AG6" s="151">
        <v>160</v>
      </c>
      <c r="AH6">
        <v>155</v>
      </c>
      <c r="AI6" s="151">
        <v>163</v>
      </c>
      <c r="AJ6" s="149">
        <v>164</v>
      </c>
      <c r="AK6" s="149">
        <v>163</v>
      </c>
      <c r="AL6" s="143">
        <v>164</v>
      </c>
      <c r="BZ6">
        <v>0.93400000000000005</v>
      </c>
      <c r="CA6">
        <v>0</v>
      </c>
      <c r="CB6" t="e">
        <v>#DIV/0!</v>
      </c>
    </row>
    <row r="7" spans="1:80">
      <c r="B7" s="153" t="s">
        <v>392</v>
      </c>
      <c r="C7" s="148">
        <v>0.28249242901802063</v>
      </c>
      <c r="D7">
        <v>0</v>
      </c>
      <c r="E7" s="151">
        <v>159</v>
      </c>
      <c r="F7" s="149">
        <v>150</v>
      </c>
      <c r="G7" s="174">
        <v>160</v>
      </c>
      <c r="H7">
        <v>156</v>
      </c>
      <c r="I7" s="149">
        <v>157</v>
      </c>
      <c r="J7" s="149">
        <v>160</v>
      </c>
      <c r="K7" s="149">
        <v>156</v>
      </c>
      <c r="L7" s="149">
        <v>158</v>
      </c>
      <c r="M7" s="185">
        <v>160</v>
      </c>
      <c r="N7" s="149">
        <v>160</v>
      </c>
      <c r="O7" s="151">
        <v>160</v>
      </c>
      <c r="P7">
        <v>160</v>
      </c>
      <c r="Q7" s="149">
        <v>160</v>
      </c>
      <c r="R7" s="149">
        <v>160</v>
      </c>
      <c r="S7" s="174">
        <v>159</v>
      </c>
      <c r="T7" s="149">
        <v>160</v>
      </c>
      <c r="U7" s="149">
        <v>160</v>
      </c>
      <c r="V7" s="151">
        <v>160</v>
      </c>
      <c r="W7" s="149">
        <v>159</v>
      </c>
      <c r="X7" s="149">
        <v>160</v>
      </c>
      <c r="Y7" s="187">
        <v>158</v>
      </c>
      <c r="Z7">
        <v>158</v>
      </c>
      <c r="AA7" s="151">
        <v>159</v>
      </c>
      <c r="AB7" s="142">
        <v>136</v>
      </c>
      <c r="AC7">
        <v>158</v>
      </c>
      <c r="AD7" s="149">
        <v>158</v>
      </c>
      <c r="AE7" s="175">
        <v>160</v>
      </c>
      <c r="AF7" s="149">
        <v>160</v>
      </c>
      <c r="AG7" s="151">
        <v>157</v>
      </c>
      <c r="AH7" s="149">
        <v>150</v>
      </c>
      <c r="AI7" s="151">
        <v>159</v>
      </c>
      <c r="AJ7" s="149">
        <v>160</v>
      </c>
      <c r="AK7" s="149">
        <v>159</v>
      </c>
      <c r="AL7" s="149">
        <v>158</v>
      </c>
      <c r="BZ7">
        <v>0.56399999999999995</v>
      </c>
      <c r="CA7">
        <v>0.84399999999999997</v>
      </c>
      <c r="CB7">
        <v>0.49435087717856302</v>
      </c>
    </row>
    <row r="8" spans="1:80">
      <c r="B8" s="153" t="s">
        <v>393</v>
      </c>
      <c r="C8" s="148">
        <v>0.35634005069732666</v>
      </c>
      <c r="D8" s="150">
        <v>0.51679420471191406</v>
      </c>
      <c r="E8">
        <v>0</v>
      </c>
      <c r="F8" s="151">
        <v>163</v>
      </c>
      <c r="G8" s="175">
        <v>182</v>
      </c>
      <c r="H8" s="149">
        <v>167</v>
      </c>
      <c r="I8" s="151">
        <v>177</v>
      </c>
      <c r="J8" s="149">
        <v>182</v>
      </c>
      <c r="K8" s="151">
        <v>179</v>
      </c>
      <c r="L8" s="151">
        <v>178</v>
      </c>
      <c r="M8" s="175">
        <v>182</v>
      </c>
      <c r="N8" s="149">
        <v>182</v>
      </c>
      <c r="O8" s="149">
        <v>182</v>
      </c>
      <c r="P8">
        <v>175</v>
      </c>
      <c r="Q8">
        <v>168</v>
      </c>
      <c r="R8" s="149">
        <v>172</v>
      </c>
      <c r="S8" s="175">
        <v>182</v>
      </c>
      <c r="T8" s="151">
        <v>182</v>
      </c>
      <c r="U8" s="151">
        <v>182</v>
      </c>
      <c r="V8" s="151">
        <v>182</v>
      </c>
      <c r="W8" s="151">
        <v>182</v>
      </c>
      <c r="X8" s="151">
        <v>182</v>
      </c>
      <c r="Y8" s="174">
        <v>180</v>
      </c>
      <c r="Z8">
        <v>179</v>
      </c>
      <c r="AA8" s="151">
        <v>182</v>
      </c>
      <c r="AB8">
        <v>149</v>
      </c>
      <c r="AC8">
        <v>180</v>
      </c>
      <c r="AD8" s="149">
        <v>174</v>
      </c>
      <c r="AE8" s="175">
        <v>182</v>
      </c>
      <c r="AF8" s="151">
        <v>182</v>
      </c>
      <c r="AG8" s="151">
        <v>174</v>
      </c>
      <c r="AH8" s="149">
        <v>162</v>
      </c>
      <c r="AI8" s="151">
        <v>174</v>
      </c>
      <c r="AJ8" s="151">
        <v>182</v>
      </c>
      <c r="AK8" s="149">
        <v>174</v>
      </c>
      <c r="AL8" s="149">
        <v>178</v>
      </c>
      <c r="BZ8">
        <v>0.86799999999999999</v>
      </c>
      <c r="CA8">
        <v>0</v>
      </c>
      <c r="CB8">
        <v>0.36470081128108001</v>
      </c>
    </row>
    <row r="9" spans="1:80">
      <c r="B9" s="153" t="s">
        <v>498</v>
      </c>
      <c r="C9" s="148">
        <v>0.12671627104282379</v>
      </c>
      <c r="D9" s="148">
        <v>0.39948731660842896</v>
      </c>
      <c r="E9" s="150">
        <v>0.51692771911621094</v>
      </c>
      <c r="F9">
        <v>0</v>
      </c>
      <c r="G9" s="174">
        <v>163</v>
      </c>
      <c r="H9" s="149">
        <v>159</v>
      </c>
      <c r="I9" s="149">
        <v>159</v>
      </c>
      <c r="J9" s="149">
        <v>163</v>
      </c>
      <c r="K9" s="149">
        <v>160</v>
      </c>
      <c r="L9" s="149">
        <v>160</v>
      </c>
      <c r="M9" s="175">
        <v>163</v>
      </c>
      <c r="N9" s="149">
        <v>163</v>
      </c>
      <c r="O9" s="149">
        <v>163</v>
      </c>
      <c r="P9">
        <v>159</v>
      </c>
      <c r="Q9">
        <v>154</v>
      </c>
      <c r="R9" s="149">
        <v>160</v>
      </c>
      <c r="S9" s="187">
        <v>163</v>
      </c>
      <c r="T9" s="149">
        <v>163</v>
      </c>
      <c r="U9" s="149">
        <v>163</v>
      </c>
      <c r="V9" s="149">
        <v>163</v>
      </c>
      <c r="W9" s="149">
        <v>163</v>
      </c>
      <c r="X9" s="149">
        <v>163</v>
      </c>
      <c r="Y9" s="191">
        <v>163</v>
      </c>
      <c r="Z9" s="143">
        <v>163</v>
      </c>
      <c r="AA9" s="149">
        <v>163</v>
      </c>
      <c r="AB9" s="142">
        <v>140</v>
      </c>
      <c r="AC9" s="149">
        <v>163</v>
      </c>
      <c r="AD9" s="149">
        <v>162</v>
      </c>
      <c r="AE9" s="175">
        <v>163</v>
      </c>
      <c r="AF9" s="151">
        <v>163</v>
      </c>
      <c r="AG9" s="151">
        <v>159</v>
      </c>
      <c r="AH9" s="149">
        <v>154</v>
      </c>
      <c r="AI9" s="151">
        <v>163</v>
      </c>
      <c r="AJ9" s="151">
        <v>163</v>
      </c>
      <c r="AK9" s="149">
        <v>163</v>
      </c>
      <c r="AL9" s="149">
        <v>163</v>
      </c>
      <c r="BZ9">
        <v>0.86599999999999999</v>
      </c>
      <c r="CA9">
        <v>2E-3</v>
      </c>
      <c r="CB9">
        <v>0.20974761301546299</v>
      </c>
    </row>
    <row r="10" spans="1:80">
      <c r="A10" s="9"/>
      <c r="B10" s="167" t="s">
        <v>1</v>
      </c>
      <c r="C10" s="154">
        <v>2.8225239366292953E-3</v>
      </c>
      <c r="D10" s="155">
        <v>-1.2408536858856678E-3</v>
      </c>
      <c r="E10" s="156">
        <v>-6.647472083568573E-2</v>
      </c>
      <c r="F10" s="155">
        <v>-2.0699622109532356E-2</v>
      </c>
      <c r="G10" s="176">
        <v>0</v>
      </c>
      <c r="H10" s="157">
        <v>171</v>
      </c>
      <c r="I10" s="158">
        <v>181</v>
      </c>
      <c r="J10" s="157">
        <v>192</v>
      </c>
      <c r="K10" s="159">
        <v>186</v>
      </c>
      <c r="L10" s="159">
        <v>184</v>
      </c>
      <c r="M10" s="186">
        <v>188</v>
      </c>
      <c r="N10" s="157">
        <v>187</v>
      </c>
      <c r="O10" s="157">
        <v>192</v>
      </c>
      <c r="P10" s="160">
        <v>185</v>
      </c>
      <c r="Q10" s="159">
        <v>172</v>
      </c>
      <c r="R10" s="159">
        <v>180</v>
      </c>
      <c r="S10" s="188">
        <v>191</v>
      </c>
      <c r="T10" s="157">
        <v>186</v>
      </c>
      <c r="U10" s="158">
        <v>185</v>
      </c>
      <c r="V10" s="158">
        <v>191</v>
      </c>
      <c r="W10" s="160">
        <v>184</v>
      </c>
      <c r="X10" s="159">
        <v>184</v>
      </c>
      <c r="Y10" s="176">
        <v>187</v>
      </c>
      <c r="Z10" s="157">
        <v>189</v>
      </c>
      <c r="AA10" s="159">
        <v>190</v>
      </c>
      <c r="AB10" s="157">
        <v>152</v>
      </c>
      <c r="AC10" s="160">
        <v>184</v>
      </c>
      <c r="AD10" s="158">
        <v>177</v>
      </c>
      <c r="AE10" s="176">
        <v>192</v>
      </c>
      <c r="AF10" s="160">
        <v>192</v>
      </c>
      <c r="AG10" s="158">
        <v>179</v>
      </c>
      <c r="AH10" s="160">
        <v>168</v>
      </c>
      <c r="AI10" s="157">
        <v>174</v>
      </c>
      <c r="AJ10" s="160">
        <v>192</v>
      </c>
      <c r="AK10" s="157">
        <v>174</v>
      </c>
      <c r="AL10" s="157">
        <v>186</v>
      </c>
      <c r="BZ10">
        <v>0.79800000000000004</v>
      </c>
      <c r="CA10">
        <v>4.3333333333333335E-2</v>
      </c>
      <c r="CB10">
        <v>0.279529891208045</v>
      </c>
    </row>
    <row r="11" spans="1:80">
      <c r="A11" s="9"/>
      <c r="B11" s="167" t="s">
        <v>2</v>
      </c>
      <c r="C11" s="148">
        <v>0.14673538506031036</v>
      </c>
      <c r="D11" s="145">
        <v>-3.149521304294467E-3</v>
      </c>
      <c r="E11" s="148">
        <v>-7.0224598050117493E-2</v>
      </c>
      <c r="F11" s="148">
        <v>-0.11764347553253174</v>
      </c>
      <c r="G11" s="177">
        <v>1.6788432374596596E-2</v>
      </c>
      <c r="H11">
        <v>0</v>
      </c>
      <c r="I11">
        <v>167</v>
      </c>
      <c r="J11" s="149">
        <v>171</v>
      </c>
      <c r="K11">
        <v>167</v>
      </c>
      <c r="L11" s="149">
        <v>168</v>
      </c>
      <c r="M11" s="174">
        <v>169</v>
      </c>
      <c r="N11" s="142">
        <v>169</v>
      </c>
      <c r="O11" s="142">
        <v>171</v>
      </c>
      <c r="P11">
        <v>167</v>
      </c>
      <c r="Q11" s="142">
        <v>161</v>
      </c>
      <c r="R11">
        <v>171</v>
      </c>
      <c r="S11" s="174">
        <v>170</v>
      </c>
      <c r="T11">
        <v>169</v>
      </c>
      <c r="U11" s="143">
        <v>169</v>
      </c>
      <c r="V11" s="149">
        <v>171</v>
      </c>
      <c r="W11" s="143">
        <v>167</v>
      </c>
      <c r="X11" s="143">
        <v>169</v>
      </c>
      <c r="Y11" s="174">
        <v>170</v>
      </c>
      <c r="Z11">
        <v>171</v>
      </c>
      <c r="AA11" s="149">
        <v>169</v>
      </c>
      <c r="AB11" s="143">
        <v>140</v>
      </c>
      <c r="AC11">
        <v>169</v>
      </c>
      <c r="AD11" s="149">
        <v>167</v>
      </c>
      <c r="AE11" s="187">
        <v>171</v>
      </c>
      <c r="AF11" s="142">
        <v>171</v>
      </c>
      <c r="AG11" s="142">
        <v>166</v>
      </c>
      <c r="AH11" s="149">
        <v>161</v>
      </c>
      <c r="AI11">
        <v>167</v>
      </c>
      <c r="AJ11" s="142">
        <v>171</v>
      </c>
      <c r="AK11">
        <v>167</v>
      </c>
      <c r="AL11" s="142">
        <v>171</v>
      </c>
      <c r="BZ11">
        <v>0.97</v>
      </c>
      <c r="CA11">
        <v>0</v>
      </c>
      <c r="CB11">
        <v>0.20227001709470499</v>
      </c>
    </row>
    <row r="12" spans="1:80">
      <c r="A12" s="9"/>
      <c r="B12" s="167" t="s">
        <v>3</v>
      </c>
      <c r="C12" s="150">
        <v>0.50992155075073242</v>
      </c>
      <c r="D12" s="148">
        <v>0.41731402277946472</v>
      </c>
      <c r="E12" s="150">
        <v>0.57722675800323486</v>
      </c>
      <c r="F12" s="148">
        <v>0.34627068042755127</v>
      </c>
      <c r="G12" s="178">
        <v>-4.8978663980960846E-2</v>
      </c>
      <c r="H12" s="145">
        <v>-1.1066760867834091E-2</v>
      </c>
      <c r="I12">
        <v>0</v>
      </c>
      <c r="J12" s="143">
        <v>181</v>
      </c>
      <c r="K12" s="151">
        <v>178</v>
      </c>
      <c r="L12" s="151">
        <v>181</v>
      </c>
      <c r="M12" s="175">
        <v>181</v>
      </c>
      <c r="N12" s="149">
        <v>181</v>
      </c>
      <c r="O12" s="149">
        <v>181</v>
      </c>
      <c r="P12">
        <v>176</v>
      </c>
      <c r="Q12" s="143">
        <v>165</v>
      </c>
      <c r="R12" s="149">
        <v>171</v>
      </c>
      <c r="S12" s="174">
        <v>180</v>
      </c>
      <c r="T12" s="149">
        <v>181</v>
      </c>
      <c r="U12" s="151">
        <v>179</v>
      </c>
      <c r="V12" s="151">
        <v>181</v>
      </c>
      <c r="W12" s="149">
        <v>179</v>
      </c>
      <c r="X12" s="151">
        <v>179</v>
      </c>
      <c r="Y12" s="174">
        <v>177</v>
      </c>
      <c r="Z12" s="142">
        <v>178</v>
      </c>
      <c r="AA12" s="151">
        <v>180</v>
      </c>
      <c r="AB12">
        <v>147</v>
      </c>
      <c r="AC12">
        <v>178</v>
      </c>
      <c r="AD12" s="149">
        <v>173</v>
      </c>
      <c r="AE12" s="175">
        <v>181</v>
      </c>
      <c r="AF12" s="149">
        <v>181</v>
      </c>
      <c r="AG12" s="151">
        <v>170</v>
      </c>
      <c r="AH12" s="142">
        <v>162</v>
      </c>
      <c r="AI12" s="151">
        <v>170</v>
      </c>
      <c r="AJ12" s="149">
        <v>181</v>
      </c>
      <c r="AK12" s="149">
        <v>170</v>
      </c>
      <c r="AL12" s="149">
        <v>177</v>
      </c>
      <c r="BZ12">
        <v>0.95499999999999996</v>
      </c>
      <c r="CA12">
        <v>0</v>
      </c>
      <c r="CB12">
        <v>0.167439697651701</v>
      </c>
    </row>
    <row r="13" spans="1:80">
      <c r="A13" s="9"/>
      <c r="B13" s="167" t="s">
        <v>4</v>
      </c>
      <c r="C13" s="146">
        <v>3.5615414381027222E-2</v>
      </c>
      <c r="D13" s="148">
        <v>-0.22161805629730225</v>
      </c>
      <c r="E13" s="148">
        <v>-0.14812660217285156</v>
      </c>
      <c r="F13" s="148">
        <v>-0.18467748165130615</v>
      </c>
      <c r="G13" s="177">
        <v>4.4467224506661296E-4</v>
      </c>
      <c r="H13" s="148">
        <v>0.11012694984674454</v>
      </c>
      <c r="I13" s="147">
        <v>-4.6807754784822464E-2</v>
      </c>
      <c r="J13">
        <v>0</v>
      </c>
      <c r="K13">
        <v>186</v>
      </c>
      <c r="L13" s="149">
        <v>184</v>
      </c>
      <c r="M13" s="175">
        <v>188</v>
      </c>
      <c r="N13" s="149">
        <v>187</v>
      </c>
      <c r="O13" s="143">
        <v>192</v>
      </c>
      <c r="P13" s="142">
        <v>185</v>
      </c>
      <c r="Q13" s="149">
        <v>172</v>
      </c>
      <c r="R13" s="149">
        <v>180</v>
      </c>
      <c r="S13" s="174">
        <v>191</v>
      </c>
      <c r="T13" s="149">
        <v>186</v>
      </c>
      <c r="U13" s="142">
        <v>185</v>
      </c>
      <c r="V13" s="149">
        <v>191</v>
      </c>
      <c r="W13" s="149">
        <v>184</v>
      </c>
      <c r="X13" s="149">
        <v>184</v>
      </c>
      <c r="Y13" s="175">
        <v>187</v>
      </c>
      <c r="Z13" s="149">
        <v>189</v>
      </c>
      <c r="AA13" s="149">
        <v>190</v>
      </c>
      <c r="AB13" s="142">
        <v>152</v>
      </c>
      <c r="AC13" s="143">
        <v>184</v>
      </c>
      <c r="AD13" s="149">
        <v>177</v>
      </c>
      <c r="AE13" s="191">
        <v>192</v>
      </c>
      <c r="AF13" s="149">
        <v>192</v>
      </c>
      <c r="AG13" s="149">
        <v>179</v>
      </c>
      <c r="AH13" s="149">
        <v>168</v>
      </c>
      <c r="AI13" s="149">
        <v>174</v>
      </c>
      <c r="AJ13" s="149">
        <v>192</v>
      </c>
      <c r="AK13" s="149">
        <v>174</v>
      </c>
      <c r="AL13" s="143">
        <v>186</v>
      </c>
      <c r="BZ13">
        <v>0.78700000000000003</v>
      </c>
      <c r="CA13">
        <v>0.17933333333333334</v>
      </c>
      <c r="CB13">
        <v>0.29573646392108699</v>
      </c>
    </row>
    <row r="14" spans="1:80">
      <c r="A14" s="9"/>
      <c r="B14" s="167" t="s">
        <v>5</v>
      </c>
      <c r="C14" s="150">
        <v>0.51341849565505981</v>
      </c>
      <c r="D14" s="148">
        <v>0.32135063409805298</v>
      </c>
      <c r="E14" s="150">
        <v>0.53212743997573853</v>
      </c>
      <c r="F14" s="148">
        <v>0.25375807285308838</v>
      </c>
      <c r="G14" s="179">
        <v>-5.9374567121267319E-2</v>
      </c>
      <c r="H14" s="145">
        <v>-1.74076147377491E-2</v>
      </c>
      <c r="I14" s="150">
        <v>0.585693359375</v>
      </c>
      <c r="J14" s="145">
        <v>-8.3915963768959045E-3</v>
      </c>
      <c r="K14">
        <v>0</v>
      </c>
      <c r="L14" s="149">
        <v>181</v>
      </c>
      <c r="M14" s="175">
        <v>183</v>
      </c>
      <c r="N14" s="149">
        <v>183</v>
      </c>
      <c r="O14" s="149">
        <v>186</v>
      </c>
      <c r="P14">
        <v>179</v>
      </c>
      <c r="Q14" s="149">
        <v>167</v>
      </c>
      <c r="R14" s="149">
        <v>175</v>
      </c>
      <c r="S14" s="174">
        <v>186</v>
      </c>
      <c r="T14" s="149">
        <v>182</v>
      </c>
      <c r="U14" s="151">
        <v>181</v>
      </c>
      <c r="V14" s="151">
        <v>185</v>
      </c>
      <c r="W14" s="149">
        <v>181</v>
      </c>
      <c r="X14" s="151">
        <v>180</v>
      </c>
      <c r="Y14" s="187">
        <v>181</v>
      </c>
      <c r="Z14">
        <v>183</v>
      </c>
      <c r="AA14" s="151">
        <v>185</v>
      </c>
      <c r="AB14">
        <v>147</v>
      </c>
      <c r="AC14">
        <v>180</v>
      </c>
      <c r="AD14" s="149">
        <v>173</v>
      </c>
      <c r="AE14" s="175">
        <v>186</v>
      </c>
      <c r="AF14" s="149">
        <v>186</v>
      </c>
      <c r="AG14" s="151">
        <v>175</v>
      </c>
      <c r="AH14">
        <v>163</v>
      </c>
      <c r="AI14" s="151">
        <v>171</v>
      </c>
      <c r="AJ14" s="149">
        <v>186</v>
      </c>
      <c r="AK14" s="149">
        <v>171</v>
      </c>
      <c r="AL14" s="143">
        <v>180</v>
      </c>
      <c r="BZ14">
        <v>0.85599999999999998</v>
      </c>
      <c r="CA14">
        <v>1.3333333333333333E-3</v>
      </c>
      <c r="CB14">
        <v>0.34384283013320999</v>
      </c>
    </row>
    <row r="15" spans="1:80">
      <c r="A15" s="9"/>
      <c r="B15" s="167" t="s">
        <v>6</v>
      </c>
      <c r="C15" s="148">
        <v>0.3889545202255249</v>
      </c>
      <c r="D15" s="148">
        <v>0.45211005210876465</v>
      </c>
      <c r="E15" s="150">
        <v>0.67939257621765137</v>
      </c>
      <c r="F15" s="148">
        <v>0.44609513878822327</v>
      </c>
      <c r="G15" s="179">
        <v>-0.10528535395860672</v>
      </c>
      <c r="H15" s="148">
        <v>-8.6933672428131104E-2</v>
      </c>
      <c r="I15" s="150">
        <v>0.58695840835571289</v>
      </c>
      <c r="J15" s="148">
        <v>-8.8718906044960022E-2</v>
      </c>
      <c r="K15" s="148">
        <v>0.47820013761520386</v>
      </c>
      <c r="L15">
        <v>0</v>
      </c>
      <c r="M15" s="175">
        <v>183</v>
      </c>
      <c r="N15" s="149">
        <v>183</v>
      </c>
      <c r="O15" s="149">
        <v>184</v>
      </c>
      <c r="P15">
        <v>179</v>
      </c>
      <c r="Q15" s="143">
        <v>166</v>
      </c>
      <c r="R15" s="151">
        <v>174</v>
      </c>
      <c r="S15" s="174">
        <v>183</v>
      </c>
      <c r="T15" s="149">
        <v>182</v>
      </c>
      <c r="U15" s="151">
        <v>181</v>
      </c>
      <c r="V15" s="151">
        <v>183</v>
      </c>
      <c r="W15" s="149">
        <v>180</v>
      </c>
      <c r="X15" s="151">
        <v>180</v>
      </c>
      <c r="Y15" s="174">
        <v>180</v>
      </c>
      <c r="Z15" s="142">
        <v>181</v>
      </c>
      <c r="AA15" s="151">
        <v>183</v>
      </c>
      <c r="AB15">
        <v>148</v>
      </c>
      <c r="AC15">
        <v>180</v>
      </c>
      <c r="AD15" s="149">
        <v>174</v>
      </c>
      <c r="AE15" s="175">
        <v>184</v>
      </c>
      <c r="AF15" s="151">
        <v>184</v>
      </c>
      <c r="AG15" s="151">
        <v>173</v>
      </c>
      <c r="AH15" s="149">
        <v>164</v>
      </c>
      <c r="AI15" s="151">
        <v>171</v>
      </c>
      <c r="AJ15" s="151">
        <v>184</v>
      </c>
      <c r="AK15" s="149">
        <v>171</v>
      </c>
      <c r="AL15" s="149">
        <v>179</v>
      </c>
      <c r="BZ15">
        <v>0.89500000000000002</v>
      </c>
      <c r="CA15">
        <v>0</v>
      </c>
      <c r="CB15">
        <v>0.306964061479716</v>
      </c>
    </row>
    <row r="16" spans="1:80">
      <c r="A16" s="57"/>
      <c r="B16" s="168" t="s">
        <v>395</v>
      </c>
      <c r="C16" s="161">
        <v>0.1029820442199707</v>
      </c>
      <c r="D16" s="162">
        <v>0.53559345006942749</v>
      </c>
      <c r="E16" s="156">
        <v>0.27837389707565308</v>
      </c>
      <c r="F16" s="156">
        <v>0.15817126631736755</v>
      </c>
      <c r="G16" s="180">
        <v>2.1824248135089874E-2</v>
      </c>
      <c r="H16" s="155">
        <v>-2.0119576947763562E-4</v>
      </c>
      <c r="I16" s="156">
        <v>0.17275038361549377</v>
      </c>
      <c r="J16" s="156">
        <v>-0.23346045613288879</v>
      </c>
      <c r="K16" s="156">
        <v>9.9744029343128204E-2</v>
      </c>
      <c r="L16" s="156">
        <v>0.19645209610462189</v>
      </c>
      <c r="M16" s="176">
        <v>0</v>
      </c>
      <c r="N16" s="159">
        <v>187</v>
      </c>
      <c r="O16" s="159">
        <v>188</v>
      </c>
      <c r="P16" s="157">
        <v>181</v>
      </c>
      <c r="Q16" s="158">
        <v>169</v>
      </c>
      <c r="R16" s="159">
        <v>176</v>
      </c>
      <c r="S16" s="176">
        <v>187</v>
      </c>
      <c r="T16" s="159">
        <v>186</v>
      </c>
      <c r="U16" s="159">
        <v>185</v>
      </c>
      <c r="V16" s="159">
        <v>187</v>
      </c>
      <c r="W16" s="159">
        <v>184</v>
      </c>
      <c r="X16" s="159">
        <v>184</v>
      </c>
      <c r="Y16" s="176">
        <v>184</v>
      </c>
      <c r="Z16" s="157">
        <v>185</v>
      </c>
      <c r="AA16" s="159">
        <v>187</v>
      </c>
      <c r="AB16" s="158">
        <v>152</v>
      </c>
      <c r="AC16" s="157">
        <v>184</v>
      </c>
      <c r="AD16" s="159">
        <v>177</v>
      </c>
      <c r="AE16" s="188">
        <v>188</v>
      </c>
      <c r="AF16" s="159">
        <v>188</v>
      </c>
      <c r="AG16" s="159">
        <v>175</v>
      </c>
      <c r="AH16" s="159">
        <v>164</v>
      </c>
      <c r="AI16" s="159">
        <v>174</v>
      </c>
      <c r="AJ16" s="159">
        <v>188</v>
      </c>
      <c r="AK16" s="159">
        <v>174</v>
      </c>
      <c r="AL16" s="159">
        <v>183</v>
      </c>
      <c r="BZ16">
        <v>0.54300000000000004</v>
      </c>
      <c r="CA16">
        <v>0.22266666666666668</v>
      </c>
      <c r="CB16">
        <v>0.42282570877578901</v>
      </c>
    </row>
    <row r="17" spans="1:80">
      <c r="A17" s="57"/>
      <c r="B17" s="168" t="s">
        <v>396</v>
      </c>
      <c r="C17" s="148">
        <v>0.24119944870471954</v>
      </c>
      <c r="D17" s="148">
        <v>0.37652722001075745</v>
      </c>
      <c r="E17" s="148">
        <v>0.40733200311660767</v>
      </c>
      <c r="F17" s="148">
        <v>0.33891656994819641</v>
      </c>
      <c r="G17" s="177">
        <v>-8.4999026730656624E-3</v>
      </c>
      <c r="H17" s="146">
        <v>-3.2961547374725342E-2</v>
      </c>
      <c r="I17" s="148">
        <v>0.32952868938446045</v>
      </c>
      <c r="J17" s="148">
        <v>-6.0069102793931961E-2</v>
      </c>
      <c r="K17" s="148">
        <v>0.25029364228248596</v>
      </c>
      <c r="L17" s="148">
        <v>0.31234568357467651</v>
      </c>
      <c r="M17" s="179">
        <v>6.8187057971954346E-2</v>
      </c>
      <c r="N17">
        <v>0</v>
      </c>
      <c r="O17" s="149">
        <v>187</v>
      </c>
      <c r="P17">
        <v>180</v>
      </c>
      <c r="Q17" s="142">
        <v>169</v>
      </c>
      <c r="R17" s="149">
        <v>176</v>
      </c>
      <c r="S17" s="187">
        <v>186</v>
      </c>
      <c r="T17" s="149">
        <v>186</v>
      </c>
      <c r="U17" s="149">
        <v>185</v>
      </c>
      <c r="V17" s="149">
        <v>186</v>
      </c>
      <c r="W17" s="149">
        <v>184</v>
      </c>
      <c r="X17" s="149">
        <v>184</v>
      </c>
      <c r="Y17" s="174">
        <v>183</v>
      </c>
      <c r="Z17" s="142">
        <v>184</v>
      </c>
      <c r="AA17" s="149">
        <v>186</v>
      </c>
      <c r="AB17">
        <v>151</v>
      </c>
      <c r="AC17">
        <v>184</v>
      </c>
      <c r="AD17" s="149">
        <v>177</v>
      </c>
      <c r="AE17" s="175">
        <v>187</v>
      </c>
      <c r="AF17" s="149">
        <v>187</v>
      </c>
      <c r="AG17" s="149">
        <v>175</v>
      </c>
      <c r="AH17" s="143">
        <v>164</v>
      </c>
      <c r="AI17" s="149">
        <v>174</v>
      </c>
      <c r="AJ17" s="149">
        <v>187</v>
      </c>
      <c r="AK17">
        <v>174</v>
      </c>
      <c r="AL17" s="149">
        <v>182</v>
      </c>
      <c r="BZ17">
        <v>0.90300000000000002</v>
      </c>
      <c r="CA17">
        <v>0</v>
      </c>
      <c r="CB17">
        <v>0.260298710558167</v>
      </c>
    </row>
    <row r="18" spans="1:80">
      <c r="A18" s="57"/>
      <c r="B18" s="168" t="s">
        <v>397</v>
      </c>
      <c r="C18" s="148">
        <v>0.29402288794517517</v>
      </c>
      <c r="D18" s="150">
        <v>0.58857262134552002</v>
      </c>
      <c r="E18" s="148">
        <v>0.43594881892204285</v>
      </c>
      <c r="F18" s="148">
        <v>0.31409180164337158</v>
      </c>
      <c r="G18" s="177">
        <v>-8.8364602997899055E-3</v>
      </c>
      <c r="H18" s="146">
        <v>-2.2337106987833977E-2</v>
      </c>
      <c r="I18" s="148">
        <v>0.32763797044754028</v>
      </c>
      <c r="J18" s="147">
        <v>-4.612964391708374E-2</v>
      </c>
      <c r="K18" s="148">
        <v>0.26572340726852417</v>
      </c>
      <c r="L18" s="148">
        <v>0.3808455765247345</v>
      </c>
      <c r="M18" s="179">
        <v>0.22525002062320709</v>
      </c>
      <c r="N18" s="148">
        <v>0.14980685710906982</v>
      </c>
      <c r="O18">
        <v>0</v>
      </c>
      <c r="P18">
        <v>185</v>
      </c>
      <c r="Q18">
        <v>172</v>
      </c>
      <c r="R18" s="149">
        <v>180</v>
      </c>
      <c r="S18" s="174">
        <v>191</v>
      </c>
      <c r="T18" s="149">
        <v>186</v>
      </c>
      <c r="U18" s="149">
        <v>185</v>
      </c>
      <c r="V18" s="149">
        <v>191</v>
      </c>
      <c r="W18" s="149">
        <v>184</v>
      </c>
      <c r="X18" s="149">
        <v>184</v>
      </c>
      <c r="Y18" s="174">
        <v>187</v>
      </c>
      <c r="Z18">
        <v>189</v>
      </c>
      <c r="AA18" s="149">
        <v>190</v>
      </c>
      <c r="AB18" s="143">
        <v>152</v>
      </c>
      <c r="AC18">
        <v>184</v>
      </c>
      <c r="AD18" s="149">
        <v>177</v>
      </c>
      <c r="AE18" s="175">
        <v>192</v>
      </c>
      <c r="AF18" s="149">
        <v>192</v>
      </c>
      <c r="AG18" s="149">
        <v>179</v>
      </c>
      <c r="AH18" s="149">
        <v>168</v>
      </c>
      <c r="AI18" s="151">
        <v>174</v>
      </c>
      <c r="AJ18" s="149">
        <v>192</v>
      </c>
      <c r="AK18" s="149">
        <v>174</v>
      </c>
      <c r="AL18" s="149">
        <v>186</v>
      </c>
      <c r="BZ18">
        <v>0.82599999999999996</v>
      </c>
      <c r="CA18">
        <v>6.6666666666666664E-4</v>
      </c>
      <c r="CB18">
        <v>0.214187977563806</v>
      </c>
    </row>
    <row r="19" spans="1:80">
      <c r="A19" s="57"/>
      <c r="B19" s="168" t="s">
        <v>398</v>
      </c>
      <c r="C19" s="145">
        <v>-1.7426664708182216E-3</v>
      </c>
      <c r="D19" s="145">
        <v>7.0927562192082405E-3</v>
      </c>
      <c r="E19" s="145">
        <v>3.3453327432653168E-6</v>
      </c>
      <c r="F19" s="145">
        <v>2.6680866722017527E-4</v>
      </c>
      <c r="G19" s="181">
        <v>-2.3353438824415207E-2</v>
      </c>
      <c r="H19" s="145">
        <v>-1.5768138691782951E-2</v>
      </c>
      <c r="I19" s="145">
        <v>1.3728958947467618E-5</v>
      </c>
      <c r="J19" s="146">
        <v>3.0833866447210312E-2</v>
      </c>
      <c r="K19" s="145">
        <v>3.9016017690300941E-3</v>
      </c>
      <c r="L19" s="145">
        <v>1.0899323569901753E-5</v>
      </c>
      <c r="M19" s="177">
        <v>-9.052167646586895E-3</v>
      </c>
      <c r="N19" s="145">
        <v>-1.7300690524280071E-3</v>
      </c>
      <c r="O19" s="145">
        <v>-1.0244018631055951E-3</v>
      </c>
      <c r="P19">
        <v>0</v>
      </c>
      <c r="Q19" s="143">
        <v>167</v>
      </c>
      <c r="R19">
        <v>175</v>
      </c>
      <c r="S19" s="174">
        <v>184</v>
      </c>
      <c r="T19">
        <v>179</v>
      </c>
      <c r="U19">
        <v>178</v>
      </c>
      <c r="V19">
        <v>184</v>
      </c>
      <c r="W19">
        <v>177</v>
      </c>
      <c r="X19">
        <v>177</v>
      </c>
      <c r="Y19" s="174">
        <v>180</v>
      </c>
      <c r="Z19">
        <v>182</v>
      </c>
      <c r="AA19">
        <v>183</v>
      </c>
      <c r="AB19">
        <v>148</v>
      </c>
      <c r="AC19">
        <v>177</v>
      </c>
      <c r="AD19">
        <v>172</v>
      </c>
      <c r="AE19" s="174">
        <v>185</v>
      </c>
      <c r="AF19">
        <v>185</v>
      </c>
      <c r="AG19">
        <v>173</v>
      </c>
      <c r="AH19">
        <v>163</v>
      </c>
      <c r="AI19">
        <v>169</v>
      </c>
      <c r="AJ19">
        <v>185</v>
      </c>
      <c r="AK19">
        <v>169</v>
      </c>
      <c r="AL19">
        <v>180</v>
      </c>
      <c r="BZ19">
        <v>0.95299999999999996</v>
      </c>
      <c r="CA19">
        <v>0</v>
      </c>
      <c r="CB19">
        <v>0.26583087073542699</v>
      </c>
    </row>
    <row r="20" spans="1:80">
      <c r="A20" s="57"/>
      <c r="B20" s="168" t="s">
        <v>399</v>
      </c>
      <c r="C20" s="146">
        <v>-2.490970678627491E-2</v>
      </c>
      <c r="D20" s="148">
        <v>7.7734529972076416E-2</v>
      </c>
      <c r="E20" s="145">
        <v>-2.0568713545799255E-2</v>
      </c>
      <c r="F20" s="145">
        <v>-7.075122557580471E-3</v>
      </c>
      <c r="G20" s="179">
        <v>0.10341062396764755</v>
      </c>
      <c r="H20" s="146">
        <v>3.8194984197616577E-2</v>
      </c>
      <c r="I20" s="147">
        <v>-4.1422665119171143E-2</v>
      </c>
      <c r="J20" s="148">
        <v>-0.1352870762348175</v>
      </c>
      <c r="K20" s="148">
        <v>-6.6593706607818604E-2</v>
      </c>
      <c r="L20" s="147">
        <v>-4.3069735169410706E-2</v>
      </c>
      <c r="M20" s="178">
        <v>5.8479581028223038E-2</v>
      </c>
      <c r="N20" s="146">
        <v>-3.0156547203660011E-2</v>
      </c>
      <c r="O20" s="145">
        <v>-7.3787565343081951E-3</v>
      </c>
      <c r="P20" s="147">
        <v>-5.8259919285774231E-2</v>
      </c>
      <c r="Q20">
        <v>0</v>
      </c>
      <c r="R20" s="143">
        <v>166</v>
      </c>
      <c r="S20" s="174">
        <v>171</v>
      </c>
      <c r="T20">
        <v>169</v>
      </c>
      <c r="U20" s="143">
        <v>169</v>
      </c>
      <c r="V20">
        <v>172</v>
      </c>
      <c r="W20">
        <v>168</v>
      </c>
      <c r="X20">
        <v>169</v>
      </c>
      <c r="Y20" s="175">
        <v>169</v>
      </c>
      <c r="Z20" s="143">
        <v>169</v>
      </c>
      <c r="AA20" s="142">
        <v>170</v>
      </c>
      <c r="AB20">
        <v>143</v>
      </c>
      <c r="AC20" s="143">
        <v>167</v>
      </c>
      <c r="AD20" s="142">
        <v>165</v>
      </c>
      <c r="AE20" s="187">
        <v>172</v>
      </c>
      <c r="AF20" s="149">
        <v>172</v>
      </c>
      <c r="AG20" s="143">
        <v>168</v>
      </c>
      <c r="AH20">
        <v>157</v>
      </c>
      <c r="AI20">
        <v>164</v>
      </c>
      <c r="AJ20" s="149">
        <v>172</v>
      </c>
      <c r="AK20" s="149">
        <v>164</v>
      </c>
      <c r="AL20">
        <v>170</v>
      </c>
      <c r="BZ20">
        <v>0.77200000000000002</v>
      </c>
      <c r="CA20">
        <v>1.7333333333333333E-2</v>
      </c>
      <c r="CB20">
        <v>0.29502802894526198</v>
      </c>
    </row>
    <row r="21" spans="1:80">
      <c r="A21" s="57"/>
      <c r="B21" s="168" t="s">
        <v>400</v>
      </c>
      <c r="C21" s="148">
        <v>0.32571971416473389</v>
      </c>
      <c r="D21" s="148">
        <v>0.41461363434791565</v>
      </c>
      <c r="E21" s="148">
        <v>0.47390428185462952</v>
      </c>
      <c r="F21" s="148">
        <v>0.29859492182731628</v>
      </c>
      <c r="G21" s="179">
        <v>-0.11023323237895966</v>
      </c>
      <c r="H21" s="145">
        <v>-2.329384908080101E-3</v>
      </c>
      <c r="I21" s="148">
        <v>0.44643017649650574</v>
      </c>
      <c r="J21" s="148">
        <v>-7.5516365468502045E-2</v>
      </c>
      <c r="K21" s="148">
        <v>0.45098361372947693</v>
      </c>
      <c r="L21" s="150">
        <v>0.50848573446273804</v>
      </c>
      <c r="M21" s="179">
        <v>0.1045367643237114</v>
      </c>
      <c r="N21" s="148">
        <v>0.37759420275688171</v>
      </c>
      <c r="O21" s="148">
        <v>0.22795364260673523</v>
      </c>
      <c r="P21" s="145">
        <v>1.4088465832173824E-4</v>
      </c>
      <c r="Q21" s="147">
        <v>-5.0022304058074951E-2</v>
      </c>
      <c r="R21">
        <v>0</v>
      </c>
      <c r="S21" s="187">
        <v>179</v>
      </c>
      <c r="T21" s="149">
        <v>175</v>
      </c>
      <c r="U21" s="149">
        <v>175</v>
      </c>
      <c r="V21" s="149">
        <v>179</v>
      </c>
      <c r="W21" s="149">
        <v>173</v>
      </c>
      <c r="X21" s="149">
        <v>174</v>
      </c>
      <c r="Y21" s="174">
        <v>175</v>
      </c>
      <c r="Z21">
        <v>178</v>
      </c>
      <c r="AA21" s="149">
        <v>178</v>
      </c>
      <c r="AB21">
        <v>143</v>
      </c>
      <c r="AC21">
        <v>174</v>
      </c>
      <c r="AD21" s="149">
        <v>171</v>
      </c>
      <c r="AE21" s="175">
        <v>180</v>
      </c>
      <c r="AF21" s="149">
        <v>180</v>
      </c>
      <c r="AG21" s="151">
        <v>173</v>
      </c>
      <c r="AH21">
        <v>166</v>
      </c>
      <c r="AI21" s="151">
        <v>171</v>
      </c>
      <c r="AJ21" s="149">
        <v>180</v>
      </c>
      <c r="AK21" s="149">
        <v>171</v>
      </c>
      <c r="AL21" s="149">
        <v>176</v>
      </c>
      <c r="BZ21">
        <v>0.49199999999999999</v>
      </c>
      <c r="CA21">
        <v>0.34533333333333333</v>
      </c>
      <c r="CB21">
        <v>0.43792870360616398</v>
      </c>
    </row>
    <row r="22" spans="1:80">
      <c r="A22" s="21"/>
      <c r="B22" s="169" t="s">
        <v>407</v>
      </c>
      <c r="C22" s="154">
        <v>2.0831326764891855E-5</v>
      </c>
      <c r="D22" s="155">
        <v>2.1073557436466217E-3</v>
      </c>
      <c r="E22" s="156">
        <v>0.13638456165790558</v>
      </c>
      <c r="F22" s="163">
        <v>2.7070192620158195E-2</v>
      </c>
      <c r="G22" s="182">
        <v>-7.2728395462036133E-2</v>
      </c>
      <c r="H22" s="155">
        <v>-1.8997607752680779E-2</v>
      </c>
      <c r="I22" s="155">
        <v>1.8216416239738464E-2</v>
      </c>
      <c r="J22" s="155">
        <v>-1.7508957535028458E-2</v>
      </c>
      <c r="K22" s="155">
        <v>1.2546225916594267E-3</v>
      </c>
      <c r="L22" s="155">
        <v>1.9172858446836472E-2</v>
      </c>
      <c r="M22" s="183">
        <v>5.6368927471339703E-4</v>
      </c>
      <c r="N22" s="163">
        <v>2.0869042724370956E-2</v>
      </c>
      <c r="O22" s="155">
        <v>1.6949273645877838E-2</v>
      </c>
      <c r="P22" s="155">
        <v>-2.2833800176158547E-4</v>
      </c>
      <c r="Q22" s="155">
        <v>-1.0041014291346073E-2</v>
      </c>
      <c r="R22" s="163">
        <v>3.1447984278202057E-2</v>
      </c>
      <c r="S22" s="176">
        <v>0</v>
      </c>
      <c r="T22" s="157">
        <v>185</v>
      </c>
      <c r="U22" s="157">
        <v>184</v>
      </c>
      <c r="V22" s="157">
        <v>190</v>
      </c>
      <c r="W22" s="157">
        <v>184</v>
      </c>
      <c r="X22" s="157">
        <v>183</v>
      </c>
      <c r="Y22" s="192">
        <v>186</v>
      </c>
      <c r="Z22" s="157">
        <v>188</v>
      </c>
      <c r="AA22" s="157">
        <v>190</v>
      </c>
      <c r="AB22" s="160">
        <v>151</v>
      </c>
      <c r="AC22" s="157">
        <v>183</v>
      </c>
      <c r="AD22" s="158">
        <v>176</v>
      </c>
      <c r="AE22" s="192">
        <v>191</v>
      </c>
      <c r="AF22" s="158">
        <v>191</v>
      </c>
      <c r="AG22" s="157">
        <v>179</v>
      </c>
      <c r="AH22" s="157">
        <v>167</v>
      </c>
      <c r="AI22" s="158">
        <v>174</v>
      </c>
      <c r="AJ22" s="158">
        <v>191</v>
      </c>
      <c r="AK22" s="160">
        <v>174</v>
      </c>
      <c r="AL22" s="159">
        <v>185</v>
      </c>
      <c r="BZ22">
        <v>0.61899999999999999</v>
      </c>
      <c r="CA22">
        <v>0.216</v>
      </c>
      <c r="CB22">
        <v>0.37243765618955499</v>
      </c>
    </row>
    <row r="23" spans="1:80">
      <c r="A23" s="21"/>
      <c r="B23" s="169" t="s">
        <v>408</v>
      </c>
      <c r="C23" s="148">
        <v>0.22617378830909729</v>
      </c>
      <c r="D23" s="148">
        <v>0.44880521297454834</v>
      </c>
      <c r="E23" s="150">
        <v>0.60382759571075439</v>
      </c>
      <c r="F23" s="148">
        <v>0.43432819843292236</v>
      </c>
      <c r="G23" s="177">
        <v>-7.4166117701679468E-4</v>
      </c>
      <c r="H23" s="145">
        <v>-1.5166247263550758E-2</v>
      </c>
      <c r="I23" s="148">
        <v>0.34399223327636719</v>
      </c>
      <c r="J23" s="148">
        <v>-0.21178522706031799</v>
      </c>
      <c r="K23" s="148">
        <v>0.2653917670249939</v>
      </c>
      <c r="L23" s="148">
        <v>0.44266495108604431</v>
      </c>
      <c r="M23" s="179">
        <v>0.35412001609802246</v>
      </c>
      <c r="N23" s="148">
        <v>0.31315663456916809</v>
      </c>
      <c r="O23" s="148">
        <v>0.22349157929420471</v>
      </c>
      <c r="P23" s="145">
        <v>-1.433683093637228E-2</v>
      </c>
      <c r="Q23" s="145">
        <v>2.2549694404006004E-3</v>
      </c>
      <c r="R23" s="148">
        <v>0.33184745907783508</v>
      </c>
      <c r="S23" s="177">
        <v>8.043297566473484E-3</v>
      </c>
      <c r="T23">
        <v>0</v>
      </c>
      <c r="U23" s="149">
        <v>184</v>
      </c>
      <c r="V23" s="149">
        <v>186</v>
      </c>
      <c r="W23" s="149">
        <v>184</v>
      </c>
      <c r="X23" s="149">
        <v>184</v>
      </c>
      <c r="Y23" s="174">
        <v>182</v>
      </c>
      <c r="Z23">
        <v>183</v>
      </c>
      <c r="AA23" s="149">
        <v>185</v>
      </c>
      <c r="AB23">
        <v>151</v>
      </c>
      <c r="AC23">
        <v>183</v>
      </c>
      <c r="AD23" s="149">
        <v>177</v>
      </c>
      <c r="AE23" s="175">
        <v>186</v>
      </c>
      <c r="AF23" s="151">
        <v>186</v>
      </c>
      <c r="AG23" s="151">
        <v>174</v>
      </c>
      <c r="AH23" s="149">
        <v>164</v>
      </c>
      <c r="AI23" s="151">
        <v>174</v>
      </c>
      <c r="AJ23" s="151">
        <v>186</v>
      </c>
      <c r="AK23" s="149">
        <v>174</v>
      </c>
      <c r="AL23" s="149">
        <v>181</v>
      </c>
      <c r="BZ23">
        <v>0.72899999999999998</v>
      </c>
      <c r="CA23">
        <v>0.16333333333333333</v>
      </c>
      <c r="CB23">
        <v>0.35331868248175602</v>
      </c>
    </row>
    <row r="24" spans="1:80">
      <c r="A24" s="21"/>
      <c r="B24" s="169" t="s">
        <v>409</v>
      </c>
      <c r="C24" s="148">
        <v>0.45490503311157227</v>
      </c>
      <c r="D24" s="148">
        <v>0.47946509718894958</v>
      </c>
      <c r="E24" s="150">
        <v>0.78327655792236328</v>
      </c>
      <c r="F24" s="148">
        <v>0.38199475407600403</v>
      </c>
      <c r="G24" s="178">
        <v>-4.3530348688364029E-2</v>
      </c>
      <c r="H24" s="147">
        <v>-3.9059165865182877E-2</v>
      </c>
      <c r="I24" s="150">
        <v>0.62172871828079224</v>
      </c>
      <c r="J24" s="146">
        <v>-3.3662781119346619E-2</v>
      </c>
      <c r="K24" s="150">
        <v>0.62577927112579346</v>
      </c>
      <c r="L24" s="150">
        <v>0.63783317804336548</v>
      </c>
      <c r="M24" s="179">
        <v>0.23561982810497284</v>
      </c>
      <c r="N24" s="148">
        <v>0.34670841693878174</v>
      </c>
      <c r="O24" s="148">
        <v>0.43688604235649109</v>
      </c>
      <c r="P24" s="145">
        <v>6.0901306569576263E-3</v>
      </c>
      <c r="Q24" s="147">
        <v>-5.0910651683807373E-2</v>
      </c>
      <c r="R24" s="148">
        <v>0.41305726766586304</v>
      </c>
      <c r="S24" s="177">
        <v>2.0234622061252594E-2</v>
      </c>
      <c r="T24" s="148">
        <v>0.40131053328514099</v>
      </c>
      <c r="U24">
        <v>0</v>
      </c>
      <c r="V24" s="151">
        <v>184</v>
      </c>
      <c r="W24" s="149">
        <v>182</v>
      </c>
      <c r="X24" s="151">
        <v>184</v>
      </c>
      <c r="Y24" s="174">
        <v>182</v>
      </c>
      <c r="Z24">
        <v>182</v>
      </c>
      <c r="AA24" s="151">
        <v>184</v>
      </c>
      <c r="AB24">
        <v>150</v>
      </c>
      <c r="AC24">
        <v>183</v>
      </c>
      <c r="AD24" s="149">
        <v>176</v>
      </c>
      <c r="AE24" s="175">
        <v>185</v>
      </c>
      <c r="AF24" s="151">
        <v>185</v>
      </c>
      <c r="AG24" s="151">
        <v>175</v>
      </c>
      <c r="AH24" s="149">
        <v>164</v>
      </c>
      <c r="AI24" s="151">
        <v>174</v>
      </c>
      <c r="AJ24" s="151">
        <v>185</v>
      </c>
      <c r="AK24" s="149">
        <v>174</v>
      </c>
      <c r="AL24" s="149">
        <v>181</v>
      </c>
      <c r="BZ24">
        <v>0.81200000000000006</v>
      </c>
      <c r="CA24">
        <v>1.3333333333333333E-3</v>
      </c>
      <c r="CB24">
        <v>0.243193071871843</v>
      </c>
    </row>
    <row r="25" spans="1:80">
      <c r="A25" s="21"/>
      <c r="B25" s="169" t="s">
        <v>410</v>
      </c>
      <c r="C25" s="148">
        <v>0.32425078749656677</v>
      </c>
      <c r="D25" s="150">
        <v>0.50288277864456177</v>
      </c>
      <c r="E25" s="150">
        <v>0.75950688123703003</v>
      </c>
      <c r="F25" s="148">
        <v>0.39869537949562073</v>
      </c>
      <c r="G25" s="178">
        <v>-4.2242031544446945E-2</v>
      </c>
      <c r="H25" s="148">
        <v>-7.0217013359069824E-2</v>
      </c>
      <c r="I25" s="150">
        <v>0.53274524211883545</v>
      </c>
      <c r="J25" s="148">
        <v>-0.12581054866313934</v>
      </c>
      <c r="K25" s="150">
        <v>0.53114891052246094</v>
      </c>
      <c r="L25" s="150">
        <v>0.68462258577346802</v>
      </c>
      <c r="M25" s="179">
        <v>0.31155663728713989</v>
      </c>
      <c r="N25" s="148">
        <v>0.29937666654586792</v>
      </c>
      <c r="O25" s="148">
        <v>0.36923718452453613</v>
      </c>
      <c r="P25" s="145">
        <v>1.1505561415106058E-3</v>
      </c>
      <c r="Q25" s="145">
        <v>-1.9209966063499451E-2</v>
      </c>
      <c r="R25" s="148">
        <v>0.41303405165672302</v>
      </c>
      <c r="S25" s="177">
        <v>7.6403212733566761E-3</v>
      </c>
      <c r="T25" s="148">
        <v>0.45169574022293091</v>
      </c>
      <c r="U25" s="150">
        <v>0.8206104040145874</v>
      </c>
      <c r="V25">
        <v>0</v>
      </c>
      <c r="W25" s="149">
        <v>184</v>
      </c>
      <c r="X25" s="151">
        <v>184</v>
      </c>
      <c r="Y25" s="174">
        <v>186</v>
      </c>
      <c r="Z25">
        <v>188</v>
      </c>
      <c r="AA25" s="151">
        <v>189</v>
      </c>
      <c r="AB25">
        <v>152</v>
      </c>
      <c r="AC25">
        <v>183</v>
      </c>
      <c r="AD25" s="149">
        <v>177</v>
      </c>
      <c r="AE25" s="175">
        <v>191</v>
      </c>
      <c r="AF25" s="151">
        <v>191</v>
      </c>
      <c r="AG25" s="151">
        <v>178</v>
      </c>
      <c r="AH25" s="149">
        <v>168</v>
      </c>
      <c r="AI25" s="151">
        <v>174</v>
      </c>
      <c r="AJ25" s="151">
        <v>191</v>
      </c>
      <c r="AK25" s="149">
        <v>174</v>
      </c>
      <c r="AL25" s="149">
        <v>185</v>
      </c>
      <c r="BZ25">
        <v>0.69399999999999995</v>
      </c>
      <c r="CA25">
        <v>0.22733333333333333</v>
      </c>
      <c r="CB25">
        <v>0.40654995297075502</v>
      </c>
    </row>
    <row r="26" spans="1:80">
      <c r="A26" s="21"/>
      <c r="B26" s="169" t="s">
        <v>411</v>
      </c>
      <c r="C26" s="148">
        <v>0.1966148167848587</v>
      </c>
      <c r="D26" s="148">
        <v>0.25414568185806274</v>
      </c>
      <c r="E26" s="150">
        <v>0.51903015375137329</v>
      </c>
      <c r="F26" s="148">
        <v>0.32932645082473755</v>
      </c>
      <c r="G26" s="181">
        <v>-3.2397203147411346E-2</v>
      </c>
      <c r="H26" s="147">
        <v>-5.8446772396564484E-2</v>
      </c>
      <c r="I26" s="148">
        <v>0.25571548938751221</v>
      </c>
      <c r="J26" s="148">
        <v>-7.0806525647640228E-2</v>
      </c>
      <c r="K26" s="148">
        <v>0.27974998950958252</v>
      </c>
      <c r="L26" s="148">
        <v>0.37529304623603821</v>
      </c>
      <c r="M26" s="179">
        <v>6.0617461800575256E-2</v>
      </c>
      <c r="N26" s="148">
        <v>0.22317607700824738</v>
      </c>
      <c r="O26" s="148">
        <v>0.2382509708404541</v>
      </c>
      <c r="P26" s="145">
        <v>7.7540497295558453E-4</v>
      </c>
      <c r="Q26" s="145">
        <v>-1.8858311697840691E-2</v>
      </c>
      <c r="R26" s="148">
        <v>0.19493825733661652</v>
      </c>
      <c r="S26" s="177">
        <v>1.6443125903606415E-2</v>
      </c>
      <c r="T26" s="148">
        <v>0.20591346919536591</v>
      </c>
      <c r="U26" s="148">
        <v>0.36918765306472778</v>
      </c>
      <c r="V26" s="148">
        <v>0.35456836223602295</v>
      </c>
      <c r="W26">
        <v>0</v>
      </c>
      <c r="X26" s="149">
        <v>182</v>
      </c>
      <c r="Y26" s="174">
        <v>181</v>
      </c>
      <c r="Z26">
        <v>181</v>
      </c>
      <c r="AA26" s="149">
        <v>184</v>
      </c>
      <c r="AB26">
        <v>150</v>
      </c>
      <c r="AC26">
        <v>181</v>
      </c>
      <c r="AD26" s="149">
        <v>175</v>
      </c>
      <c r="AE26" s="175">
        <v>184</v>
      </c>
      <c r="AF26" s="149">
        <v>184</v>
      </c>
      <c r="AG26" s="149">
        <v>174</v>
      </c>
      <c r="AH26" s="143">
        <v>162</v>
      </c>
      <c r="AI26" s="149">
        <v>174</v>
      </c>
      <c r="AJ26" s="149">
        <v>184</v>
      </c>
      <c r="AK26" s="143">
        <v>174</v>
      </c>
      <c r="AL26" s="149">
        <v>179</v>
      </c>
      <c r="BZ26">
        <v>0.81299999999999994</v>
      </c>
      <c r="CA26">
        <v>8.2000000000000003E-2</v>
      </c>
      <c r="CB26">
        <v>0.26651368541951098</v>
      </c>
    </row>
    <row r="27" spans="1:80">
      <c r="A27" s="21"/>
      <c r="B27" s="169" t="s">
        <v>412</v>
      </c>
      <c r="C27" s="148">
        <v>0.36982199549674988</v>
      </c>
      <c r="D27" s="148">
        <v>0.38172462582588196</v>
      </c>
      <c r="E27" s="150">
        <v>0.74016720056533813</v>
      </c>
      <c r="F27" s="148">
        <v>0.33976733684539795</v>
      </c>
      <c r="G27" s="179">
        <v>-8.1438124179840088E-2</v>
      </c>
      <c r="H27" s="147">
        <v>-5.6445546448230743E-2</v>
      </c>
      <c r="I27" s="150">
        <v>0.54547220468521118</v>
      </c>
      <c r="J27" s="148">
        <v>-0.10858605057001114</v>
      </c>
      <c r="K27" s="150">
        <v>0.63154143095016479</v>
      </c>
      <c r="L27" s="150">
        <v>0.57048052549362183</v>
      </c>
      <c r="M27" s="179">
        <v>0.18061313033103943</v>
      </c>
      <c r="N27" s="148">
        <v>0.31030288338661194</v>
      </c>
      <c r="O27" s="148">
        <v>0.37205857038497925</v>
      </c>
      <c r="P27" s="145">
        <v>1.041235082084313E-4</v>
      </c>
      <c r="Q27" s="145">
        <v>-1.9658284261822701E-2</v>
      </c>
      <c r="R27" s="148">
        <v>0.43239784240722656</v>
      </c>
      <c r="S27" s="177">
        <v>8.9035201817750931E-3</v>
      </c>
      <c r="T27" s="148">
        <v>0.33060002326965332</v>
      </c>
      <c r="U27" s="150">
        <v>0.66094744205474854</v>
      </c>
      <c r="V27" s="150">
        <v>0.62689554691314697</v>
      </c>
      <c r="W27" s="148">
        <v>0.39869004487991333</v>
      </c>
      <c r="X27">
        <v>0</v>
      </c>
      <c r="Y27" s="174">
        <v>181</v>
      </c>
      <c r="Z27">
        <v>181</v>
      </c>
      <c r="AA27" s="151">
        <v>183</v>
      </c>
      <c r="AB27">
        <v>150</v>
      </c>
      <c r="AC27">
        <v>182</v>
      </c>
      <c r="AD27" s="149">
        <v>176</v>
      </c>
      <c r="AE27" s="175">
        <v>184</v>
      </c>
      <c r="AF27" s="151">
        <v>184</v>
      </c>
      <c r="AG27" s="151">
        <v>174</v>
      </c>
      <c r="AH27" s="142">
        <v>164</v>
      </c>
      <c r="AI27" s="151">
        <v>174</v>
      </c>
      <c r="AJ27" s="151">
        <v>184</v>
      </c>
      <c r="AK27" s="149">
        <v>174</v>
      </c>
      <c r="AL27" s="149">
        <v>180</v>
      </c>
      <c r="BZ27">
        <v>0.92</v>
      </c>
      <c r="CA27">
        <v>0</v>
      </c>
      <c r="CB27">
        <v>0.23219604577151801</v>
      </c>
    </row>
    <row r="28" spans="1:80">
      <c r="A28" s="26"/>
      <c r="B28" s="170" t="s">
        <v>493</v>
      </c>
      <c r="C28" s="164">
        <v>-6.2273789197206497E-2</v>
      </c>
      <c r="D28" s="163">
        <v>2.446838840842247E-2</v>
      </c>
      <c r="E28" s="155">
        <v>1.0562620591372252E-3</v>
      </c>
      <c r="F28" s="165">
        <v>5.7913117110729218E-2</v>
      </c>
      <c r="G28" s="183">
        <v>-2.4680469650775194E-3</v>
      </c>
      <c r="H28" s="155">
        <v>-6.0301285702735186E-4</v>
      </c>
      <c r="I28" s="155">
        <v>-1.8904358148574829E-2</v>
      </c>
      <c r="J28" s="156">
        <v>-0.14950893819332123</v>
      </c>
      <c r="K28" s="163">
        <v>-2.2197728976607323E-2</v>
      </c>
      <c r="L28" s="155">
        <v>-8.5539389401674271E-3</v>
      </c>
      <c r="M28" s="183">
        <v>5.754553247243166E-3</v>
      </c>
      <c r="N28" s="155">
        <v>1.9815717823803425E-3</v>
      </c>
      <c r="O28" s="155">
        <v>1.5925215557217598E-2</v>
      </c>
      <c r="P28" s="155">
        <v>-6.7163524217903614E-3</v>
      </c>
      <c r="Q28" s="156">
        <v>0.12389969825744629</v>
      </c>
      <c r="R28" s="155">
        <v>-4.6025356277823448E-3</v>
      </c>
      <c r="S28" s="189">
        <v>4.0262121707201004E-2</v>
      </c>
      <c r="T28" s="155">
        <v>1.0917606414295733E-4</v>
      </c>
      <c r="U28" s="155">
        <v>-1.3181079179048538E-2</v>
      </c>
      <c r="V28" s="155">
        <v>-1.4363146387040615E-2</v>
      </c>
      <c r="W28" s="155">
        <v>9.0280566364526749E-3</v>
      </c>
      <c r="X28" s="155">
        <v>2.1043585147708654E-3</v>
      </c>
      <c r="Y28" s="176">
        <v>0</v>
      </c>
      <c r="Z28" s="159">
        <v>186</v>
      </c>
      <c r="AA28" s="157">
        <v>185</v>
      </c>
      <c r="AB28" s="159">
        <v>151</v>
      </c>
      <c r="AC28" s="157">
        <v>182</v>
      </c>
      <c r="AD28" s="157">
        <v>174</v>
      </c>
      <c r="AE28" s="176">
        <v>187</v>
      </c>
      <c r="AF28" s="157">
        <v>187</v>
      </c>
      <c r="AG28" s="160">
        <v>176</v>
      </c>
      <c r="AH28" s="157">
        <v>164</v>
      </c>
      <c r="AI28" s="157">
        <v>172</v>
      </c>
      <c r="AJ28" s="157">
        <v>187</v>
      </c>
      <c r="AK28" s="159">
        <v>172</v>
      </c>
      <c r="AL28" s="157">
        <v>183</v>
      </c>
      <c r="BZ28">
        <v>0.84</v>
      </c>
      <c r="CA28">
        <v>1.3333333333333333E-3</v>
      </c>
      <c r="CB28">
        <v>0.22046081653128499</v>
      </c>
    </row>
    <row r="29" spans="1:80">
      <c r="A29" s="26"/>
      <c r="B29" s="170" t="s">
        <v>496</v>
      </c>
      <c r="C29" s="147">
        <v>-4.4622737914323807E-2</v>
      </c>
      <c r="D29" s="145">
        <v>1.8471408111508936E-4</v>
      </c>
      <c r="E29" s="145">
        <v>-1.4943796031730017E-6</v>
      </c>
      <c r="F29" s="147">
        <v>4.3381959199905396E-2</v>
      </c>
      <c r="G29" s="177">
        <v>-1.0483174119144678E-3</v>
      </c>
      <c r="H29" s="145">
        <v>1.1144607560709119E-3</v>
      </c>
      <c r="I29" s="146">
        <v>-3.4186206758022308E-2</v>
      </c>
      <c r="J29" s="148">
        <v>-7.6882347464561462E-2</v>
      </c>
      <c r="K29" s="145">
        <v>-1.8843302503228188E-2</v>
      </c>
      <c r="L29" s="146">
        <v>-2.3335080593824387E-2</v>
      </c>
      <c r="M29" s="177">
        <v>-1.1439794889156474E-7</v>
      </c>
      <c r="N29" s="146">
        <v>-2.0996538922190666E-2</v>
      </c>
      <c r="O29" s="145">
        <v>1.1733713108696975E-5</v>
      </c>
      <c r="P29" s="145">
        <v>-3.9629004895687103E-3</v>
      </c>
      <c r="Q29" s="147">
        <v>5.4775144904851913E-2</v>
      </c>
      <c r="R29" s="145">
        <v>-3.1454372219741344E-3</v>
      </c>
      <c r="S29" s="177">
        <v>1.5745086595416069E-2</v>
      </c>
      <c r="T29" s="145">
        <v>9.2300842516124249E-4</v>
      </c>
      <c r="U29" s="145">
        <v>-1.5619550831615925E-2</v>
      </c>
      <c r="V29" s="145">
        <v>-1.319328136742115E-2</v>
      </c>
      <c r="W29" s="145">
        <v>3.2794561702758074E-3</v>
      </c>
      <c r="X29" s="145">
        <v>-7.5816824100911617E-3</v>
      </c>
      <c r="Y29" s="179">
        <v>0.43446284532546997</v>
      </c>
      <c r="Z29">
        <v>0</v>
      </c>
      <c r="AA29">
        <v>187</v>
      </c>
      <c r="AB29" s="149">
        <v>150</v>
      </c>
      <c r="AC29">
        <v>183</v>
      </c>
      <c r="AD29">
        <v>176</v>
      </c>
      <c r="AE29" s="187">
        <v>189</v>
      </c>
      <c r="AF29">
        <v>189</v>
      </c>
      <c r="AG29">
        <v>177</v>
      </c>
      <c r="AH29">
        <v>166</v>
      </c>
      <c r="AI29">
        <v>172</v>
      </c>
      <c r="AJ29">
        <v>189</v>
      </c>
      <c r="AK29" s="142">
        <v>172</v>
      </c>
      <c r="AL29">
        <v>185</v>
      </c>
      <c r="BZ29">
        <v>0.38900000000000001</v>
      </c>
      <c r="CA29">
        <v>0.52400000000000002</v>
      </c>
      <c r="CB29">
        <v>0.48356932764959898</v>
      </c>
    </row>
    <row r="30" spans="1:80">
      <c r="A30" s="26"/>
      <c r="B30" s="170" t="s">
        <v>476</v>
      </c>
      <c r="C30" s="148">
        <v>0.30276980996131897</v>
      </c>
      <c r="D30" s="150">
        <v>0.50451916456222534</v>
      </c>
      <c r="E30" s="150">
        <v>0.74965119361877441</v>
      </c>
      <c r="F30" s="148">
        <v>0.46093824505805969</v>
      </c>
      <c r="G30" s="179">
        <v>-8.4796927869319916E-2</v>
      </c>
      <c r="H30" s="148">
        <v>-8.8493742048740387E-2</v>
      </c>
      <c r="I30" s="150">
        <v>0.56329226493835449</v>
      </c>
      <c r="J30" s="148">
        <v>-9.6097029745578766E-2</v>
      </c>
      <c r="K30" s="150">
        <v>0.52535378932952881</v>
      </c>
      <c r="L30" s="150">
        <v>0.71783769130706787</v>
      </c>
      <c r="M30" s="179">
        <v>0.2143758088350296</v>
      </c>
      <c r="N30" s="148">
        <v>0.34455409646034241</v>
      </c>
      <c r="O30" s="148">
        <v>0.32338148355484009</v>
      </c>
      <c r="P30" s="145">
        <v>4.0797144174575806E-3</v>
      </c>
      <c r="Q30" s="146">
        <v>-3.1474560499191284E-2</v>
      </c>
      <c r="R30" s="148">
        <v>0.48577412962913513</v>
      </c>
      <c r="S30" s="177">
        <v>1.611744798719883E-2</v>
      </c>
      <c r="T30" s="148">
        <v>0.41205757856369019</v>
      </c>
      <c r="U30" s="150">
        <v>0.69284218549728394</v>
      </c>
      <c r="V30" s="150">
        <v>0.73946595191955566</v>
      </c>
      <c r="W30" s="148">
        <v>0.44799172878265381</v>
      </c>
      <c r="X30" s="150">
        <v>0.60222840309143066</v>
      </c>
      <c r="Y30" s="177">
        <v>-1.8462132662534714E-2</v>
      </c>
      <c r="Z30" s="145">
        <v>-1.7026714980602264E-2</v>
      </c>
      <c r="AA30">
        <v>0</v>
      </c>
      <c r="AB30">
        <v>151</v>
      </c>
      <c r="AC30">
        <v>183</v>
      </c>
      <c r="AD30" s="149">
        <v>176</v>
      </c>
      <c r="AE30" s="175">
        <v>190</v>
      </c>
      <c r="AF30" s="151">
        <v>190</v>
      </c>
      <c r="AG30" s="151">
        <v>178</v>
      </c>
      <c r="AH30" s="149">
        <v>166</v>
      </c>
      <c r="AI30" s="151">
        <v>174</v>
      </c>
      <c r="AJ30" s="151">
        <v>190</v>
      </c>
      <c r="AK30" s="149">
        <v>174</v>
      </c>
      <c r="AL30" s="149">
        <v>184</v>
      </c>
      <c r="BZ30">
        <v>0.39400000000000002</v>
      </c>
      <c r="CA30">
        <v>0.72533333333333339</v>
      </c>
      <c r="CB30">
        <v>0.52430131428001203</v>
      </c>
    </row>
    <row r="31" spans="1:80">
      <c r="A31" s="26"/>
      <c r="B31" s="170" t="s">
        <v>477</v>
      </c>
      <c r="C31" s="145">
        <v>-1.3248087838292122E-2</v>
      </c>
      <c r="D31" s="146">
        <v>-3.7728849798440933E-2</v>
      </c>
      <c r="E31" s="145">
        <v>-2.2514967247843742E-2</v>
      </c>
      <c r="F31" s="146">
        <v>3.2873261719942093E-2</v>
      </c>
      <c r="G31" s="177">
        <v>1.9181475043296814E-2</v>
      </c>
      <c r="H31" s="147">
        <v>-7.2132058441638947E-2</v>
      </c>
      <c r="I31" s="145">
        <v>-2.988684456795454E-3</v>
      </c>
      <c r="J31" s="146">
        <v>3.2385800033807755E-2</v>
      </c>
      <c r="K31" s="145">
        <v>8.5301311628427356E-5</v>
      </c>
      <c r="L31" s="145">
        <v>-5.0253942608833313E-3</v>
      </c>
      <c r="M31" s="178">
        <v>-5.0312675535678864E-2</v>
      </c>
      <c r="N31" s="145">
        <v>-1.4876062050461769E-2</v>
      </c>
      <c r="O31" s="147">
        <v>-4.8537634313106537E-2</v>
      </c>
      <c r="P31" s="145">
        <v>1.2652546167373657E-2</v>
      </c>
      <c r="Q31" s="145">
        <v>-1.3570704497396946E-2</v>
      </c>
      <c r="R31" s="145">
        <v>-1.2576698325574398E-2</v>
      </c>
      <c r="S31" s="181">
        <v>-3.2912783324718475E-2</v>
      </c>
      <c r="T31" s="145">
        <v>-1.5402988530695438E-2</v>
      </c>
      <c r="U31" s="145">
        <v>-7.7587184496223927E-3</v>
      </c>
      <c r="V31" s="145">
        <v>-2.1407876629382372E-3</v>
      </c>
      <c r="W31" s="145">
        <v>1.3090746942907572E-3</v>
      </c>
      <c r="X31" s="145">
        <v>-1.8808672204613686E-2</v>
      </c>
      <c r="Y31" s="179">
        <v>-0.13345058262348175</v>
      </c>
      <c r="Z31" s="148">
        <v>-0.11389545351266861</v>
      </c>
      <c r="AA31" s="145">
        <v>-7.9296834883280098E-5</v>
      </c>
      <c r="AB31">
        <v>0</v>
      </c>
      <c r="AC31" s="142">
        <v>149</v>
      </c>
      <c r="AD31">
        <v>147</v>
      </c>
      <c r="AE31" s="174">
        <v>152</v>
      </c>
      <c r="AF31">
        <v>152</v>
      </c>
      <c r="AG31">
        <v>144</v>
      </c>
      <c r="AH31">
        <v>134</v>
      </c>
      <c r="AI31">
        <v>145</v>
      </c>
      <c r="AJ31">
        <v>152</v>
      </c>
      <c r="AK31" s="142">
        <v>145</v>
      </c>
      <c r="AL31">
        <v>150</v>
      </c>
      <c r="BZ31">
        <v>0.59299999999999997</v>
      </c>
      <c r="CA31">
        <v>0.39733333333333332</v>
      </c>
      <c r="CB31">
        <v>0.45224949281523902</v>
      </c>
    </row>
    <row r="32" spans="1:80">
      <c r="A32" s="26"/>
      <c r="B32" s="170" t="s">
        <v>495</v>
      </c>
      <c r="C32" s="145">
        <v>-2.2391069214791059E-3</v>
      </c>
      <c r="D32" s="145">
        <v>1.8020618706941605E-2</v>
      </c>
      <c r="E32" s="145">
        <v>4.8156441189348698E-3</v>
      </c>
      <c r="F32" s="148">
        <v>9.7239628434181213E-2</v>
      </c>
      <c r="G32" s="181">
        <v>2.3701021447777748E-2</v>
      </c>
      <c r="H32" s="145">
        <v>-1.8804006278514862E-2</v>
      </c>
      <c r="I32" s="145">
        <v>-3.7056434666737914E-4</v>
      </c>
      <c r="J32" s="147">
        <v>-4.1914019733667374E-2</v>
      </c>
      <c r="K32" s="145">
        <v>2.1929046488367021E-4</v>
      </c>
      <c r="L32" s="145">
        <v>-2.6698839974415023E-6</v>
      </c>
      <c r="M32" s="177">
        <v>5.6852917186915874E-3</v>
      </c>
      <c r="N32" s="145">
        <v>1.2619283981621265E-2</v>
      </c>
      <c r="O32" s="145">
        <v>-1.1632324458332732E-4</v>
      </c>
      <c r="P32" s="145">
        <v>-9.2713376507163048E-3</v>
      </c>
      <c r="Q32" s="147">
        <v>4.6204794198274612E-2</v>
      </c>
      <c r="R32" s="145">
        <v>1.4575514942407608E-3</v>
      </c>
      <c r="S32" s="177">
        <v>-3.5116712097078562E-3</v>
      </c>
      <c r="T32" s="145">
        <v>1.8651297315955162E-2</v>
      </c>
      <c r="U32" s="145">
        <v>2.4188909446820617E-4</v>
      </c>
      <c r="V32" s="145">
        <v>1.8309183651581407E-3</v>
      </c>
      <c r="W32" s="145">
        <v>9.3918163329362869E-3</v>
      </c>
      <c r="X32" s="145">
        <v>4.7409846447408199E-3</v>
      </c>
      <c r="Y32" s="177">
        <v>8.3395503461360931E-3</v>
      </c>
      <c r="Z32" s="145">
        <v>-1.0310179786756635E-3</v>
      </c>
      <c r="AA32" s="145">
        <v>2.4779716040939093E-3</v>
      </c>
      <c r="AB32" s="146">
        <v>2.7197349816560745E-2</v>
      </c>
      <c r="AC32">
        <v>0</v>
      </c>
      <c r="AD32">
        <v>176</v>
      </c>
      <c r="AE32" s="174">
        <v>184</v>
      </c>
      <c r="AF32">
        <v>184</v>
      </c>
      <c r="AG32">
        <v>173</v>
      </c>
      <c r="AH32" s="143">
        <v>162</v>
      </c>
      <c r="AI32" s="142">
        <v>172</v>
      </c>
      <c r="AJ32">
        <v>184</v>
      </c>
      <c r="AK32">
        <v>172</v>
      </c>
      <c r="AL32">
        <v>182</v>
      </c>
      <c r="BZ32">
        <v>0.52300000000000002</v>
      </c>
      <c r="CA32">
        <v>0.33133333333333331</v>
      </c>
      <c r="CB32">
        <v>0.421508970516837</v>
      </c>
    </row>
    <row r="33" spans="1:80">
      <c r="A33" s="26"/>
      <c r="B33" s="170" t="s">
        <v>494</v>
      </c>
      <c r="C33" s="148">
        <v>9.4527095556259155E-2</v>
      </c>
      <c r="D33" s="148">
        <v>0.2755700945854187</v>
      </c>
      <c r="E33" s="148">
        <v>0.47068789601325989</v>
      </c>
      <c r="F33" s="148">
        <v>0.44181036949157715</v>
      </c>
      <c r="G33" s="178">
        <v>-4.7285959124565125E-2</v>
      </c>
      <c r="H33" s="148">
        <v>-0.16015596687793732</v>
      </c>
      <c r="I33" s="148">
        <v>0.34982803463935852</v>
      </c>
      <c r="J33" s="148">
        <v>-0.12484656274318695</v>
      </c>
      <c r="K33" s="148">
        <v>0.22428007423877716</v>
      </c>
      <c r="L33" s="148">
        <v>0.44338524341583252</v>
      </c>
      <c r="M33" s="179">
        <v>0.18571269512176514</v>
      </c>
      <c r="N33" s="148">
        <v>0.16400644183158875</v>
      </c>
      <c r="O33" s="148">
        <v>0.29794681072235107</v>
      </c>
      <c r="P33" s="145">
        <v>7.6099368743598461E-4</v>
      </c>
      <c r="Q33" s="146">
        <v>-3.254251554608345E-2</v>
      </c>
      <c r="R33" s="148">
        <v>0.23889410495758057</v>
      </c>
      <c r="S33" s="178">
        <v>5.0702013075351715E-2</v>
      </c>
      <c r="T33" s="148">
        <v>0.36304971575737</v>
      </c>
      <c r="U33" s="148">
        <v>0.3676421046257019</v>
      </c>
      <c r="V33" s="148">
        <v>0.4096265435218811</v>
      </c>
      <c r="W33" s="148">
        <v>0.18880240619182587</v>
      </c>
      <c r="X33" s="148">
        <v>0.3231070339679718</v>
      </c>
      <c r="Y33" s="177">
        <v>-2.2246011067181826E-3</v>
      </c>
      <c r="Z33" s="145">
        <v>-9.571760892868042E-3</v>
      </c>
      <c r="AA33" s="148">
        <v>0.42483031749725342</v>
      </c>
      <c r="AB33" s="145">
        <v>-1.5514692291617393E-2</v>
      </c>
      <c r="AC33" s="145">
        <v>-2.5879397071548738E-5</v>
      </c>
      <c r="AD33">
        <v>0</v>
      </c>
      <c r="AE33" s="175">
        <v>177</v>
      </c>
      <c r="AF33" s="149">
        <v>177</v>
      </c>
      <c r="AG33" s="149">
        <v>170</v>
      </c>
      <c r="AH33" s="149">
        <v>160</v>
      </c>
      <c r="AI33" s="149">
        <v>171</v>
      </c>
      <c r="AJ33" s="149">
        <v>177</v>
      </c>
      <c r="AK33" s="149">
        <v>171</v>
      </c>
      <c r="AL33" s="149">
        <v>176</v>
      </c>
      <c r="BZ33">
        <v>0.96599999999999997</v>
      </c>
      <c r="CA33">
        <v>0</v>
      </c>
      <c r="CB33">
        <v>0.214927469891915</v>
      </c>
    </row>
    <row r="34" spans="1:80">
      <c r="A34" s="171"/>
      <c r="B34" s="172" t="s">
        <v>537</v>
      </c>
      <c r="C34" s="161">
        <v>-0.2300431877374649</v>
      </c>
      <c r="D34" s="156">
        <v>-0.33439001441001892</v>
      </c>
      <c r="E34" s="156">
        <v>-0.43126970529556274</v>
      </c>
      <c r="F34" s="156">
        <v>-0.39155083894729614</v>
      </c>
      <c r="G34" s="183">
        <v>-1.1719723261194304E-4</v>
      </c>
      <c r="H34" s="163">
        <v>2.8029656037688255E-2</v>
      </c>
      <c r="I34" s="156">
        <v>-0.1633773148059845</v>
      </c>
      <c r="J34" s="165">
        <v>5.3872711956501007E-2</v>
      </c>
      <c r="K34" s="156">
        <v>-0.13606162369251251</v>
      </c>
      <c r="L34" s="156">
        <v>-0.22583825886249542</v>
      </c>
      <c r="M34" s="182">
        <v>-0.10616741329431534</v>
      </c>
      <c r="N34" s="156">
        <v>-0.23526172339916229</v>
      </c>
      <c r="O34" s="156">
        <v>-9.9654220044612885E-2</v>
      </c>
      <c r="P34" s="155">
        <v>3.4736213274300098E-4</v>
      </c>
      <c r="Q34" s="163">
        <v>3.6576874554157257E-2</v>
      </c>
      <c r="R34" s="156">
        <v>-0.15633535385131836</v>
      </c>
      <c r="S34" s="189">
        <v>-5.0171565264463425E-2</v>
      </c>
      <c r="T34" s="156">
        <v>-0.33168259263038635</v>
      </c>
      <c r="U34" s="156">
        <v>-0.37201523780822754</v>
      </c>
      <c r="V34" s="156">
        <v>-0.19524411857128143</v>
      </c>
      <c r="W34" s="156">
        <v>-0.10926806181669235</v>
      </c>
      <c r="X34" s="156">
        <v>-0.23576043546199799</v>
      </c>
      <c r="Y34" s="183">
        <v>-1.1967795435339212E-3</v>
      </c>
      <c r="Z34" s="163">
        <v>2.5981977581977844E-2</v>
      </c>
      <c r="AA34" s="156">
        <v>-0.16339020431041718</v>
      </c>
      <c r="AB34" s="155">
        <v>3.5627202596515417E-3</v>
      </c>
      <c r="AC34" s="155">
        <v>-1.1369254440069199E-2</v>
      </c>
      <c r="AD34" s="156">
        <v>-0.21450148522853851</v>
      </c>
      <c r="AE34" s="176">
        <v>0</v>
      </c>
      <c r="AF34" s="166">
        <v>192</v>
      </c>
      <c r="AG34" s="166">
        <v>179</v>
      </c>
      <c r="AH34" s="159">
        <v>168</v>
      </c>
      <c r="AI34" s="159">
        <v>174</v>
      </c>
      <c r="AJ34" s="166">
        <v>192</v>
      </c>
      <c r="AK34" s="157">
        <v>174</v>
      </c>
      <c r="AL34" s="159">
        <v>186</v>
      </c>
      <c r="BZ34">
        <v>0.70799999999999996</v>
      </c>
      <c r="CA34">
        <v>6.2E-2</v>
      </c>
      <c r="CB34">
        <v>0.33065616730040998</v>
      </c>
    </row>
    <row r="35" spans="1:80">
      <c r="A35" s="171"/>
      <c r="B35" s="172" t="s">
        <v>538</v>
      </c>
      <c r="C35" s="148">
        <v>-0.41091758012771606</v>
      </c>
      <c r="D35" s="148">
        <v>-0.46819993853569031</v>
      </c>
      <c r="E35" s="150">
        <v>-0.71018195152282715</v>
      </c>
      <c r="F35" s="150">
        <v>-0.54866605997085571</v>
      </c>
      <c r="G35" s="181">
        <v>3.3645853400230408E-2</v>
      </c>
      <c r="H35" s="146">
        <v>3.6789108067750931E-2</v>
      </c>
      <c r="I35" s="148">
        <v>-0.49922090768814087</v>
      </c>
      <c r="J35" s="148">
        <v>8.4283322095870972E-2</v>
      </c>
      <c r="K35" s="148">
        <v>-0.48616936802864075</v>
      </c>
      <c r="L35" s="150">
        <v>-0.63482898473739624</v>
      </c>
      <c r="M35" s="179">
        <v>-0.15208037197589874</v>
      </c>
      <c r="N35" s="148">
        <v>-0.46909883618354797</v>
      </c>
      <c r="O35" s="148">
        <v>-0.34409397840499878</v>
      </c>
      <c r="P35" s="145">
        <v>-6.41411985270679E-4</v>
      </c>
      <c r="Q35" s="148">
        <v>6.4465828239917755E-2</v>
      </c>
      <c r="R35" s="148">
        <v>-0.49426901340484619</v>
      </c>
      <c r="S35" s="178">
        <v>-4.708600789308548E-2</v>
      </c>
      <c r="T35" s="150">
        <v>-0.51959520578384399</v>
      </c>
      <c r="U35" s="150">
        <v>-0.63878268003463745</v>
      </c>
      <c r="V35" s="150">
        <v>-0.58538341522216797</v>
      </c>
      <c r="W35" s="148">
        <v>-0.42106142640113831</v>
      </c>
      <c r="X35" s="150">
        <v>-0.51849418878555298</v>
      </c>
      <c r="Y35" s="177">
        <v>3.0533591052517295E-4</v>
      </c>
      <c r="Z35" s="145">
        <v>5.9015713632106781E-3</v>
      </c>
      <c r="AA35" s="150">
        <v>-0.55615818500518799</v>
      </c>
      <c r="AB35" s="145">
        <v>2.9633322264999151E-4</v>
      </c>
      <c r="AC35" s="145">
        <v>-9.8346592858433723E-3</v>
      </c>
      <c r="AD35" s="148">
        <v>-0.38046285510063171</v>
      </c>
      <c r="AE35" s="193">
        <v>0.5435948371887207</v>
      </c>
      <c r="AF35">
        <v>0</v>
      </c>
      <c r="AG35" s="151">
        <v>179</v>
      </c>
      <c r="AH35" s="149">
        <v>168</v>
      </c>
      <c r="AI35" s="151">
        <v>174</v>
      </c>
      <c r="AJ35" s="151">
        <v>192</v>
      </c>
      <c r="AK35">
        <v>174</v>
      </c>
      <c r="AL35" s="149">
        <v>186</v>
      </c>
      <c r="BZ35">
        <v>0.36899999999999999</v>
      </c>
      <c r="CA35">
        <v>0.34066666666666667</v>
      </c>
      <c r="CB35">
        <v>0.51706357624321098</v>
      </c>
    </row>
    <row r="36" spans="1:80">
      <c r="A36" s="171"/>
      <c r="B36" s="172" t="s">
        <v>539</v>
      </c>
      <c r="C36" s="150">
        <v>-0.50755125284194946</v>
      </c>
      <c r="D36" s="150">
        <v>-0.55485910177230835</v>
      </c>
      <c r="E36" s="150">
        <v>-0.84228342771530151</v>
      </c>
      <c r="F36" s="150">
        <v>-0.53656250238418579</v>
      </c>
      <c r="G36" s="178">
        <v>5.3674478083848953E-2</v>
      </c>
      <c r="H36" s="146">
        <v>3.4537434577941895E-2</v>
      </c>
      <c r="I36" s="150">
        <v>-0.6474616527557373</v>
      </c>
      <c r="J36" s="148">
        <v>6.4960658550262451E-2</v>
      </c>
      <c r="K36" s="150">
        <v>-0.66641300916671753</v>
      </c>
      <c r="L36" s="150">
        <v>-0.76382821798324585</v>
      </c>
      <c r="M36" s="179">
        <v>-0.22490698099136353</v>
      </c>
      <c r="N36" s="148">
        <v>-0.45205619931221008</v>
      </c>
      <c r="O36" s="148">
        <v>-0.46204859018325806</v>
      </c>
      <c r="P36" s="145">
        <v>-1.8082141177728772E-3</v>
      </c>
      <c r="Q36" s="147">
        <v>5.7271022349596024E-2</v>
      </c>
      <c r="R36" s="150">
        <v>-0.58457040786743164</v>
      </c>
      <c r="S36" s="177">
        <v>-1.7701797187328339E-2</v>
      </c>
      <c r="T36" s="150">
        <v>-0.54335290193557739</v>
      </c>
      <c r="U36" s="150">
        <v>-0.84542006254196167</v>
      </c>
      <c r="V36" s="150">
        <v>-0.77656334638595581</v>
      </c>
      <c r="W36" s="148">
        <v>-0.49720802903175354</v>
      </c>
      <c r="X36" s="150">
        <v>-0.68439561128616333</v>
      </c>
      <c r="Y36" s="181">
        <v>2.5873217731714249E-2</v>
      </c>
      <c r="Z36" s="145">
        <v>1.318794023245573E-2</v>
      </c>
      <c r="AA36" s="150">
        <v>-0.77766960859298706</v>
      </c>
      <c r="AB36" s="145">
        <v>1.3149332953616977E-3</v>
      </c>
      <c r="AC36" s="145">
        <v>-4.9913176335394382E-3</v>
      </c>
      <c r="AD36" s="148">
        <v>-0.39646324515342712</v>
      </c>
      <c r="AE36" s="193">
        <v>0.50387054681777954</v>
      </c>
      <c r="AF36" s="150">
        <v>0.87878221273422241</v>
      </c>
      <c r="AG36">
        <v>0</v>
      </c>
      <c r="AH36" s="149">
        <v>162</v>
      </c>
      <c r="AI36" s="151">
        <v>170</v>
      </c>
      <c r="AJ36" s="151">
        <v>179</v>
      </c>
      <c r="AK36" s="143">
        <v>170</v>
      </c>
      <c r="AL36" s="149">
        <v>176</v>
      </c>
      <c r="BZ36">
        <v>0.39200000000000002</v>
      </c>
      <c r="CA36">
        <v>0.41199999999999998</v>
      </c>
      <c r="CB36">
        <v>0.47831634678776103</v>
      </c>
    </row>
    <row r="37" spans="1:80">
      <c r="A37" s="171"/>
      <c r="B37" s="172" t="s">
        <v>540</v>
      </c>
      <c r="C37" s="145">
        <v>1.6910103149712086E-3</v>
      </c>
      <c r="D37" s="148">
        <v>0.1449286937713623</v>
      </c>
      <c r="E37" s="148">
        <v>0.14411124587059021</v>
      </c>
      <c r="F37" s="148">
        <v>0.17409294843673706</v>
      </c>
      <c r="G37" s="181">
        <v>2.3266814649105072E-2</v>
      </c>
      <c r="H37" s="148">
        <v>-8.1084676086902618E-2</v>
      </c>
      <c r="I37" s="146">
        <v>3.7515368312597275E-2</v>
      </c>
      <c r="J37" s="148">
        <v>-0.24703539907932281</v>
      </c>
      <c r="K37" s="145">
        <v>1.6317909583449364E-2</v>
      </c>
      <c r="L37" s="148">
        <v>0.12428566068410873</v>
      </c>
      <c r="M37" s="179">
        <v>0.27309554815292358</v>
      </c>
      <c r="N37" s="147">
        <v>3.9868459105491638E-2</v>
      </c>
      <c r="O37" s="148">
        <v>8.8312782347202301E-2</v>
      </c>
      <c r="P37" s="145">
        <v>-1.3628477230668068E-2</v>
      </c>
      <c r="Q37" s="145">
        <v>1.6499806195497513E-2</v>
      </c>
      <c r="R37" s="145">
        <v>4.5531950891017914E-3</v>
      </c>
      <c r="S37" s="177">
        <v>1.8266205443069339E-3</v>
      </c>
      <c r="T37" s="148">
        <v>0.21757602691650391</v>
      </c>
      <c r="U37" s="148">
        <v>0.11174201220273972</v>
      </c>
      <c r="V37" s="148">
        <v>0.17695915699005127</v>
      </c>
      <c r="W37" s="147">
        <v>4.6972893178462982E-2</v>
      </c>
      <c r="X37" s="146">
        <v>3.2561037689447403E-2</v>
      </c>
      <c r="Y37" s="177">
        <v>4.7667194157838821E-3</v>
      </c>
      <c r="Z37" s="145">
        <v>-5.52080397028476E-4</v>
      </c>
      <c r="AA37" s="148">
        <v>9.090723842382431E-2</v>
      </c>
      <c r="AB37" s="145">
        <v>-1.8945614574477077E-3</v>
      </c>
      <c r="AC37" s="147">
        <v>5.8546971529722214E-2</v>
      </c>
      <c r="AD37" s="148">
        <v>0.14650130271911621</v>
      </c>
      <c r="AE37" s="179">
        <v>-0.13108846545219421</v>
      </c>
      <c r="AF37" s="148">
        <v>-7.991325855255127E-2</v>
      </c>
      <c r="AG37" s="148">
        <v>-9.3933805823326111E-2</v>
      </c>
      <c r="AH37">
        <v>0</v>
      </c>
      <c r="AI37" s="149">
        <v>161</v>
      </c>
      <c r="AJ37" s="149">
        <v>168</v>
      </c>
      <c r="AK37" s="149">
        <v>161</v>
      </c>
      <c r="AL37" s="142">
        <v>165</v>
      </c>
      <c r="BZ37">
        <v>0.878</v>
      </c>
      <c r="CA37">
        <v>6.6666666666666664E-4</v>
      </c>
      <c r="CB37">
        <v>0.23512586712133299</v>
      </c>
    </row>
    <row r="38" spans="1:80">
      <c r="A38" s="171"/>
      <c r="B38" s="172" t="s">
        <v>541</v>
      </c>
      <c r="C38" s="150">
        <v>0.5186920166015625</v>
      </c>
      <c r="D38" s="150">
        <v>0.75068426132202148</v>
      </c>
      <c r="E38" s="150">
        <v>0.86709606647491455</v>
      </c>
      <c r="F38" s="150">
        <v>0.66060787439346313</v>
      </c>
      <c r="G38" s="177">
        <v>-1.6588108614087105E-2</v>
      </c>
      <c r="H38" s="145">
        <v>-1.8569834530353546E-2</v>
      </c>
      <c r="I38" s="150">
        <v>0.62147623300552368</v>
      </c>
      <c r="J38" s="148">
        <v>-0.12629403173923492</v>
      </c>
      <c r="K38" s="150">
        <v>0.5378577709197998</v>
      </c>
      <c r="L38" s="150">
        <v>0.7028278112411499</v>
      </c>
      <c r="M38" s="179">
        <v>0.33643150329589844</v>
      </c>
      <c r="N38" s="148">
        <v>0.49743038415908813</v>
      </c>
      <c r="O38" s="150">
        <v>0.56164085865020752</v>
      </c>
      <c r="P38" s="145">
        <v>2.2193571203388274E-4</v>
      </c>
      <c r="Q38" s="145">
        <v>-1.119685111916624E-4</v>
      </c>
      <c r="R38" s="150">
        <v>0.53546696901321411</v>
      </c>
      <c r="S38" s="178">
        <v>4.8266567289829254E-2</v>
      </c>
      <c r="T38" s="150">
        <v>0.60484254360198975</v>
      </c>
      <c r="U38" s="150">
        <v>0.73324936628341675</v>
      </c>
      <c r="V38" s="150">
        <v>0.70504391193389893</v>
      </c>
      <c r="W38" s="148">
        <v>0.47870516777038574</v>
      </c>
      <c r="X38" s="150">
        <v>0.65964007377624512</v>
      </c>
      <c r="Y38" s="177">
        <v>1.443001558072865E-3</v>
      </c>
      <c r="Z38" s="145">
        <v>-3.8758563459850848E-4</v>
      </c>
      <c r="AA38" s="150">
        <v>0.7388606071472168</v>
      </c>
      <c r="AB38" s="145">
        <v>-1.1306156404316425E-2</v>
      </c>
      <c r="AC38" s="146">
        <v>2.3507991805672646E-2</v>
      </c>
      <c r="AD38" s="148">
        <v>0.44793865084648132</v>
      </c>
      <c r="AE38" s="179">
        <v>-0.4811045229434967</v>
      </c>
      <c r="AF38" s="150">
        <v>-0.74783784151077271</v>
      </c>
      <c r="AG38" s="150">
        <v>-0.86060768365859985</v>
      </c>
      <c r="AH38" s="148">
        <v>0.14768894016742706</v>
      </c>
      <c r="AI38">
        <v>0</v>
      </c>
      <c r="AJ38" s="151">
        <v>174</v>
      </c>
      <c r="AK38" s="149">
        <v>174</v>
      </c>
      <c r="AL38" s="149">
        <v>172</v>
      </c>
      <c r="BZ38">
        <v>0.77200000000000002</v>
      </c>
      <c r="CA38">
        <v>3.7333333333333336E-2</v>
      </c>
      <c r="CB38">
        <v>0.27548888538487998</v>
      </c>
    </row>
    <row r="39" spans="1:80">
      <c r="A39" s="171"/>
      <c r="B39" s="172" t="s">
        <v>542</v>
      </c>
      <c r="C39" s="148">
        <v>0.41091758012771606</v>
      </c>
      <c r="D39" s="148">
        <v>0.46819993853569031</v>
      </c>
      <c r="E39" s="150">
        <v>0.71018195152282715</v>
      </c>
      <c r="F39" s="150">
        <v>0.54866605997085571</v>
      </c>
      <c r="G39" s="181">
        <v>-3.3645853400230408E-2</v>
      </c>
      <c r="H39" s="146">
        <v>-3.6789108067750931E-2</v>
      </c>
      <c r="I39" s="148">
        <v>0.49922090768814087</v>
      </c>
      <c r="J39" s="148">
        <v>-8.4283322095870972E-2</v>
      </c>
      <c r="K39" s="148">
        <v>0.48616936802864075</v>
      </c>
      <c r="L39" s="150">
        <v>0.63482898473739624</v>
      </c>
      <c r="M39" s="179">
        <v>0.15208037197589874</v>
      </c>
      <c r="N39" s="148">
        <v>0.46909883618354797</v>
      </c>
      <c r="O39" s="148">
        <v>0.34409397840499878</v>
      </c>
      <c r="P39" s="145">
        <v>6.41411985270679E-4</v>
      </c>
      <c r="Q39" s="148">
        <v>-6.4465828239917755E-2</v>
      </c>
      <c r="R39" s="148">
        <v>0.49426901340484619</v>
      </c>
      <c r="S39" s="178">
        <v>4.708600789308548E-2</v>
      </c>
      <c r="T39" s="150">
        <v>0.51959520578384399</v>
      </c>
      <c r="U39" s="150">
        <v>0.63878268003463745</v>
      </c>
      <c r="V39" s="150">
        <v>0.58538341522216797</v>
      </c>
      <c r="W39" s="148">
        <v>0.42106142640113831</v>
      </c>
      <c r="X39" s="150">
        <v>0.51849418878555298</v>
      </c>
      <c r="Y39" s="177">
        <v>-3.0533591052517295E-4</v>
      </c>
      <c r="Z39" s="145">
        <v>-5.9015713632106781E-3</v>
      </c>
      <c r="AA39" s="150">
        <v>0.55615818500518799</v>
      </c>
      <c r="AB39" s="145">
        <v>-2.9633322264999151E-4</v>
      </c>
      <c r="AC39" s="145">
        <v>9.8346592858433723E-3</v>
      </c>
      <c r="AD39" s="148">
        <v>0.38046285510063171</v>
      </c>
      <c r="AE39" s="193">
        <v>-0.5435948371887207</v>
      </c>
      <c r="AF39" s="150">
        <v>-1</v>
      </c>
      <c r="AG39" s="150">
        <v>-0.87878221273422241</v>
      </c>
      <c r="AH39" s="148">
        <v>7.991325855255127E-2</v>
      </c>
      <c r="AI39" s="150">
        <v>0.74783784151077271</v>
      </c>
      <c r="AJ39">
        <v>0</v>
      </c>
      <c r="AK39">
        <v>174</v>
      </c>
      <c r="AL39" s="149">
        <v>186</v>
      </c>
      <c r="BZ39">
        <v>0.80700000000000005</v>
      </c>
      <c r="CA39">
        <v>2.1999999999999999E-2</v>
      </c>
      <c r="CB39">
        <v>0.265795170727885</v>
      </c>
    </row>
    <row r="40" spans="1:80">
      <c r="A40" s="171"/>
      <c r="B40" s="172" t="s">
        <v>543</v>
      </c>
      <c r="C40" s="148">
        <v>0.10811597853899002</v>
      </c>
      <c r="D40" s="148">
        <v>0.32028526067733765</v>
      </c>
      <c r="E40" s="148">
        <v>0.16077400743961334</v>
      </c>
      <c r="F40" s="148">
        <v>0.116878442466259</v>
      </c>
      <c r="G40" s="177">
        <v>1.0960741292365128E-7</v>
      </c>
      <c r="H40" s="145">
        <v>4.6623582020401955E-3</v>
      </c>
      <c r="I40" s="148">
        <v>0.1018669381737709</v>
      </c>
      <c r="J40" s="148">
        <v>-6.3650794327259064E-2</v>
      </c>
      <c r="K40" s="148">
        <v>6.5616138279438019E-2</v>
      </c>
      <c r="L40" s="148">
        <v>7.9488575458526611E-2</v>
      </c>
      <c r="M40" s="179">
        <v>0.21234287321567535</v>
      </c>
      <c r="N40" s="145">
        <v>2.1523861214518547E-2</v>
      </c>
      <c r="O40" s="148">
        <v>0.14018744230270386</v>
      </c>
      <c r="P40" s="145">
        <v>-2.3679216392338276E-3</v>
      </c>
      <c r="Q40" s="148">
        <v>0.19472536444664001</v>
      </c>
      <c r="R40" s="148">
        <v>6.70657679438591E-2</v>
      </c>
      <c r="S40" s="181">
        <v>3.2793290913105011E-2</v>
      </c>
      <c r="T40" s="148">
        <v>9.3977868556976318E-2</v>
      </c>
      <c r="U40" s="148">
        <v>0.11259462684392929</v>
      </c>
      <c r="V40" s="148">
        <v>0.1273491382598877</v>
      </c>
      <c r="W40" s="147">
        <v>5.0158999860286713E-2</v>
      </c>
      <c r="X40" s="148">
        <v>0.13119608163833618</v>
      </c>
      <c r="Y40" s="179">
        <v>9.3392647802829742E-2</v>
      </c>
      <c r="Z40" s="146">
        <v>2.3649556562304497E-2</v>
      </c>
      <c r="AA40" s="148">
        <v>0.13301935791969299</v>
      </c>
      <c r="AB40" s="146">
        <v>-4.303475096821785E-2</v>
      </c>
      <c r="AC40" s="145">
        <v>1.3358069583773613E-2</v>
      </c>
      <c r="AD40" s="148">
        <v>9.2814899981021881E-2</v>
      </c>
      <c r="AE40" s="177">
        <v>5.3291185759007931E-3</v>
      </c>
      <c r="AF40" s="145">
        <v>4.3136734007021005E-7</v>
      </c>
      <c r="AG40" s="147">
        <v>-5.3623057901859283E-2</v>
      </c>
      <c r="AH40" s="148">
        <v>7.8074298799037933E-2</v>
      </c>
      <c r="AI40" s="148">
        <v>0.25159195065498352</v>
      </c>
      <c r="AJ40" s="145">
        <v>-4.3136734007021005E-7</v>
      </c>
      <c r="AK40">
        <v>0</v>
      </c>
      <c r="AL40" s="142">
        <v>172</v>
      </c>
      <c r="BZ40">
        <v>0.57599999999999996</v>
      </c>
      <c r="CA40">
        <v>0.11799999999999999</v>
      </c>
      <c r="CB40">
        <v>0.41148180755624703</v>
      </c>
    </row>
    <row r="41" spans="1:80">
      <c r="A41" s="171"/>
      <c r="B41" s="172" t="s">
        <v>544</v>
      </c>
      <c r="C41" s="147">
        <v>6.1945013701915741E-2</v>
      </c>
      <c r="D41" s="148">
        <v>0.15416906774044037</v>
      </c>
      <c r="E41" s="148">
        <v>0.21154215931892395</v>
      </c>
      <c r="F41" s="148">
        <v>0.20599637925624847</v>
      </c>
      <c r="G41" s="177">
        <v>1.0393001139163971E-3</v>
      </c>
      <c r="H41" s="146">
        <v>-3.6038059741258621E-2</v>
      </c>
      <c r="I41" s="148">
        <v>0.10854141414165497</v>
      </c>
      <c r="J41" s="147">
        <v>-5.3964342921972275E-2</v>
      </c>
      <c r="K41" s="147">
        <v>4.5981798321008682E-2</v>
      </c>
      <c r="L41" s="148">
        <v>0.14565849304199219</v>
      </c>
      <c r="M41" s="179">
        <v>6.2628321349620819E-2</v>
      </c>
      <c r="N41" s="148">
        <v>0.18718591332435608</v>
      </c>
      <c r="O41" s="148">
        <v>6.925065815448761E-2</v>
      </c>
      <c r="P41" s="145">
        <v>9.3037693295627832E-4</v>
      </c>
      <c r="Q41" s="145">
        <v>-1.7182447481900454E-4</v>
      </c>
      <c r="R41" s="148">
        <v>9.6583664417266846E-2</v>
      </c>
      <c r="S41" s="179">
        <v>5.714087188243866E-2</v>
      </c>
      <c r="T41" s="148">
        <v>0.13968423008918762</v>
      </c>
      <c r="U41" s="148">
        <v>0.15209703147411346</v>
      </c>
      <c r="V41" s="148">
        <v>0.16241961717605591</v>
      </c>
      <c r="W41" s="148">
        <v>0.17529085278511047</v>
      </c>
      <c r="X41" s="148">
        <v>7.5232289731502533E-2</v>
      </c>
      <c r="Y41" s="177">
        <v>6.7760446108877659E-3</v>
      </c>
      <c r="Z41" s="145">
        <v>8.8438449893146753E-4</v>
      </c>
      <c r="AA41" s="148">
        <v>0.13757781684398651</v>
      </c>
      <c r="AB41" s="145">
        <v>-4.5229201205074787E-3</v>
      </c>
      <c r="AC41" s="145">
        <v>1.0303415358066559E-2</v>
      </c>
      <c r="AD41" s="148">
        <v>0.14746005833148956</v>
      </c>
      <c r="AE41" s="179">
        <v>-8.6911700665950775E-2</v>
      </c>
      <c r="AF41" s="148">
        <v>-0.16799807548522949</v>
      </c>
      <c r="AG41" s="148">
        <v>-0.13669854402542114</v>
      </c>
      <c r="AH41" s="146">
        <v>2.9103677719831467E-2</v>
      </c>
      <c r="AI41" s="148">
        <v>0.2264072597026825</v>
      </c>
      <c r="AJ41" s="148">
        <v>0.16799807548522949</v>
      </c>
      <c r="AK41" s="146">
        <v>3.6929018795490265E-2</v>
      </c>
      <c r="AL41">
        <v>0</v>
      </c>
      <c r="BZ41">
        <v>0.60099999999999998</v>
      </c>
      <c r="CA41">
        <v>0.14666666666666667</v>
      </c>
      <c r="CB41">
        <v>0.442279738235001</v>
      </c>
    </row>
    <row r="42" spans="1:80">
      <c r="BZ42">
        <v>0.38900000000000001</v>
      </c>
      <c r="CA42">
        <v>0.52400000000000002</v>
      </c>
      <c r="CB42" t="e">
        <v>#N/A</v>
      </c>
    </row>
    <row r="43" spans="1:80">
      <c r="BZ43">
        <v>0.85399999999999998</v>
      </c>
      <c r="CA43">
        <v>2.6666666666666666E-3</v>
      </c>
      <c r="CB43">
        <v>0.29592260459048803</v>
      </c>
    </row>
    <row r="44" spans="1:80">
      <c r="BZ44">
        <v>0.48399999999999999</v>
      </c>
      <c r="CA44">
        <v>0.374</v>
      </c>
      <c r="CB44">
        <v>0.42779113591166601</v>
      </c>
    </row>
    <row r="45" spans="1:80">
      <c r="BZ45">
        <v>0.871</v>
      </c>
      <c r="CA45">
        <v>0</v>
      </c>
      <c r="CB45">
        <v>0.19292525101095401</v>
      </c>
    </row>
    <row r="46" spans="1:80">
      <c r="BZ46">
        <v>0.86299999999999999</v>
      </c>
      <c r="CA46">
        <v>6.6666666666666664E-4</v>
      </c>
      <c r="CB46">
        <v>0.29733766635070702</v>
      </c>
    </row>
    <row r="47" spans="1:80">
      <c r="BZ47">
        <v>0.91400000000000003</v>
      </c>
      <c r="CA47">
        <v>9.3333333333333341E-3</v>
      </c>
      <c r="CB47">
        <v>0.246022450567076</v>
      </c>
    </row>
    <row r="48" spans="1:80">
      <c r="BZ48">
        <v>0.90300000000000002</v>
      </c>
      <c r="CA48">
        <v>6.6666666666666664E-4</v>
      </c>
      <c r="CB48">
        <v>0.157990084056362</v>
      </c>
    </row>
    <row r="49" spans="78:80">
      <c r="BZ49">
        <v>0.95499999999999996</v>
      </c>
      <c r="CA49">
        <v>6.6666666666666664E-4</v>
      </c>
      <c r="CB49">
        <v>0.11302658685587701</v>
      </c>
    </row>
    <row r="50" spans="78:80">
      <c r="BZ50">
        <v>0.52</v>
      </c>
      <c r="CA50">
        <v>0.30266666666666664</v>
      </c>
      <c r="CB50" t="e">
        <v>#N/A</v>
      </c>
    </row>
    <row r="51" spans="78:80">
      <c r="BZ51">
        <v>0.81399999999999995</v>
      </c>
      <c r="CA51">
        <v>0</v>
      </c>
      <c r="CB51" t="e">
        <v>#N/A</v>
      </c>
    </row>
    <row r="52" spans="78:80">
      <c r="BZ52">
        <v>0.77700000000000002</v>
      </c>
      <c r="CA52">
        <v>4.8666666666666664E-2</v>
      </c>
      <c r="CB52">
        <v>0.32179952793231797</v>
      </c>
    </row>
    <row r="53" spans="78:80">
      <c r="BZ53">
        <v>0.80600000000000005</v>
      </c>
      <c r="CA53">
        <v>4.2000000000000003E-2</v>
      </c>
      <c r="CB53">
        <v>0.25482828193913798</v>
      </c>
    </row>
    <row r="54" spans="78:80">
      <c r="BZ54">
        <v>0.70299999999999996</v>
      </c>
      <c r="CA54">
        <v>5.7333333333333333E-2</v>
      </c>
      <c r="CB54">
        <v>0.28190083016630801</v>
      </c>
    </row>
    <row r="55" spans="78:80">
      <c r="BZ55">
        <v>0.747</v>
      </c>
      <c r="CA55">
        <v>5.4666666666666669E-2</v>
      </c>
      <c r="CB55">
        <v>0.32380192047805401</v>
      </c>
    </row>
    <row r="56" spans="78:80">
      <c r="BZ56">
        <v>0.71899999999999997</v>
      </c>
      <c r="CA56">
        <v>0.33733333333333332</v>
      </c>
      <c r="CB56" t="e">
        <v>#N/A</v>
      </c>
    </row>
    <row r="57" spans="78:80">
      <c r="BZ57">
        <v>0.47199999999999998</v>
      </c>
      <c r="CA57">
        <v>0.25266666666666665</v>
      </c>
      <c r="CB57">
        <v>0.47552989391164602</v>
      </c>
    </row>
    <row r="58" spans="78:80">
      <c r="BZ58">
        <v>0.88300000000000001</v>
      </c>
      <c r="CA58">
        <v>0</v>
      </c>
      <c r="CB58">
        <v>0.24381805596636599</v>
      </c>
    </row>
    <row r="59" spans="78:80">
      <c r="BZ59">
        <v>0.41399999999999998</v>
      </c>
      <c r="CA59">
        <v>0.47</v>
      </c>
      <c r="CB59">
        <v>0.52008440963978297</v>
      </c>
    </row>
    <row r="60" spans="78:80">
      <c r="BZ60">
        <v>0.74099999999999999</v>
      </c>
      <c r="CA60">
        <v>7.3333333333333332E-3</v>
      </c>
      <c r="CB60">
        <v>0.311456405579146</v>
      </c>
    </row>
    <row r="61" spans="78:80">
      <c r="BZ61">
        <v>0.95899999999999996</v>
      </c>
      <c r="CA61">
        <v>0</v>
      </c>
      <c r="CB61">
        <v>0.15351920809675801</v>
      </c>
    </row>
    <row r="62" spans="78:80">
      <c r="BZ62">
        <v>0.96099999999999997</v>
      </c>
      <c r="CA62">
        <v>0</v>
      </c>
      <c r="CB62">
        <v>0.150224704589211</v>
      </c>
    </row>
    <row r="63" spans="78:80">
      <c r="BZ63">
        <v>0.755</v>
      </c>
      <c r="CA63">
        <v>6.8000000000000005E-2</v>
      </c>
      <c r="CB63">
        <v>0.36951361571157598</v>
      </c>
    </row>
    <row r="64" spans="78:80">
      <c r="BZ64">
        <v>0.45600000000000002</v>
      </c>
      <c r="CA64">
        <v>0.19066666666666668</v>
      </c>
      <c r="CB64">
        <v>0.44030555878772498</v>
      </c>
    </row>
    <row r="65" spans="78:80">
      <c r="BZ65">
        <v>0.77800000000000002</v>
      </c>
      <c r="CA65">
        <v>0.11266666666666666</v>
      </c>
      <c r="CB65">
        <v>0.26806604639616499</v>
      </c>
    </row>
    <row r="66" spans="78:80">
      <c r="BZ66">
        <v>0.94699999999999995</v>
      </c>
      <c r="CA66">
        <v>0</v>
      </c>
      <c r="CB66">
        <v>0.148824146103294</v>
      </c>
    </row>
    <row r="67" spans="78:80">
      <c r="BZ67">
        <v>0.52600000000000002</v>
      </c>
      <c r="CA67">
        <v>0.15066666666666667</v>
      </c>
      <c r="CB67">
        <v>0.40562279086047498</v>
      </c>
    </row>
    <row r="68" spans="78:80">
      <c r="BZ68">
        <v>0.94199999999999995</v>
      </c>
      <c r="CA68">
        <v>0</v>
      </c>
      <c r="CB68">
        <v>0.198633318084666</v>
      </c>
    </row>
    <row r="69" spans="78:80">
      <c r="BZ69">
        <v>0.81299999999999994</v>
      </c>
      <c r="CA69">
        <v>3.3333333333333335E-3</v>
      </c>
      <c r="CB69" t="e">
        <v>#N/A</v>
      </c>
    </row>
    <row r="70" spans="78:80">
      <c r="BZ70">
        <v>0.70399999999999996</v>
      </c>
      <c r="CA70">
        <v>8.4000000000000005E-2</v>
      </c>
      <c r="CB70">
        <v>0.31823595210783101</v>
      </c>
    </row>
    <row r="71" spans="78:80">
      <c r="BZ71">
        <v>0.435</v>
      </c>
      <c r="CA71">
        <v>0.32</v>
      </c>
      <c r="CB71" t="e">
        <v>#N/A</v>
      </c>
    </row>
    <row r="72" spans="78:80">
      <c r="BZ72">
        <v>0.39600000000000002</v>
      </c>
      <c r="CA72">
        <v>0.58199999999999996</v>
      </c>
      <c r="CB72">
        <v>0.487842458734627</v>
      </c>
    </row>
    <row r="73" spans="78:80">
      <c r="BZ73">
        <v>0.72899999999999998</v>
      </c>
      <c r="CA73">
        <v>8.7999999999999995E-2</v>
      </c>
      <c r="CB73">
        <v>0.37007605124248899</v>
      </c>
    </row>
    <row r="74" spans="78:80">
      <c r="BZ74">
        <v>0.53200000000000003</v>
      </c>
      <c r="CA74">
        <v>0.28533333333333333</v>
      </c>
      <c r="CB74">
        <v>0.47607455255493802</v>
      </c>
    </row>
    <row r="75" spans="78:80">
      <c r="BZ75">
        <v>0.73199999999999998</v>
      </c>
      <c r="CA75">
        <v>7.0666666666666669E-2</v>
      </c>
      <c r="CB75">
        <v>0.33620063938750899</v>
      </c>
    </row>
    <row r="76" spans="78:80">
      <c r="BZ76">
        <v>0.879</v>
      </c>
      <c r="CA76">
        <v>0</v>
      </c>
      <c r="CB76">
        <v>0.224339328414455</v>
      </c>
    </row>
    <row r="77" spans="78:80">
      <c r="BZ77">
        <v>0.96899999999999997</v>
      </c>
      <c r="CA77">
        <v>0</v>
      </c>
      <c r="CB77">
        <v>0.213614710335324</v>
      </c>
    </row>
    <row r="78" spans="78:80">
      <c r="BZ78">
        <v>0.61199999999999999</v>
      </c>
      <c r="CA78">
        <v>0.21066666666666667</v>
      </c>
      <c r="CB78">
        <v>0.40380969747984002</v>
      </c>
    </row>
    <row r="79" spans="78:80">
      <c r="BZ79">
        <v>0.73399999999999999</v>
      </c>
      <c r="CA79">
        <v>8.666666666666667E-2</v>
      </c>
      <c r="CB79">
        <v>0.301655469909694</v>
      </c>
    </row>
    <row r="80" spans="78:80">
      <c r="BZ80">
        <v>0.96499999999999997</v>
      </c>
      <c r="CA80">
        <v>0</v>
      </c>
      <c r="CB80">
        <v>0.147900947881591</v>
      </c>
    </row>
    <row r="81" spans="78:80">
      <c r="BZ81">
        <v>0.93500000000000005</v>
      </c>
      <c r="CA81">
        <v>0</v>
      </c>
      <c r="CB81">
        <v>0.23582042101836001</v>
      </c>
    </row>
    <row r="82" spans="78:80">
      <c r="BZ82">
        <v>0.95099999999999996</v>
      </c>
      <c r="CA82">
        <v>0</v>
      </c>
      <c r="CB82">
        <v>0.18780557977845999</v>
      </c>
    </row>
    <row r="83" spans="78:80">
      <c r="BZ83">
        <v>0.76600000000000001</v>
      </c>
      <c r="CA83">
        <v>3.1333333333333331E-2</v>
      </c>
      <c r="CB83">
        <v>0.32880333668020501</v>
      </c>
    </row>
    <row r="84" spans="78:80">
      <c r="BZ84">
        <v>0.96</v>
      </c>
      <c r="CA84">
        <v>0</v>
      </c>
      <c r="CB84">
        <v>0.234548927862857</v>
      </c>
    </row>
    <row r="85" spans="78:80">
      <c r="BZ85">
        <v>0.77</v>
      </c>
      <c r="CA85">
        <v>3.9333333333333331E-2</v>
      </c>
      <c r="CB85">
        <v>0.31534371107338299</v>
      </c>
    </row>
    <row r="86" spans="78:80">
      <c r="BZ86">
        <v>0.80400000000000005</v>
      </c>
      <c r="CA86">
        <v>0.16600000000000001</v>
      </c>
      <c r="CB86">
        <v>0.26670654928215998</v>
      </c>
    </row>
    <row r="87" spans="78:80">
      <c r="BZ87">
        <v>0.54100000000000004</v>
      </c>
      <c r="CA87">
        <v>0.24133333333333334</v>
      </c>
      <c r="CB87">
        <v>0.449232689128785</v>
      </c>
    </row>
    <row r="88" spans="78:80">
      <c r="BZ88">
        <v>0.93700000000000006</v>
      </c>
      <c r="CA88">
        <v>0</v>
      </c>
      <c r="CB88">
        <v>0.26382066513636498</v>
      </c>
    </row>
    <row r="89" spans="78:80">
      <c r="BZ89">
        <v>0.91600000000000004</v>
      </c>
      <c r="CA89">
        <v>0</v>
      </c>
      <c r="CB89">
        <v>0.29626991565706301</v>
      </c>
    </row>
    <row r="90" spans="78:80">
      <c r="BZ90">
        <v>0.71</v>
      </c>
      <c r="CA90">
        <v>0.16266666666666665</v>
      </c>
      <c r="CB90">
        <v>0.31081793781085398</v>
      </c>
    </row>
    <row r="91" spans="78:80">
      <c r="BZ91">
        <v>0.61899999999999999</v>
      </c>
      <c r="CA91">
        <v>0.16133333333333333</v>
      </c>
      <c r="CB91">
        <v>0.40991491597561203</v>
      </c>
    </row>
    <row r="92" spans="78:80">
      <c r="BZ92">
        <v>0.86599999999999999</v>
      </c>
      <c r="CA92">
        <v>0</v>
      </c>
      <c r="CB92">
        <v>0.230818725048796</v>
      </c>
    </row>
    <row r="93" spans="78:80">
      <c r="BZ93">
        <v>0.80300000000000005</v>
      </c>
      <c r="CA93">
        <v>2.6666666666666668E-2</v>
      </c>
      <c r="CB93">
        <v>0.28564894061600299</v>
      </c>
    </row>
    <row r="94" spans="78:80">
      <c r="BZ94">
        <v>0.51400000000000001</v>
      </c>
      <c r="CA94">
        <v>2.9333333333333333E-2</v>
      </c>
      <c r="CB94" t="e">
        <v>#N/A</v>
      </c>
    </row>
    <row r="95" spans="78:80">
      <c r="BZ95">
        <v>0.442</v>
      </c>
      <c r="CA95">
        <v>0.59</v>
      </c>
      <c r="CB95">
        <v>0.490816275990825</v>
      </c>
    </row>
    <row r="96" spans="78:80">
      <c r="BZ96">
        <v>0.95099999999999996</v>
      </c>
      <c r="CA96">
        <v>0</v>
      </c>
      <c r="CB96" t="e">
        <v>#DIV/0!</v>
      </c>
    </row>
    <row r="97" spans="78:80">
      <c r="BZ97">
        <v>0.87</v>
      </c>
      <c r="CA97">
        <v>0</v>
      </c>
      <c r="CB97">
        <v>0.23230066347115699</v>
      </c>
    </row>
    <row r="98" spans="78:80">
      <c r="BZ98">
        <v>0.96</v>
      </c>
      <c r="CA98">
        <v>1.3333333333333333E-3</v>
      </c>
      <c r="CB98">
        <v>0.17126368362993999</v>
      </c>
    </row>
    <row r="99" spans="78:80">
      <c r="BZ99">
        <v>0.54300000000000004</v>
      </c>
      <c r="CA99">
        <v>0.36</v>
      </c>
      <c r="CB99">
        <v>0.45276090484339399</v>
      </c>
    </row>
    <row r="100" spans="78:80">
      <c r="BZ100">
        <v>0.49299999999999999</v>
      </c>
      <c r="CA100">
        <v>0.41133333333333333</v>
      </c>
      <c r="CB100">
        <v>0.45844454414779601</v>
      </c>
    </row>
    <row r="101" spans="78:80">
      <c r="BZ101">
        <v>0.82899999999999996</v>
      </c>
      <c r="CA101">
        <v>2.1999999999999999E-2</v>
      </c>
      <c r="CB101">
        <v>0.24621667983946</v>
      </c>
    </row>
    <row r="102" spans="78:80">
      <c r="BZ102">
        <v>0.77100000000000002</v>
      </c>
      <c r="CA102">
        <v>0.11133333333333334</v>
      </c>
      <c r="CB102">
        <v>0.38585886334751301</v>
      </c>
    </row>
    <row r="103" spans="78:80">
      <c r="BZ103">
        <v>0.371</v>
      </c>
      <c r="CA103">
        <v>0.58666666666666667</v>
      </c>
      <c r="CB103">
        <v>0.49563695355704301</v>
      </c>
    </row>
    <row r="104" spans="78:80">
      <c r="BZ104">
        <v>0.90200000000000002</v>
      </c>
      <c r="CA104">
        <v>0</v>
      </c>
      <c r="CB104">
        <v>0.23256029128134501</v>
      </c>
    </row>
    <row r="105" spans="78:80">
      <c r="BZ105">
        <v>0.52</v>
      </c>
      <c r="CA105">
        <v>0.26</v>
      </c>
      <c r="CB105" t="e">
        <v>#N/A</v>
      </c>
    </row>
    <row r="106" spans="78:80">
      <c r="BZ106">
        <v>0.80400000000000005</v>
      </c>
      <c r="CA106">
        <v>4.6666666666666671E-3</v>
      </c>
      <c r="CB106">
        <v>0.26182529162533302</v>
      </c>
    </row>
    <row r="107" spans="78:80">
      <c r="BZ107">
        <v>0.85399999999999998</v>
      </c>
      <c r="CA107">
        <v>1.5333333333333332E-2</v>
      </c>
      <c r="CB107">
        <v>0.25805206627531102</v>
      </c>
    </row>
    <row r="108" spans="78:80">
      <c r="BZ108">
        <v>0.72</v>
      </c>
      <c r="CA108">
        <v>0.01</v>
      </c>
      <c r="CB108">
        <v>0.29275484237024302</v>
      </c>
    </row>
    <row r="109" spans="78:80">
      <c r="BZ109">
        <v>0.72699999999999998</v>
      </c>
      <c r="CA109">
        <v>0.13</v>
      </c>
      <c r="CB109">
        <v>0.35549134315106501</v>
      </c>
    </row>
    <row r="110" spans="78:80">
      <c r="BZ110">
        <v>0.83399999999999996</v>
      </c>
      <c r="CA110">
        <v>0</v>
      </c>
      <c r="CB110" t="e">
        <v>#DIV/0!</v>
      </c>
    </row>
    <row r="111" spans="78:80">
      <c r="BZ111">
        <v>0.65400000000000003</v>
      </c>
      <c r="CA111">
        <v>7.5999999999999998E-2</v>
      </c>
      <c r="CB111">
        <v>0.384871177550766</v>
      </c>
    </row>
    <row r="112" spans="78:80">
      <c r="BZ112">
        <v>0.40200000000000002</v>
      </c>
      <c r="CA112">
        <v>0.25866666666666666</v>
      </c>
      <c r="CB112">
        <v>0.53825945462842095</v>
      </c>
    </row>
    <row r="113" spans="78:80">
      <c r="BZ113">
        <v>0.58599999999999997</v>
      </c>
      <c r="CA113">
        <v>0.252</v>
      </c>
      <c r="CB113">
        <v>0.396539524051022</v>
      </c>
    </row>
    <row r="114" spans="78:80">
      <c r="BZ114">
        <v>0.68600000000000005</v>
      </c>
      <c r="CA114">
        <v>1.4E-2</v>
      </c>
      <c r="CB114">
        <v>0.43284116478809498</v>
      </c>
    </row>
    <row r="115" spans="78:80">
      <c r="BZ115">
        <v>0.55300000000000005</v>
      </c>
      <c r="CA115">
        <v>0.22466666666666665</v>
      </c>
      <c r="CB115">
        <v>0.42317335367391901</v>
      </c>
    </row>
    <row r="116" spans="78:80">
      <c r="BZ116">
        <v>0.96399999999999997</v>
      </c>
      <c r="CA116">
        <v>0</v>
      </c>
      <c r="CB116">
        <v>0.226081704355373</v>
      </c>
    </row>
    <row r="117" spans="78:80">
      <c r="BZ117">
        <v>0.95</v>
      </c>
      <c r="CA117">
        <v>0</v>
      </c>
      <c r="CB117">
        <v>0.15754009594909299</v>
      </c>
    </row>
    <row r="118" spans="78:80">
      <c r="BZ118">
        <v>0.69899999999999995</v>
      </c>
      <c r="CA118">
        <v>6.8000000000000005E-2</v>
      </c>
      <c r="CB118">
        <v>0.33597035079144999</v>
      </c>
    </row>
    <row r="119" spans="78:80">
      <c r="BZ119">
        <v>0.34</v>
      </c>
      <c r="CA119">
        <v>0.81933333333333336</v>
      </c>
      <c r="CB119">
        <v>0.52044812847960498</v>
      </c>
    </row>
    <row r="120" spans="78:80">
      <c r="BZ120">
        <v>0.51100000000000001</v>
      </c>
      <c r="CA120">
        <v>0.37333333333333335</v>
      </c>
      <c r="CB120">
        <v>0.43490486475798901</v>
      </c>
    </row>
    <row r="121" spans="78:80">
      <c r="BZ121">
        <v>0.97099999999999997</v>
      </c>
      <c r="CA121">
        <v>0</v>
      </c>
      <c r="CB121">
        <v>0.132405502501595</v>
      </c>
    </row>
    <row r="122" spans="78:80">
      <c r="BZ122">
        <v>0.84599999999999997</v>
      </c>
      <c r="CA122">
        <v>0</v>
      </c>
      <c r="CB122">
        <v>0.27806038873712302</v>
      </c>
    </row>
    <row r="123" spans="78:80">
      <c r="BZ123">
        <v>0.57199999999999995</v>
      </c>
      <c r="CA123">
        <v>0.13666666666666666</v>
      </c>
      <c r="CB123">
        <v>0.395788701514454</v>
      </c>
    </row>
    <row r="124" spans="78:80">
      <c r="BZ124">
        <v>0.84</v>
      </c>
      <c r="CA124">
        <v>3.6666666666666667E-2</v>
      </c>
      <c r="CB124">
        <v>0.28569594031304402</v>
      </c>
    </row>
    <row r="125" spans="78:80">
      <c r="BZ125">
        <v>0.54100000000000004</v>
      </c>
      <c r="CA125">
        <v>0.192</v>
      </c>
      <c r="CB125">
        <v>0.45137786016228798</v>
      </c>
    </row>
    <row r="126" spans="78:80">
      <c r="BZ126">
        <v>0.76100000000000001</v>
      </c>
      <c r="CA126">
        <v>3.7333333333333336E-2</v>
      </c>
      <c r="CB126">
        <v>0.30587815471148599</v>
      </c>
    </row>
    <row r="127" spans="78:80">
      <c r="BZ127">
        <v>0.80600000000000005</v>
      </c>
      <c r="CA127">
        <v>4.5999999999999999E-2</v>
      </c>
      <c r="CB127">
        <v>0.30853086127158003</v>
      </c>
    </row>
    <row r="128" spans="78:80">
      <c r="BZ128">
        <v>0.751</v>
      </c>
      <c r="CA128">
        <v>6.4000000000000001E-2</v>
      </c>
      <c r="CB128">
        <v>0.31328326363469</v>
      </c>
    </row>
    <row r="129" spans="78:80">
      <c r="BZ129">
        <v>0.88</v>
      </c>
      <c r="CA129">
        <v>0</v>
      </c>
      <c r="CB129">
        <v>0.174268151342412</v>
      </c>
    </row>
    <row r="130" spans="78:80">
      <c r="BZ130">
        <v>0.90900000000000003</v>
      </c>
      <c r="CA130">
        <v>0</v>
      </c>
      <c r="CB130">
        <v>0.211154942998168</v>
      </c>
    </row>
    <row r="131" spans="78:80">
      <c r="BZ131">
        <v>0.91</v>
      </c>
      <c r="CA131">
        <v>4.0000000000000001E-3</v>
      </c>
      <c r="CB131">
        <v>0.23140188855965799</v>
      </c>
    </row>
    <row r="132" spans="78:80">
      <c r="BZ132">
        <v>0.81699999999999995</v>
      </c>
      <c r="CA132">
        <v>3.3333333333333335E-3</v>
      </c>
      <c r="CB132">
        <v>0.24858908633576701</v>
      </c>
    </row>
    <row r="133" spans="78:80">
      <c r="BZ133">
        <v>0.46</v>
      </c>
      <c r="CA133">
        <v>0.64666666666666661</v>
      </c>
      <c r="CB133">
        <v>0.481934749579292</v>
      </c>
    </row>
    <row r="134" spans="78:80">
      <c r="BZ134">
        <v>0.83799999999999997</v>
      </c>
      <c r="CA134">
        <v>1.8666666666666668E-2</v>
      </c>
      <c r="CB134" t="e">
        <v>#N/A</v>
      </c>
    </row>
    <row r="135" spans="78:80">
      <c r="BZ135">
        <v>0.82099999999999995</v>
      </c>
      <c r="CA135">
        <v>1.3333333333333333E-3</v>
      </c>
      <c r="CB135" t="e">
        <v>#VALUE!</v>
      </c>
    </row>
    <row r="136" spans="78:80">
      <c r="BZ136">
        <v>0.77200000000000002</v>
      </c>
      <c r="CA136">
        <v>0</v>
      </c>
      <c r="CB136" t="e">
        <v>#VALUE!</v>
      </c>
    </row>
    <row r="137" spans="78:80">
      <c r="BZ137">
        <v>0.77100000000000002</v>
      </c>
      <c r="CA137">
        <v>4.2000000000000003E-2</v>
      </c>
      <c r="CB137">
        <v>0.43190759626446501</v>
      </c>
    </row>
    <row r="138" spans="78:80">
      <c r="BZ138">
        <v>0.65100000000000002</v>
      </c>
      <c r="CA138">
        <v>0.28533333333333333</v>
      </c>
      <c r="CB138" t="e">
        <v>#VALUE!</v>
      </c>
    </row>
    <row r="139" spans="78:80">
      <c r="BZ139">
        <v>0.84299999999999997</v>
      </c>
      <c r="CA139">
        <v>0</v>
      </c>
      <c r="CB139">
        <v>0.30337365681358702</v>
      </c>
    </row>
    <row r="140" spans="78:80">
      <c r="BZ140">
        <v>0.46400000000000002</v>
      </c>
      <c r="CA140">
        <v>0.35333333333333333</v>
      </c>
      <c r="CB140">
        <v>0.47094855183322698</v>
      </c>
    </row>
    <row r="141" spans="78:80">
      <c r="BZ141">
        <v>0.82599999999999996</v>
      </c>
      <c r="CA141">
        <v>0</v>
      </c>
      <c r="CB141" t="e">
        <v>#DIV/0!</v>
      </c>
    </row>
    <row r="142" spans="78:80">
      <c r="BZ142">
        <v>0.36499999999999999</v>
      </c>
      <c r="CA142">
        <v>0.98199999999999998</v>
      </c>
      <c r="CB142">
        <v>0.50439577482553699</v>
      </c>
    </row>
    <row r="143" spans="78:80">
      <c r="BZ143">
        <v>0.94399999999999995</v>
      </c>
      <c r="CA143">
        <v>0</v>
      </c>
      <c r="CB143">
        <v>0.27031552871944797</v>
      </c>
    </row>
    <row r="144" spans="78:80">
      <c r="BZ144">
        <v>0.88</v>
      </c>
      <c r="CA144">
        <v>0</v>
      </c>
      <c r="CB144">
        <v>0.20029971276057401</v>
      </c>
    </row>
    <row r="145" spans="78:80">
      <c r="BZ145">
        <v>0.92900000000000005</v>
      </c>
      <c r="CA145">
        <v>0</v>
      </c>
      <c r="CB145">
        <v>0.198704916506832</v>
      </c>
    </row>
    <row r="146" spans="78:80">
      <c r="BZ146">
        <v>0.61</v>
      </c>
      <c r="CA146">
        <v>5.6000000000000001E-2</v>
      </c>
      <c r="CB146" t="e">
        <v>#N/A</v>
      </c>
    </row>
    <row r="147" spans="78:80">
      <c r="BZ147">
        <v>0.68300000000000005</v>
      </c>
      <c r="CA147">
        <v>6.933333333333333E-2</v>
      </c>
      <c r="CB147">
        <v>0.359289196948061</v>
      </c>
    </row>
    <row r="148" spans="78:80">
      <c r="BZ148">
        <v>0.95499999999999996</v>
      </c>
      <c r="CA148">
        <v>0</v>
      </c>
      <c r="CB148">
        <v>0.198477758543702</v>
      </c>
    </row>
    <row r="149" spans="78:80">
      <c r="BZ149">
        <v>0.75900000000000001</v>
      </c>
      <c r="CA149">
        <v>2.8000000000000001E-2</v>
      </c>
      <c r="CB149">
        <v>0.29955785905781002</v>
      </c>
    </row>
    <row r="150" spans="78:80">
      <c r="BZ150">
        <v>0.53100000000000003</v>
      </c>
      <c r="CA150">
        <v>0.17</v>
      </c>
      <c r="CB150">
        <v>0.46491423449408098</v>
      </c>
    </row>
    <row r="151" spans="78:80">
      <c r="BZ151">
        <v>0.76900000000000002</v>
      </c>
      <c r="CA151">
        <v>2.8666666666666667E-2</v>
      </c>
      <c r="CB151">
        <v>0.27881961750374301</v>
      </c>
    </row>
    <row r="152" spans="78:80">
      <c r="BZ152">
        <v>0.57199999999999995</v>
      </c>
      <c r="CA152">
        <v>0.16800000000000001</v>
      </c>
      <c r="CB152">
        <v>0.41297106668329597</v>
      </c>
    </row>
    <row r="153" spans="78:80">
      <c r="BZ153">
        <v>0.96299999999999997</v>
      </c>
      <c r="CA153">
        <v>0</v>
      </c>
      <c r="CB153">
        <v>0.15321777631699701</v>
      </c>
    </row>
    <row r="154" spans="78:80">
      <c r="BZ154">
        <v>0.96</v>
      </c>
      <c r="CA154">
        <v>0</v>
      </c>
      <c r="CB154">
        <v>0.14870041058328401</v>
      </c>
    </row>
    <row r="155" spans="78:80">
      <c r="BZ155">
        <v>0.74199999999999999</v>
      </c>
      <c r="CA155">
        <v>3.5999999999999997E-2</v>
      </c>
      <c r="CB155">
        <v>0.29663651528956098</v>
      </c>
    </row>
    <row r="156" spans="78:80">
      <c r="BZ156">
        <v>0.68799999999999994</v>
      </c>
      <c r="CA156">
        <v>0.36733333333333335</v>
      </c>
      <c r="CB156">
        <v>0.37746033474530999</v>
      </c>
    </row>
    <row r="157" spans="78:80">
      <c r="BZ157">
        <v>0.53</v>
      </c>
      <c r="CA157">
        <v>0.21466666666666667</v>
      </c>
      <c r="CB157">
        <v>0.49588651406928103</v>
      </c>
    </row>
    <row r="158" spans="78:80">
      <c r="BZ158">
        <v>0.78300000000000003</v>
      </c>
      <c r="CA158">
        <v>3.9333333333333331E-2</v>
      </c>
      <c r="CB158">
        <v>0.25909239398281297</v>
      </c>
    </row>
    <row r="159" spans="78:80">
      <c r="BZ159">
        <v>0.48899999999999999</v>
      </c>
      <c r="CA159">
        <v>9.9333333333333329E-2</v>
      </c>
      <c r="CB159" t="e">
        <v>#N/A</v>
      </c>
    </row>
    <row r="160" spans="78:80">
      <c r="BZ160">
        <v>0.499</v>
      </c>
      <c r="CA160">
        <v>0.27933333333333332</v>
      </c>
      <c r="CB160">
        <v>0.471617093338424</v>
      </c>
    </row>
    <row r="161" spans="78:80">
      <c r="BZ161">
        <v>0.76800000000000002</v>
      </c>
      <c r="CA161">
        <v>3.6666666666666667E-2</v>
      </c>
      <c r="CB161" t="e">
        <v>#N/A</v>
      </c>
    </row>
    <row r="162" spans="78:80">
      <c r="BZ162">
        <v>0.83699999999999997</v>
      </c>
      <c r="CA162">
        <v>3.3333333333333335E-3</v>
      </c>
      <c r="CB162">
        <v>0.28897496489803198</v>
      </c>
    </row>
    <row r="163" spans="78:80">
      <c r="BZ163">
        <v>0.76900000000000002</v>
      </c>
      <c r="CA163">
        <v>4.2666666666666665E-2</v>
      </c>
      <c r="CB163">
        <v>0.310206676711412</v>
      </c>
    </row>
    <row r="164" spans="78:80">
      <c r="BZ164">
        <v>0.80600000000000005</v>
      </c>
      <c r="CA164">
        <v>5.6666666666666664E-2</v>
      </c>
      <c r="CB164">
        <v>0.262570754721898</v>
      </c>
    </row>
    <row r="165" spans="78:80">
      <c r="BZ165">
        <v>0.73899999999999999</v>
      </c>
      <c r="CA165">
        <v>0.29933333333333334</v>
      </c>
      <c r="CB165">
        <v>0.28952932153047201</v>
      </c>
    </row>
    <row r="166" spans="78:80">
      <c r="BZ166">
        <v>0.51400000000000001</v>
      </c>
      <c r="CA166">
        <v>0.28466666666666668</v>
      </c>
      <c r="CB166">
        <v>0.42130411630452702</v>
      </c>
    </row>
    <row r="167" spans="78:80">
      <c r="BZ167">
        <v>0.79600000000000004</v>
      </c>
      <c r="CA167">
        <v>2E-3</v>
      </c>
      <c r="CB167">
        <v>0.28284168984689401</v>
      </c>
    </row>
    <row r="168" spans="78:80">
      <c r="BZ168">
        <v>0.90300000000000002</v>
      </c>
      <c r="CA168">
        <v>6.6666666666666671E-3</v>
      </c>
      <c r="CB168">
        <v>0.25552338844375599</v>
      </c>
    </row>
    <row r="169" spans="78:80">
      <c r="BZ169">
        <v>0.94699999999999995</v>
      </c>
      <c r="CA169">
        <v>0</v>
      </c>
      <c r="CB169">
        <v>0.13879561300755899</v>
      </c>
    </row>
    <row r="170" spans="78:80">
      <c r="BZ170">
        <v>0.95599999999999996</v>
      </c>
      <c r="CA170">
        <v>0</v>
      </c>
      <c r="CB170">
        <v>0.191632187735992</v>
      </c>
    </row>
    <row r="171" spans="78:80">
      <c r="BZ171">
        <v>0.86499999999999999</v>
      </c>
      <c r="CA171">
        <v>2E-3</v>
      </c>
      <c r="CB171">
        <v>0.19072522923207699</v>
      </c>
    </row>
    <row r="172" spans="78:80">
      <c r="BZ172">
        <v>0.71</v>
      </c>
      <c r="CA172">
        <v>0.21666666666666667</v>
      </c>
      <c r="CB172">
        <v>0.2921466915964</v>
      </c>
    </row>
    <row r="173" spans="78:80">
      <c r="BZ173">
        <v>0.69299999999999995</v>
      </c>
      <c r="CA173">
        <v>2.7333333333333334E-2</v>
      </c>
      <c r="CB173" t="e">
        <v>#N/A</v>
      </c>
    </row>
    <row r="174" spans="78:80">
      <c r="BZ174">
        <v>0.84399999999999997</v>
      </c>
      <c r="CA174">
        <v>0.02</v>
      </c>
      <c r="CB174">
        <v>0.24269667876596299</v>
      </c>
    </row>
    <row r="175" spans="78:80">
      <c r="BZ175">
        <v>0.72499999999999998</v>
      </c>
      <c r="CA175">
        <v>4.3333333333333335E-2</v>
      </c>
      <c r="CB175">
        <v>0.31527396477518599</v>
      </c>
    </row>
    <row r="176" spans="78:80">
      <c r="BZ176">
        <v>0.57499999999999996</v>
      </c>
      <c r="CA176">
        <v>0.25133333333333335</v>
      </c>
      <c r="CB176">
        <v>0.48826655333552499</v>
      </c>
    </row>
    <row r="177" spans="78:80">
      <c r="BZ177">
        <v>0.48099999999999998</v>
      </c>
      <c r="CA177">
        <v>0.33533333333333332</v>
      </c>
      <c r="CB177">
        <v>0.52952120714927597</v>
      </c>
    </row>
    <row r="178" spans="78:80">
      <c r="BZ178">
        <v>0.48</v>
      </c>
      <c r="CA178">
        <v>0.17000000000000004</v>
      </c>
      <c r="CB178" t="e">
        <v>#N/A</v>
      </c>
    </row>
    <row r="179" spans="78:80">
      <c r="BZ179">
        <v>8.9999999999999969E-2</v>
      </c>
      <c r="CA179">
        <v>8.9999999999999969E-2</v>
      </c>
      <c r="CB179">
        <v>0.24269667876596299</v>
      </c>
    </row>
    <row r="180" spans="78:80">
      <c r="BZ180">
        <v>0.25</v>
      </c>
      <c r="CA180">
        <v>0.25</v>
      </c>
      <c r="CB180">
        <v>0.31527396477518599</v>
      </c>
    </row>
    <row r="181" spans="78:80">
      <c r="BZ181">
        <v>0.48</v>
      </c>
      <c r="CA181">
        <v>0.48</v>
      </c>
      <c r="CB181">
        <v>0.48826655333552499</v>
      </c>
    </row>
    <row r="182" spans="78:80">
      <c r="BZ182">
        <v>0.51</v>
      </c>
      <c r="CA182">
        <v>0.51</v>
      </c>
      <c r="CB182">
        <v>0.52952120714927597</v>
      </c>
    </row>
    <row r="183" spans="78:80">
      <c r="BZ183">
        <v>0.56000000000000005</v>
      </c>
      <c r="CA183">
        <v>0.56000000000000005</v>
      </c>
      <c r="CB183">
        <v>0.44696420550917798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PairCompare">
                <anchor moveWithCells="1" sizeWithCells="1">
                  <from>
                    <xdr:col>0</xdr:col>
                    <xdr:colOff>127000</xdr:colOff>
                    <xdr:row>42</xdr:row>
                    <xdr:rowOff>177800</xdr:rowOff>
                  </from>
                  <to>
                    <xdr:col>1</xdr:col>
                    <xdr:colOff>444500</xdr:colOff>
                    <xdr:row>44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AM201"/>
  <sheetViews>
    <sheetView workbookViewId="0">
      <pane xSplit="2" ySplit="9" topLeftCell="C144" activePane="bottomRight" state="frozen"/>
      <selection pane="topRight" activeCell="C1" sqref="C1"/>
      <selection pane="bottomLeft" activeCell="A10" sqref="A10"/>
      <selection pane="bottomRight" activeCell="J6" sqref="J6"/>
    </sheetView>
  </sheetViews>
  <sheetFormatPr baseColWidth="10" defaultRowHeight="15" x14ac:dyDescent="0"/>
  <cols>
    <col min="1" max="1" width="4.1640625" style="80" customWidth="1"/>
    <col min="3" max="3" width="6.6640625" customWidth="1"/>
  </cols>
  <sheetData>
    <row r="1" spans="1:39">
      <c r="B1" s="18" t="s">
        <v>402</v>
      </c>
      <c r="D1" s="5">
        <f>MMin(D10:D201)</f>
        <v>0.1021688113806566</v>
      </c>
      <c r="E1" s="5">
        <f>MMin(E10:E201)</f>
        <v>8.0052841060484922E-2</v>
      </c>
      <c r="F1" s="5">
        <f>MMin(F10:F201)</f>
        <v>0.12216970337032779</v>
      </c>
      <c r="G1" s="5">
        <f>MMin(G10:G201)</f>
        <v>3.6150121576312318E-2</v>
      </c>
      <c r="H1" s="5">
        <f>MMin(H10:H201)</f>
        <v>1.9971683563464595E-2</v>
      </c>
      <c r="I1" s="5"/>
      <c r="J1" s="5"/>
      <c r="K1" s="5"/>
      <c r="L1" s="5"/>
      <c r="M1" s="5">
        <f t="shared" ref="M1:R1" si="0">MMin(M10:M201)</f>
        <v>1.7500000000000293E-3</v>
      </c>
      <c r="N1" s="5">
        <f t="shared" si="0"/>
        <v>0</v>
      </c>
      <c r="O1" s="5">
        <f t="shared" si="0"/>
        <v>0</v>
      </c>
      <c r="P1" s="5">
        <f t="shared" si="0"/>
        <v>4.5833333333333337E-2</v>
      </c>
      <c r="Q1" s="5">
        <f t="shared" si="0"/>
        <v>0</v>
      </c>
      <c r="R1" s="5">
        <f t="shared" si="0"/>
        <v>0</v>
      </c>
      <c r="S1" s="5"/>
      <c r="T1" s="5">
        <f t="shared" ref="T1:Y1" si="1">MMin(T10:T201)</f>
        <v>8.5833333333333421E-3</v>
      </c>
      <c r="U1" s="5">
        <f t="shared" si="1"/>
        <v>0</v>
      </c>
      <c r="V1" s="5">
        <f t="shared" si="1"/>
        <v>0</v>
      </c>
      <c r="W1" s="5">
        <f t="shared" si="1"/>
        <v>0</v>
      </c>
      <c r="X1" s="5">
        <f t="shared" si="1"/>
        <v>2.8850068761369215E-3</v>
      </c>
      <c r="Y1" s="5">
        <f t="shared" si="1"/>
        <v>0</v>
      </c>
      <c r="AA1" s="5">
        <f t="shared" ref="AA1:AF1" si="2">MMin(AA10:AA201)</f>
        <v>6.6666666666666541E-2</v>
      </c>
      <c r="AB1" s="5">
        <f t="shared" si="2"/>
        <v>0</v>
      </c>
      <c r="AC1" s="5">
        <f t="shared" si="2"/>
        <v>4.0089135254975483E-2</v>
      </c>
      <c r="AD1" s="5">
        <f t="shared" si="2"/>
        <v>4.4444444444444446E-2</v>
      </c>
      <c r="AE1" s="5">
        <f t="shared" si="2"/>
        <v>0</v>
      </c>
      <c r="AF1" s="5">
        <f t="shared" si="2"/>
        <v>0</v>
      </c>
      <c r="AH1" s="5">
        <f t="shared" ref="AH1:AK1" si="3">MMin(AH10:AH201)</f>
        <v>0</v>
      </c>
      <c r="AI1" s="5">
        <f t="shared" si="3"/>
        <v>0</v>
      </c>
      <c r="AJ1" s="5">
        <f t="shared" si="3"/>
        <v>0</v>
      </c>
      <c r="AK1" s="5">
        <f t="shared" si="3"/>
        <v>0</v>
      </c>
      <c r="AL1" s="5">
        <f>MMin(AL10:AL201)</f>
        <v>0</v>
      </c>
      <c r="AM1" s="5">
        <f>MMin(AM10:AM201)</f>
        <v>0</v>
      </c>
    </row>
    <row r="2" spans="1:39">
      <c r="B2" s="18" t="s">
        <v>401</v>
      </c>
      <c r="D2" s="5">
        <f>MMAX(D10:D201)</f>
        <v>0.58168617743434403</v>
      </c>
      <c r="E2" s="5">
        <f>MMAX(E10:E201)</f>
        <v>0.58543482905982913</v>
      </c>
      <c r="F2" s="5">
        <f>MMAX(F10:F201)</f>
        <v>0.77770753792538239</v>
      </c>
      <c r="G2" s="5">
        <f>MMAX(G10:G201)</f>
        <v>0.77862327742850523</v>
      </c>
      <c r="H2" s="5">
        <f>MMAX(H10:H201)</f>
        <v>0.68819613639079158</v>
      </c>
      <c r="I2" s="5"/>
      <c r="J2" s="5"/>
      <c r="K2" s="5"/>
      <c r="L2" s="5"/>
      <c r="M2" s="5">
        <f t="shared" ref="M2:R2" si="4">MMAX(M10:M201)</f>
        <v>0.89524999999999999</v>
      </c>
      <c r="N2" s="5">
        <f t="shared" si="4"/>
        <v>1</v>
      </c>
      <c r="O2" s="5">
        <f t="shared" si="4"/>
        <v>0.75</v>
      </c>
      <c r="P2" s="5">
        <f t="shared" si="4"/>
        <v>0.96465277777777758</v>
      </c>
      <c r="Q2" s="5">
        <f t="shared" si="4"/>
        <v>0.98199999999999998</v>
      </c>
      <c r="R2" s="5">
        <f t="shared" si="4"/>
        <v>0.91</v>
      </c>
      <c r="S2" s="5"/>
      <c r="T2" s="5">
        <f t="shared" ref="T2:Y2" si="5">MMAX(T10:T201)</f>
        <v>1</v>
      </c>
      <c r="U2" s="5">
        <f t="shared" si="5"/>
        <v>0.89300000000000002</v>
      </c>
      <c r="V2" s="5">
        <f t="shared" si="5"/>
        <v>1</v>
      </c>
      <c r="W2" s="5">
        <f t="shared" si="5"/>
        <v>1</v>
      </c>
      <c r="X2" s="5">
        <f t="shared" si="5"/>
        <v>1</v>
      </c>
      <c r="Y2" s="5">
        <f t="shared" si="5"/>
        <v>1</v>
      </c>
      <c r="AA2" s="5">
        <f t="shared" ref="AA2:AF2" si="6">MMAX(AA10:AA201)</f>
        <v>0.92499999999999971</v>
      </c>
      <c r="AB2" s="5">
        <f t="shared" si="6"/>
        <v>0.99280000000000002</v>
      </c>
      <c r="AC2" s="5">
        <f t="shared" si="6"/>
        <v>0.81403951219512183</v>
      </c>
      <c r="AD2" s="5">
        <f t="shared" si="6"/>
        <v>1</v>
      </c>
      <c r="AE2" s="5">
        <f t="shared" si="6"/>
        <v>0.99142224507379084</v>
      </c>
      <c r="AF2" s="5">
        <f t="shared" si="6"/>
        <v>1</v>
      </c>
      <c r="AH2" s="5">
        <f t="shared" ref="AH2:AK2" si="7">MMAX(AH10:AH201)</f>
        <v>1</v>
      </c>
      <c r="AI2" s="5">
        <f t="shared" si="7"/>
        <v>1</v>
      </c>
      <c r="AJ2" s="5">
        <f t="shared" si="7"/>
        <v>0.97199999999999998</v>
      </c>
      <c r="AK2" s="5">
        <f t="shared" si="7"/>
        <v>1</v>
      </c>
      <c r="AL2" s="5">
        <f>MMAX(AL10:AL201)</f>
        <v>1</v>
      </c>
      <c r="AM2" s="5">
        <f>MMAX(AM10:AM201)</f>
        <v>0.99199999988079068</v>
      </c>
    </row>
    <row r="3" spans="1:39">
      <c r="B3" s="18" t="s">
        <v>405</v>
      </c>
      <c r="D3" s="60">
        <f>mmean(D10:D201)</f>
        <v>0.32404462010557</v>
      </c>
      <c r="E3" s="60">
        <f>mmean(E10:E201)</f>
        <v>0.27707902323052108</v>
      </c>
      <c r="F3" s="60">
        <f>mmean(F10:F201)</f>
        <v>0.43154716582150393</v>
      </c>
      <c r="G3" s="60">
        <f>mmean(G10:G201)</f>
        <v>0.34155966558478218</v>
      </c>
      <c r="H3" s="60">
        <f>mmean(H10:H201)</f>
        <v>0.25484395083201505</v>
      </c>
      <c r="I3" s="60"/>
      <c r="J3" s="60"/>
      <c r="K3" s="60"/>
      <c r="L3" s="61"/>
      <c r="M3" s="60">
        <f t="shared" ref="M3:R3" si="8">mmean(M10:M201)</f>
        <v>0.50656076388888838</v>
      </c>
      <c r="N3" s="60">
        <f t="shared" si="8"/>
        <v>0.21976892537941073</v>
      </c>
      <c r="O3" s="60">
        <f t="shared" si="8"/>
        <v>0.14546073298429324</v>
      </c>
      <c r="P3" s="60">
        <f t="shared" si="8"/>
        <v>0.37381148726851859</v>
      </c>
      <c r="Q3" s="60">
        <f t="shared" si="8"/>
        <v>0.1311604938271605</v>
      </c>
      <c r="R3" s="60">
        <f t="shared" si="8"/>
        <v>0.27710416666666665</v>
      </c>
      <c r="S3" s="61"/>
      <c r="T3" s="60">
        <f t="shared" ref="T3:Y3" si="9">mmean(T10:T201)</f>
        <v>0.46850531914893606</v>
      </c>
      <c r="U3" s="60">
        <f t="shared" si="9"/>
        <v>0.44470611555278122</v>
      </c>
      <c r="V3" s="60">
        <f t="shared" si="9"/>
        <v>0.66344826720548522</v>
      </c>
      <c r="W3" s="60">
        <f t="shared" si="9"/>
        <v>0.27572496759639425</v>
      </c>
      <c r="X3" s="60">
        <f t="shared" si="9"/>
        <v>0.49003236323840549</v>
      </c>
      <c r="Y3" s="60">
        <f t="shared" si="9"/>
        <v>0.26941176470588224</v>
      </c>
      <c r="Z3" s="19"/>
      <c r="AA3" s="60">
        <f t="shared" ref="AA3:AF3" si="10">mmean(AA10:AA201)</f>
        <v>0.3553272251308906</v>
      </c>
      <c r="AB3" s="60">
        <f t="shared" si="10"/>
        <v>0.64427375345421345</v>
      </c>
      <c r="AC3" s="60">
        <f t="shared" si="10"/>
        <v>0.32325390486790434</v>
      </c>
      <c r="AD3" s="60">
        <f t="shared" si="10"/>
        <v>0.40808622916056114</v>
      </c>
      <c r="AE3" s="60">
        <f t="shared" si="10"/>
        <v>9.457533228976775E-2</v>
      </c>
      <c r="AF3" s="60">
        <f t="shared" si="10"/>
        <v>0.2293743527723078</v>
      </c>
      <c r="AH3" s="60">
        <f t="shared" ref="AH3:AK3" si="11">mmean(AH10:AH201)</f>
        <v>0.10040211640211638</v>
      </c>
      <c r="AI3" s="60">
        <f t="shared" si="11"/>
        <v>0.13440688929058595</v>
      </c>
      <c r="AJ3" s="60">
        <f t="shared" si="11"/>
        <v>0.25833157894736836</v>
      </c>
      <c r="AK3" s="60">
        <f t="shared" si="11"/>
        <v>0.43492143994063215</v>
      </c>
      <c r="AL3" s="60">
        <f>mmean(AL10:AL201)</f>
        <v>8.8605759634491674E-2</v>
      </c>
      <c r="AM3" s="60">
        <f>mmean(AM10:AM201)</f>
        <v>0.5002488585827759</v>
      </c>
    </row>
    <row r="4" spans="1:39">
      <c r="B4" s="18" t="s">
        <v>406</v>
      </c>
      <c r="D4" s="5">
        <f>MstDev(D10:D201)</f>
        <v>0.118459216557479</v>
      </c>
      <c r="E4" s="5">
        <f>MstDev(E10:E201)</f>
        <v>0.10095708815274936</v>
      </c>
      <c r="F4" s="5">
        <f>MstDev(F10:F201)</f>
        <v>0.14663419317836263</v>
      </c>
      <c r="G4" s="5">
        <f>MstDev(G10:G201)</f>
        <v>0.19576335848148307</v>
      </c>
      <c r="H4" s="5">
        <f>MstDev(H10:H201)</f>
        <v>0.13092513864650063</v>
      </c>
      <c r="I4" s="5"/>
      <c r="J4" s="5"/>
      <c r="K4" s="5"/>
      <c r="L4" s="5"/>
      <c r="M4" s="5">
        <f t="shared" ref="M4:R4" si="12">MstDev(M10:M201)</f>
        <v>0.18069793226625785</v>
      </c>
      <c r="N4" s="5">
        <f t="shared" si="12"/>
        <v>0.29550004067607083</v>
      </c>
      <c r="O4" s="5">
        <f t="shared" si="12"/>
        <v>0.1771100379855681</v>
      </c>
      <c r="P4" s="5">
        <f t="shared" si="12"/>
        <v>0.1977289471021916</v>
      </c>
      <c r="Q4" s="5">
        <f t="shared" si="12"/>
        <v>0.19161540662858523</v>
      </c>
      <c r="R4" s="5">
        <f t="shared" si="12"/>
        <v>0.29696938616232244</v>
      </c>
      <c r="S4" s="5"/>
      <c r="T4" s="5">
        <f t="shared" ref="T4:Y4" si="13">MstDev(T10:T201)</f>
        <v>0.20359877833228798</v>
      </c>
      <c r="U4" s="5">
        <f t="shared" si="13"/>
        <v>0.22999197293997847</v>
      </c>
      <c r="V4" s="5">
        <f t="shared" si="13"/>
        <v>0.31351354336901621</v>
      </c>
      <c r="W4" s="5">
        <f t="shared" si="13"/>
        <v>0.24804574166927659</v>
      </c>
      <c r="X4" s="5">
        <f t="shared" si="13"/>
        <v>0.35468531467569486</v>
      </c>
      <c r="Y4" s="5">
        <f t="shared" si="13"/>
        <v>0.33817215261917138</v>
      </c>
      <c r="AA4" s="5">
        <f t="shared" ref="AA4:AF4" si="14">MstDev(AA10:AA201)</f>
        <v>0.28404139821189056</v>
      </c>
      <c r="AB4" s="5">
        <f t="shared" si="14"/>
        <v>0.30358213970645731</v>
      </c>
      <c r="AC4" s="5">
        <f t="shared" si="14"/>
        <v>0.20197830677064393</v>
      </c>
      <c r="AD4" s="5">
        <f t="shared" si="14"/>
        <v>0.31274376558120631</v>
      </c>
      <c r="AE4" s="5">
        <f t="shared" si="14"/>
        <v>0.16563405349828389</v>
      </c>
      <c r="AF4" s="5">
        <f t="shared" si="14"/>
        <v>0.30762320351686501</v>
      </c>
      <c r="AH4" s="5">
        <f t="shared" ref="AH4:AK4" si="15">MstDev(AH10:AH201)</f>
        <v>0.23129514440490154</v>
      </c>
      <c r="AI4" s="5">
        <f t="shared" si="15"/>
        <v>0.20312203969793413</v>
      </c>
      <c r="AJ4" s="5">
        <f t="shared" si="15"/>
        <v>0.33961531389405314</v>
      </c>
      <c r="AK4" s="5">
        <f t="shared" si="15"/>
        <v>0.37114604280440872</v>
      </c>
      <c r="AL4" s="5">
        <f>MstDev(AL10:AL201)</f>
        <v>0.17176348817172829</v>
      </c>
      <c r="AM4" s="5">
        <f>MstDev(AM10:AM201)</f>
        <v>0.33550895301441164</v>
      </c>
    </row>
    <row r="5" spans="1:39">
      <c r="B5" s="1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 spans="1:39" ht="20">
      <c r="B6" s="1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AH6" s="11" t="s">
        <v>467</v>
      </c>
    </row>
    <row r="7" spans="1:39">
      <c r="B7" s="10" t="s">
        <v>403</v>
      </c>
      <c r="D7">
        <f>COUNT(D10:D201)</f>
        <v>171</v>
      </c>
      <c r="E7">
        <f>COUNT(E10:E201)</f>
        <v>184</v>
      </c>
      <c r="F7">
        <f>COUNT(F10:F201)</f>
        <v>177</v>
      </c>
      <c r="G7">
        <f>COUNT(G10:G201)</f>
        <v>182</v>
      </c>
      <c r="H7">
        <f>COUNT(H10:H201)</f>
        <v>185</v>
      </c>
      <c r="M7">
        <f t="shared" ref="M7:R7" si="16">COUNT(M10:M201)</f>
        <v>192</v>
      </c>
      <c r="N7">
        <f t="shared" si="16"/>
        <v>187</v>
      </c>
      <c r="O7">
        <f t="shared" si="16"/>
        <v>191</v>
      </c>
      <c r="P7">
        <f t="shared" si="16"/>
        <v>192</v>
      </c>
      <c r="Q7">
        <f t="shared" si="16"/>
        <v>189</v>
      </c>
      <c r="R7">
        <f t="shared" si="16"/>
        <v>192</v>
      </c>
      <c r="T7">
        <f t="shared" ref="T7:AM7" si="17">COUNT(T10:T201)</f>
        <v>188</v>
      </c>
      <c r="U7">
        <f t="shared" si="17"/>
        <v>187</v>
      </c>
      <c r="V7">
        <f t="shared" si="17"/>
        <v>192</v>
      </c>
      <c r="W7">
        <f t="shared" si="17"/>
        <v>187</v>
      </c>
      <c r="X7">
        <f t="shared" si="17"/>
        <v>183</v>
      </c>
      <c r="Y7">
        <f t="shared" si="17"/>
        <v>187</v>
      </c>
      <c r="AA7">
        <f t="shared" si="17"/>
        <v>191</v>
      </c>
      <c r="AB7">
        <f t="shared" si="17"/>
        <v>186</v>
      </c>
      <c r="AC7">
        <f t="shared" si="17"/>
        <v>185</v>
      </c>
      <c r="AD7">
        <f t="shared" si="17"/>
        <v>191</v>
      </c>
      <c r="AE7">
        <f t="shared" si="17"/>
        <v>184</v>
      </c>
      <c r="AF7">
        <f t="shared" si="17"/>
        <v>184</v>
      </c>
      <c r="AH7">
        <f t="shared" si="17"/>
        <v>189</v>
      </c>
      <c r="AI7">
        <f t="shared" si="17"/>
        <v>192</v>
      </c>
      <c r="AJ7">
        <f t="shared" si="17"/>
        <v>190</v>
      </c>
      <c r="AK7">
        <f t="shared" si="17"/>
        <v>185</v>
      </c>
      <c r="AL7">
        <f t="shared" si="17"/>
        <v>184</v>
      </c>
      <c r="AM7">
        <f t="shared" si="17"/>
        <v>177</v>
      </c>
    </row>
    <row r="8" spans="1:39" s="11" customFormat="1" ht="20">
      <c r="A8" s="81"/>
      <c r="M8" s="11" t="s">
        <v>391</v>
      </c>
      <c r="T8" s="11" t="s">
        <v>392</v>
      </c>
      <c r="AA8" s="11" t="s">
        <v>393</v>
      </c>
      <c r="AH8" s="11" t="s">
        <v>473</v>
      </c>
      <c r="AJ8" s="11" t="s">
        <v>474</v>
      </c>
      <c r="AL8" s="11" t="s">
        <v>475</v>
      </c>
    </row>
    <row r="9" spans="1:39" s="10" customFormat="1" ht="60">
      <c r="A9" s="79" t="s">
        <v>404</v>
      </c>
      <c r="B9" s="1"/>
      <c r="C9" s="2" t="s">
        <v>0</v>
      </c>
      <c r="D9" s="2" t="s">
        <v>527</v>
      </c>
      <c r="E9" s="2" t="s">
        <v>391</v>
      </c>
      <c r="F9" s="2" t="s">
        <v>392</v>
      </c>
      <c r="G9" s="2" t="s">
        <v>393</v>
      </c>
      <c r="H9" s="2" t="s">
        <v>498</v>
      </c>
      <c r="I9" s="91" t="s">
        <v>420</v>
      </c>
      <c r="J9" s="91" t="s">
        <v>421</v>
      </c>
      <c r="K9" s="91" t="s">
        <v>422</v>
      </c>
      <c r="M9" s="22" t="s">
        <v>1</v>
      </c>
      <c r="N9" s="22" t="s">
        <v>2</v>
      </c>
      <c r="O9" s="22" t="s">
        <v>3</v>
      </c>
      <c r="P9" s="22" t="s">
        <v>4</v>
      </c>
      <c r="Q9" s="22" t="s">
        <v>5</v>
      </c>
      <c r="R9" s="22" t="s">
        <v>6</v>
      </c>
      <c r="T9" s="23" t="s">
        <v>395</v>
      </c>
      <c r="U9" s="23" t="s">
        <v>396</v>
      </c>
      <c r="V9" s="23" t="s">
        <v>397</v>
      </c>
      <c r="W9" s="23" t="s">
        <v>398</v>
      </c>
      <c r="X9" s="23" t="s">
        <v>399</v>
      </c>
      <c r="Y9" s="23" t="s">
        <v>400</v>
      </c>
      <c r="AA9" s="24" t="s">
        <v>407</v>
      </c>
      <c r="AB9" s="24" t="s">
        <v>408</v>
      </c>
      <c r="AC9" s="24" t="s">
        <v>409</v>
      </c>
      <c r="AD9" s="24" t="s">
        <v>410</v>
      </c>
      <c r="AE9" s="24" t="s">
        <v>411</v>
      </c>
      <c r="AF9" s="24" t="s">
        <v>412</v>
      </c>
      <c r="AH9" s="77" t="s">
        <v>493</v>
      </c>
      <c r="AI9" s="77" t="s">
        <v>496</v>
      </c>
      <c r="AJ9" s="76" t="s">
        <v>476</v>
      </c>
      <c r="AK9" s="76" t="s">
        <v>477</v>
      </c>
      <c r="AL9" s="78" t="s">
        <v>495</v>
      </c>
      <c r="AM9" s="78" t="s">
        <v>494</v>
      </c>
    </row>
    <row r="10" spans="1:39">
      <c r="A10" s="82">
        <f t="shared" ref="A10:A41" si="18">27-COUNT(M10:AM10)</f>
        <v>6</v>
      </c>
      <c r="B10" s="16" t="s">
        <v>7</v>
      </c>
      <c r="C10" s="15" t="s">
        <v>8</v>
      </c>
      <c r="D10" s="17" t="e">
        <v>#VALUE!</v>
      </c>
      <c r="E10" s="4">
        <v>0.58543482905982913</v>
      </c>
      <c r="F10" s="4" t="e">
        <v>#VALUE!</v>
      </c>
      <c r="G10" s="6">
        <v>0.74078357663108341</v>
      </c>
      <c r="H10" s="6">
        <v>0.19514841773607472</v>
      </c>
      <c r="I10" s="90">
        <v>0.50161370166743102</v>
      </c>
      <c r="J10" s="90">
        <v>0.55456023517455288</v>
      </c>
      <c r="K10" s="90">
        <v>0.82484479248833509</v>
      </c>
      <c r="M10" s="5">
        <v>0.37858333333333338</v>
      </c>
      <c r="N10" s="5">
        <v>0.3556923076923077</v>
      </c>
      <c r="O10" s="5">
        <v>0.52</v>
      </c>
      <c r="P10" s="5">
        <v>0.69166666666666687</v>
      </c>
      <c r="Q10" s="5">
        <v>0.93666666666666665</v>
      </c>
      <c r="R10" s="5">
        <v>0.63</v>
      </c>
      <c r="T10" s="5">
        <v>0.50916666666666666</v>
      </c>
      <c r="U10" s="5">
        <v>0.75579999999999903</v>
      </c>
      <c r="V10" s="5">
        <v>0.9850292427348889</v>
      </c>
      <c r="W10" s="5" t="e">
        <v>#VALUE!</v>
      </c>
      <c r="X10" s="5" t="e">
        <v>#N/A</v>
      </c>
      <c r="Y10" s="5">
        <v>1</v>
      </c>
      <c r="AA10" s="5">
        <v>0.7833333333333331</v>
      </c>
      <c r="AB10" s="5">
        <v>0.9516</v>
      </c>
      <c r="AC10" s="5">
        <v>0.81403951219512183</v>
      </c>
      <c r="AD10" s="5">
        <v>0.72056594239514904</v>
      </c>
      <c r="AE10" s="5">
        <v>0.17516267186289636</v>
      </c>
      <c r="AF10" s="5">
        <v>1</v>
      </c>
      <c r="AH10" s="5">
        <v>0</v>
      </c>
      <c r="AI10" s="5">
        <v>0</v>
      </c>
      <c r="AJ10" s="5">
        <v>0.85599999999999998</v>
      </c>
      <c r="AK10" s="5" t="e">
        <v>#N/A</v>
      </c>
      <c r="AL10" s="5">
        <v>7.3593670944298792E-2</v>
      </c>
      <c r="AM10" s="5">
        <v>0.70700000000000007</v>
      </c>
    </row>
    <row r="11" spans="1:39">
      <c r="A11" s="82">
        <f t="shared" si="18"/>
        <v>3</v>
      </c>
      <c r="B11" s="16" t="s">
        <v>9</v>
      </c>
      <c r="C11" s="15" t="s">
        <v>10</v>
      </c>
      <c r="D11" s="17">
        <v>0.29511534591518751</v>
      </c>
      <c r="E11" s="4">
        <v>0.23970954902744476</v>
      </c>
      <c r="F11" s="4">
        <v>0.42195454131480875</v>
      </c>
      <c r="G11" s="6">
        <v>0.17114805151319143</v>
      </c>
      <c r="H11" s="6">
        <v>0.34764924180530515</v>
      </c>
      <c r="I11" s="90">
        <v>0.27741380346174022</v>
      </c>
      <c r="J11" s="90">
        <v>0.38928166553504279</v>
      </c>
      <c r="K11" s="90">
        <v>0.18041818016557545</v>
      </c>
      <c r="M11" s="5">
        <v>0.78049999999999997</v>
      </c>
      <c r="N11" s="5">
        <v>4.4076738609112709E-2</v>
      </c>
      <c r="O11" s="5">
        <v>3.0000000000000027E-2</v>
      </c>
      <c r="P11" s="5">
        <v>0.5303472222222223</v>
      </c>
      <c r="Q11" s="5">
        <v>3.3333333333333333E-2</v>
      </c>
      <c r="R11" s="5">
        <v>2.0000000000000018E-2</v>
      </c>
      <c r="T11" s="5">
        <v>0.28591666666666671</v>
      </c>
      <c r="U11" s="5">
        <v>0.52639999999999998</v>
      </c>
      <c r="V11" s="5">
        <v>0.73278415300548638</v>
      </c>
      <c r="W11" s="5">
        <v>0.33663180284348804</v>
      </c>
      <c r="X11" s="5">
        <v>0.5299946253732114</v>
      </c>
      <c r="Y11" s="5">
        <v>0.12</v>
      </c>
      <c r="AA11" s="5">
        <v>7.5000000000000067E-2</v>
      </c>
      <c r="AB11" s="5">
        <v>0.6317600000000001</v>
      </c>
      <c r="AC11" s="5">
        <v>0.1649268292682925</v>
      </c>
      <c r="AD11" s="5">
        <v>0.11386138613861387</v>
      </c>
      <c r="AE11" s="5">
        <v>2.6541994952568176E-2</v>
      </c>
      <c r="AF11" s="5">
        <v>1.4798098719673755E-2</v>
      </c>
      <c r="AH11" s="5">
        <v>4.5999999999999999E-2</v>
      </c>
      <c r="AI11" s="5">
        <v>0.10142829754715921</v>
      </c>
      <c r="AJ11" s="5">
        <v>0</v>
      </c>
      <c r="AK11" s="5">
        <v>1</v>
      </c>
      <c r="AL11" s="5">
        <v>0.32846715328467158</v>
      </c>
      <c r="AM11" s="5">
        <v>0.61</v>
      </c>
    </row>
    <row r="12" spans="1:39">
      <c r="A12" s="82">
        <f t="shared" si="18"/>
        <v>3</v>
      </c>
      <c r="B12" s="16" t="s">
        <v>11</v>
      </c>
      <c r="C12" s="15" t="s">
        <v>12</v>
      </c>
      <c r="D12" s="17">
        <v>0.28267344377438053</v>
      </c>
      <c r="E12" s="4">
        <v>0.33743385818337618</v>
      </c>
      <c r="F12" s="4">
        <v>0.43009901920682519</v>
      </c>
      <c r="G12" s="6">
        <v>0.30807418915483747</v>
      </c>
      <c r="H12" s="6">
        <v>5.5086708552483245E-2</v>
      </c>
      <c r="I12" s="90">
        <v>0.30209460081823053</v>
      </c>
      <c r="J12" s="90">
        <v>0.30095773844865287</v>
      </c>
      <c r="K12" s="90">
        <v>0.22611526619719693</v>
      </c>
      <c r="M12" s="5">
        <v>0.64683333333333337</v>
      </c>
      <c r="N12" s="5">
        <v>0.52647814910025703</v>
      </c>
      <c r="O12" s="5">
        <v>0.17000000000000004</v>
      </c>
      <c r="P12" s="5">
        <v>0.56395833333333334</v>
      </c>
      <c r="Q12" s="5">
        <v>6.7333333333333328E-2</v>
      </c>
      <c r="R12" s="5">
        <v>5.0000000000000044E-2</v>
      </c>
      <c r="T12" s="5">
        <v>0.66583333333333339</v>
      </c>
      <c r="U12" s="5">
        <v>0.34139999999999998</v>
      </c>
      <c r="V12" s="5">
        <v>0.75597654337469367</v>
      </c>
      <c r="W12" s="5">
        <v>8.5091803561478968E-2</v>
      </c>
      <c r="X12" s="5">
        <v>0.67229243497144475</v>
      </c>
      <c r="Y12" s="5">
        <v>0.06</v>
      </c>
      <c r="AA12" s="5">
        <v>0.20833333333333315</v>
      </c>
      <c r="AB12" s="5">
        <v>0.79571999999999998</v>
      </c>
      <c r="AC12" s="5">
        <v>0.24754487804878034</v>
      </c>
      <c r="AD12" s="5">
        <v>0.52331606217616577</v>
      </c>
      <c r="AE12" s="5">
        <v>3.6068561103771974E-4</v>
      </c>
      <c r="AF12" s="5">
        <v>7.3170175759707662E-2</v>
      </c>
      <c r="AH12" s="5">
        <v>4.0000000000000001E-3</v>
      </c>
      <c r="AI12" s="5">
        <v>3.9635043021802749E-2</v>
      </c>
      <c r="AJ12" s="5">
        <v>7.0000000000000062E-3</v>
      </c>
      <c r="AK12" s="5">
        <v>0</v>
      </c>
      <c r="AL12" s="5">
        <v>1.4485208293096644E-2</v>
      </c>
      <c r="AM12" s="5">
        <v>0.26540000000000008</v>
      </c>
    </row>
    <row r="13" spans="1:39">
      <c r="A13" s="82">
        <f t="shared" si="18"/>
        <v>14</v>
      </c>
      <c r="B13" s="16" t="s">
        <v>13</v>
      </c>
      <c r="C13" s="15" t="s">
        <v>14</v>
      </c>
      <c r="D13" s="17" t="e">
        <v>#DIV/0!</v>
      </c>
      <c r="E13" s="4" t="e">
        <v>#DIV/0!</v>
      </c>
      <c r="F13" s="4" t="e">
        <v>#N/A</v>
      </c>
      <c r="G13" s="6" t="e">
        <v>#N/A</v>
      </c>
      <c r="H13" s="6" t="e">
        <v>#N/A</v>
      </c>
      <c r="I13" s="90" t="e">
        <v>#N/A</v>
      </c>
      <c r="J13" s="90" t="e">
        <v>#N/A</v>
      </c>
      <c r="K13" s="90" t="e">
        <v>#N/A</v>
      </c>
      <c r="M13" s="5">
        <v>0.66125</v>
      </c>
      <c r="N13" s="5" t="e">
        <v>#DIV/0!</v>
      </c>
      <c r="O13" s="5">
        <v>0</v>
      </c>
      <c r="P13" s="5">
        <v>0.54041666666666677</v>
      </c>
      <c r="Q13" s="5">
        <v>0</v>
      </c>
      <c r="R13" s="5">
        <v>0</v>
      </c>
      <c r="T13" s="5" t="e">
        <v>#N/A</v>
      </c>
      <c r="U13" s="5" t="e">
        <v>#N/A</v>
      </c>
      <c r="V13" s="5">
        <v>1</v>
      </c>
      <c r="W13" s="5">
        <v>0.32501392028842618</v>
      </c>
      <c r="X13" s="5" t="e">
        <v>#N/A</v>
      </c>
      <c r="Y13" s="5">
        <v>0</v>
      </c>
      <c r="AA13" s="5">
        <v>6.6666666666666541E-2</v>
      </c>
      <c r="AB13" s="5" t="e">
        <v>#N/A</v>
      </c>
      <c r="AC13" s="5" t="e">
        <v>#N/A</v>
      </c>
      <c r="AD13" s="5">
        <v>8.3989501312335957E-2</v>
      </c>
      <c r="AE13" s="5" t="e">
        <v>#N/A</v>
      </c>
      <c r="AF13" s="5" t="e">
        <v>#N/A</v>
      </c>
      <c r="AH13" s="5">
        <v>0</v>
      </c>
      <c r="AI13" s="5">
        <v>0</v>
      </c>
      <c r="AJ13" s="5">
        <v>0</v>
      </c>
      <c r="AK13" s="5" t="e">
        <v>#N/A</v>
      </c>
      <c r="AL13" s="5" t="e">
        <v>#N/A</v>
      </c>
      <c r="AM13" s="5" t="e">
        <v>#N/A</v>
      </c>
    </row>
    <row r="14" spans="1:39">
      <c r="A14" s="82">
        <f t="shared" si="18"/>
        <v>3</v>
      </c>
      <c r="B14" s="16" t="s">
        <v>15</v>
      </c>
      <c r="C14" s="15" t="s">
        <v>16</v>
      </c>
      <c r="D14" s="17">
        <v>0.53515306483635361</v>
      </c>
      <c r="E14" s="4">
        <v>0.4251679304304305</v>
      </c>
      <c r="F14" s="4">
        <v>0.71228918969698307</v>
      </c>
      <c r="G14" s="6">
        <v>0.61203582558911818</v>
      </c>
      <c r="H14" s="6">
        <v>0.39111931362888241</v>
      </c>
      <c r="I14" s="90">
        <v>0.4652595632623035</v>
      </c>
      <c r="J14" s="90">
        <v>0.48031194502208191</v>
      </c>
      <c r="K14" s="90">
        <v>0.72225499691883577</v>
      </c>
      <c r="M14" s="5">
        <v>0.43441666666666667</v>
      </c>
      <c r="N14" s="5">
        <v>4.3270270270270271E-3</v>
      </c>
      <c r="O14" s="5">
        <v>0.5</v>
      </c>
      <c r="P14" s="5">
        <v>0.33826388888888903</v>
      </c>
      <c r="Q14" s="5">
        <v>0.84399999999999997</v>
      </c>
      <c r="R14" s="5">
        <v>0.43000000000000005</v>
      </c>
      <c r="T14" s="5">
        <v>0.52441666666666664</v>
      </c>
      <c r="U14" s="5">
        <v>0.42400000000000004</v>
      </c>
      <c r="V14" s="5">
        <v>0.93963759296824134</v>
      </c>
      <c r="W14" s="5">
        <v>1</v>
      </c>
      <c r="X14" s="5">
        <v>0.54568087854698999</v>
      </c>
      <c r="Y14" s="5">
        <v>0.84000000000000008</v>
      </c>
      <c r="AA14" s="5">
        <v>0.20833333333333315</v>
      </c>
      <c r="AB14" s="5">
        <v>0.88880000000000003</v>
      </c>
      <c r="AC14" s="5">
        <v>0.7489668292682925</v>
      </c>
      <c r="AD14" s="5">
        <v>0.92385786802030456</v>
      </c>
      <c r="AE14" s="5">
        <v>2.7331363636297557E-2</v>
      </c>
      <c r="AF14" s="5">
        <v>0.87492555927648075</v>
      </c>
      <c r="AH14" s="5">
        <v>2E-3</v>
      </c>
      <c r="AI14" s="5">
        <v>5.2795712771018868E-2</v>
      </c>
      <c r="AJ14" s="5">
        <v>0.73799999999999999</v>
      </c>
      <c r="AK14" s="5">
        <v>0.63987251940270651</v>
      </c>
      <c r="AL14" s="5">
        <v>1.8047645784872061E-2</v>
      </c>
      <c r="AM14" s="5">
        <v>0.89600000381469702</v>
      </c>
    </row>
    <row r="15" spans="1:39">
      <c r="A15" s="82">
        <f t="shared" si="18"/>
        <v>3</v>
      </c>
      <c r="B15" s="16" t="s">
        <v>17</v>
      </c>
      <c r="C15" s="15" t="s">
        <v>18</v>
      </c>
      <c r="D15" s="17">
        <v>0.32623926516987961</v>
      </c>
      <c r="E15" s="4">
        <v>0.16180555555555556</v>
      </c>
      <c r="F15" s="4">
        <v>0.55539260469404439</v>
      </c>
      <c r="G15" s="6">
        <v>0.24913301450661565</v>
      </c>
      <c r="H15" s="6">
        <v>0.33862588592330289</v>
      </c>
      <c r="I15" s="90">
        <v>0.40328842074026383</v>
      </c>
      <c r="J15" s="90">
        <v>0.37149607409395891</v>
      </c>
      <c r="K15" s="90">
        <v>0.14278031842818428</v>
      </c>
      <c r="M15" s="5">
        <v>0.66833333333333333</v>
      </c>
      <c r="N15" s="5">
        <v>0</v>
      </c>
      <c r="O15" s="5">
        <v>8.9999999999999969E-2</v>
      </c>
      <c r="P15" s="5">
        <v>0.16249999999999998</v>
      </c>
      <c r="Q15" s="5">
        <v>0</v>
      </c>
      <c r="R15" s="5">
        <v>5.0000000000000044E-2</v>
      </c>
      <c r="T15" s="5">
        <v>0.71158333333333335</v>
      </c>
      <c r="U15" s="5">
        <v>0.69619999999999993</v>
      </c>
      <c r="V15" s="5">
        <v>0.52229166666666671</v>
      </c>
      <c r="W15" s="5">
        <v>0.4675712768584529</v>
      </c>
      <c r="X15" s="5">
        <v>0.93470935130581301</v>
      </c>
      <c r="Y15" s="5">
        <v>0</v>
      </c>
      <c r="AA15" s="5">
        <v>0.31666666666666676</v>
      </c>
      <c r="AB15" s="5">
        <v>0.73080000000000001</v>
      </c>
      <c r="AC15" s="5">
        <v>0.19439024390243897</v>
      </c>
      <c r="AD15" s="5">
        <v>0.25294117647058822</v>
      </c>
      <c r="AE15" s="5">
        <v>0</v>
      </c>
      <c r="AF15" s="5">
        <v>0</v>
      </c>
      <c r="AH15" s="5">
        <v>1</v>
      </c>
      <c r="AI15" s="5">
        <v>0.31135530638454417</v>
      </c>
      <c r="AJ15" s="5">
        <v>5.0000000000000044E-2</v>
      </c>
      <c r="AK15" s="5">
        <v>0</v>
      </c>
      <c r="AL15" s="5">
        <v>0</v>
      </c>
      <c r="AM15" s="5">
        <v>0.67040000915527309</v>
      </c>
    </row>
    <row r="16" spans="1:39">
      <c r="A16" s="82">
        <f t="shared" si="18"/>
        <v>3</v>
      </c>
      <c r="B16" s="16" t="s">
        <v>19</v>
      </c>
      <c r="C16" s="15" t="s">
        <v>20</v>
      </c>
      <c r="D16" s="17">
        <v>0.2053918153236565</v>
      </c>
      <c r="E16" s="4">
        <v>0.13840714009464009</v>
      </c>
      <c r="F16" s="4">
        <v>0.23303362051241119</v>
      </c>
      <c r="G16" s="6">
        <v>0.27577154617871441</v>
      </c>
      <c r="H16" s="6">
        <v>0.17435495450886032</v>
      </c>
      <c r="I16" s="90">
        <v>0.18966037080419226</v>
      </c>
      <c r="J16" s="90">
        <v>0.21674630709471188</v>
      </c>
      <c r="K16" s="90">
        <v>0.21195724444626995</v>
      </c>
      <c r="M16" s="5">
        <v>0.45516666666666672</v>
      </c>
      <c r="N16" s="5">
        <v>4.0012285012285015E-2</v>
      </c>
      <c r="O16" s="5">
        <v>3.0000000000000027E-2</v>
      </c>
      <c r="P16" s="5">
        <v>0.20326388888888869</v>
      </c>
      <c r="Q16" s="5">
        <v>2E-3</v>
      </c>
      <c r="R16" s="5">
        <v>9.9999999999999978E-2</v>
      </c>
      <c r="T16" s="5">
        <v>0.32058333333333333</v>
      </c>
      <c r="U16" s="5">
        <v>7.7999999999999861E-2</v>
      </c>
      <c r="V16" s="5">
        <v>0.79056576193237704</v>
      </c>
      <c r="W16" s="5">
        <v>8.6167620932620106E-2</v>
      </c>
      <c r="X16" s="5">
        <v>2.8850068761369215E-3</v>
      </c>
      <c r="Y16" s="5">
        <v>0.12</v>
      </c>
      <c r="AA16" s="5">
        <v>0.31666666666666676</v>
      </c>
      <c r="AB16" s="5">
        <v>0.83319999999999994</v>
      </c>
      <c r="AC16" s="5">
        <v>0.18964975609756063</v>
      </c>
      <c r="AD16" s="5">
        <v>0.27358490566037735</v>
      </c>
      <c r="AE16" s="5">
        <v>0</v>
      </c>
      <c r="AF16" s="5">
        <v>4.1527948647681882E-2</v>
      </c>
      <c r="AH16" s="5">
        <v>1.2E-2</v>
      </c>
      <c r="AI16" s="5">
        <v>0.10933842591428558</v>
      </c>
      <c r="AJ16" s="5">
        <v>2.8000000000000025E-2</v>
      </c>
      <c r="AK16" s="5">
        <v>0.18528104604969939</v>
      </c>
      <c r="AL16" s="5">
        <v>1.1510255089177072E-2</v>
      </c>
      <c r="AM16" s="5">
        <v>0.7</v>
      </c>
    </row>
    <row r="17" spans="1:39">
      <c r="A17" s="82">
        <f t="shared" si="18"/>
        <v>3</v>
      </c>
      <c r="B17" s="16" t="s">
        <v>21</v>
      </c>
      <c r="C17" s="15" t="s">
        <v>22</v>
      </c>
      <c r="D17" s="17">
        <v>0.25165759850435898</v>
      </c>
      <c r="E17" s="4">
        <v>0.31206831221426085</v>
      </c>
      <c r="F17" s="4">
        <v>0.34855525809688065</v>
      </c>
      <c r="G17" s="6">
        <v>0.16746768800217252</v>
      </c>
      <c r="H17" s="6">
        <v>0.17853913570412194</v>
      </c>
      <c r="I17" s="90">
        <v>0.2368919025125561</v>
      </c>
      <c r="J17" s="90">
        <v>0.33879653056650028</v>
      </c>
      <c r="K17" s="90">
        <v>0.14309774439885148</v>
      </c>
      <c r="M17" s="5">
        <v>0.65949999999999998</v>
      </c>
      <c r="N17" s="5">
        <v>0.36388209550778733</v>
      </c>
      <c r="O17" s="5">
        <v>4.0000000000000036E-2</v>
      </c>
      <c r="P17" s="5">
        <v>0.66569444444444437</v>
      </c>
      <c r="Q17" s="5">
        <v>4.3333333333333335E-2</v>
      </c>
      <c r="R17" s="5">
        <v>9.9999999999999978E-2</v>
      </c>
      <c r="T17" s="5">
        <v>0.27966666666666667</v>
      </c>
      <c r="U17" s="5">
        <v>0.36219999999999997</v>
      </c>
      <c r="V17" s="5">
        <v>0.4699049865378333</v>
      </c>
      <c r="W17" s="5">
        <v>0.1483420307462219</v>
      </c>
      <c r="X17" s="5">
        <v>0.8212178646305619</v>
      </c>
      <c r="Y17" s="5">
        <v>0.01</v>
      </c>
      <c r="AA17" s="5">
        <v>7.5000000000000067E-2</v>
      </c>
      <c r="AB17" s="5">
        <v>0.46251999999999993</v>
      </c>
      <c r="AC17" s="5">
        <v>0.22530146341463397</v>
      </c>
      <c r="AD17" s="5">
        <v>0.14424951267056529</v>
      </c>
      <c r="AE17" s="5">
        <v>8.4355135487194324E-2</v>
      </c>
      <c r="AF17" s="5">
        <v>1.3380016440641625E-2</v>
      </c>
      <c r="AH17" s="5">
        <v>0</v>
      </c>
      <c r="AI17" s="5">
        <v>0</v>
      </c>
      <c r="AJ17" s="5">
        <v>0</v>
      </c>
      <c r="AK17" s="5">
        <v>0.81686034613962533</v>
      </c>
      <c r="AL17" s="5">
        <v>0.15957446808510639</v>
      </c>
      <c r="AM17" s="5">
        <v>9.4799999999999995E-2</v>
      </c>
    </row>
    <row r="18" spans="1:39">
      <c r="A18" s="82">
        <f t="shared" si="18"/>
        <v>3</v>
      </c>
      <c r="B18" s="16" t="s">
        <v>23</v>
      </c>
      <c r="C18" s="15" t="s">
        <v>24</v>
      </c>
      <c r="D18" s="17">
        <v>0.19049313100319185</v>
      </c>
      <c r="E18" s="4">
        <v>0.15212037037037041</v>
      </c>
      <c r="F18" s="4">
        <v>0.29574156828593834</v>
      </c>
      <c r="G18" s="6">
        <v>0.18848375004639575</v>
      </c>
      <c r="H18" s="6">
        <v>0.12562683531006291</v>
      </c>
      <c r="I18" s="90">
        <v>0.29467287147506127</v>
      </c>
      <c r="J18" s="90">
        <v>0.11503146221676919</v>
      </c>
      <c r="K18" s="90">
        <v>0.14741602347502178</v>
      </c>
      <c r="M18" s="5">
        <v>0.58174999999999999</v>
      </c>
      <c r="N18" s="5">
        <v>4.5833333333333337E-2</v>
      </c>
      <c r="O18" s="5">
        <v>0</v>
      </c>
      <c r="P18" s="5">
        <v>0.28513888888888905</v>
      </c>
      <c r="Q18" s="5">
        <v>0</v>
      </c>
      <c r="R18" s="5">
        <v>0</v>
      </c>
      <c r="T18" s="5">
        <v>0.49116666666666664</v>
      </c>
      <c r="U18" s="5">
        <v>0.11080000000000007</v>
      </c>
      <c r="V18" s="5">
        <v>0.8119917358098514</v>
      </c>
      <c r="W18" s="5">
        <v>0.32907609587020825</v>
      </c>
      <c r="X18" s="5">
        <v>3.141491136890364E-2</v>
      </c>
      <c r="Y18" s="5">
        <v>0</v>
      </c>
      <c r="AA18" s="5">
        <v>0.8500000000000002</v>
      </c>
      <c r="AB18" s="5">
        <v>0.11316000000000004</v>
      </c>
      <c r="AC18" s="5">
        <v>6.9121951219511812E-2</v>
      </c>
      <c r="AD18" s="5">
        <v>9.5238095238095233E-2</v>
      </c>
      <c r="AE18" s="5">
        <v>0</v>
      </c>
      <c r="AF18" s="5">
        <v>3.3824538207674238E-3</v>
      </c>
      <c r="AH18" s="5">
        <v>1.4999999999999999E-2</v>
      </c>
      <c r="AI18" s="5">
        <v>0.12107492287808069</v>
      </c>
      <c r="AJ18" s="5">
        <v>0</v>
      </c>
      <c r="AK18" s="5">
        <v>0</v>
      </c>
      <c r="AL18" s="5">
        <v>4.6860966116918116E-3</v>
      </c>
      <c r="AM18" s="5">
        <v>0.61299999237060498</v>
      </c>
    </row>
    <row r="19" spans="1:39">
      <c r="A19" s="82">
        <f t="shared" si="18"/>
        <v>3</v>
      </c>
      <c r="B19" s="16" t="s">
        <v>25</v>
      </c>
      <c r="C19" s="15" t="s">
        <v>26</v>
      </c>
      <c r="D19" s="17">
        <v>0.16537540688418992</v>
      </c>
      <c r="E19" s="4">
        <v>0.17465942728442732</v>
      </c>
      <c r="F19" s="4">
        <v>0.26208044975296474</v>
      </c>
      <c r="G19" s="6">
        <v>6.9351652168866379E-2</v>
      </c>
      <c r="H19" s="6">
        <v>0.15541009833050121</v>
      </c>
      <c r="I19" s="90">
        <v>0.20672861378801688</v>
      </c>
      <c r="J19" s="90">
        <v>0.18789985511076665</v>
      </c>
      <c r="K19" s="90">
        <v>6.9558924188584351E-2</v>
      </c>
      <c r="M19" s="5">
        <v>0.43258333333333332</v>
      </c>
      <c r="N19" s="5">
        <v>4.7039897039897041E-2</v>
      </c>
      <c r="O19" s="5">
        <v>0</v>
      </c>
      <c r="P19" s="5">
        <v>0.56833333333333358</v>
      </c>
      <c r="Q19" s="5">
        <v>0</v>
      </c>
      <c r="R19" s="5">
        <v>0</v>
      </c>
      <c r="T19" s="5">
        <v>0.23600000000000002</v>
      </c>
      <c r="U19" s="5">
        <v>0.32655592715461623</v>
      </c>
      <c r="V19" s="5">
        <v>0.31725861232416663</v>
      </c>
      <c r="W19" s="5">
        <v>0.41769450062775226</v>
      </c>
      <c r="X19" s="5">
        <v>0.27497365841125326</v>
      </c>
      <c r="Y19" s="5">
        <v>0</v>
      </c>
      <c r="AA19" s="5">
        <v>6.6666666666666541E-2</v>
      </c>
      <c r="AB19" s="5">
        <v>0.18283999999999989</v>
      </c>
      <c r="AC19" s="5">
        <v>9.8341463414633901E-2</v>
      </c>
      <c r="AD19" s="5">
        <v>6.6508313539192399E-2</v>
      </c>
      <c r="AE19" s="5">
        <v>0</v>
      </c>
      <c r="AF19" s="5">
        <v>1.7534693927055542E-3</v>
      </c>
      <c r="AH19" s="5">
        <v>0</v>
      </c>
      <c r="AI19" s="5">
        <v>0</v>
      </c>
      <c r="AJ19" s="5">
        <v>0</v>
      </c>
      <c r="AK19" s="5">
        <v>0.85968921339113347</v>
      </c>
      <c r="AL19" s="5">
        <v>7.2771376591873868E-2</v>
      </c>
      <c r="AM19" s="5">
        <v>0</v>
      </c>
    </row>
    <row r="20" spans="1:39">
      <c r="A20" s="82">
        <f t="shared" si="18"/>
        <v>3</v>
      </c>
      <c r="B20" s="16" t="s">
        <v>27</v>
      </c>
      <c r="C20" s="15" t="s">
        <v>28</v>
      </c>
      <c r="D20" s="17">
        <v>0.26461342397481541</v>
      </c>
      <c r="E20" s="4">
        <v>0.42498490965013452</v>
      </c>
      <c r="F20" s="4">
        <v>0.37839609207824632</v>
      </c>
      <c r="G20" s="6">
        <v>0.12628241046345118</v>
      </c>
      <c r="H20" s="6">
        <v>0.12879028370742943</v>
      </c>
      <c r="I20" s="90">
        <v>0.24721114110115058</v>
      </c>
      <c r="J20" s="90">
        <v>0.23970566410338101</v>
      </c>
      <c r="K20" s="90">
        <v>0.32807848809246415</v>
      </c>
      <c r="M20" s="5">
        <v>0.64766666666666661</v>
      </c>
      <c r="N20" s="5">
        <v>0.35207612456747406</v>
      </c>
      <c r="O20" s="5">
        <v>0.19999999999999996</v>
      </c>
      <c r="P20" s="5">
        <v>0.62083333333333313</v>
      </c>
      <c r="Q20" s="5">
        <v>0.17933333333333334</v>
      </c>
      <c r="R20" s="5">
        <v>0.55000000000000004</v>
      </c>
      <c r="T20" s="5">
        <v>0.29150000000000004</v>
      </c>
      <c r="U20" s="5">
        <v>0.47939999999999999</v>
      </c>
      <c r="V20" s="5">
        <v>0.75647437299005449</v>
      </c>
      <c r="W20" s="5">
        <v>0.12101195020123225</v>
      </c>
      <c r="X20" s="5">
        <v>0.47199022927819123</v>
      </c>
      <c r="Y20" s="5">
        <v>0.15</v>
      </c>
      <c r="AA20" s="5">
        <v>7.5000000000000067E-2</v>
      </c>
      <c r="AB20" s="5">
        <v>0.17464000000000002</v>
      </c>
      <c r="AC20" s="5">
        <v>0.29113756097560928</v>
      </c>
      <c r="AD20" s="5">
        <v>0.19012115563839702</v>
      </c>
      <c r="AE20" s="5">
        <v>5.9367515775793356E-3</v>
      </c>
      <c r="AF20" s="5">
        <v>2.0858994589121375E-2</v>
      </c>
      <c r="AH20" s="5">
        <v>0.188</v>
      </c>
      <c r="AI20" s="5">
        <v>0</v>
      </c>
      <c r="AJ20" s="5">
        <v>0</v>
      </c>
      <c r="AK20" s="5">
        <v>0</v>
      </c>
      <c r="AL20" s="5">
        <v>9.076716407072577E-2</v>
      </c>
      <c r="AM20" s="5">
        <v>0.49397453817385095</v>
      </c>
    </row>
    <row r="21" spans="1:39">
      <c r="A21" s="82">
        <f t="shared" si="18"/>
        <v>3</v>
      </c>
      <c r="B21" s="16" t="s">
        <v>29</v>
      </c>
      <c r="C21" s="15" t="s">
        <v>30</v>
      </c>
      <c r="D21" s="17">
        <v>0.30644194179992529</v>
      </c>
      <c r="E21" s="4">
        <v>0.1494560185185185</v>
      </c>
      <c r="F21" s="4">
        <v>0.47191851187176304</v>
      </c>
      <c r="G21" s="6">
        <v>0.24450602314104911</v>
      </c>
      <c r="H21" s="6">
        <v>0.35988721366837045</v>
      </c>
      <c r="I21" s="90">
        <v>0.36541594123482618</v>
      </c>
      <c r="J21" s="90">
        <v>0.3400490515025239</v>
      </c>
      <c r="K21" s="90">
        <v>0.16757027809367617</v>
      </c>
      <c r="M21" s="5">
        <v>0.7174166666666667</v>
      </c>
      <c r="N21" s="5">
        <v>0</v>
      </c>
      <c r="O21" s="5">
        <v>3.0000000000000027E-2</v>
      </c>
      <c r="P21" s="5">
        <v>0.14798611111111104</v>
      </c>
      <c r="Q21" s="5">
        <v>1.3333333333333333E-3</v>
      </c>
      <c r="R21" s="5">
        <v>0</v>
      </c>
      <c r="T21" s="5">
        <v>0.71158333333333335</v>
      </c>
      <c r="U21" s="5">
        <v>0.16099999999999984</v>
      </c>
      <c r="V21" s="5">
        <v>0.72777777777777775</v>
      </c>
      <c r="W21" s="5">
        <v>0.23576511194030858</v>
      </c>
      <c r="X21" s="5">
        <v>0.99538484817915873</v>
      </c>
      <c r="Y21" s="5">
        <v>0</v>
      </c>
      <c r="AA21" s="5">
        <v>0.31666666666666676</v>
      </c>
      <c r="AB21" s="5">
        <v>0.60039999999999993</v>
      </c>
      <c r="AC21" s="5">
        <v>0.22271707317073153</v>
      </c>
      <c r="AD21" s="5">
        <v>0.30232558139534882</v>
      </c>
      <c r="AE21" s="5">
        <v>0</v>
      </c>
      <c r="AF21" s="5">
        <v>2.4926817613547748E-2</v>
      </c>
      <c r="AH21" s="5">
        <v>0.79700000000000004</v>
      </c>
      <c r="AI21" s="5">
        <v>0.87632329726901204</v>
      </c>
      <c r="AJ21" s="5">
        <v>6.0000000000000053E-2</v>
      </c>
      <c r="AK21" s="5">
        <v>0</v>
      </c>
      <c r="AL21" s="5">
        <v>0</v>
      </c>
      <c r="AM21" s="5">
        <v>0.42599998474121104</v>
      </c>
    </row>
    <row r="22" spans="1:39">
      <c r="A22" s="82">
        <f t="shared" si="18"/>
        <v>3</v>
      </c>
      <c r="B22" s="16" t="s">
        <v>31</v>
      </c>
      <c r="C22" s="15" t="s">
        <v>32</v>
      </c>
      <c r="D22" s="17">
        <v>0.29948612991845319</v>
      </c>
      <c r="E22" s="4">
        <v>0.30172916666666666</v>
      </c>
      <c r="F22" s="4">
        <v>0.47793086128908885</v>
      </c>
      <c r="G22" s="6">
        <v>0.18205903359650119</v>
      </c>
      <c r="H22" s="6">
        <v>0.23622545812155601</v>
      </c>
      <c r="I22" s="90">
        <v>0.23997304962734414</v>
      </c>
      <c r="J22" s="90">
        <v>0.41307474985881509</v>
      </c>
      <c r="K22" s="90">
        <v>0.21837282044457371</v>
      </c>
      <c r="M22" s="5">
        <v>0.28266666666666673</v>
      </c>
      <c r="N22" s="5">
        <v>1</v>
      </c>
      <c r="O22" s="5">
        <v>0</v>
      </c>
      <c r="P22" s="5">
        <v>0.52770833333333322</v>
      </c>
      <c r="Q22" s="5">
        <v>0</v>
      </c>
      <c r="R22" s="5">
        <v>0</v>
      </c>
      <c r="T22" s="5">
        <v>0.54108333333333336</v>
      </c>
      <c r="U22" s="5">
        <v>0.11440000000000008</v>
      </c>
      <c r="V22" s="5">
        <v>0.94047619047619047</v>
      </c>
      <c r="W22" s="5">
        <v>9.162564392500902E-2</v>
      </c>
      <c r="X22" s="5">
        <v>1</v>
      </c>
      <c r="Y22" s="5">
        <v>0.18</v>
      </c>
      <c r="AA22" s="5">
        <v>7.5000000000000067E-2</v>
      </c>
      <c r="AB22" s="5">
        <v>0.64392000000000005</v>
      </c>
      <c r="AC22" s="5">
        <v>0.17847804878048745</v>
      </c>
      <c r="AD22" s="5">
        <v>0.18367346938775511</v>
      </c>
      <c r="AE22" s="5">
        <v>0</v>
      </c>
      <c r="AF22" s="5">
        <v>1.1282683410764407E-2</v>
      </c>
      <c r="AH22" s="5">
        <v>0.45200000000000001</v>
      </c>
      <c r="AI22" s="5">
        <v>0.77416756354415095</v>
      </c>
      <c r="AJ22" s="5">
        <v>5.9999999999998943E-3</v>
      </c>
      <c r="AK22" s="5">
        <v>0</v>
      </c>
      <c r="AL22" s="5">
        <v>0</v>
      </c>
      <c r="AM22" s="5">
        <v>0.18518518518518501</v>
      </c>
    </row>
    <row r="23" spans="1:39">
      <c r="A23" s="82">
        <f t="shared" si="18"/>
        <v>3</v>
      </c>
      <c r="B23" s="16" t="s">
        <v>33</v>
      </c>
      <c r="C23" s="15" t="s">
        <v>34</v>
      </c>
      <c r="D23" s="17">
        <v>0.45793435077136885</v>
      </c>
      <c r="E23" s="4">
        <v>0.26166861360137644</v>
      </c>
      <c r="F23" s="4">
        <v>0.65470124982264999</v>
      </c>
      <c r="G23" s="6">
        <v>0.44863402872716657</v>
      </c>
      <c r="H23" s="6">
        <v>0.46673351093428234</v>
      </c>
      <c r="I23" s="90">
        <v>0.49027748471184501</v>
      </c>
      <c r="J23" s="90">
        <v>0.41059276821751112</v>
      </c>
      <c r="K23" s="90">
        <v>0.480432023691441</v>
      </c>
      <c r="M23" s="5">
        <v>0.37033333333333329</v>
      </c>
      <c r="N23" s="5">
        <v>2.9233903830480846E-2</v>
      </c>
      <c r="O23" s="5">
        <v>0.19999999999999996</v>
      </c>
      <c r="P23" s="5">
        <v>0.2777777777777779</v>
      </c>
      <c r="Q23" s="5">
        <v>0.22266666666666668</v>
      </c>
      <c r="R23" s="5">
        <v>0.47</v>
      </c>
      <c r="T23" s="5">
        <v>0.46758333333333335</v>
      </c>
      <c r="U23" s="5">
        <v>0.7238</v>
      </c>
      <c r="V23" s="5">
        <v>0.62250472123106726</v>
      </c>
      <c r="W23" s="5">
        <v>1</v>
      </c>
      <c r="X23" s="5">
        <v>0.11431944437149964</v>
      </c>
      <c r="Y23" s="5">
        <v>1</v>
      </c>
      <c r="AA23" s="5">
        <v>0.44999999999999984</v>
      </c>
      <c r="AB23" s="5">
        <v>0.96660000000000001</v>
      </c>
      <c r="AC23" s="5">
        <v>0.36870780487804866</v>
      </c>
      <c r="AD23" s="5">
        <v>0.60510114335971854</v>
      </c>
      <c r="AE23" s="5">
        <v>8.0015608085701781E-2</v>
      </c>
      <c r="AF23" s="5">
        <v>0.22137961603953007</v>
      </c>
      <c r="AH23" s="5">
        <v>0.30599999999999999</v>
      </c>
      <c r="AI23" s="5">
        <v>0.45560754787023527</v>
      </c>
      <c r="AJ23" s="5">
        <v>0.59000000000000008</v>
      </c>
      <c r="AK23" s="5">
        <v>0.19809174313301572</v>
      </c>
      <c r="AL23" s="5">
        <v>0.34570177460244295</v>
      </c>
      <c r="AM23" s="5">
        <v>0.90500000000000003</v>
      </c>
    </row>
    <row r="24" spans="1:39">
      <c r="A24" s="82">
        <f t="shared" si="18"/>
        <v>3</v>
      </c>
      <c r="B24" s="16" t="s">
        <v>35</v>
      </c>
      <c r="C24" s="15" t="s">
        <v>36</v>
      </c>
      <c r="D24" s="17">
        <v>0.24690805009971595</v>
      </c>
      <c r="E24" s="4">
        <v>0.27168287037037037</v>
      </c>
      <c r="F24" s="4">
        <v>0.44977096288886204</v>
      </c>
      <c r="G24" s="6">
        <v>0.22277048016280473</v>
      </c>
      <c r="H24" s="6">
        <v>4.3407886976826578E-2</v>
      </c>
      <c r="I24" s="90">
        <v>0.27459394669072801</v>
      </c>
      <c r="J24" s="90">
        <v>0.32878008526857261</v>
      </c>
      <c r="K24" s="90">
        <v>8.2571152459912853E-2</v>
      </c>
      <c r="M24" s="5">
        <v>0.73766666666666669</v>
      </c>
      <c r="N24" s="5">
        <v>0.76124999999999998</v>
      </c>
      <c r="O24" s="5">
        <v>0</v>
      </c>
      <c r="P24" s="5">
        <v>0.13118055555555541</v>
      </c>
      <c r="Q24" s="5">
        <v>0</v>
      </c>
      <c r="R24" s="5">
        <v>0</v>
      </c>
      <c r="T24" s="5">
        <v>0.71158333333333335</v>
      </c>
      <c r="U24" s="5">
        <v>0.59679999999999989</v>
      </c>
      <c r="V24" s="5">
        <v>0.31729166666666664</v>
      </c>
      <c r="W24" s="5">
        <v>7.2950777333172651E-2</v>
      </c>
      <c r="X24" s="5">
        <v>1</v>
      </c>
      <c r="Y24" s="5">
        <v>0</v>
      </c>
      <c r="AA24" s="5">
        <v>0.31666666666666676</v>
      </c>
      <c r="AB24" s="5">
        <v>0.53875999999999991</v>
      </c>
      <c r="AC24" s="5">
        <v>0.15528878048780481</v>
      </c>
      <c r="AD24" s="5">
        <v>0.28429752066115704</v>
      </c>
      <c r="AE24" s="5">
        <v>1.876344555619399E-2</v>
      </c>
      <c r="AF24" s="5">
        <v>2.2846467605005718E-2</v>
      </c>
      <c r="AH24" s="5">
        <v>0.217</v>
      </c>
      <c r="AI24" s="5">
        <v>4.3447321860959488E-2</v>
      </c>
      <c r="AJ24" s="5">
        <v>0</v>
      </c>
      <c r="AK24" s="5">
        <v>0</v>
      </c>
      <c r="AL24" s="5">
        <v>0</v>
      </c>
      <c r="AM24" s="5">
        <v>0</v>
      </c>
    </row>
    <row r="25" spans="1:39">
      <c r="A25" s="82">
        <f t="shared" si="18"/>
        <v>3</v>
      </c>
      <c r="B25" s="16" t="s">
        <v>37</v>
      </c>
      <c r="C25" s="15" t="s">
        <v>38</v>
      </c>
      <c r="D25" s="17">
        <v>0.19446096344162941</v>
      </c>
      <c r="E25" s="4">
        <v>0.21459977650063852</v>
      </c>
      <c r="F25" s="4">
        <v>0.19103952248520642</v>
      </c>
      <c r="G25" s="6">
        <v>0.20675793754331986</v>
      </c>
      <c r="H25" s="6">
        <v>0.16544661723735285</v>
      </c>
      <c r="I25" s="90">
        <v>0.26934173135169437</v>
      </c>
      <c r="J25" s="90">
        <v>0.15683822765607539</v>
      </c>
      <c r="K25" s="90">
        <v>0.13857391525486301</v>
      </c>
      <c r="M25" s="5">
        <v>0.38783333333333325</v>
      </c>
      <c r="N25" s="5">
        <v>7.4793103448275861E-2</v>
      </c>
      <c r="O25" s="5">
        <v>0</v>
      </c>
      <c r="P25" s="5">
        <v>0.75430555555555556</v>
      </c>
      <c r="Q25" s="5">
        <v>6.6666666666666664E-4</v>
      </c>
      <c r="R25" s="5">
        <v>6.9999999999999951E-2</v>
      </c>
      <c r="T25" s="5">
        <v>0.27966666666666667</v>
      </c>
      <c r="U25" s="5">
        <v>0.26119909536530406</v>
      </c>
      <c r="V25" s="5">
        <v>0.45468636693257225</v>
      </c>
      <c r="W25" s="5">
        <v>3.8719932182429709E-2</v>
      </c>
      <c r="X25" s="5">
        <v>0.10196507376426578</v>
      </c>
      <c r="Y25" s="5">
        <v>0.01</v>
      </c>
      <c r="AA25" s="5">
        <v>0.87499999999999967</v>
      </c>
      <c r="AB25" s="5">
        <v>0</v>
      </c>
      <c r="AC25" s="5">
        <v>0.29185365853658507</v>
      </c>
      <c r="AD25" s="5">
        <v>6.637168141592921E-2</v>
      </c>
      <c r="AE25" s="5">
        <v>2.4188192473847069E-3</v>
      </c>
      <c r="AF25" s="5">
        <v>4.9034660600207622E-3</v>
      </c>
      <c r="AH25" s="5">
        <v>0</v>
      </c>
      <c r="AI25" s="5">
        <v>0</v>
      </c>
      <c r="AJ25" s="5">
        <v>0</v>
      </c>
      <c r="AK25" s="5">
        <v>0.85690128430926538</v>
      </c>
      <c r="AL25" s="5">
        <v>2.2178413011335635E-2</v>
      </c>
      <c r="AM25" s="5">
        <v>0.11360000610351606</v>
      </c>
    </row>
    <row r="26" spans="1:39">
      <c r="A26" s="82">
        <f t="shared" si="18"/>
        <v>3</v>
      </c>
      <c r="B26" s="16" t="s">
        <v>39</v>
      </c>
      <c r="C26" s="15" t="s">
        <v>40</v>
      </c>
      <c r="D26" s="17">
        <v>0.27099853187591277</v>
      </c>
      <c r="E26" s="4">
        <v>0.23805733910139648</v>
      </c>
      <c r="F26" s="4">
        <v>0.35782078076396723</v>
      </c>
      <c r="G26" s="6">
        <v>0.1937090969866111</v>
      </c>
      <c r="H26" s="6">
        <v>0.29440691065167629</v>
      </c>
      <c r="I26" s="90">
        <v>0.27248509575485497</v>
      </c>
      <c r="J26" s="90">
        <v>0.38496114538572423</v>
      </c>
      <c r="K26" s="90">
        <v>9.782476579278232E-2</v>
      </c>
      <c r="M26" s="5">
        <v>0.56641666666666668</v>
      </c>
      <c r="N26" s="5">
        <v>0.41185792349726774</v>
      </c>
      <c r="O26" s="5">
        <v>0</v>
      </c>
      <c r="P26" s="5">
        <v>0.45006944444444452</v>
      </c>
      <c r="Q26" s="5">
        <v>0</v>
      </c>
      <c r="R26" s="5">
        <v>0</v>
      </c>
      <c r="T26" s="5">
        <v>0.25958333333333333</v>
      </c>
      <c r="U26" s="5">
        <v>2.6207407193650698E-2</v>
      </c>
      <c r="V26" s="5">
        <v>0.49720194647201943</v>
      </c>
      <c r="W26" s="5">
        <v>0.36393199758479955</v>
      </c>
      <c r="X26" s="5">
        <v>1</v>
      </c>
      <c r="Y26" s="5">
        <v>0</v>
      </c>
      <c r="AA26" s="5">
        <v>6.6666666666666541E-2</v>
      </c>
      <c r="AB26" s="5">
        <v>0.85651999999999995</v>
      </c>
      <c r="AC26" s="5">
        <v>8.7463414634146086E-2</v>
      </c>
      <c r="AD26" s="5">
        <v>0.14932126696832579</v>
      </c>
      <c r="AE26" s="5">
        <v>0</v>
      </c>
      <c r="AF26" s="5">
        <v>2.2832336505284015E-3</v>
      </c>
      <c r="AH26" s="5">
        <v>0.10099999999999999</v>
      </c>
      <c r="AI26" s="5">
        <v>0.22952780651210364</v>
      </c>
      <c r="AJ26" s="5">
        <v>0</v>
      </c>
      <c r="AK26" s="5">
        <v>0.72253717126849604</v>
      </c>
      <c r="AL26" s="5">
        <v>0.49537648612945839</v>
      </c>
      <c r="AM26" s="5">
        <v>0.21799999999999997</v>
      </c>
    </row>
    <row r="27" spans="1:39">
      <c r="A27" s="82">
        <f t="shared" si="18"/>
        <v>3</v>
      </c>
      <c r="B27" s="16" t="s">
        <v>41</v>
      </c>
      <c r="C27" s="15" t="s">
        <v>42</v>
      </c>
      <c r="D27" s="17">
        <v>0.28712449234462772</v>
      </c>
      <c r="E27" s="4">
        <v>0.20856530148747132</v>
      </c>
      <c r="F27" s="4">
        <v>0.32893113624125886</v>
      </c>
      <c r="G27" s="6">
        <v>0.28582136696821953</v>
      </c>
      <c r="H27" s="6">
        <v>0.32518016468156125</v>
      </c>
      <c r="I27" s="90">
        <v>0.29373478852153778</v>
      </c>
      <c r="J27" s="90">
        <v>0.36334739921962478</v>
      </c>
      <c r="K27" s="90">
        <v>0.16287468776676706</v>
      </c>
      <c r="M27" s="5">
        <v>0.82708333333333339</v>
      </c>
      <c r="N27" s="5">
        <v>8.0862533692722359E-3</v>
      </c>
      <c r="O27" s="5">
        <v>1.0000000000000009E-2</v>
      </c>
      <c r="P27" s="5">
        <v>0.28888888888888886</v>
      </c>
      <c r="Q27" s="5">
        <v>1.7333333333333333E-2</v>
      </c>
      <c r="R27" s="5">
        <v>9.9999999999999978E-2</v>
      </c>
      <c r="T27" s="5">
        <v>0.49525000000000002</v>
      </c>
      <c r="U27" s="5">
        <v>0.47780017284602427</v>
      </c>
      <c r="V27" s="5">
        <v>0.55273034330018223</v>
      </c>
      <c r="W27" s="5">
        <v>6.1805384412495168E-2</v>
      </c>
      <c r="X27" s="5">
        <v>0.31600091688885135</v>
      </c>
      <c r="Y27" s="5">
        <v>6.9999999999999993E-2</v>
      </c>
      <c r="AA27" s="5">
        <v>0.31666666666666676</v>
      </c>
      <c r="AB27" s="5">
        <v>0.81008000000000002</v>
      </c>
      <c r="AC27" s="5">
        <v>0.16815170731707296</v>
      </c>
      <c r="AD27" s="5">
        <v>0.33615819209039549</v>
      </c>
      <c r="AE27" s="5">
        <v>7.5055597518344334E-3</v>
      </c>
      <c r="AF27" s="5">
        <v>7.6366075983347256E-2</v>
      </c>
      <c r="AH27" s="5">
        <v>0.16899999999999998</v>
      </c>
      <c r="AI27" s="5">
        <v>0.40332035678730693</v>
      </c>
      <c r="AJ27" s="5">
        <v>8.2999999999999963E-2</v>
      </c>
      <c r="AK27" s="5">
        <v>0.4</v>
      </c>
      <c r="AL27" s="5">
        <v>6.5760631302060502E-2</v>
      </c>
      <c r="AM27" s="5">
        <v>0.83</v>
      </c>
    </row>
    <row r="28" spans="1:39">
      <c r="A28" s="82">
        <f t="shared" si="18"/>
        <v>3</v>
      </c>
      <c r="B28" s="16" t="s">
        <v>43</v>
      </c>
      <c r="C28" s="15" t="s">
        <v>44</v>
      </c>
      <c r="D28" s="17">
        <v>0.44232881547173486</v>
      </c>
      <c r="E28" s="4">
        <v>0.32333722176610102</v>
      </c>
      <c r="F28" s="4">
        <v>0.51727746321556256</v>
      </c>
      <c r="G28" s="6">
        <v>0.53830457417418698</v>
      </c>
      <c r="H28" s="6">
        <v>0.39039600273108893</v>
      </c>
      <c r="I28" s="90">
        <v>0.35472413069301362</v>
      </c>
      <c r="J28" s="90">
        <v>0.42052188808013619</v>
      </c>
      <c r="K28" s="90">
        <v>0.60644623372721485</v>
      </c>
      <c r="M28" s="5">
        <v>0.13858333333333328</v>
      </c>
      <c r="N28" s="5">
        <v>4.9261083743842365E-3</v>
      </c>
      <c r="O28" s="5">
        <v>0.25</v>
      </c>
      <c r="P28" s="5">
        <v>0.32118055555555536</v>
      </c>
      <c r="Q28" s="5">
        <v>0.34533333333333333</v>
      </c>
      <c r="R28" s="5">
        <v>0.88</v>
      </c>
      <c r="T28" s="5">
        <v>0.62008333333333332</v>
      </c>
      <c r="U28" s="5">
        <v>0.58400000000000007</v>
      </c>
      <c r="V28" s="5">
        <v>0.9986518518518519</v>
      </c>
      <c r="W28" s="5">
        <v>0.25189152413015847</v>
      </c>
      <c r="X28" s="5">
        <v>0.1790380699780314</v>
      </c>
      <c r="Y28" s="5">
        <v>0.47000000000000003</v>
      </c>
      <c r="AA28" s="5">
        <v>0.20833333333333315</v>
      </c>
      <c r="AB28" s="5">
        <v>0.93603999999999998</v>
      </c>
      <c r="AC28" s="5">
        <v>0.46379073170731699</v>
      </c>
      <c r="AD28" s="5">
        <v>0.81908548707753481</v>
      </c>
      <c r="AE28" s="5">
        <v>0.22634307412281715</v>
      </c>
      <c r="AF28" s="5">
        <v>0.5762348188041202</v>
      </c>
      <c r="AH28" s="5">
        <v>0</v>
      </c>
      <c r="AI28" s="5">
        <v>0.20951459620501484</v>
      </c>
      <c r="AJ28" s="5">
        <v>0.752</v>
      </c>
      <c r="AK28" s="5">
        <v>0.39450181070764417</v>
      </c>
      <c r="AL28" s="5">
        <v>8.1359609473874522E-2</v>
      </c>
      <c r="AM28" s="5">
        <v>0.90500000000000003</v>
      </c>
    </row>
    <row r="29" spans="1:39">
      <c r="A29" s="82">
        <f t="shared" si="18"/>
        <v>3</v>
      </c>
      <c r="B29" s="16" t="s">
        <v>45</v>
      </c>
      <c r="C29" s="15" t="s">
        <v>46</v>
      </c>
      <c r="D29" s="17">
        <v>0.39292187113743032</v>
      </c>
      <c r="E29" s="4">
        <v>0.24303112139917693</v>
      </c>
      <c r="F29" s="4">
        <v>0.58472084356073728</v>
      </c>
      <c r="G29" s="6">
        <v>0.43538978327684141</v>
      </c>
      <c r="H29" s="6">
        <v>0.30854573631296556</v>
      </c>
      <c r="I29" s="90">
        <v>0.32396636565903952</v>
      </c>
      <c r="J29" s="90">
        <v>0.47701542333241587</v>
      </c>
      <c r="K29" s="90">
        <v>0.37021480106253807</v>
      </c>
      <c r="M29" s="5">
        <v>0.39141666666666663</v>
      </c>
      <c r="N29" s="5">
        <v>4.17283950617284E-3</v>
      </c>
      <c r="O29" s="5">
        <v>7.999999999999996E-2</v>
      </c>
      <c r="P29" s="5">
        <v>0.41659722222222206</v>
      </c>
      <c r="Q29" s="5">
        <v>0.216</v>
      </c>
      <c r="R29" s="5">
        <v>0.35</v>
      </c>
      <c r="T29" s="5">
        <v>0.45650000000000002</v>
      </c>
      <c r="U29" s="5">
        <v>0.64359999999999995</v>
      </c>
      <c r="V29" s="5">
        <v>0.96714843750000001</v>
      </c>
      <c r="W29" s="5">
        <v>0.13107662386442329</v>
      </c>
      <c r="X29" s="5">
        <v>1</v>
      </c>
      <c r="Y29" s="5">
        <v>0.31</v>
      </c>
      <c r="AA29" s="5">
        <v>0.44999999999999984</v>
      </c>
      <c r="AB29" s="5">
        <v>0.97348000000000001</v>
      </c>
      <c r="AC29" s="5">
        <v>0.36975268292682928</v>
      </c>
      <c r="AD29" s="5">
        <v>0.59883236030025022</v>
      </c>
      <c r="AE29" s="5">
        <v>7.5885970485570289E-2</v>
      </c>
      <c r="AF29" s="5">
        <v>0.1443876859483991</v>
      </c>
      <c r="AH29" s="5">
        <v>0</v>
      </c>
      <c r="AI29" s="5">
        <v>0</v>
      </c>
      <c r="AJ29" s="5">
        <v>0.31499999999999995</v>
      </c>
      <c r="AK29" s="5">
        <v>1</v>
      </c>
      <c r="AL29" s="5">
        <v>0.15627441787779339</v>
      </c>
      <c r="AM29" s="5">
        <v>0.38</v>
      </c>
    </row>
    <row r="30" spans="1:39">
      <c r="A30" s="82">
        <f t="shared" si="18"/>
        <v>3</v>
      </c>
      <c r="B30" s="16" t="s">
        <v>47</v>
      </c>
      <c r="C30" s="15" t="s">
        <v>48</v>
      </c>
      <c r="D30" s="17">
        <v>0.33944444804933038</v>
      </c>
      <c r="E30" s="4">
        <v>0.34294779674252562</v>
      </c>
      <c r="F30" s="4">
        <v>0.4611797460940113</v>
      </c>
      <c r="G30" s="6">
        <v>0.35884248604499036</v>
      </c>
      <c r="H30" s="6">
        <v>0.1948077633157943</v>
      </c>
      <c r="I30" s="90">
        <v>0.34844036567652359</v>
      </c>
      <c r="J30" s="90">
        <v>0.28187199119617667</v>
      </c>
      <c r="K30" s="90">
        <v>0.41230925688827141</v>
      </c>
      <c r="M30" s="5">
        <v>0.60408333333333331</v>
      </c>
      <c r="N30" s="5">
        <v>3.2562248995983939E-3</v>
      </c>
      <c r="O30" s="5">
        <v>0.14000000000000001</v>
      </c>
      <c r="P30" s="5">
        <v>0.39701388888888867</v>
      </c>
      <c r="Q30" s="5">
        <v>0.16333333333333333</v>
      </c>
      <c r="R30" s="5">
        <v>0.75</v>
      </c>
      <c r="T30" s="5">
        <v>0.76291666666666669</v>
      </c>
      <c r="U30" s="5">
        <v>0.33959999999999996</v>
      </c>
      <c r="V30" s="5">
        <v>0.95757592592600005</v>
      </c>
      <c r="W30" s="5">
        <v>0.38156796278372496</v>
      </c>
      <c r="X30" s="5">
        <v>0.24541792118767633</v>
      </c>
      <c r="Y30" s="5">
        <v>0.08</v>
      </c>
      <c r="AA30" s="5">
        <v>0.2250000000000002</v>
      </c>
      <c r="AB30" s="5">
        <v>0.78080000000000005</v>
      </c>
      <c r="AC30" s="5">
        <v>0.37978731707317048</v>
      </c>
      <c r="AD30" s="5">
        <v>0.52653485952133194</v>
      </c>
      <c r="AE30" s="5">
        <v>7.444044134498147E-2</v>
      </c>
      <c r="AF30" s="5">
        <v>0.16649229833045795</v>
      </c>
      <c r="AH30" s="5">
        <v>0</v>
      </c>
      <c r="AI30" s="5">
        <v>0</v>
      </c>
      <c r="AJ30" s="5">
        <v>0.22499999999999998</v>
      </c>
      <c r="AK30" s="5">
        <v>0</v>
      </c>
      <c r="AL30" s="5">
        <v>1.3846579894765992E-2</v>
      </c>
      <c r="AM30" s="5">
        <v>0.92999999999999994</v>
      </c>
    </row>
    <row r="31" spans="1:39">
      <c r="A31" s="82">
        <f t="shared" si="18"/>
        <v>3</v>
      </c>
      <c r="B31" s="16" t="s">
        <v>49</v>
      </c>
      <c r="C31" s="15" t="s">
        <v>50</v>
      </c>
      <c r="D31" s="17">
        <v>0.21653204260072803</v>
      </c>
      <c r="E31" s="4">
        <v>0.19728444444444448</v>
      </c>
      <c r="F31" s="4">
        <v>0.32414978364872044</v>
      </c>
      <c r="G31" s="6">
        <v>0.15338944040428132</v>
      </c>
      <c r="H31" s="6">
        <v>0.19130450190546591</v>
      </c>
      <c r="I31" s="90">
        <v>0.20564737502777281</v>
      </c>
      <c r="J31" s="90">
        <v>0.28533923977992615</v>
      </c>
      <c r="K31" s="90">
        <v>0.1296482481913637</v>
      </c>
      <c r="M31" s="5">
        <v>0.63833333333333342</v>
      </c>
      <c r="N31" s="5">
        <v>9.0400000000000012E-3</v>
      </c>
      <c r="O31" s="5">
        <v>1.0000000000000009E-2</v>
      </c>
      <c r="P31" s="5">
        <v>0.47499999999999998</v>
      </c>
      <c r="Q31" s="5">
        <v>1.3333333333333333E-3</v>
      </c>
      <c r="R31" s="5">
        <v>5.0000000000000044E-2</v>
      </c>
      <c r="T31" s="5">
        <v>0.28591666666666671</v>
      </c>
      <c r="U31" s="5">
        <v>0.51979999999999993</v>
      </c>
      <c r="V31" s="5">
        <v>0.4802166005291667</v>
      </c>
      <c r="W31" s="5">
        <v>0.16080066166727802</v>
      </c>
      <c r="X31" s="5">
        <v>0.45816477302921116</v>
      </c>
      <c r="Y31" s="5">
        <v>0.04</v>
      </c>
      <c r="AA31" s="5">
        <v>7.5000000000000067E-2</v>
      </c>
      <c r="AB31" s="5">
        <v>0.56808400000000003</v>
      </c>
      <c r="AC31" s="5">
        <v>0.19499121951219511</v>
      </c>
      <c r="AD31" s="5">
        <v>6.9291338582677164E-2</v>
      </c>
      <c r="AE31" s="5">
        <v>1.0288415223995267E-2</v>
      </c>
      <c r="AF31" s="5">
        <v>2.6816691068202694E-3</v>
      </c>
      <c r="AH31" s="5">
        <v>0</v>
      </c>
      <c r="AI31" s="5">
        <v>1.7602833475632574E-4</v>
      </c>
      <c r="AJ31" s="5">
        <v>0</v>
      </c>
      <c r="AK31" s="5">
        <v>0.52416660046864427</v>
      </c>
      <c r="AL31" s="5">
        <v>0.146484375</v>
      </c>
      <c r="AM31" s="5">
        <v>0.47700000762939498</v>
      </c>
    </row>
    <row r="32" spans="1:39">
      <c r="A32" s="82">
        <f t="shared" si="18"/>
        <v>3</v>
      </c>
      <c r="B32" s="16" t="s">
        <v>51</v>
      </c>
      <c r="C32" s="15" t="s">
        <v>52</v>
      </c>
      <c r="D32" s="17">
        <v>0.42510334293549124</v>
      </c>
      <c r="E32" s="4">
        <v>0.33423651960784317</v>
      </c>
      <c r="F32" s="4">
        <v>0.55769620463005098</v>
      </c>
      <c r="G32" s="6">
        <v>0.51560135121516237</v>
      </c>
      <c r="H32" s="6">
        <v>0.29287929628890846</v>
      </c>
      <c r="I32" s="90">
        <v>0.48771969804057441</v>
      </c>
      <c r="J32" s="90">
        <v>0.40108048352047265</v>
      </c>
      <c r="K32" s="90">
        <v>0.36721309940039415</v>
      </c>
      <c r="M32" s="5">
        <v>0.85424999999999995</v>
      </c>
      <c r="N32" s="5">
        <v>1.5849673202614378E-2</v>
      </c>
      <c r="O32" s="5">
        <v>5.0000000000000044E-2</v>
      </c>
      <c r="P32" s="5">
        <v>0.4579861111111112</v>
      </c>
      <c r="Q32" s="5">
        <v>0.22733333333333333</v>
      </c>
      <c r="R32" s="5">
        <v>0.4</v>
      </c>
      <c r="T32" s="5">
        <v>0.81700000000000006</v>
      </c>
      <c r="U32" s="5">
        <v>0.39659999999999995</v>
      </c>
      <c r="V32" s="5">
        <v>0.77525376751865538</v>
      </c>
      <c r="W32" s="5">
        <v>0.29532078588536465</v>
      </c>
      <c r="X32" s="5">
        <v>0.8220026743762856</v>
      </c>
      <c r="Y32" s="5">
        <v>0.24</v>
      </c>
      <c r="AA32" s="5">
        <v>0.40833333333333333</v>
      </c>
      <c r="AB32" s="5">
        <v>0.75936000000000003</v>
      </c>
      <c r="AC32" s="5">
        <v>0.60094878048780487</v>
      </c>
      <c r="AD32" s="5">
        <v>1</v>
      </c>
      <c r="AE32" s="5">
        <v>0.18788994507393114</v>
      </c>
      <c r="AF32" s="5">
        <v>0.1370760483959044</v>
      </c>
      <c r="AH32" s="5">
        <v>0</v>
      </c>
      <c r="AI32" s="5">
        <v>0</v>
      </c>
      <c r="AJ32" s="5">
        <v>0.54600000000000004</v>
      </c>
      <c r="AK32" s="5">
        <v>0.52668871043930088</v>
      </c>
      <c r="AL32" s="5">
        <v>1.0587052035360754E-2</v>
      </c>
      <c r="AM32" s="5">
        <v>0.67400001525878905</v>
      </c>
    </row>
    <row r="33" spans="1:39">
      <c r="A33" s="82">
        <f t="shared" si="18"/>
        <v>3</v>
      </c>
      <c r="B33" s="16" t="s">
        <v>53</v>
      </c>
      <c r="C33" s="15" t="s">
        <v>54</v>
      </c>
      <c r="D33" s="17">
        <v>0.27753839390664714</v>
      </c>
      <c r="E33" s="4">
        <v>0.20004767568187645</v>
      </c>
      <c r="F33" s="4">
        <v>0.38474222396538615</v>
      </c>
      <c r="G33" s="6">
        <v>0.21310221072013391</v>
      </c>
      <c r="H33" s="6">
        <v>0.31226146525919213</v>
      </c>
      <c r="I33" s="90">
        <v>0.32838774255532921</v>
      </c>
      <c r="J33" s="90">
        <v>0.29230352970790391</v>
      </c>
      <c r="K33" s="90">
        <v>0.179116667231739</v>
      </c>
      <c r="M33" s="5">
        <v>0.5498333333333334</v>
      </c>
      <c r="N33" s="5">
        <v>7.2027207579254213E-3</v>
      </c>
      <c r="O33" s="5">
        <v>3.0000000000000027E-2</v>
      </c>
      <c r="P33" s="5">
        <v>0.33125000000000004</v>
      </c>
      <c r="Q33" s="5">
        <v>8.2000000000000003E-2</v>
      </c>
      <c r="R33" s="5">
        <v>0.19999999999999996</v>
      </c>
      <c r="T33" s="5">
        <v>0.4356666666666667</v>
      </c>
      <c r="U33" s="5">
        <v>0.13959999999999986</v>
      </c>
      <c r="V33" s="5">
        <v>0.50849295081959567</v>
      </c>
      <c r="W33" s="5">
        <v>1</v>
      </c>
      <c r="X33" s="5">
        <v>0.16469372630605481</v>
      </c>
      <c r="Y33" s="5">
        <v>0.06</v>
      </c>
      <c r="AA33" s="5">
        <v>0.31666666666666676</v>
      </c>
      <c r="AB33" s="5">
        <v>0.41120000000000001</v>
      </c>
      <c r="AC33" s="5">
        <v>0.24717024390243891</v>
      </c>
      <c r="AD33" s="5">
        <v>0.27439886845827438</v>
      </c>
      <c r="AE33" s="5">
        <v>1.4067662502427551E-4</v>
      </c>
      <c r="AF33" s="5">
        <v>2.9036808668399222E-2</v>
      </c>
      <c r="AH33" s="5">
        <v>0.02</v>
      </c>
      <c r="AI33" s="5">
        <v>6.6733880428496484E-2</v>
      </c>
      <c r="AJ33" s="5">
        <v>2.200000000000002E-2</v>
      </c>
      <c r="AK33" s="5">
        <v>0.81416076325363407</v>
      </c>
      <c r="AL33" s="5">
        <v>5.6741478730220271E-3</v>
      </c>
      <c r="AM33" s="5">
        <v>0.94499999999999995</v>
      </c>
    </row>
    <row r="34" spans="1:39">
      <c r="A34" s="82">
        <f t="shared" si="18"/>
        <v>3</v>
      </c>
      <c r="B34" s="16" t="s">
        <v>55</v>
      </c>
      <c r="C34" s="15" t="s">
        <v>56</v>
      </c>
      <c r="D34" s="17">
        <v>0.21479539228678096</v>
      </c>
      <c r="E34" s="4">
        <v>0.10003240740740743</v>
      </c>
      <c r="F34" s="4">
        <v>0.37676729324822045</v>
      </c>
      <c r="G34" s="6">
        <v>0.29147539692069407</v>
      </c>
      <c r="H34" s="6">
        <v>9.0906471570801936E-2</v>
      </c>
      <c r="I34" s="90">
        <v>0.2734939080561955</v>
      </c>
      <c r="J34" s="90">
        <v>0.23169334985999829</v>
      </c>
      <c r="K34" s="90">
        <v>0.10140068227283339</v>
      </c>
      <c r="M34" s="5">
        <v>0.46866666666666668</v>
      </c>
      <c r="N34" s="5">
        <v>0</v>
      </c>
      <c r="O34" s="5">
        <v>1.0000000000000009E-2</v>
      </c>
      <c r="P34" s="5">
        <v>0.1215277777777779</v>
      </c>
      <c r="Q34" s="5">
        <v>0</v>
      </c>
      <c r="R34" s="5">
        <v>0</v>
      </c>
      <c r="T34" s="5">
        <v>0.49116666666666664</v>
      </c>
      <c r="U34" s="5">
        <v>0.24740000000000001</v>
      </c>
      <c r="V34" s="5">
        <v>0.43611111111116663</v>
      </c>
      <c r="W34" s="5">
        <v>0.12344466239631674</v>
      </c>
      <c r="X34" s="5">
        <v>0.96248131931517267</v>
      </c>
      <c r="Y34" s="5">
        <v>0</v>
      </c>
      <c r="AA34" s="5">
        <v>0.8500000000000002</v>
      </c>
      <c r="AB34" s="5">
        <v>0.55292000000000008</v>
      </c>
      <c r="AC34" s="5">
        <v>0.14988975609756072</v>
      </c>
      <c r="AD34" s="5">
        <v>0.18363939899833054</v>
      </c>
      <c r="AE34" s="5">
        <v>0</v>
      </c>
      <c r="AF34" s="5">
        <v>1.2403226428272912E-2</v>
      </c>
      <c r="AH34" s="5">
        <v>0.22</v>
      </c>
      <c r="AI34" s="5">
        <v>9.4738862994147605E-2</v>
      </c>
      <c r="AJ34" s="5">
        <v>3.0000000000000027E-3</v>
      </c>
      <c r="AK34" s="5">
        <v>0</v>
      </c>
      <c r="AL34" s="5">
        <v>0</v>
      </c>
      <c r="AM34" s="5">
        <v>0.22769996643066404</v>
      </c>
    </row>
    <row r="35" spans="1:39">
      <c r="A35" s="82">
        <f t="shared" si="18"/>
        <v>3</v>
      </c>
      <c r="B35" s="16" t="s">
        <v>57</v>
      </c>
      <c r="C35" s="15" t="s">
        <v>58</v>
      </c>
      <c r="D35" s="17">
        <v>0.21198164033309919</v>
      </c>
      <c r="E35" s="4">
        <v>0.27389896322378721</v>
      </c>
      <c r="F35" s="4">
        <v>0.32154514295711839</v>
      </c>
      <c r="G35" s="6">
        <v>0.14484015466804195</v>
      </c>
      <c r="H35" s="6">
        <v>0.1076423004834493</v>
      </c>
      <c r="I35" s="90">
        <v>0.28432278475117806</v>
      </c>
      <c r="J35" s="90">
        <v>0.19087991316722616</v>
      </c>
      <c r="K35" s="90">
        <v>0.13512251445479054</v>
      </c>
      <c r="M35" s="5">
        <v>0.73983333333333334</v>
      </c>
      <c r="N35" s="5">
        <v>0.29535211267605632</v>
      </c>
      <c r="O35" s="5">
        <v>0</v>
      </c>
      <c r="P35" s="5">
        <v>0.60687500000000028</v>
      </c>
      <c r="Q35" s="5">
        <v>1.3333333333333333E-3</v>
      </c>
      <c r="R35" s="5">
        <v>0</v>
      </c>
      <c r="T35" s="5">
        <v>0.28591666666666671</v>
      </c>
      <c r="U35" s="5">
        <v>0.28617535873359207</v>
      </c>
      <c r="V35" s="5">
        <v>0.57463410650117042</v>
      </c>
      <c r="W35" s="5">
        <v>0.67066393414942871</v>
      </c>
      <c r="X35" s="5">
        <v>0.11188079169185225</v>
      </c>
      <c r="Y35" s="5">
        <v>0</v>
      </c>
      <c r="AA35" s="5">
        <v>7.5000000000000067E-2</v>
      </c>
      <c r="AB35" s="5">
        <v>0.47699999999999998</v>
      </c>
      <c r="AC35" s="5">
        <v>0.23175609756097548</v>
      </c>
      <c r="AD35" s="5">
        <v>8.0939947780678853E-2</v>
      </c>
      <c r="AE35" s="5">
        <v>0</v>
      </c>
      <c r="AF35" s="5">
        <v>4.3448826665974305E-3</v>
      </c>
      <c r="AH35" s="5">
        <v>3.0000000000000001E-3</v>
      </c>
      <c r="AI35" s="5">
        <v>1.5294866726029463E-2</v>
      </c>
      <c r="AJ35" s="5">
        <v>0</v>
      </c>
      <c r="AK35" s="5">
        <v>0.51488277060296106</v>
      </c>
      <c r="AL35" s="5">
        <v>9.6676180830494438E-2</v>
      </c>
      <c r="AM35" s="5">
        <v>1.5999984741210893E-2</v>
      </c>
    </row>
    <row r="36" spans="1:39">
      <c r="A36" s="82">
        <f t="shared" si="18"/>
        <v>3</v>
      </c>
      <c r="B36" s="16" t="s">
        <v>59</v>
      </c>
      <c r="C36" s="15" t="s">
        <v>60</v>
      </c>
      <c r="D36" s="17">
        <v>0.51051581563264148</v>
      </c>
      <c r="E36" s="4">
        <v>0.42586944444444447</v>
      </c>
      <c r="F36" s="4">
        <v>0.62332690258204615</v>
      </c>
      <c r="G36" s="6">
        <v>0.63707568756105648</v>
      </c>
      <c r="H36" s="6">
        <v>0.35579122794301887</v>
      </c>
      <c r="I36" s="90">
        <v>0.4178754212896762</v>
      </c>
      <c r="J36" s="90">
        <v>0.42817732666704367</v>
      </c>
      <c r="K36" s="90">
        <v>0.77298414059548604</v>
      </c>
      <c r="M36" s="5">
        <v>0.47783333333333333</v>
      </c>
      <c r="N36" s="5">
        <v>7.8799999999999995E-2</v>
      </c>
      <c r="O36" s="5">
        <v>0.24</v>
      </c>
      <c r="P36" s="5">
        <v>0.34458333333333335</v>
      </c>
      <c r="Q36" s="5">
        <v>0.52400000000000002</v>
      </c>
      <c r="R36" s="5">
        <v>0.89</v>
      </c>
      <c r="T36" s="5">
        <v>0.50358333333333338</v>
      </c>
      <c r="U36" s="5">
        <v>0.80019999999999991</v>
      </c>
      <c r="V36" s="5">
        <v>0.98400370136257476</v>
      </c>
      <c r="W36" s="5">
        <v>0.37816091707783089</v>
      </c>
      <c r="X36" s="5">
        <v>7.4013463718537509E-2</v>
      </c>
      <c r="Y36" s="5">
        <v>1</v>
      </c>
      <c r="AA36" s="5">
        <v>0.20833333333333315</v>
      </c>
      <c r="AB36" s="5">
        <v>0.93903999999999999</v>
      </c>
      <c r="AC36" s="5">
        <v>0.63382878048780467</v>
      </c>
      <c r="AD36" s="5">
        <v>0.93193717277486909</v>
      </c>
      <c r="AE36" s="5">
        <v>0.21924247704779501</v>
      </c>
      <c r="AF36" s="5">
        <v>0.89007236172253701</v>
      </c>
      <c r="AH36" s="5">
        <v>0</v>
      </c>
      <c r="AI36" s="5">
        <v>0</v>
      </c>
      <c r="AJ36" s="5">
        <v>0.9</v>
      </c>
      <c r="AK36" s="5">
        <v>0.26</v>
      </c>
      <c r="AL36" s="5">
        <v>1.6447368421052631E-2</v>
      </c>
      <c r="AM36" s="5">
        <v>0.95829999923706055</v>
      </c>
    </row>
    <row r="37" spans="1:39">
      <c r="A37" s="82">
        <f t="shared" si="18"/>
        <v>3</v>
      </c>
      <c r="B37" s="16" t="s">
        <v>61</v>
      </c>
      <c r="C37" s="15" t="s">
        <v>62</v>
      </c>
      <c r="D37" s="17">
        <v>0.58168617743434403</v>
      </c>
      <c r="E37" s="4">
        <v>0.35732775119617227</v>
      </c>
      <c r="F37" s="4">
        <v>0.68203250781645919</v>
      </c>
      <c r="G37" s="6">
        <v>0.75270656840544603</v>
      </c>
      <c r="H37" s="6">
        <v>0.5346778823192988</v>
      </c>
      <c r="I37" s="90">
        <v>0.46474341345861814</v>
      </c>
      <c r="J37" s="90">
        <v>0.58687301058241936</v>
      </c>
      <c r="K37" s="90">
        <v>0.74932007367582021</v>
      </c>
      <c r="M37" s="5">
        <v>0.28233333333333333</v>
      </c>
      <c r="N37" s="5">
        <v>2.2966507177033493E-2</v>
      </c>
      <c r="O37" s="5">
        <v>0.28000000000000003</v>
      </c>
      <c r="P37" s="5">
        <v>0.29333333333333345</v>
      </c>
      <c r="Q37" s="5">
        <v>0.72533333333333339</v>
      </c>
      <c r="R37" s="5">
        <v>0.54</v>
      </c>
      <c r="T37" s="5">
        <v>0.71575</v>
      </c>
      <c r="U37" s="5">
        <v>0.89300000000000002</v>
      </c>
      <c r="V37" s="5">
        <v>0.99334044205492111</v>
      </c>
      <c r="W37" s="5">
        <v>0.17096661084130546</v>
      </c>
      <c r="X37" s="5">
        <v>0.31913799400252918</v>
      </c>
      <c r="Y37" s="5">
        <v>1</v>
      </c>
      <c r="AA37" s="5">
        <v>0.40833333333333333</v>
      </c>
      <c r="AB37" s="5">
        <v>0.98360000000000003</v>
      </c>
      <c r="AC37" s="5">
        <v>0.68257999999999996</v>
      </c>
      <c r="AD37" s="5">
        <v>0.98950682056663164</v>
      </c>
      <c r="AE37" s="5">
        <v>0.4522192565327115</v>
      </c>
      <c r="AF37" s="5">
        <v>1</v>
      </c>
      <c r="AH37" s="5">
        <v>0</v>
      </c>
      <c r="AI37" s="5">
        <v>0</v>
      </c>
      <c r="AJ37" s="5">
        <v>0.97199999999999998</v>
      </c>
      <c r="AK37" s="5">
        <v>0.99</v>
      </c>
      <c r="AL37" s="5">
        <v>0.35046728971962615</v>
      </c>
      <c r="AM37" s="5">
        <v>0.89560000419616703</v>
      </c>
    </row>
    <row r="38" spans="1:39">
      <c r="A38" s="82">
        <f t="shared" si="18"/>
        <v>3</v>
      </c>
      <c r="B38" s="16" t="s">
        <v>63</v>
      </c>
      <c r="C38" s="15" t="s">
        <v>64</v>
      </c>
      <c r="D38" s="17">
        <v>0.45840371225212079</v>
      </c>
      <c r="E38" s="4">
        <v>0.39264648970804455</v>
      </c>
      <c r="F38" s="4">
        <v>0.50715279770631161</v>
      </c>
      <c r="G38" s="6">
        <v>0.53626504517830675</v>
      </c>
      <c r="H38" s="6">
        <v>0.39755051641582045</v>
      </c>
      <c r="I38" s="90">
        <v>0.42893142310304455</v>
      </c>
      <c r="J38" s="90">
        <v>0.41300150895644799</v>
      </c>
      <c r="K38" s="90">
        <v>0.57071545091924458</v>
      </c>
      <c r="M38" s="5">
        <v>0.6087499999999999</v>
      </c>
      <c r="N38" s="5">
        <v>4.5872715816005043E-3</v>
      </c>
      <c r="O38" s="5">
        <v>0.39</v>
      </c>
      <c r="P38" s="5">
        <v>0.24520833333333347</v>
      </c>
      <c r="Q38" s="5">
        <v>0.39733333333333332</v>
      </c>
      <c r="R38" s="5">
        <v>0.71</v>
      </c>
      <c r="T38" s="5">
        <v>0.54241666666666666</v>
      </c>
      <c r="U38" s="5">
        <v>0.77819999999999989</v>
      </c>
      <c r="V38" s="5">
        <v>0.94251068376070513</v>
      </c>
      <c r="W38" s="5">
        <v>7.2351323661405356E-2</v>
      </c>
      <c r="X38" s="5">
        <v>1.7438112149093136E-2</v>
      </c>
      <c r="Y38" s="5">
        <v>0.69000000000000006</v>
      </c>
      <c r="AA38" s="5">
        <v>0.76666666666666661</v>
      </c>
      <c r="AB38" s="5">
        <v>0.92771999999999999</v>
      </c>
      <c r="AC38" s="5">
        <v>0.46997560975609753</v>
      </c>
      <c r="AD38" s="5">
        <v>0.74051123160340826</v>
      </c>
      <c r="AE38" s="5">
        <v>9.0910351045003654E-2</v>
      </c>
      <c r="AF38" s="5">
        <v>0.22180641199866491</v>
      </c>
      <c r="AH38" s="5">
        <v>4.8000000000000001E-2</v>
      </c>
      <c r="AI38" s="5">
        <v>0.23871618579928555</v>
      </c>
      <c r="AJ38" s="5">
        <v>0.76</v>
      </c>
      <c r="AK38" s="5">
        <v>0.32500832631824639</v>
      </c>
      <c r="AL38" s="5">
        <v>7.6478585995921139E-2</v>
      </c>
      <c r="AM38" s="5">
        <v>0.93710000038146968</v>
      </c>
    </row>
    <row r="39" spans="1:39">
      <c r="A39" s="82">
        <f t="shared" si="18"/>
        <v>3</v>
      </c>
      <c r="B39" s="16" t="s">
        <v>65</v>
      </c>
      <c r="C39" s="15" t="s">
        <v>66</v>
      </c>
      <c r="D39" s="17">
        <v>0.4294331458278875</v>
      </c>
      <c r="E39" s="4">
        <v>0.28703229227476162</v>
      </c>
      <c r="F39" s="4">
        <v>0.4622402438719056</v>
      </c>
      <c r="G39" s="6">
        <v>0.57836766465679446</v>
      </c>
      <c r="H39" s="6">
        <v>0.39009238250808836</v>
      </c>
      <c r="I39" s="90">
        <v>0.33872554860553178</v>
      </c>
      <c r="J39" s="90">
        <v>0.39751857919549832</v>
      </c>
      <c r="K39" s="90">
        <v>0.61336639161000484</v>
      </c>
      <c r="M39" s="5">
        <v>0.32958333333333334</v>
      </c>
      <c r="N39" s="5">
        <v>3.3604203152364275E-3</v>
      </c>
      <c r="O39" s="5">
        <v>0.26</v>
      </c>
      <c r="P39" s="5">
        <v>0.26791666666666669</v>
      </c>
      <c r="Q39" s="5">
        <v>0.33133333333333331</v>
      </c>
      <c r="R39" s="5">
        <v>0.53</v>
      </c>
      <c r="T39" s="5">
        <v>0.44400000000000001</v>
      </c>
      <c r="U39" s="5">
        <v>0.42420000000000002</v>
      </c>
      <c r="V39" s="5">
        <v>0.98428668478965831</v>
      </c>
      <c r="W39" s="5">
        <v>0.13452269812998027</v>
      </c>
      <c r="X39" s="5">
        <v>0.26643208031179499</v>
      </c>
      <c r="Y39" s="5">
        <v>0.52</v>
      </c>
      <c r="AA39" s="5">
        <v>0.20833333333333315</v>
      </c>
      <c r="AB39" s="5">
        <v>0.86440000000000006</v>
      </c>
      <c r="AC39" s="5">
        <v>0.67288878048780476</v>
      </c>
      <c r="AD39" s="5">
        <v>0.93030794165316044</v>
      </c>
      <c r="AE39" s="5">
        <v>8.1253048083902601E-2</v>
      </c>
      <c r="AF39" s="5">
        <v>0.71302288438256567</v>
      </c>
      <c r="AH39" s="5">
        <v>1.2E-2</v>
      </c>
      <c r="AI39" s="5">
        <v>2.8944314952209001E-2</v>
      </c>
      <c r="AJ39" s="5">
        <v>0.70599999999999996</v>
      </c>
      <c r="AK39" s="5">
        <v>0.66144401461859959</v>
      </c>
      <c r="AL39" s="5">
        <v>1.5865964333312176E-2</v>
      </c>
      <c r="AM39" s="5">
        <v>0.91630000114440924</v>
      </c>
    </row>
    <row r="40" spans="1:39">
      <c r="A40" s="82">
        <f t="shared" si="18"/>
        <v>3</v>
      </c>
      <c r="B40" s="16" t="s">
        <v>67</v>
      </c>
      <c r="C40" s="15" t="s">
        <v>68</v>
      </c>
      <c r="D40" s="17">
        <v>0.20606597559683576</v>
      </c>
      <c r="E40" s="4">
        <v>0.19407531842662787</v>
      </c>
      <c r="F40" s="4">
        <v>0.25043859226301468</v>
      </c>
      <c r="G40" s="6">
        <v>0.20653679039920547</v>
      </c>
      <c r="H40" s="6">
        <v>0.17321320129849505</v>
      </c>
      <c r="I40" s="90">
        <v>0.30676258913191207</v>
      </c>
      <c r="J40" s="90">
        <v>0.16338360080545963</v>
      </c>
      <c r="K40" s="90">
        <v>0.11904461748128553</v>
      </c>
      <c r="M40" s="5">
        <v>0.2729166666666667</v>
      </c>
      <c r="N40" s="5">
        <v>1.5840799448656098E-2</v>
      </c>
      <c r="O40" s="5">
        <v>0</v>
      </c>
      <c r="P40" s="5">
        <v>0.87569444444444455</v>
      </c>
      <c r="Q40" s="5">
        <v>0</v>
      </c>
      <c r="R40" s="5">
        <v>0</v>
      </c>
      <c r="T40" s="5">
        <v>0.19575000000000001</v>
      </c>
      <c r="U40" s="5">
        <v>0.19500000000000001</v>
      </c>
      <c r="V40" s="5">
        <v>0.63423217945008603</v>
      </c>
      <c r="W40" s="5">
        <v>0.35247963482046474</v>
      </c>
      <c r="X40" s="5">
        <v>0.12516973930753722</v>
      </c>
      <c r="Y40" s="5">
        <v>0</v>
      </c>
      <c r="AA40" s="5">
        <v>0.92499999999999971</v>
      </c>
      <c r="AB40" s="5">
        <v>0.11947199999999991</v>
      </c>
      <c r="AC40" s="5">
        <v>7.5585365853658271E-2</v>
      </c>
      <c r="AD40" s="5">
        <v>0.11471321695760599</v>
      </c>
      <c r="AE40" s="5">
        <v>0</v>
      </c>
      <c r="AF40" s="5">
        <v>4.450159583968937E-3</v>
      </c>
      <c r="AH40" s="5">
        <v>2.2000000000000002E-2</v>
      </c>
      <c r="AI40" s="5">
        <v>4.2564618421112324E-2</v>
      </c>
      <c r="AJ40" s="5">
        <v>0</v>
      </c>
      <c r="AK40" s="5">
        <v>0.37110523939067919</v>
      </c>
      <c r="AL40" s="5">
        <v>2.3093392980268346E-3</v>
      </c>
      <c r="AM40" s="5">
        <v>0.60130001068115191</v>
      </c>
    </row>
    <row r="41" spans="1:39">
      <c r="A41" s="82">
        <f t="shared" si="18"/>
        <v>3</v>
      </c>
      <c r="B41" s="16" t="s">
        <v>69</v>
      </c>
      <c r="C41" s="15" t="s">
        <v>70</v>
      </c>
      <c r="D41" s="17">
        <v>0.31093515661327192</v>
      </c>
      <c r="E41" s="4">
        <v>0.24602083333333333</v>
      </c>
      <c r="F41" s="4">
        <v>0.52157098847345162</v>
      </c>
      <c r="G41" s="6">
        <v>0.33624184348143499</v>
      </c>
      <c r="H41" s="6">
        <v>0.1399069611648677</v>
      </c>
      <c r="I41" s="90">
        <v>0.29251109115008089</v>
      </c>
      <c r="J41" s="90">
        <v>0.30251821500797149</v>
      </c>
      <c r="K41" s="90">
        <v>0.35119666721600901</v>
      </c>
      <c r="M41" s="5">
        <v>0.53708333333333336</v>
      </c>
      <c r="N41" s="5">
        <v>6.7666666666666667E-2</v>
      </c>
      <c r="O41" s="5">
        <v>0.16000000000000003</v>
      </c>
      <c r="P41" s="5">
        <v>0.18937499999999996</v>
      </c>
      <c r="Q41" s="5">
        <v>6.2E-2</v>
      </c>
      <c r="R41" s="5">
        <v>0.45999999999999996</v>
      </c>
      <c r="T41" s="5">
        <v>0.62008333333333332</v>
      </c>
      <c r="U41" s="5">
        <v>0.39640000000000003</v>
      </c>
      <c r="V41" s="5">
        <v>0.98133333333333328</v>
      </c>
      <c r="W41" s="5">
        <v>0.15647664516824661</v>
      </c>
      <c r="X41" s="5">
        <v>0.81513261900579659</v>
      </c>
      <c r="Y41" s="5">
        <v>0.16</v>
      </c>
      <c r="AA41" s="5">
        <v>0.20833333333333315</v>
      </c>
      <c r="AB41" s="5">
        <v>0.87152000000000007</v>
      </c>
      <c r="AC41" s="5">
        <v>0.27371268292682882</v>
      </c>
      <c r="AD41" s="5">
        <v>0.51824817518248179</v>
      </c>
      <c r="AE41" s="5">
        <v>7.3502882410073744E-2</v>
      </c>
      <c r="AF41" s="5">
        <v>7.2133987035892341E-2</v>
      </c>
      <c r="AH41" s="5">
        <v>0.107</v>
      </c>
      <c r="AI41" s="5">
        <v>0.12684177614447917</v>
      </c>
      <c r="AJ41" s="5">
        <v>0.29599999999999993</v>
      </c>
      <c r="AK41" s="5">
        <v>0</v>
      </c>
      <c r="AL41" s="5">
        <v>0</v>
      </c>
      <c r="AM41" s="5">
        <v>0.309599990844727</v>
      </c>
    </row>
    <row r="42" spans="1:39">
      <c r="A42" s="82">
        <f t="shared" ref="A42:A73" si="19">27-COUNT(M42:AM42)</f>
        <v>3</v>
      </c>
      <c r="B42" s="16" t="s">
        <v>71</v>
      </c>
      <c r="C42" s="15" t="s">
        <v>72</v>
      </c>
      <c r="D42" s="17">
        <v>0.57549936284035941</v>
      </c>
      <c r="E42" s="4">
        <v>0.32278774879450084</v>
      </c>
      <c r="F42" s="4">
        <v>0.77770753792538239</v>
      </c>
      <c r="G42" s="6">
        <v>0.74376112673279826</v>
      </c>
      <c r="H42" s="6">
        <v>0.45774103790875609</v>
      </c>
      <c r="I42" s="90">
        <v>0.55304186483165874</v>
      </c>
      <c r="J42" s="90">
        <v>0.48102357719812133</v>
      </c>
      <c r="K42" s="90">
        <v>0.75089928831676733</v>
      </c>
      <c r="M42" s="5">
        <v>0.3148333333333333</v>
      </c>
      <c r="N42" s="5">
        <v>4.6260387811634344E-4</v>
      </c>
      <c r="O42" s="5">
        <v>0.32999999999999996</v>
      </c>
      <c r="P42" s="5">
        <v>0.29076388888888882</v>
      </c>
      <c r="Q42" s="5">
        <v>0.34066666666666667</v>
      </c>
      <c r="R42" s="5">
        <v>0.65999999999999992</v>
      </c>
      <c r="T42" s="5">
        <v>1</v>
      </c>
      <c r="U42" s="5">
        <v>0.61259999999999992</v>
      </c>
      <c r="V42" s="5">
        <v>0.99946969696969701</v>
      </c>
      <c r="W42" s="5">
        <v>1</v>
      </c>
      <c r="X42" s="5">
        <v>0.22417553058259723</v>
      </c>
      <c r="Y42" s="5">
        <v>0.83000000000000007</v>
      </c>
      <c r="AA42" s="5">
        <v>0.40833333333333333</v>
      </c>
      <c r="AB42" s="5">
        <v>0.96399999999999997</v>
      </c>
      <c r="AC42" s="5">
        <v>0.75394243902439018</v>
      </c>
      <c r="AD42" s="5">
        <v>1</v>
      </c>
      <c r="AE42" s="5">
        <v>0.40430739413254912</v>
      </c>
      <c r="AF42" s="5">
        <v>0.9319835939065173</v>
      </c>
      <c r="AH42" s="5">
        <v>0</v>
      </c>
      <c r="AI42" s="5">
        <v>0</v>
      </c>
      <c r="AJ42" s="5">
        <v>0.94899999999999995</v>
      </c>
      <c r="AK42" s="5">
        <v>0.81</v>
      </c>
      <c r="AL42" s="5">
        <v>1.4446227929373995E-2</v>
      </c>
      <c r="AM42" s="5">
        <v>0.97299999952316285</v>
      </c>
    </row>
    <row r="43" spans="1:39">
      <c r="A43" s="82">
        <f t="shared" si="19"/>
        <v>3</v>
      </c>
      <c r="B43" s="16" t="s">
        <v>73</v>
      </c>
      <c r="C43" s="15" t="s">
        <v>74</v>
      </c>
      <c r="D43" s="17">
        <v>0.5332733740323542</v>
      </c>
      <c r="E43" s="4">
        <v>0.38831136950904394</v>
      </c>
      <c r="F43" s="4">
        <v>0.58874381908813633</v>
      </c>
      <c r="G43" s="6">
        <v>0.66241081919971168</v>
      </c>
      <c r="H43" s="6">
        <v>0.49362748833252484</v>
      </c>
      <c r="I43" s="90">
        <v>0.37743389031627461</v>
      </c>
      <c r="J43" s="90">
        <v>0.47449849099827307</v>
      </c>
      <c r="K43" s="90">
        <v>0.85519492415759502</v>
      </c>
      <c r="M43" s="5">
        <v>0.12975000000000003</v>
      </c>
      <c r="N43" s="5">
        <v>8.5348837209302322E-3</v>
      </c>
      <c r="O43" s="5">
        <v>0.5</v>
      </c>
      <c r="P43" s="5">
        <v>0.36958333333333326</v>
      </c>
      <c r="Q43" s="5">
        <v>0.41199999999999998</v>
      </c>
      <c r="R43" s="5">
        <v>0.91</v>
      </c>
      <c r="T43" s="5">
        <v>0.63950000000000007</v>
      </c>
      <c r="U43" s="5">
        <v>0.72860000000000003</v>
      </c>
      <c r="V43" s="5">
        <v>0.99984466689678975</v>
      </c>
      <c r="W43" s="5">
        <v>7.997341606544707E-2</v>
      </c>
      <c r="X43" s="5">
        <v>8.4544831566580714E-2</v>
      </c>
      <c r="Y43" s="5">
        <v>1</v>
      </c>
      <c r="AA43" s="5">
        <v>0.20833333333333315</v>
      </c>
      <c r="AB43" s="5">
        <v>0.97599999999999998</v>
      </c>
      <c r="AC43" s="5">
        <v>0.72132487804878043</v>
      </c>
      <c r="AD43" s="5">
        <v>1</v>
      </c>
      <c r="AE43" s="5">
        <v>6.8806703816156611E-2</v>
      </c>
      <c r="AF43" s="5">
        <v>1</v>
      </c>
      <c r="AH43" s="5">
        <v>0</v>
      </c>
      <c r="AI43" s="5">
        <v>0</v>
      </c>
      <c r="AJ43" s="5">
        <v>0.96499999999999997</v>
      </c>
      <c r="AK43" s="5">
        <v>1</v>
      </c>
      <c r="AL43" s="5">
        <v>4.7649301143583237E-3</v>
      </c>
      <c r="AM43" s="5">
        <v>0.99199999988079068</v>
      </c>
    </row>
    <row r="44" spans="1:39">
      <c r="A44" s="82">
        <f t="shared" si="19"/>
        <v>3</v>
      </c>
      <c r="B44" s="16" t="s">
        <v>75</v>
      </c>
      <c r="C44" s="15" t="s">
        <v>76</v>
      </c>
      <c r="D44" s="17">
        <v>0.22709881832124362</v>
      </c>
      <c r="E44" s="4">
        <v>0.12844109524383385</v>
      </c>
      <c r="F44" s="4">
        <v>0.23785160774947722</v>
      </c>
      <c r="G44" s="6">
        <v>0.25377853529151645</v>
      </c>
      <c r="H44" s="6">
        <v>0.28832403500014708</v>
      </c>
      <c r="I44" s="90">
        <v>0.21931611108830787</v>
      </c>
      <c r="J44" s="90">
        <v>0.36207011395385297</v>
      </c>
      <c r="K44" s="90">
        <v>3.6315935721733299E-2</v>
      </c>
      <c r="M44" s="5">
        <v>0.53191666666666659</v>
      </c>
      <c r="N44" s="5">
        <v>1.229934924078091E-2</v>
      </c>
      <c r="O44" s="5">
        <v>4.0000000000000036E-2</v>
      </c>
      <c r="P44" s="5">
        <v>0.1457638888888888</v>
      </c>
      <c r="Q44" s="5">
        <v>6.6666666666666664E-4</v>
      </c>
      <c r="R44" s="5">
        <v>4.0000000000000036E-2</v>
      </c>
      <c r="T44" s="5">
        <v>0.505</v>
      </c>
      <c r="U44" s="5">
        <v>0.11280000000000005</v>
      </c>
      <c r="V44" s="5">
        <v>0</v>
      </c>
      <c r="W44" s="5">
        <v>0.22462246380185422</v>
      </c>
      <c r="X44" s="5">
        <v>0.58468718269500908</v>
      </c>
      <c r="Y44" s="5">
        <v>0</v>
      </c>
      <c r="AA44" s="5">
        <v>0.31666666666666676</v>
      </c>
      <c r="AB44" s="5">
        <v>0.89825211810012839</v>
      </c>
      <c r="AC44" s="5">
        <v>0.12546341463414623</v>
      </c>
      <c r="AD44" s="5">
        <v>0.16962524654832348</v>
      </c>
      <c r="AE44" s="5">
        <v>2.315661035806526E-4</v>
      </c>
      <c r="AF44" s="5">
        <v>1.2432199696253471E-2</v>
      </c>
      <c r="AH44" s="5">
        <v>3.5000000000000003E-2</v>
      </c>
      <c r="AI44" s="5">
        <v>2.2132395288207669E-2</v>
      </c>
      <c r="AJ44" s="5">
        <v>1.5000000000000013E-2</v>
      </c>
      <c r="AK44" s="5">
        <v>0.82956175511969843</v>
      </c>
      <c r="AL44" s="5">
        <v>3.0250067222371606E-2</v>
      </c>
      <c r="AM44" s="5">
        <v>0.79799999237060504</v>
      </c>
    </row>
    <row r="45" spans="1:39">
      <c r="A45" s="82">
        <f t="shared" si="19"/>
        <v>3</v>
      </c>
      <c r="B45" s="16" t="s">
        <v>77</v>
      </c>
      <c r="C45" s="15" t="s">
        <v>78</v>
      </c>
      <c r="D45" s="17">
        <v>0.23589487564647696</v>
      </c>
      <c r="E45" s="4">
        <v>0.29261945748565471</v>
      </c>
      <c r="F45" s="4">
        <v>0.17834088701265127</v>
      </c>
      <c r="G45" s="6">
        <v>0.33471067597939635</v>
      </c>
      <c r="H45" s="6">
        <v>0.13790848210820547</v>
      </c>
      <c r="I45" s="90">
        <v>0.24977801346603057</v>
      </c>
      <c r="J45" s="90">
        <v>0.27168996136846113</v>
      </c>
      <c r="K45" s="90">
        <v>0.16137754033417015</v>
      </c>
      <c r="M45" s="5">
        <v>0.34924999999999995</v>
      </c>
      <c r="N45" s="5">
        <v>0.19510563380281687</v>
      </c>
      <c r="O45" s="5">
        <v>0.10999999999999999</v>
      </c>
      <c r="P45" s="5">
        <v>0.61402777777777806</v>
      </c>
      <c r="Q45" s="5">
        <v>3.7333333333333336E-2</v>
      </c>
      <c r="R45" s="5">
        <v>0.44999999999999996</v>
      </c>
      <c r="T45" s="5">
        <v>0.20825000000000002</v>
      </c>
      <c r="U45" s="5">
        <v>0.56000000000000005</v>
      </c>
      <c r="V45" s="5">
        <v>3.8137798150500446E-2</v>
      </c>
      <c r="W45" s="5">
        <v>0.12047253262571064</v>
      </c>
      <c r="X45" s="5">
        <v>2.3184991299696433E-2</v>
      </c>
      <c r="Y45" s="5">
        <v>0.12</v>
      </c>
      <c r="AA45" s="5">
        <v>0.76666666666666661</v>
      </c>
      <c r="AB45" s="5">
        <v>0.83299999999999996</v>
      </c>
      <c r="AC45" s="5">
        <v>0.23377902439024378</v>
      </c>
      <c r="AD45" s="5">
        <v>0.15846994535519127</v>
      </c>
      <c r="AE45" s="5">
        <v>0</v>
      </c>
      <c r="AF45" s="5">
        <v>1.6348419464276627E-2</v>
      </c>
      <c r="AH45" s="5">
        <v>1.2E-2</v>
      </c>
      <c r="AI45" s="5">
        <v>0.11397905071264958</v>
      </c>
      <c r="AJ45" s="5">
        <v>5.9999999999998943E-3</v>
      </c>
      <c r="AK45" s="5">
        <v>0.21760664316765432</v>
      </c>
      <c r="AL45" s="5">
        <v>1.2865198768929132E-2</v>
      </c>
      <c r="AM45" s="5">
        <v>0.46499999999999997</v>
      </c>
    </row>
    <row r="46" spans="1:39">
      <c r="A46" s="82">
        <f t="shared" si="19"/>
        <v>3</v>
      </c>
      <c r="B46" s="16" t="s">
        <v>79</v>
      </c>
      <c r="C46" s="15" t="s">
        <v>80</v>
      </c>
      <c r="D46" s="17">
        <v>0.25151536180487233</v>
      </c>
      <c r="E46" s="4">
        <v>0.16650510301577376</v>
      </c>
      <c r="F46" s="4">
        <v>0.30337584554798341</v>
      </c>
      <c r="G46" s="6">
        <v>0.28888126159602523</v>
      </c>
      <c r="H46" s="6">
        <v>0.24729923705970691</v>
      </c>
      <c r="I46" s="90">
        <v>0.20306862573399947</v>
      </c>
      <c r="J46" s="90">
        <v>0.35065106455606776</v>
      </c>
      <c r="K46" s="90">
        <v>0.17548191178438843</v>
      </c>
      <c r="M46" s="5">
        <v>0.3653333333333334</v>
      </c>
      <c r="N46" s="5">
        <v>5.9333958724202629E-3</v>
      </c>
      <c r="O46" s="5">
        <v>7.999999999999996E-2</v>
      </c>
      <c r="P46" s="5">
        <v>0.26576388888888891</v>
      </c>
      <c r="Q46" s="5">
        <v>2.1999999999999999E-2</v>
      </c>
      <c r="R46" s="5">
        <v>0.26</v>
      </c>
      <c r="T46" s="5">
        <v>0.48833333333333334</v>
      </c>
      <c r="U46" s="5">
        <v>0.25200000000000011</v>
      </c>
      <c r="V46" s="5">
        <v>0.3621504529342261</v>
      </c>
      <c r="W46" s="5">
        <v>5.0116847227495653E-2</v>
      </c>
      <c r="X46" s="5">
        <v>0.60765443979284517</v>
      </c>
      <c r="Y46" s="5">
        <v>0.06</v>
      </c>
      <c r="AA46" s="5">
        <v>0.31666666666666676</v>
      </c>
      <c r="AB46" s="5">
        <v>0.89880000000000004</v>
      </c>
      <c r="AC46" s="5">
        <v>0.23582487804878038</v>
      </c>
      <c r="AD46" s="5">
        <v>0.22654867256637168</v>
      </c>
      <c r="AE46" s="5">
        <v>5.3121257100809702E-4</v>
      </c>
      <c r="AF46" s="5">
        <v>5.4916139723324306E-2</v>
      </c>
      <c r="AH46" s="5">
        <v>1.3000000000000001E-2</v>
      </c>
      <c r="AI46" s="5">
        <v>3.5307722344131445E-2</v>
      </c>
      <c r="AJ46" s="5">
        <v>6.4000000000000057E-2</v>
      </c>
      <c r="AK46" s="5">
        <v>0.47763280660950758</v>
      </c>
      <c r="AL46" s="5">
        <v>3.7854889589905363E-2</v>
      </c>
      <c r="AM46" s="5">
        <v>0.85600000381469699</v>
      </c>
    </row>
    <row r="47" spans="1:39">
      <c r="A47" s="82">
        <f t="shared" si="19"/>
        <v>3</v>
      </c>
      <c r="B47" s="16" t="s">
        <v>81</v>
      </c>
      <c r="C47" s="15" t="s">
        <v>82</v>
      </c>
      <c r="D47" s="17">
        <v>0.43305258872013791</v>
      </c>
      <c r="E47" s="4">
        <v>0.25009722222222225</v>
      </c>
      <c r="F47" s="4">
        <v>0.63703891076350383</v>
      </c>
      <c r="G47" s="6">
        <v>0.45668431411203358</v>
      </c>
      <c r="H47" s="6">
        <v>0.38838990778279198</v>
      </c>
      <c r="I47" s="90">
        <v>0.39523323430777652</v>
      </c>
      <c r="J47" s="90">
        <v>0.39536771527989317</v>
      </c>
      <c r="K47" s="90">
        <v>0.54630893049904705</v>
      </c>
      <c r="M47" s="5">
        <v>0.54800000000000004</v>
      </c>
      <c r="N47" s="5">
        <v>8.3333333333333332E-3</v>
      </c>
      <c r="O47" s="5">
        <v>5.0000000000000044E-2</v>
      </c>
      <c r="P47" s="5">
        <v>0.13624999999999998</v>
      </c>
      <c r="Q47" s="5">
        <v>0.11799999999999999</v>
      </c>
      <c r="R47" s="5">
        <v>0.64</v>
      </c>
      <c r="T47" s="5">
        <v>0.44466666666666665</v>
      </c>
      <c r="U47" s="5">
        <v>0.71860000000000002</v>
      </c>
      <c r="V47" s="5">
        <v>1</v>
      </c>
      <c r="W47" s="5">
        <v>6.1339156300569866E-2</v>
      </c>
      <c r="X47" s="5">
        <v>0.74762764161378592</v>
      </c>
      <c r="Y47" s="5">
        <v>0.85</v>
      </c>
      <c r="AA47" s="5">
        <v>0.20833333333333315</v>
      </c>
      <c r="AB47" s="5">
        <v>0.93479999999999996</v>
      </c>
      <c r="AC47" s="5">
        <v>0.38482536585365867</v>
      </c>
      <c r="AD47" s="5">
        <v>0.70605833956619302</v>
      </c>
      <c r="AE47" s="5">
        <v>0.15306062877839335</v>
      </c>
      <c r="AF47" s="5">
        <v>0.35302821714062355</v>
      </c>
      <c r="AH47" s="5">
        <v>4.7E-2</v>
      </c>
      <c r="AI47" s="5">
        <v>0.1428878337935264</v>
      </c>
      <c r="AJ47" s="5">
        <v>0.59899999999999998</v>
      </c>
      <c r="AK47" s="5">
        <v>0.5</v>
      </c>
      <c r="AL47" s="5">
        <v>0.80645161290322576</v>
      </c>
      <c r="AM47" s="5">
        <v>0.23499999999999999</v>
      </c>
    </row>
    <row r="48" spans="1:39">
      <c r="A48" s="82">
        <f t="shared" si="19"/>
        <v>3</v>
      </c>
      <c r="B48" s="16" t="s">
        <v>83</v>
      </c>
      <c r="C48" s="15" t="s">
        <v>84</v>
      </c>
      <c r="D48" s="17">
        <v>0.43995704404760982</v>
      </c>
      <c r="E48" s="4">
        <v>0.31027310363247862</v>
      </c>
      <c r="F48" s="4">
        <v>0.58186002612840093</v>
      </c>
      <c r="G48" s="6">
        <v>0.58756535435128032</v>
      </c>
      <c r="H48" s="6">
        <v>0.28012969207827948</v>
      </c>
      <c r="I48" s="90">
        <v>0.41284964803517255</v>
      </c>
      <c r="J48" s="90">
        <v>0.3703534341599935</v>
      </c>
      <c r="K48" s="90">
        <v>0.58502355289769026</v>
      </c>
      <c r="M48" s="5">
        <v>0.4690833333333333</v>
      </c>
      <c r="N48" s="5">
        <v>5.5288461538461539E-5</v>
      </c>
      <c r="O48" s="5">
        <v>0.29000000000000004</v>
      </c>
      <c r="P48" s="5">
        <v>0.25583333333333336</v>
      </c>
      <c r="Q48" s="5">
        <v>0.14666666666666667</v>
      </c>
      <c r="R48" s="5">
        <v>0.7</v>
      </c>
      <c r="T48" s="5">
        <v>1</v>
      </c>
      <c r="U48" s="5">
        <v>0.38280000000000003</v>
      </c>
      <c r="V48" s="5">
        <v>0.97765923023193857</v>
      </c>
      <c r="W48" s="5">
        <v>1.7465752416823604E-2</v>
      </c>
      <c r="X48" s="5">
        <v>0.84323517412164317</v>
      </c>
      <c r="Y48" s="5">
        <v>0.27</v>
      </c>
      <c r="AA48" s="5">
        <v>0.40833333333333333</v>
      </c>
      <c r="AB48" s="5">
        <v>0.93059999999999998</v>
      </c>
      <c r="AC48" s="5">
        <v>0.62577999999999989</v>
      </c>
      <c r="AD48" s="5">
        <v>0.84236153377967138</v>
      </c>
      <c r="AE48" s="5">
        <v>7.1615171840474737E-2</v>
      </c>
      <c r="AF48" s="5">
        <v>0.64670208715420274</v>
      </c>
      <c r="AH48" s="5">
        <v>5.0000000000000001E-3</v>
      </c>
      <c r="AI48" s="5">
        <v>2.9502723996677242E-2</v>
      </c>
      <c r="AJ48" s="5">
        <v>0.7</v>
      </c>
      <c r="AK48" s="5">
        <v>0</v>
      </c>
      <c r="AL48" s="5">
        <v>1.7569546120058562E-2</v>
      </c>
      <c r="AM48" s="5">
        <v>0.92870588235294116</v>
      </c>
    </row>
    <row r="49" spans="1:39">
      <c r="A49" s="82">
        <f t="shared" si="19"/>
        <v>13</v>
      </c>
      <c r="B49" s="16" t="s">
        <v>85</v>
      </c>
      <c r="C49" s="15" t="s">
        <v>86</v>
      </c>
      <c r="D49" s="17" t="e">
        <v>#N/A</v>
      </c>
      <c r="E49" s="4">
        <v>0.46312249285528712</v>
      </c>
      <c r="F49" s="4" t="e">
        <v>#N/A</v>
      </c>
      <c r="G49" s="6" t="e">
        <v>#N/A</v>
      </c>
      <c r="H49" s="6" t="e">
        <v>#N/A</v>
      </c>
      <c r="I49" s="90" t="e">
        <v>#N/A</v>
      </c>
      <c r="J49" s="90" t="e">
        <v>#N/A</v>
      </c>
      <c r="K49" s="90" t="e">
        <v>#N/A</v>
      </c>
      <c r="M49" s="5">
        <v>0.44966666666666677</v>
      </c>
      <c r="N49" s="5">
        <v>4.849571317225253E-4</v>
      </c>
      <c r="O49" s="5">
        <v>0.75</v>
      </c>
      <c r="P49" s="5">
        <v>0.30458333333333332</v>
      </c>
      <c r="Q49" s="5">
        <v>0.52400000000000002</v>
      </c>
      <c r="R49" s="5">
        <v>0.75</v>
      </c>
      <c r="T49" s="5" t="e">
        <v>#N/A</v>
      </c>
      <c r="U49" s="5" t="e">
        <v>#N/A</v>
      </c>
      <c r="V49" s="5">
        <v>1</v>
      </c>
      <c r="W49" s="5">
        <v>9.2308027596818554E-2</v>
      </c>
      <c r="X49" s="5">
        <v>0.27839178839037459</v>
      </c>
      <c r="Y49" s="5">
        <v>0.80999999999999994</v>
      </c>
      <c r="AA49" s="5">
        <v>0.40833333333333333</v>
      </c>
      <c r="AB49" s="5" t="e">
        <v>#N/A</v>
      </c>
      <c r="AC49" s="5" t="e">
        <v>#N/A</v>
      </c>
      <c r="AD49" s="5">
        <v>0.96881496881496887</v>
      </c>
      <c r="AE49" s="5" t="e">
        <v>#N/A</v>
      </c>
      <c r="AF49" s="5" t="e">
        <v>#N/A</v>
      </c>
      <c r="AH49" s="5">
        <v>0</v>
      </c>
      <c r="AI49" s="5">
        <v>3.6940300629197744E-4</v>
      </c>
      <c r="AJ49" s="5" t="e">
        <v>#N/A</v>
      </c>
      <c r="AK49" s="5" t="e">
        <v>#N/A</v>
      </c>
      <c r="AL49" s="5" t="e">
        <v>#N/A</v>
      </c>
      <c r="AM49" s="5" t="e">
        <v>#N/A</v>
      </c>
    </row>
    <row r="50" spans="1:39">
      <c r="A50" s="82">
        <f t="shared" si="19"/>
        <v>3</v>
      </c>
      <c r="B50" s="16" t="s">
        <v>87</v>
      </c>
      <c r="C50" s="15" t="s">
        <v>88</v>
      </c>
      <c r="D50" s="17">
        <v>0.31286918042988637</v>
      </c>
      <c r="E50" s="4">
        <v>0.14876788420983264</v>
      </c>
      <c r="F50" s="4">
        <v>0.50830349555951682</v>
      </c>
      <c r="G50" s="6">
        <v>0.24375792886914119</v>
      </c>
      <c r="H50" s="6">
        <v>0.3506474130810549</v>
      </c>
      <c r="I50" s="90">
        <v>0.35334081897413699</v>
      </c>
      <c r="J50" s="90">
        <v>0.43177211294842061</v>
      </c>
      <c r="K50" s="90">
        <v>7.3807323835709024E-2</v>
      </c>
      <c r="M50" s="5">
        <v>0.56950000000000001</v>
      </c>
      <c r="N50" s="5">
        <v>2.3843416370106764E-2</v>
      </c>
      <c r="O50" s="5">
        <v>3.0000000000000027E-2</v>
      </c>
      <c r="P50" s="5">
        <v>0.21659722222222233</v>
      </c>
      <c r="Q50" s="5">
        <v>2.6666666666666666E-3</v>
      </c>
      <c r="R50" s="5">
        <v>5.0000000000000044E-2</v>
      </c>
      <c r="T50" s="5">
        <v>0.49525000000000002</v>
      </c>
      <c r="U50" s="5">
        <v>0.36219999999999997</v>
      </c>
      <c r="V50" s="5">
        <v>0.18009422850412249</v>
      </c>
      <c r="W50" s="5">
        <v>1</v>
      </c>
      <c r="X50" s="5">
        <v>0.97227674485297777</v>
      </c>
      <c r="Y50" s="5">
        <v>0.04</v>
      </c>
      <c r="AA50" s="5">
        <v>0.31666666666666676</v>
      </c>
      <c r="AB50" s="5">
        <v>0.87280000000000002</v>
      </c>
      <c r="AC50" s="5">
        <v>0.11920243902439009</v>
      </c>
      <c r="AD50" s="5">
        <v>0.12877263581488935</v>
      </c>
      <c r="AE50" s="5">
        <v>1.5585562231595559E-3</v>
      </c>
      <c r="AF50" s="5">
        <v>2.354727548574153E-2</v>
      </c>
      <c r="AH50" s="5">
        <v>3.3000000000000002E-2</v>
      </c>
      <c r="AI50" s="5">
        <v>2.3556027702306456E-2</v>
      </c>
      <c r="AJ50" s="5">
        <v>9.000000000000008E-3</v>
      </c>
      <c r="AK50" s="5">
        <v>0.87984760472056822</v>
      </c>
      <c r="AL50" s="5">
        <v>0.41128084606345483</v>
      </c>
      <c r="AM50" s="5">
        <v>0.74719999999999998</v>
      </c>
    </row>
    <row r="51" spans="1:39">
      <c r="A51" s="82">
        <f t="shared" si="19"/>
        <v>3</v>
      </c>
      <c r="B51" s="16" t="s">
        <v>89</v>
      </c>
      <c r="C51" s="15" t="s">
        <v>90</v>
      </c>
      <c r="D51" s="17">
        <v>0.42118743211979009</v>
      </c>
      <c r="E51" s="4">
        <v>0.32841269319603056</v>
      </c>
      <c r="F51" s="4">
        <v>0.48330946213134146</v>
      </c>
      <c r="G51" s="6">
        <v>0.57825964455808654</v>
      </c>
      <c r="H51" s="6">
        <v>0.29476792859370199</v>
      </c>
      <c r="I51" s="90">
        <v>0.32896381922936813</v>
      </c>
      <c r="J51" s="90">
        <v>0.41439875262842724</v>
      </c>
      <c r="K51" s="90">
        <v>0.56970587069246748</v>
      </c>
      <c r="M51" s="5">
        <v>0.33633333333333337</v>
      </c>
      <c r="N51" s="5">
        <v>1.7365048065072716E-2</v>
      </c>
      <c r="O51" s="5">
        <v>0.19999999999999996</v>
      </c>
      <c r="P51" s="5">
        <v>0.27277777777777745</v>
      </c>
      <c r="Q51" s="5">
        <v>0.374</v>
      </c>
      <c r="R51" s="5">
        <v>0.77</v>
      </c>
      <c r="T51" s="5">
        <v>0.36491666666666667</v>
      </c>
      <c r="U51" s="5">
        <v>0.50559999999999994</v>
      </c>
      <c r="V51" s="5">
        <v>0.91510535714283336</v>
      </c>
      <c r="W51" s="5">
        <v>0.15065970995888719</v>
      </c>
      <c r="X51" s="5">
        <v>0.53357503901966175</v>
      </c>
      <c r="Y51" s="5">
        <v>0.43</v>
      </c>
      <c r="AA51" s="5">
        <v>0.40833333333333333</v>
      </c>
      <c r="AB51" s="5">
        <v>0.95584000000000002</v>
      </c>
      <c r="AC51" s="5">
        <v>0.54096439024390219</v>
      </c>
      <c r="AD51" s="5">
        <v>0.89593657086223988</v>
      </c>
      <c r="AE51" s="5">
        <v>0.10631809614097458</v>
      </c>
      <c r="AF51" s="5">
        <v>0.56216547676806894</v>
      </c>
      <c r="AH51" s="5">
        <v>0</v>
      </c>
      <c r="AI51" s="5">
        <v>6.3369439124179638E-2</v>
      </c>
      <c r="AJ51" s="5">
        <v>0.52700000000000002</v>
      </c>
      <c r="AK51" s="5">
        <v>0.25281770235722761</v>
      </c>
      <c r="AL51" s="5">
        <v>4.7169811320754715E-3</v>
      </c>
      <c r="AM51" s="5">
        <v>0.92070344894872924</v>
      </c>
    </row>
    <row r="52" spans="1:39">
      <c r="A52" s="82">
        <f t="shared" si="19"/>
        <v>3</v>
      </c>
      <c r="B52" s="16" t="s">
        <v>91</v>
      </c>
      <c r="C52" s="15" t="s">
        <v>92</v>
      </c>
      <c r="D52" s="17">
        <v>0.1888632673111259</v>
      </c>
      <c r="E52" s="4">
        <v>0.2009898959978936</v>
      </c>
      <c r="F52" s="4">
        <v>0.25971180062525401</v>
      </c>
      <c r="G52" s="6">
        <v>0.12648750141862644</v>
      </c>
      <c r="H52" s="6">
        <v>0.16826387120272954</v>
      </c>
      <c r="I52" s="90">
        <v>0.22323003582590331</v>
      </c>
      <c r="J52" s="90">
        <v>0.21156610838769899</v>
      </c>
      <c r="K52" s="90">
        <v>0.10325885292410004</v>
      </c>
      <c r="M52" s="5">
        <v>0.60099999999999998</v>
      </c>
      <c r="N52" s="5">
        <v>5.9810426540284371E-3</v>
      </c>
      <c r="O52" s="5">
        <v>1.0000000000000009E-2</v>
      </c>
      <c r="P52" s="5">
        <v>0.57895833333333313</v>
      </c>
      <c r="Q52" s="5">
        <v>0</v>
      </c>
      <c r="R52" s="5">
        <v>1.0000000000000009E-2</v>
      </c>
      <c r="T52" s="5">
        <v>0.28591666666666671</v>
      </c>
      <c r="U52" s="5">
        <v>0.42460000000000003</v>
      </c>
      <c r="V52" s="5">
        <v>0.41759906759906762</v>
      </c>
      <c r="W52" s="5">
        <v>0.31536193416039021</v>
      </c>
      <c r="X52" s="5">
        <v>0.11479313532539973</v>
      </c>
      <c r="Y52" s="5">
        <v>0</v>
      </c>
      <c r="AA52" s="5">
        <v>6.6666666666666541E-2</v>
      </c>
      <c r="AB52" s="5">
        <v>0.44661002438363595</v>
      </c>
      <c r="AC52" s="5">
        <v>0.17714634146341413</v>
      </c>
      <c r="AD52" s="5">
        <v>6.3694267515923567E-2</v>
      </c>
      <c r="AE52" s="5">
        <v>0</v>
      </c>
      <c r="AF52" s="5">
        <v>4.8077084821185143E-3</v>
      </c>
      <c r="AH52" s="5">
        <v>1.3999999999999999E-2</v>
      </c>
      <c r="AI52" s="5">
        <v>3.0071427716422433E-2</v>
      </c>
      <c r="AJ52" s="5">
        <v>0</v>
      </c>
      <c r="AK52" s="5">
        <v>0.75083934540980435</v>
      </c>
      <c r="AL52" s="5">
        <v>8.347245409015025E-2</v>
      </c>
      <c r="AM52" s="5">
        <v>0.13120000000000009</v>
      </c>
    </row>
    <row r="53" spans="1:39">
      <c r="A53" s="82">
        <f t="shared" si="19"/>
        <v>3</v>
      </c>
      <c r="B53" s="16" t="s">
        <v>93</v>
      </c>
      <c r="C53" s="15" t="s">
        <v>94</v>
      </c>
      <c r="D53" s="17">
        <v>0.27517823809311082</v>
      </c>
      <c r="E53" s="4">
        <v>0.19040614191053598</v>
      </c>
      <c r="F53" s="4">
        <v>0.43280070987472757</v>
      </c>
      <c r="G53" s="6">
        <v>0.21436248028150504</v>
      </c>
      <c r="H53" s="6">
        <v>0.26314362030567456</v>
      </c>
      <c r="I53" s="90">
        <v>0.35690971862567034</v>
      </c>
      <c r="J53" s="90">
        <v>0.27407484260595955</v>
      </c>
      <c r="K53" s="90">
        <v>0.15423611052499833</v>
      </c>
      <c r="M53" s="5">
        <v>0.63758333333333339</v>
      </c>
      <c r="N53" s="5">
        <v>0.19800629590766003</v>
      </c>
      <c r="O53" s="5">
        <v>6.0000000000000053E-2</v>
      </c>
      <c r="P53" s="5">
        <v>0.15618055555555577</v>
      </c>
      <c r="Q53" s="5">
        <v>6.6666666666666664E-4</v>
      </c>
      <c r="R53" s="5">
        <v>8.9999999999999969E-2</v>
      </c>
      <c r="T53" s="5">
        <v>0.71158333333333335</v>
      </c>
      <c r="U53" s="5">
        <v>0.24319999999999994</v>
      </c>
      <c r="V53" s="5">
        <v>0.59518001334319481</v>
      </c>
      <c r="W53" s="5">
        <v>0.2582904029894541</v>
      </c>
      <c r="X53" s="5">
        <v>0.74855050958238334</v>
      </c>
      <c r="Y53" s="5">
        <v>0.04</v>
      </c>
      <c r="AA53" s="5">
        <v>0.92499999999999971</v>
      </c>
      <c r="AB53" s="5">
        <v>5.2839999999999887E-2</v>
      </c>
      <c r="AC53" s="5">
        <v>0.12213024390243876</v>
      </c>
      <c r="AD53" s="5">
        <v>0.1669626998223801</v>
      </c>
      <c r="AE53" s="5">
        <v>1.1355320598551565E-3</v>
      </c>
      <c r="AF53" s="5">
        <v>1.8106405904356419E-2</v>
      </c>
      <c r="AH53" s="5">
        <v>0.19</v>
      </c>
      <c r="AI53" s="5">
        <v>0.13339407549196328</v>
      </c>
      <c r="AJ53" s="5">
        <v>3.0000000000000027E-2</v>
      </c>
      <c r="AK53" s="5">
        <v>0.57888050374510702</v>
      </c>
      <c r="AL53" s="5">
        <v>0.13658714259697688</v>
      </c>
      <c r="AM53" s="5">
        <v>0.51</v>
      </c>
    </row>
    <row r="54" spans="1:39">
      <c r="A54" s="82">
        <f t="shared" si="19"/>
        <v>3</v>
      </c>
      <c r="B54" s="16" t="s">
        <v>95</v>
      </c>
      <c r="C54" s="15" t="s">
        <v>96</v>
      </c>
      <c r="D54" s="17">
        <v>0.24934410750789912</v>
      </c>
      <c r="E54" s="4">
        <v>0.23305359686609686</v>
      </c>
      <c r="F54" s="4">
        <v>0.35555438180688076</v>
      </c>
      <c r="G54" s="6">
        <v>0.14096802940398453</v>
      </c>
      <c r="H54" s="6">
        <v>0.26780042195463427</v>
      </c>
      <c r="I54" s="90">
        <v>0.22590756522083766</v>
      </c>
      <c r="J54" s="90">
        <v>0.3928191735219817</v>
      </c>
      <c r="K54" s="90">
        <v>6.9286321917367236E-2</v>
      </c>
      <c r="M54" s="5">
        <v>0.75050000000000006</v>
      </c>
      <c r="N54" s="5">
        <v>0.23397435897435895</v>
      </c>
      <c r="O54" s="5">
        <v>0</v>
      </c>
      <c r="P54" s="5">
        <v>0.40451388888888884</v>
      </c>
      <c r="Q54" s="5">
        <v>9.3333333333333341E-3</v>
      </c>
      <c r="R54" s="5">
        <v>0</v>
      </c>
      <c r="T54" s="5">
        <v>0.23600000000000002</v>
      </c>
      <c r="U54" s="5">
        <v>0.2990000000000001</v>
      </c>
      <c r="V54" s="5">
        <v>0.30732200647249996</v>
      </c>
      <c r="W54" s="5">
        <v>0.29100428436878445</v>
      </c>
      <c r="X54" s="5">
        <v>1</v>
      </c>
      <c r="Y54" s="5">
        <v>0</v>
      </c>
      <c r="AA54" s="5">
        <v>6.6666666666666541E-2</v>
      </c>
      <c r="AB54" s="5">
        <v>0.58960000000000012</v>
      </c>
      <c r="AC54" s="5">
        <v>0.10462195121951201</v>
      </c>
      <c r="AD54" s="5">
        <v>8.1145584725536998E-2</v>
      </c>
      <c r="AE54" s="5">
        <v>0</v>
      </c>
      <c r="AF54" s="5">
        <v>3.7739738121914689E-3</v>
      </c>
      <c r="AH54" s="5">
        <v>4.0999999999999995E-2</v>
      </c>
      <c r="AI54" s="5">
        <v>8.1660770395557095E-2</v>
      </c>
      <c r="AJ54" s="5">
        <v>0</v>
      </c>
      <c r="AK54" s="5">
        <v>0.96790409899458618</v>
      </c>
      <c r="AL54" s="5">
        <v>0.16233766233766234</v>
      </c>
      <c r="AM54" s="5">
        <v>0.35389999999999999</v>
      </c>
    </row>
    <row r="55" spans="1:39">
      <c r="A55" s="82">
        <f t="shared" si="19"/>
        <v>3</v>
      </c>
      <c r="B55" s="16" t="s">
        <v>97</v>
      </c>
      <c r="C55" s="15" t="s">
        <v>98</v>
      </c>
      <c r="D55" s="17">
        <v>0.14450031755190063</v>
      </c>
      <c r="E55" s="4">
        <v>0.19080643571327985</v>
      </c>
      <c r="F55" s="4">
        <v>0.25003184199245826</v>
      </c>
      <c r="G55" s="6">
        <v>8.1283083089506616E-2</v>
      </c>
      <c r="H55" s="6">
        <v>5.5879909412357716E-2</v>
      </c>
      <c r="I55" s="90">
        <v>0.21912886648985547</v>
      </c>
      <c r="J55" s="90">
        <v>0.11114479397112589</v>
      </c>
      <c r="K55" s="90">
        <v>8.2590779516130433E-2</v>
      </c>
      <c r="M55" s="5">
        <v>0.41583333333333339</v>
      </c>
      <c r="N55" s="5">
        <v>0.14806083650190113</v>
      </c>
      <c r="O55" s="5">
        <v>0</v>
      </c>
      <c r="P55" s="5">
        <v>0.56027777777777787</v>
      </c>
      <c r="Q55" s="5">
        <v>6.6666666666666664E-4</v>
      </c>
      <c r="R55" s="5">
        <v>2.0000000000000018E-2</v>
      </c>
      <c r="T55" s="5">
        <v>0.23600000000000002</v>
      </c>
      <c r="U55" s="5">
        <v>0.26563986382780413</v>
      </c>
      <c r="V55" s="5">
        <v>0.31416532749591286</v>
      </c>
      <c r="W55" s="5">
        <v>0.56589458690510719</v>
      </c>
      <c r="X55" s="5">
        <v>0.11849127372592541</v>
      </c>
      <c r="Y55" s="5">
        <v>0</v>
      </c>
      <c r="AA55" s="5">
        <v>6.6666666666666541E-2</v>
      </c>
      <c r="AB55" s="5">
        <v>0.17099999999999993</v>
      </c>
      <c r="AC55" s="5">
        <v>0.15843902439024393</v>
      </c>
      <c r="AD55" s="5">
        <v>8.8652482269503549E-2</v>
      </c>
      <c r="AE55" s="5">
        <v>0</v>
      </c>
      <c r="AF55" s="5">
        <v>2.9403252106257574E-3</v>
      </c>
      <c r="AH55" s="5">
        <v>0</v>
      </c>
      <c r="AI55" s="5">
        <v>0</v>
      </c>
      <c r="AJ55" s="5">
        <v>0</v>
      </c>
      <c r="AK55" s="5">
        <v>0.29644450501783565</v>
      </c>
      <c r="AL55" s="5">
        <v>3.8834951456310683E-2</v>
      </c>
      <c r="AM55" s="5">
        <v>0</v>
      </c>
    </row>
    <row r="56" spans="1:39">
      <c r="A56" s="82">
        <f t="shared" si="19"/>
        <v>3</v>
      </c>
      <c r="B56" s="16" t="s">
        <v>99</v>
      </c>
      <c r="C56" s="15" t="s">
        <v>100</v>
      </c>
      <c r="D56" s="17">
        <v>0.1021688113806566</v>
      </c>
      <c r="E56" s="4">
        <v>0.15642685185185182</v>
      </c>
      <c r="F56" s="4">
        <v>0.12216970337032779</v>
      </c>
      <c r="G56" s="6">
        <v>5.0833791655603144E-2</v>
      </c>
      <c r="H56" s="6">
        <v>7.9244898644843631E-2</v>
      </c>
      <c r="I56" s="90">
        <v>0.15409298838549335</v>
      </c>
      <c r="J56" s="90">
        <v>7.2079786414744357E-2</v>
      </c>
      <c r="K56" s="90">
        <v>6.9416083322269839E-2</v>
      </c>
      <c r="M56" s="5">
        <v>0.35275000000000001</v>
      </c>
      <c r="N56" s="5">
        <v>0.11153333333333332</v>
      </c>
      <c r="O56" s="5">
        <v>0</v>
      </c>
      <c r="P56" s="5">
        <v>0.47361111111111087</v>
      </c>
      <c r="Q56" s="5">
        <v>6.6666666666666664E-4</v>
      </c>
      <c r="R56" s="5">
        <v>0</v>
      </c>
      <c r="T56" s="5">
        <v>1.5499999999999995E-2</v>
      </c>
      <c r="U56" s="5">
        <v>0.13052261334714085</v>
      </c>
      <c r="V56" s="5">
        <v>0.28616041666666669</v>
      </c>
      <c r="W56" s="5">
        <v>0.16530911769166265</v>
      </c>
      <c r="X56" s="5">
        <v>0.13552607251649648</v>
      </c>
      <c r="Y56" s="5">
        <v>0</v>
      </c>
      <c r="AA56" s="5">
        <v>6.6666666666666541E-2</v>
      </c>
      <c r="AB56" s="5">
        <v>0</v>
      </c>
      <c r="AC56" s="5">
        <v>0.12804878048780466</v>
      </c>
      <c r="AD56" s="5">
        <v>0.108</v>
      </c>
      <c r="AE56" s="5">
        <v>0</v>
      </c>
      <c r="AF56" s="5">
        <v>2.2873027791476866E-3</v>
      </c>
      <c r="AH56" s="5">
        <v>0.20499999999999999</v>
      </c>
      <c r="AI56" s="5">
        <v>0.27046939186906183</v>
      </c>
      <c r="AJ56" s="5">
        <v>0</v>
      </c>
      <c r="AK56" s="5">
        <v>0</v>
      </c>
      <c r="AL56" s="5">
        <v>0</v>
      </c>
      <c r="AM56" s="5">
        <v>0</v>
      </c>
    </row>
    <row r="57" spans="1:39">
      <c r="A57" s="82">
        <f t="shared" si="19"/>
        <v>3</v>
      </c>
      <c r="B57" s="16" t="s">
        <v>101</v>
      </c>
      <c r="C57" s="15" t="s">
        <v>102</v>
      </c>
      <c r="D57" s="17">
        <v>0.45060501800406444</v>
      </c>
      <c r="E57" s="4">
        <v>0.26793981481481483</v>
      </c>
      <c r="F57" s="4">
        <v>0.56654237144684683</v>
      </c>
      <c r="G57" s="6">
        <v>0.59300008549405803</v>
      </c>
      <c r="H57" s="6">
        <v>0.37493780026053808</v>
      </c>
      <c r="I57" s="90">
        <v>0.39266797273271109</v>
      </c>
      <c r="J57" s="90">
        <v>0.46373187712279879</v>
      </c>
      <c r="K57" s="90">
        <v>0.51782029723299272</v>
      </c>
      <c r="M57" s="5">
        <v>0.37891666666666668</v>
      </c>
      <c r="N57" s="5">
        <v>6.3E-2</v>
      </c>
      <c r="O57" s="5">
        <v>7.999999999999996E-2</v>
      </c>
      <c r="P57" s="5">
        <v>0.34305555555555556</v>
      </c>
      <c r="Q57" s="5">
        <v>0.30266666666666664</v>
      </c>
      <c r="R57" s="5">
        <v>0.43999999999999995</v>
      </c>
      <c r="T57" s="5">
        <v>0.39683333333333337</v>
      </c>
      <c r="U57" s="5">
        <v>0.12299999999999989</v>
      </c>
      <c r="V57" s="5">
        <v>0.92307692307692313</v>
      </c>
      <c r="W57" s="5">
        <v>0.14634397227082405</v>
      </c>
      <c r="X57" s="5">
        <v>1</v>
      </c>
      <c r="Y57" s="5">
        <v>0.80999999999999994</v>
      </c>
      <c r="AA57" s="5">
        <v>0.7833333333333331</v>
      </c>
      <c r="AB57" s="5">
        <v>0.92684</v>
      </c>
      <c r="AC57" s="5">
        <v>0.58505024390243887</v>
      </c>
      <c r="AD57" s="5">
        <v>0.69168506254598972</v>
      </c>
      <c r="AE57" s="5">
        <v>0.30229725676399177</v>
      </c>
      <c r="AF57" s="5">
        <v>0.26879461641859465</v>
      </c>
      <c r="AH57" s="5">
        <v>3.2000000000000001E-2</v>
      </c>
      <c r="AI57" s="5">
        <v>0.40578297067453145</v>
      </c>
      <c r="AJ57" s="5">
        <v>0.50299999999999989</v>
      </c>
      <c r="AK57" s="5">
        <v>0.5</v>
      </c>
      <c r="AL57" s="5">
        <v>0.25884383088869717</v>
      </c>
      <c r="AM57" s="5">
        <v>0.55000000000000004</v>
      </c>
    </row>
    <row r="58" spans="1:39">
      <c r="A58" s="82">
        <f t="shared" si="19"/>
        <v>3</v>
      </c>
      <c r="B58" s="16" t="s">
        <v>103</v>
      </c>
      <c r="C58" s="15" t="s">
        <v>104</v>
      </c>
      <c r="D58" s="17">
        <v>0.41377296884195325</v>
      </c>
      <c r="E58" s="4">
        <v>0.26566731481481481</v>
      </c>
      <c r="F58" s="4">
        <v>0.48625570060203799</v>
      </c>
      <c r="G58" s="6">
        <v>0.30761506786072668</v>
      </c>
      <c r="H58" s="6">
        <v>0.59555379209023351</v>
      </c>
      <c r="I58" s="90">
        <v>0.46369076227339256</v>
      </c>
      <c r="J58" s="90">
        <v>0.43909522664777434</v>
      </c>
      <c r="K58" s="90">
        <v>0.30091289198606269</v>
      </c>
      <c r="M58" s="5">
        <v>0.72199999999999998</v>
      </c>
      <c r="N58" s="5">
        <v>0.49999000000000005</v>
      </c>
      <c r="O58" s="5">
        <v>5.0000000000000044E-2</v>
      </c>
      <c r="P58" s="5">
        <v>0.13201388888888888</v>
      </c>
      <c r="Q58" s="5">
        <v>0</v>
      </c>
      <c r="R58" s="5">
        <v>0.18999999999999995</v>
      </c>
      <c r="T58" s="5">
        <v>0.71158333333333335</v>
      </c>
      <c r="U58" s="5">
        <v>0.25739999999999996</v>
      </c>
      <c r="V58" s="5">
        <v>0.79742857142857138</v>
      </c>
      <c r="W58" s="5">
        <v>7.0993348422249969E-2</v>
      </c>
      <c r="X58" s="5">
        <v>0.98012895042807313</v>
      </c>
      <c r="Y58" s="5">
        <v>0.1</v>
      </c>
      <c r="AA58" s="5">
        <v>0.31666666666666676</v>
      </c>
      <c r="AB58" s="5">
        <v>0.64640000000000009</v>
      </c>
      <c r="AC58" s="5">
        <v>0.16804878048780469</v>
      </c>
      <c r="AD58" s="5">
        <v>0.20995962314939434</v>
      </c>
      <c r="AE58" s="5">
        <v>4.6153368604943054E-3</v>
      </c>
      <c r="AF58" s="5">
        <v>0.5</v>
      </c>
      <c r="AH58" s="5">
        <v>1</v>
      </c>
      <c r="AI58" s="5">
        <v>6.7322767800189934E-2</v>
      </c>
      <c r="AJ58" s="5">
        <v>1.0000000000000009E-2</v>
      </c>
      <c r="AK58" s="5">
        <v>1</v>
      </c>
      <c r="AL58" s="5">
        <v>1</v>
      </c>
      <c r="AM58" s="5">
        <v>0.49599998474121099</v>
      </c>
    </row>
    <row r="59" spans="1:39">
      <c r="A59" s="82">
        <f t="shared" si="19"/>
        <v>3</v>
      </c>
      <c r="B59" s="16" t="s">
        <v>105</v>
      </c>
      <c r="C59" s="15" t="s">
        <v>106</v>
      </c>
      <c r="D59" s="17">
        <v>0.3129644990167002</v>
      </c>
      <c r="E59" s="4">
        <v>0.2037698412698413</v>
      </c>
      <c r="F59" s="4">
        <v>0.47664591920842253</v>
      </c>
      <c r="G59" s="6">
        <v>0.30070766707917063</v>
      </c>
      <c r="H59" s="6">
        <v>0.27073456850936645</v>
      </c>
      <c r="I59" s="90">
        <v>0.27030372912583123</v>
      </c>
      <c r="J59" s="90">
        <v>0.38535122791860543</v>
      </c>
      <c r="K59" s="90">
        <v>0.26837556050014594</v>
      </c>
      <c r="M59" s="5">
        <v>0.53675000000000006</v>
      </c>
      <c r="N59" s="5">
        <v>0.16595238095238096</v>
      </c>
      <c r="O59" s="5">
        <v>0.14000000000000001</v>
      </c>
      <c r="P59" s="5">
        <v>0.16125</v>
      </c>
      <c r="Q59" s="5">
        <v>4.8666666666666664E-2</v>
      </c>
      <c r="R59" s="5">
        <v>0.17000000000000004</v>
      </c>
      <c r="T59" s="5">
        <v>0.71158333333333335</v>
      </c>
      <c r="U59" s="5">
        <v>0.30239999999999989</v>
      </c>
      <c r="V59" s="5">
        <v>0.94717343417653199</v>
      </c>
      <c r="W59" s="5">
        <v>6.3128837286277995E-2</v>
      </c>
      <c r="X59" s="5">
        <v>0.80558991045439232</v>
      </c>
      <c r="Y59" s="5">
        <v>0.03</v>
      </c>
      <c r="AA59" s="5">
        <v>0.31666666666666676</v>
      </c>
      <c r="AB59" s="5">
        <v>0.77760000000000007</v>
      </c>
      <c r="AC59" s="5">
        <v>0.24577951219512184</v>
      </c>
      <c r="AD59" s="5">
        <v>0.37309644670050762</v>
      </c>
      <c r="AE59" s="5">
        <v>1.3802960283505371E-2</v>
      </c>
      <c r="AF59" s="5">
        <v>7.7300416629221852E-2</v>
      </c>
      <c r="AH59" s="5">
        <v>4.2999999999999997E-2</v>
      </c>
      <c r="AI59" s="5">
        <v>3.2537844220995246E-2</v>
      </c>
      <c r="AJ59" s="5">
        <v>4.0999999999999925E-2</v>
      </c>
      <c r="AK59" s="5">
        <v>0.81561130394829717</v>
      </c>
      <c r="AL59" s="5">
        <v>0.18625827814569537</v>
      </c>
      <c r="AM59" s="5">
        <v>0.505999984741211</v>
      </c>
    </row>
    <row r="60" spans="1:39">
      <c r="A60" s="82">
        <f t="shared" si="19"/>
        <v>3</v>
      </c>
      <c r="B60" s="16" t="s">
        <v>107</v>
      </c>
      <c r="C60" s="15" t="s">
        <v>108</v>
      </c>
      <c r="D60" s="17">
        <v>0.23799489825408066</v>
      </c>
      <c r="E60" s="4">
        <v>0.14479903218487103</v>
      </c>
      <c r="F60" s="4">
        <v>0.33733388711796469</v>
      </c>
      <c r="G60" s="6">
        <v>0.28145037465175787</v>
      </c>
      <c r="H60" s="6">
        <v>0.18839629906172897</v>
      </c>
      <c r="I60" s="90">
        <v>0.22958531946046579</v>
      </c>
      <c r="J60" s="90">
        <v>0.28835017542126562</v>
      </c>
      <c r="K60" s="90">
        <v>0.17507635069372532</v>
      </c>
      <c r="M60" s="5">
        <v>0.44433333333333325</v>
      </c>
      <c r="N60" s="5">
        <v>3.5933081998114985E-2</v>
      </c>
      <c r="O60" s="5">
        <v>6.0000000000000053E-2</v>
      </c>
      <c r="P60" s="5">
        <v>0.20652777777777798</v>
      </c>
      <c r="Q60" s="5">
        <v>4.2000000000000003E-2</v>
      </c>
      <c r="R60" s="5">
        <v>7.999999999999996E-2</v>
      </c>
      <c r="T60" s="5">
        <v>0.56600000000000006</v>
      </c>
      <c r="U60" s="5">
        <v>0.33760000000000007</v>
      </c>
      <c r="V60" s="5">
        <v>0.49202260031836142</v>
      </c>
      <c r="W60" s="5">
        <v>0.12769865205455005</v>
      </c>
      <c r="X60" s="5">
        <v>0.37068207033487627</v>
      </c>
      <c r="Y60" s="5">
        <v>0.13</v>
      </c>
      <c r="AA60" s="5">
        <v>0.2250000000000002</v>
      </c>
      <c r="AB60" s="5">
        <v>0.80799999999999994</v>
      </c>
      <c r="AC60" s="5">
        <v>0.19442536585365844</v>
      </c>
      <c r="AD60" s="5">
        <v>0.35836177474402731</v>
      </c>
      <c r="AE60" s="5">
        <v>8.9049693225292312E-3</v>
      </c>
      <c r="AF60" s="5">
        <v>9.4010137990332004E-2</v>
      </c>
      <c r="AH60" s="5">
        <v>1.7000000000000001E-2</v>
      </c>
      <c r="AI60" s="5">
        <v>0.14018808640081232</v>
      </c>
      <c r="AJ60" s="5">
        <v>7.7999999999999958E-2</v>
      </c>
      <c r="AK60" s="5">
        <v>0</v>
      </c>
      <c r="AL60" s="5">
        <v>4.3346337234503679E-2</v>
      </c>
      <c r="AM60" s="5">
        <v>0.851843370735058</v>
      </c>
    </row>
    <row r="61" spans="1:39">
      <c r="A61" s="82">
        <f t="shared" si="19"/>
        <v>3</v>
      </c>
      <c r="B61" s="16" t="s">
        <v>109</v>
      </c>
      <c r="C61" s="15" t="s">
        <v>110</v>
      </c>
      <c r="D61" s="17">
        <v>0.24463861775887874</v>
      </c>
      <c r="E61" s="4">
        <v>0.35543287037037036</v>
      </c>
      <c r="F61" s="4">
        <v>0.20681425080246907</v>
      </c>
      <c r="G61" s="6">
        <v>0.32313467033795573</v>
      </c>
      <c r="H61" s="6">
        <v>9.3172679524719748E-2</v>
      </c>
      <c r="I61" s="90">
        <v>0.24244401708788585</v>
      </c>
      <c r="J61" s="90">
        <v>0.34784462292796092</v>
      </c>
      <c r="K61" s="90">
        <v>9.312151101174472E-2</v>
      </c>
      <c r="M61" s="5">
        <v>0.49783333333333335</v>
      </c>
      <c r="N61" s="5">
        <v>1</v>
      </c>
      <c r="O61" s="5">
        <v>1.0000000000000009E-2</v>
      </c>
      <c r="P61" s="5">
        <v>0.50743055555555561</v>
      </c>
      <c r="Q61" s="5">
        <v>5.7333333333333333E-2</v>
      </c>
      <c r="R61" s="5">
        <v>6.0000000000000053E-2</v>
      </c>
      <c r="T61" s="5">
        <v>9.9999999999999933E-3</v>
      </c>
      <c r="U61" s="5">
        <v>0.57240000000000002</v>
      </c>
      <c r="V61" s="5">
        <v>0</v>
      </c>
      <c r="W61" s="5">
        <v>0.16042156499320698</v>
      </c>
      <c r="X61" s="5">
        <v>0.36806393982160734</v>
      </c>
      <c r="Y61" s="5">
        <v>0.13</v>
      </c>
      <c r="AA61" s="5">
        <v>0.7833333333333331</v>
      </c>
      <c r="AB61" s="5">
        <v>0.60519999999999996</v>
      </c>
      <c r="AC61" s="5">
        <v>0.29325024390243892</v>
      </c>
      <c r="AD61" s="5">
        <v>0.17694994179278231</v>
      </c>
      <c r="AE61" s="5">
        <v>1.4595680831150655E-2</v>
      </c>
      <c r="AF61" s="5">
        <v>6.5478822168029374E-2</v>
      </c>
      <c r="AH61" s="5">
        <v>3.4000000000000002E-2</v>
      </c>
      <c r="AI61" s="5">
        <v>0.38190865236555704</v>
      </c>
      <c r="AJ61" s="5">
        <v>5.9999999999998943E-3</v>
      </c>
      <c r="AK61" s="5">
        <v>0</v>
      </c>
      <c r="AL61" s="5">
        <v>6.0274247827615656E-3</v>
      </c>
      <c r="AM61" s="5">
        <v>0.13109999999999999</v>
      </c>
    </row>
    <row r="62" spans="1:39">
      <c r="A62" s="82">
        <f t="shared" si="19"/>
        <v>3</v>
      </c>
      <c r="B62" s="16" t="s">
        <v>111</v>
      </c>
      <c r="C62" s="15" t="s">
        <v>112</v>
      </c>
      <c r="D62" s="17">
        <v>0.31361024231762713</v>
      </c>
      <c r="E62" s="4">
        <v>0.21441146727881275</v>
      </c>
      <c r="F62" s="4">
        <v>0.38515520017564026</v>
      </c>
      <c r="G62" s="6">
        <v>0.32854011180727738</v>
      </c>
      <c r="H62" s="6">
        <v>0.32633419000877817</v>
      </c>
      <c r="I62" s="90">
        <v>0.29658976312351304</v>
      </c>
      <c r="J62" s="90">
        <v>0.38694212762548746</v>
      </c>
      <c r="K62" s="90">
        <v>0.22914313314700774</v>
      </c>
      <c r="M62" s="5">
        <v>0.64274999999999993</v>
      </c>
      <c r="N62" s="5">
        <v>5.4538248117320644E-2</v>
      </c>
      <c r="O62" s="5">
        <v>0.13</v>
      </c>
      <c r="P62" s="5">
        <v>0.27451388888888906</v>
      </c>
      <c r="Q62" s="5">
        <v>5.4666666666666669E-2</v>
      </c>
      <c r="R62" s="5">
        <v>0.13</v>
      </c>
      <c r="T62" s="5">
        <v>0.49525000000000002</v>
      </c>
      <c r="U62" s="5">
        <v>0.39</v>
      </c>
      <c r="V62" s="5">
        <v>0.7125220174703415</v>
      </c>
      <c r="W62" s="5">
        <v>7.571591783727448E-2</v>
      </c>
      <c r="X62" s="5">
        <v>0.57744326574622562</v>
      </c>
      <c r="Y62" s="5">
        <v>0.06</v>
      </c>
      <c r="AA62" s="5">
        <v>0.31666666666666676</v>
      </c>
      <c r="AB62" s="5">
        <v>0.90335999999999994</v>
      </c>
      <c r="AC62" s="5">
        <v>0.27079902439024384</v>
      </c>
      <c r="AD62" s="5">
        <v>0.32944228274967574</v>
      </c>
      <c r="AE62" s="5">
        <v>7.9434940015617239E-2</v>
      </c>
      <c r="AF62" s="5">
        <v>7.1537757021460938E-2</v>
      </c>
      <c r="AH62" s="5">
        <v>3.7000000000000005E-2</v>
      </c>
      <c r="AI62" s="5">
        <v>2.6220247404828645E-2</v>
      </c>
      <c r="AJ62" s="5">
        <v>0.1359999999999999</v>
      </c>
      <c r="AK62" s="5">
        <v>0.59481577304933342</v>
      </c>
      <c r="AL62" s="5">
        <v>0.36196911196911197</v>
      </c>
      <c r="AM62" s="5">
        <v>0.80200000762939494</v>
      </c>
    </row>
    <row r="63" spans="1:39">
      <c r="A63" s="82">
        <f t="shared" si="19"/>
        <v>4</v>
      </c>
      <c r="B63" s="16" t="s">
        <v>113</v>
      </c>
      <c r="C63" s="15" t="s">
        <v>114</v>
      </c>
      <c r="D63" s="17">
        <v>0.43746805247997927</v>
      </c>
      <c r="E63" s="4">
        <v>0.33781061253561245</v>
      </c>
      <c r="F63" s="4">
        <v>0.70216950990335114</v>
      </c>
      <c r="G63" s="6">
        <v>0.51144988640495492</v>
      </c>
      <c r="H63" s="6">
        <v>0.19844220107599869</v>
      </c>
      <c r="I63" s="90">
        <v>0.39968651376798447</v>
      </c>
      <c r="J63" s="90">
        <v>0.37304548634337725</v>
      </c>
      <c r="K63" s="90">
        <v>0.58680105711810471</v>
      </c>
      <c r="M63" s="5">
        <v>0.43149999999999999</v>
      </c>
      <c r="N63" s="5">
        <v>6.6923076923076918E-4</v>
      </c>
      <c r="O63" s="5">
        <v>0.57000000000000006</v>
      </c>
      <c r="P63" s="5">
        <v>0.1973611111111111</v>
      </c>
      <c r="Q63" s="5">
        <v>0.33733333333333332</v>
      </c>
      <c r="R63" s="5">
        <v>0.49</v>
      </c>
      <c r="T63" s="5">
        <v>1</v>
      </c>
      <c r="U63" s="5">
        <v>0.60460000000000003</v>
      </c>
      <c r="V63" s="5">
        <v>1</v>
      </c>
      <c r="W63" s="5">
        <v>0.17841705942010699</v>
      </c>
      <c r="X63" s="5">
        <v>1</v>
      </c>
      <c r="Y63" s="5">
        <v>0.43</v>
      </c>
      <c r="AA63" s="5">
        <v>0.20833333333333315</v>
      </c>
      <c r="AB63" s="5">
        <v>0.9456</v>
      </c>
      <c r="AC63" s="5">
        <v>0.68770487804878022</v>
      </c>
      <c r="AD63" s="5">
        <v>0.85156712004730928</v>
      </c>
      <c r="AE63" s="5">
        <v>3.2392522340459265E-2</v>
      </c>
      <c r="AF63" s="5">
        <v>0.34310146465984792</v>
      </c>
      <c r="AH63" s="5">
        <v>0</v>
      </c>
      <c r="AI63" s="5">
        <v>6.3768804303994731E-2</v>
      </c>
      <c r="AJ63" s="5">
        <v>0.73</v>
      </c>
      <c r="AK63" s="5">
        <v>0</v>
      </c>
      <c r="AL63" s="5">
        <v>0</v>
      </c>
      <c r="AM63" s="5" t="e">
        <v>#N/A</v>
      </c>
    </row>
    <row r="64" spans="1:39">
      <c r="A64" s="82">
        <f t="shared" si="19"/>
        <v>3</v>
      </c>
      <c r="B64" s="16" t="s">
        <v>115</v>
      </c>
      <c r="C64" s="15" t="s">
        <v>116</v>
      </c>
      <c r="D64" s="17">
        <v>0.4743497013090569</v>
      </c>
      <c r="E64" s="4">
        <v>0.39944543650793651</v>
      </c>
      <c r="F64" s="4">
        <v>0.63759183201404435</v>
      </c>
      <c r="G64" s="6">
        <v>0.57240307814774949</v>
      </c>
      <c r="H64" s="6">
        <v>0.28795845856649716</v>
      </c>
      <c r="I64" s="90">
        <v>0.36452672996172863</v>
      </c>
      <c r="J64" s="90">
        <v>0.44645434016944779</v>
      </c>
      <c r="K64" s="90">
        <v>0.68092720003946317</v>
      </c>
      <c r="M64" s="5">
        <v>0.46308333333333329</v>
      </c>
      <c r="N64" s="5">
        <v>9.2380952380952397E-2</v>
      </c>
      <c r="O64" s="5">
        <v>0.39</v>
      </c>
      <c r="P64" s="5">
        <v>0.33854166666666663</v>
      </c>
      <c r="Q64" s="5">
        <v>0.25266666666666665</v>
      </c>
      <c r="R64" s="5">
        <v>0.86</v>
      </c>
      <c r="T64" s="5">
        <v>0.45091666666666669</v>
      </c>
      <c r="U64" s="5">
        <v>0.78839999999999999</v>
      </c>
      <c r="V64" s="5">
        <v>0.98622023809523807</v>
      </c>
      <c r="W64" s="5">
        <v>0.32</v>
      </c>
      <c r="X64" s="5">
        <v>0.28001408732236172</v>
      </c>
      <c r="Y64" s="5">
        <v>1</v>
      </c>
      <c r="AA64" s="5">
        <v>0.40833333333333333</v>
      </c>
      <c r="AB64" s="5">
        <v>0.9516</v>
      </c>
      <c r="AC64" s="5">
        <v>0.50294097560975581</v>
      </c>
      <c r="AD64" s="5">
        <v>0.56901408450704227</v>
      </c>
      <c r="AE64" s="5">
        <v>0.65612808890458074</v>
      </c>
      <c r="AF64" s="5">
        <v>0.34640198653178489</v>
      </c>
      <c r="AH64" s="5">
        <v>3.6000000000000004E-2</v>
      </c>
      <c r="AI64" s="5">
        <v>1.666137315851807E-2</v>
      </c>
      <c r="AJ64" s="5">
        <v>0.67999999999999994</v>
      </c>
      <c r="AK64" s="5">
        <v>0.19823788546255508</v>
      </c>
      <c r="AL64" s="5">
        <v>1.4851485148514851E-2</v>
      </c>
      <c r="AM64" s="5">
        <v>0.78200000762939503</v>
      </c>
    </row>
    <row r="65" spans="1:39">
      <c r="A65" s="82">
        <f t="shared" si="19"/>
        <v>3</v>
      </c>
      <c r="B65" s="16" t="s">
        <v>117</v>
      </c>
      <c r="C65" s="15" t="s">
        <v>118</v>
      </c>
      <c r="D65" s="17">
        <v>0.24572539276838407</v>
      </c>
      <c r="E65" s="4">
        <v>0.22504077218319019</v>
      </c>
      <c r="F65" s="4">
        <v>0.32847626243647837</v>
      </c>
      <c r="G65" s="6">
        <v>0.25016984588255464</v>
      </c>
      <c r="H65" s="6">
        <v>0.17921469057131309</v>
      </c>
      <c r="I65" s="90">
        <v>0.36455140608247483</v>
      </c>
      <c r="J65" s="90">
        <v>0.222823768136648</v>
      </c>
      <c r="K65" s="90">
        <v>0.10183880974485192</v>
      </c>
      <c r="M65" s="5">
        <v>0.36066666666666669</v>
      </c>
      <c r="N65" s="5">
        <v>0.14020296643247462</v>
      </c>
      <c r="O65" s="5">
        <v>2.0000000000000018E-2</v>
      </c>
      <c r="P65" s="5">
        <v>0.77937499999999971</v>
      </c>
      <c r="Q65" s="5">
        <v>0</v>
      </c>
      <c r="R65" s="5">
        <v>5.0000000000000044E-2</v>
      </c>
      <c r="T65" s="5">
        <v>0.27966666666666667</v>
      </c>
      <c r="U65" s="5">
        <v>0.30504829108516107</v>
      </c>
      <c r="V65" s="5">
        <v>0.33278428093650003</v>
      </c>
      <c r="W65" s="5">
        <v>0.89938475619154956</v>
      </c>
      <c r="X65" s="5">
        <v>0.15397357973899287</v>
      </c>
      <c r="Y65" s="5">
        <v>0</v>
      </c>
      <c r="AA65" s="5">
        <v>0.87499999999999967</v>
      </c>
      <c r="AB65" s="5">
        <v>0.31803999999999999</v>
      </c>
      <c r="AC65" s="5">
        <v>0.20351219512195118</v>
      </c>
      <c r="AD65" s="5">
        <v>6.0869565217391307E-2</v>
      </c>
      <c r="AE65" s="5">
        <v>3.8860932545325459E-2</v>
      </c>
      <c r="AF65" s="5">
        <v>4.7363824106601863E-3</v>
      </c>
      <c r="AH65" s="5">
        <v>2.6000000000000002E-2</v>
      </c>
      <c r="AI65" s="5">
        <v>0.11618123025599231</v>
      </c>
      <c r="AJ65" s="5">
        <v>0</v>
      </c>
      <c r="AK65" s="5">
        <v>0.22085202810451207</v>
      </c>
      <c r="AL65" s="5">
        <v>0</v>
      </c>
      <c r="AM65" s="5">
        <v>0.712254885067374</v>
      </c>
    </row>
    <row r="66" spans="1:39">
      <c r="A66" s="82">
        <f t="shared" si="19"/>
        <v>3</v>
      </c>
      <c r="B66" s="16" t="s">
        <v>119</v>
      </c>
      <c r="C66" s="15" t="s">
        <v>120</v>
      </c>
      <c r="D66" s="17">
        <v>0.53361068542838297</v>
      </c>
      <c r="E66" s="4">
        <v>0.42757437765634493</v>
      </c>
      <c r="F66" s="4">
        <v>0.63307926870985043</v>
      </c>
      <c r="G66" s="6">
        <v>0.63571741281848992</v>
      </c>
      <c r="H66" s="6">
        <v>0.4380716825288466</v>
      </c>
      <c r="I66" s="90">
        <v>0.39873620179364988</v>
      </c>
      <c r="J66" s="90">
        <v>0.50202779904301131</v>
      </c>
      <c r="K66" s="90">
        <v>0.78329674045853981</v>
      </c>
      <c r="M66" s="5">
        <v>0.26016666666666666</v>
      </c>
      <c r="N66" s="5">
        <v>4.555737704918033E-2</v>
      </c>
      <c r="O66" s="5">
        <v>0.62</v>
      </c>
      <c r="P66" s="5">
        <v>0.28972222222222244</v>
      </c>
      <c r="Q66" s="5">
        <v>0.47</v>
      </c>
      <c r="R66" s="5">
        <v>0.88</v>
      </c>
      <c r="T66" s="5">
        <v>0.60066666666666668</v>
      </c>
      <c r="U66" s="5">
        <v>0.82699999999999985</v>
      </c>
      <c r="V66" s="5">
        <v>0.98639553777694022</v>
      </c>
      <c r="W66" s="5">
        <v>0.32781293406053963</v>
      </c>
      <c r="X66" s="5">
        <v>5.660047375495568E-2</v>
      </c>
      <c r="Y66" s="5">
        <v>1</v>
      </c>
      <c r="AA66" s="5">
        <v>0.40833333333333333</v>
      </c>
      <c r="AB66" s="5">
        <v>0.97992000000000001</v>
      </c>
      <c r="AC66" s="5">
        <v>0.58687853658536582</v>
      </c>
      <c r="AD66" s="5">
        <v>0.81792399319342035</v>
      </c>
      <c r="AE66" s="5">
        <v>0.39474224540988695</v>
      </c>
      <c r="AF66" s="5">
        <v>0.62650636838893303</v>
      </c>
      <c r="AH66" s="5">
        <v>6.9999999999999993E-3</v>
      </c>
      <c r="AI66" s="5">
        <v>0</v>
      </c>
      <c r="AJ66" s="5">
        <v>0.84699999999999998</v>
      </c>
      <c r="AK66" s="5">
        <v>0.88117799300666466</v>
      </c>
      <c r="AL66" s="5">
        <v>0.03</v>
      </c>
      <c r="AM66" s="5">
        <v>0.86325210216641501</v>
      </c>
    </row>
    <row r="67" spans="1:39">
      <c r="A67" s="82">
        <f t="shared" si="19"/>
        <v>3</v>
      </c>
      <c r="B67" s="16" t="s">
        <v>121</v>
      </c>
      <c r="C67" s="15" t="s">
        <v>122</v>
      </c>
      <c r="D67" s="17">
        <v>0.3031871324332307</v>
      </c>
      <c r="E67" s="4">
        <v>0.16313434844652006</v>
      </c>
      <c r="F67" s="4">
        <v>0.43769597360203888</v>
      </c>
      <c r="G67" s="6">
        <v>0.38494819695971771</v>
      </c>
      <c r="H67" s="6">
        <v>0.22697001072464629</v>
      </c>
      <c r="I67" s="90">
        <v>0.32495069769481255</v>
      </c>
      <c r="J67" s="90">
        <v>0.33575567632663195</v>
      </c>
      <c r="K67" s="90">
        <v>0.22168896870075605</v>
      </c>
      <c r="M67" s="5">
        <v>0.41333333333333333</v>
      </c>
      <c r="N67" s="5">
        <v>2.8616462346760067E-3</v>
      </c>
      <c r="O67" s="5">
        <v>0.36</v>
      </c>
      <c r="P67" s="5">
        <v>6.5277777777777601E-2</v>
      </c>
      <c r="Q67" s="5">
        <v>7.3333333333333332E-3</v>
      </c>
      <c r="R67" s="5">
        <v>0.13</v>
      </c>
      <c r="T67" s="5">
        <v>0.44466666666666665</v>
      </c>
      <c r="U67" s="5">
        <v>0.47119999999999995</v>
      </c>
      <c r="V67" s="5">
        <v>0.42227450980399994</v>
      </c>
      <c r="W67" s="5">
        <v>0.20803466514156657</v>
      </c>
      <c r="X67" s="5">
        <v>1</v>
      </c>
      <c r="Y67" s="5">
        <v>0.08</v>
      </c>
      <c r="AA67" s="5">
        <v>0.76666666666666661</v>
      </c>
      <c r="AB67" s="5">
        <v>0.82348399999999999</v>
      </c>
      <c r="AC67" s="5">
        <v>0.31913073170731676</v>
      </c>
      <c r="AD67" s="5">
        <v>0.34837355718782792</v>
      </c>
      <c r="AE67" s="5">
        <v>3.330565550327521E-2</v>
      </c>
      <c r="AF67" s="5">
        <v>1.8728570693219704E-2</v>
      </c>
      <c r="AH67" s="5">
        <v>0.114</v>
      </c>
      <c r="AI67" s="5">
        <v>0.17561645949779828</v>
      </c>
      <c r="AJ67" s="5">
        <v>0.4</v>
      </c>
      <c r="AK67" s="5">
        <v>0</v>
      </c>
      <c r="AL67" s="5">
        <v>0.16420361247947454</v>
      </c>
      <c r="AM67" s="5">
        <v>0.50799999237060489</v>
      </c>
    </row>
    <row r="68" spans="1:39">
      <c r="A68" s="82">
        <f t="shared" si="19"/>
        <v>3</v>
      </c>
      <c r="B68" s="16" t="s">
        <v>123</v>
      </c>
      <c r="C68" s="15" t="s">
        <v>124</v>
      </c>
      <c r="D68" s="17">
        <v>0.14373837084518953</v>
      </c>
      <c r="E68" s="4">
        <v>0.18651809764309768</v>
      </c>
      <c r="F68" s="4">
        <v>0.18645054438503619</v>
      </c>
      <c r="G68" s="6">
        <v>3.7485617840243984E-2</v>
      </c>
      <c r="H68" s="6">
        <v>0.16449922351238033</v>
      </c>
      <c r="I68" s="90">
        <v>0.17994551457524835</v>
      </c>
      <c r="J68" s="90">
        <v>0.16055402836390067</v>
      </c>
      <c r="K68" s="90">
        <v>6.4204168972034598E-2</v>
      </c>
      <c r="M68" s="5">
        <v>0.27333333333333332</v>
      </c>
      <c r="N68" s="5">
        <v>2.0636363636363633E-2</v>
      </c>
      <c r="O68" s="5">
        <v>0</v>
      </c>
      <c r="P68" s="5">
        <v>0.82513888888888909</v>
      </c>
      <c r="Q68" s="5">
        <v>0</v>
      </c>
      <c r="R68" s="5">
        <v>0</v>
      </c>
      <c r="T68" s="5">
        <v>1.5499999999999995E-2</v>
      </c>
      <c r="U68" s="5">
        <v>0.36398623753365134</v>
      </c>
      <c r="V68" s="5">
        <v>0.27630532771749994</v>
      </c>
      <c r="W68" s="5">
        <v>0.38054338802825682</v>
      </c>
      <c r="X68" s="5">
        <v>8.236831303080934E-2</v>
      </c>
      <c r="Y68" s="5">
        <v>0</v>
      </c>
      <c r="AA68" s="5">
        <v>6.6666666666666541E-2</v>
      </c>
      <c r="AB68" s="5">
        <v>0</v>
      </c>
      <c r="AC68" s="5">
        <v>0.10560975609756074</v>
      </c>
      <c r="AD68" s="5">
        <v>4.9327354260089683E-2</v>
      </c>
      <c r="AE68" s="5">
        <v>0</v>
      </c>
      <c r="AF68" s="5">
        <v>3.3099300171469388E-3</v>
      </c>
      <c r="AH68" s="5">
        <v>9.0000000000000011E-3</v>
      </c>
      <c r="AI68" s="5">
        <v>4.2678871958731983E-2</v>
      </c>
      <c r="AJ68" s="5">
        <v>0</v>
      </c>
      <c r="AK68" s="5">
        <v>0.59001646911554995</v>
      </c>
      <c r="AL68" s="5">
        <v>0</v>
      </c>
      <c r="AM68" s="5">
        <v>0.34530000000000005</v>
      </c>
    </row>
    <row r="69" spans="1:39">
      <c r="A69" s="82">
        <f t="shared" si="19"/>
        <v>3</v>
      </c>
      <c r="B69" s="16" t="s">
        <v>125</v>
      </c>
      <c r="C69" s="15" t="s">
        <v>126</v>
      </c>
      <c r="D69" s="17">
        <v>0.13889689165972385</v>
      </c>
      <c r="E69" s="4">
        <v>0.1968085505529226</v>
      </c>
      <c r="F69" s="4">
        <v>0.17721478055505258</v>
      </c>
      <c r="G69" s="6">
        <v>6.8317417725287807E-2</v>
      </c>
      <c r="H69" s="6">
        <v>0.11324681780563244</v>
      </c>
      <c r="I69" s="90">
        <v>0.19691458624510058</v>
      </c>
      <c r="J69" s="90">
        <v>0.1358196154928128</v>
      </c>
      <c r="K69" s="90">
        <v>5.6486264032025314E-2</v>
      </c>
      <c r="M69" s="5">
        <v>0.55483333333333329</v>
      </c>
      <c r="N69" s="5">
        <v>0.15497630331753556</v>
      </c>
      <c r="O69" s="5">
        <v>0</v>
      </c>
      <c r="P69" s="5">
        <v>0.47104166666666669</v>
      </c>
      <c r="Q69" s="5">
        <v>0</v>
      </c>
      <c r="R69" s="5">
        <v>0</v>
      </c>
      <c r="T69" s="5">
        <v>0.25958333333333333</v>
      </c>
      <c r="U69" s="5">
        <v>0.22420632699016296</v>
      </c>
      <c r="V69" s="5">
        <v>0.25646876213933334</v>
      </c>
      <c r="W69" s="5">
        <v>0.21676411830415321</v>
      </c>
      <c r="X69" s="5">
        <v>0.10626614256333251</v>
      </c>
      <c r="Y69" s="5">
        <v>0</v>
      </c>
      <c r="AA69" s="5">
        <v>6.6666666666666541E-2</v>
      </c>
      <c r="AB69" s="5">
        <v>0.14491999999999994</v>
      </c>
      <c r="AC69" s="5">
        <v>7.8634146341463262E-2</v>
      </c>
      <c r="AD69" s="5">
        <v>0.11586901763224182</v>
      </c>
      <c r="AE69" s="5">
        <v>0</v>
      </c>
      <c r="AF69" s="5">
        <v>3.8146757113553071E-3</v>
      </c>
      <c r="AH69" s="5">
        <v>1.9E-2</v>
      </c>
      <c r="AI69" s="5">
        <v>4.7248629961729981E-2</v>
      </c>
      <c r="AJ69" s="5">
        <v>0</v>
      </c>
      <c r="AK69" s="5">
        <v>0.54475913660255437</v>
      </c>
      <c r="AL69" s="5">
        <v>6.8473140269510277E-2</v>
      </c>
      <c r="AM69" s="5">
        <v>0</v>
      </c>
    </row>
    <row r="70" spans="1:39">
      <c r="A70" s="82">
        <f t="shared" si="19"/>
        <v>3</v>
      </c>
      <c r="B70" s="16" t="s">
        <v>127</v>
      </c>
      <c r="C70" s="15" t="s">
        <v>128</v>
      </c>
      <c r="D70" s="17">
        <v>0.36747095558905596</v>
      </c>
      <c r="E70" s="4">
        <v>0.26095618789521224</v>
      </c>
      <c r="F70" s="4">
        <v>0.53026456896779461</v>
      </c>
      <c r="G70" s="6">
        <v>0.39425839246722311</v>
      </c>
      <c r="H70" s="6">
        <v>0.28440467302599381</v>
      </c>
      <c r="I70" s="90">
        <v>0.39290808479058864</v>
      </c>
      <c r="J70" s="90">
        <v>0.28780061651364147</v>
      </c>
      <c r="K70" s="90">
        <v>0.44882077039987861</v>
      </c>
      <c r="M70" s="5">
        <v>0.48083333333333333</v>
      </c>
      <c r="N70" s="5">
        <v>7.9268292682926835E-4</v>
      </c>
      <c r="O70" s="5">
        <v>0.13</v>
      </c>
      <c r="P70" s="5">
        <v>0.21611111111111103</v>
      </c>
      <c r="Q70" s="5">
        <v>6.8000000000000005E-2</v>
      </c>
      <c r="R70" s="5">
        <v>0.66999999999999993</v>
      </c>
      <c r="T70" s="5">
        <v>1</v>
      </c>
      <c r="U70" s="5">
        <v>0.14479999999999996</v>
      </c>
      <c r="V70" s="5">
        <v>0.9765641025641667</v>
      </c>
      <c r="W70" s="5">
        <v>0.11596413840667309</v>
      </c>
      <c r="X70" s="5">
        <v>0.7342591728359279</v>
      </c>
      <c r="Y70" s="5">
        <v>0.21000000000000002</v>
      </c>
      <c r="AA70" s="5">
        <v>0.20833333333333315</v>
      </c>
      <c r="AB70" s="5">
        <v>0.58679999999999999</v>
      </c>
      <c r="AC70" s="5">
        <v>0.48263999999999985</v>
      </c>
      <c r="AD70" s="5">
        <v>0.84693084693084697</v>
      </c>
      <c r="AE70" s="5">
        <v>1.7125654704053112E-2</v>
      </c>
      <c r="AF70" s="5">
        <v>0.22372051983510541</v>
      </c>
      <c r="AH70" s="5">
        <v>3.5000000000000003E-2</v>
      </c>
      <c r="AI70" s="5">
        <v>0.14052803853743287</v>
      </c>
      <c r="AJ70" s="5">
        <v>0.63300000000000001</v>
      </c>
      <c r="AK70" s="5">
        <v>0</v>
      </c>
      <c r="AL70" s="5">
        <v>0</v>
      </c>
      <c r="AM70" s="5">
        <v>0.89789999961852995</v>
      </c>
    </row>
    <row r="71" spans="1:39">
      <c r="A71" s="82">
        <f t="shared" si="19"/>
        <v>3</v>
      </c>
      <c r="B71" s="16" t="s">
        <v>129</v>
      </c>
      <c r="C71" s="15" t="s">
        <v>130</v>
      </c>
      <c r="D71" s="17">
        <v>0.44533532410957644</v>
      </c>
      <c r="E71" s="4">
        <v>0.25509421296296297</v>
      </c>
      <c r="F71" s="4">
        <v>0.51589765506411289</v>
      </c>
      <c r="G71" s="6">
        <v>0.55047073208377506</v>
      </c>
      <c r="H71" s="6">
        <v>0.45987869632745476</v>
      </c>
      <c r="I71" s="90">
        <v>0.47746276072888516</v>
      </c>
      <c r="J71" s="90">
        <v>0.3898470134097361</v>
      </c>
      <c r="K71" s="90">
        <v>0.48037663523037377</v>
      </c>
      <c r="M71" s="5">
        <v>0.61716666666666664</v>
      </c>
      <c r="N71" s="5">
        <v>8.9125000000000003E-3</v>
      </c>
      <c r="O71" s="5">
        <v>7.999999999999996E-2</v>
      </c>
      <c r="P71" s="5">
        <v>0.30381944444444442</v>
      </c>
      <c r="Q71" s="5">
        <v>0.19066666666666668</v>
      </c>
      <c r="R71" s="5">
        <v>0.32999999999999996</v>
      </c>
      <c r="T71" s="5">
        <v>0.62008333333333332</v>
      </c>
      <c r="U71" s="5">
        <v>0.4274</v>
      </c>
      <c r="V71" s="5">
        <v>0.99172704483604746</v>
      </c>
      <c r="W71" s="5">
        <v>0.18247378049390012</v>
      </c>
      <c r="X71" s="5">
        <v>0.48370177172139622</v>
      </c>
      <c r="Y71" s="5">
        <v>0.39</v>
      </c>
      <c r="AA71" s="5">
        <v>0.20833333333333315</v>
      </c>
      <c r="AB71" s="5">
        <v>0.95287999999999995</v>
      </c>
      <c r="AC71" s="5">
        <v>0.57515365853658529</v>
      </c>
      <c r="AD71" s="5">
        <v>0.78828828828828834</v>
      </c>
      <c r="AE71" s="5">
        <v>0.26279000433483357</v>
      </c>
      <c r="AF71" s="5">
        <v>0.51537910800960973</v>
      </c>
      <c r="AH71" s="5">
        <v>0.21</v>
      </c>
      <c r="AI71" s="5">
        <v>0.37547217491297019</v>
      </c>
      <c r="AJ71" s="5">
        <v>0.91700000000000004</v>
      </c>
      <c r="AK71" s="5">
        <v>0</v>
      </c>
      <c r="AL71" s="5">
        <v>0.45</v>
      </c>
      <c r="AM71" s="5">
        <v>0.80680000305175803</v>
      </c>
    </row>
    <row r="72" spans="1:39">
      <c r="A72" s="82">
        <f t="shared" si="19"/>
        <v>3</v>
      </c>
      <c r="B72" s="16" t="s">
        <v>131</v>
      </c>
      <c r="C72" s="15" t="s">
        <v>132</v>
      </c>
      <c r="D72" s="17">
        <v>0.24657064796103431</v>
      </c>
      <c r="E72" s="4">
        <v>0.24856231029703316</v>
      </c>
      <c r="F72" s="4">
        <v>0.36702189932386015</v>
      </c>
      <c r="G72" s="6">
        <v>0.18464997924202395</v>
      </c>
      <c r="H72" s="6">
        <v>0.18604840298121997</v>
      </c>
      <c r="I72" s="90">
        <v>0.23442035021150792</v>
      </c>
      <c r="J72" s="90">
        <v>0.33161603186676736</v>
      </c>
      <c r="K72" s="90">
        <v>0.13722801872672449</v>
      </c>
      <c r="M72" s="5">
        <v>0.67783333333333329</v>
      </c>
      <c r="N72" s="5">
        <v>2.5596084004421281E-2</v>
      </c>
      <c r="O72" s="5">
        <v>2.0000000000000018E-2</v>
      </c>
      <c r="P72" s="5">
        <v>0.6052777777777778</v>
      </c>
      <c r="Q72" s="5">
        <v>0.11266666666666666</v>
      </c>
      <c r="R72" s="5">
        <v>5.0000000000000044E-2</v>
      </c>
      <c r="T72" s="5">
        <v>0.27966666666666667</v>
      </c>
      <c r="U72" s="5">
        <v>0.4718</v>
      </c>
      <c r="V72" s="5">
        <v>0.43820512820516666</v>
      </c>
      <c r="W72" s="5">
        <v>0.2400925779961964</v>
      </c>
      <c r="X72" s="5">
        <v>0.74236702307513136</v>
      </c>
      <c r="Y72" s="5">
        <v>0.03</v>
      </c>
      <c r="AA72" s="5">
        <v>7.5000000000000067E-2</v>
      </c>
      <c r="AB72" s="5">
        <v>0.50727999999999995</v>
      </c>
      <c r="AC72" s="5">
        <v>0.26632097560975576</v>
      </c>
      <c r="AD72" s="5">
        <v>0.18274111675126903</v>
      </c>
      <c r="AE72" s="5">
        <v>5.7715774545694404E-2</v>
      </c>
      <c r="AF72" s="5">
        <v>1.8842008545424394E-2</v>
      </c>
      <c r="AH72" s="5">
        <v>6.0000000000000001E-3</v>
      </c>
      <c r="AI72" s="5">
        <v>6.2409597162269417E-2</v>
      </c>
      <c r="AJ72" s="5">
        <v>0</v>
      </c>
      <c r="AK72" s="5">
        <v>0.94538502309201267</v>
      </c>
      <c r="AL72" s="5">
        <v>4.3171679378327818E-2</v>
      </c>
      <c r="AM72" s="5">
        <v>5.9324118254709957E-2</v>
      </c>
    </row>
    <row r="73" spans="1:39">
      <c r="A73" s="82">
        <f t="shared" si="19"/>
        <v>3</v>
      </c>
      <c r="B73" s="16" t="s">
        <v>133</v>
      </c>
      <c r="C73" s="15" t="s">
        <v>134</v>
      </c>
      <c r="D73" s="17">
        <v>0.14049299795855935</v>
      </c>
      <c r="E73" s="4">
        <v>0.19407151875901874</v>
      </c>
      <c r="F73" s="4">
        <v>0.20046674339101989</v>
      </c>
      <c r="G73" s="6">
        <v>4.4273991219365538E-2</v>
      </c>
      <c r="H73" s="6">
        <v>0.1231597384648333</v>
      </c>
      <c r="I73" s="90">
        <v>0.18089448920023313</v>
      </c>
      <c r="J73" s="90">
        <v>0.15640048991711245</v>
      </c>
      <c r="K73" s="90">
        <v>5.6029523158219095E-2</v>
      </c>
      <c r="M73" s="5">
        <v>0.41249999999999998</v>
      </c>
      <c r="N73" s="5">
        <v>0.25422077922077924</v>
      </c>
      <c r="O73" s="5">
        <v>0</v>
      </c>
      <c r="P73" s="5">
        <v>0.4977083333333332</v>
      </c>
      <c r="Q73" s="5">
        <v>0</v>
      </c>
      <c r="R73" s="5">
        <v>0</v>
      </c>
      <c r="T73" s="5">
        <v>0.20691666666666667</v>
      </c>
      <c r="U73" s="5">
        <v>0.26303796714967087</v>
      </c>
      <c r="V73" s="5">
        <v>0.23265440375433333</v>
      </c>
      <c r="W73" s="5">
        <v>0.27569839029667892</v>
      </c>
      <c r="X73" s="5">
        <v>0.22449303247876939</v>
      </c>
      <c r="Y73" s="5">
        <v>0</v>
      </c>
      <c r="AA73" s="5">
        <v>6.6666666666666541E-2</v>
      </c>
      <c r="AB73" s="5">
        <v>0</v>
      </c>
      <c r="AC73" s="5">
        <v>0.10126829268292648</v>
      </c>
      <c r="AD73" s="5">
        <v>9.5454545454545459E-2</v>
      </c>
      <c r="AE73" s="5">
        <v>0</v>
      </c>
      <c r="AF73" s="5">
        <v>2.2544425120547321E-3</v>
      </c>
      <c r="AH73" s="5">
        <v>4.2999999999999997E-2</v>
      </c>
      <c r="AI73" s="5">
        <v>5.6247942458081616E-2</v>
      </c>
      <c r="AJ73" s="5">
        <v>0</v>
      </c>
      <c r="AK73" s="5">
        <v>0.60960468794671085</v>
      </c>
      <c r="AL73" s="5">
        <v>3.0105800384207355E-2</v>
      </c>
      <c r="AM73" s="5">
        <v>0</v>
      </c>
    </row>
    <row r="74" spans="1:39">
      <c r="A74" s="82">
        <f t="shared" ref="A74:A105" si="20">27-COUNT(M74:AM74)</f>
        <v>3</v>
      </c>
      <c r="B74" s="16" t="s">
        <v>135</v>
      </c>
      <c r="C74" s="15" t="s">
        <v>136</v>
      </c>
      <c r="D74" s="17">
        <v>0.40337185578922657</v>
      </c>
      <c r="E74" s="4">
        <v>0.295838015176831</v>
      </c>
      <c r="F74" s="4">
        <v>0.43680579176954831</v>
      </c>
      <c r="G74" s="6">
        <v>0.5153883073079808</v>
      </c>
      <c r="H74" s="6">
        <v>0.36545530890254635</v>
      </c>
      <c r="I74" s="90">
        <v>0.29033626997852152</v>
      </c>
      <c r="J74" s="90">
        <v>0.41944971497168937</v>
      </c>
      <c r="K74" s="90">
        <v>0.54880844573159038</v>
      </c>
      <c r="M74" s="5">
        <v>0.26666666666666672</v>
      </c>
      <c r="N74" s="5">
        <v>1.8458646616541351E-2</v>
      </c>
      <c r="O74" s="5">
        <v>0.18000000000000005</v>
      </c>
      <c r="P74" s="5">
        <v>0.28923611111111136</v>
      </c>
      <c r="Q74" s="5">
        <v>0.15066666666666667</v>
      </c>
      <c r="R74" s="5">
        <v>0.87</v>
      </c>
      <c r="T74" s="5">
        <v>0.36075000000000002</v>
      </c>
      <c r="U74" s="5">
        <v>0.49240000000000012</v>
      </c>
      <c r="V74" s="5">
        <v>0.98174962121216669</v>
      </c>
      <c r="W74" s="5">
        <v>0.1326677335932514</v>
      </c>
      <c r="X74" s="5">
        <v>0.33326739581187237</v>
      </c>
      <c r="Y74" s="5">
        <v>0.32</v>
      </c>
      <c r="AA74" s="5">
        <v>0.20833333333333315</v>
      </c>
      <c r="AB74" s="5">
        <v>0.91259999999999997</v>
      </c>
      <c r="AC74" s="5">
        <v>0.5636575609756096</v>
      </c>
      <c r="AD74" s="5">
        <v>0.86241134751773052</v>
      </c>
      <c r="AE74" s="5">
        <v>0.16788410981944557</v>
      </c>
      <c r="AF74" s="5">
        <v>0.37744349220176615</v>
      </c>
      <c r="AH74" s="5">
        <v>0</v>
      </c>
      <c r="AI74" s="5">
        <v>3.6769619731843672E-2</v>
      </c>
      <c r="AJ74" s="5">
        <v>0.45999999999999996</v>
      </c>
      <c r="AK74" s="5">
        <v>0.81230392693074305</v>
      </c>
      <c r="AL74" s="5">
        <v>3.2961237584600511E-2</v>
      </c>
      <c r="AM74" s="5">
        <v>0.85069706916809096</v>
      </c>
    </row>
    <row r="75" spans="1:39">
      <c r="A75" s="82">
        <f t="shared" si="20"/>
        <v>3</v>
      </c>
      <c r="B75" s="16" t="s">
        <v>137</v>
      </c>
      <c r="C75" s="15" t="s">
        <v>138</v>
      </c>
      <c r="D75" s="17">
        <v>0.19564864256461947</v>
      </c>
      <c r="E75" s="4">
        <v>0.24627672558922561</v>
      </c>
      <c r="F75" s="4">
        <v>0.23635134375148162</v>
      </c>
      <c r="G75" s="6">
        <v>0.12371643120997659</v>
      </c>
      <c r="H75" s="6">
        <v>0.17625006970779408</v>
      </c>
      <c r="I75" s="90">
        <v>0.2332451385939498</v>
      </c>
      <c r="J75" s="90">
        <v>0.24656045821894385</v>
      </c>
      <c r="K75" s="90">
        <v>6.2886175039137487E-2</v>
      </c>
      <c r="M75" s="5">
        <v>0.876</v>
      </c>
      <c r="N75" s="5">
        <v>0.13353535353535353</v>
      </c>
      <c r="O75" s="5">
        <v>0</v>
      </c>
      <c r="P75" s="5">
        <v>0.448125</v>
      </c>
      <c r="Q75" s="5">
        <v>0</v>
      </c>
      <c r="R75" s="5">
        <v>2.0000000000000018E-2</v>
      </c>
      <c r="T75" s="5">
        <v>0.27483333333333337</v>
      </c>
      <c r="U75" s="5">
        <v>0.38794180258051297</v>
      </c>
      <c r="V75" s="5">
        <v>0.26028730158733338</v>
      </c>
      <c r="W75" s="5">
        <v>0.12417901333623145</v>
      </c>
      <c r="X75" s="5">
        <v>0.37086661167147872</v>
      </c>
      <c r="Y75" s="5">
        <v>0</v>
      </c>
      <c r="AA75" s="5">
        <v>6.6666666666666541E-2</v>
      </c>
      <c r="AB75" s="5">
        <v>0.46548</v>
      </c>
      <c r="AC75" s="5">
        <v>9.6243902439024365E-2</v>
      </c>
      <c r="AD75" s="5">
        <v>0.11312217194570136</v>
      </c>
      <c r="AE75" s="5">
        <v>0</v>
      </c>
      <c r="AF75" s="5">
        <v>7.8584620846718892E-4</v>
      </c>
      <c r="AH75" s="5">
        <v>4.4999999999999998E-2</v>
      </c>
      <c r="AI75" s="5">
        <v>8.6387275857641999E-2</v>
      </c>
      <c r="AJ75" s="5">
        <v>0</v>
      </c>
      <c r="AK75" s="5">
        <v>0.69283311084308519</v>
      </c>
      <c r="AL75" s="5">
        <v>0.15128006206361522</v>
      </c>
      <c r="AM75" s="5">
        <v>8.1999969482422053E-2</v>
      </c>
    </row>
    <row r="76" spans="1:39">
      <c r="A76" s="82">
        <f t="shared" si="20"/>
        <v>3</v>
      </c>
      <c r="B76" s="16" t="s">
        <v>139</v>
      </c>
      <c r="C76" s="15" t="s">
        <v>140</v>
      </c>
      <c r="D76" s="17">
        <v>0.3012251274507971</v>
      </c>
      <c r="E76" s="4">
        <v>0.23910018518518525</v>
      </c>
      <c r="F76" s="4">
        <v>0.56268549254409772</v>
      </c>
      <c r="G76" s="6">
        <v>0.31666197829025533</v>
      </c>
      <c r="H76" s="6">
        <v>8.6452853783650044E-2</v>
      </c>
      <c r="I76" s="90">
        <v>0.25109473380249214</v>
      </c>
      <c r="J76" s="90">
        <v>0.36659969820722133</v>
      </c>
      <c r="K76" s="90">
        <v>0.27835886178861791</v>
      </c>
      <c r="M76" s="5">
        <v>0.70849999999999991</v>
      </c>
      <c r="N76" s="5">
        <v>0.49999000000000005</v>
      </c>
      <c r="O76" s="5">
        <v>5.0000000000000044E-2</v>
      </c>
      <c r="P76" s="5">
        <v>0.142777777777778</v>
      </c>
      <c r="Q76" s="5">
        <v>3.3333333333333335E-3</v>
      </c>
      <c r="R76" s="5">
        <v>3.0000000000000027E-2</v>
      </c>
      <c r="T76" s="5">
        <v>0.71158333333333335</v>
      </c>
      <c r="U76" s="5">
        <v>0.69079999999999997</v>
      </c>
      <c r="V76" s="5">
        <v>0.8</v>
      </c>
      <c r="W76" s="5">
        <v>7.3729621931252209E-2</v>
      </c>
      <c r="X76" s="5">
        <v>1</v>
      </c>
      <c r="Y76" s="5">
        <v>0.1</v>
      </c>
      <c r="AA76" s="5">
        <v>0.31666666666666676</v>
      </c>
      <c r="AB76" s="5">
        <v>0.64257600000000004</v>
      </c>
      <c r="AC76" s="5">
        <v>0.19015317073170734</v>
      </c>
      <c r="AD76" s="5">
        <v>0.24259520451339917</v>
      </c>
      <c r="AE76" s="5">
        <v>7.9808278297585564E-3</v>
      </c>
      <c r="AF76" s="5">
        <v>0.5</v>
      </c>
      <c r="AH76" s="5">
        <v>5.9000000000000004E-2</v>
      </c>
      <c r="AI76" s="5">
        <v>6.431711354662728E-2</v>
      </c>
      <c r="AJ76" s="5">
        <v>5.0000000000000044E-3</v>
      </c>
      <c r="AK76" s="5">
        <v>0</v>
      </c>
      <c r="AL76" s="5">
        <v>0</v>
      </c>
      <c r="AM76" s="5">
        <v>0.39040000915527306</v>
      </c>
    </row>
    <row r="77" spans="1:39">
      <c r="A77" s="82">
        <f t="shared" si="20"/>
        <v>3</v>
      </c>
      <c r="B77" s="16" t="s">
        <v>141</v>
      </c>
      <c r="C77" s="15" t="s">
        <v>142</v>
      </c>
      <c r="D77" s="17">
        <v>0.31495676873618905</v>
      </c>
      <c r="E77" s="4">
        <v>0.22792444095038436</v>
      </c>
      <c r="F77" s="4">
        <v>0.46078481748119221</v>
      </c>
      <c r="G77" s="6">
        <v>0.30719442543423908</v>
      </c>
      <c r="H77" s="6">
        <v>0.26392339107894053</v>
      </c>
      <c r="I77" s="90">
        <v>0.28871903268250027</v>
      </c>
      <c r="J77" s="90">
        <v>0.34792476195732935</v>
      </c>
      <c r="K77" s="90">
        <v>0.30486138298501186</v>
      </c>
      <c r="M77" s="5">
        <v>0.71650000000000003</v>
      </c>
      <c r="N77" s="5">
        <v>2.635220125786163E-2</v>
      </c>
      <c r="O77" s="5">
        <v>6.0000000000000053E-2</v>
      </c>
      <c r="P77" s="5">
        <v>0.29069444444444448</v>
      </c>
      <c r="Q77" s="5">
        <v>8.4000000000000005E-2</v>
      </c>
      <c r="R77" s="5">
        <v>0.18999999999999995</v>
      </c>
      <c r="T77" s="5">
        <v>0.49525000000000002</v>
      </c>
      <c r="U77" s="5">
        <v>0.50960000000000005</v>
      </c>
      <c r="V77" s="5">
        <v>0.79893310463122724</v>
      </c>
      <c r="W77" s="5">
        <v>2.7246098686015897E-2</v>
      </c>
      <c r="X77" s="5">
        <v>0.56367970156991021</v>
      </c>
      <c r="Y77" s="5">
        <v>0.37</v>
      </c>
      <c r="AA77" s="5">
        <v>0.2250000000000002</v>
      </c>
      <c r="AB77" s="5">
        <v>0.64</v>
      </c>
      <c r="AC77" s="5">
        <v>0.28889170731707314</v>
      </c>
      <c r="AD77" s="5">
        <v>0.5447941888619855</v>
      </c>
      <c r="AE77" s="5">
        <v>2.3137170464605113E-2</v>
      </c>
      <c r="AF77" s="5">
        <v>0.12134348596177072</v>
      </c>
      <c r="AH77" s="5">
        <v>0.02</v>
      </c>
      <c r="AI77" s="5">
        <v>1.3658502977646376E-2</v>
      </c>
      <c r="AJ77" s="5">
        <v>0.19499999999999995</v>
      </c>
      <c r="AK77" s="5">
        <v>0.61589528134594085</v>
      </c>
      <c r="AL77" s="5">
        <v>8.3986562150055982E-2</v>
      </c>
      <c r="AM77" s="5">
        <v>0.65500000000000003</v>
      </c>
    </row>
    <row r="78" spans="1:39">
      <c r="A78" s="82">
        <f t="shared" si="20"/>
        <v>3</v>
      </c>
      <c r="B78" s="16" t="s">
        <v>143</v>
      </c>
      <c r="C78" s="15" t="s">
        <v>144</v>
      </c>
      <c r="D78" s="17">
        <v>0.45931524408489904</v>
      </c>
      <c r="E78" s="4">
        <v>0.32253033841363493</v>
      </c>
      <c r="F78" s="4">
        <v>0.54361459929078715</v>
      </c>
      <c r="G78" s="6">
        <v>0.61214309028816527</v>
      </c>
      <c r="H78" s="6">
        <v>0.35897294834700882</v>
      </c>
      <c r="I78" s="90">
        <v>0.34689792010450105</v>
      </c>
      <c r="J78" s="90">
        <v>0.40684113291613688</v>
      </c>
      <c r="K78" s="90">
        <v>0.70665239680863923</v>
      </c>
      <c r="M78" s="5">
        <v>0.19683333333333342</v>
      </c>
      <c r="N78" s="5">
        <v>7.1681415929203537E-3</v>
      </c>
      <c r="O78" s="5">
        <v>0.29000000000000004</v>
      </c>
      <c r="P78" s="5">
        <v>0.31118055555555557</v>
      </c>
      <c r="Q78" s="5">
        <v>0.32</v>
      </c>
      <c r="R78" s="5">
        <v>0.81</v>
      </c>
      <c r="T78" s="5">
        <v>0.62008333333333332</v>
      </c>
      <c r="U78" s="5">
        <v>0.65079999999999993</v>
      </c>
      <c r="V78" s="5">
        <v>0.9318865825223589</v>
      </c>
      <c r="W78" s="5">
        <v>0.13569336261917214</v>
      </c>
      <c r="X78" s="5">
        <v>0.19322431726985859</v>
      </c>
      <c r="Y78" s="5">
        <v>0.73</v>
      </c>
      <c r="AA78" s="5">
        <v>0.20833333333333315</v>
      </c>
      <c r="AB78" s="5">
        <v>0.99280000000000002</v>
      </c>
      <c r="AC78" s="5">
        <v>0.53319951219512185</v>
      </c>
      <c r="AD78" s="5">
        <v>0.83774834437086088</v>
      </c>
      <c r="AE78" s="5">
        <v>0.15594906569532108</v>
      </c>
      <c r="AF78" s="5">
        <v>0.94482828613435499</v>
      </c>
      <c r="AH78" s="5">
        <v>2E-3</v>
      </c>
      <c r="AI78" s="5">
        <v>7.9528671305662296E-2</v>
      </c>
      <c r="AJ78" s="5">
        <v>0.79800000000000004</v>
      </c>
      <c r="AK78" s="5">
        <v>0.36</v>
      </c>
      <c r="AL78" s="5">
        <v>1.2209018394921048E-2</v>
      </c>
      <c r="AM78" s="5">
        <v>0.90210000038146965</v>
      </c>
    </row>
    <row r="79" spans="1:39">
      <c r="A79" s="82">
        <f t="shared" si="20"/>
        <v>3</v>
      </c>
      <c r="B79" s="16" t="s">
        <v>145</v>
      </c>
      <c r="C79" s="15" t="s">
        <v>146</v>
      </c>
      <c r="D79" s="17">
        <v>0.4962213521573407</v>
      </c>
      <c r="E79" s="4">
        <v>0.43622326762246111</v>
      </c>
      <c r="F79" s="4">
        <v>0.49607823338360829</v>
      </c>
      <c r="G79" s="6">
        <v>0.71141271615441148</v>
      </c>
      <c r="H79" s="6">
        <v>0.34117119146888203</v>
      </c>
      <c r="I79" s="90">
        <v>0.41729342354467541</v>
      </c>
      <c r="J79" s="90">
        <v>0.42649182562219834</v>
      </c>
      <c r="K79" s="90">
        <v>0.71920753487905242</v>
      </c>
      <c r="M79" s="5">
        <v>0.56024999999999991</v>
      </c>
      <c r="N79" s="5">
        <v>5.6451612903225803E-3</v>
      </c>
      <c r="O79" s="5">
        <v>0.39</v>
      </c>
      <c r="P79" s="5">
        <v>0.28944444444444439</v>
      </c>
      <c r="Q79" s="5">
        <v>0.58199999999999996</v>
      </c>
      <c r="R79" s="5">
        <v>0.79</v>
      </c>
      <c r="T79" s="5">
        <v>0.62008333333333332</v>
      </c>
      <c r="U79" s="5">
        <v>0.70080000000000009</v>
      </c>
      <c r="V79" s="5">
        <v>0.99882716049382714</v>
      </c>
      <c r="W79" s="5">
        <v>6.2340415508270963E-2</v>
      </c>
      <c r="X79" s="5">
        <v>0.19441849096621844</v>
      </c>
      <c r="Y79" s="5">
        <v>0.4</v>
      </c>
      <c r="AA79" s="5">
        <v>0.20833333333333315</v>
      </c>
      <c r="AB79" s="5">
        <v>0.95420000000000005</v>
      </c>
      <c r="AC79" s="5">
        <v>0.73641804878048767</v>
      </c>
      <c r="AD79" s="5">
        <v>0.94984646878198564</v>
      </c>
      <c r="AE79" s="5">
        <v>0.41967844603066284</v>
      </c>
      <c r="AF79" s="5">
        <v>1</v>
      </c>
      <c r="AH79" s="5">
        <v>0.127</v>
      </c>
      <c r="AI79" s="5">
        <v>0.26108433765315681</v>
      </c>
      <c r="AJ79" s="5">
        <v>0.88500000000000001</v>
      </c>
      <c r="AK79" s="5">
        <v>0</v>
      </c>
      <c r="AL79" s="5">
        <v>5.3342816500711238E-2</v>
      </c>
      <c r="AM79" s="5">
        <v>0.72059999465942393</v>
      </c>
    </row>
    <row r="80" spans="1:39">
      <c r="A80" s="82">
        <f t="shared" si="20"/>
        <v>3</v>
      </c>
      <c r="B80" s="16" t="s">
        <v>147</v>
      </c>
      <c r="C80" s="15" t="s">
        <v>148</v>
      </c>
      <c r="D80" s="17">
        <v>0.34943253027695043</v>
      </c>
      <c r="E80" s="4">
        <v>0.23691194098662982</v>
      </c>
      <c r="F80" s="4">
        <v>0.48129524549819552</v>
      </c>
      <c r="G80" s="6">
        <v>0.38786797107039611</v>
      </c>
      <c r="H80" s="6">
        <v>0.29165496355258036</v>
      </c>
      <c r="I80" s="90">
        <v>0.32100714913639022</v>
      </c>
      <c r="J80" s="90">
        <v>0.41507326199502975</v>
      </c>
      <c r="K80" s="90">
        <v>0.29360950441067185</v>
      </c>
      <c r="M80" s="5">
        <v>0.75875000000000004</v>
      </c>
      <c r="N80" s="5">
        <v>6.8049792531120331E-3</v>
      </c>
      <c r="O80" s="5">
        <v>6.0000000000000053E-2</v>
      </c>
      <c r="P80" s="5">
        <v>0.31791666666666685</v>
      </c>
      <c r="Q80" s="5">
        <v>8.7999999999999995E-2</v>
      </c>
      <c r="R80" s="5">
        <v>0.18999999999999995</v>
      </c>
      <c r="T80" s="5">
        <v>0.52233333333333332</v>
      </c>
      <c r="U80" s="5">
        <v>0.71560000000000001</v>
      </c>
      <c r="V80" s="5">
        <v>0.77102057473864771</v>
      </c>
      <c r="W80" s="5">
        <v>0.30186903087919043</v>
      </c>
      <c r="X80" s="5">
        <v>0.34694853403800174</v>
      </c>
      <c r="Y80" s="5">
        <v>0.22999999999999998</v>
      </c>
      <c r="AA80" s="5">
        <v>0.31666666666666676</v>
      </c>
      <c r="AB80" s="5">
        <v>0.79759999999999998</v>
      </c>
      <c r="AC80" s="5">
        <v>0.34819902439024364</v>
      </c>
      <c r="AD80" s="5">
        <v>0.39390862944162436</v>
      </c>
      <c r="AE80" s="5">
        <v>0.30839607858870255</v>
      </c>
      <c r="AF80" s="5">
        <v>0.16243742733513972</v>
      </c>
      <c r="AH80" s="5">
        <v>4.4999999999999998E-2</v>
      </c>
      <c r="AI80" s="5">
        <v>0.54630976702912593</v>
      </c>
      <c r="AJ80" s="5">
        <v>0.22499999999999998</v>
      </c>
      <c r="AK80" s="5">
        <v>0</v>
      </c>
      <c r="AL80" s="5">
        <v>7.6200152400304798E-3</v>
      </c>
      <c r="AM80" s="5">
        <v>0.92599999904632568</v>
      </c>
    </row>
    <row r="81" spans="1:39">
      <c r="A81" s="82">
        <f t="shared" si="20"/>
        <v>3</v>
      </c>
      <c r="B81" s="16" t="s">
        <v>149</v>
      </c>
      <c r="C81" s="15" t="s">
        <v>150</v>
      </c>
      <c r="D81" s="17">
        <v>0.48306227584482925</v>
      </c>
      <c r="E81" s="4">
        <v>0.38519266749821818</v>
      </c>
      <c r="F81" s="4">
        <v>0.57829151963384262</v>
      </c>
      <c r="G81" s="6">
        <v>0.52703099818691246</v>
      </c>
      <c r="H81" s="6">
        <v>0.44173391806034368</v>
      </c>
      <c r="I81" s="90">
        <v>0.42880236207112199</v>
      </c>
      <c r="J81" s="90">
        <v>0.46643349269622447</v>
      </c>
      <c r="K81" s="90">
        <v>0.5893953212282973</v>
      </c>
      <c r="M81" s="5">
        <v>0.57383333333333331</v>
      </c>
      <c r="N81" s="5">
        <v>8.5531004989308629E-2</v>
      </c>
      <c r="O81" s="5">
        <v>0.37</v>
      </c>
      <c r="P81" s="5">
        <v>0.16645833333333337</v>
      </c>
      <c r="Q81" s="5">
        <v>0.28533333333333333</v>
      </c>
      <c r="R81" s="5">
        <v>0.83</v>
      </c>
      <c r="T81" s="5">
        <v>0.71158333333333335</v>
      </c>
      <c r="U81" s="5">
        <v>0.51780000000000004</v>
      </c>
      <c r="V81" s="5">
        <v>0.99729629629629635</v>
      </c>
      <c r="W81" s="5">
        <v>8.8303195086754535E-2</v>
      </c>
      <c r="X81" s="5">
        <v>0.55476629308667136</v>
      </c>
      <c r="Y81" s="5">
        <v>0.6</v>
      </c>
      <c r="AA81" s="5">
        <v>0.2250000000000002</v>
      </c>
      <c r="AB81" s="5">
        <v>0.98119999999999996</v>
      </c>
      <c r="AC81" s="5">
        <v>0.47129463414634143</v>
      </c>
      <c r="AD81" s="5">
        <v>0.84234930448222567</v>
      </c>
      <c r="AE81" s="5">
        <v>0.37456105356576225</v>
      </c>
      <c r="AF81" s="5">
        <v>0.26778099692714552</v>
      </c>
      <c r="AH81" s="5">
        <v>3.7999999999999999E-2</v>
      </c>
      <c r="AI81" s="5">
        <v>9.1850650691748276E-2</v>
      </c>
      <c r="AJ81" s="5">
        <v>0.61499999999999999</v>
      </c>
      <c r="AK81" s="5">
        <v>0.54985909096980135</v>
      </c>
      <c r="AL81" s="5">
        <v>0.59869375907111755</v>
      </c>
      <c r="AM81" s="5">
        <v>0.75700000762939501</v>
      </c>
    </row>
    <row r="82" spans="1:39">
      <c r="A82" s="82">
        <f t="shared" si="20"/>
        <v>3</v>
      </c>
      <c r="B82" s="16" t="s">
        <v>151</v>
      </c>
      <c r="C82" s="15" t="s">
        <v>152</v>
      </c>
      <c r="D82" s="17">
        <v>0.32630478570352112</v>
      </c>
      <c r="E82" s="4">
        <v>0.23207211445652889</v>
      </c>
      <c r="F82" s="4">
        <v>0.40896397454990291</v>
      </c>
      <c r="G82" s="6">
        <v>0.32438625616136246</v>
      </c>
      <c r="H82" s="6">
        <v>0.33979679764629017</v>
      </c>
      <c r="I82" s="90">
        <v>0.28859098825572355</v>
      </c>
      <c r="J82" s="90">
        <v>0.39646284132906129</v>
      </c>
      <c r="K82" s="90">
        <v>0.27763839843690724</v>
      </c>
      <c r="M82" s="5">
        <v>0.61591666666666667</v>
      </c>
      <c r="N82" s="5">
        <v>1.2446575628062128E-2</v>
      </c>
      <c r="O82" s="5">
        <v>0.14000000000000001</v>
      </c>
      <c r="P82" s="5">
        <v>0.26340277777777787</v>
      </c>
      <c r="Q82" s="5">
        <v>7.0666666666666669E-2</v>
      </c>
      <c r="R82" s="5">
        <v>0.29000000000000004</v>
      </c>
      <c r="T82" s="5">
        <v>0.49525000000000002</v>
      </c>
      <c r="U82" s="5">
        <v>0.51659999999999995</v>
      </c>
      <c r="V82" s="5">
        <v>0.73930002771586834</v>
      </c>
      <c r="W82" s="5">
        <v>9.489889960288389E-2</v>
      </c>
      <c r="X82" s="5">
        <v>0.46773491998066524</v>
      </c>
      <c r="Y82" s="5">
        <v>0.13999999999999999</v>
      </c>
      <c r="AA82" s="5">
        <v>0.31666666666666676</v>
      </c>
      <c r="AB82" s="5">
        <v>0.87160000000000004</v>
      </c>
      <c r="AC82" s="5">
        <v>0.25189073170731713</v>
      </c>
      <c r="AD82" s="5">
        <v>0.32271762208067939</v>
      </c>
      <c r="AE82" s="5">
        <v>7.8802885315253382E-2</v>
      </c>
      <c r="AF82" s="5">
        <v>0.10463963119825796</v>
      </c>
      <c r="AH82" s="5">
        <v>4.4000000000000004E-2</v>
      </c>
      <c r="AI82" s="5">
        <v>4.6211245771682695E-2</v>
      </c>
      <c r="AJ82" s="5">
        <v>0.29700000000000004</v>
      </c>
      <c r="AK82" s="5">
        <v>0.70810327478452439</v>
      </c>
      <c r="AL82" s="5">
        <v>0.14746626150683706</v>
      </c>
      <c r="AM82" s="5">
        <v>0.79600000381469704</v>
      </c>
    </row>
    <row r="83" spans="1:39">
      <c r="A83" s="82">
        <f t="shared" si="20"/>
        <v>3</v>
      </c>
      <c r="B83" s="16" t="s">
        <v>153</v>
      </c>
      <c r="C83" s="15" t="s">
        <v>154</v>
      </c>
      <c r="D83" s="17">
        <v>0.21868403983759668</v>
      </c>
      <c r="E83" s="4">
        <v>0.20080804843304847</v>
      </c>
      <c r="F83" s="4">
        <v>0.20298739777378214</v>
      </c>
      <c r="G83" s="6">
        <v>0.25265902359969367</v>
      </c>
      <c r="H83" s="6">
        <v>0.21828168954386248</v>
      </c>
      <c r="I83" s="90">
        <v>0.29185601088586693</v>
      </c>
      <c r="J83" s="90">
        <v>0.22097015308195511</v>
      </c>
      <c r="K83" s="90">
        <v>0.1054969133986537</v>
      </c>
      <c r="M83" s="5">
        <v>0.52133333333333343</v>
      </c>
      <c r="N83" s="5">
        <v>5.6153846153846151E-2</v>
      </c>
      <c r="O83" s="5">
        <v>0</v>
      </c>
      <c r="P83" s="5">
        <v>0.62736111111111126</v>
      </c>
      <c r="Q83" s="5">
        <v>0</v>
      </c>
      <c r="R83" s="5">
        <v>0</v>
      </c>
      <c r="T83" s="5">
        <v>0.23600000000000002</v>
      </c>
      <c r="U83" s="5">
        <v>0.32094634497671143</v>
      </c>
      <c r="V83" s="5">
        <v>0.40650258354900481</v>
      </c>
      <c r="W83" s="5">
        <v>0.20507998627562399</v>
      </c>
      <c r="X83" s="5">
        <v>4.939547184135254E-2</v>
      </c>
      <c r="Y83" s="5">
        <v>0</v>
      </c>
      <c r="AA83" s="5">
        <v>0.87499999999999967</v>
      </c>
      <c r="AB83" s="5">
        <v>0.36972000000000005</v>
      </c>
      <c r="AC83" s="5">
        <v>0.22190243902439022</v>
      </c>
      <c r="AD83" s="5">
        <v>4.4755244755244755E-2</v>
      </c>
      <c r="AE83" s="5">
        <v>0</v>
      </c>
      <c r="AF83" s="5">
        <v>4.5764578185272459E-3</v>
      </c>
      <c r="AH83" s="5">
        <v>0</v>
      </c>
      <c r="AI83" s="5">
        <v>0</v>
      </c>
      <c r="AJ83" s="5">
        <v>0</v>
      </c>
      <c r="AK83" s="5">
        <v>0.5690157147656858</v>
      </c>
      <c r="AL83" s="5">
        <v>0.11717442249748912</v>
      </c>
      <c r="AM83" s="5">
        <v>0.62349999999999994</v>
      </c>
    </row>
    <row r="84" spans="1:39">
      <c r="A84" s="82">
        <f t="shared" si="20"/>
        <v>3</v>
      </c>
      <c r="B84" s="16" t="s">
        <v>155</v>
      </c>
      <c r="C84" s="15" t="s">
        <v>156</v>
      </c>
      <c r="D84" s="17">
        <v>0.20582020984914356</v>
      </c>
      <c r="E84" s="4">
        <v>0.13201361655773422</v>
      </c>
      <c r="F84" s="4">
        <v>0.38566149633958169</v>
      </c>
      <c r="G84" s="6">
        <v>3.9034026359836209E-2</v>
      </c>
      <c r="H84" s="6">
        <v>0.26657170013942216</v>
      </c>
      <c r="I84" s="90">
        <v>0.18972208292866158</v>
      </c>
      <c r="J84" s="90">
        <v>0.29540484184411397</v>
      </c>
      <c r="K84" s="90">
        <v>9.5590452237410931E-2</v>
      </c>
      <c r="M84" s="5">
        <v>0.36166666666666669</v>
      </c>
      <c r="N84" s="5">
        <v>9.7058823529411762E-4</v>
      </c>
      <c r="O84" s="5">
        <v>0</v>
      </c>
      <c r="P84" s="5">
        <v>0.42944444444444441</v>
      </c>
      <c r="Q84" s="5">
        <v>0</v>
      </c>
      <c r="R84" s="5">
        <v>0</v>
      </c>
      <c r="T84" s="5">
        <v>0.44466666666666665</v>
      </c>
      <c r="U84" s="5">
        <v>7.8242787525198476E-2</v>
      </c>
      <c r="V84" s="5">
        <v>0.5</v>
      </c>
      <c r="W84" s="5">
        <v>0.29105952384562489</v>
      </c>
      <c r="X84" s="5">
        <v>1</v>
      </c>
      <c r="Y84" s="5">
        <v>0</v>
      </c>
      <c r="AA84" s="5">
        <v>6.6666666666666541E-2</v>
      </c>
      <c r="AB84" s="5">
        <v>0</v>
      </c>
      <c r="AC84" s="5">
        <v>7.0878048780487535E-2</v>
      </c>
      <c r="AD84" s="5">
        <v>9.3994778067885115E-2</v>
      </c>
      <c r="AE84" s="5">
        <v>0</v>
      </c>
      <c r="AF84" s="5">
        <v>2.6646646439780655E-3</v>
      </c>
      <c r="AH84" s="5">
        <v>0.02</v>
      </c>
      <c r="AI84" s="5">
        <v>0.17163011571269635</v>
      </c>
      <c r="AJ84" s="5">
        <v>0</v>
      </c>
      <c r="AK84" s="5">
        <v>0.77421639413671284</v>
      </c>
      <c r="AL84" s="5">
        <v>0</v>
      </c>
      <c r="AM84" s="5">
        <v>0.63358369098712397</v>
      </c>
    </row>
    <row r="85" spans="1:39">
      <c r="A85" s="82">
        <f t="shared" si="20"/>
        <v>3</v>
      </c>
      <c r="B85" s="16" t="s">
        <v>157</v>
      </c>
      <c r="C85" s="15" t="s">
        <v>158</v>
      </c>
      <c r="D85" s="17">
        <v>0.4075419829803269</v>
      </c>
      <c r="E85" s="4">
        <v>0.33719189705796843</v>
      </c>
      <c r="F85" s="4">
        <v>0.6463207665188585</v>
      </c>
      <c r="G85" s="6">
        <v>0.42687161549321934</v>
      </c>
      <c r="H85" s="6">
        <v>0.21978365285126125</v>
      </c>
      <c r="I85" s="90">
        <v>0.41882770721849305</v>
      </c>
      <c r="J85" s="90">
        <v>0.34739557736341936</v>
      </c>
      <c r="K85" s="90">
        <v>0.48083300504843884</v>
      </c>
      <c r="M85" s="5">
        <v>0.31099999999999994</v>
      </c>
      <c r="N85" s="5">
        <v>0.39822082679225529</v>
      </c>
      <c r="O85" s="5">
        <v>0.12</v>
      </c>
      <c r="P85" s="5">
        <v>0.29326388888888888</v>
      </c>
      <c r="Q85" s="5">
        <v>0.21066666666666667</v>
      </c>
      <c r="R85" s="5">
        <v>0.69</v>
      </c>
      <c r="T85" s="5">
        <v>0.6825</v>
      </c>
      <c r="U85" s="5">
        <v>0.70179999999999998</v>
      </c>
      <c r="V85" s="5">
        <v>0.48010836770007603</v>
      </c>
      <c r="W85" s="5">
        <v>1</v>
      </c>
      <c r="X85" s="5">
        <v>1.3516231413074694E-2</v>
      </c>
      <c r="Y85" s="5">
        <v>1</v>
      </c>
      <c r="AA85" s="5">
        <v>0.44999999999999984</v>
      </c>
      <c r="AB85" s="5">
        <v>0.87204000000000004</v>
      </c>
      <c r="AC85" s="5">
        <v>0.41895463414634126</v>
      </c>
      <c r="AD85" s="5">
        <v>0.63295553618134259</v>
      </c>
      <c r="AE85" s="5">
        <v>1.1344494187416303E-2</v>
      </c>
      <c r="AF85" s="5">
        <v>0.1759350284442161</v>
      </c>
      <c r="AH85" s="5">
        <v>1.9E-2</v>
      </c>
      <c r="AI85" s="5">
        <v>6.2694538166016847E-2</v>
      </c>
      <c r="AJ85" s="5">
        <v>0.35499999999999998</v>
      </c>
      <c r="AK85" s="5">
        <v>0.34968403219254518</v>
      </c>
      <c r="AL85" s="5">
        <v>2.5729939896205759E-2</v>
      </c>
      <c r="AM85" s="5">
        <v>0.50659340685279997</v>
      </c>
    </row>
    <row r="86" spans="1:39">
      <c r="A86" s="82">
        <f t="shared" si="20"/>
        <v>3</v>
      </c>
      <c r="B86" s="16" t="s">
        <v>159</v>
      </c>
      <c r="C86" s="15" t="s">
        <v>160</v>
      </c>
      <c r="D86" s="17">
        <v>0.29257959233119735</v>
      </c>
      <c r="E86" s="4">
        <v>0.24155420381376916</v>
      </c>
      <c r="F86" s="4">
        <v>0.43377837827631271</v>
      </c>
      <c r="G86" s="6">
        <v>0.30610826502820471</v>
      </c>
      <c r="H86" s="6">
        <v>0.18887752220650289</v>
      </c>
      <c r="I86" s="90">
        <v>0.24547020781795481</v>
      </c>
      <c r="J86" s="90">
        <v>0.24494718499635748</v>
      </c>
      <c r="K86" s="90">
        <v>0.43469228010332106</v>
      </c>
      <c r="M86" s="5">
        <v>0.49758333333333338</v>
      </c>
      <c r="N86" s="5">
        <v>5.6116889549281825E-2</v>
      </c>
      <c r="O86" s="5">
        <v>0.19999999999999996</v>
      </c>
      <c r="P86" s="5">
        <v>0.12895833333333329</v>
      </c>
      <c r="Q86" s="5">
        <v>8.666666666666667E-2</v>
      </c>
      <c r="R86" s="5">
        <v>0.48</v>
      </c>
      <c r="T86" s="5">
        <v>0.41483333333333333</v>
      </c>
      <c r="U86" s="5">
        <v>0.47419999999999995</v>
      </c>
      <c r="V86" s="5">
        <v>0.65774975840959615</v>
      </c>
      <c r="W86" s="5">
        <v>5.6932057425031032E-2</v>
      </c>
      <c r="X86" s="5">
        <v>0.1389551204899159</v>
      </c>
      <c r="Y86" s="5">
        <v>0.86</v>
      </c>
      <c r="AA86" s="5">
        <v>7.5000000000000067E-2</v>
      </c>
      <c r="AB86" s="5">
        <v>0.82528000000000001</v>
      </c>
      <c r="AC86" s="5">
        <v>0.27635731707317068</v>
      </c>
      <c r="AD86" s="5">
        <v>0.50780437044745053</v>
      </c>
      <c r="AE86" s="5">
        <v>1.8161297511447447E-2</v>
      </c>
      <c r="AF86" s="5">
        <v>0.13404660513715966</v>
      </c>
      <c r="AH86" s="5">
        <v>0.14000000000000001</v>
      </c>
      <c r="AI86" s="5">
        <v>0.19620963744431971</v>
      </c>
      <c r="AJ86" s="5">
        <v>0.35499999999999998</v>
      </c>
      <c r="AK86" s="5">
        <v>0</v>
      </c>
      <c r="AL86" s="5">
        <v>3.3120442489111654E-2</v>
      </c>
      <c r="AM86" s="5">
        <v>0.40893505330558599</v>
      </c>
    </row>
    <row r="87" spans="1:39">
      <c r="A87" s="82">
        <f t="shared" si="20"/>
        <v>3</v>
      </c>
      <c r="B87" s="16" t="s">
        <v>161</v>
      </c>
      <c r="C87" s="15" t="s">
        <v>162</v>
      </c>
      <c r="D87" s="17">
        <v>0.24491545306244852</v>
      </c>
      <c r="E87" s="4">
        <v>0.38678598484848487</v>
      </c>
      <c r="F87" s="4">
        <v>0.30120042178709194</v>
      </c>
      <c r="G87" s="6">
        <v>0.23453826725341867</v>
      </c>
      <c r="H87" s="6">
        <v>5.7137138360798721E-2</v>
      </c>
      <c r="I87" s="90">
        <v>0.24007204764580939</v>
      </c>
      <c r="J87" s="90">
        <v>0.27787707072291157</v>
      </c>
      <c r="K87" s="90">
        <v>0.20273813469671287</v>
      </c>
      <c r="M87" s="5">
        <v>0.58216666666666672</v>
      </c>
      <c r="N87" s="5">
        <v>0.67709090909090908</v>
      </c>
      <c r="O87" s="5">
        <v>6.9999999999999951E-2</v>
      </c>
      <c r="P87" s="5">
        <v>0.62145833333333345</v>
      </c>
      <c r="Q87" s="5">
        <v>0.2</v>
      </c>
      <c r="R87" s="5">
        <v>0.17000000000000004</v>
      </c>
      <c r="T87" s="5">
        <v>0.56741666666666668</v>
      </c>
      <c r="U87" s="5">
        <v>0.31019999999999992</v>
      </c>
      <c r="V87" s="5">
        <v>0.54377716687058575</v>
      </c>
      <c r="W87" s="5">
        <v>4.718511913096169E-2</v>
      </c>
      <c r="X87" s="5">
        <v>0.18862357805433766</v>
      </c>
      <c r="Y87" s="5">
        <v>0.15</v>
      </c>
      <c r="AA87" s="5">
        <v>7.5000000000000067E-2</v>
      </c>
      <c r="AB87" s="5">
        <v>0.83640000000000003</v>
      </c>
      <c r="AC87" s="5">
        <v>0.26619756097560976</v>
      </c>
      <c r="AD87" s="5">
        <v>0.21271076523994811</v>
      </c>
      <c r="AE87" s="5">
        <v>4.671969708723374E-4</v>
      </c>
      <c r="AF87" s="5">
        <v>1.6454080334081855E-2</v>
      </c>
      <c r="AH87" s="5">
        <v>1.2E-2</v>
      </c>
      <c r="AI87" s="5">
        <v>2.1085371934435892E-2</v>
      </c>
      <c r="AJ87" s="5">
        <v>1.5999999999999903E-2</v>
      </c>
      <c r="AK87" s="5">
        <v>0</v>
      </c>
      <c r="AL87" s="5">
        <v>2.6710877774707563E-2</v>
      </c>
      <c r="AM87" s="5">
        <v>0.26702658045564898</v>
      </c>
    </row>
    <row r="88" spans="1:39">
      <c r="A88" s="82">
        <f t="shared" si="20"/>
        <v>3</v>
      </c>
      <c r="B88" s="16" t="s">
        <v>163</v>
      </c>
      <c r="C88" s="15" t="s">
        <v>164</v>
      </c>
      <c r="D88" s="17">
        <v>0.37618888746430307</v>
      </c>
      <c r="E88" s="4">
        <v>0.52580163650457756</v>
      </c>
      <c r="F88" s="4">
        <v>0.50326177050016119</v>
      </c>
      <c r="G88" s="6">
        <v>0.39862823836030198</v>
      </c>
      <c r="H88" s="6">
        <v>7.706390449217175E-2</v>
      </c>
      <c r="I88" s="90">
        <v>0.40776269863828007</v>
      </c>
      <c r="J88" s="90">
        <v>0.40323457113609407</v>
      </c>
      <c r="K88" s="90">
        <v>0.28825964519565123</v>
      </c>
      <c r="M88" s="5">
        <v>0.89524999999999999</v>
      </c>
      <c r="N88" s="5">
        <v>0.87276815236079874</v>
      </c>
      <c r="O88" s="5">
        <v>0.20999999999999996</v>
      </c>
      <c r="P88" s="5">
        <v>0.65145833333333347</v>
      </c>
      <c r="Q88" s="5">
        <v>0.25533333333333336</v>
      </c>
      <c r="R88" s="5">
        <v>0.27</v>
      </c>
      <c r="T88" s="5">
        <v>0.73658333333333337</v>
      </c>
      <c r="U88" s="5">
        <v>0.33499999999999974</v>
      </c>
      <c r="V88" s="5">
        <v>0.68917320261437909</v>
      </c>
      <c r="W88" s="5">
        <v>0.1188140870532549</v>
      </c>
      <c r="X88" s="5">
        <v>1</v>
      </c>
      <c r="Y88" s="5">
        <v>0.13999999999999999</v>
      </c>
      <c r="AA88" s="5">
        <v>0.7833333333333331</v>
      </c>
      <c r="AB88" s="5">
        <v>0.86199999999999999</v>
      </c>
      <c r="AC88" s="5">
        <v>0.33690634146341436</v>
      </c>
      <c r="AD88" s="5">
        <v>0.29499561018437226</v>
      </c>
      <c r="AE88" s="5">
        <v>3.1055818084577913E-2</v>
      </c>
      <c r="AF88" s="5">
        <v>8.3478327096113941E-2</v>
      </c>
      <c r="AH88" s="5">
        <v>3.6000000000000004E-2</v>
      </c>
      <c r="AI88" s="5">
        <v>0.11595386696371496</v>
      </c>
      <c r="AJ88" s="5">
        <v>0.15000000000000002</v>
      </c>
      <c r="AK88" s="5">
        <v>0</v>
      </c>
      <c r="AL88" s="5">
        <v>3.4295905068934766E-3</v>
      </c>
      <c r="AM88" s="5">
        <v>0.15699996948242201</v>
      </c>
    </row>
    <row r="89" spans="1:39">
      <c r="A89" s="82">
        <f t="shared" si="20"/>
        <v>3</v>
      </c>
      <c r="B89" s="16" t="s">
        <v>165</v>
      </c>
      <c r="C89" s="15" t="s">
        <v>166</v>
      </c>
      <c r="D89" s="17">
        <v>0.15907834972474766</v>
      </c>
      <c r="E89" s="4">
        <v>0.11464120370370372</v>
      </c>
      <c r="F89" s="4">
        <v>0.28981738562073617</v>
      </c>
      <c r="G89" s="6">
        <v>5.1304566934173762E-2</v>
      </c>
      <c r="H89" s="6">
        <v>0.180550242640377</v>
      </c>
      <c r="I89" s="90">
        <v>0.20579528730544372</v>
      </c>
      <c r="J89" s="90">
        <v>0.20492399863282096</v>
      </c>
      <c r="K89" s="90">
        <v>2.0234469991593628E-2</v>
      </c>
      <c r="M89" s="5">
        <v>0.46875</v>
      </c>
      <c r="N89" s="5">
        <v>0</v>
      </c>
      <c r="O89" s="5">
        <v>0</v>
      </c>
      <c r="P89" s="5">
        <v>0.20909722222222227</v>
      </c>
      <c r="Q89" s="5">
        <v>0</v>
      </c>
      <c r="R89" s="5">
        <v>1.0000000000000009E-2</v>
      </c>
      <c r="T89" s="5">
        <v>0.23600000000000002</v>
      </c>
      <c r="U89" s="5">
        <v>0.38768570615036668</v>
      </c>
      <c r="V89" s="5">
        <v>0</v>
      </c>
      <c r="W89" s="5">
        <v>0.6603420971565277</v>
      </c>
      <c r="X89" s="5">
        <v>0.45487651041752242</v>
      </c>
      <c r="Y89" s="5">
        <v>0</v>
      </c>
      <c r="AA89" s="5">
        <v>6.6666666666666541E-2</v>
      </c>
      <c r="AB89" s="5">
        <v>0</v>
      </c>
      <c r="AC89" s="5">
        <v>0.10999999999999999</v>
      </c>
      <c r="AD89" s="5">
        <v>0.12975391498881431</v>
      </c>
      <c r="AE89" s="5">
        <v>0</v>
      </c>
      <c r="AF89" s="5">
        <v>1.4068199495617616E-3</v>
      </c>
      <c r="AH89" s="5">
        <v>3.7999999999999999E-2</v>
      </c>
      <c r="AI89" s="5">
        <v>0.1020940659426844</v>
      </c>
      <c r="AJ89" s="5">
        <v>0</v>
      </c>
      <c r="AK89" s="5">
        <v>0.89965970518481486</v>
      </c>
      <c r="AL89" s="5">
        <v>4.3547684714762669E-2</v>
      </c>
      <c r="AM89" s="5">
        <v>0</v>
      </c>
    </row>
    <row r="90" spans="1:39">
      <c r="A90" s="82">
        <f t="shared" si="20"/>
        <v>3</v>
      </c>
      <c r="B90" s="16" t="s">
        <v>167</v>
      </c>
      <c r="C90" s="15" t="s">
        <v>168</v>
      </c>
      <c r="D90" s="17">
        <v>0.23191858172770582</v>
      </c>
      <c r="E90" s="4">
        <v>0.35896296296296298</v>
      </c>
      <c r="F90" s="4">
        <v>0.27134383012769364</v>
      </c>
      <c r="G90" s="6">
        <v>0.1102197641480865</v>
      </c>
      <c r="H90" s="6">
        <v>0.18714776967208013</v>
      </c>
      <c r="I90" s="90">
        <v>0.25371956758499337</v>
      </c>
      <c r="J90" s="90">
        <v>0.34774546242615956</v>
      </c>
      <c r="K90" s="90">
        <v>2.54767818940939E-2</v>
      </c>
      <c r="M90" s="5">
        <v>0.71058333333333334</v>
      </c>
      <c r="N90" s="5">
        <v>1</v>
      </c>
      <c r="O90" s="5">
        <v>0</v>
      </c>
      <c r="P90" s="5">
        <v>0.44319444444444456</v>
      </c>
      <c r="Q90" s="5">
        <v>0</v>
      </c>
      <c r="R90" s="5">
        <v>0</v>
      </c>
      <c r="T90" s="5">
        <v>0.54108333333333336</v>
      </c>
      <c r="U90" s="5">
        <v>8.305153866751061E-2</v>
      </c>
      <c r="V90" s="5">
        <v>7.9052038448833351E-2</v>
      </c>
      <c r="W90" s="5">
        <v>0.14615290251930205</v>
      </c>
      <c r="X90" s="5">
        <v>0.77872316779718265</v>
      </c>
      <c r="Y90" s="5">
        <v>0</v>
      </c>
      <c r="AA90" s="5">
        <v>6.6666666666666541E-2</v>
      </c>
      <c r="AB90" s="5">
        <v>0.36268</v>
      </c>
      <c r="AC90" s="5">
        <v>6.8926829268292522E-2</v>
      </c>
      <c r="AD90" s="5">
        <v>0.15816326530612246</v>
      </c>
      <c r="AE90" s="5">
        <v>0</v>
      </c>
      <c r="AF90" s="5">
        <v>4.8818236474375406E-3</v>
      </c>
      <c r="AH90" s="5">
        <v>7.9000000000000001E-2</v>
      </c>
      <c r="AI90" s="5">
        <v>5.3787903926616636E-2</v>
      </c>
      <c r="AJ90" s="5">
        <v>0</v>
      </c>
      <c r="AK90" s="5">
        <v>0.85146655144412664</v>
      </c>
      <c r="AL90" s="5">
        <v>0.13863216266173753</v>
      </c>
      <c r="AM90" s="5">
        <v>0</v>
      </c>
    </row>
    <row r="91" spans="1:39">
      <c r="A91" s="82">
        <f t="shared" si="20"/>
        <v>3</v>
      </c>
      <c r="B91" s="16" t="s">
        <v>169</v>
      </c>
      <c r="C91" s="15" t="s">
        <v>170</v>
      </c>
      <c r="D91" s="17">
        <v>0.18860220383297119</v>
      </c>
      <c r="E91" s="4">
        <v>0.2222139443089195</v>
      </c>
      <c r="F91" s="4">
        <v>0.264200392690846</v>
      </c>
      <c r="G91" s="6">
        <v>8.8641233419140167E-2</v>
      </c>
      <c r="H91" s="6">
        <v>0.17935324491297908</v>
      </c>
      <c r="I91" s="90">
        <v>0.22158967353282863</v>
      </c>
      <c r="J91" s="90">
        <v>0.24658286945605137</v>
      </c>
      <c r="K91" s="90">
        <v>5.2150000848564609E-2</v>
      </c>
      <c r="M91" s="5">
        <v>0.63358333333333339</v>
      </c>
      <c r="N91" s="5">
        <v>0.23685311029796133</v>
      </c>
      <c r="O91" s="5">
        <v>0</v>
      </c>
      <c r="P91" s="5">
        <v>0.4628472222222223</v>
      </c>
      <c r="Q91" s="5">
        <v>0</v>
      </c>
      <c r="R91" s="5">
        <v>0</v>
      </c>
      <c r="T91" s="5">
        <v>0.26925000000000004</v>
      </c>
      <c r="U91" s="5">
        <v>0.3179764172382572</v>
      </c>
      <c r="V91" s="5">
        <v>0.2399901850813333</v>
      </c>
      <c r="W91" s="5">
        <v>0.36291473929328533</v>
      </c>
      <c r="X91" s="5">
        <v>0.39507101453220006</v>
      </c>
      <c r="Y91" s="5">
        <v>0</v>
      </c>
      <c r="AA91" s="5">
        <v>6.6666666666666541E-2</v>
      </c>
      <c r="AB91" s="5">
        <v>0.30871999999999999</v>
      </c>
      <c r="AC91" s="5">
        <v>7.1268292682926782E-2</v>
      </c>
      <c r="AD91" s="5">
        <v>8.3550913838120106E-2</v>
      </c>
      <c r="AE91" s="5">
        <v>0</v>
      </c>
      <c r="AF91" s="5">
        <v>1.6415273271275801E-3</v>
      </c>
      <c r="AH91" s="5">
        <v>3.9E-2</v>
      </c>
      <c r="AI91" s="5">
        <v>9.2841981604747215E-2</v>
      </c>
      <c r="AJ91" s="5">
        <v>0</v>
      </c>
      <c r="AK91" s="5">
        <v>0.86778330143129667</v>
      </c>
      <c r="AL91" s="5">
        <v>7.6494186441830425E-2</v>
      </c>
      <c r="AM91" s="5">
        <v>0</v>
      </c>
    </row>
    <row r="92" spans="1:39">
      <c r="A92" s="82">
        <f t="shared" si="20"/>
        <v>3</v>
      </c>
      <c r="B92" s="16" t="s">
        <v>171</v>
      </c>
      <c r="C92" s="15" t="s">
        <v>172</v>
      </c>
      <c r="D92" s="17">
        <v>0.31967940189512561</v>
      </c>
      <c r="E92" s="4">
        <v>0.18106671314019254</v>
      </c>
      <c r="F92" s="4">
        <v>0.50955130026730366</v>
      </c>
      <c r="G92" s="6">
        <v>0.31656329548975853</v>
      </c>
      <c r="H92" s="6">
        <v>0.27153629868324775</v>
      </c>
      <c r="I92" s="90">
        <v>0.29998488260232231</v>
      </c>
      <c r="J92" s="90">
        <v>0.40491918801456611</v>
      </c>
      <c r="K92" s="90">
        <v>0.22136150165516966</v>
      </c>
      <c r="M92" s="5">
        <v>0.61975000000000002</v>
      </c>
      <c r="N92" s="5">
        <v>6.2122501063377286E-2</v>
      </c>
      <c r="O92" s="5">
        <v>6.0000000000000053E-2</v>
      </c>
      <c r="P92" s="5">
        <v>0.14319444444444451</v>
      </c>
      <c r="Q92" s="5">
        <v>3.1333333333333331E-2</v>
      </c>
      <c r="R92" s="5">
        <v>0.17000000000000004</v>
      </c>
      <c r="T92" s="5">
        <v>0.71158333333333335</v>
      </c>
      <c r="U92" s="5">
        <v>0.46533502534583138</v>
      </c>
      <c r="V92" s="5">
        <v>0.7139586206896551</v>
      </c>
      <c r="W92" s="5">
        <v>9.6430822235001809E-2</v>
      </c>
      <c r="X92" s="5">
        <v>1</v>
      </c>
      <c r="Y92" s="5">
        <v>6.9999999999999993E-2</v>
      </c>
      <c r="AA92" s="5">
        <v>0.31666666666666676</v>
      </c>
      <c r="AB92" s="5">
        <v>0.83400000000000007</v>
      </c>
      <c r="AC92" s="5">
        <v>0.25878487804878003</v>
      </c>
      <c r="AD92" s="5">
        <v>0.41623036649214662</v>
      </c>
      <c r="AE92" s="5">
        <v>1.827235053837456E-2</v>
      </c>
      <c r="AF92" s="5">
        <v>5.5425511192582752E-2</v>
      </c>
      <c r="AH92" s="5">
        <v>3.9E-2</v>
      </c>
      <c r="AI92" s="5">
        <v>7.8784836407009479E-2</v>
      </c>
      <c r="AJ92" s="5">
        <v>7.999999999999996E-2</v>
      </c>
      <c r="AK92" s="5">
        <v>0.88722463323613854</v>
      </c>
      <c r="AL92" s="5">
        <v>0.27700831024930744</v>
      </c>
      <c r="AM92" s="5">
        <v>0.26720001220703093</v>
      </c>
    </row>
    <row r="93" spans="1:39">
      <c r="A93" s="82">
        <f t="shared" si="20"/>
        <v>3</v>
      </c>
      <c r="B93" s="16" t="s">
        <v>173</v>
      </c>
      <c r="C93" s="15" t="s">
        <v>174</v>
      </c>
      <c r="D93" s="17">
        <v>0.2341651039155713</v>
      </c>
      <c r="E93" s="4">
        <v>0.17171473944875112</v>
      </c>
      <c r="F93" s="4">
        <v>0.25692321623655229</v>
      </c>
      <c r="G93" s="6">
        <v>0.28481989335235341</v>
      </c>
      <c r="H93" s="6">
        <v>0.22320256662462834</v>
      </c>
      <c r="I93" s="90">
        <v>0.26350992406504203</v>
      </c>
      <c r="J93" s="90">
        <v>0.35207486798397003</v>
      </c>
      <c r="K93" s="90">
        <v>1.3283227588766927E-2</v>
      </c>
      <c r="M93" s="5">
        <v>0.43841666666666668</v>
      </c>
      <c r="N93" s="5">
        <v>0.20930232558139536</v>
      </c>
      <c r="O93" s="5">
        <v>0</v>
      </c>
      <c r="P93" s="5">
        <v>0.38256944444444452</v>
      </c>
      <c r="Q93" s="5">
        <v>0</v>
      </c>
      <c r="R93" s="5">
        <v>0</v>
      </c>
      <c r="T93" s="5">
        <v>0.24566666666666667</v>
      </c>
      <c r="U93" s="5">
        <v>0.33373076199435558</v>
      </c>
      <c r="V93" s="5">
        <v>3.628636644999983E-2</v>
      </c>
      <c r="W93" s="5">
        <v>0.14878836707649351</v>
      </c>
      <c r="X93" s="5">
        <v>0.77706713523179793</v>
      </c>
      <c r="Y93" s="5">
        <v>0</v>
      </c>
      <c r="AA93" s="5">
        <v>0.8500000000000002</v>
      </c>
      <c r="AB93" s="5">
        <v>0.58628000000000002</v>
      </c>
      <c r="AC93" s="5">
        <v>4.1370731707316977E-2</v>
      </c>
      <c r="AD93" s="5">
        <v>0.22922636103151864</v>
      </c>
      <c r="AE93" s="5">
        <v>0</v>
      </c>
      <c r="AF93" s="5">
        <v>2.0422673752847663E-3</v>
      </c>
      <c r="AH93" s="5">
        <v>4.4000000000000004E-2</v>
      </c>
      <c r="AI93" s="5">
        <v>0.2407771396279218</v>
      </c>
      <c r="AJ93" s="5">
        <v>0</v>
      </c>
      <c r="AK93" s="5">
        <v>0.81751977997812786</v>
      </c>
      <c r="AL93" s="5">
        <v>3.2921810699588473E-2</v>
      </c>
      <c r="AM93" s="5">
        <v>0.20399666944213191</v>
      </c>
    </row>
    <row r="94" spans="1:39">
      <c r="A94" s="82">
        <f t="shared" si="20"/>
        <v>3</v>
      </c>
      <c r="B94" s="16" t="s">
        <v>175</v>
      </c>
      <c r="C94" s="15" t="s">
        <v>176</v>
      </c>
      <c r="D94" s="17">
        <v>0.28898413506953219</v>
      </c>
      <c r="E94" s="4">
        <v>0.39171444029408281</v>
      </c>
      <c r="F94" s="4">
        <v>0.40686058417308474</v>
      </c>
      <c r="G94" s="6">
        <v>0.19246532174166639</v>
      </c>
      <c r="H94" s="6">
        <v>0.16489619406929479</v>
      </c>
      <c r="I94" s="90">
        <v>0.24875935561380849</v>
      </c>
      <c r="J94" s="90">
        <v>0.42356086044197139</v>
      </c>
      <c r="K94" s="90">
        <v>0.14745621619445889</v>
      </c>
      <c r="M94" s="5">
        <v>0.76183333333333336</v>
      </c>
      <c r="N94" s="5">
        <v>0.99370330843116339</v>
      </c>
      <c r="O94" s="5">
        <v>4.0000000000000036E-2</v>
      </c>
      <c r="P94" s="5">
        <v>0.49541666666666662</v>
      </c>
      <c r="Q94" s="5">
        <v>3.9333333333333331E-2</v>
      </c>
      <c r="R94" s="5">
        <v>2.0000000000000018E-2</v>
      </c>
      <c r="T94" s="5">
        <v>0.54108333333333336</v>
      </c>
      <c r="U94" s="5">
        <v>0.22076989467232186</v>
      </c>
      <c r="V94" s="5">
        <v>0.48424927238486559</v>
      </c>
      <c r="W94" s="5">
        <v>0.14506100464798768</v>
      </c>
      <c r="X94" s="5">
        <v>1</v>
      </c>
      <c r="Y94" s="5">
        <v>0.05</v>
      </c>
      <c r="AA94" s="5">
        <v>7.5000000000000067E-2</v>
      </c>
      <c r="AB94" s="5">
        <v>0.57960000000000012</v>
      </c>
      <c r="AC94" s="5">
        <v>0.24113853658536588</v>
      </c>
      <c r="AD94" s="5">
        <v>0.19243986254295534</v>
      </c>
      <c r="AE94" s="5">
        <v>1.7264043125155275E-2</v>
      </c>
      <c r="AF94" s="5">
        <v>4.9349488196521706E-2</v>
      </c>
      <c r="AH94" s="5">
        <v>2.7000000000000003E-2</v>
      </c>
      <c r="AI94" s="5">
        <v>2.8998202182264047E-4</v>
      </c>
      <c r="AJ94" s="5">
        <v>9.9999999999988987E-4</v>
      </c>
      <c r="AK94" s="5">
        <v>0.96108718239394619</v>
      </c>
      <c r="AL94" s="5">
        <v>0</v>
      </c>
      <c r="AM94" s="5">
        <v>0</v>
      </c>
    </row>
    <row r="95" spans="1:39">
      <c r="A95" s="82">
        <f t="shared" si="20"/>
        <v>3</v>
      </c>
      <c r="B95" s="16" t="s">
        <v>177</v>
      </c>
      <c r="C95" s="15" t="s">
        <v>178</v>
      </c>
      <c r="D95" s="17">
        <v>0.24204951296090479</v>
      </c>
      <c r="E95" s="4">
        <v>0.30166656528791574</v>
      </c>
      <c r="F95" s="4">
        <v>0.36913337915533878</v>
      </c>
      <c r="G95" s="6">
        <v>0.26858696542162624</v>
      </c>
      <c r="H95" s="6">
        <v>2.8811141978738391E-2</v>
      </c>
      <c r="I95" s="90">
        <v>0.34479653799696075</v>
      </c>
      <c r="J95" s="90">
        <v>0.13588083606130785</v>
      </c>
      <c r="K95" s="90">
        <v>0.24718199075621614</v>
      </c>
      <c r="M95" s="5">
        <v>0.46958333333333335</v>
      </c>
      <c r="N95" s="5">
        <v>0.28941605839416057</v>
      </c>
      <c r="O95" s="5">
        <v>5.0000000000000044E-2</v>
      </c>
      <c r="P95" s="5">
        <v>0.80500000000000038</v>
      </c>
      <c r="Q95" s="5">
        <v>0.16600000000000001</v>
      </c>
      <c r="R95" s="5">
        <v>3.0000000000000027E-2</v>
      </c>
      <c r="T95" s="5">
        <v>8.5833333333333421E-3</v>
      </c>
      <c r="U95" s="5">
        <v>0.41627866512486444</v>
      </c>
      <c r="V95" s="5">
        <v>0.96533531571219389</v>
      </c>
      <c r="W95" s="5">
        <v>0.71948916958739673</v>
      </c>
      <c r="X95" s="5">
        <v>2.5113791174244202E-2</v>
      </c>
      <c r="Y95" s="5">
        <v>0.08</v>
      </c>
      <c r="AA95" s="5">
        <v>0.87499999999999967</v>
      </c>
      <c r="AB95" s="5">
        <v>0.22160000000000002</v>
      </c>
      <c r="AC95" s="5">
        <v>0.33141463414634131</v>
      </c>
      <c r="AD95" s="5">
        <v>0.15384615384615385</v>
      </c>
      <c r="AE95" s="5">
        <v>3.3190098585014903E-3</v>
      </c>
      <c r="AF95" s="5">
        <v>2.634199467876145E-2</v>
      </c>
      <c r="AH95" s="5">
        <v>7.0000000000000007E-2</v>
      </c>
      <c r="AI95" s="5">
        <v>0</v>
      </c>
      <c r="AJ95" s="5">
        <v>0</v>
      </c>
      <c r="AK95" s="5">
        <v>0</v>
      </c>
      <c r="AL95" s="5">
        <v>1.66685187243027E-3</v>
      </c>
      <c r="AM95" s="5">
        <v>0.10120000000000007</v>
      </c>
    </row>
    <row r="96" spans="1:39">
      <c r="A96" s="82">
        <f t="shared" si="20"/>
        <v>3</v>
      </c>
      <c r="B96" s="16" t="s">
        <v>179</v>
      </c>
      <c r="C96" s="15" t="s">
        <v>180</v>
      </c>
      <c r="D96" s="17">
        <v>0.45524539694671312</v>
      </c>
      <c r="E96" s="4">
        <v>0.30248225057304862</v>
      </c>
      <c r="F96" s="4">
        <v>0.50820746096635949</v>
      </c>
      <c r="G96" s="6">
        <v>0.63510492216079462</v>
      </c>
      <c r="H96" s="6">
        <v>0.37518695408664965</v>
      </c>
      <c r="I96" s="90">
        <v>0.3613305958618217</v>
      </c>
      <c r="J96" s="90">
        <v>0.44312272013267329</v>
      </c>
      <c r="K96" s="90">
        <v>0.61430161379510995</v>
      </c>
      <c r="M96" s="5">
        <v>0.14766666666666661</v>
      </c>
      <c r="N96" s="5">
        <v>8.9087947882736163E-2</v>
      </c>
      <c r="O96" s="5">
        <v>0.41000000000000003</v>
      </c>
      <c r="P96" s="5">
        <v>0.2368055555555556</v>
      </c>
      <c r="Q96" s="5">
        <v>0.24133333333333334</v>
      </c>
      <c r="R96" s="5">
        <v>0.69</v>
      </c>
      <c r="T96" s="5">
        <v>0.24158333333333334</v>
      </c>
      <c r="U96" s="5">
        <v>0.78100000000000014</v>
      </c>
      <c r="V96" s="5">
        <v>0.90247301051671425</v>
      </c>
      <c r="W96" s="5">
        <v>0.45634061429845452</v>
      </c>
      <c r="X96" s="5">
        <v>0.24784780764965456</v>
      </c>
      <c r="Y96" s="5">
        <v>0.42000000000000004</v>
      </c>
      <c r="AA96" s="5">
        <v>0.40833333333333333</v>
      </c>
      <c r="AB96" s="5">
        <v>0.90003999999999995</v>
      </c>
      <c r="AC96" s="5">
        <v>0.6022234146341463</v>
      </c>
      <c r="AD96" s="5">
        <v>0.87825475017593246</v>
      </c>
      <c r="AE96" s="5">
        <v>0.36066477720155715</v>
      </c>
      <c r="AF96" s="5">
        <v>0.66111325761979867</v>
      </c>
      <c r="AH96" s="5">
        <v>4.0000000000000001E-3</v>
      </c>
      <c r="AI96" s="5">
        <v>9.1353185574827925E-3</v>
      </c>
      <c r="AJ96" s="5">
        <v>0.85</v>
      </c>
      <c r="AK96" s="5">
        <v>0.50019529542488639</v>
      </c>
      <c r="AL96" s="5">
        <v>2.8991109393119444E-2</v>
      </c>
      <c r="AM96" s="5">
        <v>0.85880000114440902</v>
      </c>
    </row>
    <row r="97" spans="1:39">
      <c r="A97" s="82">
        <f t="shared" si="20"/>
        <v>4</v>
      </c>
      <c r="B97" s="16" t="s">
        <v>181</v>
      </c>
      <c r="C97" s="15" t="s">
        <v>182</v>
      </c>
      <c r="D97" s="17">
        <v>0.49970706961894806</v>
      </c>
      <c r="E97" s="4">
        <v>0.34668814814814813</v>
      </c>
      <c r="F97" s="4">
        <v>0.50276732209433039</v>
      </c>
      <c r="G97" s="6">
        <v>0.54937280823331347</v>
      </c>
      <c r="H97" s="6">
        <v>0.6</v>
      </c>
      <c r="I97" s="90">
        <v>0.41265458033282321</v>
      </c>
      <c r="J97" s="90">
        <v>0.50434009053526352</v>
      </c>
      <c r="K97" s="90">
        <v>0.50739295392953931</v>
      </c>
      <c r="M97" s="5">
        <v>0.23975000000000002</v>
      </c>
      <c r="N97" s="5">
        <v>0.49999000000000005</v>
      </c>
      <c r="O97" s="5">
        <v>0.39</v>
      </c>
      <c r="P97" s="5">
        <v>0.12305555555555553</v>
      </c>
      <c r="Q97" s="5">
        <v>0.13733333333333334</v>
      </c>
      <c r="R97" s="5">
        <v>0.69</v>
      </c>
      <c r="T97" s="5">
        <v>0.44466666666666665</v>
      </c>
      <c r="U97" s="5">
        <v>0.56079999999999997</v>
      </c>
      <c r="V97" s="5">
        <v>0.8833333333333333</v>
      </c>
      <c r="W97" s="5">
        <v>0.20790198021369916</v>
      </c>
      <c r="X97" s="5">
        <v>0.81990195235228347</v>
      </c>
      <c r="Y97" s="5">
        <v>0.1</v>
      </c>
      <c r="AA97" s="5">
        <v>0.76666666666666661</v>
      </c>
      <c r="AB97" s="5">
        <v>0.74652000000000007</v>
      </c>
      <c r="AC97" s="5">
        <v>0.48102439024390231</v>
      </c>
      <c r="AD97" s="5">
        <v>0.53185035389282098</v>
      </c>
      <c r="AE97" s="5">
        <v>0.27017543859649124</v>
      </c>
      <c r="AF97" s="5">
        <v>0.5</v>
      </c>
      <c r="AH97" s="5">
        <v>1</v>
      </c>
      <c r="AI97" s="5">
        <v>1</v>
      </c>
      <c r="AJ97" s="5">
        <v>0.4</v>
      </c>
      <c r="AK97" s="5">
        <v>0</v>
      </c>
      <c r="AL97" s="5">
        <v>0</v>
      </c>
      <c r="AM97" s="5" t="e">
        <v>#N/A</v>
      </c>
    </row>
    <row r="98" spans="1:39">
      <c r="A98" s="82">
        <f t="shared" si="20"/>
        <v>6</v>
      </c>
      <c r="B98" s="16" t="s">
        <v>183</v>
      </c>
      <c r="C98" s="15" t="s">
        <v>184</v>
      </c>
      <c r="D98" s="17" t="e">
        <v>#N/A</v>
      </c>
      <c r="E98" s="4">
        <v>0.2725856556491682</v>
      </c>
      <c r="F98" s="4">
        <v>0.47066206001962563</v>
      </c>
      <c r="G98" s="6" t="e">
        <v>#N/A</v>
      </c>
      <c r="H98" s="6">
        <v>0.30412054026065166</v>
      </c>
      <c r="I98" s="90">
        <v>0.37170868268154622</v>
      </c>
      <c r="J98" s="90">
        <v>0.38700099459746384</v>
      </c>
      <c r="K98" s="90">
        <v>0.3646218327933643</v>
      </c>
      <c r="M98" s="5">
        <v>0.30058333333333331</v>
      </c>
      <c r="N98" s="5">
        <v>8.9513933895009709E-2</v>
      </c>
      <c r="O98" s="5">
        <v>0</v>
      </c>
      <c r="P98" s="5">
        <v>0.63541666666666652</v>
      </c>
      <c r="Q98" s="5">
        <v>0.2</v>
      </c>
      <c r="R98" s="5">
        <v>0.41000000000000003</v>
      </c>
      <c r="T98" s="5">
        <v>0.26791666666666664</v>
      </c>
      <c r="U98" s="5">
        <v>0.36959999999999998</v>
      </c>
      <c r="V98" s="5">
        <v>0.50765864332603938</v>
      </c>
      <c r="W98" s="5">
        <v>0.64</v>
      </c>
      <c r="X98" s="5">
        <v>0.22879705012504797</v>
      </c>
      <c r="Y98" s="5">
        <v>0.80999999999999994</v>
      </c>
      <c r="AA98" s="5" t="e">
        <v>#N/A</v>
      </c>
      <c r="AB98" s="5">
        <v>0.53879999999999995</v>
      </c>
      <c r="AC98" s="5">
        <v>0.3526721951219508</v>
      </c>
      <c r="AD98" s="5">
        <v>0.61538461538461542</v>
      </c>
      <c r="AE98" s="5" t="e">
        <v>#N/A</v>
      </c>
      <c r="AF98" s="5">
        <v>0.10740015831219563</v>
      </c>
      <c r="AH98" s="5">
        <v>4.2999999999999997E-2</v>
      </c>
      <c r="AI98" s="5">
        <v>0.1021548238422606</v>
      </c>
      <c r="AJ98" s="5" t="e">
        <v>#N/A</v>
      </c>
      <c r="AK98" s="5">
        <v>0.59547430843658833</v>
      </c>
      <c r="AL98" s="5">
        <v>9.9659496719541565E-2</v>
      </c>
      <c r="AM98" s="5">
        <v>0.97166784048080435</v>
      </c>
    </row>
    <row r="99" spans="1:39">
      <c r="A99" s="82">
        <f t="shared" si="20"/>
        <v>3</v>
      </c>
      <c r="B99" s="16" t="s">
        <v>185</v>
      </c>
      <c r="C99" s="15" t="s">
        <v>186</v>
      </c>
      <c r="D99" s="17">
        <v>0.2766654349997793</v>
      </c>
      <c r="E99" s="4">
        <v>0.20194091078165688</v>
      </c>
      <c r="F99" s="4">
        <v>0.31433302746753317</v>
      </c>
      <c r="G99" s="6">
        <v>0.24960685661481299</v>
      </c>
      <c r="H99" s="6">
        <v>0.3407809451351142</v>
      </c>
      <c r="I99" s="90">
        <v>0.40224762549220083</v>
      </c>
      <c r="J99" s="90">
        <v>0.32221276227538492</v>
      </c>
      <c r="K99" s="90">
        <v>1.9971158347738573E-2</v>
      </c>
      <c r="M99" s="5">
        <v>0.38691666666666669</v>
      </c>
      <c r="N99" s="5">
        <v>0.36542324246771879</v>
      </c>
      <c r="O99" s="5">
        <v>2.0000000000000018E-2</v>
      </c>
      <c r="P99" s="5">
        <v>0.43930555555555584</v>
      </c>
      <c r="Q99" s="5">
        <v>0</v>
      </c>
      <c r="R99" s="5">
        <v>0</v>
      </c>
      <c r="T99" s="5">
        <v>0.29558333333333331</v>
      </c>
      <c r="U99" s="5">
        <v>0.18310928472468568</v>
      </c>
      <c r="V99" s="5">
        <v>0</v>
      </c>
      <c r="W99" s="5">
        <v>0.6374853844781605</v>
      </c>
      <c r="X99" s="5">
        <v>0.7698201622690195</v>
      </c>
      <c r="Y99" s="5">
        <v>0</v>
      </c>
      <c r="AA99" s="5">
        <v>0.76666666666666661</v>
      </c>
      <c r="AB99" s="5">
        <v>0.49812000000000001</v>
      </c>
      <c r="AC99" s="5">
        <v>9.4478048780488044E-2</v>
      </c>
      <c r="AD99" s="5">
        <v>0.13302752293577982</v>
      </c>
      <c r="AE99" s="5">
        <v>0</v>
      </c>
      <c r="AF99" s="5">
        <v>5.348901305943364E-3</v>
      </c>
      <c r="AH99" s="5">
        <v>5.0999999999999997E-2</v>
      </c>
      <c r="AI99" s="5">
        <v>6.158470761612117E-2</v>
      </c>
      <c r="AJ99" s="5">
        <v>0.74</v>
      </c>
      <c r="AK99" s="5">
        <v>0.80685746340091957</v>
      </c>
      <c r="AL99" s="5">
        <v>0.17024349979364423</v>
      </c>
      <c r="AM99" s="5">
        <v>0.21499999999999997</v>
      </c>
    </row>
    <row r="100" spans="1:39">
      <c r="A100" s="82">
        <f t="shared" si="20"/>
        <v>3</v>
      </c>
      <c r="B100" s="16" t="s">
        <v>187</v>
      </c>
      <c r="C100" s="15" t="s">
        <v>188</v>
      </c>
      <c r="D100" s="17">
        <v>0.28384777773431119</v>
      </c>
      <c r="E100" s="4">
        <v>0.4126435185185186</v>
      </c>
      <c r="F100" s="4">
        <v>0.46567034303289462</v>
      </c>
      <c r="G100" s="6">
        <v>0.16727572200178886</v>
      </c>
      <c r="H100" s="6">
        <v>8.9801527384042609E-2</v>
      </c>
      <c r="I100" s="90">
        <v>0.28400536799589954</v>
      </c>
      <c r="J100" s="90">
        <v>0.33023489779213017</v>
      </c>
      <c r="K100" s="90">
        <v>0.2140307122552001</v>
      </c>
      <c r="M100" s="5">
        <v>0.87391666666666667</v>
      </c>
      <c r="N100" s="5">
        <v>1</v>
      </c>
      <c r="O100" s="5">
        <v>1.0000000000000009E-2</v>
      </c>
      <c r="P100" s="5">
        <v>0.59194444444444472</v>
      </c>
      <c r="Q100" s="5">
        <v>0</v>
      </c>
      <c r="R100" s="5">
        <v>0</v>
      </c>
      <c r="T100" s="5">
        <v>0.54108333333333336</v>
      </c>
      <c r="U100" s="5">
        <v>1.6199999999999971E-2</v>
      </c>
      <c r="V100" s="5">
        <v>0.84064327485380119</v>
      </c>
      <c r="W100" s="5">
        <v>0.10609545001023339</v>
      </c>
      <c r="X100" s="5">
        <v>1</v>
      </c>
      <c r="Y100" s="5">
        <v>0.28999999999999998</v>
      </c>
      <c r="AA100" s="5">
        <v>7.5000000000000067E-2</v>
      </c>
      <c r="AB100" s="5">
        <v>0.56428000000000011</v>
      </c>
      <c r="AC100" s="5">
        <v>0.13799609756097542</v>
      </c>
      <c r="AD100" s="5">
        <v>0.22083333333333333</v>
      </c>
      <c r="AE100" s="5">
        <v>0</v>
      </c>
      <c r="AF100" s="5">
        <v>5.5449011164241504E-3</v>
      </c>
      <c r="AH100" s="5">
        <v>6.3E-2</v>
      </c>
      <c r="AI100" s="5">
        <v>0.24163408012917145</v>
      </c>
      <c r="AJ100" s="5">
        <v>0</v>
      </c>
      <c r="AK100" s="5">
        <v>0</v>
      </c>
      <c r="AL100" s="5">
        <v>8.4175084175084167E-2</v>
      </c>
      <c r="AM100" s="5">
        <v>0.15000000000000002</v>
      </c>
    </row>
    <row r="101" spans="1:39">
      <c r="A101" s="82">
        <f t="shared" si="20"/>
        <v>3</v>
      </c>
      <c r="B101" s="16" t="s">
        <v>189</v>
      </c>
      <c r="C101" s="15" t="s">
        <v>190</v>
      </c>
      <c r="D101" s="17">
        <v>0.28584715583504766</v>
      </c>
      <c r="E101" s="4">
        <v>0.3474916835162718</v>
      </c>
      <c r="F101" s="4">
        <v>0.40882650222363837</v>
      </c>
      <c r="G101" s="6">
        <v>0.21090569920952204</v>
      </c>
      <c r="H101" s="6">
        <v>0.17616473839075841</v>
      </c>
      <c r="I101" s="90">
        <v>0.27218391679182491</v>
      </c>
      <c r="J101" s="90">
        <v>0.34980227195929786</v>
      </c>
      <c r="K101" s="90">
        <v>0.21040934021350668</v>
      </c>
      <c r="M101" s="5">
        <v>0.52533333333333332</v>
      </c>
      <c r="N101" s="5">
        <v>0.43674176776429813</v>
      </c>
      <c r="O101" s="5">
        <v>9.9999999999999978E-2</v>
      </c>
      <c r="P101" s="5">
        <v>0.79020833333333318</v>
      </c>
      <c r="Q101" s="5">
        <v>0.16266666666666665</v>
      </c>
      <c r="R101" s="5">
        <v>6.9999999999999951E-2</v>
      </c>
      <c r="T101" s="5">
        <v>0.2485</v>
      </c>
      <c r="U101" s="5">
        <v>0.63560000000000005</v>
      </c>
      <c r="V101" s="5">
        <v>0.64995831705095841</v>
      </c>
      <c r="W101" s="5">
        <v>0.60117277593677776</v>
      </c>
      <c r="X101" s="5">
        <v>0.28772792035409428</v>
      </c>
      <c r="Y101" s="5">
        <v>0.03</v>
      </c>
      <c r="AA101" s="5">
        <v>7.5000000000000067E-2</v>
      </c>
      <c r="AB101" s="5">
        <v>0.45516000000000001</v>
      </c>
      <c r="AC101" s="5">
        <v>0.35723902439024391</v>
      </c>
      <c r="AD101" s="5">
        <v>0.20162016201620162</v>
      </c>
      <c r="AE101" s="5">
        <v>0.12115630901084881</v>
      </c>
      <c r="AF101" s="5">
        <v>5.5258699839837909E-2</v>
      </c>
      <c r="AH101" s="5">
        <v>0</v>
      </c>
      <c r="AI101" s="5">
        <v>0</v>
      </c>
      <c r="AJ101" s="5">
        <v>0</v>
      </c>
      <c r="AK101" s="5">
        <v>0.96016776857898345</v>
      </c>
      <c r="AL101" s="5">
        <v>7.8206465067778945E-3</v>
      </c>
      <c r="AM101" s="5">
        <v>8.9000015258789089E-2</v>
      </c>
    </row>
    <row r="102" spans="1:39">
      <c r="A102" s="82">
        <f t="shared" si="20"/>
        <v>3</v>
      </c>
      <c r="B102" s="16" t="s">
        <v>191</v>
      </c>
      <c r="C102" s="15" t="s">
        <v>192</v>
      </c>
      <c r="D102" s="17">
        <v>0.44726370996766074</v>
      </c>
      <c r="E102" s="4">
        <v>0.31014508370814592</v>
      </c>
      <c r="F102" s="4">
        <v>0.55600148514320147</v>
      </c>
      <c r="G102" s="6">
        <v>0.52955928199560987</v>
      </c>
      <c r="H102" s="6">
        <v>0.3933489890236857</v>
      </c>
      <c r="I102" s="90">
        <v>0.37740122730671555</v>
      </c>
      <c r="J102" s="90">
        <v>0.40582422478645686</v>
      </c>
      <c r="K102" s="90">
        <v>0.61421666173088429</v>
      </c>
      <c r="M102" s="5">
        <v>0.51700000000000002</v>
      </c>
      <c r="N102" s="5">
        <v>8.9955022488755615E-3</v>
      </c>
      <c r="O102" s="5">
        <v>0.43000000000000005</v>
      </c>
      <c r="P102" s="5">
        <v>0.27354166666666668</v>
      </c>
      <c r="Q102" s="5">
        <v>0.16133333333333333</v>
      </c>
      <c r="R102" s="5">
        <v>0.47</v>
      </c>
      <c r="T102" s="5">
        <v>0.49116666666666664</v>
      </c>
      <c r="U102" s="5">
        <v>0.67959999999999998</v>
      </c>
      <c r="V102" s="5">
        <v>0.98581196581196584</v>
      </c>
      <c r="W102" s="5">
        <v>0.25306109088467288</v>
      </c>
      <c r="X102" s="5">
        <v>2.6369187495903015E-2</v>
      </c>
      <c r="Y102" s="5">
        <v>0.9</v>
      </c>
      <c r="AA102" s="5">
        <v>0.76666666666666661</v>
      </c>
      <c r="AB102" s="5">
        <v>0.91152</v>
      </c>
      <c r="AC102" s="5">
        <v>0.39180926829268292</v>
      </c>
      <c r="AD102" s="5">
        <v>0.59968102073365226</v>
      </c>
      <c r="AE102" s="5">
        <v>0</v>
      </c>
      <c r="AF102" s="5">
        <v>0.50767873628065741</v>
      </c>
      <c r="AH102" s="5">
        <v>0</v>
      </c>
      <c r="AI102" s="5">
        <v>0</v>
      </c>
      <c r="AJ102" s="5">
        <v>0.44999999999999996</v>
      </c>
      <c r="AK102" s="5">
        <v>1</v>
      </c>
      <c r="AL102" s="5">
        <v>4.5493934142114389E-2</v>
      </c>
      <c r="AM102" s="5">
        <v>0.86460000000000004</v>
      </c>
    </row>
    <row r="103" spans="1:39">
      <c r="A103" s="82">
        <f t="shared" si="20"/>
        <v>3</v>
      </c>
      <c r="B103" s="16" t="s">
        <v>193</v>
      </c>
      <c r="C103" s="15" t="s">
        <v>194</v>
      </c>
      <c r="D103" s="17">
        <v>0.22342172846683217</v>
      </c>
      <c r="E103" s="4">
        <v>0.22852966489056051</v>
      </c>
      <c r="F103" s="4">
        <v>0.18548939609100498</v>
      </c>
      <c r="G103" s="6">
        <v>0.28171841691468785</v>
      </c>
      <c r="H103" s="6">
        <v>0.19794943597107537</v>
      </c>
      <c r="I103" s="90">
        <v>0.27242779141473328</v>
      </c>
      <c r="J103" s="90">
        <v>0.23799607256324073</v>
      </c>
      <c r="K103" s="90">
        <v>0.12805111790036769</v>
      </c>
      <c r="M103" s="5">
        <v>0.38800000000000001</v>
      </c>
      <c r="N103" s="5">
        <v>1.1650211565585329E-2</v>
      </c>
      <c r="O103" s="5">
        <v>1.0000000000000009E-2</v>
      </c>
      <c r="P103" s="5">
        <v>0.74152777777777779</v>
      </c>
      <c r="Q103" s="5">
        <v>0</v>
      </c>
      <c r="R103" s="5">
        <v>0.21999999999999997</v>
      </c>
      <c r="T103" s="5">
        <v>0.27966666666666667</v>
      </c>
      <c r="U103" s="5">
        <v>0.31854175232279691</v>
      </c>
      <c r="V103" s="5">
        <v>0.29290455840450003</v>
      </c>
      <c r="W103" s="5">
        <v>7.6027325797733733E-2</v>
      </c>
      <c r="X103" s="5">
        <v>0.1457960733543324</v>
      </c>
      <c r="Y103" s="5">
        <v>0</v>
      </c>
      <c r="AA103" s="5">
        <v>0.87499999999999967</v>
      </c>
      <c r="AB103" s="5">
        <v>0.49328000000000005</v>
      </c>
      <c r="AC103" s="5">
        <v>0.23839024390243879</v>
      </c>
      <c r="AD103" s="5">
        <v>7.662835249042145E-2</v>
      </c>
      <c r="AE103" s="5">
        <v>0</v>
      </c>
      <c r="AF103" s="5">
        <v>7.0119050952672495E-3</v>
      </c>
      <c r="AH103" s="5">
        <v>1.4999999999999999E-2</v>
      </c>
      <c r="AI103" s="5">
        <v>0.33647723622301134</v>
      </c>
      <c r="AJ103" s="5">
        <v>0</v>
      </c>
      <c r="AK103" s="5">
        <v>0.83621937960344073</v>
      </c>
      <c r="AL103" s="5">
        <v>0</v>
      </c>
      <c r="AM103" s="5">
        <v>0</v>
      </c>
    </row>
    <row r="104" spans="1:39">
      <c r="A104" s="82">
        <f t="shared" si="20"/>
        <v>3</v>
      </c>
      <c r="B104" s="16" t="s">
        <v>195</v>
      </c>
      <c r="C104" s="15" t="s">
        <v>196</v>
      </c>
      <c r="D104" s="17">
        <v>0.26347444109413182</v>
      </c>
      <c r="E104" s="4">
        <v>0.26374241863449061</v>
      </c>
      <c r="F104" s="4">
        <v>0.36148458485588408</v>
      </c>
      <c r="G104" s="6">
        <v>0.19494158576782128</v>
      </c>
      <c r="H104" s="6">
        <v>0.23372917511833133</v>
      </c>
      <c r="I104" s="90">
        <v>0.25392025252366823</v>
      </c>
      <c r="J104" s="90">
        <v>0.36820979971127749</v>
      </c>
      <c r="K104" s="90">
        <v>0.12070268602410877</v>
      </c>
      <c r="M104" s="5">
        <v>0.76991666666666669</v>
      </c>
      <c r="N104" s="5">
        <v>0.31823228958472127</v>
      </c>
      <c r="O104" s="5">
        <v>0</v>
      </c>
      <c r="P104" s="5">
        <v>0.44763888888888881</v>
      </c>
      <c r="Q104" s="5">
        <v>2.6666666666666668E-2</v>
      </c>
      <c r="R104" s="5">
        <v>2.0000000000000018E-2</v>
      </c>
      <c r="T104" s="5">
        <v>0.54108333333333336</v>
      </c>
      <c r="U104" s="5">
        <v>0.12919999999999993</v>
      </c>
      <c r="V104" s="5">
        <v>0.40636574074066667</v>
      </c>
      <c r="W104" s="5">
        <v>0.16868248450838741</v>
      </c>
      <c r="X104" s="5">
        <v>0.89357595055291728</v>
      </c>
      <c r="Y104" s="5">
        <v>0.03</v>
      </c>
      <c r="AA104" s="5">
        <v>7.5000000000000067E-2</v>
      </c>
      <c r="AB104" s="5">
        <v>0.67999999999999994</v>
      </c>
      <c r="AC104" s="5">
        <v>0.25540439024390227</v>
      </c>
      <c r="AD104" s="5">
        <v>0.13333333333333333</v>
      </c>
      <c r="AE104" s="5">
        <v>1.3465805869608246E-2</v>
      </c>
      <c r="AF104" s="5">
        <v>1.2445985160083686E-2</v>
      </c>
      <c r="AH104" s="5">
        <v>2E-3</v>
      </c>
      <c r="AI104" s="5">
        <v>0.13745717182065673</v>
      </c>
      <c r="AJ104" s="5">
        <v>9.9999999999988987E-4</v>
      </c>
      <c r="AK104" s="5">
        <v>0.96429032816571592</v>
      </c>
      <c r="AL104" s="5">
        <v>0.1466275659824047</v>
      </c>
      <c r="AM104" s="5">
        <v>0.1509999847412109</v>
      </c>
    </row>
    <row r="105" spans="1:39">
      <c r="A105" s="82">
        <f t="shared" si="20"/>
        <v>3</v>
      </c>
      <c r="B105" s="16" t="s">
        <v>197</v>
      </c>
      <c r="C105" s="15" t="s">
        <v>198</v>
      </c>
      <c r="D105" s="17">
        <v>0.49648875757291622</v>
      </c>
      <c r="E105" s="4">
        <v>0.31554922236929189</v>
      </c>
      <c r="F105" s="4">
        <v>0.5845441685536199</v>
      </c>
      <c r="G105" s="6">
        <v>0.64302830476385375</v>
      </c>
      <c r="H105" s="6">
        <v>0.44283333460489915</v>
      </c>
      <c r="I105" s="90">
        <v>0.4681721218587882</v>
      </c>
      <c r="J105" s="90">
        <v>0.48765933904108366</v>
      </c>
      <c r="K105" s="90">
        <v>0.55220783894185688</v>
      </c>
      <c r="M105" s="5">
        <v>0.62324999999999997</v>
      </c>
      <c r="N105" s="5">
        <v>1.6545334215751162E-2</v>
      </c>
      <c r="O105" s="5">
        <v>0.15000000000000002</v>
      </c>
      <c r="P105" s="5">
        <v>0.36416666666666675</v>
      </c>
      <c r="Q105" s="5">
        <v>2.9333333333333333E-2</v>
      </c>
      <c r="R105" s="5">
        <v>0.71</v>
      </c>
      <c r="T105" s="5">
        <v>0.69216666666666671</v>
      </c>
      <c r="U105" s="5">
        <v>0.73819999999999997</v>
      </c>
      <c r="V105" s="5">
        <v>0.89583333333333337</v>
      </c>
      <c r="W105" s="5">
        <v>0.28563243006242678</v>
      </c>
      <c r="X105" s="5">
        <v>0.53543258125929272</v>
      </c>
      <c r="Y105" s="5">
        <v>0.36</v>
      </c>
      <c r="AA105" s="5">
        <v>0.40833333333333333</v>
      </c>
      <c r="AB105" s="5">
        <v>0.94840000000000002</v>
      </c>
      <c r="AC105" s="5">
        <v>0.79292487804878031</v>
      </c>
      <c r="AD105" s="5">
        <v>1</v>
      </c>
      <c r="AE105" s="5">
        <v>0.30402279493198103</v>
      </c>
      <c r="AF105" s="5">
        <v>0.40448882226902749</v>
      </c>
      <c r="AH105" s="5">
        <v>0</v>
      </c>
      <c r="AI105" s="5">
        <v>0</v>
      </c>
      <c r="AJ105" s="5">
        <v>0.84</v>
      </c>
      <c r="AK105" s="5">
        <v>1</v>
      </c>
      <c r="AL105" s="5">
        <v>0</v>
      </c>
      <c r="AM105" s="5">
        <v>0.81700000762939495</v>
      </c>
    </row>
    <row r="106" spans="1:39">
      <c r="A106" s="82">
        <f t="shared" ref="A106:A137" si="21">27-COUNT(M106:AM106)</f>
        <v>3</v>
      </c>
      <c r="B106" s="16" t="s">
        <v>199</v>
      </c>
      <c r="C106" s="15" t="s">
        <v>200</v>
      </c>
      <c r="D106" s="17">
        <v>0.51247945099249403</v>
      </c>
      <c r="E106" s="4">
        <v>0.39040832535121323</v>
      </c>
      <c r="F106" s="4">
        <v>0.62199646186654534</v>
      </c>
      <c r="G106" s="6">
        <v>0.69227916751197294</v>
      </c>
      <c r="H106" s="6">
        <v>0.34523384924024486</v>
      </c>
      <c r="I106" s="90">
        <v>0.43427807911148175</v>
      </c>
      <c r="J106" s="90">
        <v>0.45825866825061634</v>
      </c>
      <c r="K106" s="90">
        <v>0.71111268292682928</v>
      </c>
      <c r="M106" s="5">
        <v>0.38883333333333325</v>
      </c>
      <c r="N106" s="5">
        <v>7.6939655172413783E-4</v>
      </c>
      <c r="O106" s="5">
        <v>0.31999999999999995</v>
      </c>
      <c r="P106" s="5">
        <v>0.2128472222222223</v>
      </c>
      <c r="Q106" s="5">
        <v>0.59</v>
      </c>
      <c r="R106" s="5">
        <v>0.83</v>
      </c>
      <c r="T106" s="5">
        <v>0.62008333333333332</v>
      </c>
      <c r="U106" s="5">
        <v>0.39179999999999998</v>
      </c>
      <c r="V106" s="5">
        <v>1</v>
      </c>
      <c r="W106" s="5">
        <v>0.52500682590258729</v>
      </c>
      <c r="X106" s="5">
        <v>0.60508861196335151</v>
      </c>
      <c r="Y106" s="5">
        <v>0.59000000000000008</v>
      </c>
      <c r="AA106" s="5">
        <v>0.20833333333333315</v>
      </c>
      <c r="AB106" s="5">
        <v>0.97784000000000004</v>
      </c>
      <c r="AC106" s="5">
        <v>0.52667609756097544</v>
      </c>
      <c r="AD106" s="5">
        <v>0.97082557417752946</v>
      </c>
      <c r="AE106" s="5">
        <v>0.47</v>
      </c>
      <c r="AF106" s="5">
        <v>1</v>
      </c>
      <c r="AH106" s="5">
        <v>0</v>
      </c>
      <c r="AI106" s="5">
        <v>0.15083000383312373</v>
      </c>
      <c r="AJ106" s="5">
        <v>0.96699999999999997</v>
      </c>
      <c r="AK106" s="5">
        <v>0</v>
      </c>
      <c r="AL106" s="5">
        <v>1.5573089700996679E-2</v>
      </c>
      <c r="AM106" s="5">
        <v>0.93800000190734856</v>
      </c>
    </row>
    <row r="107" spans="1:39">
      <c r="A107" s="82">
        <f t="shared" si="21"/>
        <v>3</v>
      </c>
      <c r="B107" s="16" t="s">
        <v>201</v>
      </c>
      <c r="C107" s="15" t="s">
        <v>202</v>
      </c>
      <c r="D107" s="17">
        <v>0.29692854907712363</v>
      </c>
      <c r="E107" s="4">
        <v>0.4900277777777779</v>
      </c>
      <c r="F107" s="4">
        <v>0.44909279758315895</v>
      </c>
      <c r="G107" s="6">
        <v>0.14951916102089619</v>
      </c>
      <c r="H107" s="6">
        <v>9.9074459926661529E-2</v>
      </c>
      <c r="I107" s="90">
        <v>0.27668706574022384</v>
      </c>
      <c r="J107" s="90">
        <v>0.36008314245904444</v>
      </c>
      <c r="K107" s="90">
        <v>0.23255888400959204</v>
      </c>
      <c r="M107" s="5">
        <v>0.746</v>
      </c>
      <c r="N107" s="5">
        <v>1</v>
      </c>
      <c r="O107" s="5">
        <v>0.45999999999999996</v>
      </c>
      <c r="P107" s="5">
        <v>0.50416666666666665</v>
      </c>
      <c r="Q107" s="5">
        <v>0.2</v>
      </c>
      <c r="R107" s="5">
        <v>3.0000000000000027E-2</v>
      </c>
      <c r="T107" s="5">
        <v>0.66583333333333339</v>
      </c>
      <c r="U107" s="5">
        <v>0.2228</v>
      </c>
      <c r="V107" s="5">
        <v>0.5896947133673931</v>
      </c>
      <c r="W107" s="5">
        <v>0.3123106879601425</v>
      </c>
      <c r="X107" s="5">
        <v>0.8439180508380848</v>
      </c>
      <c r="Y107" s="5">
        <v>0.06</v>
      </c>
      <c r="AA107" s="5">
        <v>7.5000000000000067E-2</v>
      </c>
      <c r="AB107" s="5">
        <v>0.38</v>
      </c>
      <c r="AC107" s="5">
        <v>0.20908878048780477</v>
      </c>
      <c r="AD107" s="5">
        <v>0.17602040816326531</v>
      </c>
      <c r="AE107" s="5">
        <v>1.0435967271952586E-2</v>
      </c>
      <c r="AF107" s="5">
        <v>4.6569810202354435E-2</v>
      </c>
      <c r="AH107" s="5">
        <v>8.0000000000000002E-3</v>
      </c>
      <c r="AI107" s="5">
        <v>0.15559427165075759</v>
      </c>
      <c r="AJ107" s="5">
        <v>2.0000000000000018E-3</v>
      </c>
      <c r="AK107" s="5">
        <v>0</v>
      </c>
      <c r="AL107" s="5">
        <v>8.5249553860668127E-4</v>
      </c>
      <c r="AM107" s="5">
        <v>0.42799999237060493</v>
      </c>
    </row>
    <row r="108" spans="1:39">
      <c r="A108" s="82">
        <f t="shared" si="21"/>
        <v>11</v>
      </c>
      <c r="B108" s="16" t="s">
        <v>203</v>
      </c>
      <c r="C108" s="15" t="s">
        <v>204</v>
      </c>
      <c r="D108" s="17" t="e">
        <v>#DIV/0!</v>
      </c>
      <c r="E108" s="4" t="e">
        <v>#DIV/0!</v>
      </c>
      <c r="F108" s="4" t="e">
        <v>#N/A</v>
      </c>
      <c r="G108" s="6" t="e">
        <v>#N/A</v>
      </c>
      <c r="H108" s="6" t="e">
        <v>#N/A</v>
      </c>
      <c r="I108" s="90" t="e">
        <v>#N/A</v>
      </c>
      <c r="J108" s="90" t="e">
        <v>#N/A</v>
      </c>
      <c r="K108" s="90" t="e">
        <v>#N/A</v>
      </c>
      <c r="M108" s="5">
        <v>0.42416666666666669</v>
      </c>
      <c r="N108" s="5" t="e">
        <v>#DIV/0!</v>
      </c>
      <c r="O108" s="5">
        <v>0</v>
      </c>
      <c r="P108" s="5">
        <v>0.5502083333333333</v>
      </c>
      <c r="Q108" s="5">
        <v>0</v>
      </c>
      <c r="R108" s="5">
        <v>0</v>
      </c>
      <c r="T108" s="5">
        <v>0.23600000000000002</v>
      </c>
      <c r="U108" s="5">
        <v>0.85740000000000005</v>
      </c>
      <c r="V108" s="5">
        <v>0.5</v>
      </c>
      <c r="W108" s="5">
        <v>0.13229633647856998</v>
      </c>
      <c r="X108" s="5" t="e">
        <v>#N/A</v>
      </c>
      <c r="Y108" s="5">
        <v>0</v>
      </c>
      <c r="AA108" s="5">
        <v>6.7499999999999991E-2</v>
      </c>
      <c r="AB108" s="5" t="e">
        <v>#N/A</v>
      </c>
      <c r="AC108" s="5">
        <v>4.104878048780447E-2</v>
      </c>
      <c r="AD108" s="5" t="e">
        <v>#N/A</v>
      </c>
      <c r="AE108" s="5" t="e">
        <v>#N/A</v>
      </c>
      <c r="AF108" s="5" t="e">
        <v>#N/A</v>
      </c>
      <c r="AH108" s="5">
        <v>0</v>
      </c>
      <c r="AI108" s="5">
        <v>0</v>
      </c>
      <c r="AJ108" s="5">
        <v>0</v>
      </c>
      <c r="AK108" s="5" t="e">
        <v>#N/A</v>
      </c>
      <c r="AL108" s="5">
        <v>0</v>
      </c>
      <c r="AM108" s="5" t="e">
        <v>#N/A</v>
      </c>
    </row>
    <row r="109" spans="1:39">
      <c r="A109" s="82">
        <f t="shared" si="21"/>
        <v>3</v>
      </c>
      <c r="B109" s="16" t="s">
        <v>205</v>
      </c>
      <c r="C109" s="15" t="s">
        <v>206</v>
      </c>
      <c r="D109" s="17">
        <v>0.23154314600442893</v>
      </c>
      <c r="E109" s="4">
        <v>0.20190958277554663</v>
      </c>
      <c r="F109" s="4">
        <v>0.2518974511557841</v>
      </c>
      <c r="G109" s="6">
        <v>0.24580221872634564</v>
      </c>
      <c r="H109" s="6">
        <v>0.22656333136003934</v>
      </c>
      <c r="I109" s="90">
        <v>0.30481424903622539</v>
      </c>
      <c r="J109" s="90">
        <v>0.2443987163839936</v>
      </c>
      <c r="K109" s="90">
        <v>0.10235313588738711</v>
      </c>
      <c r="M109" s="5">
        <v>0.39708333333333334</v>
      </c>
      <c r="N109" s="5">
        <v>0.11076305220883535</v>
      </c>
      <c r="O109" s="5">
        <v>0</v>
      </c>
      <c r="P109" s="5">
        <v>0.70361111111111119</v>
      </c>
      <c r="Q109" s="5">
        <v>0</v>
      </c>
      <c r="R109" s="5">
        <v>0</v>
      </c>
      <c r="T109" s="5">
        <v>0.27966666666666667</v>
      </c>
      <c r="U109" s="5">
        <v>0.32931363417938558</v>
      </c>
      <c r="V109" s="5">
        <v>0.3681126331811666</v>
      </c>
      <c r="W109" s="5">
        <v>0.4</v>
      </c>
      <c r="X109" s="5">
        <v>0.13429177290748573</v>
      </c>
      <c r="Y109" s="5">
        <v>0</v>
      </c>
      <c r="AA109" s="5">
        <v>0.87499999999999967</v>
      </c>
      <c r="AB109" s="5">
        <v>0.26783999999999997</v>
      </c>
      <c r="AC109" s="5">
        <v>0.24170731707317061</v>
      </c>
      <c r="AD109" s="5">
        <v>8.5967130214917822E-2</v>
      </c>
      <c r="AE109" s="5">
        <v>0</v>
      </c>
      <c r="AF109" s="5">
        <v>4.2988650699854504E-3</v>
      </c>
      <c r="AH109" s="5">
        <v>2E-3</v>
      </c>
      <c r="AI109" s="5">
        <v>5.0568407302369091E-2</v>
      </c>
      <c r="AJ109" s="5">
        <v>0</v>
      </c>
      <c r="AK109" s="5">
        <v>0.59281158085786678</v>
      </c>
      <c r="AL109" s="5">
        <v>0</v>
      </c>
      <c r="AM109" s="5">
        <v>0.71399999999999997</v>
      </c>
    </row>
    <row r="110" spans="1:39">
      <c r="A110" s="82">
        <f t="shared" si="21"/>
        <v>3</v>
      </c>
      <c r="B110" s="16" t="s">
        <v>207</v>
      </c>
      <c r="C110" s="15" t="s">
        <v>208</v>
      </c>
      <c r="D110" s="17">
        <v>0.16786172181311737</v>
      </c>
      <c r="E110" s="4">
        <v>0.18216248506571087</v>
      </c>
      <c r="F110" s="4">
        <v>0.27769113548705926</v>
      </c>
      <c r="G110" s="6">
        <v>4.8245589304146075E-2</v>
      </c>
      <c r="H110" s="6">
        <v>0.16334767739555339</v>
      </c>
      <c r="I110" s="90">
        <v>0.19739067880882208</v>
      </c>
      <c r="J110" s="90">
        <v>0.23426798951523287</v>
      </c>
      <c r="K110" s="90">
        <v>2.3958884766387186E-2</v>
      </c>
      <c r="M110" s="5">
        <v>0.58624999999999994</v>
      </c>
      <c r="N110" s="5">
        <v>1.9419354838709674E-2</v>
      </c>
      <c r="O110" s="5">
        <v>0</v>
      </c>
      <c r="P110" s="5">
        <v>0.48597222222222214</v>
      </c>
      <c r="Q110" s="5">
        <v>1.3333333333333333E-3</v>
      </c>
      <c r="R110" s="5">
        <v>0</v>
      </c>
      <c r="T110" s="5">
        <v>0.23600000000000002</v>
      </c>
      <c r="U110" s="5">
        <v>0.17666119433933664</v>
      </c>
      <c r="V110" s="5">
        <v>3.8870967742000051E-2</v>
      </c>
      <c r="W110" s="5">
        <v>0.28370269208862331</v>
      </c>
      <c r="X110" s="5">
        <v>0.93091195875239563</v>
      </c>
      <c r="Y110" s="5">
        <v>0</v>
      </c>
      <c r="AA110" s="5">
        <v>6.6666666666666541E-2</v>
      </c>
      <c r="AB110" s="5">
        <v>0</v>
      </c>
      <c r="AC110" s="5">
        <v>9.8243902439024255E-2</v>
      </c>
      <c r="AD110" s="5">
        <v>0.11792452830188679</v>
      </c>
      <c r="AE110" s="5">
        <v>0</v>
      </c>
      <c r="AF110" s="5">
        <v>6.6384384172988101E-3</v>
      </c>
      <c r="AH110" s="5">
        <v>0</v>
      </c>
      <c r="AI110" s="5">
        <v>0</v>
      </c>
      <c r="AJ110" s="5">
        <v>0</v>
      </c>
      <c r="AK110" s="5">
        <v>0.98008606437332035</v>
      </c>
      <c r="AL110" s="5">
        <v>0</v>
      </c>
      <c r="AM110" s="5">
        <v>0</v>
      </c>
    </row>
    <row r="111" spans="1:39">
      <c r="A111" s="82">
        <f t="shared" si="21"/>
        <v>3</v>
      </c>
      <c r="B111" s="16" t="s">
        <v>209</v>
      </c>
      <c r="C111" s="15" t="s">
        <v>210</v>
      </c>
      <c r="D111" s="17">
        <v>0.49033789520017645</v>
      </c>
      <c r="E111" s="4">
        <v>0.44761893477305198</v>
      </c>
      <c r="F111" s="4">
        <v>0.57504587755969072</v>
      </c>
      <c r="G111" s="6">
        <v>0.53279296827811462</v>
      </c>
      <c r="H111" s="6">
        <v>0.40589380018984839</v>
      </c>
      <c r="I111" s="90">
        <v>0.35113967015718683</v>
      </c>
      <c r="J111" s="90">
        <v>0.45548667784771563</v>
      </c>
      <c r="K111" s="90">
        <v>0.75141205879335182</v>
      </c>
      <c r="M111" s="5">
        <v>0.61416666666666675</v>
      </c>
      <c r="N111" s="5">
        <v>4.3560830860534125E-2</v>
      </c>
      <c r="O111" s="5">
        <v>0.59000000000000008</v>
      </c>
      <c r="P111" s="5">
        <v>0.18798611111111108</v>
      </c>
      <c r="Q111" s="5">
        <v>0.36</v>
      </c>
      <c r="R111" s="5">
        <v>0.89</v>
      </c>
      <c r="T111" s="5">
        <v>0.5299166666666667</v>
      </c>
      <c r="U111" s="5">
        <v>0.70140000000000002</v>
      </c>
      <c r="V111" s="5">
        <v>0.98915708510819178</v>
      </c>
      <c r="W111" s="5">
        <v>9.5663030709832078E-2</v>
      </c>
      <c r="X111" s="5">
        <v>0.1341384828734537</v>
      </c>
      <c r="Y111" s="5">
        <v>1</v>
      </c>
      <c r="AA111" s="5">
        <v>0.20833333333333315</v>
      </c>
      <c r="AB111" s="5">
        <v>0.96796000000000004</v>
      </c>
      <c r="AC111" s="5">
        <v>0.48413951219512175</v>
      </c>
      <c r="AD111" s="5">
        <v>0.69803250641574</v>
      </c>
      <c r="AE111" s="5">
        <v>0.28311670226769503</v>
      </c>
      <c r="AF111" s="5">
        <v>0.55517575545679754</v>
      </c>
      <c r="AH111" s="5">
        <v>1.1000000000000001E-2</v>
      </c>
      <c r="AI111" s="5">
        <v>5.52040884424553E-2</v>
      </c>
      <c r="AJ111" s="5">
        <v>0.81</v>
      </c>
      <c r="AK111" s="5">
        <v>0.67</v>
      </c>
      <c r="AL111" s="5">
        <v>5.1587165113319809E-3</v>
      </c>
      <c r="AM111" s="5">
        <v>0.88399999618530301</v>
      </c>
    </row>
    <row r="112" spans="1:39">
      <c r="A112" s="82">
        <f t="shared" si="21"/>
        <v>3</v>
      </c>
      <c r="B112" s="16" t="s">
        <v>211</v>
      </c>
      <c r="C112" s="15" t="s">
        <v>212</v>
      </c>
      <c r="D112" s="17">
        <v>0.50655505101480802</v>
      </c>
      <c r="E112" s="4">
        <v>0.31990644290123454</v>
      </c>
      <c r="F112" s="4">
        <v>0.4891693960570575</v>
      </c>
      <c r="G112" s="6">
        <v>0.77862327742850523</v>
      </c>
      <c r="H112" s="6">
        <v>0.43852108767243464</v>
      </c>
      <c r="I112" s="90">
        <v>0.44795898446987031</v>
      </c>
      <c r="J112" s="90">
        <v>0.53623030673532823</v>
      </c>
      <c r="K112" s="90">
        <v>0.54993626725143441</v>
      </c>
      <c r="M112" s="5">
        <v>0.50741666666666663</v>
      </c>
      <c r="N112" s="5">
        <v>5.6105324074074071E-2</v>
      </c>
      <c r="O112" s="5">
        <v>0.19999999999999996</v>
      </c>
      <c r="P112" s="5">
        <v>0.30458333333333321</v>
      </c>
      <c r="Q112" s="5">
        <v>0.41133333333333333</v>
      </c>
      <c r="R112" s="5">
        <v>0.43999999999999995</v>
      </c>
      <c r="T112" s="5">
        <v>0.60066666666666668</v>
      </c>
      <c r="U112" s="5">
        <v>0.80699999999999994</v>
      </c>
      <c r="V112" s="5">
        <v>0.99082164021159258</v>
      </c>
      <c r="W112" s="5">
        <v>0.12295620674969343</v>
      </c>
      <c r="X112" s="5">
        <v>5.3571862714392564E-2</v>
      </c>
      <c r="Y112" s="5">
        <v>0.36</v>
      </c>
      <c r="AA112" s="5">
        <v>0.40833333333333333</v>
      </c>
      <c r="AB112" s="5">
        <v>0.97684000000000004</v>
      </c>
      <c r="AC112" s="5">
        <v>0.62383317073170708</v>
      </c>
      <c r="AD112" s="5">
        <v>0.98634812286689422</v>
      </c>
      <c r="AE112" s="5">
        <v>0.99142224507379084</v>
      </c>
      <c r="AF112" s="5">
        <v>0.68496279256530646</v>
      </c>
      <c r="AH112" s="5">
        <v>0</v>
      </c>
      <c r="AI112" s="5">
        <v>0</v>
      </c>
      <c r="AJ112" s="5">
        <v>0.91</v>
      </c>
      <c r="AK112" s="5">
        <v>0.98</v>
      </c>
      <c r="AL112" s="5">
        <v>0.19132653061224492</v>
      </c>
      <c r="AM112" s="5">
        <v>0.54979999542236302</v>
      </c>
    </row>
    <row r="113" spans="1:39">
      <c r="A113" s="82">
        <f t="shared" si="21"/>
        <v>3</v>
      </c>
      <c r="B113" s="16" t="s">
        <v>213</v>
      </c>
      <c r="C113" s="15" t="s">
        <v>214</v>
      </c>
      <c r="D113" s="17">
        <v>0.24583002226085121</v>
      </c>
      <c r="E113" s="4">
        <v>0.12117432950191571</v>
      </c>
      <c r="F113" s="4">
        <v>0.39992181340059335</v>
      </c>
      <c r="G113" s="6">
        <v>0.37084873165954724</v>
      </c>
      <c r="H113" s="6">
        <v>9.137521448134861E-2</v>
      </c>
      <c r="I113" s="90">
        <v>0.35015253515353684</v>
      </c>
      <c r="J113" s="90">
        <v>0.25734673978047584</v>
      </c>
      <c r="K113" s="90">
        <v>7.2071176642385923E-2</v>
      </c>
      <c r="M113" s="5">
        <v>0.49658333333333338</v>
      </c>
      <c r="N113" s="5">
        <v>2.1379310344827585E-2</v>
      </c>
      <c r="O113" s="5">
        <v>0</v>
      </c>
      <c r="P113" s="5">
        <v>0.14708333333333334</v>
      </c>
      <c r="Q113" s="5">
        <v>2.1999999999999999E-2</v>
      </c>
      <c r="R113" s="5">
        <v>4.0000000000000036E-2</v>
      </c>
      <c r="T113" s="5">
        <v>0.47866666666666663</v>
      </c>
      <c r="U113" s="5">
        <v>0.2871999999999999</v>
      </c>
      <c r="V113" s="5">
        <v>0.1035256410256411</v>
      </c>
      <c r="W113" s="5">
        <v>0.63589129992780269</v>
      </c>
      <c r="X113" s="5">
        <v>0.83424727278345012</v>
      </c>
      <c r="Y113" s="5">
        <v>0.06</v>
      </c>
      <c r="AA113" s="5">
        <v>0.76666666666666661</v>
      </c>
      <c r="AB113" s="5">
        <v>0.74395999999999995</v>
      </c>
      <c r="AC113" s="5">
        <v>0.20831902439024386</v>
      </c>
      <c r="AD113" s="5">
        <v>0.48556430446194226</v>
      </c>
      <c r="AE113" s="5">
        <v>0</v>
      </c>
      <c r="AF113" s="5">
        <v>2.058239443843058E-2</v>
      </c>
      <c r="AH113" s="5">
        <v>7.0999999999999994E-2</v>
      </c>
      <c r="AI113" s="5">
        <v>0.23506220821348531</v>
      </c>
      <c r="AJ113" s="5">
        <v>5.9999999999998943E-3</v>
      </c>
      <c r="AK113" s="5">
        <v>0</v>
      </c>
      <c r="AL113" s="5">
        <v>6.3917211992086442E-2</v>
      </c>
      <c r="AM113" s="5">
        <v>0.17227186668252004</v>
      </c>
    </row>
    <row r="114" spans="1:39">
      <c r="A114" s="82">
        <f t="shared" si="21"/>
        <v>3</v>
      </c>
      <c r="B114" s="16" t="s">
        <v>215</v>
      </c>
      <c r="C114" s="15" t="s">
        <v>216</v>
      </c>
      <c r="D114" s="17">
        <v>0.36740176124049856</v>
      </c>
      <c r="E114" s="4">
        <v>0.16499305555555555</v>
      </c>
      <c r="F114" s="4">
        <v>0.63977420818300723</v>
      </c>
      <c r="G114" s="6">
        <v>0.24817311455676472</v>
      </c>
      <c r="H114" s="6">
        <v>0.41666666666666669</v>
      </c>
      <c r="I114" s="90">
        <v>0.30526119616999647</v>
      </c>
      <c r="J114" s="90">
        <v>0.44095457546107508</v>
      </c>
      <c r="K114" s="90">
        <v>0.35028338751538696</v>
      </c>
      <c r="M114" s="5">
        <v>0.49050000000000005</v>
      </c>
      <c r="N114" s="5">
        <v>0.15666666666666668</v>
      </c>
      <c r="O114" s="5">
        <v>8.9999999999999969E-2</v>
      </c>
      <c r="P114" s="5">
        <v>0.12145833333333339</v>
      </c>
      <c r="Q114" s="5">
        <v>0.11133333333333334</v>
      </c>
      <c r="R114" s="5">
        <v>2.0000000000000018E-2</v>
      </c>
      <c r="T114" s="5">
        <v>0.44466666666666665</v>
      </c>
      <c r="U114" s="5">
        <v>0.60819999999999996</v>
      </c>
      <c r="V114" s="5">
        <v>0.99124999999999996</v>
      </c>
      <c r="W114" s="5">
        <v>7.4528582431377055E-2</v>
      </c>
      <c r="X114" s="5">
        <v>1</v>
      </c>
      <c r="Y114" s="5">
        <v>0.72</v>
      </c>
      <c r="AA114" s="5">
        <v>0.44999999999999984</v>
      </c>
      <c r="AB114" s="5">
        <v>0.58019999999999994</v>
      </c>
      <c r="AC114" s="5">
        <v>0.26010292682926828</v>
      </c>
      <c r="AD114" s="5">
        <v>0.16619718309859155</v>
      </c>
      <c r="AE114" s="5">
        <v>1.2191179149675456E-2</v>
      </c>
      <c r="AF114" s="5">
        <v>2.0347398263053242E-2</v>
      </c>
      <c r="AH114" s="5">
        <v>1</v>
      </c>
      <c r="AI114" s="5">
        <v>1</v>
      </c>
      <c r="AJ114" s="5">
        <v>0</v>
      </c>
      <c r="AK114" s="5">
        <v>0.5</v>
      </c>
      <c r="AL114" s="5">
        <v>0</v>
      </c>
      <c r="AM114" s="5">
        <v>0</v>
      </c>
    </row>
    <row r="115" spans="1:39">
      <c r="A115" s="82">
        <f t="shared" si="21"/>
        <v>3</v>
      </c>
      <c r="B115" s="16" t="s">
        <v>217</v>
      </c>
      <c r="C115" s="15" t="s">
        <v>218</v>
      </c>
      <c r="D115" s="17">
        <v>0.52823030173128993</v>
      </c>
      <c r="E115" s="4">
        <v>0.43321324074074075</v>
      </c>
      <c r="F115" s="4">
        <v>0.71196562706221445</v>
      </c>
      <c r="G115" s="6">
        <v>0.69370069124369949</v>
      </c>
      <c r="H115" s="6">
        <v>0.27404164787850499</v>
      </c>
      <c r="I115" s="90">
        <v>0.49403360365023224</v>
      </c>
      <c r="J115" s="90">
        <v>0.38410132961367494</v>
      </c>
      <c r="K115" s="90">
        <v>0.79571880702929887</v>
      </c>
      <c r="M115" s="5">
        <v>0.41749999999999998</v>
      </c>
      <c r="N115" s="5">
        <v>6.5460000000000004E-2</v>
      </c>
      <c r="O115" s="5">
        <v>0.43999999999999995</v>
      </c>
      <c r="P115" s="5">
        <v>0.44965277777777768</v>
      </c>
      <c r="Q115" s="5">
        <v>0.58666666666666667</v>
      </c>
      <c r="R115" s="5">
        <v>0.64</v>
      </c>
      <c r="T115" s="5">
        <v>0.66024999999999989</v>
      </c>
      <c r="U115" s="5">
        <v>0.67259999999999986</v>
      </c>
      <c r="V115" s="5">
        <v>0.98046357388311001</v>
      </c>
      <c r="W115" s="5">
        <v>0.87596110452071119</v>
      </c>
      <c r="X115" s="5">
        <v>9.2519083969465649E-2</v>
      </c>
      <c r="Y115" s="5">
        <v>0.99</v>
      </c>
      <c r="AA115" s="5">
        <v>0.20833333333333315</v>
      </c>
      <c r="AB115" s="5">
        <v>0.97404000000000002</v>
      </c>
      <c r="AC115" s="5">
        <v>0.72384926829268281</v>
      </c>
      <c r="AD115" s="5">
        <v>1</v>
      </c>
      <c r="AE115" s="5">
        <v>0.25598154583618127</v>
      </c>
      <c r="AF115" s="5">
        <v>1</v>
      </c>
      <c r="AH115" s="5">
        <v>0</v>
      </c>
      <c r="AI115" s="5">
        <v>0</v>
      </c>
      <c r="AJ115" s="5">
        <v>0.82600000000000007</v>
      </c>
      <c r="AK115" s="5">
        <v>0</v>
      </c>
      <c r="AL115" s="5">
        <v>8.6052172202689733E-3</v>
      </c>
      <c r="AM115" s="5">
        <v>0.80964467005076102</v>
      </c>
    </row>
    <row r="116" spans="1:39">
      <c r="A116" s="82">
        <f t="shared" si="21"/>
        <v>3</v>
      </c>
      <c r="B116" s="16" t="s">
        <v>219</v>
      </c>
      <c r="C116" s="15" t="s">
        <v>220</v>
      </c>
      <c r="D116" s="17">
        <v>0.23755915747610984</v>
      </c>
      <c r="E116" s="4">
        <v>0.31038364044737804</v>
      </c>
      <c r="F116" s="4">
        <v>0.32497637290017789</v>
      </c>
      <c r="G116" s="6">
        <v>0.10605803867884422</v>
      </c>
      <c r="H116" s="6">
        <v>0.20881857787803929</v>
      </c>
      <c r="I116" s="90">
        <v>0.20500322998483092</v>
      </c>
      <c r="J116" s="90">
        <v>0.37418326596789758</v>
      </c>
      <c r="K116" s="90">
        <v>8.1456885975346741E-2</v>
      </c>
      <c r="M116" s="5">
        <v>0.77700000000000002</v>
      </c>
      <c r="N116" s="5">
        <v>0.71287128712871284</v>
      </c>
      <c r="O116" s="5">
        <v>0</v>
      </c>
      <c r="P116" s="5">
        <v>0.3724305555555556</v>
      </c>
      <c r="Q116" s="5">
        <v>0</v>
      </c>
      <c r="R116" s="5">
        <v>0</v>
      </c>
      <c r="T116" s="5">
        <v>0.23600000000000002</v>
      </c>
      <c r="U116" s="5">
        <v>5.518663931412935E-2</v>
      </c>
      <c r="V116" s="5">
        <v>0.38392156862749993</v>
      </c>
      <c r="W116" s="5">
        <v>0.27475002945943799</v>
      </c>
      <c r="X116" s="5">
        <v>1</v>
      </c>
      <c r="Y116" s="5">
        <v>0</v>
      </c>
      <c r="AA116" s="5">
        <v>6.6666666666666541E-2</v>
      </c>
      <c r="AB116" s="5">
        <v>0.3466800000000001</v>
      </c>
      <c r="AC116" s="5">
        <v>0.10209756097560929</v>
      </c>
      <c r="AD116" s="5">
        <v>0.11818181818181818</v>
      </c>
      <c r="AE116" s="5">
        <v>0</v>
      </c>
      <c r="AF116" s="5">
        <v>2.7221862489711945E-3</v>
      </c>
      <c r="AH116" s="5">
        <v>0</v>
      </c>
      <c r="AI116" s="5">
        <v>0.12943246848923695</v>
      </c>
      <c r="AJ116" s="5">
        <v>0</v>
      </c>
      <c r="AK116" s="5">
        <v>0.99877899877899878</v>
      </c>
      <c r="AL116" s="5">
        <v>0</v>
      </c>
      <c r="AM116" s="5">
        <v>0.12470000000000003</v>
      </c>
    </row>
    <row r="117" spans="1:39">
      <c r="A117" s="82">
        <f t="shared" si="21"/>
        <v>6</v>
      </c>
      <c r="B117" s="16" t="s">
        <v>221</v>
      </c>
      <c r="C117" s="15" t="s">
        <v>222</v>
      </c>
      <c r="D117" s="17" t="e">
        <v>#N/A</v>
      </c>
      <c r="E117" s="4">
        <v>0.23409092592592592</v>
      </c>
      <c r="F117" s="4" t="e">
        <v>#N/A</v>
      </c>
      <c r="G117" s="6">
        <v>0.5696482562966988</v>
      </c>
      <c r="H117" s="6">
        <v>0.68819613639079158</v>
      </c>
      <c r="I117" s="90">
        <v>0.38943445555213835</v>
      </c>
      <c r="J117" s="90">
        <v>0.53857712281757597</v>
      </c>
      <c r="K117" s="90">
        <v>0.44504390243902436</v>
      </c>
      <c r="M117" s="5">
        <v>0.32850000000000001</v>
      </c>
      <c r="N117" s="5">
        <v>0.49999000000000005</v>
      </c>
      <c r="O117" s="5">
        <v>6.0000000000000053E-2</v>
      </c>
      <c r="P117" s="5">
        <v>0.11138888888888876</v>
      </c>
      <c r="Q117" s="5">
        <v>0.13466666666666666</v>
      </c>
      <c r="R117" s="5">
        <v>0.27</v>
      </c>
      <c r="T117" s="5">
        <v>0.44466666666666665</v>
      </c>
      <c r="U117" s="5">
        <v>0.28560000000000002</v>
      </c>
      <c r="V117" s="5">
        <v>1</v>
      </c>
      <c r="W117" s="5">
        <v>0.19468316632181715</v>
      </c>
      <c r="X117" s="5" t="e">
        <v>#N/A</v>
      </c>
      <c r="Y117" s="5" t="e">
        <v>#N/A</v>
      </c>
      <c r="AA117" s="5">
        <v>0.76666666666666661</v>
      </c>
      <c r="AB117" s="5">
        <v>0.77523999999999993</v>
      </c>
      <c r="AC117" s="5">
        <v>0.39521951219512175</v>
      </c>
      <c r="AD117" s="5">
        <v>0.40400471142520611</v>
      </c>
      <c r="AE117" s="5">
        <v>0.57675864749319861</v>
      </c>
      <c r="AF117" s="5">
        <v>0.5</v>
      </c>
      <c r="AH117" s="5">
        <v>1</v>
      </c>
      <c r="AI117" s="5">
        <v>0.99778454556316631</v>
      </c>
      <c r="AJ117" s="5">
        <v>0.255</v>
      </c>
      <c r="AK117" s="5">
        <v>0.5</v>
      </c>
      <c r="AL117" s="5">
        <v>0</v>
      </c>
      <c r="AM117" s="5" t="e">
        <v>#N/A</v>
      </c>
    </row>
    <row r="118" spans="1:39">
      <c r="A118" s="82">
        <f t="shared" si="21"/>
        <v>3</v>
      </c>
      <c r="B118" s="16" t="s">
        <v>223</v>
      </c>
      <c r="C118" s="15" t="s">
        <v>224</v>
      </c>
      <c r="D118" s="17">
        <v>0.51202122194965805</v>
      </c>
      <c r="E118" s="4">
        <v>0.48917580409356737</v>
      </c>
      <c r="F118" s="4">
        <v>0.68024014370970909</v>
      </c>
      <c r="G118" s="6">
        <v>0.5648800215690698</v>
      </c>
      <c r="H118" s="6">
        <v>0.3137889184262857</v>
      </c>
      <c r="I118" s="90">
        <v>0.46194873543307907</v>
      </c>
      <c r="J118" s="90">
        <v>0.44436719007554792</v>
      </c>
      <c r="K118" s="90">
        <v>0.6886109995356916</v>
      </c>
      <c r="M118" s="5">
        <v>0.81791666666666674</v>
      </c>
      <c r="N118" s="5">
        <v>0.14026315789473684</v>
      </c>
      <c r="O118" s="5">
        <v>0.51</v>
      </c>
      <c r="P118" s="5">
        <v>0.46687500000000004</v>
      </c>
      <c r="Q118" s="5">
        <v>0.26</v>
      </c>
      <c r="R118" s="5">
        <v>0.74</v>
      </c>
      <c r="T118" s="5">
        <v>0.63950000000000007</v>
      </c>
      <c r="U118" s="5">
        <v>0.58799999999999997</v>
      </c>
      <c r="V118" s="5">
        <v>0.98375000000000001</v>
      </c>
      <c r="W118" s="5">
        <v>0.5</v>
      </c>
      <c r="X118" s="5">
        <v>0.64019086225825517</v>
      </c>
      <c r="Y118" s="5">
        <v>0.73</v>
      </c>
      <c r="AA118" s="5">
        <v>0.20833333333333315</v>
      </c>
      <c r="AB118" s="5">
        <v>0.94120000000000004</v>
      </c>
      <c r="AC118" s="5">
        <v>0.56061414634146334</v>
      </c>
      <c r="AD118" s="5">
        <v>0.8161816891412349</v>
      </c>
      <c r="AE118" s="5">
        <v>0.25564910972570148</v>
      </c>
      <c r="AF118" s="5">
        <v>0.60730185087268584</v>
      </c>
      <c r="AH118" s="5">
        <v>1E-3</v>
      </c>
      <c r="AI118" s="5">
        <v>0.29248158080123798</v>
      </c>
      <c r="AJ118" s="5">
        <v>0.69900000000000007</v>
      </c>
      <c r="AK118" s="5">
        <v>0.15</v>
      </c>
      <c r="AL118" s="5">
        <v>8.7319297564761814E-3</v>
      </c>
      <c r="AM118" s="5">
        <v>0.73151999999999995</v>
      </c>
    </row>
    <row r="119" spans="1:39">
      <c r="A119" s="82">
        <f t="shared" si="21"/>
        <v>3</v>
      </c>
      <c r="B119" s="16" t="s">
        <v>225</v>
      </c>
      <c r="C119" s="15" t="s">
        <v>226</v>
      </c>
      <c r="D119" s="17">
        <v>0.23560593388741199</v>
      </c>
      <c r="E119" s="4">
        <v>0.18266647734157271</v>
      </c>
      <c r="F119" s="4">
        <v>0.52570878663737119</v>
      </c>
      <c r="G119" s="6">
        <v>0.21407678800723948</v>
      </c>
      <c r="H119" s="6">
        <v>1.9971683563464595E-2</v>
      </c>
      <c r="I119" s="90">
        <v>0.20625138836071921</v>
      </c>
      <c r="J119" s="90">
        <v>0.29247334331994757</v>
      </c>
      <c r="K119" s="90">
        <v>0.19433663802864762</v>
      </c>
      <c r="M119" s="5">
        <v>0.64966666666666661</v>
      </c>
      <c r="N119" s="5">
        <v>0.26354053071610323</v>
      </c>
      <c r="O119" s="5">
        <v>1.0000000000000009E-2</v>
      </c>
      <c r="P119" s="5">
        <v>7.8125E-2</v>
      </c>
      <c r="Q119" s="5">
        <v>4.6666666666666671E-3</v>
      </c>
      <c r="R119" s="5">
        <v>8.9999999999999969E-2</v>
      </c>
      <c r="T119" s="5">
        <v>0.44466666666666665</v>
      </c>
      <c r="U119" s="5">
        <v>0.5746</v>
      </c>
      <c r="V119" s="5">
        <v>0.6027183908046666</v>
      </c>
      <c r="W119" s="5">
        <v>0.33226766235289351</v>
      </c>
      <c r="X119" s="5">
        <v>1</v>
      </c>
      <c r="Y119" s="5">
        <v>0.2</v>
      </c>
      <c r="AA119" s="5">
        <v>0.20833333333333315</v>
      </c>
      <c r="AB119" s="5">
        <v>0.65920000000000001</v>
      </c>
      <c r="AC119" s="5">
        <v>0.24719999999999998</v>
      </c>
      <c r="AD119" s="5">
        <v>0.13720316622691292</v>
      </c>
      <c r="AE119" s="5">
        <v>1.6422791115971464E-2</v>
      </c>
      <c r="AF119" s="5">
        <v>1.6101437367219251E-2</v>
      </c>
      <c r="AH119" s="5">
        <v>0</v>
      </c>
      <c r="AI119" s="5">
        <v>9.4130101380787728E-2</v>
      </c>
      <c r="AJ119" s="5">
        <v>5.9999999999998943E-3</v>
      </c>
      <c r="AK119" s="5">
        <v>0</v>
      </c>
      <c r="AL119" s="5">
        <v>0</v>
      </c>
      <c r="AM119" s="5">
        <v>1.969999999999994E-2</v>
      </c>
    </row>
    <row r="120" spans="1:39">
      <c r="A120" s="82">
        <f t="shared" si="21"/>
        <v>3</v>
      </c>
      <c r="B120" s="16" t="s">
        <v>227</v>
      </c>
      <c r="C120" s="15" t="s">
        <v>228</v>
      </c>
      <c r="D120" s="17">
        <v>0.25156901996656572</v>
      </c>
      <c r="E120" s="4">
        <v>0.24108282298046077</v>
      </c>
      <c r="F120" s="4">
        <v>0.41339540160814403</v>
      </c>
      <c r="G120" s="6">
        <v>0.22455086208238662</v>
      </c>
      <c r="H120" s="6">
        <v>0.12724699319527144</v>
      </c>
      <c r="I120" s="90">
        <v>0.29210555529301119</v>
      </c>
      <c r="J120" s="90">
        <v>0.23007127758446952</v>
      </c>
      <c r="K120" s="90">
        <v>0.22301083055004176</v>
      </c>
      <c r="M120" s="5">
        <v>0.71499999999999997</v>
      </c>
      <c r="N120" s="5">
        <v>0.17449693788276466</v>
      </c>
      <c r="O120" s="5">
        <v>6.0000000000000053E-2</v>
      </c>
      <c r="P120" s="5">
        <v>0.33166666666666655</v>
      </c>
      <c r="Q120" s="5">
        <v>1.5333333333333332E-2</v>
      </c>
      <c r="R120" s="5">
        <v>0.15000000000000002</v>
      </c>
      <c r="T120" s="5">
        <v>0.65750000000000008</v>
      </c>
      <c r="U120" s="5">
        <v>0.22499999999999998</v>
      </c>
      <c r="V120" s="5">
        <v>0.76349319600342413</v>
      </c>
      <c r="W120" s="5">
        <v>0.32839106847749966</v>
      </c>
      <c r="X120" s="5">
        <v>0.38598814516794</v>
      </c>
      <c r="Y120" s="5">
        <v>0.12</v>
      </c>
      <c r="AA120" s="5">
        <v>0.31666666666666676</v>
      </c>
      <c r="AB120" s="5">
        <v>0.56588000000000016</v>
      </c>
      <c r="AC120" s="5">
        <v>0.19409277750243892</v>
      </c>
      <c r="AD120" s="5">
        <v>0.22006472491909385</v>
      </c>
      <c r="AE120" s="5">
        <v>1.2199361173237487E-4</v>
      </c>
      <c r="AF120" s="5">
        <v>5.0479009794387478E-2</v>
      </c>
      <c r="AH120" s="5">
        <v>0.03</v>
      </c>
      <c r="AI120" s="5">
        <v>5.6621088264455152E-2</v>
      </c>
      <c r="AJ120" s="5">
        <v>1.5000000000000013E-2</v>
      </c>
      <c r="AK120" s="5">
        <v>0</v>
      </c>
      <c r="AL120" s="5">
        <v>1.4660870907173537E-2</v>
      </c>
      <c r="AM120" s="5">
        <v>0.6472</v>
      </c>
    </row>
    <row r="121" spans="1:39">
      <c r="A121" s="82">
        <f t="shared" si="21"/>
        <v>4</v>
      </c>
      <c r="B121" s="16" t="s">
        <v>229</v>
      </c>
      <c r="C121" s="15" t="s">
        <v>230</v>
      </c>
      <c r="D121" s="17" t="e">
        <v>#N/A</v>
      </c>
      <c r="E121" s="4">
        <v>0.28672055555555559</v>
      </c>
      <c r="F121" s="4" t="e">
        <v>#N/A</v>
      </c>
      <c r="G121" s="6">
        <v>0.58432021277838331</v>
      </c>
      <c r="H121" s="6">
        <v>0.43289006649783035</v>
      </c>
      <c r="I121" s="90">
        <v>0.39433788594051866</v>
      </c>
      <c r="J121" s="90">
        <v>0.49377938745156769</v>
      </c>
      <c r="K121" s="90">
        <v>0.4524142276422764</v>
      </c>
      <c r="M121" s="5">
        <v>0.25</v>
      </c>
      <c r="N121" s="5">
        <v>0.49999000000000005</v>
      </c>
      <c r="O121" s="5">
        <v>6.0000000000000053E-2</v>
      </c>
      <c r="P121" s="5">
        <v>0.125</v>
      </c>
      <c r="Q121" s="5">
        <v>5.5333333333333332E-2</v>
      </c>
      <c r="R121" s="5">
        <v>0.73</v>
      </c>
      <c r="T121" s="5">
        <v>0.44466666666666665</v>
      </c>
      <c r="U121" s="5">
        <v>0.77379999999999993</v>
      </c>
      <c r="V121" s="5">
        <v>1</v>
      </c>
      <c r="W121" s="5">
        <v>7.1709763273585206E-2</v>
      </c>
      <c r="X121" s="5" t="e">
        <v>#N/A</v>
      </c>
      <c r="Y121" s="5">
        <v>0.1</v>
      </c>
      <c r="AA121" s="5">
        <v>0.76666666666666661</v>
      </c>
      <c r="AB121" s="5">
        <v>0.79664000000000001</v>
      </c>
      <c r="AC121" s="5">
        <v>0.32448536585365839</v>
      </c>
      <c r="AD121" s="5">
        <v>0.43099787685774948</v>
      </c>
      <c r="AE121" s="5">
        <v>0.68713136729222546</v>
      </c>
      <c r="AF121" s="5">
        <v>0.5</v>
      </c>
      <c r="AH121" s="5">
        <v>1</v>
      </c>
      <c r="AI121" s="5">
        <v>0.31234039898698246</v>
      </c>
      <c r="AJ121" s="5">
        <v>0.45999999999999996</v>
      </c>
      <c r="AK121" s="5">
        <v>0</v>
      </c>
      <c r="AL121" s="5">
        <v>0</v>
      </c>
      <c r="AM121" s="5">
        <v>0.82499999999999996</v>
      </c>
    </row>
    <row r="122" spans="1:39">
      <c r="A122" s="82">
        <f t="shared" si="21"/>
        <v>3</v>
      </c>
      <c r="B122" s="16" t="s">
        <v>231</v>
      </c>
      <c r="C122" s="15" t="s">
        <v>232</v>
      </c>
      <c r="D122" s="17">
        <v>0.26396687892196619</v>
      </c>
      <c r="E122" s="4">
        <v>0.26045183595612781</v>
      </c>
      <c r="F122" s="4">
        <v>0.28509625485209689</v>
      </c>
      <c r="G122" s="6">
        <v>0.28928593297920907</v>
      </c>
      <c r="H122" s="6">
        <v>0.22103349190043109</v>
      </c>
      <c r="I122" s="90">
        <v>0.28323771099253486</v>
      </c>
      <c r="J122" s="90">
        <v>0.27068624366470717</v>
      </c>
      <c r="K122" s="90">
        <v>0.22498158370200172</v>
      </c>
      <c r="M122" s="5">
        <v>0.51833333333333331</v>
      </c>
      <c r="N122" s="5">
        <v>0.16437768240343348</v>
      </c>
      <c r="O122" s="5">
        <v>9.9999999999999978E-2</v>
      </c>
      <c r="P122" s="5">
        <v>0.56000000000000005</v>
      </c>
      <c r="Q122" s="5">
        <v>0.01</v>
      </c>
      <c r="R122" s="5">
        <v>0.20999999999999996</v>
      </c>
      <c r="T122" s="5">
        <v>0.27966666666666667</v>
      </c>
      <c r="U122" s="5">
        <v>0.58519999999999994</v>
      </c>
      <c r="V122" s="5">
        <v>0.65007317965600353</v>
      </c>
      <c r="W122" s="5">
        <v>3.0496628471702333E-4</v>
      </c>
      <c r="X122" s="5">
        <v>0.14533271650519411</v>
      </c>
      <c r="Y122" s="5">
        <v>0.05</v>
      </c>
      <c r="AA122" s="5">
        <v>0.87499999999999967</v>
      </c>
      <c r="AB122" s="5">
        <v>0.36128000000000005</v>
      </c>
      <c r="AC122" s="5">
        <v>0.32751170731707302</v>
      </c>
      <c r="AD122" s="5">
        <v>0.12040816326530612</v>
      </c>
      <c r="AE122" s="5">
        <v>3.9211112053941337E-2</v>
      </c>
      <c r="AF122" s="5">
        <v>1.2304615238933858E-2</v>
      </c>
      <c r="AH122" s="5">
        <v>1.3000000000000001E-2</v>
      </c>
      <c r="AI122" s="5">
        <v>2.0423356933776698E-2</v>
      </c>
      <c r="AJ122" s="5">
        <v>0</v>
      </c>
      <c r="AK122" s="5">
        <v>0.96835132508601884</v>
      </c>
      <c r="AL122" s="5">
        <v>0.18242626938279113</v>
      </c>
      <c r="AM122" s="5">
        <v>0.14200000000000002</v>
      </c>
    </row>
    <row r="123" spans="1:39">
      <c r="A123" s="82">
        <f t="shared" si="21"/>
        <v>9</v>
      </c>
      <c r="B123" s="16" t="s">
        <v>233</v>
      </c>
      <c r="C123" s="15" t="s">
        <v>234</v>
      </c>
      <c r="D123" s="17" t="e">
        <v>#DIV/0!</v>
      </c>
      <c r="E123" s="4" t="e">
        <v>#DIV/0!</v>
      </c>
      <c r="F123" s="4" t="e">
        <v>#N/A</v>
      </c>
      <c r="G123" s="6" t="e">
        <v>#N/A</v>
      </c>
      <c r="H123" s="6" t="e">
        <v>#N/A</v>
      </c>
      <c r="I123" s="90" t="e">
        <v>#N/A</v>
      </c>
      <c r="J123" s="90" t="e">
        <v>#N/A</v>
      </c>
      <c r="K123" s="90" t="e">
        <v>#N/A</v>
      </c>
      <c r="M123" s="5">
        <v>0.55283333333333329</v>
      </c>
      <c r="N123" s="5" t="e">
        <v>#DIV/0!</v>
      </c>
      <c r="O123" s="5">
        <v>0</v>
      </c>
      <c r="P123" s="5">
        <v>0.48833333333333351</v>
      </c>
      <c r="Q123" s="5">
        <v>1.3333333333333333E-3</v>
      </c>
      <c r="R123" s="5">
        <v>0</v>
      </c>
      <c r="T123" s="5">
        <v>0.23600000000000002</v>
      </c>
      <c r="U123" s="5">
        <v>0</v>
      </c>
      <c r="V123" s="5">
        <v>1</v>
      </c>
      <c r="W123" s="5">
        <v>0.46905662919573027</v>
      </c>
      <c r="X123" s="5" t="e">
        <v>#N/A</v>
      </c>
      <c r="Y123" s="5">
        <v>0</v>
      </c>
      <c r="AA123" s="5">
        <v>6.6666666666666541E-2</v>
      </c>
      <c r="AB123" s="5">
        <v>0</v>
      </c>
      <c r="AC123" s="5" t="e">
        <v>#N/A</v>
      </c>
      <c r="AD123" s="5">
        <v>0.11458333333333333</v>
      </c>
      <c r="AE123" s="5">
        <v>0</v>
      </c>
      <c r="AF123" s="5" t="e">
        <v>#N/A</v>
      </c>
      <c r="AH123" s="5" t="e">
        <v>#N/A</v>
      </c>
      <c r="AI123" s="5">
        <v>0.72701819580561589</v>
      </c>
      <c r="AJ123" s="5">
        <v>0</v>
      </c>
      <c r="AK123" s="5" t="e">
        <v>#N/A</v>
      </c>
      <c r="AL123" s="5">
        <v>0</v>
      </c>
      <c r="AM123" s="5">
        <v>0</v>
      </c>
    </row>
    <row r="124" spans="1:39">
      <c r="A124" s="82">
        <f t="shared" si="21"/>
        <v>3</v>
      </c>
      <c r="B124" s="16" t="s">
        <v>235</v>
      </c>
      <c r="C124" s="15" t="s">
        <v>236</v>
      </c>
      <c r="D124" s="17">
        <v>0.22750805222635567</v>
      </c>
      <c r="E124" s="4">
        <v>0.27489351851851845</v>
      </c>
      <c r="F124" s="4">
        <v>0.27388796349025563</v>
      </c>
      <c r="G124" s="6">
        <v>0.15294385366122484</v>
      </c>
      <c r="H124" s="6">
        <v>0.20830687323542377</v>
      </c>
      <c r="I124" s="90">
        <v>0.2688663800400159</v>
      </c>
      <c r="J124" s="90">
        <v>0.25307425713252385</v>
      </c>
      <c r="K124" s="90">
        <v>0.12712125314661302</v>
      </c>
      <c r="M124" s="5">
        <v>0.79075000000000006</v>
      </c>
      <c r="N124" s="5">
        <v>0.16062499999999999</v>
      </c>
      <c r="O124" s="5">
        <v>0</v>
      </c>
      <c r="P124" s="5">
        <v>0.58798611111111099</v>
      </c>
      <c r="Q124" s="5">
        <v>0</v>
      </c>
      <c r="R124" s="5">
        <v>0.10999999999999999</v>
      </c>
      <c r="T124" s="5">
        <v>0.28591666666666671</v>
      </c>
      <c r="U124" s="5">
        <v>0.32599999999999985</v>
      </c>
      <c r="V124" s="5">
        <v>0.40635416666666668</v>
      </c>
      <c r="W124" s="5">
        <v>0.32</v>
      </c>
      <c r="X124" s="5">
        <v>0.27505694760820043</v>
      </c>
      <c r="Y124" s="5">
        <v>0.03</v>
      </c>
      <c r="AA124" s="5">
        <v>7.4999999999999997E-2</v>
      </c>
      <c r="AB124" s="5">
        <v>0.55094799999999999</v>
      </c>
      <c r="AC124" s="5">
        <v>0.21295902439024361</v>
      </c>
      <c r="AD124" s="5">
        <v>6.5217391304347824E-2</v>
      </c>
      <c r="AE124" s="5">
        <v>1.0124378449990026E-2</v>
      </c>
      <c r="AF124" s="5">
        <v>3.4143278227677012E-3</v>
      </c>
      <c r="AH124" s="5">
        <v>0</v>
      </c>
      <c r="AI124" s="5">
        <v>0</v>
      </c>
      <c r="AJ124" s="5">
        <v>0</v>
      </c>
      <c r="AK124" s="5">
        <v>0.52031398813452445</v>
      </c>
      <c r="AL124" s="5">
        <v>0.29492725127801811</v>
      </c>
      <c r="AM124" s="5">
        <v>0.43459999999999999</v>
      </c>
    </row>
    <row r="125" spans="1:39">
      <c r="A125" s="82">
        <f t="shared" si="21"/>
        <v>3</v>
      </c>
      <c r="B125" s="16" t="s">
        <v>237</v>
      </c>
      <c r="C125" s="15" t="s">
        <v>238</v>
      </c>
      <c r="D125" s="17">
        <v>0.32775479635357946</v>
      </c>
      <c r="E125" s="4">
        <v>0.3182358716475096</v>
      </c>
      <c r="F125" s="4">
        <v>0.44729669062149102</v>
      </c>
      <c r="G125" s="6">
        <v>0.3290096069159259</v>
      </c>
      <c r="H125" s="6">
        <v>0.21647701622939142</v>
      </c>
      <c r="I125" s="90">
        <v>0.31720438775100063</v>
      </c>
      <c r="J125" s="90">
        <v>0.31584641859196466</v>
      </c>
      <c r="K125" s="90">
        <v>0.36144297589987001</v>
      </c>
      <c r="M125" s="5">
        <v>0.23983333333333334</v>
      </c>
      <c r="N125" s="5">
        <v>1.4373563218390804E-2</v>
      </c>
      <c r="O125" s="5">
        <v>0.24</v>
      </c>
      <c r="P125" s="5">
        <v>0.78520833333333351</v>
      </c>
      <c r="Q125" s="5">
        <v>0.13</v>
      </c>
      <c r="R125" s="5">
        <v>0.5</v>
      </c>
      <c r="T125" s="5">
        <v>0.26791666666666664</v>
      </c>
      <c r="U125" s="5">
        <v>0.42660000000000003</v>
      </c>
      <c r="V125" s="5">
        <v>0.92301960784305881</v>
      </c>
      <c r="W125" s="5">
        <v>0.25907966510992964</v>
      </c>
      <c r="X125" s="5">
        <v>0.69716420410929103</v>
      </c>
      <c r="Y125" s="5">
        <v>0.11000000000000001</v>
      </c>
      <c r="AA125" s="5">
        <v>0.76666666666666661</v>
      </c>
      <c r="AB125" s="5">
        <v>0.60948000000000002</v>
      </c>
      <c r="AC125" s="5">
        <v>0.3615799999999999</v>
      </c>
      <c r="AD125" s="5">
        <v>0.20227272727272727</v>
      </c>
      <c r="AE125" s="5">
        <v>0</v>
      </c>
      <c r="AF125" s="5">
        <v>3.4058247556161395E-2</v>
      </c>
      <c r="AH125" s="5">
        <v>0</v>
      </c>
      <c r="AI125" s="5">
        <v>0</v>
      </c>
      <c r="AJ125" s="5">
        <v>0.32999999999999996</v>
      </c>
      <c r="AK125" s="5">
        <v>0</v>
      </c>
      <c r="AL125" s="5">
        <v>3.8620973763485154E-3</v>
      </c>
      <c r="AM125" s="5">
        <v>0.96499999999999997</v>
      </c>
    </row>
    <row r="126" spans="1:39">
      <c r="A126" s="82">
        <f t="shared" si="21"/>
        <v>7</v>
      </c>
      <c r="B126" s="16" t="s">
        <v>239</v>
      </c>
      <c r="C126" s="15" t="s">
        <v>240</v>
      </c>
      <c r="D126" s="17" t="e">
        <v>#DIV/0!</v>
      </c>
      <c r="E126" s="4" t="e">
        <v>#DIV/0!</v>
      </c>
      <c r="F126" s="4">
        <v>0.44762036083221196</v>
      </c>
      <c r="G126" s="6">
        <v>0.1388983727071951</v>
      </c>
      <c r="H126" s="6" t="e">
        <v>#N/A</v>
      </c>
      <c r="I126" s="90">
        <v>0.26127598702064275</v>
      </c>
      <c r="J126" s="90">
        <v>0.22119717548721587</v>
      </c>
      <c r="K126" s="90">
        <v>0.23181468646911188</v>
      </c>
      <c r="M126" s="5">
        <v>0.68166666666666664</v>
      </c>
      <c r="N126" s="5" t="e">
        <v>#DIV/0!</v>
      </c>
      <c r="O126" s="5">
        <v>2.0000000000000018E-2</v>
      </c>
      <c r="P126" s="5">
        <v>0.50749999999999995</v>
      </c>
      <c r="Q126" s="5">
        <v>0</v>
      </c>
      <c r="R126" s="5">
        <v>7.999999999999996E-2</v>
      </c>
      <c r="T126" s="5">
        <v>0.28333333333333333</v>
      </c>
      <c r="U126" s="5">
        <v>0.40159999999999996</v>
      </c>
      <c r="V126" s="5">
        <v>1</v>
      </c>
      <c r="W126" s="5">
        <v>0.49343253384630187</v>
      </c>
      <c r="X126" s="5">
        <v>0.43735629781363655</v>
      </c>
      <c r="Y126" s="5">
        <v>6.9999999999999993E-2</v>
      </c>
      <c r="AA126" s="5">
        <v>7.4999999999999997E-2</v>
      </c>
      <c r="AB126" s="5">
        <v>0.47736000000000001</v>
      </c>
      <c r="AC126" s="5">
        <v>0.21458975609756092</v>
      </c>
      <c r="AD126" s="5">
        <v>4.9275362318840582E-2</v>
      </c>
      <c r="AE126" s="5">
        <v>1.0866755109658861E-2</v>
      </c>
      <c r="AF126" s="5">
        <v>6.2983627171102124E-3</v>
      </c>
      <c r="AH126" s="5">
        <v>0</v>
      </c>
      <c r="AI126" s="5">
        <v>0</v>
      </c>
      <c r="AJ126" s="5">
        <v>0</v>
      </c>
      <c r="AK126" s="5" t="e">
        <v>#N/A</v>
      </c>
      <c r="AL126" s="5" t="e">
        <v>#N/A</v>
      </c>
      <c r="AM126" s="5" t="e">
        <v>#N/A</v>
      </c>
    </row>
    <row r="127" spans="1:39">
      <c r="A127" s="82">
        <f t="shared" si="21"/>
        <v>3</v>
      </c>
      <c r="B127" s="16" t="s">
        <v>241</v>
      </c>
      <c r="C127" s="15" t="s">
        <v>242</v>
      </c>
      <c r="D127" s="17">
        <v>0.36751118843722835</v>
      </c>
      <c r="E127" s="4">
        <v>0.38080308109833966</v>
      </c>
      <c r="F127" s="4">
        <v>0.46632672285011073</v>
      </c>
      <c r="G127" s="6">
        <v>0.38480962278022063</v>
      </c>
      <c r="H127" s="6">
        <v>0.23810532702024248</v>
      </c>
      <c r="I127" s="90">
        <v>0.34598700595238463</v>
      </c>
      <c r="J127" s="90">
        <v>0.42667170854236031</v>
      </c>
      <c r="K127" s="90">
        <v>0.31105668200679631</v>
      </c>
      <c r="M127" s="5">
        <v>0.81974999999999998</v>
      </c>
      <c r="N127" s="5">
        <v>0.43413793103448273</v>
      </c>
      <c r="O127" s="5">
        <v>0.18999999999999995</v>
      </c>
      <c r="P127" s="5">
        <v>0.45493055555555562</v>
      </c>
      <c r="Q127" s="5">
        <v>7.5999999999999998E-2</v>
      </c>
      <c r="R127" s="5">
        <v>0.31000000000000005</v>
      </c>
      <c r="T127" s="5">
        <v>0.70741666666666669</v>
      </c>
      <c r="U127" s="5">
        <v>0.43640000000000001</v>
      </c>
      <c r="V127" s="5">
        <v>0.82862205708780645</v>
      </c>
      <c r="W127" s="5">
        <v>0</v>
      </c>
      <c r="X127" s="5">
        <v>0.62552161334619127</v>
      </c>
      <c r="Y127" s="5">
        <v>0.2</v>
      </c>
      <c r="AA127" s="5">
        <v>0.7833333333333331</v>
      </c>
      <c r="AB127" s="5">
        <v>0.90400000000000003</v>
      </c>
      <c r="AC127" s="5">
        <v>0.26825756097560971</v>
      </c>
      <c r="AD127" s="5">
        <v>0.28184281842818426</v>
      </c>
      <c r="AE127" s="5">
        <v>1.9635499668348797E-3</v>
      </c>
      <c r="AF127" s="5">
        <v>6.9460473977361728E-2</v>
      </c>
      <c r="AH127" s="5">
        <v>3.0000000000000001E-3</v>
      </c>
      <c r="AI127" s="5">
        <v>8.0356733011789014E-2</v>
      </c>
      <c r="AJ127" s="5">
        <v>3.0000000000000027E-2</v>
      </c>
      <c r="AK127" s="5">
        <v>0.95936554952194475</v>
      </c>
      <c r="AL127" s="5">
        <v>3.3609679587721264E-2</v>
      </c>
      <c r="AM127" s="5">
        <v>0.32230000000000003</v>
      </c>
    </row>
    <row r="128" spans="1:39">
      <c r="A128" s="82">
        <f t="shared" si="21"/>
        <v>3</v>
      </c>
      <c r="B128" s="16" t="s">
        <v>243</v>
      </c>
      <c r="C128" s="15" t="s">
        <v>244</v>
      </c>
      <c r="D128" s="17">
        <v>0.56006838613928767</v>
      </c>
      <c r="E128" s="4">
        <v>0.40527733741917871</v>
      </c>
      <c r="F128" s="4">
        <v>0.61974940406159995</v>
      </c>
      <c r="G128" s="6">
        <v>0.74339199741539908</v>
      </c>
      <c r="H128" s="6">
        <v>0.47185480566097304</v>
      </c>
      <c r="I128" s="90">
        <v>0.49415103708230823</v>
      </c>
      <c r="J128" s="90">
        <v>0.5354960522736455</v>
      </c>
      <c r="K128" s="90">
        <v>0.6958029105232203</v>
      </c>
      <c r="M128" s="5">
        <v>0.5315833333333333</v>
      </c>
      <c r="N128" s="5">
        <v>3.4279134039613083E-3</v>
      </c>
      <c r="O128" s="5">
        <v>0.53</v>
      </c>
      <c r="P128" s="5">
        <v>0.27798611111111093</v>
      </c>
      <c r="Q128" s="5">
        <v>0.25866666666666666</v>
      </c>
      <c r="R128" s="5">
        <v>0.83</v>
      </c>
      <c r="T128" s="5">
        <v>0.46758333333333335</v>
      </c>
      <c r="U128" s="5">
        <v>0.62380000000000002</v>
      </c>
      <c r="V128" s="5">
        <v>0.97490724117295036</v>
      </c>
      <c r="W128" s="5">
        <v>0.89133464948228447</v>
      </c>
      <c r="X128" s="5">
        <v>0.33087120038103102</v>
      </c>
      <c r="Y128" s="5">
        <v>0.43</v>
      </c>
      <c r="AA128" s="5">
        <v>0.40833333333333333</v>
      </c>
      <c r="AB128" s="5">
        <v>0.97411999999999999</v>
      </c>
      <c r="AC128" s="5">
        <v>0.7383712195121952</v>
      </c>
      <c r="AD128" s="5">
        <v>0.94846382556987119</v>
      </c>
      <c r="AE128" s="5">
        <v>0.71952460362281911</v>
      </c>
      <c r="AF128" s="5">
        <v>0.67153900245417575</v>
      </c>
      <c r="AH128" s="5">
        <v>0.02</v>
      </c>
      <c r="AI128" s="5">
        <v>0.11791148547134225</v>
      </c>
      <c r="AJ128" s="5">
        <v>0.88300000000000001</v>
      </c>
      <c r="AK128" s="5">
        <v>0.99894260091698883</v>
      </c>
      <c r="AL128" s="5">
        <v>1.9074747577507059E-2</v>
      </c>
      <c r="AM128" s="5">
        <v>0.79220000000000002</v>
      </c>
    </row>
    <row r="129" spans="1:39">
      <c r="A129" s="82">
        <f t="shared" si="21"/>
        <v>3</v>
      </c>
      <c r="B129" s="16" t="s">
        <v>245</v>
      </c>
      <c r="C129" s="15" t="s">
        <v>246</v>
      </c>
      <c r="D129" s="17">
        <v>0.42763254965091962</v>
      </c>
      <c r="E129" s="4">
        <v>0.25598477929984781</v>
      </c>
      <c r="F129" s="4">
        <v>0.59384817085415909</v>
      </c>
      <c r="G129" s="6">
        <v>0.44916869626748762</v>
      </c>
      <c r="H129" s="6">
        <v>0.41152855218218387</v>
      </c>
      <c r="I129" s="90">
        <v>0.44061280310526418</v>
      </c>
      <c r="J129" s="90">
        <v>0.39294415230636992</v>
      </c>
      <c r="K129" s="90">
        <v>0.46019476548622712</v>
      </c>
      <c r="M129" s="5">
        <v>0.52524999999999999</v>
      </c>
      <c r="N129" s="5">
        <v>2.8450342465753418E-2</v>
      </c>
      <c r="O129" s="5">
        <v>0.29000000000000004</v>
      </c>
      <c r="P129" s="5">
        <v>0.25020833333333337</v>
      </c>
      <c r="Q129" s="5">
        <v>0.252</v>
      </c>
      <c r="R129" s="5">
        <v>0.18999999999999995</v>
      </c>
      <c r="T129" s="5">
        <v>0.71158333333333335</v>
      </c>
      <c r="U129" s="5">
        <v>0.66759999999999986</v>
      </c>
      <c r="V129" s="5">
        <v>0.94057469917961889</v>
      </c>
      <c r="W129" s="5">
        <v>0.49591250262780473</v>
      </c>
      <c r="X129" s="5">
        <v>7.4184899841977124E-3</v>
      </c>
      <c r="Y129" s="5">
        <v>0.74</v>
      </c>
      <c r="AA129" s="5">
        <v>0.44999999999999984</v>
      </c>
      <c r="AB129" s="5">
        <v>0.91771999999999998</v>
      </c>
      <c r="AC129" s="5">
        <v>0.45819463414634132</v>
      </c>
      <c r="AD129" s="5">
        <v>0.62508474576271189</v>
      </c>
      <c r="AE129" s="5">
        <v>0.10161353810446982</v>
      </c>
      <c r="AF129" s="5">
        <v>0.14239925959140254</v>
      </c>
      <c r="AH129" s="5">
        <v>2.6000000000000002E-2</v>
      </c>
      <c r="AI129" s="5">
        <v>0.25779434714865318</v>
      </c>
      <c r="AJ129" s="5">
        <v>0.87</v>
      </c>
      <c r="AK129" s="5">
        <v>0.42240065686895223</v>
      </c>
      <c r="AL129" s="5">
        <v>1.1476312890194639E-2</v>
      </c>
      <c r="AM129" s="5">
        <v>0.88149999618530295</v>
      </c>
    </row>
    <row r="130" spans="1:39">
      <c r="A130" s="82">
        <f t="shared" si="21"/>
        <v>3</v>
      </c>
      <c r="B130" s="16" t="s">
        <v>247</v>
      </c>
      <c r="C130" s="15" t="s">
        <v>248</v>
      </c>
      <c r="D130" s="17">
        <v>0.44715637801312075</v>
      </c>
      <c r="E130" s="4">
        <v>0.33638134875846504</v>
      </c>
      <c r="F130" s="4">
        <v>0.57297635628092114</v>
      </c>
      <c r="G130" s="6">
        <v>0.46137240923138573</v>
      </c>
      <c r="H130" s="6">
        <v>0.41789539778171098</v>
      </c>
      <c r="I130" s="90">
        <v>0.44656166720647827</v>
      </c>
      <c r="J130" s="90">
        <v>0.44574931456363448</v>
      </c>
      <c r="K130" s="90">
        <v>0.45015903939731355</v>
      </c>
      <c r="M130" s="5">
        <v>0.86799999999999999</v>
      </c>
      <c r="N130" s="5">
        <v>1.6913092550790071E-2</v>
      </c>
      <c r="O130" s="5">
        <v>7.999999999999996E-2</v>
      </c>
      <c r="P130" s="5">
        <v>0.36937500000000012</v>
      </c>
      <c r="Q130" s="5">
        <v>1.4E-2</v>
      </c>
      <c r="R130" s="5">
        <v>0.66999999999999993</v>
      </c>
      <c r="T130" s="5">
        <v>0.81700000000000006</v>
      </c>
      <c r="U130" s="5">
        <v>0.62579999999999991</v>
      </c>
      <c r="V130" s="5">
        <v>0.99952291666666671</v>
      </c>
      <c r="W130" s="5">
        <v>6.1408622646001464E-2</v>
      </c>
      <c r="X130" s="5">
        <v>0.60412659837285843</v>
      </c>
      <c r="Y130" s="5">
        <v>0.32999999999999996</v>
      </c>
      <c r="AA130" s="5">
        <v>0.40833333333333333</v>
      </c>
      <c r="AB130" s="5">
        <v>0.76263999999999998</v>
      </c>
      <c r="AC130" s="5">
        <v>0.46840926829268281</v>
      </c>
      <c r="AD130" s="5">
        <v>0.82665021591610122</v>
      </c>
      <c r="AE130" s="5">
        <v>0.14917958642166501</v>
      </c>
      <c r="AF130" s="5">
        <v>0.15302205142453171</v>
      </c>
      <c r="AH130" s="5">
        <v>1E-3</v>
      </c>
      <c r="AI130" s="5">
        <v>2.5929763944944045E-2</v>
      </c>
      <c r="AJ130" s="5">
        <v>0.65999999999999992</v>
      </c>
      <c r="AK130" s="5">
        <v>0.94115479168980254</v>
      </c>
      <c r="AL130" s="5">
        <v>7.2878329628684908E-3</v>
      </c>
      <c r="AM130" s="5">
        <v>0.87199999809265094</v>
      </c>
    </row>
    <row r="131" spans="1:39">
      <c r="A131" s="82">
        <f t="shared" si="21"/>
        <v>13</v>
      </c>
      <c r="B131" s="16" t="s">
        <v>249</v>
      </c>
      <c r="C131" s="15" t="s">
        <v>250</v>
      </c>
      <c r="D131" s="17" t="e">
        <v>#N/A</v>
      </c>
      <c r="E131" s="4" t="e">
        <v>#N/A</v>
      </c>
      <c r="F131" s="4" t="e">
        <v>#N/A</v>
      </c>
      <c r="G131" s="6" t="e">
        <v>#N/A</v>
      </c>
      <c r="H131" s="6">
        <v>0.3552123676087372</v>
      </c>
      <c r="I131" s="90" t="e">
        <v>#N/A</v>
      </c>
      <c r="J131" s="90" t="e">
        <v>#N/A</v>
      </c>
      <c r="K131" s="90" t="e">
        <v>#N/A</v>
      </c>
      <c r="M131" s="5">
        <v>0.2506666666666667</v>
      </c>
      <c r="N131" s="5">
        <v>0.49999000000000005</v>
      </c>
      <c r="O131" s="5">
        <v>0.12</v>
      </c>
      <c r="P131" s="5">
        <v>0.12034722222222222</v>
      </c>
      <c r="Q131" s="5" t="e">
        <v>#N/A</v>
      </c>
      <c r="R131" s="5">
        <v>0.5</v>
      </c>
      <c r="T131" s="5">
        <v>0.44466666666666665</v>
      </c>
      <c r="U131" s="5" t="e">
        <v>#N/A</v>
      </c>
      <c r="V131" s="5">
        <v>1</v>
      </c>
      <c r="W131" s="5">
        <v>0.4565548482337386</v>
      </c>
      <c r="X131" s="5" t="e">
        <v>#N/A</v>
      </c>
      <c r="Y131" s="5" t="e">
        <v>#N/A</v>
      </c>
      <c r="AA131" s="5">
        <v>0.76666666666666661</v>
      </c>
      <c r="AB131" s="5" t="e">
        <v>#N/A</v>
      </c>
      <c r="AC131" s="5" t="e">
        <v>#N/A</v>
      </c>
      <c r="AD131" s="5">
        <v>0.32410533423362592</v>
      </c>
      <c r="AE131" s="5" t="e">
        <v>#N/A</v>
      </c>
      <c r="AF131" s="5" t="e">
        <v>#N/A</v>
      </c>
      <c r="AH131" s="5">
        <v>1</v>
      </c>
      <c r="AI131" s="5">
        <v>0.41984947043494891</v>
      </c>
      <c r="AJ131" s="5">
        <v>9.9999999999988987E-4</v>
      </c>
      <c r="AK131" s="5">
        <v>0</v>
      </c>
      <c r="AL131" s="5" t="e">
        <v>#N/A</v>
      </c>
      <c r="AM131" s="5" t="e">
        <v>#N/A</v>
      </c>
    </row>
    <row r="132" spans="1:39">
      <c r="A132" s="82">
        <f t="shared" si="21"/>
        <v>3</v>
      </c>
      <c r="B132" s="16" t="s">
        <v>251</v>
      </c>
      <c r="C132" s="15" t="s">
        <v>252</v>
      </c>
      <c r="D132" s="17">
        <v>0.43397460636916552</v>
      </c>
      <c r="E132" s="4">
        <v>0.31914088214046582</v>
      </c>
      <c r="F132" s="4">
        <v>0.58786341300063671</v>
      </c>
      <c r="G132" s="6">
        <v>0.47947807712900387</v>
      </c>
      <c r="H132" s="6">
        <v>0.34941605320655561</v>
      </c>
      <c r="I132" s="90">
        <v>0.39027024493394646</v>
      </c>
      <c r="J132" s="90">
        <v>0.40830733164038874</v>
      </c>
      <c r="K132" s="90">
        <v>0.53803206061515929</v>
      </c>
      <c r="M132" s="5">
        <v>0.39058333333333339</v>
      </c>
      <c r="N132" s="5">
        <v>4.7859181731684117E-2</v>
      </c>
      <c r="O132" s="5">
        <v>0.12</v>
      </c>
      <c r="P132" s="5">
        <v>0.44173611111111089</v>
      </c>
      <c r="Q132" s="5">
        <v>0.22466666666666665</v>
      </c>
      <c r="R132" s="5">
        <v>0.69</v>
      </c>
      <c r="T132" s="5">
        <v>0.40658333333333335</v>
      </c>
      <c r="U132" s="5">
        <v>0.82279999999999998</v>
      </c>
      <c r="V132" s="5">
        <v>0.74890301660356395</v>
      </c>
      <c r="W132" s="5">
        <v>0.5</v>
      </c>
      <c r="X132" s="5">
        <v>4.8894128066923337E-2</v>
      </c>
      <c r="Y132" s="5">
        <v>1</v>
      </c>
      <c r="AA132" s="5">
        <v>0.44999999999999984</v>
      </c>
      <c r="AB132" s="5">
        <v>0.95479999999999998</v>
      </c>
      <c r="AC132" s="5">
        <v>0.35867121951219505</v>
      </c>
      <c r="AD132" s="5">
        <v>0.66535433070866146</v>
      </c>
      <c r="AE132" s="5">
        <v>0.13742478497796984</v>
      </c>
      <c r="AF132" s="5">
        <v>0.31061812757519702</v>
      </c>
      <c r="AH132" s="5">
        <v>0</v>
      </c>
      <c r="AI132" s="5">
        <v>0</v>
      </c>
      <c r="AJ132" s="5">
        <v>0.56400000000000006</v>
      </c>
      <c r="AK132" s="5">
        <v>0.99682122332025458</v>
      </c>
      <c r="AL132" s="5">
        <v>9.4175095919079174E-2</v>
      </c>
      <c r="AM132" s="5">
        <v>0.4415</v>
      </c>
    </row>
    <row r="133" spans="1:39">
      <c r="A133" s="82">
        <f t="shared" si="21"/>
        <v>3</v>
      </c>
      <c r="B133" s="16" t="s">
        <v>253</v>
      </c>
      <c r="C133" s="15" t="s">
        <v>254</v>
      </c>
      <c r="D133" s="17">
        <v>0.22687319141472689</v>
      </c>
      <c r="E133" s="4">
        <v>0.17319734432234438</v>
      </c>
      <c r="F133" s="4">
        <v>0.25848122019658865</v>
      </c>
      <c r="G133" s="6">
        <v>0.18692385007079407</v>
      </c>
      <c r="H133" s="6">
        <v>0.28889035106918054</v>
      </c>
      <c r="I133" s="90">
        <v>0.23806478786377092</v>
      </c>
      <c r="J133" s="90">
        <v>0.35092359218194624</v>
      </c>
      <c r="K133" s="90">
        <v>2.4010195590331903E-2</v>
      </c>
      <c r="M133" s="5">
        <v>0.49741666666666662</v>
      </c>
      <c r="N133" s="5">
        <v>0.12593406593406595</v>
      </c>
      <c r="O133" s="5">
        <v>0</v>
      </c>
      <c r="P133" s="5">
        <v>0.41583333333333361</v>
      </c>
      <c r="Q133" s="5">
        <v>0</v>
      </c>
      <c r="R133" s="5">
        <v>0</v>
      </c>
      <c r="T133" s="5">
        <v>0.26374999999999998</v>
      </c>
      <c r="U133" s="5">
        <v>0.17616999615092616</v>
      </c>
      <c r="V133" s="5">
        <v>5.1492280767500009E-2</v>
      </c>
      <c r="W133" s="5">
        <v>5.9475044261105843E-2</v>
      </c>
      <c r="X133" s="5">
        <v>1</v>
      </c>
      <c r="Y133" s="5">
        <v>0</v>
      </c>
      <c r="AA133" s="5">
        <v>6.6666666666666541E-2</v>
      </c>
      <c r="AB133" s="5">
        <v>0.83116000000000001</v>
      </c>
      <c r="AC133" s="5">
        <v>8.9024390243902185E-2</v>
      </c>
      <c r="AD133" s="5">
        <v>0.13114754098360656</v>
      </c>
      <c r="AE133" s="5">
        <v>0</v>
      </c>
      <c r="AF133" s="5">
        <v>3.5445025305892251E-3</v>
      </c>
      <c r="AH133" s="5">
        <v>0.57499999999999996</v>
      </c>
      <c r="AI133" s="5">
        <v>0.73900016982005856</v>
      </c>
      <c r="AJ133" s="5">
        <v>0</v>
      </c>
      <c r="AK133" s="5">
        <v>0.18604809773246539</v>
      </c>
      <c r="AL133" s="5">
        <v>0.13329383886255924</v>
      </c>
      <c r="AM133" s="5">
        <v>9.9999999999999978E-2</v>
      </c>
    </row>
    <row r="134" spans="1:39">
      <c r="A134" s="82">
        <f t="shared" si="21"/>
        <v>3</v>
      </c>
      <c r="B134" s="16" t="s">
        <v>255</v>
      </c>
      <c r="C134" s="15" t="s">
        <v>256</v>
      </c>
      <c r="D134" s="17">
        <v>0.14704863012483552</v>
      </c>
      <c r="E134" s="4">
        <v>8.2068361365953135E-2</v>
      </c>
      <c r="F134" s="4">
        <v>0.13446373450581128</v>
      </c>
      <c r="G134" s="6">
        <v>0.17614656979397045</v>
      </c>
      <c r="H134" s="6">
        <v>0.19551585483360726</v>
      </c>
      <c r="I134" s="90">
        <v>0.19093818477385288</v>
      </c>
      <c r="J134" s="90">
        <v>0.19001588318121942</v>
      </c>
      <c r="K134" s="90">
        <v>1.6763418566733683E-2</v>
      </c>
      <c r="M134" s="5">
        <v>0.36849999999999994</v>
      </c>
      <c r="N134" s="5">
        <v>1.4535168195718656E-2</v>
      </c>
      <c r="O134" s="5">
        <v>0</v>
      </c>
      <c r="P134" s="5">
        <v>0.10937500000000022</v>
      </c>
      <c r="Q134" s="5">
        <v>0</v>
      </c>
      <c r="R134" s="5">
        <v>0</v>
      </c>
      <c r="T134" s="5">
        <v>0.13616666666666666</v>
      </c>
      <c r="U134" s="5">
        <v>0.13320000000000001</v>
      </c>
      <c r="V134" s="5">
        <v>0</v>
      </c>
      <c r="W134" s="5">
        <v>0.11892154323214933</v>
      </c>
      <c r="X134" s="5">
        <v>0.41849419713605179</v>
      </c>
      <c r="Y134" s="5">
        <v>0</v>
      </c>
      <c r="AA134" s="5">
        <v>0.8500000000000002</v>
      </c>
      <c r="AB134" s="5">
        <v>3.503999999999996E-2</v>
      </c>
      <c r="AC134" s="5">
        <v>9.3975609756097311E-2</v>
      </c>
      <c r="AD134" s="5">
        <v>7.1258907363420429E-2</v>
      </c>
      <c r="AE134" s="5">
        <v>0</v>
      </c>
      <c r="AF134" s="5">
        <v>6.6049016443047821E-3</v>
      </c>
      <c r="AH134" s="5">
        <v>2.5000000000000001E-2</v>
      </c>
      <c r="AI134" s="5">
        <v>0.14685605728470441</v>
      </c>
      <c r="AJ134" s="5">
        <v>0</v>
      </c>
      <c r="AK134" s="5">
        <v>0.62091752601450012</v>
      </c>
      <c r="AL134" s="5">
        <v>3.9221545702439208E-2</v>
      </c>
      <c r="AM134" s="5">
        <v>0.34109999999999996</v>
      </c>
    </row>
    <row r="135" spans="1:39">
      <c r="A135" s="82">
        <f t="shared" si="21"/>
        <v>3</v>
      </c>
      <c r="B135" s="16" t="s">
        <v>257</v>
      </c>
      <c r="C135" s="15" t="s">
        <v>258</v>
      </c>
      <c r="D135" s="17">
        <v>0.31244755217444237</v>
      </c>
      <c r="E135" s="4">
        <v>0.25418217333559401</v>
      </c>
      <c r="F135" s="4">
        <v>0.39663130921333117</v>
      </c>
      <c r="G135" s="6">
        <v>0.30434753183281898</v>
      </c>
      <c r="H135" s="6">
        <v>0.29462919431602524</v>
      </c>
      <c r="I135" s="90">
        <v>0.25206190645549875</v>
      </c>
      <c r="J135" s="90">
        <v>0.36739466374970969</v>
      </c>
      <c r="K135" s="90">
        <v>0.32060535338995655</v>
      </c>
      <c r="M135" s="5">
        <v>0.56658333333333333</v>
      </c>
      <c r="N135" s="5">
        <v>6.5513733468972549E-3</v>
      </c>
      <c r="O135" s="5">
        <v>0.15000000000000002</v>
      </c>
      <c r="P135" s="5">
        <v>0.2539583333333334</v>
      </c>
      <c r="Q135" s="5">
        <v>6.8000000000000005E-2</v>
      </c>
      <c r="R135" s="5">
        <v>0.48</v>
      </c>
      <c r="T135" s="5">
        <v>0.49525000000000002</v>
      </c>
      <c r="U135" s="5">
        <v>0.42980000000000002</v>
      </c>
      <c r="V135" s="5">
        <v>0.92050676691721423</v>
      </c>
      <c r="W135" s="5">
        <v>7.3154792537100458E-2</v>
      </c>
      <c r="X135" s="5">
        <v>0.40107629582567206</v>
      </c>
      <c r="Y135" s="5">
        <v>0.06</v>
      </c>
      <c r="AA135" s="5">
        <v>0.2250000000000002</v>
      </c>
      <c r="AB135" s="5">
        <v>0.89959999999999996</v>
      </c>
      <c r="AC135" s="5">
        <v>0.23002341463414633</v>
      </c>
      <c r="AD135" s="5">
        <v>0.27060653188180406</v>
      </c>
      <c r="AE135" s="5">
        <v>0.11775330569258463</v>
      </c>
      <c r="AF135" s="5">
        <v>8.3101938788378904E-2</v>
      </c>
      <c r="AH135" s="5">
        <v>5.5E-2</v>
      </c>
      <c r="AI135" s="5">
        <v>2.0867845058966782E-2</v>
      </c>
      <c r="AJ135" s="5">
        <v>0.27900000000000003</v>
      </c>
      <c r="AK135" s="5">
        <v>0.48290315382326687</v>
      </c>
      <c r="AL135" s="5">
        <v>5.0004167013917827E-2</v>
      </c>
      <c r="AM135" s="5">
        <v>0.88</v>
      </c>
    </row>
    <row r="136" spans="1:39">
      <c r="A136" s="82">
        <f t="shared" si="21"/>
        <v>3</v>
      </c>
      <c r="B136" s="16" t="s">
        <v>259</v>
      </c>
      <c r="C136" s="15" t="s">
        <v>260</v>
      </c>
      <c r="D136" s="17">
        <v>0.55764406267473909</v>
      </c>
      <c r="E136" s="4">
        <v>0.55340552597545545</v>
      </c>
      <c r="F136" s="4">
        <v>0.60341736367316456</v>
      </c>
      <c r="G136" s="6">
        <v>0.69728848512601849</v>
      </c>
      <c r="H136" s="6">
        <v>0.37646487592431782</v>
      </c>
      <c r="I136" s="90">
        <v>0.42549853111972769</v>
      </c>
      <c r="J136" s="90">
        <v>0.49599063150085126</v>
      </c>
      <c r="K136" s="90">
        <v>0.84834250676808798</v>
      </c>
      <c r="M136" s="5">
        <v>0.59466666666666668</v>
      </c>
      <c r="N136" s="5">
        <v>7.0252600297176823E-2</v>
      </c>
      <c r="O136" s="5">
        <v>0.52</v>
      </c>
      <c r="P136" s="5">
        <v>0.40618055555555577</v>
      </c>
      <c r="Q136" s="5">
        <v>0.81933333333333336</v>
      </c>
      <c r="R136" s="5">
        <v>0.91</v>
      </c>
      <c r="T136" s="5">
        <v>0.63950000000000007</v>
      </c>
      <c r="U136" s="5">
        <v>0.83379999999999999</v>
      </c>
      <c r="V136" s="5">
        <v>0.99912333329145386</v>
      </c>
      <c r="W136" s="5">
        <v>6.5516968976087012E-2</v>
      </c>
      <c r="X136" s="5">
        <v>8.2563879771446247E-2</v>
      </c>
      <c r="Y136" s="5">
        <v>1</v>
      </c>
      <c r="AA136" s="5">
        <v>0.20833333333333315</v>
      </c>
      <c r="AB136" s="5">
        <v>0.98804000000000003</v>
      </c>
      <c r="AC136" s="5">
        <v>0.66093170731707307</v>
      </c>
      <c r="AD136" s="5">
        <v>1</v>
      </c>
      <c r="AE136" s="5">
        <v>0.32642587010570506</v>
      </c>
      <c r="AF136" s="5">
        <v>1</v>
      </c>
      <c r="AH136" s="5">
        <v>0</v>
      </c>
      <c r="AI136" s="5">
        <v>0</v>
      </c>
      <c r="AJ136" s="5">
        <v>0.90700000000000003</v>
      </c>
      <c r="AK136" s="5">
        <v>0.55000000000000004</v>
      </c>
      <c r="AL136" s="5">
        <v>8.2892555459066868E-3</v>
      </c>
      <c r="AM136" s="5">
        <v>0.79349999999999998</v>
      </c>
    </row>
    <row r="137" spans="1:39">
      <c r="A137" s="82">
        <f t="shared" si="21"/>
        <v>3</v>
      </c>
      <c r="B137" s="16" t="s">
        <v>261</v>
      </c>
      <c r="C137" s="15" t="s">
        <v>262</v>
      </c>
      <c r="D137" s="17">
        <v>0.43720360966608424</v>
      </c>
      <c r="E137" s="4">
        <v>0.34314979326811085</v>
      </c>
      <c r="F137" s="4">
        <v>0.52299846494775082</v>
      </c>
      <c r="G137" s="6">
        <v>0.63642916189118592</v>
      </c>
      <c r="H137" s="6">
        <v>0.2462370185572893</v>
      </c>
      <c r="I137" s="90">
        <v>0.32602220877169907</v>
      </c>
      <c r="J137" s="90">
        <v>0.31718976292442913</v>
      </c>
      <c r="K137" s="90">
        <v>0.78399648112014442</v>
      </c>
      <c r="M137" s="5">
        <v>0.25683333333333325</v>
      </c>
      <c r="N137" s="5">
        <v>3.6023759608665273E-2</v>
      </c>
      <c r="O137" s="5">
        <v>0.42000000000000004</v>
      </c>
      <c r="P137" s="5">
        <v>0.29270833333333324</v>
      </c>
      <c r="Q137" s="5">
        <v>0.37333333333333335</v>
      </c>
      <c r="R137" s="5">
        <v>0.67999999999999994</v>
      </c>
      <c r="T137" s="5">
        <v>0.42316666666666669</v>
      </c>
      <c r="U137" s="5">
        <v>0.50919999999999999</v>
      </c>
      <c r="V137" s="5">
        <v>0.96685791111111108</v>
      </c>
      <c r="W137" s="5">
        <v>0.21738075970818835</v>
      </c>
      <c r="X137" s="5">
        <v>0.1213854522005389</v>
      </c>
      <c r="Y137" s="5">
        <v>0.9</v>
      </c>
      <c r="AA137" s="5">
        <v>0.20833333333333315</v>
      </c>
      <c r="AB137" s="5">
        <v>0.85539999999999994</v>
      </c>
      <c r="AC137" s="5">
        <v>0.73712097560975609</v>
      </c>
      <c r="AD137" s="5">
        <v>0.9691322073383809</v>
      </c>
      <c r="AE137" s="5">
        <v>4.8588455065645554E-2</v>
      </c>
      <c r="AF137" s="5">
        <v>1</v>
      </c>
      <c r="AH137" s="5">
        <v>5.0000000000000001E-3</v>
      </c>
      <c r="AI137" s="5">
        <v>6.0776866111679359E-2</v>
      </c>
      <c r="AJ137" s="5">
        <v>0.53200000000000003</v>
      </c>
      <c r="AK137" s="5">
        <v>0</v>
      </c>
      <c r="AL137" s="5">
        <v>2.9645245232056392E-2</v>
      </c>
      <c r="AM137" s="5">
        <v>0.85</v>
      </c>
    </row>
    <row r="138" spans="1:39">
      <c r="A138" s="82">
        <f t="shared" ref="A138:A169" si="22">27-COUNT(M138:AM138)</f>
        <v>3</v>
      </c>
      <c r="B138" s="16" t="s">
        <v>263</v>
      </c>
      <c r="C138" s="15" t="s">
        <v>264</v>
      </c>
      <c r="D138" s="17">
        <v>0.1246921016004498</v>
      </c>
      <c r="E138" s="4">
        <v>0.14047441584254408</v>
      </c>
      <c r="F138" s="4">
        <v>0.15196345543060227</v>
      </c>
      <c r="G138" s="6">
        <v>4.6805014340391665E-2</v>
      </c>
      <c r="H138" s="6">
        <v>0.15952552078826121</v>
      </c>
      <c r="I138" s="90">
        <v>0.13034315122098761</v>
      </c>
      <c r="J138" s="90">
        <v>0.17744797929648204</v>
      </c>
      <c r="K138" s="90">
        <v>3.7081710625594753E-2</v>
      </c>
      <c r="M138" s="5">
        <v>0.28925000000000012</v>
      </c>
      <c r="N138" s="5">
        <v>7.6937172774869111E-3</v>
      </c>
      <c r="O138" s="5">
        <v>0</v>
      </c>
      <c r="P138" s="5">
        <v>0.54590277777777751</v>
      </c>
      <c r="Q138" s="5">
        <v>0</v>
      </c>
      <c r="R138" s="5">
        <v>0</v>
      </c>
      <c r="T138" s="5">
        <v>1.5499999999999995E-2</v>
      </c>
      <c r="U138" s="5">
        <v>0.22464530481276881</v>
      </c>
      <c r="V138" s="5">
        <v>0.13508740775816674</v>
      </c>
      <c r="W138" s="5">
        <v>9.3219343041906821E-2</v>
      </c>
      <c r="X138" s="5">
        <v>0.44332867697077127</v>
      </c>
      <c r="Y138" s="5">
        <v>0</v>
      </c>
      <c r="AA138" s="5">
        <v>6.6666666666666541E-2</v>
      </c>
      <c r="AB138" s="5">
        <v>0</v>
      </c>
      <c r="AC138" s="5">
        <v>8.409756097560972E-2</v>
      </c>
      <c r="AD138" s="5">
        <v>0.12676056338028169</v>
      </c>
      <c r="AE138" s="5">
        <v>0</v>
      </c>
      <c r="AF138" s="5">
        <v>3.3052950197920553E-3</v>
      </c>
      <c r="AH138" s="5">
        <v>2.1000000000000001E-2</v>
      </c>
      <c r="AI138" s="5">
        <v>8.632058782452523E-2</v>
      </c>
      <c r="AJ138" s="5">
        <v>0</v>
      </c>
      <c r="AK138" s="5">
        <v>0.63954352678278614</v>
      </c>
      <c r="AL138" s="5">
        <v>1.4789010122255817E-2</v>
      </c>
      <c r="AM138" s="5">
        <v>0.19550000000000001</v>
      </c>
    </row>
    <row r="139" spans="1:39">
      <c r="A139" s="82">
        <f t="shared" si="22"/>
        <v>3</v>
      </c>
      <c r="B139" s="16" t="s">
        <v>265</v>
      </c>
      <c r="C139" s="15" t="s">
        <v>266</v>
      </c>
      <c r="D139" s="17">
        <v>0.25512142757429757</v>
      </c>
      <c r="E139" s="4">
        <v>0.30824371693121688</v>
      </c>
      <c r="F139" s="4">
        <v>0.42866126640522423</v>
      </c>
      <c r="G139" s="6">
        <v>0.15424186457674408</v>
      </c>
      <c r="H139" s="6">
        <v>0.12933886238400508</v>
      </c>
      <c r="I139" s="90">
        <v>0.16999761547824421</v>
      </c>
      <c r="J139" s="90">
        <v>0.39708178127187638</v>
      </c>
      <c r="K139" s="90">
        <v>0.16986661517200927</v>
      </c>
      <c r="M139" s="5">
        <v>0.29391666666666671</v>
      </c>
      <c r="N139" s="5">
        <v>0.94714285714285718</v>
      </c>
      <c r="O139" s="5">
        <v>0.12</v>
      </c>
      <c r="P139" s="5">
        <v>0.35840277777777763</v>
      </c>
      <c r="Q139" s="5">
        <v>0</v>
      </c>
      <c r="R139" s="5">
        <v>0.13</v>
      </c>
      <c r="T139" s="5">
        <v>0.54108333333333336</v>
      </c>
      <c r="U139" s="5">
        <v>0.2834000000000001</v>
      </c>
      <c r="V139" s="5">
        <v>0.44596774193548383</v>
      </c>
      <c r="W139" s="5">
        <v>0.17151652316252766</v>
      </c>
      <c r="X139" s="5">
        <v>1</v>
      </c>
      <c r="Y139" s="5">
        <v>0.13</v>
      </c>
      <c r="AA139" s="5">
        <v>7.5000000000000067E-2</v>
      </c>
      <c r="AB139" s="5">
        <v>0.59515999999999991</v>
      </c>
      <c r="AC139" s="5">
        <v>0.17716829268292689</v>
      </c>
      <c r="AD139" s="5">
        <v>6.2059238363892807E-2</v>
      </c>
      <c r="AE139" s="5">
        <v>0</v>
      </c>
      <c r="AF139" s="5">
        <v>1.6063656413644673E-2</v>
      </c>
      <c r="AH139" s="5">
        <v>8.0000000000000002E-3</v>
      </c>
      <c r="AI139" s="5">
        <v>0.18263317430403042</v>
      </c>
      <c r="AJ139" s="5">
        <v>2.0000000000000018E-2</v>
      </c>
      <c r="AK139" s="5">
        <v>0</v>
      </c>
      <c r="AL139" s="5">
        <v>0</v>
      </c>
      <c r="AM139" s="5">
        <v>0.56540000000000001</v>
      </c>
    </row>
    <row r="140" spans="1:39">
      <c r="A140" s="82">
        <f t="shared" si="22"/>
        <v>3</v>
      </c>
      <c r="B140" s="16" t="s">
        <v>267</v>
      </c>
      <c r="C140" s="15" t="s">
        <v>268</v>
      </c>
      <c r="D140" s="17">
        <v>0.38569194290983672</v>
      </c>
      <c r="E140" s="4">
        <v>0.36370686902240196</v>
      </c>
      <c r="F140" s="4">
        <v>0.45401364706494479</v>
      </c>
      <c r="G140" s="6">
        <v>0.5040211419275461</v>
      </c>
      <c r="H140" s="6">
        <v>0.22102611362445401</v>
      </c>
      <c r="I140" s="90">
        <v>0.35716032583677632</v>
      </c>
      <c r="J140" s="90">
        <v>0.37499343344040209</v>
      </c>
      <c r="K140" s="90">
        <v>0.44453713272357942</v>
      </c>
      <c r="M140" s="5">
        <v>0.10183333333333333</v>
      </c>
      <c r="N140" s="5">
        <v>0.79506065857885622</v>
      </c>
      <c r="O140" s="5">
        <v>9.9999999999999978E-2</v>
      </c>
      <c r="P140" s="5">
        <v>0.49868055555555568</v>
      </c>
      <c r="Q140" s="5">
        <v>0.13666666666666666</v>
      </c>
      <c r="R140" s="5">
        <v>0.55000000000000004</v>
      </c>
      <c r="T140" s="5">
        <v>0.58816666666666662</v>
      </c>
      <c r="U140" s="5">
        <v>0.63419999999999999</v>
      </c>
      <c r="V140" s="5">
        <v>0.38649868182447422</v>
      </c>
      <c r="W140" s="5">
        <v>0.10903814083016407</v>
      </c>
      <c r="X140" s="5">
        <v>6.1783930683638509E-3</v>
      </c>
      <c r="Y140" s="5">
        <v>1</v>
      </c>
      <c r="AA140" s="5">
        <v>0.7833333333333331</v>
      </c>
      <c r="AB140" s="5">
        <v>0.92267999999999994</v>
      </c>
      <c r="AC140" s="5">
        <v>0.36297902439024399</v>
      </c>
      <c r="AD140" s="5">
        <v>0.65042016806722691</v>
      </c>
      <c r="AE140" s="5">
        <v>3.6969235647714906E-2</v>
      </c>
      <c r="AF140" s="5">
        <v>0.26774509012675873</v>
      </c>
      <c r="AH140" s="5">
        <v>2.2000000000000002E-2</v>
      </c>
      <c r="AI140" s="5">
        <v>2.9429240533700267E-2</v>
      </c>
      <c r="AJ140" s="5">
        <v>0.42399999999999993</v>
      </c>
      <c r="AK140" s="5">
        <v>0.46735854362651963</v>
      </c>
      <c r="AL140" s="5">
        <v>3.6970734744707349E-2</v>
      </c>
      <c r="AM140" s="5">
        <v>0.34639816284179703</v>
      </c>
    </row>
    <row r="141" spans="1:39">
      <c r="A141" s="82">
        <f t="shared" si="22"/>
        <v>6</v>
      </c>
      <c r="B141" s="16" t="s">
        <v>269</v>
      </c>
      <c r="C141" s="15" t="s">
        <v>270</v>
      </c>
      <c r="D141" s="17" t="e">
        <v>#N/A</v>
      </c>
      <c r="E141" s="4">
        <v>0.22980620370370372</v>
      </c>
      <c r="F141" s="4" t="e">
        <v>#N/A</v>
      </c>
      <c r="G141" s="6">
        <v>0.48284077526639141</v>
      </c>
      <c r="H141" s="6">
        <v>0.35499168978613299</v>
      </c>
      <c r="I141" s="90">
        <v>0.28696730793114555</v>
      </c>
      <c r="J141" s="90">
        <v>0.38026048940159984</v>
      </c>
      <c r="K141" s="90">
        <v>0.42948292682926831</v>
      </c>
      <c r="M141" s="5">
        <v>0.43183333333333329</v>
      </c>
      <c r="N141" s="5">
        <v>0.49999000000000005</v>
      </c>
      <c r="O141" s="5">
        <v>0.16000000000000003</v>
      </c>
      <c r="P141" s="5">
        <v>9.0347222222222245E-2</v>
      </c>
      <c r="Q141" s="5">
        <v>2.6666666666666668E-2</v>
      </c>
      <c r="R141" s="5">
        <v>0.17000000000000004</v>
      </c>
      <c r="T141" s="5">
        <v>0.44466666666666665</v>
      </c>
      <c r="U141" s="5">
        <v>0.18419999999999997</v>
      </c>
      <c r="V141" s="5">
        <v>1</v>
      </c>
      <c r="W141" s="5">
        <v>6.7228531706081188E-2</v>
      </c>
      <c r="X141" s="5" t="e">
        <v>#N/A</v>
      </c>
      <c r="Y141" s="5" t="e">
        <v>#N/A</v>
      </c>
      <c r="AA141" s="5">
        <v>0.76666666666666661</v>
      </c>
      <c r="AB141" s="5">
        <v>0.47599999999999998</v>
      </c>
      <c r="AC141" s="5">
        <v>0.31741463414634152</v>
      </c>
      <c r="AD141" s="5">
        <v>0.37696335078534032</v>
      </c>
      <c r="AE141" s="5">
        <v>0.46</v>
      </c>
      <c r="AF141" s="5">
        <v>0.5</v>
      </c>
      <c r="AH141" s="5">
        <v>0.4</v>
      </c>
      <c r="AI141" s="5">
        <v>0.51496675914453194</v>
      </c>
      <c r="AJ141" s="5">
        <v>5.0000000000000044E-3</v>
      </c>
      <c r="AK141" s="5">
        <v>0.5</v>
      </c>
      <c r="AL141" s="5">
        <v>0</v>
      </c>
      <c r="AM141" s="5" t="e">
        <v>#N/A</v>
      </c>
    </row>
    <row r="142" spans="1:39">
      <c r="A142" s="82">
        <f t="shared" si="22"/>
        <v>3</v>
      </c>
      <c r="B142" s="16" t="s">
        <v>271</v>
      </c>
      <c r="C142" s="15" t="s">
        <v>272</v>
      </c>
      <c r="D142" s="17">
        <v>0.29040823784618985</v>
      </c>
      <c r="E142" s="4">
        <v>0.17444848598598597</v>
      </c>
      <c r="F142" s="4">
        <v>0.39903691706988553</v>
      </c>
      <c r="G142" s="6">
        <v>0.26757215123763944</v>
      </c>
      <c r="H142" s="6">
        <v>0.32057539709124838</v>
      </c>
      <c r="I142" s="90">
        <v>0.2421940561823421</v>
      </c>
      <c r="J142" s="90">
        <v>0.37581962268207003</v>
      </c>
      <c r="K142" s="90">
        <v>0.23461243308814103</v>
      </c>
      <c r="M142" s="5">
        <v>0.41933333333333322</v>
      </c>
      <c r="N142" s="5">
        <v>3.052027027027027E-3</v>
      </c>
      <c r="O142" s="5">
        <v>6.9999999999999951E-2</v>
      </c>
      <c r="P142" s="5">
        <v>0.20763888888888893</v>
      </c>
      <c r="Q142" s="5">
        <v>3.6666666666666667E-2</v>
      </c>
      <c r="R142" s="5">
        <v>0.31000000000000005</v>
      </c>
      <c r="T142" s="5">
        <v>0.49525000000000002</v>
      </c>
      <c r="U142" s="5">
        <v>0.26</v>
      </c>
      <c r="V142" s="5">
        <v>0.69590328467150364</v>
      </c>
      <c r="W142" s="5">
        <v>0.08</v>
      </c>
      <c r="X142" s="5">
        <v>0.76306821774780953</v>
      </c>
      <c r="Y142" s="5">
        <v>0.1</v>
      </c>
      <c r="AA142" s="5">
        <v>0.31666666666666676</v>
      </c>
      <c r="AB142" s="5">
        <v>0.71839999999999993</v>
      </c>
      <c r="AC142" s="5">
        <v>0.18364097560975579</v>
      </c>
      <c r="AD142" s="5">
        <v>0.33761467889908259</v>
      </c>
      <c r="AE142" s="5">
        <v>9.8024800274469442E-4</v>
      </c>
      <c r="AF142" s="5">
        <v>4.8130338247586855E-2</v>
      </c>
      <c r="AH142" s="5">
        <v>6.3E-2</v>
      </c>
      <c r="AI142" s="5">
        <v>7.3612317997076626E-2</v>
      </c>
      <c r="AJ142" s="5">
        <v>0.11900000000000011</v>
      </c>
      <c r="AK142" s="5">
        <v>0.90799712669730592</v>
      </c>
      <c r="AL142" s="5">
        <v>0.14124293785310735</v>
      </c>
      <c r="AM142" s="5">
        <v>0.61860000000000004</v>
      </c>
    </row>
    <row r="143" spans="1:39">
      <c r="A143" s="82">
        <f t="shared" si="22"/>
        <v>3</v>
      </c>
      <c r="B143" s="16" t="s">
        <v>273</v>
      </c>
      <c r="C143" s="15" t="s">
        <v>274</v>
      </c>
      <c r="D143" s="17">
        <v>0.46726588679104486</v>
      </c>
      <c r="E143" s="4">
        <v>0.30566758218893048</v>
      </c>
      <c r="F143" s="4">
        <v>0.63699523822039683</v>
      </c>
      <c r="G143" s="6">
        <v>0.54668369432722119</v>
      </c>
      <c r="H143" s="6">
        <v>0.37971703242763111</v>
      </c>
      <c r="I143" s="90">
        <v>0.38867356933384939</v>
      </c>
      <c r="J143" s="90">
        <v>0.50184202942010159</v>
      </c>
      <c r="K143" s="90">
        <v>0.53329014903325322</v>
      </c>
      <c r="M143" s="5">
        <v>0.36250000000000004</v>
      </c>
      <c r="N143" s="5">
        <v>3.3882646691635451E-4</v>
      </c>
      <c r="O143" s="5">
        <v>0.6</v>
      </c>
      <c r="P143" s="5">
        <v>0.12916666666666665</v>
      </c>
      <c r="Q143" s="5">
        <v>0.192</v>
      </c>
      <c r="R143" s="5">
        <v>0.55000000000000004</v>
      </c>
      <c r="T143" s="5">
        <v>0.49116666666666664</v>
      </c>
      <c r="U143" s="5">
        <v>0.87479999999999991</v>
      </c>
      <c r="V143" s="5">
        <v>0.77092915334955925</v>
      </c>
      <c r="W143" s="5">
        <v>0.14507560930615548</v>
      </c>
      <c r="X143" s="5">
        <v>1</v>
      </c>
      <c r="Y143" s="5">
        <v>0.54</v>
      </c>
      <c r="AA143" s="5">
        <v>0.76666666666666661</v>
      </c>
      <c r="AB143" s="5">
        <v>0.95708000000000004</v>
      </c>
      <c r="AC143" s="5">
        <v>0.47201804878048759</v>
      </c>
      <c r="AD143" s="5">
        <v>0.61754966887417218</v>
      </c>
      <c r="AE143" s="5">
        <v>0.19999408957252832</v>
      </c>
      <c r="AF143" s="5">
        <v>0.26679369206947279</v>
      </c>
      <c r="AH143" s="5">
        <v>7.5999999999999998E-2</v>
      </c>
      <c r="AI143" s="5">
        <v>2.7365348741470185E-2</v>
      </c>
      <c r="AJ143" s="5">
        <v>0.9</v>
      </c>
      <c r="AK143" s="5">
        <v>0.3</v>
      </c>
      <c r="AL143" s="5">
        <v>9.9368458243165661E-3</v>
      </c>
      <c r="AM143" s="5">
        <v>0.96499999999999997</v>
      </c>
    </row>
    <row r="144" spans="1:39">
      <c r="A144" s="82">
        <f t="shared" si="22"/>
        <v>3</v>
      </c>
      <c r="B144" s="16" t="s">
        <v>275</v>
      </c>
      <c r="C144" s="15" t="s">
        <v>276</v>
      </c>
      <c r="D144" s="17">
        <v>0.28954918241155103</v>
      </c>
      <c r="E144" s="4">
        <v>0.21428009259259262</v>
      </c>
      <c r="F144" s="4">
        <v>0.38641944712369031</v>
      </c>
      <c r="G144" s="6">
        <v>0.29714686564467985</v>
      </c>
      <c r="H144" s="6">
        <v>0.26035032428524141</v>
      </c>
      <c r="I144" s="90">
        <v>0.27749331899883767</v>
      </c>
      <c r="J144" s="90">
        <v>0.31528024259082904</v>
      </c>
      <c r="K144" s="90">
        <v>0.26903638726170415</v>
      </c>
      <c r="M144" s="5">
        <v>0.48758333333333337</v>
      </c>
      <c r="N144" s="5">
        <v>1.4583333333333334E-3</v>
      </c>
      <c r="O144" s="5">
        <v>0.14000000000000001</v>
      </c>
      <c r="P144" s="5">
        <v>0.31930555555555562</v>
      </c>
      <c r="Q144" s="5">
        <v>3.7333333333333336E-2</v>
      </c>
      <c r="R144" s="5">
        <v>0.30000000000000004</v>
      </c>
      <c r="T144" s="5">
        <v>0.76291666666666669</v>
      </c>
      <c r="U144" s="5">
        <v>0.39099999999999996</v>
      </c>
      <c r="V144" s="5">
        <v>0.78615357142861109</v>
      </c>
      <c r="W144" s="5">
        <v>0.24231033347820047</v>
      </c>
      <c r="X144" s="5">
        <v>8.6136111168663931E-2</v>
      </c>
      <c r="Y144" s="5">
        <v>0.05</v>
      </c>
      <c r="AA144" s="5">
        <v>0.31666666666666676</v>
      </c>
      <c r="AB144" s="5">
        <v>0.81240000000000001</v>
      </c>
      <c r="AC144" s="5">
        <v>0.25838439024390225</v>
      </c>
      <c r="AD144" s="5">
        <v>0.2985553772070626</v>
      </c>
      <c r="AE144" s="5">
        <v>1.719439785273634E-2</v>
      </c>
      <c r="AF144" s="5">
        <v>7.9680361897711272E-2</v>
      </c>
      <c r="AH144" s="5">
        <v>0</v>
      </c>
      <c r="AI144" s="5">
        <v>0</v>
      </c>
      <c r="AJ144" s="5">
        <v>5.5000000000000049E-2</v>
      </c>
      <c r="AK144" s="5">
        <v>0.99999999999999967</v>
      </c>
      <c r="AL144" s="5">
        <v>1.5101938082053862E-2</v>
      </c>
      <c r="AM144" s="5">
        <v>0.492000007629395</v>
      </c>
    </row>
    <row r="145" spans="1:39">
      <c r="A145" s="82">
        <f t="shared" si="22"/>
        <v>3</v>
      </c>
      <c r="B145" s="16" t="s">
        <v>277</v>
      </c>
      <c r="C145" s="15" t="s">
        <v>278</v>
      </c>
      <c r="D145" s="17">
        <v>0.31699493241183729</v>
      </c>
      <c r="E145" s="4">
        <v>0.21148270241621656</v>
      </c>
      <c r="F145" s="4">
        <v>0.4319250330570627</v>
      </c>
      <c r="G145" s="6">
        <v>0.32653909932617192</v>
      </c>
      <c r="H145" s="6">
        <v>0.29803289484789819</v>
      </c>
      <c r="I145" s="90">
        <v>0.30036011750699654</v>
      </c>
      <c r="J145" s="90">
        <v>0.36154936890484712</v>
      </c>
      <c r="K145" s="90">
        <v>0.27511550002958385</v>
      </c>
      <c r="M145" s="5">
        <v>0.39508333333333334</v>
      </c>
      <c r="N145" s="5">
        <v>1.0104547830632516E-2</v>
      </c>
      <c r="O145" s="5">
        <v>0.18000000000000005</v>
      </c>
      <c r="P145" s="5">
        <v>0.31770833333333348</v>
      </c>
      <c r="Q145" s="5">
        <v>4.5999999999999999E-2</v>
      </c>
      <c r="R145" s="5">
        <v>0.31999999999999995</v>
      </c>
      <c r="T145" s="5">
        <v>0.59099999999999997</v>
      </c>
      <c r="U145" s="5">
        <v>0.28500000000000003</v>
      </c>
      <c r="V145" s="5">
        <v>0.80300087519022223</v>
      </c>
      <c r="W145" s="5">
        <v>0.35433991377211949</v>
      </c>
      <c r="X145" s="5">
        <v>0.50820940938003478</v>
      </c>
      <c r="Y145" s="5">
        <v>0.05</v>
      </c>
      <c r="AA145" s="5">
        <v>0.2250000000000002</v>
      </c>
      <c r="AB145" s="5">
        <v>0.86160000000000003</v>
      </c>
      <c r="AC145" s="5">
        <v>0.23037951219512198</v>
      </c>
      <c r="AD145" s="5">
        <v>0.565359477124183</v>
      </c>
      <c r="AE145" s="5">
        <v>9.5829938455676902E-3</v>
      </c>
      <c r="AF145" s="5">
        <v>6.7312612792158888E-2</v>
      </c>
      <c r="AH145" s="5">
        <v>5.0000000000000001E-3</v>
      </c>
      <c r="AI145" s="5">
        <v>1.7865612563228567E-2</v>
      </c>
      <c r="AJ145" s="5">
        <v>0.23099999999999998</v>
      </c>
      <c r="AK145" s="5">
        <v>0.65439116578656154</v>
      </c>
      <c r="AL145" s="5">
        <v>1.8749999999999999E-2</v>
      </c>
      <c r="AM145" s="5">
        <v>0.86119059073759896</v>
      </c>
    </row>
    <row r="146" spans="1:39">
      <c r="A146" s="82">
        <f t="shared" si="22"/>
        <v>3</v>
      </c>
      <c r="B146" s="16" t="s">
        <v>279</v>
      </c>
      <c r="C146" s="15" t="s">
        <v>280</v>
      </c>
      <c r="D146" s="17">
        <v>0.30988224707955309</v>
      </c>
      <c r="E146" s="4">
        <v>0.1890382886801206</v>
      </c>
      <c r="F146" s="4">
        <v>0.37096447208688804</v>
      </c>
      <c r="G146" s="6">
        <v>0.35681612486227476</v>
      </c>
      <c r="H146" s="6">
        <v>0.32271010268892897</v>
      </c>
      <c r="I146" s="90">
        <v>0.30662292658323359</v>
      </c>
      <c r="J146" s="90">
        <v>0.32705278558319967</v>
      </c>
      <c r="K146" s="90">
        <v>0.28901542006856257</v>
      </c>
      <c r="M146" s="5">
        <v>0.45974999999999999</v>
      </c>
      <c r="N146" s="5">
        <v>0.17027139874739039</v>
      </c>
      <c r="O146" s="5">
        <v>8.9999999999999969E-2</v>
      </c>
      <c r="P146" s="5">
        <v>0.11020833333333324</v>
      </c>
      <c r="Q146" s="5">
        <v>6.4000000000000001E-2</v>
      </c>
      <c r="R146" s="5">
        <v>0.24</v>
      </c>
      <c r="T146" s="5">
        <v>0.49116666666666664</v>
      </c>
      <c r="U146" s="5">
        <v>0.34340000000000004</v>
      </c>
      <c r="V146" s="5">
        <v>0.56877633862850807</v>
      </c>
      <c r="W146" s="5">
        <v>7.6952220096850016E-2</v>
      </c>
      <c r="X146" s="5">
        <v>0.24549160712930349</v>
      </c>
      <c r="Y146" s="5">
        <v>0.5</v>
      </c>
      <c r="AA146" s="5">
        <v>0.76666666666666661</v>
      </c>
      <c r="AB146" s="5">
        <v>0.47387999999999997</v>
      </c>
      <c r="AC146" s="5">
        <v>0.2583756097560973</v>
      </c>
      <c r="AD146" s="5">
        <v>0.52203389830508473</v>
      </c>
      <c r="AE146" s="5">
        <v>4.3000002419030368E-2</v>
      </c>
      <c r="AF146" s="5">
        <v>7.6940572026770043E-2</v>
      </c>
      <c r="AH146" s="5">
        <v>5.7000000000000002E-2</v>
      </c>
      <c r="AI146" s="5">
        <v>0.17703882549799743</v>
      </c>
      <c r="AJ146" s="5">
        <v>0.14000000000000001</v>
      </c>
      <c r="AK146" s="5">
        <v>0.52539323264037807</v>
      </c>
      <c r="AL146" s="5">
        <v>0.13582855418050105</v>
      </c>
      <c r="AM146" s="5">
        <v>0.90100000381469725</v>
      </c>
    </row>
    <row r="147" spans="1:39">
      <c r="A147" s="82">
        <f t="shared" si="22"/>
        <v>3</v>
      </c>
      <c r="B147" s="16" t="s">
        <v>281</v>
      </c>
      <c r="C147" s="15" t="s">
        <v>282</v>
      </c>
      <c r="D147" s="17">
        <v>0.15759671812002479</v>
      </c>
      <c r="E147" s="4">
        <v>0.22185975829725826</v>
      </c>
      <c r="F147" s="4">
        <v>0.16296486098949042</v>
      </c>
      <c r="G147" s="6">
        <v>0.13466567045441113</v>
      </c>
      <c r="H147" s="6">
        <v>0.11089658273893936</v>
      </c>
      <c r="I147" s="90">
        <v>0.16715471805018073</v>
      </c>
      <c r="J147" s="90">
        <v>0.20080827068381052</v>
      </c>
      <c r="K147" s="90">
        <v>7.8442389379112312E-2</v>
      </c>
      <c r="M147" s="5">
        <v>0.40783333333333327</v>
      </c>
      <c r="N147" s="5">
        <v>0.20811688311688312</v>
      </c>
      <c r="O147" s="5">
        <v>0</v>
      </c>
      <c r="P147" s="5">
        <v>0.61520833333333336</v>
      </c>
      <c r="Q147" s="5">
        <v>0</v>
      </c>
      <c r="R147" s="5">
        <v>9.9999999999999978E-2</v>
      </c>
      <c r="T147" s="5">
        <v>0.23183333333333334</v>
      </c>
      <c r="U147" s="5">
        <v>0.38720779935982447</v>
      </c>
      <c r="V147" s="5">
        <v>0.18267228807050007</v>
      </c>
      <c r="W147" s="5">
        <v>6.1555019564502218E-2</v>
      </c>
      <c r="X147" s="5">
        <v>0.11452072560878244</v>
      </c>
      <c r="Y147" s="5">
        <v>0</v>
      </c>
      <c r="AA147" s="5">
        <v>7.5000000000000067E-2</v>
      </c>
      <c r="AB147" s="5">
        <v>0.45584000000000002</v>
      </c>
      <c r="AC147" s="5">
        <v>0.18609756097560959</v>
      </c>
      <c r="AD147" s="5">
        <v>8.9171974522292988E-2</v>
      </c>
      <c r="AE147" s="5">
        <v>0</v>
      </c>
      <c r="AF147" s="5">
        <v>1.8844872285642127E-3</v>
      </c>
      <c r="AH147" s="5">
        <v>9.0000000000000011E-3</v>
      </c>
      <c r="AI147" s="5">
        <v>2.5313311200471974E-2</v>
      </c>
      <c r="AJ147" s="5">
        <v>0</v>
      </c>
      <c r="AK147" s="5">
        <v>0.29778864154715962</v>
      </c>
      <c r="AL147" s="5">
        <v>1.4790468364831553E-2</v>
      </c>
      <c r="AM147" s="5">
        <v>0.31848707532117304</v>
      </c>
    </row>
    <row r="148" spans="1:39">
      <c r="A148" s="82">
        <f t="shared" si="22"/>
        <v>3</v>
      </c>
      <c r="B148" s="16" t="s">
        <v>283</v>
      </c>
      <c r="C148" s="15" t="s">
        <v>284</v>
      </c>
      <c r="D148" s="17">
        <v>0.21033888855598062</v>
      </c>
      <c r="E148" s="4">
        <v>0.2206861656962639</v>
      </c>
      <c r="F148" s="4">
        <v>0.29835919785488324</v>
      </c>
      <c r="G148" s="6">
        <v>0.13577719360980361</v>
      </c>
      <c r="H148" s="6">
        <v>0.1865329970629718</v>
      </c>
      <c r="I148" s="90">
        <v>0.22514233448485321</v>
      </c>
      <c r="J148" s="90">
        <v>0.30866266674398868</v>
      </c>
      <c r="K148" s="90">
        <v>4.0648052380659765E-2</v>
      </c>
      <c r="M148" s="5">
        <v>0.82366666666666666</v>
      </c>
      <c r="N148" s="5">
        <v>0.12315866084425037</v>
      </c>
      <c r="O148" s="5">
        <v>1.0000000000000009E-2</v>
      </c>
      <c r="P148" s="5">
        <v>0.36729166666666624</v>
      </c>
      <c r="Q148" s="5">
        <v>0</v>
      </c>
      <c r="R148" s="5">
        <v>0</v>
      </c>
      <c r="T148" s="5">
        <v>0.29975000000000002</v>
      </c>
      <c r="U148" s="5">
        <v>0.39936673334690836</v>
      </c>
      <c r="V148" s="5">
        <v>0.10587301587300002</v>
      </c>
      <c r="W148" s="5">
        <v>0.17135760066772915</v>
      </c>
      <c r="X148" s="5">
        <v>0.81380783724166184</v>
      </c>
      <c r="Y148" s="5">
        <v>0</v>
      </c>
      <c r="AA148" s="5">
        <v>6.6666666666666541E-2</v>
      </c>
      <c r="AB148" s="5">
        <v>0.4234</v>
      </c>
      <c r="AC148" s="5">
        <v>0.12546341463414623</v>
      </c>
      <c r="AD148" s="5">
        <v>0.19658119658119658</v>
      </c>
      <c r="AE148" s="5">
        <v>0</v>
      </c>
      <c r="AF148" s="5">
        <v>2.551883776812318E-3</v>
      </c>
      <c r="AH148" s="5">
        <v>1.9E-2</v>
      </c>
      <c r="AI148" s="5">
        <v>5.4811007844475609E-2</v>
      </c>
      <c r="AJ148" s="5">
        <v>0</v>
      </c>
      <c r="AK148" s="5">
        <v>0.82341976141860118</v>
      </c>
      <c r="AL148" s="5">
        <v>8.1967213114754092E-2</v>
      </c>
      <c r="AM148" s="5">
        <v>0.14000000000000001</v>
      </c>
    </row>
    <row r="149" spans="1:39">
      <c r="A149" s="82">
        <f t="shared" si="22"/>
        <v>3</v>
      </c>
      <c r="B149" s="16" t="s">
        <v>285</v>
      </c>
      <c r="C149" s="15" t="s">
        <v>286</v>
      </c>
      <c r="D149" s="17">
        <v>0.2152458414901243</v>
      </c>
      <c r="E149" s="4">
        <v>0.25705787037037031</v>
      </c>
      <c r="F149" s="4">
        <v>0.38401349802734347</v>
      </c>
      <c r="G149" s="6">
        <v>0.11557122582987774</v>
      </c>
      <c r="H149" s="6">
        <v>0.10434077173290561</v>
      </c>
      <c r="I149" s="90">
        <v>0.19553696313753757</v>
      </c>
      <c r="J149" s="90">
        <v>0.308662736710826</v>
      </c>
      <c r="K149" s="90">
        <v>0.10468381618795186</v>
      </c>
      <c r="M149" s="5">
        <v>1.7500000000000293E-3</v>
      </c>
      <c r="N149" s="5">
        <v>1</v>
      </c>
      <c r="O149" s="5">
        <v>0</v>
      </c>
      <c r="P149" s="5">
        <v>0.53659722222222206</v>
      </c>
      <c r="Q149" s="5">
        <v>4.0000000000000001E-3</v>
      </c>
      <c r="R149" s="5">
        <v>0</v>
      </c>
      <c r="T149" s="5">
        <v>0.54108333333333336</v>
      </c>
      <c r="U149" s="5">
        <v>4.2800000000000019E-2</v>
      </c>
      <c r="V149" s="5">
        <v>0.44487179487175643</v>
      </c>
      <c r="W149" s="5">
        <v>0.27532585995897085</v>
      </c>
      <c r="X149" s="5">
        <v>1</v>
      </c>
      <c r="Y149" s="5">
        <v>0</v>
      </c>
      <c r="AA149" s="5">
        <v>7.5000000000000067E-2</v>
      </c>
      <c r="AB149" s="5">
        <v>0.30012000000000005</v>
      </c>
      <c r="AC149" s="5">
        <v>0.1775907317073171</v>
      </c>
      <c r="AD149" s="5">
        <v>0.13507625272331156</v>
      </c>
      <c r="AE149" s="5">
        <v>0</v>
      </c>
      <c r="AF149" s="5">
        <v>5.640370548637628E-3</v>
      </c>
      <c r="AH149" s="5">
        <v>0.182</v>
      </c>
      <c r="AI149" s="5">
        <v>0.33104463039743365</v>
      </c>
      <c r="AJ149" s="5">
        <v>1.3000000000000012E-2</v>
      </c>
      <c r="AK149" s="5">
        <v>0</v>
      </c>
      <c r="AL149" s="5">
        <v>0</v>
      </c>
      <c r="AM149" s="5">
        <v>9.9999999999999978E-2</v>
      </c>
    </row>
    <row r="150" spans="1:39">
      <c r="A150" s="82">
        <f t="shared" si="22"/>
        <v>13</v>
      </c>
      <c r="B150" s="16" t="s">
        <v>287</v>
      </c>
      <c r="C150" s="15" t="s">
        <v>288</v>
      </c>
      <c r="D150" s="17" t="e">
        <v>#N/A</v>
      </c>
      <c r="E150" s="4" t="e">
        <v>#N/A</v>
      </c>
      <c r="F150" s="4" t="e">
        <v>#N/A</v>
      </c>
      <c r="G150" s="6" t="e">
        <v>#N/A</v>
      </c>
      <c r="H150" s="6">
        <v>4.0295589202019054E-2</v>
      </c>
      <c r="I150" s="90" t="e">
        <v>#N/A</v>
      </c>
      <c r="J150" s="90" t="e">
        <v>#N/A</v>
      </c>
      <c r="K150" s="90" t="e">
        <v>#N/A</v>
      </c>
      <c r="M150" s="5">
        <v>0.58166666666666667</v>
      </c>
      <c r="N150" s="5">
        <v>4.2331288343558281E-2</v>
      </c>
      <c r="O150" s="5" t="e">
        <v>#N/A</v>
      </c>
      <c r="P150" s="5">
        <v>0.67118055555555522</v>
      </c>
      <c r="Q150" s="5" t="e">
        <v>#N/A</v>
      </c>
      <c r="R150" s="5">
        <v>0.28000000000000003</v>
      </c>
      <c r="T150" s="5" t="e">
        <v>#N/A</v>
      </c>
      <c r="U150" s="5" t="e">
        <v>#N/A</v>
      </c>
      <c r="V150" s="5">
        <v>1</v>
      </c>
      <c r="W150" s="5">
        <v>0.16244048727449623</v>
      </c>
      <c r="X150" s="5">
        <v>0.12549281457315314</v>
      </c>
      <c r="Y150" s="5">
        <v>0.03</v>
      </c>
      <c r="AA150" s="5">
        <v>7.5000000000000067E-2</v>
      </c>
      <c r="AB150" s="5" t="e">
        <v>#N/A</v>
      </c>
      <c r="AC150" s="5" t="e">
        <v>#N/A</v>
      </c>
      <c r="AD150" s="5">
        <v>0.10368349249658936</v>
      </c>
      <c r="AE150" s="5" t="e">
        <v>#N/A</v>
      </c>
      <c r="AF150" s="5" t="e">
        <v>#N/A</v>
      </c>
      <c r="AH150" s="5">
        <v>2.7000000000000003E-2</v>
      </c>
      <c r="AI150" s="5">
        <v>3.4182356808076214E-2</v>
      </c>
      <c r="AJ150" s="5">
        <v>0</v>
      </c>
      <c r="AK150" s="5">
        <v>0.1</v>
      </c>
      <c r="AL150" s="5" t="e">
        <v>#N/A</v>
      </c>
      <c r="AM150" s="5" t="e">
        <v>#N/A</v>
      </c>
    </row>
    <row r="151" spans="1:39">
      <c r="A151" s="82">
        <f t="shared" si="22"/>
        <v>3</v>
      </c>
      <c r="B151" s="16" t="s">
        <v>289</v>
      </c>
      <c r="C151" s="15" t="s">
        <v>290</v>
      </c>
      <c r="D151" s="17">
        <v>0.23564587471337728</v>
      </c>
      <c r="E151" s="4">
        <v>0.22834796370238916</v>
      </c>
      <c r="F151" s="4">
        <v>0.42406864006282197</v>
      </c>
      <c r="G151" s="6">
        <v>0.24926702139849133</v>
      </c>
      <c r="H151" s="6">
        <v>4.0899873689806583E-2</v>
      </c>
      <c r="I151" s="90">
        <v>0.38781304044399484</v>
      </c>
      <c r="J151" s="90">
        <v>7.6142507510756033E-2</v>
      </c>
      <c r="K151" s="90">
        <v>0.24665017692138283</v>
      </c>
      <c r="M151" s="5">
        <v>0.2174166666666667</v>
      </c>
      <c r="N151" s="5">
        <v>1.4685004436557231E-2</v>
      </c>
      <c r="O151" s="5">
        <v>4.0000000000000036E-2</v>
      </c>
      <c r="P151" s="5">
        <v>0.96465277777777758</v>
      </c>
      <c r="Q151" s="5">
        <v>3.3333333333333335E-3</v>
      </c>
      <c r="R151" s="5">
        <v>0.13</v>
      </c>
      <c r="T151" s="5">
        <v>0.2734166666666667</v>
      </c>
      <c r="U151" s="5">
        <v>0.27170449796682422</v>
      </c>
      <c r="V151" s="5">
        <v>0.92360972963199328</v>
      </c>
      <c r="W151" s="5">
        <v>1</v>
      </c>
      <c r="X151" s="5">
        <v>2.5680946111447989E-2</v>
      </c>
      <c r="Y151" s="5">
        <v>0.05</v>
      </c>
      <c r="AA151" s="5">
        <v>0.87499999999999967</v>
      </c>
      <c r="AB151" s="5">
        <v>0.14604399999999995</v>
      </c>
      <c r="AC151" s="5">
        <v>0.32283170731707311</v>
      </c>
      <c r="AD151" s="5">
        <v>0.1382667964946446</v>
      </c>
      <c r="AE151" s="5">
        <v>0</v>
      </c>
      <c r="AF151" s="5">
        <v>1.3459624579230618E-2</v>
      </c>
      <c r="AH151" s="5">
        <v>1.9E-2</v>
      </c>
      <c r="AI151" s="5">
        <v>2.4434785748641535E-2</v>
      </c>
      <c r="AJ151" s="5">
        <v>0</v>
      </c>
      <c r="AK151" s="5">
        <v>0</v>
      </c>
      <c r="AL151" s="5">
        <v>2.5644563901979149E-3</v>
      </c>
      <c r="AM151" s="5">
        <v>0.19940000000000002</v>
      </c>
    </row>
    <row r="152" spans="1:39">
      <c r="A152" s="82">
        <f t="shared" si="22"/>
        <v>3</v>
      </c>
      <c r="B152" s="16" t="s">
        <v>291</v>
      </c>
      <c r="C152" s="15" t="s">
        <v>292</v>
      </c>
      <c r="D152" s="17">
        <v>0.50488232850882075</v>
      </c>
      <c r="E152" s="4">
        <v>0.36229824561403512</v>
      </c>
      <c r="F152" s="4">
        <v>0.57766489494803996</v>
      </c>
      <c r="G152" s="6">
        <v>0.69036444397719376</v>
      </c>
      <c r="H152" s="6">
        <v>0.389201729496014</v>
      </c>
      <c r="I152" s="90">
        <v>0.45460490728816005</v>
      </c>
      <c r="J152" s="90">
        <v>0.48727459228635417</v>
      </c>
      <c r="K152" s="90">
        <v>0.60671006467351163</v>
      </c>
      <c r="M152" s="5">
        <v>0.41300000000000003</v>
      </c>
      <c r="N152" s="5">
        <v>1.5789473684210527E-2</v>
      </c>
      <c r="O152" s="5">
        <v>0.35</v>
      </c>
      <c r="P152" s="5">
        <v>0.28833333333333355</v>
      </c>
      <c r="Q152" s="5">
        <v>0.64666666666666661</v>
      </c>
      <c r="R152" s="5">
        <v>0.45999999999999996</v>
      </c>
      <c r="T152" s="5">
        <v>0.71575</v>
      </c>
      <c r="U152" s="5">
        <v>0.81379999999999997</v>
      </c>
      <c r="V152" s="5">
        <v>0.98527220694067441</v>
      </c>
      <c r="W152" s="5">
        <v>0.23689981291074544</v>
      </c>
      <c r="X152" s="5">
        <v>0.27426734983681977</v>
      </c>
      <c r="Y152" s="5">
        <v>0.44000000000000006</v>
      </c>
      <c r="AA152" s="5">
        <v>0.40833333333333333</v>
      </c>
      <c r="AB152" s="5">
        <v>0.96304000000000001</v>
      </c>
      <c r="AC152" s="5">
        <v>0.68813073170731698</v>
      </c>
      <c r="AD152" s="5">
        <v>0.83391730903994399</v>
      </c>
      <c r="AE152" s="5">
        <v>0.53190784038949046</v>
      </c>
      <c r="AF152" s="5">
        <v>0.71685744939307805</v>
      </c>
      <c r="AH152" s="5">
        <v>0</v>
      </c>
      <c r="AI152" s="5">
        <v>0</v>
      </c>
      <c r="AJ152" s="5">
        <v>0.95199999999999996</v>
      </c>
      <c r="AK152" s="5">
        <v>0.33</v>
      </c>
      <c r="AL152" s="5">
        <v>0.24321037697608427</v>
      </c>
      <c r="AM152" s="5">
        <v>0.81</v>
      </c>
    </row>
    <row r="153" spans="1:39">
      <c r="A153" s="82">
        <f t="shared" si="22"/>
        <v>3</v>
      </c>
      <c r="B153" s="16" t="s">
        <v>293</v>
      </c>
      <c r="C153" s="15" t="s">
        <v>294</v>
      </c>
      <c r="D153" s="17">
        <v>0.33108757769318936</v>
      </c>
      <c r="E153" s="4">
        <v>0.14750231481481482</v>
      </c>
      <c r="F153" s="4">
        <v>0.55971513795060623</v>
      </c>
      <c r="G153" s="6">
        <v>0.30449161639461353</v>
      </c>
      <c r="H153" s="6">
        <v>0.31264124161272283</v>
      </c>
      <c r="I153" s="90">
        <v>0.38058988674950212</v>
      </c>
      <c r="J153" s="90">
        <v>0.31236384346756663</v>
      </c>
      <c r="K153" s="90">
        <v>0.2849197154471545</v>
      </c>
      <c r="M153" s="5">
        <v>0.67808333333333337</v>
      </c>
      <c r="N153" s="5">
        <v>0</v>
      </c>
      <c r="O153" s="5">
        <v>1.0000000000000009E-2</v>
      </c>
      <c r="P153" s="5">
        <v>0.13826388888888885</v>
      </c>
      <c r="Q153" s="5">
        <v>1.8666666666666668E-2</v>
      </c>
      <c r="R153" s="5">
        <v>4.0000000000000036E-2</v>
      </c>
      <c r="T153" s="5">
        <v>0.71158333333333335</v>
      </c>
      <c r="U153" s="5">
        <v>0.6764</v>
      </c>
      <c r="V153" s="5">
        <v>0.88624999999999998</v>
      </c>
      <c r="W153" s="5">
        <v>0.29308901950520921</v>
      </c>
      <c r="X153" s="5">
        <v>0.79096847486509514</v>
      </c>
      <c r="Y153" s="5">
        <v>0</v>
      </c>
      <c r="AA153" s="5">
        <v>0.31666666666666676</v>
      </c>
      <c r="AB153" s="5">
        <v>0.57939200000000002</v>
      </c>
      <c r="AC153" s="5">
        <v>0.27326829268292674</v>
      </c>
      <c r="AD153" s="5">
        <v>0.15762273901808785</v>
      </c>
      <c r="AE153" s="5">
        <v>0</v>
      </c>
      <c r="AF153" s="5">
        <v>0.5</v>
      </c>
      <c r="AH153" s="5">
        <v>1</v>
      </c>
      <c r="AI153" s="5">
        <v>0.17084744967633733</v>
      </c>
      <c r="AJ153" s="5">
        <v>0.13</v>
      </c>
      <c r="AK153" s="5">
        <v>0</v>
      </c>
      <c r="AL153" s="5">
        <v>0</v>
      </c>
      <c r="AM153" s="5">
        <v>0.57499999999999996</v>
      </c>
    </row>
    <row r="154" spans="1:39">
      <c r="A154" s="82">
        <f t="shared" si="22"/>
        <v>6</v>
      </c>
      <c r="B154" s="16" t="s">
        <v>295</v>
      </c>
      <c r="C154" s="15" t="s">
        <v>296</v>
      </c>
      <c r="D154" s="17" t="e">
        <v>#VALUE!</v>
      </c>
      <c r="E154" s="4">
        <v>0.2501140740740741</v>
      </c>
      <c r="F154" s="4" t="e">
        <v>#VALUE!</v>
      </c>
      <c r="G154" s="6">
        <v>0.35640827419994864</v>
      </c>
      <c r="H154" s="6">
        <v>5.8706039970323261E-2</v>
      </c>
      <c r="I154" s="90">
        <v>0.29230737967229903</v>
      </c>
      <c r="J154" s="90">
        <v>0.38658348891675359</v>
      </c>
      <c r="K154" s="90">
        <v>0.35948737127371272</v>
      </c>
      <c r="M154" s="5">
        <v>0.73658333333333337</v>
      </c>
      <c r="N154" s="5">
        <v>0.49999000000000005</v>
      </c>
      <c r="O154" s="5">
        <v>2.0000000000000018E-2</v>
      </c>
      <c r="P154" s="5">
        <v>0.13277777777777788</v>
      </c>
      <c r="Q154" s="5">
        <v>1.3333333333333333E-3</v>
      </c>
      <c r="R154" s="5">
        <v>0.10999999999999999</v>
      </c>
      <c r="T154" s="5">
        <v>0.71158333333333335</v>
      </c>
      <c r="U154" s="5">
        <v>0.7208</v>
      </c>
      <c r="V154" s="5">
        <v>0.92222222222222228</v>
      </c>
      <c r="W154" s="5" t="e">
        <v>#VALUE!</v>
      </c>
      <c r="X154" s="5">
        <v>1</v>
      </c>
      <c r="Y154" s="5" t="e">
        <v>#N/A</v>
      </c>
      <c r="AA154" s="5">
        <v>0.31666666666666676</v>
      </c>
      <c r="AB154" s="5">
        <v>0.80828</v>
      </c>
      <c r="AC154" s="5">
        <v>0.24521463414634126</v>
      </c>
      <c r="AD154" s="5">
        <v>0.24884792626728111</v>
      </c>
      <c r="AE154" s="5">
        <v>1.9440418119402721E-2</v>
      </c>
      <c r="AF154" s="5">
        <v>0.5</v>
      </c>
      <c r="AH154" s="5">
        <v>0.182</v>
      </c>
      <c r="AI154" s="5">
        <v>4.2824159881293046E-2</v>
      </c>
      <c r="AJ154" s="5">
        <v>1.0000000000000009E-2</v>
      </c>
      <c r="AK154" s="5">
        <v>0</v>
      </c>
      <c r="AL154" s="5">
        <v>0</v>
      </c>
      <c r="AM154" s="5" t="e">
        <v>#N/A</v>
      </c>
    </row>
    <row r="155" spans="1:39">
      <c r="A155" s="82">
        <f t="shared" si="22"/>
        <v>5</v>
      </c>
      <c r="B155" s="16" t="s">
        <v>297</v>
      </c>
      <c r="C155" s="15" t="s">
        <v>298</v>
      </c>
      <c r="D155" s="17" t="e">
        <v>#VALUE!</v>
      </c>
      <c r="E155" s="4">
        <v>0.23984555555555551</v>
      </c>
      <c r="F155" s="4" t="e">
        <v>#VALUE!</v>
      </c>
      <c r="G155" s="6">
        <v>0.34461858077938262</v>
      </c>
      <c r="H155" s="6">
        <v>0.11735787434318683</v>
      </c>
      <c r="I155" s="90">
        <v>0.30867788253142614</v>
      </c>
      <c r="J155" s="90">
        <v>0.34511985317934335</v>
      </c>
      <c r="K155" s="90">
        <v>0.29989606504065031</v>
      </c>
      <c r="M155" s="5">
        <v>0.69366666666666665</v>
      </c>
      <c r="N155" s="5">
        <v>0.49999000000000005</v>
      </c>
      <c r="O155" s="5">
        <v>6.9999999999999951E-2</v>
      </c>
      <c r="P155" s="5">
        <v>0.13541666666666663</v>
      </c>
      <c r="Q155" s="5">
        <v>0</v>
      </c>
      <c r="R155" s="5">
        <v>4.0000000000000036E-2</v>
      </c>
      <c r="T155" s="5">
        <v>0.71158333333333335</v>
      </c>
      <c r="U155" s="5">
        <v>0.52580000000000005</v>
      </c>
      <c r="V155" s="5">
        <v>0.62666666666666659</v>
      </c>
      <c r="W155" s="5" t="e">
        <v>#VALUE!</v>
      </c>
      <c r="X155" s="5">
        <v>1</v>
      </c>
      <c r="Y155" s="5" t="e">
        <v>#N/A</v>
      </c>
      <c r="AA155" s="5">
        <v>0.31666666666666676</v>
      </c>
      <c r="AB155" s="5">
        <v>0.66663200000000011</v>
      </c>
      <c r="AC155" s="5">
        <v>0.26281365853658512</v>
      </c>
      <c r="AD155" s="5">
        <v>0.29908972691807545</v>
      </c>
      <c r="AE155" s="5">
        <v>2.2509432554968418E-2</v>
      </c>
      <c r="AF155" s="5">
        <v>0.5</v>
      </c>
      <c r="AH155" s="5">
        <v>0.30299999999999999</v>
      </c>
      <c r="AI155" s="5">
        <v>9.1147246059120945E-2</v>
      </c>
      <c r="AJ155" s="5">
        <v>1.0000000000000009E-2</v>
      </c>
      <c r="AK155" s="5">
        <v>0</v>
      </c>
      <c r="AL155" s="5">
        <v>0</v>
      </c>
      <c r="AM155" s="5">
        <v>0.30000000000000004</v>
      </c>
    </row>
    <row r="156" spans="1:39">
      <c r="A156" s="82">
        <f t="shared" si="22"/>
        <v>3</v>
      </c>
      <c r="B156" s="16" t="s">
        <v>299</v>
      </c>
      <c r="C156" s="15" t="s">
        <v>300</v>
      </c>
      <c r="D156" s="17">
        <v>0.39152246774510951</v>
      </c>
      <c r="E156" s="4">
        <v>0.21806546296296295</v>
      </c>
      <c r="F156" s="4">
        <v>0.55494587242995441</v>
      </c>
      <c r="G156" s="6">
        <v>0.49863692251049335</v>
      </c>
      <c r="H156" s="6">
        <v>0.29444161307702738</v>
      </c>
      <c r="I156" s="90">
        <v>0.33766132717086417</v>
      </c>
      <c r="J156" s="90">
        <v>0.49371790027589568</v>
      </c>
      <c r="K156" s="90">
        <v>0.31902102981029817</v>
      </c>
      <c r="M156" s="5">
        <v>0.59550000000000003</v>
      </c>
      <c r="N156" s="5">
        <v>0.49999000000000005</v>
      </c>
      <c r="O156" s="5">
        <v>0.12</v>
      </c>
      <c r="P156" s="5">
        <v>5.0902777777777741E-2</v>
      </c>
      <c r="Q156" s="5">
        <v>4.2000000000000003E-2</v>
      </c>
      <c r="R156" s="5">
        <v>0</v>
      </c>
      <c r="T156" s="5">
        <v>0.44466666666666665</v>
      </c>
      <c r="U156" s="5">
        <v>0.76800000000000002</v>
      </c>
      <c r="V156" s="5">
        <v>0.93426666666666669</v>
      </c>
      <c r="W156" s="5">
        <v>8.2741901246392691E-2</v>
      </c>
      <c r="X156" s="5">
        <v>1</v>
      </c>
      <c r="Y156" s="5">
        <v>0.1</v>
      </c>
      <c r="AA156" s="5">
        <v>0.76666666666666661</v>
      </c>
      <c r="AB156" s="5">
        <v>0.91399999999999992</v>
      </c>
      <c r="AC156" s="5">
        <v>0.25985951219512204</v>
      </c>
      <c r="AD156" s="5">
        <v>0.42543859649122806</v>
      </c>
      <c r="AE156" s="5">
        <v>0.12585675970994337</v>
      </c>
      <c r="AF156" s="5">
        <v>0.5</v>
      </c>
      <c r="AH156" s="5">
        <v>0.113</v>
      </c>
      <c r="AI156" s="5">
        <v>0.23571434315458828</v>
      </c>
      <c r="AJ156" s="5">
        <v>3.0000000000000027E-2</v>
      </c>
      <c r="AK156" s="5">
        <v>0</v>
      </c>
      <c r="AL156" s="5">
        <v>0.53003533568904593</v>
      </c>
      <c r="AM156" s="5">
        <v>0.85789999961853003</v>
      </c>
    </row>
    <row r="157" spans="1:39">
      <c r="A157" s="82">
        <f t="shared" si="22"/>
        <v>7</v>
      </c>
      <c r="B157" s="16" t="s">
        <v>301</v>
      </c>
      <c r="C157" s="15" t="s">
        <v>302</v>
      </c>
      <c r="D157" s="17" t="e">
        <v>#VALUE!</v>
      </c>
      <c r="E157" s="4">
        <v>0.27016268518518521</v>
      </c>
      <c r="F157" s="4" t="e">
        <v>#VALUE!</v>
      </c>
      <c r="G157" s="6">
        <v>3.6150121576312318E-2</v>
      </c>
      <c r="H157" s="6" t="e">
        <v>#N/A</v>
      </c>
      <c r="I157" s="90">
        <v>0.19172471316425121</v>
      </c>
      <c r="J157" s="90">
        <v>9.2894359100421764E-2</v>
      </c>
      <c r="K157" s="90">
        <v>0.17334818920916259</v>
      </c>
      <c r="M157" s="5">
        <v>0.5850833333333334</v>
      </c>
      <c r="N157" s="5">
        <v>0.49999000000000005</v>
      </c>
      <c r="O157" s="5">
        <v>0</v>
      </c>
      <c r="P157" s="5">
        <v>0.53590277777777784</v>
      </c>
      <c r="Q157" s="5">
        <v>0</v>
      </c>
      <c r="R157" s="5">
        <v>0</v>
      </c>
      <c r="T157" s="5">
        <v>0.23600000000000002</v>
      </c>
      <c r="U157" s="5">
        <v>5.7376154602530482E-2</v>
      </c>
      <c r="V157" s="5">
        <v>1</v>
      </c>
      <c r="W157" s="5" t="e">
        <v>#VALUE!</v>
      </c>
      <c r="X157" s="5" t="e">
        <v>#N/A</v>
      </c>
      <c r="Y157" s="5">
        <v>0</v>
      </c>
      <c r="AA157" s="5">
        <v>6.6666666666666541E-2</v>
      </c>
      <c r="AB157" s="5">
        <v>0</v>
      </c>
      <c r="AC157" s="5">
        <v>4.0089135254975483E-2</v>
      </c>
      <c r="AD157" s="5">
        <v>0.11014492753623188</v>
      </c>
      <c r="AE157" s="5">
        <v>0</v>
      </c>
      <c r="AF157" s="5">
        <v>0</v>
      </c>
      <c r="AH157" s="5">
        <v>0</v>
      </c>
      <c r="AI157" s="5">
        <v>0</v>
      </c>
      <c r="AJ157" s="5">
        <v>0</v>
      </c>
      <c r="AK157" s="5" t="e">
        <v>#N/A</v>
      </c>
      <c r="AL157" s="5">
        <v>0</v>
      </c>
      <c r="AM157" s="5" t="e">
        <v>#N/A</v>
      </c>
    </row>
    <row r="158" spans="1:39">
      <c r="A158" s="82">
        <f t="shared" si="22"/>
        <v>4</v>
      </c>
      <c r="B158" s="16" t="s">
        <v>303</v>
      </c>
      <c r="C158" s="15" t="s">
        <v>304</v>
      </c>
      <c r="D158" s="17" t="e">
        <v>#VALUE!</v>
      </c>
      <c r="E158" s="4">
        <v>0.27194907407407404</v>
      </c>
      <c r="F158" s="4" t="e">
        <v>#VALUE!</v>
      </c>
      <c r="G158" s="6">
        <v>0.48530047723867981</v>
      </c>
      <c r="H158" s="6">
        <v>0.18240091173414397</v>
      </c>
      <c r="I158" s="90">
        <v>0.30505295419208223</v>
      </c>
      <c r="J158" s="90">
        <v>0.3854281344205977</v>
      </c>
      <c r="K158" s="90">
        <v>0.39248487804878046</v>
      </c>
      <c r="M158" s="5">
        <v>0.33691666666666675</v>
      </c>
      <c r="N158" s="5">
        <v>0</v>
      </c>
      <c r="O158" s="5">
        <v>0.10999999999999999</v>
      </c>
      <c r="P158" s="5">
        <v>0.15944444444444439</v>
      </c>
      <c r="Q158" s="5">
        <v>0.28533333333333333</v>
      </c>
      <c r="R158" s="5">
        <v>0.74</v>
      </c>
      <c r="T158" s="5">
        <v>0.62008333333333332</v>
      </c>
      <c r="U158" s="5">
        <v>0.38619999999999999</v>
      </c>
      <c r="V158" s="5">
        <v>0.5</v>
      </c>
      <c r="W158" s="5" t="e">
        <v>#VALUE!</v>
      </c>
      <c r="X158" s="5">
        <v>1</v>
      </c>
      <c r="Y158" s="5">
        <v>0.12</v>
      </c>
      <c r="AA158" s="5">
        <v>0.20833333333333315</v>
      </c>
      <c r="AB158" s="5">
        <v>0.83079999999999998</v>
      </c>
      <c r="AC158" s="5">
        <v>0.38490926829268257</v>
      </c>
      <c r="AD158" s="5">
        <v>0.60064585575888052</v>
      </c>
      <c r="AE158" s="5">
        <v>0.38711440604718256</v>
      </c>
      <c r="AF158" s="5">
        <v>0.5</v>
      </c>
      <c r="AH158" s="5">
        <v>0</v>
      </c>
      <c r="AI158" s="5">
        <v>0.26040545514607472</v>
      </c>
      <c r="AJ158" s="5">
        <v>0.51500000000000001</v>
      </c>
      <c r="AK158" s="5">
        <v>0</v>
      </c>
      <c r="AL158" s="5">
        <v>0</v>
      </c>
      <c r="AM158" s="5">
        <v>0.31900001525878907</v>
      </c>
    </row>
    <row r="159" spans="1:39">
      <c r="A159" s="82">
        <f t="shared" si="22"/>
        <v>3</v>
      </c>
      <c r="B159" s="16" t="s">
        <v>305</v>
      </c>
      <c r="C159" s="15" t="s">
        <v>306</v>
      </c>
      <c r="D159" s="17">
        <v>0.2932633698927341</v>
      </c>
      <c r="E159" s="4">
        <v>0.33895601851851859</v>
      </c>
      <c r="F159" s="4">
        <v>0.45523027666913635</v>
      </c>
      <c r="G159" s="6">
        <v>0.22271349155651363</v>
      </c>
      <c r="H159" s="6">
        <v>0.15615369282676786</v>
      </c>
      <c r="I159" s="90">
        <v>0.20590787607031835</v>
      </c>
      <c r="J159" s="90">
        <v>0.41855884173042696</v>
      </c>
      <c r="K159" s="90">
        <v>0.23635340286981843</v>
      </c>
      <c r="M159" s="5">
        <v>0.45874999999999999</v>
      </c>
      <c r="N159" s="5">
        <v>1</v>
      </c>
      <c r="O159" s="5">
        <v>4.2999999999999927E-2</v>
      </c>
      <c r="P159" s="5">
        <v>0.51798611111111137</v>
      </c>
      <c r="Q159" s="5">
        <v>0</v>
      </c>
      <c r="R159" s="5">
        <v>1.4000000000000012E-2</v>
      </c>
      <c r="T159" s="5">
        <v>0.47033333333333333</v>
      </c>
      <c r="U159" s="5">
        <v>0.1756722525425862</v>
      </c>
      <c r="V159" s="5">
        <v>0.82981831499762382</v>
      </c>
      <c r="W159" s="5">
        <v>9.8562593070625759E-2</v>
      </c>
      <c r="X159" s="5">
        <v>0.87699516607064931</v>
      </c>
      <c r="Y159" s="5">
        <v>0.27999999999999997</v>
      </c>
      <c r="AA159" s="5">
        <v>7.5000000000000067E-2</v>
      </c>
      <c r="AB159" s="5">
        <v>0.79444000000000004</v>
      </c>
      <c r="AC159" s="5">
        <v>0.2314634146341461</v>
      </c>
      <c r="AD159" s="5">
        <v>0.21553884711779447</v>
      </c>
      <c r="AE159" s="5">
        <v>0</v>
      </c>
      <c r="AF159" s="5">
        <v>1.9838687587140903E-2</v>
      </c>
      <c r="AH159" s="5">
        <v>4.0000000000000001E-3</v>
      </c>
      <c r="AI159" s="5">
        <v>0.13462215009415213</v>
      </c>
      <c r="AJ159" s="5">
        <v>1.0000000000000009E-2</v>
      </c>
      <c r="AK159" s="5">
        <v>0</v>
      </c>
      <c r="AL159" s="5">
        <v>3.0000000000000001E-3</v>
      </c>
      <c r="AM159" s="5">
        <v>0.78530000686645507</v>
      </c>
    </row>
    <row r="160" spans="1:39">
      <c r="A160" s="82">
        <f t="shared" si="22"/>
        <v>3</v>
      </c>
      <c r="B160" s="16" t="s">
        <v>307</v>
      </c>
      <c r="C160" s="15" t="s">
        <v>308</v>
      </c>
      <c r="D160" s="17">
        <v>0.47677047909128001</v>
      </c>
      <c r="E160" s="4">
        <v>0.36664222985872463</v>
      </c>
      <c r="F160" s="4">
        <v>0.6151449238570782</v>
      </c>
      <c r="G160" s="6">
        <v>0.54316988361714869</v>
      </c>
      <c r="H160" s="6">
        <v>0.38212487903216852</v>
      </c>
      <c r="I160" s="90">
        <v>0.42187675789791035</v>
      </c>
      <c r="J160" s="90">
        <v>0.49252487591122041</v>
      </c>
      <c r="K160" s="90">
        <v>0.53547946565142379</v>
      </c>
      <c r="M160" s="5">
        <v>0.65566666666666662</v>
      </c>
      <c r="N160" s="5">
        <v>5.7242268041237117E-2</v>
      </c>
      <c r="O160" s="5">
        <v>0.31000000000000005</v>
      </c>
      <c r="P160" s="5">
        <v>0.33361111111111097</v>
      </c>
      <c r="Q160" s="5">
        <v>0.35333333333333333</v>
      </c>
      <c r="R160" s="5">
        <v>0.49</v>
      </c>
      <c r="T160" s="5">
        <v>0.88633333333333331</v>
      </c>
      <c r="U160" s="5">
        <v>0.5736</v>
      </c>
      <c r="V160" s="5">
        <v>0.99249175125836209</v>
      </c>
      <c r="W160" s="5">
        <v>0.22690171366973672</v>
      </c>
      <c r="X160" s="5">
        <v>0.71154274488103753</v>
      </c>
      <c r="Y160" s="5">
        <v>0.3</v>
      </c>
      <c r="AA160" s="5">
        <v>0.20833333333333315</v>
      </c>
      <c r="AB160" s="5">
        <v>0.96404000000000001</v>
      </c>
      <c r="AC160" s="5">
        <v>0.5822258536585363</v>
      </c>
      <c r="AD160" s="5">
        <v>0.82629870129870131</v>
      </c>
      <c r="AE160" s="5">
        <v>0.13996222442067585</v>
      </c>
      <c r="AF160" s="5">
        <v>0.53815918899164505</v>
      </c>
      <c r="AH160" s="5">
        <v>3.3000000000000002E-2</v>
      </c>
      <c r="AI160" s="5">
        <v>0.31479057632968366</v>
      </c>
      <c r="AJ160" s="5">
        <v>0.58000000000000007</v>
      </c>
      <c r="AK160" s="5">
        <v>0.61081273848383388</v>
      </c>
      <c r="AL160" s="5">
        <v>4.674596166831143E-2</v>
      </c>
      <c r="AM160" s="5">
        <v>0.707399997711182</v>
      </c>
    </row>
    <row r="161" spans="1:39">
      <c r="A161" s="82">
        <f t="shared" si="22"/>
        <v>5</v>
      </c>
      <c r="B161" s="16" t="s">
        <v>309</v>
      </c>
      <c r="C161" s="15" t="s">
        <v>310</v>
      </c>
      <c r="D161" s="17" t="e">
        <v>#DIV/0!</v>
      </c>
      <c r="E161" s="4" t="e">
        <v>#DIV/0!</v>
      </c>
      <c r="F161" s="4">
        <v>0.31331249526365551</v>
      </c>
      <c r="G161" s="6">
        <v>0.15293296718961544</v>
      </c>
      <c r="H161" s="6">
        <v>0.13551856987490768</v>
      </c>
      <c r="I161" s="90">
        <v>0.23902844658738018</v>
      </c>
      <c r="J161" s="90">
        <v>0.26512697020330239</v>
      </c>
      <c r="K161" s="90">
        <v>0.184678397760077</v>
      </c>
      <c r="M161" s="5">
        <v>0.68166666666666664</v>
      </c>
      <c r="N161" s="5" t="e">
        <v>#DIV/0!</v>
      </c>
      <c r="O161" s="5">
        <v>1.0000000000000009E-2</v>
      </c>
      <c r="P161" s="5">
        <v>0.50749999999999995</v>
      </c>
      <c r="Q161" s="5">
        <v>0</v>
      </c>
      <c r="R161" s="5">
        <v>7.999999999999996E-2</v>
      </c>
      <c r="T161" s="5">
        <v>0.28333333333333333</v>
      </c>
      <c r="U161" s="5">
        <v>0.4778</v>
      </c>
      <c r="V161" s="5">
        <v>0.77845850999400246</v>
      </c>
      <c r="W161" s="5">
        <v>0.3202831282545972</v>
      </c>
      <c r="X161" s="5">
        <v>0.01</v>
      </c>
      <c r="Y161" s="5">
        <v>0.01</v>
      </c>
      <c r="AA161" s="5">
        <v>7.5000000000000067E-2</v>
      </c>
      <c r="AB161" s="5">
        <v>0.56420000000000003</v>
      </c>
      <c r="AC161" s="5">
        <v>0.22629268292682891</v>
      </c>
      <c r="AD161" s="5">
        <v>4.4444444444444446E-2</v>
      </c>
      <c r="AE161" s="5">
        <v>4.3414821267884866E-3</v>
      </c>
      <c r="AF161" s="5">
        <v>3.3191936396306408E-3</v>
      </c>
      <c r="AH161" s="5">
        <v>0</v>
      </c>
      <c r="AI161" s="5">
        <v>0</v>
      </c>
      <c r="AJ161" s="5">
        <v>0</v>
      </c>
      <c r="AK161" s="5">
        <v>0.54207427949963072</v>
      </c>
      <c r="AL161" s="5" t="e">
        <v>#N/A</v>
      </c>
      <c r="AM161" s="5">
        <v>0.52259999999999995</v>
      </c>
    </row>
    <row r="162" spans="1:39">
      <c r="A162" s="82">
        <f t="shared" si="22"/>
        <v>4</v>
      </c>
      <c r="B162" s="16" t="s">
        <v>311</v>
      </c>
      <c r="C162" s="15" t="s">
        <v>312</v>
      </c>
      <c r="D162" s="17" t="e">
        <v>#N/A</v>
      </c>
      <c r="E162" s="4" t="e">
        <v>#N/A</v>
      </c>
      <c r="F162" s="4">
        <v>0.39135555555555551</v>
      </c>
      <c r="G162" s="6">
        <v>0.27202266518337209</v>
      </c>
      <c r="H162" s="6">
        <v>0.25828065795002825</v>
      </c>
      <c r="I162" s="90">
        <v>0.33305312715422697</v>
      </c>
      <c r="J162" s="90">
        <v>0.31012275817688373</v>
      </c>
      <c r="K162" s="90">
        <v>0.20129810298102979</v>
      </c>
      <c r="M162" s="5">
        <v>0.49283333333333335</v>
      </c>
      <c r="N162" s="5">
        <v>0.49999000000000005</v>
      </c>
      <c r="O162" s="5">
        <v>0</v>
      </c>
      <c r="P162" s="5">
        <v>0.1334722222222221</v>
      </c>
      <c r="Q162" s="5" t="e">
        <v>#N/A</v>
      </c>
      <c r="R162" s="5">
        <v>3.0000000000000027E-2</v>
      </c>
      <c r="T162" s="5">
        <v>0.44466666666666665</v>
      </c>
      <c r="U162" s="5">
        <v>0.45179999999999998</v>
      </c>
      <c r="V162" s="5">
        <v>0.45166666666666666</v>
      </c>
      <c r="W162" s="5">
        <v>0</v>
      </c>
      <c r="X162" s="5">
        <v>1</v>
      </c>
      <c r="Y162" s="5">
        <v>0</v>
      </c>
      <c r="AA162" s="5">
        <v>0.20833333333333315</v>
      </c>
      <c r="AB162" s="5">
        <v>0.30519999999999992</v>
      </c>
      <c r="AC162" s="5">
        <v>0.22612195121951206</v>
      </c>
      <c r="AD162" s="5">
        <v>0.37817258883248733</v>
      </c>
      <c r="AE162" s="5">
        <v>1.4308117714900181E-2</v>
      </c>
      <c r="AF162" s="5">
        <v>0.5</v>
      </c>
      <c r="AH162" s="5">
        <v>0.3</v>
      </c>
      <c r="AI162" s="5">
        <v>0.1742508768340274</v>
      </c>
      <c r="AJ162" s="5">
        <v>4.0000000000000036E-2</v>
      </c>
      <c r="AK162" s="5">
        <v>0</v>
      </c>
      <c r="AL162" s="5">
        <v>1</v>
      </c>
      <c r="AM162" s="5">
        <v>3.5433070866142113E-2</v>
      </c>
    </row>
    <row r="163" spans="1:39">
      <c r="A163" s="82">
        <f t="shared" si="22"/>
        <v>3</v>
      </c>
      <c r="B163" s="16" t="s">
        <v>313</v>
      </c>
      <c r="C163" s="15" t="s">
        <v>314</v>
      </c>
      <c r="D163" s="17">
        <v>0.52341153801888352</v>
      </c>
      <c r="E163" s="4">
        <v>0.47798597222222217</v>
      </c>
      <c r="F163" s="4">
        <v>0.58694119252860799</v>
      </c>
      <c r="G163" s="6">
        <v>0.68992942834448845</v>
      </c>
      <c r="H163" s="6">
        <v>0.33878955898021507</v>
      </c>
      <c r="I163" s="90">
        <v>0.39857709671413938</v>
      </c>
      <c r="J163" s="90">
        <v>0.44620049926069405</v>
      </c>
      <c r="K163" s="90">
        <v>0.82647975811328356</v>
      </c>
      <c r="M163" s="5">
        <v>0.26533333333333331</v>
      </c>
      <c r="N163" s="5">
        <v>3.0825000000000002E-3</v>
      </c>
      <c r="O163" s="5">
        <v>0.51</v>
      </c>
      <c r="P163" s="5">
        <v>0.23749999999999982</v>
      </c>
      <c r="Q163" s="5">
        <v>0.98199999999999998</v>
      </c>
      <c r="R163" s="5">
        <v>0.87</v>
      </c>
      <c r="T163" s="5">
        <v>0.62008333333333332</v>
      </c>
      <c r="U163" s="5">
        <v>0.61919999999999997</v>
      </c>
      <c r="V163" s="5">
        <v>0.99721074380165287</v>
      </c>
      <c r="W163" s="5">
        <v>0.24</v>
      </c>
      <c r="X163" s="5">
        <v>0.20515307803666172</v>
      </c>
      <c r="Y163" s="5">
        <v>0.84000000000000008</v>
      </c>
      <c r="AA163" s="5">
        <v>0.20833333333333315</v>
      </c>
      <c r="AB163" s="5">
        <v>0.98575999999999997</v>
      </c>
      <c r="AC163" s="5">
        <v>0.74166780487804873</v>
      </c>
      <c r="AD163" s="5">
        <v>1</v>
      </c>
      <c r="AE163" s="5">
        <v>0.20381543185554865</v>
      </c>
      <c r="AF163" s="5">
        <v>1</v>
      </c>
      <c r="AH163" s="5">
        <v>4.5999999999999999E-2</v>
      </c>
      <c r="AI163" s="5">
        <v>9.6793483454035711E-2</v>
      </c>
      <c r="AJ163" s="5">
        <v>0.94899999999999995</v>
      </c>
      <c r="AK163" s="5">
        <v>0</v>
      </c>
      <c r="AL163" s="5">
        <v>2.0943870427254957E-2</v>
      </c>
      <c r="AM163" s="5">
        <v>0.92</v>
      </c>
    </row>
    <row r="164" spans="1:39">
      <c r="A164" s="82">
        <f t="shared" si="22"/>
        <v>3</v>
      </c>
      <c r="B164" s="16" t="s">
        <v>315</v>
      </c>
      <c r="C164" s="15" t="s">
        <v>316</v>
      </c>
      <c r="D164" s="17">
        <v>0.26520973564306144</v>
      </c>
      <c r="E164" s="4">
        <v>0.12445833333333334</v>
      </c>
      <c r="F164" s="4">
        <v>0.43167616277872578</v>
      </c>
      <c r="G164" s="6">
        <v>0.28522252444563817</v>
      </c>
      <c r="H164" s="6">
        <v>0.2194819220145485</v>
      </c>
      <c r="I164" s="90">
        <v>0.29597855296359499</v>
      </c>
      <c r="J164" s="90">
        <v>0.28939683689858792</v>
      </c>
      <c r="K164" s="90">
        <v>0.18277585777897146</v>
      </c>
      <c r="M164" s="5">
        <v>0.57925000000000004</v>
      </c>
      <c r="N164" s="5">
        <v>0</v>
      </c>
      <c r="O164" s="5">
        <v>0</v>
      </c>
      <c r="P164" s="5">
        <v>0.16749999999999998</v>
      </c>
      <c r="Q164" s="5">
        <v>0</v>
      </c>
      <c r="R164" s="5">
        <v>0</v>
      </c>
      <c r="T164" s="5">
        <v>0.49116666666666664</v>
      </c>
      <c r="U164" s="5">
        <v>0</v>
      </c>
      <c r="V164" s="5">
        <v>1</v>
      </c>
      <c r="W164" s="5">
        <v>7.8890310005688288E-2</v>
      </c>
      <c r="X164" s="5">
        <v>1</v>
      </c>
      <c r="Y164" s="5">
        <v>0.02</v>
      </c>
      <c r="AA164" s="5">
        <v>0.8500000000000002</v>
      </c>
      <c r="AB164" s="5">
        <v>0.45467999999999997</v>
      </c>
      <c r="AC164" s="5">
        <v>7.4146341463414589E-2</v>
      </c>
      <c r="AD164" s="5">
        <v>0.33</v>
      </c>
      <c r="AE164" s="5">
        <v>0</v>
      </c>
      <c r="AF164" s="5">
        <v>2.5088052104141599E-3</v>
      </c>
      <c r="AH164" s="5">
        <v>0.16699999999999998</v>
      </c>
      <c r="AI164" s="5">
        <v>0.149891532087291</v>
      </c>
      <c r="AJ164" s="5">
        <v>0</v>
      </c>
      <c r="AK164" s="5">
        <v>1</v>
      </c>
      <c r="AL164" s="5">
        <v>0</v>
      </c>
      <c r="AM164" s="5">
        <v>0</v>
      </c>
    </row>
    <row r="165" spans="1:39">
      <c r="A165" s="82">
        <f t="shared" si="22"/>
        <v>3</v>
      </c>
      <c r="B165" s="16" t="s">
        <v>317</v>
      </c>
      <c r="C165" s="15" t="s">
        <v>318</v>
      </c>
      <c r="D165" s="17">
        <v>0.19677798802130228</v>
      </c>
      <c r="E165" s="4">
        <v>0.18569183854513194</v>
      </c>
      <c r="F165" s="4">
        <v>0.32252135957774042</v>
      </c>
      <c r="G165" s="6">
        <v>0.12261263268702761</v>
      </c>
      <c r="H165" s="6">
        <v>0.15628612127530919</v>
      </c>
      <c r="I165" s="90">
        <v>0.23985891250489974</v>
      </c>
      <c r="J165" s="90">
        <v>0.2038566110522263</v>
      </c>
      <c r="K165" s="90">
        <v>0.12153866674952025</v>
      </c>
      <c r="M165" s="5">
        <v>0.47299999999999998</v>
      </c>
      <c r="N165" s="5">
        <v>2.3373253493013973E-2</v>
      </c>
      <c r="O165" s="5">
        <v>0</v>
      </c>
      <c r="P165" s="5">
        <v>0.61777777777777765</v>
      </c>
      <c r="Q165" s="5">
        <v>0</v>
      </c>
      <c r="R165" s="5">
        <v>0</v>
      </c>
      <c r="T165" s="5">
        <v>0.23600000000000002</v>
      </c>
      <c r="U165" s="5">
        <v>0.43302362697122954</v>
      </c>
      <c r="V165" s="5">
        <v>0.52555354558618195</v>
      </c>
      <c r="W165" s="5">
        <v>0.56000000000000005</v>
      </c>
      <c r="X165" s="5">
        <v>0.18055098490903107</v>
      </c>
      <c r="Y165" s="5">
        <v>0</v>
      </c>
      <c r="AA165" s="5">
        <v>7.5000000000000067E-2</v>
      </c>
      <c r="AB165" s="5">
        <v>0.35360000000000003</v>
      </c>
      <c r="AC165" s="5">
        <v>0.20180487804878022</v>
      </c>
      <c r="AD165" s="5">
        <v>0.103397341211226</v>
      </c>
      <c r="AE165" s="5">
        <v>0</v>
      </c>
      <c r="AF165" s="5">
        <v>1.8735768621593585E-3</v>
      </c>
      <c r="AH165" s="5">
        <v>0</v>
      </c>
      <c r="AI165" s="5">
        <v>0</v>
      </c>
      <c r="AJ165" s="5">
        <v>0</v>
      </c>
      <c r="AK165" s="5">
        <v>0.71446162188973072</v>
      </c>
      <c r="AL165" s="5">
        <v>9.355509355509356E-2</v>
      </c>
      <c r="AM165" s="5">
        <v>0.12970001220703098</v>
      </c>
    </row>
    <row r="166" spans="1:39">
      <c r="A166" s="82">
        <f t="shared" si="22"/>
        <v>3</v>
      </c>
      <c r="B166" s="16" t="s">
        <v>319</v>
      </c>
      <c r="C166" s="15" t="s">
        <v>320</v>
      </c>
      <c r="D166" s="17">
        <v>0.18692232431049996</v>
      </c>
      <c r="E166" s="4">
        <v>0.19171561479505864</v>
      </c>
      <c r="F166" s="4">
        <v>0.35826299172903098</v>
      </c>
      <c r="G166" s="6">
        <v>8.8300514767343574E-2</v>
      </c>
      <c r="H166" s="6">
        <v>0.10941017595056672</v>
      </c>
      <c r="I166" s="90">
        <v>0.20315245564575637</v>
      </c>
      <c r="J166" s="90">
        <v>0.22167486989483279</v>
      </c>
      <c r="K166" s="90">
        <v>0.11044830893111612</v>
      </c>
      <c r="M166" s="5">
        <v>0.52233333333333332</v>
      </c>
      <c r="N166" s="5">
        <v>2.9557577659240667E-2</v>
      </c>
      <c r="O166" s="5">
        <v>1.0000000000000009E-2</v>
      </c>
      <c r="P166" s="5">
        <v>0.58840277777777794</v>
      </c>
      <c r="Q166" s="5">
        <v>0</v>
      </c>
      <c r="R166" s="5">
        <v>0</v>
      </c>
      <c r="T166" s="5">
        <v>0.28591666666666671</v>
      </c>
      <c r="U166" s="5">
        <v>0.51677075538323669</v>
      </c>
      <c r="V166" s="5">
        <v>0.52606872576694896</v>
      </c>
      <c r="W166" s="5">
        <v>0.27681736224971637</v>
      </c>
      <c r="X166" s="5">
        <v>0.54400444030761719</v>
      </c>
      <c r="Y166" s="5">
        <v>0</v>
      </c>
      <c r="AA166" s="5">
        <v>6.6666666666666541E-2</v>
      </c>
      <c r="AB166" s="5">
        <v>0.24828000000000006</v>
      </c>
      <c r="AC166" s="5">
        <v>0.12058536585365853</v>
      </c>
      <c r="AD166" s="5">
        <v>8.8235294117647065E-2</v>
      </c>
      <c r="AE166" s="5">
        <v>0</v>
      </c>
      <c r="AF166" s="5">
        <v>6.0357619660892422E-3</v>
      </c>
      <c r="AH166" s="5">
        <v>0</v>
      </c>
      <c r="AI166" s="5">
        <v>1.4871545756063545E-2</v>
      </c>
      <c r="AJ166" s="5">
        <v>0</v>
      </c>
      <c r="AK166" s="5">
        <v>0.64158950994733677</v>
      </c>
      <c r="AL166" s="5">
        <v>0</v>
      </c>
      <c r="AM166" s="5">
        <v>0</v>
      </c>
    </row>
    <row r="167" spans="1:39">
      <c r="A167" s="82">
        <f t="shared" si="22"/>
        <v>3</v>
      </c>
      <c r="B167" s="16" t="s">
        <v>321</v>
      </c>
      <c r="C167" s="15" t="s">
        <v>322</v>
      </c>
      <c r="D167" s="17">
        <v>0.46550223280217318</v>
      </c>
      <c r="E167" s="4">
        <v>0.25510416666666669</v>
      </c>
      <c r="F167" s="4">
        <v>0.75315868762487526</v>
      </c>
      <c r="G167" s="6">
        <v>0.47903404610109174</v>
      </c>
      <c r="H167" s="6">
        <v>0.37471203081605897</v>
      </c>
      <c r="I167" s="90">
        <v>0.38628021983693361</v>
      </c>
      <c r="J167" s="90">
        <v>0.46820450214724096</v>
      </c>
      <c r="K167" s="90">
        <v>0.58028184823243067</v>
      </c>
      <c r="M167" s="5">
        <v>0.36191666666666678</v>
      </c>
      <c r="N167" s="5">
        <v>0</v>
      </c>
      <c r="O167" s="5">
        <v>0.31000000000000005</v>
      </c>
      <c r="P167" s="5">
        <v>9.2708333333333282E-2</v>
      </c>
      <c r="Q167" s="5">
        <v>5.6000000000000001E-2</v>
      </c>
      <c r="R167" s="5">
        <v>0.71</v>
      </c>
      <c r="T167" s="5">
        <v>0.44466666666666665</v>
      </c>
      <c r="U167" s="5">
        <v>0.81720000000000004</v>
      </c>
      <c r="V167" s="5">
        <v>0.98787878787878791</v>
      </c>
      <c r="W167" s="5">
        <v>0.2692066712037976</v>
      </c>
      <c r="X167" s="5">
        <v>1</v>
      </c>
      <c r="Y167" s="5">
        <v>1</v>
      </c>
      <c r="AA167" s="5">
        <v>0.76666666666666661</v>
      </c>
      <c r="AB167" s="5">
        <v>0.87656000000000001</v>
      </c>
      <c r="AC167" s="5">
        <v>0.36651170731707305</v>
      </c>
      <c r="AD167" s="5">
        <v>0.46335697399527187</v>
      </c>
      <c r="AE167" s="5">
        <v>0.29380833442881554</v>
      </c>
      <c r="AF167" s="5">
        <v>0.10730059419872325</v>
      </c>
      <c r="AH167" s="5">
        <v>0.222</v>
      </c>
      <c r="AI167" s="5">
        <v>0.19467218546855819</v>
      </c>
      <c r="AJ167" s="5">
        <v>0.85599999999999998</v>
      </c>
      <c r="AK167" s="5">
        <v>0</v>
      </c>
      <c r="AL167" s="5">
        <v>0</v>
      </c>
      <c r="AM167" s="5">
        <v>0.97559999942779541</v>
      </c>
    </row>
    <row r="168" spans="1:39">
      <c r="A168" s="82">
        <f t="shared" si="22"/>
        <v>5</v>
      </c>
      <c r="B168" s="16" t="s">
        <v>323</v>
      </c>
      <c r="C168" s="15" t="s">
        <v>324</v>
      </c>
      <c r="D168" s="17" t="e">
        <v>#N/A</v>
      </c>
      <c r="E168" s="4">
        <v>0.48488766061980343</v>
      </c>
      <c r="F168" s="4">
        <v>0.67121062060096681</v>
      </c>
      <c r="G168" s="6" t="e">
        <v>#N/A</v>
      </c>
      <c r="H168" s="6">
        <v>0.22707538129381341</v>
      </c>
      <c r="I168" s="90">
        <v>0.32817960663305995</v>
      </c>
      <c r="J168" s="90">
        <v>0.54579239532819857</v>
      </c>
      <c r="K168" s="90">
        <v>0.8581007388389672</v>
      </c>
      <c r="M168" s="5">
        <v>0.37608333333333333</v>
      </c>
      <c r="N168" s="5">
        <v>0.22435374149659865</v>
      </c>
      <c r="O168" s="5">
        <v>0.7</v>
      </c>
      <c r="P168" s="5">
        <v>0.24888888888888894</v>
      </c>
      <c r="Q168" s="5">
        <v>0.59</v>
      </c>
      <c r="R168" s="5">
        <v>0.77</v>
      </c>
      <c r="T168" s="5">
        <v>0.39683333333333337</v>
      </c>
      <c r="U168" s="5">
        <v>0.63039999999999996</v>
      </c>
      <c r="V168" s="5">
        <v>0.97995614035087719</v>
      </c>
      <c r="W168" s="5">
        <v>2.007424992158981E-2</v>
      </c>
      <c r="X168" s="5">
        <v>1</v>
      </c>
      <c r="Y168" s="5">
        <v>1</v>
      </c>
      <c r="AA168" s="5">
        <v>0.7833333333333331</v>
      </c>
      <c r="AB168" s="5">
        <v>0.98980000000000001</v>
      </c>
      <c r="AC168" s="5">
        <v>0.69864829268292672</v>
      </c>
      <c r="AD168" s="5">
        <v>0.77392218717139849</v>
      </c>
      <c r="AE168" s="5" t="e">
        <v>#N/A</v>
      </c>
      <c r="AF168" s="5">
        <v>1</v>
      </c>
      <c r="AH168" s="5" t="e">
        <v>#N/A</v>
      </c>
      <c r="AI168" s="5">
        <v>4.9785423036339239E-2</v>
      </c>
      <c r="AJ168" s="5">
        <v>0</v>
      </c>
      <c r="AK168" s="5">
        <v>0</v>
      </c>
      <c r="AL168" s="5">
        <v>2.6301527082602735E-2</v>
      </c>
      <c r="AM168" s="5">
        <v>0.88199999809265095</v>
      </c>
    </row>
    <row r="169" spans="1:39">
      <c r="A169" s="82">
        <f t="shared" si="22"/>
        <v>3</v>
      </c>
      <c r="B169" s="16" t="s">
        <v>325</v>
      </c>
      <c r="C169" s="15" t="s">
        <v>326</v>
      </c>
      <c r="D169" s="17">
        <v>0.36042694799771718</v>
      </c>
      <c r="E169" s="4">
        <v>0.27435231481481481</v>
      </c>
      <c r="F169" s="4">
        <v>0.48511423041358098</v>
      </c>
      <c r="G169" s="6">
        <v>0.49757312915194141</v>
      </c>
      <c r="H169" s="6">
        <v>0.18466811761053167</v>
      </c>
      <c r="I169" s="90">
        <v>0.42466393753262521</v>
      </c>
      <c r="J169" s="90">
        <v>0.27305284186469575</v>
      </c>
      <c r="K169" s="90">
        <v>0.39513262289488754</v>
      </c>
      <c r="M169" s="5">
        <v>0.65808333333333335</v>
      </c>
      <c r="N169" s="5">
        <v>0.24960000000000002</v>
      </c>
      <c r="O169" s="5">
        <v>8.9999999999999969E-2</v>
      </c>
      <c r="P169" s="5">
        <v>0.34909722222222228</v>
      </c>
      <c r="Q169" s="5">
        <v>6.933333333333333E-2</v>
      </c>
      <c r="R169" s="5">
        <v>0.22999999999999998</v>
      </c>
      <c r="T169" s="5">
        <v>0.62974999999999992</v>
      </c>
      <c r="U169" s="5">
        <v>0.38780275201920511</v>
      </c>
      <c r="V169" s="5">
        <v>0.845522717178814</v>
      </c>
      <c r="W169" s="5">
        <v>0.50618494882404419</v>
      </c>
      <c r="X169" s="5">
        <v>0.25142496445942292</v>
      </c>
      <c r="Y169" s="5">
        <v>0.28999999999999998</v>
      </c>
      <c r="AA169" s="5">
        <v>0.40833333333333333</v>
      </c>
      <c r="AB169" s="5">
        <v>0.64280000000000004</v>
      </c>
      <c r="AC169" s="5">
        <v>0.66750731707317057</v>
      </c>
      <c r="AD169" s="5">
        <v>1</v>
      </c>
      <c r="AE169" s="5">
        <v>1.9032421387803606E-2</v>
      </c>
      <c r="AF169" s="5">
        <v>0.24776570311734111</v>
      </c>
      <c r="AH169" s="5">
        <v>2E-3</v>
      </c>
      <c r="AI169" s="5">
        <v>1.0482097953101517E-2</v>
      </c>
      <c r="AJ169" s="5">
        <v>0.25</v>
      </c>
      <c r="AK169" s="5">
        <v>0</v>
      </c>
      <c r="AL169" s="5">
        <v>1.8526600080693637E-2</v>
      </c>
      <c r="AM169" s="5">
        <v>0.82700000762939496</v>
      </c>
    </row>
    <row r="170" spans="1:39">
      <c r="A170" s="82">
        <f t="shared" ref="A170:A201" si="23">27-COUNT(M170:AM170)</f>
        <v>3</v>
      </c>
      <c r="B170" s="16" t="s">
        <v>327</v>
      </c>
      <c r="C170" s="15" t="s">
        <v>328</v>
      </c>
      <c r="D170" s="17">
        <v>0.19659199020628376</v>
      </c>
      <c r="E170" s="4">
        <v>0.26295977619996674</v>
      </c>
      <c r="F170" s="4">
        <v>0.25674596326320892</v>
      </c>
      <c r="G170" s="6">
        <v>0.11632046538627462</v>
      </c>
      <c r="H170" s="6">
        <v>0.15034175597568483</v>
      </c>
      <c r="I170" s="90">
        <v>0.23099845128296156</v>
      </c>
      <c r="J170" s="90">
        <v>0.24944243624020956</v>
      </c>
      <c r="K170" s="90">
        <v>6.5706629540378522E-2</v>
      </c>
      <c r="M170" s="5">
        <v>0.75175000000000003</v>
      </c>
      <c r="N170" s="5">
        <v>0.32816143497757849</v>
      </c>
      <c r="O170" s="5">
        <v>0</v>
      </c>
      <c r="P170" s="5">
        <v>0.49784722222222222</v>
      </c>
      <c r="Q170" s="5">
        <v>0</v>
      </c>
      <c r="R170" s="5">
        <v>0</v>
      </c>
      <c r="T170" s="5">
        <v>0.29008333333333336</v>
      </c>
      <c r="U170" s="5">
        <v>0.22881029609897222</v>
      </c>
      <c r="V170" s="5">
        <v>0.32258666666666669</v>
      </c>
      <c r="W170" s="5">
        <v>0.32499902918712881</v>
      </c>
      <c r="X170" s="5">
        <v>0.37399645429315237</v>
      </c>
      <c r="Y170" s="5">
        <v>0</v>
      </c>
      <c r="AA170" s="5">
        <v>6.6666666666666541E-2</v>
      </c>
      <c r="AB170" s="5">
        <v>0.43899999999999995</v>
      </c>
      <c r="AC170" s="5">
        <v>6.9463414634146292E-2</v>
      </c>
      <c r="AD170" s="5">
        <v>0.12060301507537688</v>
      </c>
      <c r="AE170" s="5">
        <v>0</v>
      </c>
      <c r="AF170" s="5">
        <v>2.1896959414581568E-3</v>
      </c>
      <c r="AH170" s="5">
        <v>9.0000000000000011E-3</v>
      </c>
      <c r="AI170" s="5">
        <v>7.7373712561670305E-2</v>
      </c>
      <c r="AJ170" s="5">
        <v>0</v>
      </c>
      <c r="AK170" s="5">
        <v>0.78764002823051227</v>
      </c>
      <c r="AL170" s="5">
        <v>1.803679506192633E-2</v>
      </c>
      <c r="AM170" s="5">
        <v>1.0000000000000009E-2</v>
      </c>
    </row>
    <row r="171" spans="1:39">
      <c r="A171" s="82">
        <f t="shared" si="23"/>
        <v>3</v>
      </c>
      <c r="B171" s="16" t="s">
        <v>329</v>
      </c>
      <c r="C171" s="15" t="s">
        <v>330</v>
      </c>
      <c r="D171" s="17">
        <v>0.30421607134175332</v>
      </c>
      <c r="E171" s="4">
        <v>0.16978682659932662</v>
      </c>
      <c r="F171" s="4">
        <v>0.54622709576560524</v>
      </c>
      <c r="G171" s="6">
        <v>0.22114914221866477</v>
      </c>
      <c r="H171" s="6">
        <v>0.27970122078341658</v>
      </c>
      <c r="I171" s="90">
        <v>0.25341777778000407</v>
      </c>
      <c r="J171" s="90">
        <v>0.37095315055210759</v>
      </c>
      <c r="K171" s="90">
        <v>0.28030789286884567</v>
      </c>
      <c r="M171" s="5">
        <v>0.41091666666666671</v>
      </c>
      <c r="N171" s="5">
        <v>0.24640151515151515</v>
      </c>
      <c r="O171" s="5">
        <v>9.9999999999999978E-2</v>
      </c>
      <c r="P171" s="5">
        <v>0.14340277777777777</v>
      </c>
      <c r="Q171" s="5">
        <v>2.8000000000000001E-2</v>
      </c>
      <c r="R171" s="5">
        <v>8.9999999999999969E-2</v>
      </c>
      <c r="T171" s="5">
        <v>0.4453333333333333</v>
      </c>
      <c r="U171" s="5">
        <v>0.84899999999999987</v>
      </c>
      <c r="V171" s="5">
        <v>0.25438047763516147</v>
      </c>
      <c r="W171" s="5">
        <v>0.35277868820109798</v>
      </c>
      <c r="X171" s="5">
        <v>0.37587007542403883</v>
      </c>
      <c r="Y171" s="5">
        <v>1</v>
      </c>
      <c r="AA171" s="5">
        <v>7.5000000000000067E-2</v>
      </c>
      <c r="AB171" s="5">
        <v>0.82591999999999999</v>
      </c>
      <c r="AC171" s="5">
        <v>0.21482731707317049</v>
      </c>
      <c r="AD171" s="5">
        <v>0.16898395721925133</v>
      </c>
      <c r="AE171" s="5">
        <v>1.9524016514824789E-2</v>
      </c>
      <c r="AF171" s="5">
        <v>2.2639562504742E-2</v>
      </c>
      <c r="AH171" s="5">
        <v>7.9000000000000001E-2</v>
      </c>
      <c r="AI171" s="5">
        <v>0.11790965206905284</v>
      </c>
      <c r="AJ171" s="5">
        <v>0.2340000000000001</v>
      </c>
      <c r="AK171" s="5">
        <v>0.68595309580953701</v>
      </c>
      <c r="AL171" s="5">
        <v>0.37134457682190936</v>
      </c>
      <c r="AM171" s="5">
        <v>0.18999999999999995</v>
      </c>
    </row>
    <row r="172" spans="1:39">
      <c r="A172" s="82">
        <f t="shared" si="23"/>
        <v>3</v>
      </c>
      <c r="B172" s="16" t="s">
        <v>331</v>
      </c>
      <c r="C172" s="15" t="s">
        <v>332</v>
      </c>
      <c r="D172" s="17">
        <v>0.45822704737947578</v>
      </c>
      <c r="E172" s="4">
        <v>0.396531492248062</v>
      </c>
      <c r="F172" s="4">
        <v>0.6172508837167221</v>
      </c>
      <c r="G172" s="6">
        <v>0.59644179658998064</v>
      </c>
      <c r="H172" s="6">
        <v>0.22268401696313833</v>
      </c>
      <c r="I172" s="90">
        <v>0.39474245527120999</v>
      </c>
      <c r="J172" s="90">
        <v>0.34770668409441641</v>
      </c>
      <c r="K172" s="90">
        <v>0.71923448046946348</v>
      </c>
      <c r="M172" s="5">
        <v>0.17275000000000007</v>
      </c>
      <c r="N172" s="5">
        <v>0.57581395348837205</v>
      </c>
      <c r="O172" s="5">
        <v>0.43000000000000005</v>
      </c>
      <c r="P172" s="5">
        <v>0.37062499999999998</v>
      </c>
      <c r="Q172" s="5">
        <v>0.17</v>
      </c>
      <c r="R172" s="5">
        <v>0.65999999999999992</v>
      </c>
      <c r="T172" s="5">
        <v>0.94450000000000001</v>
      </c>
      <c r="U172" s="5">
        <v>0.55679999999999996</v>
      </c>
      <c r="V172" s="5">
        <v>0.97343946275003179</v>
      </c>
      <c r="W172" s="5">
        <v>5.7658906672445942E-2</v>
      </c>
      <c r="X172" s="5">
        <v>0.23110693287785516</v>
      </c>
      <c r="Y172" s="5">
        <v>0.94000000000000006</v>
      </c>
      <c r="AA172" s="5">
        <v>0.7833333333333331</v>
      </c>
      <c r="AB172" s="5">
        <v>0.92159999999999997</v>
      </c>
      <c r="AC172" s="5">
        <v>0.53033073170731693</v>
      </c>
      <c r="AD172" s="5">
        <v>0.53023909985935302</v>
      </c>
      <c r="AE172" s="5">
        <v>3.1510926280448187E-2</v>
      </c>
      <c r="AF172" s="5">
        <v>0.78163668835943212</v>
      </c>
      <c r="AH172" s="5">
        <v>0</v>
      </c>
      <c r="AI172" s="5">
        <v>5.5283365736773201E-3</v>
      </c>
      <c r="AJ172" s="5">
        <v>0.68599999999999994</v>
      </c>
      <c r="AK172" s="5">
        <v>0</v>
      </c>
      <c r="AL172" s="5">
        <v>7.575757575757576E-3</v>
      </c>
      <c r="AM172" s="5">
        <v>0.63700000762939502</v>
      </c>
    </row>
    <row r="173" spans="1:39">
      <c r="A173" s="82">
        <f t="shared" si="23"/>
        <v>3</v>
      </c>
      <c r="B173" s="16" t="s">
        <v>333</v>
      </c>
      <c r="C173" s="15" t="s">
        <v>334</v>
      </c>
      <c r="D173" s="17">
        <v>0.30393625164314653</v>
      </c>
      <c r="E173" s="4">
        <v>0.21901020795385548</v>
      </c>
      <c r="F173" s="4">
        <v>0.25909040268389871</v>
      </c>
      <c r="G173" s="6">
        <v>0.31763328217765502</v>
      </c>
      <c r="H173" s="6">
        <v>0.42001111375717687</v>
      </c>
      <c r="I173" s="90">
        <v>0.30787050553360656</v>
      </c>
      <c r="J173" s="90">
        <v>0.40895029926331339</v>
      </c>
      <c r="K173" s="90">
        <v>0.14051379937720607</v>
      </c>
      <c r="M173" s="5">
        <v>0.73524999999999996</v>
      </c>
      <c r="N173" s="5">
        <v>5.4918032786885253E-3</v>
      </c>
      <c r="O173" s="5">
        <v>6.9999999999999951E-2</v>
      </c>
      <c r="P173" s="5">
        <v>0.31465277777777778</v>
      </c>
      <c r="Q173" s="5">
        <v>2.8666666666666667E-2</v>
      </c>
      <c r="R173" s="5">
        <v>0.16000000000000003</v>
      </c>
      <c r="T173" s="5">
        <v>0.52233333333333332</v>
      </c>
      <c r="U173" s="5">
        <v>0.24739999999999984</v>
      </c>
      <c r="V173" s="5">
        <v>0.15544217687074835</v>
      </c>
      <c r="W173" s="5">
        <v>0.28450690155836</v>
      </c>
      <c r="X173" s="5">
        <v>0.26486000434095069</v>
      </c>
      <c r="Y173" s="5">
        <v>0.08</v>
      </c>
      <c r="AA173" s="5">
        <v>0.31666666666666676</v>
      </c>
      <c r="AB173" s="5">
        <v>0.85240000000000005</v>
      </c>
      <c r="AC173" s="5">
        <v>0.31556634146341456</v>
      </c>
      <c r="AD173" s="5">
        <v>0.32642487046632124</v>
      </c>
      <c r="AE173" s="5">
        <v>3.2667536540454199E-2</v>
      </c>
      <c r="AF173" s="5">
        <v>6.2074277929073475E-2</v>
      </c>
      <c r="AH173" s="5">
        <v>5.7000000000000002E-2</v>
      </c>
      <c r="AI173" s="5">
        <v>0.76156668254306115</v>
      </c>
      <c r="AJ173" s="5">
        <v>0.21400000000000008</v>
      </c>
      <c r="AK173" s="5">
        <v>0.75</v>
      </c>
      <c r="AL173" s="5">
        <v>0</v>
      </c>
      <c r="AM173" s="5">
        <v>0.73750000000000004</v>
      </c>
    </row>
    <row r="174" spans="1:39">
      <c r="A174" s="82">
        <f t="shared" si="23"/>
        <v>3</v>
      </c>
      <c r="B174" s="16" t="s">
        <v>335</v>
      </c>
      <c r="C174" s="15" t="s">
        <v>336</v>
      </c>
      <c r="D174" s="17">
        <v>0.44767919067203449</v>
      </c>
      <c r="E174" s="4">
        <v>0.3321297066190359</v>
      </c>
      <c r="F174" s="4">
        <v>0.57272148896361419</v>
      </c>
      <c r="G174" s="6">
        <v>0.52081401633639091</v>
      </c>
      <c r="H174" s="6">
        <v>0.36505155076909696</v>
      </c>
      <c r="I174" s="90">
        <v>0.42511634294531925</v>
      </c>
      <c r="J174" s="90">
        <v>0.44206051481925512</v>
      </c>
      <c r="K174" s="90">
        <v>0.4899514760412762</v>
      </c>
      <c r="M174" s="5">
        <v>0.54491666666666672</v>
      </c>
      <c r="N174" s="5">
        <v>0.23104212860310422</v>
      </c>
      <c r="O174" s="5">
        <v>0.31000000000000005</v>
      </c>
      <c r="P174" s="5">
        <v>0.28881944444444452</v>
      </c>
      <c r="Q174" s="5">
        <v>0.16800000000000001</v>
      </c>
      <c r="R174" s="5">
        <v>0.44999999999999996</v>
      </c>
      <c r="T174" s="5">
        <v>0.69216666666666671</v>
      </c>
      <c r="U174" s="5">
        <v>0.74779999999999991</v>
      </c>
      <c r="V174" s="5">
        <v>0.85486891385767794</v>
      </c>
      <c r="W174" s="5">
        <v>0.10160167307118052</v>
      </c>
      <c r="X174" s="5">
        <v>0.81989168018615932</v>
      </c>
      <c r="Y174" s="5">
        <v>0.22000000000000003</v>
      </c>
      <c r="AA174" s="5">
        <v>0.40833333333333333</v>
      </c>
      <c r="AB174" s="5">
        <v>0.48960000000000004</v>
      </c>
      <c r="AC174" s="5">
        <v>0.77357073170731694</v>
      </c>
      <c r="AD174" s="5">
        <v>1</v>
      </c>
      <c r="AE174" s="5">
        <v>0.12211082229503256</v>
      </c>
      <c r="AF174" s="5">
        <v>0.33126921068266224</v>
      </c>
      <c r="AH174" s="5">
        <v>0</v>
      </c>
      <c r="AI174" s="5">
        <v>0</v>
      </c>
      <c r="AJ174" s="5">
        <v>0.70300000000000007</v>
      </c>
      <c r="AK174" s="5">
        <v>0.7</v>
      </c>
      <c r="AL174" s="5">
        <v>8.7209302325581384E-2</v>
      </c>
      <c r="AM174" s="5">
        <v>0.70010000228900005</v>
      </c>
    </row>
    <row r="175" spans="1:39">
      <c r="A175" s="82">
        <f t="shared" si="23"/>
        <v>3</v>
      </c>
      <c r="B175" s="16" t="s">
        <v>337</v>
      </c>
      <c r="C175" s="15" t="s">
        <v>338</v>
      </c>
      <c r="D175" s="17">
        <v>0.15835569196250432</v>
      </c>
      <c r="E175" s="4">
        <v>0.157713601532567</v>
      </c>
      <c r="F175" s="4">
        <v>0.18371008592577132</v>
      </c>
      <c r="G175" s="6">
        <v>3.9898522716270993E-2</v>
      </c>
      <c r="H175" s="6">
        <v>0.25210055767540801</v>
      </c>
      <c r="I175" s="90">
        <v>0.18365560230168532</v>
      </c>
      <c r="J175" s="90">
        <v>0.20103903797411846</v>
      </c>
      <c r="K175" s="90">
        <v>5.6380807436311679E-2</v>
      </c>
      <c r="M175" s="5">
        <v>0.28458333333333341</v>
      </c>
      <c r="N175" s="5">
        <v>1.5448275862068966E-2</v>
      </c>
      <c r="O175" s="5">
        <v>0</v>
      </c>
      <c r="P175" s="5">
        <v>0.64624999999999955</v>
      </c>
      <c r="Q175" s="5">
        <v>0</v>
      </c>
      <c r="R175" s="5">
        <v>0</v>
      </c>
      <c r="T175" s="5">
        <v>1.5499999999999995E-2</v>
      </c>
      <c r="U175" s="5">
        <v>0.15362835432733946</v>
      </c>
      <c r="V175" s="5">
        <v>0.26312135059666675</v>
      </c>
      <c r="W175" s="5">
        <v>0.52633944510541208</v>
      </c>
      <c r="X175" s="5">
        <v>0.14367136552520965</v>
      </c>
      <c r="Y175" s="5">
        <v>0</v>
      </c>
      <c r="AA175" s="5">
        <v>6.6666666666666541E-2</v>
      </c>
      <c r="AB175" s="5">
        <v>0</v>
      </c>
      <c r="AC175" s="5">
        <v>7.2975609756097404E-2</v>
      </c>
      <c r="AD175" s="5">
        <v>9.7560975609756101E-2</v>
      </c>
      <c r="AE175" s="5">
        <v>0</v>
      </c>
      <c r="AF175" s="5">
        <v>2.1878842651059231E-3</v>
      </c>
      <c r="AH175" s="5">
        <v>1.6E-2</v>
      </c>
      <c r="AI175" s="5">
        <v>7.1766598898714187E-2</v>
      </c>
      <c r="AJ175" s="5">
        <v>0</v>
      </c>
      <c r="AK175" s="5">
        <v>0.66053674715373401</v>
      </c>
      <c r="AL175" s="5">
        <v>0</v>
      </c>
      <c r="AM175" s="5">
        <v>0.76429999999999998</v>
      </c>
    </row>
    <row r="176" spans="1:39">
      <c r="A176" s="82">
        <f t="shared" si="23"/>
        <v>3</v>
      </c>
      <c r="B176" s="16" t="s">
        <v>339</v>
      </c>
      <c r="C176" s="15" t="s">
        <v>340</v>
      </c>
      <c r="D176" s="17">
        <v>0.14423461885852376</v>
      </c>
      <c r="E176" s="4">
        <v>0.17215024662512982</v>
      </c>
      <c r="F176" s="4">
        <v>0.21922585628438807</v>
      </c>
      <c r="G176" s="6">
        <v>3.6827964313372936E-2</v>
      </c>
      <c r="H176" s="6">
        <v>0.14873440821120426</v>
      </c>
      <c r="I176" s="90">
        <v>0.18293899987410384</v>
      </c>
      <c r="J176" s="90">
        <v>0.18110627990466188</v>
      </c>
      <c r="K176" s="90">
        <v>3.0870555765946533E-2</v>
      </c>
      <c r="M176" s="5">
        <v>0.4388333333333333</v>
      </c>
      <c r="N176" s="5">
        <v>4.885981308411215E-2</v>
      </c>
      <c r="O176" s="5">
        <v>0</v>
      </c>
      <c r="P176" s="5">
        <v>0.54520833333333363</v>
      </c>
      <c r="Q176" s="5">
        <v>0</v>
      </c>
      <c r="R176" s="5">
        <v>0</v>
      </c>
      <c r="T176" s="5">
        <v>0.23600000000000002</v>
      </c>
      <c r="U176" s="5">
        <v>0.26508944333184997</v>
      </c>
      <c r="V176" s="5">
        <v>0.122814107274</v>
      </c>
      <c r="W176" s="5">
        <v>0.15535077364170927</v>
      </c>
      <c r="X176" s="5">
        <v>0.53610081345876914</v>
      </c>
      <c r="Y176" s="5">
        <v>0</v>
      </c>
      <c r="AA176" s="5">
        <v>6.6666666666666541E-2</v>
      </c>
      <c r="AB176" s="5">
        <v>0</v>
      </c>
      <c r="AC176" s="5">
        <v>5.9121951219512137E-2</v>
      </c>
      <c r="AD176" s="5">
        <v>9.1891891891891897E-2</v>
      </c>
      <c r="AE176" s="5">
        <v>0</v>
      </c>
      <c r="AF176" s="5">
        <v>3.287276102167047E-3</v>
      </c>
      <c r="AH176" s="5">
        <v>0</v>
      </c>
      <c r="AI176" s="5">
        <v>0</v>
      </c>
      <c r="AJ176" s="5">
        <v>0</v>
      </c>
      <c r="AK176" s="5">
        <v>0.77990644926722552</v>
      </c>
      <c r="AL176" s="5">
        <v>0.1125</v>
      </c>
      <c r="AM176" s="5">
        <v>0</v>
      </c>
    </row>
    <row r="177" spans="1:39">
      <c r="A177" s="82">
        <f t="shared" si="23"/>
        <v>3</v>
      </c>
      <c r="B177" s="16" t="s">
        <v>341</v>
      </c>
      <c r="C177" s="15" t="s">
        <v>342</v>
      </c>
      <c r="D177" s="17">
        <v>0.25329705667376473</v>
      </c>
      <c r="E177" s="4">
        <v>0.43056382275132282</v>
      </c>
      <c r="F177" s="4">
        <v>0.34039986620982171</v>
      </c>
      <c r="G177" s="6">
        <v>0.21407824041679321</v>
      </c>
      <c r="H177" s="6">
        <v>2.8146297317121084E-2</v>
      </c>
      <c r="I177" s="90">
        <v>0.2645242174468998</v>
      </c>
      <c r="J177" s="90">
        <v>0.29469597651662488</v>
      </c>
      <c r="K177" s="90">
        <v>0.17435793574977179</v>
      </c>
      <c r="M177" s="5">
        <v>0.82941666666666669</v>
      </c>
      <c r="N177" s="5">
        <v>0.99761904761904763</v>
      </c>
      <c r="O177" s="5">
        <v>0.10999999999999999</v>
      </c>
      <c r="P177" s="5">
        <v>0.57034722222222234</v>
      </c>
      <c r="Q177" s="5">
        <v>3.5999999999999997E-2</v>
      </c>
      <c r="R177" s="5">
        <v>4.0000000000000036E-2</v>
      </c>
      <c r="T177" s="5">
        <v>0.54108333333333336</v>
      </c>
      <c r="U177" s="5">
        <v>0.45440000000000053</v>
      </c>
      <c r="V177" s="5">
        <v>0.4635862240192743</v>
      </c>
      <c r="W177" s="5">
        <v>0.13631517924432018</v>
      </c>
      <c r="X177" s="5">
        <v>0.2670144606620018</v>
      </c>
      <c r="Y177" s="5">
        <v>0.18</v>
      </c>
      <c r="AA177" s="5">
        <v>7.5000000000000067E-2</v>
      </c>
      <c r="AB177" s="5">
        <v>0.79120000000000001</v>
      </c>
      <c r="AC177" s="5">
        <v>0.21167024390243849</v>
      </c>
      <c r="AD177" s="5">
        <v>0.15555555555555556</v>
      </c>
      <c r="AE177" s="5">
        <v>1.0152496465847167E-2</v>
      </c>
      <c r="AF177" s="5">
        <v>4.0891146576918037E-2</v>
      </c>
      <c r="AH177" s="5">
        <v>0</v>
      </c>
      <c r="AI177" s="5">
        <v>6.1777839027265611E-3</v>
      </c>
      <c r="AJ177" s="5">
        <v>7.2999999999999954E-2</v>
      </c>
      <c r="AK177" s="5">
        <v>0</v>
      </c>
      <c r="AL177" s="5">
        <v>0</v>
      </c>
      <c r="AM177" s="5">
        <v>8.9700000000000002E-2</v>
      </c>
    </row>
    <row r="178" spans="1:39">
      <c r="A178" s="82">
        <f t="shared" si="23"/>
        <v>3</v>
      </c>
      <c r="B178" s="16" t="s">
        <v>343</v>
      </c>
      <c r="C178" s="15" t="s">
        <v>344</v>
      </c>
      <c r="D178" s="17">
        <v>0.36692946788830683</v>
      </c>
      <c r="E178" s="4">
        <v>0.47402166481249708</v>
      </c>
      <c r="F178" s="4">
        <v>0.51344887321976851</v>
      </c>
      <c r="G178" s="6">
        <v>0.26516578927621554</v>
      </c>
      <c r="H178" s="6">
        <v>0.21508154424474632</v>
      </c>
      <c r="I178" s="90">
        <v>0.29553302935641895</v>
      </c>
      <c r="J178" s="90">
        <v>0.46926506225280051</v>
      </c>
      <c r="K178" s="90">
        <v>0.32052073413939836</v>
      </c>
      <c r="M178" s="5">
        <v>0.59516666666666662</v>
      </c>
      <c r="N178" s="5">
        <v>0.74843554443053817</v>
      </c>
      <c r="O178" s="5">
        <v>0.30000000000000004</v>
      </c>
      <c r="P178" s="5">
        <v>0.77319444444444452</v>
      </c>
      <c r="Q178" s="5">
        <v>0.36733333333333335</v>
      </c>
      <c r="R178" s="5">
        <v>6.0000000000000053E-2</v>
      </c>
      <c r="T178" s="5">
        <v>0.2485</v>
      </c>
      <c r="U178" s="5">
        <v>0.73520000000000008</v>
      </c>
      <c r="V178" s="5">
        <v>0.61473615217429933</v>
      </c>
      <c r="W178" s="5">
        <v>0.37576522629628967</v>
      </c>
      <c r="X178" s="5">
        <v>0.57649186084802195</v>
      </c>
      <c r="Y178" s="5">
        <v>0.53</v>
      </c>
      <c r="AA178" s="5">
        <v>7.5000000000000067E-2</v>
      </c>
      <c r="AB178" s="5">
        <v>0.51708799999999999</v>
      </c>
      <c r="AC178" s="5">
        <v>0.35972731707317052</v>
      </c>
      <c r="AD178" s="5">
        <v>0.46356275303643724</v>
      </c>
      <c r="AE178" s="5">
        <v>0.11695572995876534</v>
      </c>
      <c r="AF178" s="5">
        <v>5.8660935588919993E-2</v>
      </c>
      <c r="AH178" s="5">
        <v>0</v>
      </c>
      <c r="AI178" s="5">
        <v>0</v>
      </c>
      <c r="AJ178" s="5">
        <v>0</v>
      </c>
      <c r="AK178" s="5">
        <v>0.98888106118696728</v>
      </c>
      <c r="AL178" s="5">
        <v>0.12860817376393255</v>
      </c>
      <c r="AM178" s="5">
        <v>0.17300003051757795</v>
      </c>
    </row>
    <row r="179" spans="1:39">
      <c r="A179" s="82">
        <f t="shared" si="23"/>
        <v>3</v>
      </c>
      <c r="B179" s="16" t="s">
        <v>345</v>
      </c>
      <c r="C179" s="15" t="s">
        <v>346</v>
      </c>
      <c r="D179" s="17">
        <v>0.50515264657331549</v>
      </c>
      <c r="E179" s="4">
        <v>0.36725253626951976</v>
      </c>
      <c r="F179" s="4">
        <v>0.49105889009656828</v>
      </c>
      <c r="G179" s="6">
        <v>0.74621750606257164</v>
      </c>
      <c r="H179" s="6">
        <v>0.41608165386460233</v>
      </c>
      <c r="I179" s="90">
        <v>0.41415934268168042</v>
      </c>
      <c r="J179" s="90">
        <v>0.47564326179738781</v>
      </c>
      <c r="K179" s="90">
        <v>0.68590667957465978</v>
      </c>
      <c r="M179" s="5">
        <v>0.4441666666666666</v>
      </c>
      <c r="N179" s="5">
        <v>5.3848550950451858E-2</v>
      </c>
      <c r="O179" s="5">
        <v>0.45999999999999996</v>
      </c>
      <c r="P179" s="5">
        <v>0.27083333333333348</v>
      </c>
      <c r="Q179" s="5">
        <v>0.21466666666666667</v>
      </c>
      <c r="R179" s="5">
        <v>0.76</v>
      </c>
      <c r="T179" s="5">
        <v>0.50224999999999997</v>
      </c>
      <c r="U179" s="5">
        <v>0.74039999999999995</v>
      </c>
      <c r="V179" s="5">
        <v>0.95124788232600732</v>
      </c>
      <c r="W179" s="5">
        <v>0.23723140910853177</v>
      </c>
      <c r="X179" s="5">
        <v>0.14522404914487061</v>
      </c>
      <c r="Y179" s="5">
        <v>0.37</v>
      </c>
      <c r="AA179" s="5">
        <v>0.40833333333333333</v>
      </c>
      <c r="AB179" s="5">
        <v>0.98048000000000002</v>
      </c>
      <c r="AC179" s="5">
        <v>0.5741921951219513</v>
      </c>
      <c r="AD179" s="5">
        <v>0.94960534304796596</v>
      </c>
      <c r="AE179" s="5">
        <v>0.56469416487217972</v>
      </c>
      <c r="AF179" s="5">
        <v>1</v>
      </c>
      <c r="AH179" s="5">
        <v>8.0000000000000002E-3</v>
      </c>
      <c r="AI179" s="5">
        <v>2.2521697348586108E-2</v>
      </c>
      <c r="AJ179" s="5">
        <v>0.88500000000000001</v>
      </c>
      <c r="AK179" s="5">
        <v>0.63275422719373542</v>
      </c>
      <c r="AL179" s="5">
        <v>2.2013998645292392E-2</v>
      </c>
      <c r="AM179" s="5">
        <v>0.92620000000000002</v>
      </c>
    </row>
    <row r="180" spans="1:39">
      <c r="A180" s="82">
        <f t="shared" si="23"/>
        <v>3</v>
      </c>
      <c r="B180" s="16" t="s">
        <v>347</v>
      </c>
      <c r="C180" s="15" t="s">
        <v>348</v>
      </c>
      <c r="D180" s="17">
        <v>0.23283148011502464</v>
      </c>
      <c r="E180" s="4">
        <v>0.16585401466788266</v>
      </c>
      <c r="F180" s="4">
        <v>0.35570418579024504</v>
      </c>
      <c r="G180" s="6">
        <v>0.26907337027256001</v>
      </c>
      <c r="H180" s="6">
        <v>0.14069434972941083</v>
      </c>
      <c r="I180" s="90">
        <v>0.25929044786175931</v>
      </c>
      <c r="J180" s="90">
        <v>0.281389290746201</v>
      </c>
      <c r="K180" s="90">
        <v>0.12030631254815798</v>
      </c>
      <c r="M180" s="5">
        <v>0.53283333333333327</v>
      </c>
      <c r="N180" s="5">
        <v>0.1306657546739626</v>
      </c>
      <c r="O180" s="5">
        <v>2.0000000000000018E-2</v>
      </c>
      <c r="P180" s="5">
        <v>0.23229166666666667</v>
      </c>
      <c r="Q180" s="5">
        <v>3.9333333333333331E-2</v>
      </c>
      <c r="R180" s="5">
        <v>4.0000000000000036E-2</v>
      </c>
      <c r="T180" s="5">
        <v>0.5299166666666667</v>
      </c>
      <c r="U180" s="5">
        <v>0.66339999999999999</v>
      </c>
      <c r="V180" s="5">
        <v>0.28186491228066668</v>
      </c>
      <c r="W180" s="5">
        <v>0.50286765463118388</v>
      </c>
      <c r="X180" s="5">
        <v>0.11617588116295305</v>
      </c>
      <c r="Y180" s="5">
        <v>0.04</v>
      </c>
      <c r="AA180" s="5">
        <v>7.5000000000000067E-2</v>
      </c>
      <c r="AB180" s="5">
        <v>0.86648000000000003</v>
      </c>
      <c r="AC180" s="5">
        <v>0.31892048780487781</v>
      </c>
      <c r="AD180" s="5">
        <v>0.32762312633832974</v>
      </c>
      <c r="AE180" s="5">
        <v>5.3641322887488987E-3</v>
      </c>
      <c r="AF180" s="5">
        <v>2.1052475203403313E-2</v>
      </c>
      <c r="AH180" s="5">
        <v>3.7999999999999999E-2</v>
      </c>
      <c r="AI180" s="5">
        <v>0.26319040322522941</v>
      </c>
      <c r="AJ180" s="5">
        <v>7.0000000000000062E-3</v>
      </c>
      <c r="AK180" s="5">
        <v>0.43289411203158168</v>
      </c>
      <c r="AL180" s="5">
        <v>8.8081583119653931E-2</v>
      </c>
      <c r="AM180" s="5">
        <v>1.5000000000000013E-2</v>
      </c>
    </row>
    <row r="181" spans="1:39">
      <c r="A181" s="82">
        <f t="shared" si="23"/>
        <v>12</v>
      </c>
      <c r="B181" s="16" t="s">
        <v>349</v>
      </c>
      <c r="C181" s="15" t="s">
        <v>350</v>
      </c>
      <c r="D181" s="17" t="e">
        <v>#N/A</v>
      </c>
      <c r="E181" s="4">
        <v>0.34585944444444444</v>
      </c>
      <c r="F181" s="4" t="e">
        <v>#N/A</v>
      </c>
      <c r="G181" s="6" t="e">
        <v>#N/A</v>
      </c>
      <c r="H181" s="6" t="e">
        <v>#N/A</v>
      </c>
      <c r="I181" s="90" t="e">
        <v>#N/A</v>
      </c>
      <c r="J181" s="90" t="e">
        <v>#N/A</v>
      </c>
      <c r="K181" s="90" t="e">
        <v>#N/A</v>
      </c>
      <c r="M181" s="5">
        <v>0.49833333333333329</v>
      </c>
      <c r="N181" s="5">
        <v>0.49999000000000005</v>
      </c>
      <c r="O181" s="5">
        <v>0.31000000000000005</v>
      </c>
      <c r="P181" s="5">
        <v>0.16749999999999998</v>
      </c>
      <c r="Q181" s="5">
        <v>9.9333333333333329E-2</v>
      </c>
      <c r="R181" s="5">
        <v>0.5</v>
      </c>
      <c r="T181" s="5" t="e">
        <v>#N/A</v>
      </c>
      <c r="U181" s="5" t="e">
        <v>#N/A</v>
      </c>
      <c r="V181" s="5">
        <v>1</v>
      </c>
      <c r="W181" s="5">
        <v>4.64361097865452E-2</v>
      </c>
      <c r="X181" s="5">
        <v>0.33292217986095535</v>
      </c>
      <c r="Y181" s="5">
        <v>1</v>
      </c>
      <c r="AA181" s="5">
        <v>0.44999999999999984</v>
      </c>
      <c r="AB181" s="5" t="e">
        <v>#N/A</v>
      </c>
      <c r="AC181" s="5" t="e">
        <v>#N/A</v>
      </c>
      <c r="AD181" s="5">
        <v>0.84170616113744079</v>
      </c>
      <c r="AE181" s="5" t="e">
        <v>#N/A</v>
      </c>
      <c r="AF181" s="5" t="e">
        <v>#N/A</v>
      </c>
      <c r="AH181" s="5" t="e">
        <v>#N/A</v>
      </c>
      <c r="AI181" s="5">
        <v>3.4949750731594682E-2</v>
      </c>
      <c r="AJ181" s="5">
        <v>0.78</v>
      </c>
      <c r="AK181" s="5">
        <v>0.5</v>
      </c>
      <c r="AL181" s="5" t="e">
        <v>#N/A</v>
      </c>
      <c r="AM181" s="5" t="e">
        <v>#N/A</v>
      </c>
    </row>
    <row r="182" spans="1:39">
      <c r="A182" s="82">
        <f t="shared" si="23"/>
        <v>3</v>
      </c>
      <c r="B182" s="16" t="s">
        <v>351</v>
      </c>
      <c r="C182" s="15" t="s">
        <v>352</v>
      </c>
      <c r="D182" s="17">
        <v>0.47581635513515486</v>
      </c>
      <c r="E182" s="4">
        <v>0.34494156273620558</v>
      </c>
      <c r="F182" s="4">
        <v>0.61214253446963174</v>
      </c>
      <c r="G182" s="6">
        <v>0.51244964115048708</v>
      </c>
      <c r="H182" s="6">
        <v>0.4337316821842952</v>
      </c>
      <c r="I182" s="90">
        <v>0.45952352798174334</v>
      </c>
      <c r="J182" s="90">
        <v>0.43055960375499047</v>
      </c>
      <c r="K182" s="90">
        <v>0.56814072293551876</v>
      </c>
      <c r="M182" s="5">
        <v>0.19750000000000001</v>
      </c>
      <c r="N182" s="5">
        <v>1.1496598639455784E-2</v>
      </c>
      <c r="O182" s="5">
        <v>0.4</v>
      </c>
      <c r="P182" s="5">
        <v>0.30131944444444447</v>
      </c>
      <c r="Q182" s="5">
        <v>0.27933333333333332</v>
      </c>
      <c r="R182" s="5">
        <v>0.88</v>
      </c>
      <c r="T182" s="5">
        <v>0.62008333333333332</v>
      </c>
      <c r="U182" s="5">
        <v>0.57299999999999995</v>
      </c>
      <c r="V182" s="5">
        <v>0.99103184281849599</v>
      </c>
      <c r="W182" s="5">
        <v>1</v>
      </c>
      <c r="X182" s="5">
        <v>0.16874003066596116</v>
      </c>
      <c r="Y182" s="5">
        <v>0.32</v>
      </c>
      <c r="AA182" s="5">
        <v>0.20833333333333315</v>
      </c>
      <c r="AB182" s="5">
        <v>0.97628000000000004</v>
      </c>
      <c r="AC182" s="5">
        <v>0.44257658536585365</v>
      </c>
      <c r="AD182" s="5">
        <v>0.8981612446958982</v>
      </c>
      <c r="AE182" s="5">
        <v>0.1741107740790746</v>
      </c>
      <c r="AF182" s="5">
        <v>0.37523590942876361</v>
      </c>
      <c r="AH182" s="5">
        <v>0</v>
      </c>
      <c r="AI182" s="5">
        <v>0.11909779706789045</v>
      </c>
      <c r="AJ182" s="5">
        <v>0.8</v>
      </c>
      <c r="AK182" s="5">
        <v>0.7829779000091992</v>
      </c>
      <c r="AL182" s="5">
        <v>0.11031439602868176</v>
      </c>
      <c r="AM182" s="5">
        <v>0.79</v>
      </c>
    </row>
    <row r="183" spans="1:39">
      <c r="A183" s="82">
        <f t="shared" si="23"/>
        <v>3</v>
      </c>
      <c r="B183" s="16" t="s">
        <v>353</v>
      </c>
      <c r="C183" s="15" t="s">
        <v>354</v>
      </c>
      <c r="D183" s="17">
        <v>0.37209477286403014</v>
      </c>
      <c r="E183" s="4">
        <v>0.18010944444444446</v>
      </c>
      <c r="F183" s="4">
        <v>0.51185462920831415</v>
      </c>
      <c r="G183" s="6">
        <v>0.45315919859562981</v>
      </c>
      <c r="H183" s="6">
        <v>0.34325581920773213</v>
      </c>
      <c r="I183" s="90">
        <v>0.35236852956395248</v>
      </c>
      <c r="J183" s="90">
        <v>0.47128540855223261</v>
      </c>
      <c r="K183" s="90">
        <v>0.2528981842818428</v>
      </c>
      <c r="M183" s="5">
        <v>0.45816666666666672</v>
      </c>
      <c r="N183" s="5">
        <v>0.49999000000000005</v>
      </c>
      <c r="O183" s="5">
        <v>0</v>
      </c>
      <c r="P183" s="5">
        <v>4.5833333333333337E-2</v>
      </c>
      <c r="Q183" s="5">
        <v>3.6666666666666667E-2</v>
      </c>
      <c r="R183" s="5">
        <v>4.0000000000000036E-2</v>
      </c>
      <c r="T183" s="5">
        <v>0.44466666666666665</v>
      </c>
      <c r="U183" s="5">
        <v>0.74960000000000004</v>
      </c>
      <c r="V183" s="5">
        <v>0.61766666666666659</v>
      </c>
      <c r="W183" s="5">
        <v>0.15919444191655138</v>
      </c>
      <c r="X183" s="5">
        <v>1</v>
      </c>
      <c r="Y183" s="5">
        <v>0.1</v>
      </c>
      <c r="AA183" s="5">
        <v>0.76666666666666661</v>
      </c>
      <c r="AB183" s="5">
        <v>0.75395199999999996</v>
      </c>
      <c r="AC183" s="5">
        <v>0.25972243902439029</v>
      </c>
      <c r="AD183" s="5">
        <v>0.39678899082568808</v>
      </c>
      <c r="AE183" s="5">
        <v>4.1825095057034224E-2</v>
      </c>
      <c r="AF183" s="5">
        <v>0.5</v>
      </c>
      <c r="AH183" s="5">
        <v>0.82299999999999995</v>
      </c>
      <c r="AI183" s="5">
        <v>0.42953491524639253</v>
      </c>
      <c r="AJ183" s="5">
        <v>7.7000000000000068E-2</v>
      </c>
      <c r="AK183" s="5">
        <v>0</v>
      </c>
      <c r="AL183" s="5">
        <v>0</v>
      </c>
      <c r="AM183" s="5">
        <v>0.73</v>
      </c>
    </row>
    <row r="184" spans="1:39">
      <c r="A184" s="82">
        <f t="shared" si="23"/>
        <v>3</v>
      </c>
      <c r="B184" s="16" t="s">
        <v>355</v>
      </c>
      <c r="C184" s="15" t="s">
        <v>356</v>
      </c>
      <c r="D184" s="17">
        <v>0.27445594680445695</v>
      </c>
      <c r="E184" s="4">
        <v>0.18411921296296296</v>
      </c>
      <c r="F184" s="4">
        <v>0.43766388888888885</v>
      </c>
      <c r="G184" s="6">
        <v>0.26077656450963338</v>
      </c>
      <c r="H184" s="6">
        <v>0.21526412085634258</v>
      </c>
      <c r="I184" s="90">
        <v>0.31682197610553281</v>
      </c>
      <c r="J184" s="90">
        <v>0.35703945104545443</v>
      </c>
      <c r="K184" s="90">
        <v>8.7031646491346981E-2</v>
      </c>
      <c r="M184" s="5">
        <v>0.70308333333333328</v>
      </c>
      <c r="N184" s="5">
        <v>6.0312500000000012E-2</v>
      </c>
      <c r="O184" s="5">
        <v>6.0000000000000053E-2</v>
      </c>
      <c r="P184" s="5">
        <v>0.19798611111111097</v>
      </c>
      <c r="Q184" s="5">
        <v>3.3333333333333335E-3</v>
      </c>
      <c r="R184" s="5">
        <v>7.999999999999996E-2</v>
      </c>
      <c r="T184" s="5">
        <v>0.71158333333333335</v>
      </c>
      <c r="U184" s="5">
        <v>0.86440000000000017</v>
      </c>
      <c r="V184" s="5">
        <v>0</v>
      </c>
      <c r="W184" s="5">
        <v>0</v>
      </c>
      <c r="X184" s="5">
        <v>1</v>
      </c>
      <c r="Y184" s="5">
        <v>0.05</v>
      </c>
      <c r="AA184" s="5">
        <v>0.31666666666666676</v>
      </c>
      <c r="AB184" s="5">
        <v>0.66820000000000002</v>
      </c>
      <c r="AC184" s="5">
        <v>0.30859658536585355</v>
      </c>
      <c r="AD184" s="5">
        <v>0.24528301886792453</v>
      </c>
      <c r="AE184" s="5">
        <v>2.3198225751273551E-3</v>
      </c>
      <c r="AF184" s="5">
        <v>2.3593293582228281E-2</v>
      </c>
      <c r="AH184" s="5">
        <v>8.199999999999999E-2</v>
      </c>
      <c r="AI184" s="5">
        <v>0.12578938824183963</v>
      </c>
      <c r="AJ184" s="5">
        <v>1.0000000000000009E-2</v>
      </c>
      <c r="AK184" s="5">
        <v>0</v>
      </c>
      <c r="AL184" s="5">
        <v>0.58479532163742687</v>
      </c>
      <c r="AM184" s="5">
        <v>0.489000015258789</v>
      </c>
    </row>
    <row r="185" spans="1:39">
      <c r="A185" s="82">
        <f t="shared" si="23"/>
        <v>3</v>
      </c>
      <c r="B185" s="16" t="s">
        <v>357</v>
      </c>
      <c r="C185" s="15" t="s">
        <v>358</v>
      </c>
      <c r="D185" s="17">
        <v>0.29044975895375086</v>
      </c>
      <c r="E185" s="4">
        <v>0.36397577882561566</v>
      </c>
      <c r="F185" s="4">
        <v>0.45358425719457279</v>
      </c>
      <c r="G185" s="6">
        <v>0.23984969560959546</v>
      </c>
      <c r="H185" s="6">
        <v>0.10438930418521945</v>
      </c>
      <c r="I185" s="90">
        <v>0.31208492286919326</v>
      </c>
      <c r="J185" s="90">
        <v>0.33147732528721957</v>
      </c>
      <c r="K185" s="90">
        <v>0.19645566358038422</v>
      </c>
      <c r="M185" s="5">
        <v>0.84641666666666671</v>
      </c>
      <c r="N185" s="5">
        <v>0.6174102285092492</v>
      </c>
      <c r="O185" s="5">
        <v>6.0000000000000053E-2</v>
      </c>
      <c r="P185" s="5">
        <v>0.46736111111111112</v>
      </c>
      <c r="Q185" s="5">
        <v>4.2666666666666665E-2</v>
      </c>
      <c r="R185" s="5">
        <v>0.15000000000000002</v>
      </c>
      <c r="T185" s="5">
        <v>0.66583333333333339</v>
      </c>
      <c r="U185" s="5">
        <v>0.33100000000000002</v>
      </c>
      <c r="V185" s="5">
        <v>0.70870194003519782</v>
      </c>
      <c r="W185" s="5">
        <v>0.28279596091580067</v>
      </c>
      <c r="X185" s="5">
        <v>0.71317430888310507</v>
      </c>
      <c r="Y185" s="5">
        <v>0.02</v>
      </c>
      <c r="AA185" s="5">
        <v>7.5000000000000067E-2</v>
      </c>
      <c r="AB185" s="5">
        <v>0.69</v>
      </c>
      <c r="AC185" s="5">
        <v>0.21097560975609753</v>
      </c>
      <c r="AD185" s="5">
        <v>0.42204724409448818</v>
      </c>
      <c r="AE185" s="5">
        <v>1.2018888115977249E-2</v>
      </c>
      <c r="AF185" s="5">
        <v>2.9056431691009851E-2</v>
      </c>
      <c r="AH185" s="5">
        <v>2.5000000000000001E-2</v>
      </c>
      <c r="AI185" s="5">
        <v>0.14766453097619425</v>
      </c>
      <c r="AJ185" s="5">
        <v>5.0000000000000044E-3</v>
      </c>
      <c r="AK185" s="5">
        <v>0.18116130443378364</v>
      </c>
      <c r="AL185" s="5">
        <v>1.9309989701338827E-2</v>
      </c>
      <c r="AM185" s="5">
        <v>0.24819999999999998</v>
      </c>
    </row>
    <row r="186" spans="1:39">
      <c r="A186" s="82">
        <f t="shared" si="23"/>
        <v>3</v>
      </c>
      <c r="B186" s="16" t="s">
        <v>359</v>
      </c>
      <c r="C186" s="15" t="s">
        <v>360</v>
      </c>
      <c r="D186" s="17">
        <v>0.25533301261781632</v>
      </c>
      <c r="E186" s="4">
        <v>0.29617894298793174</v>
      </c>
      <c r="F186" s="4">
        <v>0.26358110834054388</v>
      </c>
      <c r="G186" s="6">
        <v>0.21461990284626542</v>
      </c>
      <c r="H186" s="6">
        <v>0.24695209629652429</v>
      </c>
      <c r="I186" s="90">
        <v>0.27303911888649046</v>
      </c>
      <c r="J186" s="90">
        <v>0.32291766801672328</v>
      </c>
      <c r="K186" s="90">
        <v>0.12739687011644479</v>
      </c>
      <c r="M186" s="5">
        <v>0.85558333333333336</v>
      </c>
      <c r="N186" s="5">
        <v>0.19662921348314608</v>
      </c>
      <c r="O186" s="5">
        <v>1.0000000000000009E-2</v>
      </c>
      <c r="P186" s="5">
        <v>0.55819444444444444</v>
      </c>
      <c r="Q186" s="5">
        <v>5.6666666666666664E-2</v>
      </c>
      <c r="R186" s="5">
        <v>9.9999999999999978E-2</v>
      </c>
      <c r="T186" s="5">
        <v>0.39133333333333337</v>
      </c>
      <c r="U186" s="5">
        <v>0.30859999999999999</v>
      </c>
      <c r="V186" s="5">
        <v>0.35213183329466669</v>
      </c>
      <c r="W186" s="5">
        <v>0.38863407901895319</v>
      </c>
      <c r="X186" s="5">
        <v>0.11078740439631007</v>
      </c>
      <c r="Y186" s="5">
        <v>0.03</v>
      </c>
      <c r="AA186" s="5">
        <v>7.5000000000000067E-2</v>
      </c>
      <c r="AB186" s="5">
        <v>0.78320000000000001</v>
      </c>
      <c r="AC186" s="5">
        <v>0.25893853658536581</v>
      </c>
      <c r="AD186" s="5">
        <v>0.15727002967359049</v>
      </c>
      <c r="AE186" s="5">
        <v>0</v>
      </c>
      <c r="AF186" s="5">
        <v>1.3310850818636234E-2</v>
      </c>
      <c r="AH186" s="5">
        <v>6.0000000000000001E-3</v>
      </c>
      <c r="AI186" s="5">
        <v>3.6734833849850247E-2</v>
      </c>
      <c r="AJ186" s="5">
        <v>0</v>
      </c>
      <c r="AK186" s="5">
        <v>0.75364089375453636</v>
      </c>
      <c r="AL186" s="5">
        <v>2.5336850174759298E-2</v>
      </c>
      <c r="AM186" s="5">
        <v>0.65999999999999992</v>
      </c>
    </row>
    <row r="187" spans="1:39">
      <c r="A187" s="82">
        <f t="shared" si="23"/>
        <v>3</v>
      </c>
      <c r="B187" s="16" t="s">
        <v>361</v>
      </c>
      <c r="C187" s="15" t="s">
        <v>362</v>
      </c>
      <c r="D187" s="17">
        <v>0.24801564012390187</v>
      </c>
      <c r="E187" s="4">
        <v>0.45794444444444443</v>
      </c>
      <c r="F187" s="4">
        <v>0.26600320550125428</v>
      </c>
      <c r="G187" s="6">
        <v>0.22258291133686092</v>
      </c>
      <c r="H187" s="6">
        <v>4.5531999213047826E-2</v>
      </c>
      <c r="I187" s="90">
        <v>0.22749547824245253</v>
      </c>
      <c r="J187" s="90">
        <v>0.28954072984533652</v>
      </c>
      <c r="K187" s="90">
        <v>0.21650824836392391</v>
      </c>
      <c r="M187" s="5">
        <v>0.62250000000000005</v>
      </c>
      <c r="N187" s="5">
        <v>1</v>
      </c>
      <c r="O187" s="5">
        <v>0.17000000000000004</v>
      </c>
      <c r="P187" s="5">
        <v>0.63583333333333325</v>
      </c>
      <c r="Q187" s="5">
        <v>0.29933333333333334</v>
      </c>
      <c r="R187" s="5">
        <v>2.0000000000000018E-2</v>
      </c>
      <c r="T187" s="5">
        <v>0.2485</v>
      </c>
      <c r="U187" s="5">
        <v>0.50939999999999996</v>
      </c>
      <c r="V187" s="5">
        <v>0.5</v>
      </c>
      <c r="W187" s="5">
        <v>0.11610279589694752</v>
      </c>
      <c r="X187" s="5">
        <v>6.2016437110578179E-2</v>
      </c>
      <c r="Y187" s="5">
        <v>0.16</v>
      </c>
      <c r="AA187" s="5">
        <v>7.5000000000000067E-2</v>
      </c>
      <c r="AB187" s="5">
        <v>0.54087999999999992</v>
      </c>
      <c r="AC187" s="5">
        <v>0.39902097560975625</v>
      </c>
      <c r="AD187" s="5">
        <v>0.2643312101910828</v>
      </c>
      <c r="AE187" s="5">
        <v>6.2367676465392777E-3</v>
      </c>
      <c r="AF187" s="5">
        <v>5.0028514573787188E-2</v>
      </c>
      <c r="AH187" s="5">
        <v>8.199999999999999E-2</v>
      </c>
      <c r="AI187" s="5">
        <v>0</v>
      </c>
      <c r="AJ187" s="5">
        <v>0</v>
      </c>
      <c r="AK187" s="5">
        <v>0</v>
      </c>
      <c r="AL187" s="5">
        <v>3.1919647607090416E-3</v>
      </c>
      <c r="AM187" s="5">
        <v>0.18800003051757797</v>
      </c>
    </row>
    <row r="188" spans="1:39">
      <c r="A188" s="82">
        <f t="shared" si="23"/>
        <v>7</v>
      </c>
      <c r="B188" s="16" t="s">
        <v>363</v>
      </c>
      <c r="C188" s="15" t="s">
        <v>364</v>
      </c>
      <c r="D188" s="17" t="e">
        <v>#N/A</v>
      </c>
      <c r="E188" s="4">
        <v>0.20309092592592592</v>
      </c>
      <c r="F188" s="4">
        <v>0.58016901313012725</v>
      </c>
      <c r="G188" s="6" t="e">
        <v>#N/A</v>
      </c>
      <c r="H188" s="6">
        <v>0.50373980243888772</v>
      </c>
      <c r="I188" s="90">
        <v>0.4345966533938363</v>
      </c>
      <c r="J188" s="90">
        <v>0.47268343441727589</v>
      </c>
      <c r="K188" s="90">
        <v>0.32250000000000001</v>
      </c>
      <c r="M188" s="5">
        <v>0.3464166666666666</v>
      </c>
      <c r="N188" s="5">
        <v>0.49999000000000005</v>
      </c>
      <c r="O188" s="5">
        <v>3.0000000000000027E-2</v>
      </c>
      <c r="P188" s="5">
        <v>8.347222222222217E-2</v>
      </c>
      <c r="Q188" s="5">
        <v>9.8666666666666666E-2</v>
      </c>
      <c r="R188" s="5">
        <v>0.16000000000000003</v>
      </c>
      <c r="T188" s="5">
        <v>0.44466666666666665</v>
      </c>
      <c r="U188" s="5">
        <v>0.51900000000000002</v>
      </c>
      <c r="V188" s="5">
        <v>1</v>
      </c>
      <c r="W188" s="5">
        <v>0.41734741211409659</v>
      </c>
      <c r="X188" s="5">
        <v>1</v>
      </c>
      <c r="Y188" s="5">
        <v>0.1</v>
      </c>
      <c r="AA188" s="5">
        <v>0.76666666666666661</v>
      </c>
      <c r="AB188" s="5">
        <v>0.50896000000000008</v>
      </c>
      <c r="AC188" s="5" t="e">
        <v>#N/A</v>
      </c>
      <c r="AD188" s="5">
        <v>0.39820359281437123</v>
      </c>
      <c r="AE188" s="5">
        <v>0.15989159891598917</v>
      </c>
      <c r="AF188" s="5" t="e">
        <v>#N/A</v>
      </c>
      <c r="AH188" s="5">
        <v>1</v>
      </c>
      <c r="AI188" s="5">
        <v>0.99495920975555086</v>
      </c>
      <c r="AJ188" s="5">
        <v>2.0000000000000018E-2</v>
      </c>
      <c r="AK188" s="5">
        <v>0</v>
      </c>
      <c r="AL188" s="5" t="e">
        <v>#N/A</v>
      </c>
      <c r="AM188" s="5" t="e">
        <v>#N/A</v>
      </c>
    </row>
    <row r="189" spans="1:39">
      <c r="A189" s="82">
        <f t="shared" si="23"/>
        <v>3</v>
      </c>
      <c r="B189" s="16" t="s">
        <v>365</v>
      </c>
      <c r="C189" s="15" t="s">
        <v>366</v>
      </c>
      <c r="D189" s="17">
        <v>0.47192382565159396</v>
      </c>
      <c r="E189" s="4">
        <v>0.28757306397306398</v>
      </c>
      <c r="F189" s="4">
        <v>0.52366597550540817</v>
      </c>
      <c r="G189" s="6">
        <v>0.61837407134708167</v>
      </c>
      <c r="H189" s="6">
        <v>0.45808219178082199</v>
      </c>
      <c r="I189" s="90">
        <v>0.38614077523576856</v>
      </c>
      <c r="J189" s="90">
        <v>0.46841908334660548</v>
      </c>
      <c r="K189" s="90">
        <v>0.60585551473281463</v>
      </c>
      <c r="M189" s="5">
        <v>0.30758333333333332</v>
      </c>
      <c r="N189" s="5">
        <v>4.9939393939393943E-3</v>
      </c>
      <c r="O189" s="5">
        <v>0.32999999999999996</v>
      </c>
      <c r="P189" s="5">
        <v>0.2781944444444443</v>
      </c>
      <c r="Q189" s="5">
        <v>0.28466666666666668</v>
      </c>
      <c r="R189" s="5">
        <v>0.52</v>
      </c>
      <c r="T189" s="5">
        <v>0.39958333333333335</v>
      </c>
      <c r="U189" s="5">
        <v>0.86860000000000004</v>
      </c>
      <c r="V189" s="5">
        <v>0.98580181302641956</v>
      </c>
      <c r="W189" s="5">
        <v>0.24</v>
      </c>
      <c r="X189" s="5">
        <v>0.18801070667269557</v>
      </c>
      <c r="Y189" s="5">
        <v>0.45999999999999996</v>
      </c>
      <c r="AA189" s="5">
        <v>0.40833333333333333</v>
      </c>
      <c r="AB189" s="5">
        <v>0.89051999999999998</v>
      </c>
      <c r="AC189" s="5">
        <v>0.63187707317073161</v>
      </c>
      <c r="AD189" s="5">
        <v>0.86307938199254131</v>
      </c>
      <c r="AE189" s="5">
        <v>0.20898043738614702</v>
      </c>
      <c r="AF189" s="5">
        <v>0.70745420219973676</v>
      </c>
      <c r="AH189" s="5">
        <v>0</v>
      </c>
      <c r="AI189" s="5">
        <v>0</v>
      </c>
      <c r="AJ189" s="5">
        <v>0.91</v>
      </c>
      <c r="AK189" s="5">
        <v>1</v>
      </c>
      <c r="AL189" s="5">
        <v>6.8493150684931503E-2</v>
      </c>
      <c r="AM189" s="5">
        <v>0.77</v>
      </c>
    </row>
    <row r="190" spans="1:39">
      <c r="A190" s="82">
        <f t="shared" si="23"/>
        <v>3</v>
      </c>
      <c r="B190" s="16" t="s">
        <v>367</v>
      </c>
      <c r="C190" s="15" t="s">
        <v>368</v>
      </c>
      <c r="D190" s="17">
        <v>0.25150939397073518</v>
      </c>
      <c r="E190" s="4">
        <v>0.25819078319006689</v>
      </c>
      <c r="F190" s="4">
        <v>0.39638490899748668</v>
      </c>
      <c r="G190" s="6">
        <v>0.26442690940299746</v>
      </c>
      <c r="H190" s="6">
        <v>8.7034974292389711E-2</v>
      </c>
      <c r="I190" s="90">
        <v>0.39260964880982363</v>
      </c>
      <c r="J190" s="90">
        <v>0.14609890066636144</v>
      </c>
      <c r="K190" s="90">
        <v>0.19797475166866307</v>
      </c>
      <c r="M190" s="5">
        <v>0.48358333333333337</v>
      </c>
      <c r="N190" s="5">
        <v>0.27564469914040113</v>
      </c>
      <c r="O190" s="5">
        <v>2.0000000000000018E-2</v>
      </c>
      <c r="P190" s="5">
        <v>0.71791666666666676</v>
      </c>
      <c r="Q190" s="5">
        <v>2E-3</v>
      </c>
      <c r="R190" s="5">
        <v>5.0000000000000044E-2</v>
      </c>
      <c r="T190" s="5">
        <v>0.23874999999999999</v>
      </c>
      <c r="U190" s="5">
        <v>0.3196</v>
      </c>
      <c r="V190" s="5">
        <v>0.77318008252756676</v>
      </c>
      <c r="W190" s="5">
        <v>1</v>
      </c>
      <c r="X190" s="5">
        <v>2.6779371457353054E-2</v>
      </c>
      <c r="Y190" s="5">
        <v>0.02</v>
      </c>
      <c r="AA190" s="5">
        <v>0.87499999999999967</v>
      </c>
      <c r="AB190" s="5">
        <v>0.19898400000000005</v>
      </c>
      <c r="AC190" s="5">
        <v>0.31620000000000004</v>
      </c>
      <c r="AD190" s="5">
        <v>0.1827016520894072</v>
      </c>
      <c r="AE190" s="5">
        <v>5.2073768441660614E-3</v>
      </c>
      <c r="AF190" s="5">
        <v>8.4684274844114803E-3</v>
      </c>
      <c r="AH190" s="5">
        <v>0.02</v>
      </c>
      <c r="AI190" s="5">
        <v>2.6547972431963159E-2</v>
      </c>
      <c r="AJ190" s="5">
        <v>0</v>
      </c>
      <c r="AK190" s="5">
        <v>0.43822668612336935</v>
      </c>
      <c r="AL190" s="5">
        <v>1.5535187199005747E-2</v>
      </c>
      <c r="AM190" s="5">
        <v>2.1900000000000031E-2</v>
      </c>
    </row>
    <row r="191" spans="1:39">
      <c r="A191" s="82">
        <f t="shared" si="23"/>
        <v>3</v>
      </c>
      <c r="B191" s="16" t="s">
        <v>369</v>
      </c>
      <c r="C191" s="15" t="s">
        <v>370</v>
      </c>
      <c r="D191" s="17">
        <v>0.24512252986138985</v>
      </c>
      <c r="E191" s="4">
        <v>0.2827175925925926</v>
      </c>
      <c r="F191" s="4">
        <v>0.47414310938973664</v>
      </c>
      <c r="G191" s="6">
        <v>0.18356036000053833</v>
      </c>
      <c r="H191" s="6">
        <v>4.0069057462691897E-2</v>
      </c>
      <c r="I191" s="90">
        <v>0.21676128371045367</v>
      </c>
      <c r="J191" s="90">
        <v>0.33769789016031315</v>
      </c>
      <c r="K191" s="90">
        <v>0.14880135863940927</v>
      </c>
      <c r="M191" s="5">
        <v>0.14783333333333326</v>
      </c>
      <c r="N191" s="5">
        <v>1</v>
      </c>
      <c r="O191" s="5">
        <v>0</v>
      </c>
      <c r="P191" s="5">
        <v>0.51180555555555562</v>
      </c>
      <c r="Q191" s="5">
        <v>6.6666666666666671E-3</v>
      </c>
      <c r="R191" s="5">
        <v>3.0000000000000027E-2</v>
      </c>
      <c r="T191" s="5">
        <v>0.54108333333333336</v>
      </c>
      <c r="U191" s="5">
        <v>0.22060000000000005</v>
      </c>
      <c r="V191" s="5">
        <v>0.39444444444444449</v>
      </c>
      <c r="W191" s="5">
        <v>0.36873087856064229</v>
      </c>
      <c r="X191" s="5">
        <v>1</v>
      </c>
      <c r="Y191" s="5">
        <v>0.32</v>
      </c>
      <c r="AA191" s="5">
        <v>7.5000000000000067E-2</v>
      </c>
      <c r="AB191" s="5">
        <v>0.59560000000000002</v>
      </c>
      <c r="AC191" s="5">
        <v>0.14238048780487789</v>
      </c>
      <c r="AD191" s="5">
        <v>0.28239845261121854</v>
      </c>
      <c r="AE191" s="5">
        <v>0</v>
      </c>
      <c r="AF191" s="5">
        <v>5.9832195871333607E-3</v>
      </c>
      <c r="AH191" s="5">
        <v>2.4E-2</v>
      </c>
      <c r="AI191" s="5">
        <v>0.2164143447761514</v>
      </c>
      <c r="AJ191" s="5">
        <v>0</v>
      </c>
      <c r="AK191" s="5">
        <v>0</v>
      </c>
      <c r="AL191" s="5">
        <v>0</v>
      </c>
      <c r="AM191" s="5">
        <v>0</v>
      </c>
    </row>
    <row r="192" spans="1:39">
      <c r="A192" s="82">
        <f t="shared" si="23"/>
        <v>3</v>
      </c>
      <c r="B192" s="16" t="s">
        <v>371</v>
      </c>
      <c r="C192" s="15" t="s">
        <v>372</v>
      </c>
      <c r="D192" s="17">
        <v>0.14178923857684761</v>
      </c>
      <c r="E192" s="4">
        <v>0.14127829743008316</v>
      </c>
      <c r="F192" s="4">
        <v>0.28383849006415357</v>
      </c>
      <c r="G192" s="6">
        <v>6.5542675126377903E-2</v>
      </c>
      <c r="H192" s="6">
        <v>7.6497491686775762E-2</v>
      </c>
      <c r="I192" s="90">
        <v>0.25798691494072556</v>
      </c>
      <c r="J192" s="90">
        <v>9.1520819380725926E-2</v>
      </c>
      <c r="K192" s="90">
        <v>4.2895352825213069E-2</v>
      </c>
      <c r="M192" s="5">
        <v>0.44800000000000006</v>
      </c>
      <c r="N192" s="5">
        <v>0.10585034013605442</v>
      </c>
      <c r="O192" s="5">
        <v>0</v>
      </c>
      <c r="P192" s="5">
        <v>0.29381944444444441</v>
      </c>
      <c r="Q192" s="5">
        <v>0</v>
      </c>
      <c r="R192" s="5">
        <v>0</v>
      </c>
      <c r="T192" s="5">
        <v>0.22075000000000003</v>
      </c>
      <c r="U192" s="5">
        <v>9.9779985173939087E-2</v>
      </c>
      <c r="V192" s="5">
        <v>0.15306688870383334</v>
      </c>
      <c r="W192" s="5">
        <v>1</v>
      </c>
      <c r="X192" s="5">
        <v>0.22943406650714887</v>
      </c>
      <c r="Y192" s="5">
        <v>0</v>
      </c>
      <c r="AA192" s="5">
        <v>6.6666666666666541E-2</v>
      </c>
      <c r="AB192" s="5">
        <v>6.6439999999999944E-2</v>
      </c>
      <c r="AC192" s="5">
        <v>9.8975609756097649E-2</v>
      </c>
      <c r="AD192" s="5">
        <v>0.15584415584415584</v>
      </c>
      <c r="AE192" s="5">
        <v>0</v>
      </c>
      <c r="AF192" s="5">
        <v>5.3296184913474648E-3</v>
      </c>
      <c r="AH192" s="5">
        <v>0.05</v>
      </c>
      <c r="AI192" s="5">
        <v>0.11741034431545544</v>
      </c>
      <c r="AJ192" s="5">
        <v>0</v>
      </c>
      <c r="AK192" s="5">
        <v>0.2047726382939356</v>
      </c>
      <c r="AL192" s="5">
        <v>8.6801967511263581E-2</v>
      </c>
      <c r="AM192" s="5">
        <v>0</v>
      </c>
    </row>
    <row r="193" spans="1:39">
      <c r="A193" s="82">
        <f t="shared" si="23"/>
        <v>3</v>
      </c>
      <c r="B193" s="16" t="s">
        <v>373</v>
      </c>
      <c r="C193" s="15" t="s">
        <v>374</v>
      </c>
      <c r="D193" s="17">
        <v>0.17559804949491817</v>
      </c>
      <c r="E193" s="4">
        <v>0.20982033371347888</v>
      </c>
      <c r="F193" s="4">
        <v>0.15625901724266611</v>
      </c>
      <c r="G193" s="6">
        <v>0.21764424966257179</v>
      </c>
      <c r="H193" s="6">
        <v>0.11866859736095593</v>
      </c>
      <c r="I193" s="90">
        <v>0.27772472072896415</v>
      </c>
      <c r="J193" s="90">
        <v>0.1285815697413549</v>
      </c>
      <c r="K193" s="90">
        <v>9.2932762274194114E-2</v>
      </c>
      <c r="M193" s="5">
        <v>0.44983333333333342</v>
      </c>
      <c r="N193" s="5">
        <v>0.15568589116976214</v>
      </c>
      <c r="O193" s="5">
        <v>1.0000000000000009E-2</v>
      </c>
      <c r="P193" s="5">
        <v>0.64340277777777777</v>
      </c>
      <c r="Q193" s="5">
        <v>0</v>
      </c>
      <c r="R193" s="5">
        <v>0</v>
      </c>
      <c r="T193" s="5">
        <v>0.22908333333333336</v>
      </c>
      <c r="U193" s="5">
        <v>0.18000215929175425</v>
      </c>
      <c r="V193" s="5">
        <v>0.3989045410162686</v>
      </c>
      <c r="W193" s="5">
        <v>8.6363519698691382E-2</v>
      </c>
      <c r="X193" s="5">
        <v>3.320055011594903E-2</v>
      </c>
      <c r="Y193" s="5">
        <v>0.01</v>
      </c>
      <c r="AA193" s="5">
        <v>0.92499999999999971</v>
      </c>
      <c r="AB193" s="5">
        <v>0.10751999999999995</v>
      </c>
      <c r="AC193" s="5">
        <v>0.12682926829268271</v>
      </c>
      <c r="AD193" s="5">
        <v>0.13465346534653466</v>
      </c>
      <c r="AE193" s="5">
        <v>0</v>
      </c>
      <c r="AF193" s="5">
        <v>1.1862764336213402E-2</v>
      </c>
      <c r="AH193" s="5">
        <v>2.3E-2</v>
      </c>
      <c r="AI193" s="5">
        <v>8.0748953173138543E-2</v>
      </c>
      <c r="AJ193" s="5">
        <v>0</v>
      </c>
      <c r="AK193" s="5">
        <v>0.27377657392159022</v>
      </c>
      <c r="AL193" s="5">
        <v>8.1860570710069504E-3</v>
      </c>
      <c r="AM193" s="5">
        <v>0.32629999999999992</v>
      </c>
    </row>
    <row r="194" spans="1:39">
      <c r="A194" s="82">
        <f t="shared" si="23"/>
        <v>4</v>
      </c>
      <c r="B194" s="16" t="s">
        <v>375</v>
      </c>
      <c r="C194" s="15" t="s">
        <v>376</v>
      </c>
      <c r="D194" s="17">
        <v>0.18233441260053146</v>
      </c>
      <c r="E194" s="4">
        <v>8.0052841060484922E-2</v>
      </c>
      <c r="F194" s="4">
        <v>0.22250653255332054</v>
      </c>
      <c r="G194" s="6">
        <v>0.18185607477492446</v>
      </c>
      <c r="H194" s="6">
        <v>0.24492220201339587</v>
      </c>
      <c r="I194" s="90">
        <v>0.18299992108978527</v>
      </c>
      <c r="J194" s="90">
        <v>0.19717916991432588</v>
      </c>
      <c r="K194" s="90">
        <v>0.11743351578682502</v>
      </c>
      <c r="M194" s="5">
        <v>0.2885833333333333</v>
      </c>
      <c r="N194" s="5">
        <v>2.6330935251798561E-2</v>
      </c>
      <c r="O194" s="5">
        <v>0</v>
      </c>
      <c r="P194" s="5">
        <v>0.16340277777777767</v>
      </c>
      <c r="Q194" s="5">
        <v>2E-3</v>
      </c>
      <c r="R194" s="5">
        <v>0</v>
      </c>
      <c r="T194" s="5">
        <v>0.505</v>
      </c>
      <c r="U194" s="5">
        <v>7.5999999999999915E-2</v>
      </c>
      <c r="V194" s="5">
        <v>0.43220934959348367</v>
      </c>
      <c r="W194" s="5">
        <v>0.12033503090383782</v>
      </c>
      <c r="X194" s="5">
        <v>0.12149481482260169</v>
      </c>
      <c r="Y194" s="5">
        <v>0.08</v>
      </c>
      <c r="AA194" s="5">
        <v>0.31666666666666676</v>
      </c>
      <c r="AB194" s="5">
        <v>0.40656000000000003</v>
      </c>
      <c r="AC194" s="5">
        <v>0.1777756097560973</v>
      </c>
      <c r="AD194" s="5">
        <v>0.1751592356687898</v>
      </c>
      <c r="AE194" s="5">
        <v>3.5880118662346631E-4</v>
      </c>
      <c r="AF194" s="5">
        <v>1.4616135371369139E-2</v>
      </c>
      <c r="AH194" s="5">
        <v>0.03</v>
      </c>
      <c r="AI194" s="5">
        <v>0.10576699467832046</v>
      </c>
      <c r="AJ194" s="5">
        <v>5.0000000000000044E-3</v>
      </c>
      <c r="AK194" s="5">
        <v>0.83892181337526306</v>
      </c>
      <c r="AL194" s="5">
        <v>4.2852245457661982E-2</v>
      </c>
      <c r="AM194" s="5" t="e">
        <v>#N/A</v>
      </c>
    </row>
    <row r="195" spans="1:39">
      <c r="A195" s="82">
        <f t="shared" si="23"/>
        <v>3</v>
      </c>
      <c r="B195" s="16" t="s">
        <v>377</v>
      </c>
      <c r="C195" s="15" t="s">
        <v>378</v>
      </c>
      <c r="D195" s="17">
        <v>0.24195375137588357</v>
      </c>
      <c r="E195" s="4">
        <v>0.4276064814814815</v>
      </c>
      <c r="F195" s="4">
        <v>0.39394669513516356</v>
      </c>
      <c r="G195" s="6">
        <v>0.11570891400184508</v>
      </c>
      <c r="H195" s="6">
        <v>3.0552914885044195E-2</v>
      </c>
      <c r="I195" s="90">
        <v>0.22355557867564885</v>
      </c>
      <c r="J195" s="90">
        <v>0.24725454780003403</v>
      </c>
      <c r="K195" s="90">
        <v>0.26159981579000985</v>
      </c>
      <c r="M195" s="5">
        <v>0.50175000000000003</v>
      </c>
      <c r="N195" s="5">
        <v>1</v>
      </c>
      <c r="O195" s="5">
        <v>0.13</v>
      </c>
      <c r="P195" s="5">
        <v>0.71722222222222243</v>
      </c>
      <c r="Q195" s="5">
        <v>0.21666666666666667</v>
      </c>
      <c r="R195" s="5">
        <v>0</v>
      </c>
      <c r="T195" s="5">
        <v>0.33441666666666664</v>
      </c>
      <c r="U195" s="5">
        <v>0.63064278660717177</v>
      </c>
      <c r="V195" s="5">
        <v>1</v>
      </c>
      <c r="W195" s="5">
        <v>0.17065797233596716</v>
      </c>
      <c r="X195" s="5">
        <v>0.14796274520117572</v>
      </c>
      <c r="Y195" s="5">
        <v>0.08</v>
      </c>
      <c r="AA195" s="5">
        <v>7.5000000000000067E-2</v>
      </c>
      <c r="AB195" s="5">
        <v>3.0520000000000103E-2</v>
      </c>
      <c r="AC195" s="5">
        <v>0.3411956097560972</v>
      </c>
      <c r="AD195" s="5">
        <v>0.21095334685598377</v>
      </c>
      <c r="AE195" s="5">
        <v>1.8181242415027148E-2</v>
      </c>
      <c r="AF195" s="5">
        <v>1.8403284983962181E-2</v>
      </c>
      <c r="AH195" s="5">
        <v>2E-3</v>
      </c>
      <c r="AI195" s="5">
        <v>0</v>
      </c>
      <c r="AJ195" s="5">
        <v>0</v>
      </c>
      <c r="AK195" s="5">
        <v>5.4317519827843198E-2</v>
      </c>
      <c r="AL195" s="5">
        <v>0</v>
      </c>
      <c r="AM195" s="5">
        <v>0.12699996948242198</v>
      </c>
    </row>
    <row r="196" spans="1:39">
      <c r="A196" s="82">
        <f t="shared" si="23"/>
        <v>3</v>
      </c>
      <c r="B196" s="16" t="s">
        <v>379</v>
      </c>
      <c r="C196" s="15" t="s">
        <v>380</v>
      </c>
      <c r="D196" s="17">
        <v>0.41740203299202894</v>
      </c>
      <c r="E196" s="4">
        <v>0.2865585185185186</v>
      </c>
      <c r="F196" s="4">
        <v>0.57754338038188235</v>
      </c>
      <c r="G196" s="6">
        <v>0.49112019570048276</v>
      </c>
      <c r="H196" s="6">
        <v>0.31438603736723209</v>
      </c>
      <c r="I196" s="90">
        <v>0.37495165210041409</v>
      </c>
      <c r="J196" s="90">
        <v>0.44707275144592984</v>
      </c>
      <c r="K196" s="90">
        <v>0.43657152664859983</v>
      </c>
      <c r="M196" s="5">
        <v>0.45341666666666669</v>
      </c>
      <c r="N196" s="5">
        <v>0.49999000000000005</v>
      </c>
      <c r="O196" s="5">
        <v>0.17000000000000004</v>
      </c>
      <c r="P196" s="5">
        <v>8.861111111111114E-2</v>
      </c>
      <c r="Q196" s="5">
        <v>2.7333333333333334E-2</v>
      </c>
      <c r="R196" s="5">
        <v>0.48</v>
      </c>
      <c r="T196" s="5">
        <v>0.44466666666666665</v>
      </c>
      <c r="U196" s="5">
        <v>0.74819999999999998</v>
      </c>
      <c r="V196" s="5">
        <v>0.96111111111111114</v>
      </c>
      <c r="W196" s="5">
        <v>0.14877539447194926</v>
      </c>
      <c r="X196" s="5">
        <v>0.9425071100415664</v>
      </c>
      <c r="Y196" s="5">
        <v>0.22000000000000003</v>
      </c>
      <c r="AA196" s="5">
        <v>0.76666666666666661</v>
      </c>
      <c r="AB196" s="5">
        <v>0.85936000000000001</v>
      </c>
      <c r="AC196" s="5">
        <v>0.28831804878048761</v>
      </c>
      <c r="AD196" s="5">
        <v>0.3923766816143498</v>
      </c>
      <c r="AE196" s="5">
        <v>0.13999977714139261</v>
      </c>
      <c r="AF196" s="5">
        <v>0.5</v>
      </c>
      <c r="AH196" s="5">
        <v>0.14699999999999999</v>
      </c>
      <c r="AI196" s="5">
        <v>4.5264538682378931E-2</v>
      </c>
      <c r="AJ196" s="5">
        <v>0.81</v>
      </c>
      <c r="AK196" s="5">
        <v>0</v>
      </c>
      <c r="AL196" s="5">
        <v>0.12305168170631665</v>
      </c>
      <c r="AM196" s="5">
        <v>0.76100000381469701</v>
      </c>
    </row>
    <row r="197" spans="1:39">
      <c r="A197" s="82">
        <f t="shared" si="23"/>
        <v>3</v>
      </c>
      <c r="B197" s="16" t="s">
        <v>381</v>
      </c>
      <c r="C197" s="15" t="s">
        <v>382</v>
      </c>
      <c r="D197" s="17">
        <v>0.21796360132451414</v>
      </c>
      <c r="E197" s="4">
        <v>0.15639813125168964</v>
      </c>
      <c r="F197" s="4">
        <v>0.2660472541179843</v>
      </c>
      <c r="G197" s="6">
        <v>0.27587470140387987</v>
      </c>
      <c r="H197" s="6">
        <v>0.17353431852450285</v>
      </c>
      <c r="I197" s="90">
        <v>0.22181684467061796</v>
      </c>
      <c r="J197" s="90">
        <v>0.25352388167820133</v>
      </c>
      <c r="K197" s="90">
        <v>0.15884331577482763</v>
      </c>
      <c r="M197" s="5">
        <v>0.42708333333333337</v>
      </c>
      <c r="N197" s="5">
        <v>7.3471208434712091E-3</v>
      </c>
      <c r="O197" s="5">
        <v>8.9999999999999969E-2</v>
      </c>
      <c r="P197" s="5">
        <v>0.30395833333333333</v>
      </c>
      <c r="Q197" s="5">
        <v>0.02</v>
      </c>
      <c r="R197" s="5">
        <v>8.9999999999999969E-2</v>
      </c>
      <c r="T197" s="5">
        <v>0.60899999999999999</v>
      </c>
      <c r="U197" s="5">
        <v>6.3400000000000054E-2</v>
      </c>
      <c r="V197" s="5">
        <v>0.4213078047683867</v>
      </c>
      <c r="W197" s="5">
        <v>2.8525518495042736E-2</v>
      </c>
      <c r="X197" s="5">
        <v>0.39405020144447622</v>
      </c>
      <c r="Y197" s="5">
        <v>0.08</v>
      </c>
      <c r="AA197" s="5">
        <v>0.31666666666666676</v>
      </c>
      <c r="AB197" s="5">
        <v>0.83199999999999996</v>
      </c>
      <c r="AC197" s="5">
        <v>0.22512097560975608</v>
      </c>
      <c r="AD197" s="5">
        <v>0.23471074380165288</v>
      </c>
      <c r="AE197" s="5">
        <v>1.1870807438038243E-4</v>
      </c>
      <c r="AF197" s="5">
        <v>4.663111427082315E-2</v>
      </c>
      <c r="AH197" s="5">
        <v>4.5999999999999999E-2</v>
      </c>
      <c r="AI197" s="5">
        <v>6.7862859324012328E-2</v>
      </c>
      <c r="AJ197" s="5">
        <v>1.0000000000000009E-2</v>
      </c>
      <c r="AK197" s="5">
        <v>0.23293603015868314</v>
      </c>
      <c r="AL197" s="5">
        <v>2.0407006405532564E-2</v>
      </c>
      <c r="AM197" s="5">
        <v>0.66400001525878904</v>
      </c>
    </row>
    <row r="198" spans="1:39">
      <c r="A198" s="82">
        <f t="shared" si="23"/>
        <v>3</v>
      </c>
      <c r="B198" s="16" t="s">
        <v>383</v>
      </c>
      <c r="C198" s="15" t="s">
        <v>384</v>
      </c>
      <c r="D198" s="17">
        <v>0.29517059371635207</v>
      </c>
      <c r="E198" s="4">
        <v>0.23203338140481847</v>
      </c>
      <c r="F198" s="4">
        <v>0.3046641717418952</v>
      </c>
      <c r="G198" s="6">
        <v>0.36643723951999735</v>
      </c>
      <c r="H198" s="6">
        <v>0.2775475821986973</v>
      </c>
      <c r="I198" s="90">
        <v>0.29236571711862397</v>
      </c>
      <c r="J198" s="90">
        <v>0.34779016671149143</v>
      </c>
      <c r="K198" s="90">
        <v>0.22044854912023518</v>
      </c>
      <c r="M198" s="5">
        <v>0.49858333333333327</v>
      </c>
      <c r="N198" s="5">
        <v>9.2783621762244084E-2</v>
      </c>
      <c r="O198" s="5">
        <v>0.25</v>
      </c>
      <c r="P198" s="5">
        <v>0.25750000000000006</v>
      </c>
      <c r="Q198" s="5">
        <v>4.3333333333333335E-2</v>
      </c>
      <c r="R198" s="5">
        <v>0.25</v>
      </c>
      <c r="T198" s="5">
        <v>0.37600000000000006</v>
      </c>
      <c r="U198" s="5">
        <v>0.71679999999999988</v>
      </c>
      <c r="V198" s="5">
        <v>8.4892763270172034E-2</v>
      </c>
      <c r="W198" s="5">
        <v>6.1033251517288417E-2</v>
      </c>
      <c r="X198" s="5">
        <v>8.9259015663910882E-2</v>
      </c>
      <c r="Y198" s="5">
        <v>0.5</v>
      </c>
      <c r="AA198" s="5">
        <v>0.76666666666666661</v>
      </c>
      <c r="AB198" s="5">
        <v>0.87024000000000001</v>
      </c>
      <c r="AC198" s="5">
        <v>0.20843756097560939</v>
      </c>
      <c r="AD198" s="5">
        <v>0.30691823899371068</v>
      </c>
      <c r="AE198" s="5">
        <v>1.7000000008367676E-2</v>
      </c>
      <c r="AF198" s="5">
        <v>2.9360970475629591E-2</v>
      </c>
      <c r="AH198" s="5">
        <v>0.153</v>
      </c>
      <c r="AI198" s="5">
        <v>0.55096713685635512</v>
      </c>
      <c r="AJ198" s="5">
        <v>0.10999999999999999</v>
      </c>
      <c r="AK198" s="5">
        <v>0.22596973353341737</v>
      </c>
      <c r="AL198" s="5">
        <v>0.10158996355661624</v>
      </c>
      <c r="AM198" s="5">
        <v>0.52375865924579501</v>
      </c>
    </row>
    <row r="199" spans="1:39">
      <c r="A199" s="82">
        <f t="shared" si="23"/>
        <v>3</v>
      </c>
      <c r="B199" s="16" t="s">
        <v>385</v>
      </c>
      <c r="C199" s="15" t="s">
        <v>386</v>
      </c>
      <c r="D199" s="17">
        <v>0.47599208783451424</v>
      </c>
      <c r="E199" s="4">
        <v>0.49137962962962956</v>
      </c>
      <c r="F199" s="4">
        <v>0.66579613386267578</v>
      </c>
      <c r="G199" s="6">
        <v>0.48163500463561243</v>
      </c>
      <c r="H199" s="6">
        <v>0.2651575832101391</v>
      </c>
      <c r="I199" s="90">
        <v>0.3527064385463865</v>
      </c>
      <c r="J199" s="90">
        <v>0.51927028421128485</v>
      </c>
      <c r="K199" s="90">
        <v>0.59600326720154995</v>
      </c>
      <c r="M199" s="5">
        <v>0.37958333333333327</v>
      </c>
      <c r="N199" s="5">
        <v>1</v>
      </c>
      <c r="O199" s="5">
        <v>0.48</v>
      </c>
      <c r="P199" s="5">
        <v>0.35736111111111102</v>
      </c>
      <c r="Q199" s="5">
        <v>0.25133333333333335</v>
      </c>
      <c r="R199" s="5">
        <v>0.48</v>
      </c>
      <c r="T199" s="5">
        <v>0.55766666666666664</v>
      </c>
      <c r="U199" s="5">
        <v>0.68779999999999997</v>
      </c>
      <c r="V199" s="5">
        <v>0.90786482832383064</v>
      </c>
      <c r="W199" s="5">
        <v>3.1542257777413554E-2</v>
      </c>
      <c r="X199" s="5">
        <v>0.80990305040814403</v>
      </c>
      <c r="Y199" s="5">
        <v>1</v>
      </c>
      <c r="AA199" s="5">
        <v>0.7833333333333331</v>
      </c>
      <c r="AB199" s="5">
        <v>0.93520000000000003</v>
      </c>
      <c r="AC199" s="5">
        <v>0.43243317073170717</v>
      </c>
      <c r="AD199" s="5">
        <v>0.41061946902654867</v>
      </c>
      <c r="AE199" s="5">
        <v>5.2502450568324067E-2</v>
      </c>
      <c r="AF199" s="5">
        <v>0.27572160415376157</v>
      </c>
      <c r="AH199" s="5">
        <v>5.0000000000000001E-3</v>
      </c>
      <c r="AI199" s="5">
        <v>2.3693721684414113E-2</v>
      </c>
      <c r="AJ199" s="5">
        <v>0.61799999999999999</v>
      </c>
      <c r="AK199" s="5">
        <v>0</v>
      </c>
      <c r="AL199" s="5">
        <v>3.1251775669072106E-2</v>
      </c>
      <c r="AM199" s="5">
        <v>0.91300000190734854</v>
      </c>
    </row>
    <row r="200" spans="1:39">
      <c r="A200" s="82">
        <f t="shared" si="23"/>
        <v>3</v>
      </c>
      <c r="B200" s="16" t="s">
        <v>387</v>
      </c>
      <c r="C200" s="15" t="s">
        <v>388</v>
      </c>
      <c r="D200" s="17">
        <v>0.545668939287699</v>
      </c>
      <c r="E200" s="4">
        <v>0.39229600584424729</v>
      </c>
      <c r="F200" s="4">
        <v>0.48936658870039529</v>
      </c>
      <c r="G200" s="6">
        <v>0.70282255901146351</v>
      </c>
      <c r="H200" s="6">
        <v>0.5981906035946899</v>
      </c>
      <c r="I200" s="90">
        <v>0.56364837154350078</v>
      </c>
      <c r="J200" s="90">
        <v>0.48929888961470347</v>
      </c>
      <c r="K200" s="90">
        <v>0.60325486541348949</v>
      </c>
      <c r="M200" s="5">
        <v>0.65100000000000002</v>
      </c>
      <c r="N200" s="5">
        <v>1.6539923954372624E-2</v>
      </c>
      <c r="O200" s="5">
        <v>0.51</v>
      </c>
      <c r="P200" s="5">
        <v>0.33090277777777788</v>
      </c>
      <c r="Q200" s="5">
        <v>0.33533333333333332</v>
      </c>
      <c r="R200" s="5">
        <v>0.51</v>
      </c>
      <c r="T200" s="5">
        <v>0.71575</v>
      </c>
      <c r="U200" s="5">
        <v>0.64439999999999997</v>
      </c>
      <c r="V200" s="5">
        <v>0.87121317844958268</v>
      </c>
      <c r="W200" s="5">
        <v>0.22858417253943178</v>
      </c>
      <c r="X200" s="5">
        <v>0.18625218121335735</v>
      </c>
      <c r="Y200" s="5">
        <v>0.28999999999999998</v>
      </c>
      <c r="AA200" s="5">
        <v>0.40833333333333333</v>
      </c>
      <c r="AB200" s="5">
        <v>0.94100000000000006</v>
      </c>
      <c r="AC200" s="5">
        <v>0.77337999999999973</v>
      </c>
      <c r="AD200" s="5">
        <v>0.92626506024096389</v>
      </c>
      <c r="AE200" s="5">
        <v>0.50302094646312856</v>
      </c>
      <c r="AF200" s="5">
        <v>0.66493601403135461</v>
      </c>
      <c r="AH200" s="5">
        <v>0</v>
      </c>
      <c r="AI200" s="5">
        <v>0</v>
      </c>
      <c r="AJ200" s="5">
        <v>0.81200000000000006</v>
      </c>
      <c r="AK200" s="5">
        <v>0.99714362156813929</v>
      </c>
      <c r="AL200" s="5">
        <v>1</v>
      </c>
      <c r="AM200" s="5">
        <v>0.78</v>
      </c>
    </row>
    <row r="201" spans="1:39">
      <c r="A201" s="82">
        <f t="shared" si="23"/>
        <v>3</v>
      </c>
      <c r="B201" s="16" t="s">
        <v>389</v>
      </c>
      <c r="C201" s="15" t="s">
        <v>390</v>
      </c>
      <c r="D201" s="17">
        <v>0.47636562378703029</v>
      </c>
      <c r="E201" s="4">
        <v>0.41150231481481486</v>
      </c>
      <c r="F201" s="4">
        <v>0.53166069801402449</v>
      </c>
      <c r="G201" s="6">
        <v>0.63033335114484734</v>
      </c>
      <c r="H201" s="6">
        <v>0.33196613117443446</v>
      </c>
      <c r="I201" s="90">
        <v>0.45583690447108766</v>
      </c>
      <c r="J201" s="90">
        <v>0.40765572281246293</v>
      </c>
      <c r="K201" s="90">
        <v>0.61022355422279517</v>
      </c>
      <c r="M201" s="5">
        <v>0.62149999999999994</v>
      </c>
      <c r="N201" s="5">
        <v>0.21024999999999999</v>
      </c>
      <c r="O201" s="5">
        <v>0.56000000000000005</v>
      </c>
      <c r="P201" s="5">
        <v>0.34659722222222222</v>
      </c>
      <c r="Q201" s="5">
        <v>0.17066666666666666</v>
      </c>
      <c r="R201" s="5">
        <v>0.56000000000000005</v>
      </c>
      <c r="T201" s="5">
        <v>0.69216666666666671</v>
      </c>
      <c r="U201" s="5">
        <v>0.62180000000000002</v>
      </c>
      <c r="V201" s="5">
        <v>0.83851342592704003</v>
      </c>
      <c r="W201" s="5">
        <v>0.43342503046425135</v>
      </c>
      <c r="X201" s="5">
        <v>0.28405906502618872</v>
      </c>
      <c r="Y201" s="5">
        <v>0.32</v>
      </c>
      <c r="AA201" s="5">
        <v>0.40833333333333333</v>
      </c>
      <c r="AB201" s="5">
        <v>0.93599999999999994</v>
      </c>
      <c r="AC201" s="5">
        <v>0.79122097560975602</v>
      </c>
      <c r="AD201" s="5">
        <v>1</v>
      </c>
      <c r="AE201" s="5">
        <v>5.4838874126019711E-2</v>
      </c>
      <c r="AF201" s="5">
        <v>0.59160692379997482</v>
      </c>
      <c r="AH201" s="5">
        <v>0</v>
      </c>
      <c r="AI201" s="5">
        <v>0</v>
      </c>
      <c r="AJ201" s="5">
        <v>0.58499999999999996</v>
      </c>
      <c r="AK201" s="5">
        <v>0.58128689949329138</v>
      </c>
      <c r="AL201" s="5">
        <v>1.5509887553315237E-2</v>
      </c>
      <c r="AM201" s="5">
        <v>0.81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3:H39"/>
  <sheetViews>
    <sheetView topLeftCell="B1" workbookViewId="0">
      <selection activeCell="C58" sqref="C58"/>
    </sheetView>
  </sheetViews>
  <sheetFormatPr baseColWidth="10" defaultRowHeight="15" x14ac:dyDescent="0"/>
  <cols>
    <col min="1" max="1" width="16.6640625" customWidth="1"/>
    <col min="2" max="2" width="29.83203125" customWidth="1"/>
    <col min="3" max="3" width="82" customWidth="1"/>
    <col min="4" max="4" width="32.6640625" customWidth="1"/>
    <col min="6" max="6" width="63.5" customWidth="1"/>
    <col min="7" max="7" width="40.5" customWidth="1"/>
  </cols>
  <sheetData>
    <row r="3" spans="1:7" s="74" customFormat="1" ht="18">
      <c r="A3" s="74" t="s">
        <v>484</v>
      </c>
      <c r="B3" s="75" t="s">
        <v>485</v>
      </c>
      <c r="C3" s="75" t="s">
        <v>486</v>
      </c>
      <c r="D3" s="75" t="s">
        <v>487</v>
      </c>
      <c r="E3" s="75"/>
      <c r="F3" s="75" t="s">
        <v>488</v>
      </c>
    </row>
    <row r="4" spans="1:7" ht="20">
      <c r="A4" s="39"/>
      <c r="B4" s="28" t="s">
        <v>391</v>
      </c>
      <c r="C4" s="39"/>
      <c r="D4" s="39"/>
      <c r="E4" s="39" t="s">
        <v>424</v>
      </c>
    </row>
    <row r="5" spans="1:7">
      <c r="A5" s="30" t="s">
        <v>420</v>
      </c>
      <c r="B5" s="22" t="s">
        <v>413</v>
      </c>
      <c r="C5" t="s">
        <v>460</v>
      </c>
      <c r="D5" t="s">
        <v>415</v>
      </c>
      <c r="E5" s="25" t="s">
        <v>425</v>
      </c>
      <c r="F5" t="s">
        <v>514</v>
      </c>
      <c r="G5" s="49" t="s">
        <v>459</v>
      </c>
    </row>
    <row r="6" spans="1:7">
      <c r="A6" s="32" t="s">
        <v>421</v>
      </c>
      <c r="B6" s="22" t="s">
        <v>2</v>
      </c>
      <c r="C6" t="s">
        <v>418</v>
      </c>
      <c r="D6" t="s">
        <v>458</v>
      </c>
      <c r="E6" s="25" t="s">
        <v>506</v>
      </c>
      <c r="F6" t="s">
        <v>464</v>
      </c>
      <c r="G6" s="49" t="s">
        <v>457</v>
      </c>
    </row>
    <row r="7" spans="1:7">
      <c r="A7" s="35" t="s">
        <v>422</v>
      </c>
      <c r="B7" s="22" t="s">
        <v>3</v>
      </c>
      <c r="C7" t="s">
        <v>414</v>
      </c>
      <c r="D7" t="s">
        <v>416</v>
      </c>
      <c r="E7" s="25" t="s">
        <v>506</v>
      </c>
      <c r="F7" s="45" t="s">
        <v>454</v>
      </c>
    </row>
    <row r="8" spans="1:7">
      <c r="A8" s="31" t="s">
        <v>420</v>
      </c>
      <c r="B8" s="22" t="s">
        <v>4</v>
      </c>
      <c r="C8" t="s">
        <v>417</v>
      </c>
      <c r="D8" t="s">
        <v>415</v>
      </c>
      <c r="E8" s="26" t="s">
        <v>425</v>
      </c>
      <c r="F8" t="s">
        <v>514</v>
      </c>
      <c r="G8" s="49" t="s">
        <v>459</v>
      </c>
    </row>
    <row r="9" spans="1:7">
      <c r="A9" s="33" t="s">
        <v>421</v>
      </c>
      <c r="B9" s="22" t="s">
        <v>5</v>
      </c>
      <c r="C9" t="s">
        <v>419</v>
      </c>
      <c r="D9" t="s">
        <v>430</v>
      </c>
      <c r="E9" s="26" t="s">
        <v>426</v>
      </c>
      <c r="F9" t="s">
        <v>430</v>
      </c>
      <c r="G9" s="49" t="s">
        <v>461</v>
      </c>
    </row>
    <row r="10" spans="1:7">
      <c r="A10" s="36" t="s">
        <v>422</v>
      </c>
      <c r="B10" s="22" t="s">
        <v>6</v>
      </c>
      <c r="C10" t="s">
        <v>423</v>
      </c>
      <c r="D10" t="s">
        <v>416</v>
      </c>
      <c r="E10" s="26" t="s">
        <v>506</v>
      </c>
      <c r="F10" s="47" t="s">
        <v>455</v>
      </c>
    </row>
    <row r="11" spans="1:7">
      <c r="A11" s="34"/>
      <c r="B11" s="27"/>
      <c r="E11" s="3"/>
    </row>
    <row r="12" spans="1:7" ht="20">
      <c r="A12" s="38"/>
      <c r="B12" s="13" t="s">
        <v>392</v>
      </c>
      <c r="C12" s="12"/>
      <c r="D12" s="12"/>
      <c r="E12" s="40"/>
    </row>
    <row r="13" spans="1:7">
      <c r="A13" s="30" t="s">
        <v>420</v>
      </c>
      <c r="B13" s="23" t="s">
        <v>395</v>
      </c>
      <c r="C13" t="s">
        <v>437</v>
      </c>
      <c r="D13" t="s">
        <v>433</v>
      </c>
      <c r="E13" s="25" t="s">
        <v>425</v>
      </c>
    </row>
    <row r="14" spans="1:7">
      <c r="A14" s="32" t="s">
        <v>421</v>
      </c>
      <c r="B14" s="23" t="s">
        <v>396</v>
      </c>
      <c r="C14" t="s">
        <v>434</v>
      </c>
      <c r="D14" t="s">
        <v>416</v>
      </c>
      <c r="E14" s="25" t="s">
        <v>506</v>
      </c>
      <c r="F14" s="43" t="s">
        <v>451</v>
      </c>
    </row>
    <row r="15" spans="1:7">
      <c r="A15" s="35" t="s">
        <v>422</v>
      </c>
      <c r="B15" s="23" t="s">
        <v>397</v>
      </c>
      <c r="C15" t="s">
        <v>435</v>
      </c>
      <c r="D15" t="s">
        <v>416</v>
      </c>
      <c r="E15" s="25" t="s">
        <v>506</v>
      </c>
      <c r="F15" s="45" t="s">
        <v>452</v>
      </c>
      <c r="G15" s="49" t="s">
        <v>456</v>
      </c>
    </row>
    <row r="16" spans="1:7">
      <c r="A16" s="31" t="s">
        <v>420</v>
      </c>
      <c r="B16" s="23" t="s">
        <v>398</v>
      </c>
      <c r="C16" t="s">
        <v>436</v>
      </c>
      <c r="D16" t="s">
        <v>440</v>
      </c>
      <c r="E16" s="26" t="s">
        <v>425</v>
      </c>
      <c r="F16" s="46" t="s">
        <v>453</v>
      </c>
    </row>
    <row r="17" spans="1:8">
      <c r="A17" s="33" t="s">
        <v>421</v>
      </c>
      <c r="B17" s="23" t="s">
        <v>399</v>
      </c>
      <c r="C17" t="s">
        <v>438</v>
      </c>
      <c r="D17" t="s">
        <v>441</v>
      </c>
      <c r="E17" s="26" t="s">
        <v>506</v>
      </c>
      <c r="F17" t="s">
        <v>441</v>
      </c>
      <c r="G17" s="49" t="s">
        <v>465</v>
      </c>
      <c r="H17" t="s">
        <v>491</v>
      </c>
    </row>
    <row r="18" spans="1:8">
      <c r="A18" s="36" t="s">
        <v>422</v>
      </c>
      <c r="B18" s="23" t="s">
        <v>400</v>
      </c>
      <c r="C18" t="s">
        <v>439</v>
      </c>
      <c r="D18" t="s">
        <v>430</v>
      </c>
      <c r="E18" s="26" t="s">
        <v>507</v>
      </c>
      <c r="F18" s="48" t="s">
        <v>463</v>
      </c>
      <c r="G18" s="49" t="s">
        <v>462</v>
      </c>
    </row>
    <row r="19" spans="1:8">
      <c r="A19" s="34"/>
      <c r="B19" s="27"/>
      <c r="E19" s="3"/>
    </row>
    <row r="20" spans="1:8" ht="20">
      <c r="A20" s="37"/>
      <c r="B20" s="29" t="s">
        <v>393</v>
      </c>
      <c r="C20" s="41"/>
      <c r="D20" s="41"/>
      <c r="E20" s="42"/>
    </row>
    <row r="21" spans="1:8">
      <c r="A21" s="30" t="s">
        <v>420</v>
      </c>
      <c r="B21" s="24" t="s">
        <v>407</v>
      </c>
      <c r="C21" t="s">
        <v>427</v>
      </c>
      <c r="D21" t="s">
        <v>450</v>
      </c>
      <c r="E21" s="25" t="s">
        <v>425</v>
      </c>
      <c r="F21" t="s">
        <v>449</v>
      </c>
      <c r="G21" s="49" t="s">
        <v>448</v>
      </c>
    </row>
    <row r="22" spans="1:8">
      <c r="A22" s="32" t="s">
        <v>421</v>
      </c>
      <c r="B22" s="24" t="s">
        <v>408</v>
      </c>
      <c r="C22" t="s">
        <v>513</v>
      </c>
      <c r="D22" t="s">
        <v>416</v>
      </c>
      <c r="E22" s="25" t="s">
        <v>506</v>
      </c>
      <c r="F22" s="43" t="s">
        <v>466</v>
      </c>
    </row>
    <row r="23" spans="1:8">
      <c r="A23" s="35" t="s">
        <v>422</v>
      </c>
      <c r="B23" s="24" t="s">
        <v>409</v>
      </c>
      <c r="C23" t="s">
        <v>428</v>
      </c>
      <c r="D23" t="s">
        <v>416</v>
      </c>
      <c r="E23" s="25" t="s">
        <v>506</v>
      </c>
      <c r="F23" s="43" t="s">
        <v>447</v>
      </c>
    </row>
    <row r="24" spans="1:8">
      <c r="A24" s="31" t="s">
        <v>420</v>
      </c>
      <c r="B24" s="24" t="s">
        <v>410</v>
      </c>
      <c r="C24" t="s">
        <v>429</v>
      </c>
      <c r="D24" t="s">
        <v>430</v>
      </c>
      <c r="E24" s="26" t="s">
        <v>445</v>
      </c>
      <c r="F24" s="44" t="s">
        <v>444</v>
      </c>
      <c r="G24" s="49" t="s">
        <v>446</v>
      </c>
    </row>
    <row r="25" spans="1:8">
      <c r="A25" s="33" t="s">
        <v>421</v>
      </c>
      <c r="B25" s="24" t="s">
        <v>411</v>
      </c>
      <c r="C25" t="s">
        <v>431</v>
      </c>
      <c r="D25" t="s">
        <v>416</v>
      </c>
      <c r="E25" s="26" t="s">
        <v>506</v>
      </c>
      <c r="F25" s="43" t="s">
        <v>442</v>
      </c>
    </row>
    <row r="26" spans="1:8">
      <c r="A26" s="36" t="s">
        <v>422</v>
      </c>
      <c r="B26" s="24" t="s">
        <v>412</v>
      </c>
      <c r="C26" s="20" t="s">
        <v>432</v>
      </c>
      <c r="D26" t="s">
        <v>416</v>
      </c>
      <c r="E26" s="26" t="s">
        <v>506</v>
      </c>
      <c r="F26" s="43" t="s">
        <v>443</v>
      </c>
    </row>
    <row r="28" spans="1:8" ht="20">
      <c r="A28" s="65"/>
      <c r="B28" s="66" t="s">
        <v>473</v>
      </c>
      <c r="C28" s="67"/>
      <c r="D28" s="67"/>
      <c r="E28" s="68"/>
    </row>
    <row r="29" spans="1:8">
      <c r="A29" s="30" t="s">
        <v>420</v>
      </c>
      <c r="B29" s="69"/>
      <c r="C29" t="s">
        <v>492</v>
      </c>
      <c r="D29" t="s">
        <v>483</v>
      </c>
      <c r="E29" s="25" t="s">
        <v>425</v>
      </c>
    </row>
    <row r="30" spans="1:8">
      <c r="A30" s="32" t="s">
        <v>421</v>
      </c>
      <c r="B30" s="69"/>
      <c r="C30" t="s">
        <v>503</v>
      </c>
      <c r="D30" t="s">
        <v>512</v>
      </c>
      <c r="E30" s="25" t="s">
        <v>508</v>
      </c>
    </row>
    <row r="31" spans="1:8">
      <c r="A31" s="35" t="s">
        <v>422</v>
      </c>
      <c r="B31" s="92" t="s">
        <v>526</v>
      </c>
      <c r="C31" t="s">
        <v>499</v>
      </c>
      <c r="D31" t="s">
        <v>497</v>
      </c>
      <c r="E31" s="25" t="s">
        <v>497</v>
      </c>
    </row>
    <row r="32" spans="1:8" ht="18">
      <c r="A32" s="70"/>
      <c r="B32" s="71" t="s">
        <v>474</v>
      </c>
      <c r="C32" s="67"/>
      <c r="D32" s="67"/>
      <c r="E32" s="67"/>
    </row>
    <row r="33" spans="1:7">
      <c r="A33" s="31" t="s">
        <v>420</v>
      </c>
      <c r="B33" s="69"/>
      <c r="C33" s="72" t="s">
        <v>479</v>
      </c>
      <c r="D33" t="s">
        <v>480</v>
      </c>
      <c r="E33" s="26" t="s">
        <v>489</v>
      </c>
      <c r="G33" s="49" t="s">
        <v>511</v>
      </c>
    </row>
    <row r="34" spans="1:7">
      <c r="A34" s="33" t="s">
        <v>421</v>
      </c>
      <c r="B34" s="69"/>
      <c r="C34" s="73" t="s">
        <v>482</v>
      </c>
      <c r="D34" t="s">
        <v>481</v>
      </c>
      <c r="E34" s="26" t="s">
        <v>506</v>
      </c>
      <c r="F34" s="43" t="s">
        <v>510</v>
      </c>
    </row>
    <row r="35" spans="1:7">
      <c r="A35" s="36" t="s">
        <v>422</v>
      </c>
      <c r="B35" s="92" t="s">
        <v>526</v>
      </c>
      <c r="C35" s="73" t="s">
        <v>478</v>
      </c>
      <c r="D35" t="s">
        <v>416</v>
      </c>
      <c r="E35" s="26" t="s">
        <v>506</v>
      </c>
      <c r="F35" s="43" t="s">
        <v>442</v>
      </c>
    </row>
    <row r="36" spans="1:7" ht="18">
      <c r="A36" s="70"/>
      <c r="B36" s="71" t="s">
        <v>475</v>
      </c>
      <c r="C36" s="67"/>
      <c r="D36" s="67"/>
      <c r="E36" s="67"/>
    </row>
    <row r="37" spans="1:7">
      <c r="A37" s="31" t="s">
        <v>420</v>
      </c>
      <c r="B37" s="69"/>
      <c r="C37" t="s">
        <v>500</v>
      </c>
      <c r="D37" t="s">
        <v>509</v>
      </c>
      <c r="E37" s="26" t="s">
        <v>490</v>
      </c>
    </row>
    <row r="38" spans="1:7">
      <c r="A38" s="33" t="s">
        <v>421</v>
      </c>
      <c r="B38" s="69"/>
      <c r="C38" t="s">
        <v>501</v>
      </c>
      <c r="D38" t="s">
        <v>416</v>
      </c>
      <c r="E38" s="26" t="s">
        <v>506</v>
      </c>
      <c r="F38" s="43" t="s">
        <v>505</v>
      </c>
    </row>
    <row r="39" spans="1:7">
      <c r="A39" s="36" t="s">
        <v>422</v>
      </c>
      <c r="B39" s="92" t="s">
        <v>526</v>
      </c>
      <c r="C39" s="20" t="s">
        <v>502</v>
      </c>
      <c r="D39" t="s">
        <v>416</v>
      </c>
      <c r="E39" s="26" t="s">
        <v>506</v>
      </c>
      <c r="F39" s="43" t="s">
        <v>504</v>
      </c>
    </row>
  </sheetData>
  <phoneticPr fontId="20" type="noConversion"/>
  <pageMargins left="0.75000000000000011" right="0.75000000000000011" top="1" bottom="1" header="0.5" footer="0.5"/>
  <pageSetup scale="52" orientation="landscape" horizontalDpi="4294967292" verticalDpi="4294967292"/>
  <extLst>
    <ext xmlns:mx="http://schemas.microsoft.com/office/mac/excel/2008/main" uri="{64002731-A6B0-56B0-2670-7721B7C09600}">
      <mx:PLV Mode="0" OnePage="0" WScale="10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5:Q203"/>
  <sheetViews>
    <sheetView workbookViewId="0">
      <selection activeCell="G52" sqref="G52"/>
    </sheetView>
  </sheetViews>
  <sheetFormatPr baseColWidth="10" defaultRowHeight="15" x14ac:dyDescent="0"/>
  <sheetData>
    <row r="5" spans="1:17">
      <c r="J5">
        <f t="array" aca="1" ref="J5" ca="1">SUM(IF($H12=INDIRECT($C$10),IF(ISNUMBER('Full Scores'!D$10:D$201),1,0),0))</f>
        <v>44</v>
      </c>
      <c r="K5">
        <f t="array" aca="1" ref="K5" ca="1">SUM(IF($H12=INDIRECT($C$10),IF(ISNUMBER('Full Scores'!E$10:E$201),1,0),0))</f>
        <v>51</v>
      </c>
      <c r="L5">
        <f t="array" aca="1" ref="L5" ca="1">SUM(IF($H12=INDIRECT($C$10),IF(ISNUMBER('Full Scores'!F$10:F$201),1,0),0))</f>
        <v>47</v>
      </c>
      <c r="M5">
        <f t="array" aca="1" ref="M5" ca="1">SUM(IF($H12=INDIRECT($C$10),IF(ISNUMBER('Full Scores'!G$10:G$201),1,0),0))</f>
        <v>46</v>
      </c>
      <c r="N5">
        <f t="array" aca="1" ref="N5" ca="1">SUM(IF($H12=INDIRECT($C$10),IF(ISNUMBER('Full Scores'!H$10:H$201),1,0),0))</f>
        <v>50</v>
      </c>
      <c r="O5">
        <f t="array" aca="1" ref="O5" ca="1">SUM(IF($H12=INDIRECT($C$10),IF(ISNUMBER('Full Scores'!I$10:I$201),1,0),0))</f>
        <v>49</v>
      </c>
      <c r="P5">
        <f t="array" aca="1" ref="P5" ca="1">SUM(IF($H12=INDIRECT($C$10),IF(ISNUMBER('Full Scores'!J$10:J$201),1,0),0))</f>
        <v>49</v>
      </c>
      <c r="Q5">
        <f t="array" aca="1" ref="Q5" ca="1">SUM(IF($H12=INDIRECT($C$10),IF(ISNUMBER('Full Scores'!K$10:K$201),1,0),0))</f>
        <v>49</v>
      </c>
    </row>
    <row r="6" spans="1:17">
      <c r="J6">
        <f t="array" aca="1" ref="J6" ca="1">SUM(IF($H13=INDIRECT($C$10),IF(ISNUMBER('Full Scores'!D$10:D$201),1,0),0))</f>
        <v>50</v>
      </c>
      <c r="K6">
        <f t="array" aca="1" ref="K6" ca="1">SUM(IF($H13=INDIRECT($C$10),IF(ISNUMBER('Full Scores'!E$10:E$201),1,0),0))</f>
        <v>52</v>
      </c>
      <c r="L6">
        <f t="array" aca="1" ref="L6" ca="1">SUM(IF($H13=INDIRECT($C$10),IF(ISNUMBER('Full Scores'!F$10:F$201),1,0),0))</f>
        <v>50</v>
      </c>
      <c r="M6">
        <f t="array" aca="1" ref="M6" ca="1">SUM(IF($H13=INDIRECT($C$10),IF(ISNUMBER('Full Scores'!G$10:G$201),1,0),0))</f>
        <v>52</v>
      </c>
      <c r="N6">
        <f t="array" aca="1" ref="N6" ca="1">SUM(IF($H13=INDIRECT($C$10),IF(ISNUMBER('Full Scores'!H$10:H$201),1,0),0))</f>
        <v>52</v>
      </c>
      <c r="O6">
        <f t="array" aca="1" ref="O6" ca="1">SUM(IF($H13=INDIRECT($C$10),IF(ISNUMBER('Full Scores'!I$10:I$201),1,0),0))</f>
        <v>52</v>
      </c>
      <c r="P6">
        <f t="array" aca="1" ref="P6" ca="1">SUM(IF($H13=INDIRECT($C$10),IF(ISNUMBER('Full Scores'!J$10:J$201),1,0),0))</f>
        <v>52</v>
      </c>
      <c r="Q6">
        <f t="array" aca="1" ref="Q6" ca="1">SUM(IF($H13=INDIRECT($C$10),IF(ISNUMBER('Full Scores'!K$10:K$201),1,0),0))</f>
        <v>52</v>
      </c>
    </row>
    <row r="7" spans="1:17">
      <c r="J7">
        <f t="array" aca="1" ref="J7" ca="1">SUM(IF($H14=INDIRECT($C$10),IF(ISNUMBER('Full Scores'!D$10:D$201),1,0),0))</f>
        <v>32</v>
      </c>
      <c r="K7">
        <f t="array" aca="1" ref="K7" ca="1">SUM(IF($H14=INDIRECT($C$10),IF(ISNUMBER('Full Scores'!E$10:E$201),1,0),0))</f>
        <v>35</v>
      </c>
      <c r="L7">
        <f t="array" aca="1" ref="L7" ca="1">SUM(IF($H14=INDIRECT($C$10),IF(ISNUMBER('Full Scores'!F$10:F$201),1,0),0))</f>
        <v>33</v>
      </c>
      <c r="M7">
        <f t="array" aca="1" ref="M7" ca="1">SUM(IF($H14=INDIRECT($C$10),IF(ISNUMBER('Full Scores'!G$10:G$201),1,0),0))</f>
        <v>36</v>
      </c>
      <c r="N7">
        <f t="array" aca="1" ref="N7" ca="1">SUM(IF($H14=INDIRECT($C$10),IF(ISNUMBER('Full Scores'!H$10:H$201),1,0),0))</f>
        <v>37</v>
      </c>
      <c r="O7">
        <f t="array" aca="1" ref="O7" ca="1">SUM(IF($H14=INDIRECT($C$10),IF(ISNUMBER('Full Scores'!I$10:I$201),1,0),0))</f>
        <v>36</v>
      </c>
      <c r="P7">
        <f t="array" aca="1" ref="P7" ca="1">SUM(IF($H14=INDIRECT($C$10),IF(ISNUMBER('Full Scores'!J$10:J$201),1,0),0))</f>
        <v>36</v>
      </c>
      <c r="Q7">
        <f t="array" aca="1" ref="Q7" ca="1">SUM(IF($H14=INDIRECT($C$10),IF(ISNUMBER('Full Scores'!K$10:K$201),1,0),0))</f>
        <v>36</v>
      </c>
    </row>
    <row r="8" spans="1:17">
      <c r="J8">
        <f t="array" aca="1" ref="J8" ca="1">SUM(IF($H15=INDIRECT($C$10),IF(ISNUMBER('Full Scores'!D$10:D$201),1,0),0))</f>
        <v>18</v>
      </c>
      <c r="K8">
        <f t="array" aca="1" ref="K8" ca="1">SUM(IF($H15=INDIRECT($C$10),IF(ISNUMBER('Full Scores'!E$10:E$201),1,0),0))</f>
        <v>19</v>
      </c>
      <c r="L8">
        <f t="array" aca="1" ref="L8" ca="1">SUM(IF($H15=INDIRECT($C$10),IF(ISNUMBER('Full Scores'!F$10:F$201),1,0),0))</f>
        <v>20</v>
      </c>
      <c r="M8">
        <f t="array" aca="1" ref="M8" ca="1">SUM(IF($H15=INDIRECT($C$10),IF(ISNUMBER('Full Scores'!G$10:G$201),1,0),0))</f>
        <v>21</v>
      </c>
      <c r="N8">
        <f t="array" aca="1" ref="N8" ca="1">SUM(IF($H15=INDIRECT($C$10),IF(ISNUMBER('Full Scores'!H$10:H$201),1,0),0))</f>
        <v>19</v>
      </c>
      <c r="O8">
        <f t="array" aca="1" ref="O8" ca="1">SUM(IF($H15=INDIRECT($C$10),IF(ISNUMBER('Full Scores'!I$10:I$201),1,0),0))</f>
        <v>21</v>
      </c>
      <c r="P8">
        <f t="array" aca="1" ref="P8" ca="1">SUM(IF($H15=INDIRECT($C$10),IF(ISNUMBER('Full Scores'!J$10:J$201),1,0),0))</f>
        <v>21</v>
      </c>
      <c r="Q8">
        <f t="array" aca="1" ref="Q8" ca="1">SUM(IF($H15=INDIRECT($C$10),IF(ISNUMBER('Full Scores'!K$10:K$201),1,0),0))</f>
        <v>21</v>
      </c>
    </row>
    <row r="9" spans="1:17">
      <c r="J9">
        <f t="array" aca="1" ref="J9" ca="1">SUM(IF($H16=INDIRECT($C$10),IF(ISNUMBER('Full Scores'!D$10:D$201),1,0),0))</f>
        <v>27</v>
      </c>
      <c r="K9">
        <f t="array" aca="1" ref="K9" ca="1">SUM(IF($H16=INDIRECT($C$10),IF(ISNUMBER('Full Scores'!E$10:E$201),1,0),0))</f>
        <v>27</v>
      </c>
      <c r="L9">
        <f t="array" aca="1" ref="L9" ca="1">SUM(IF($H16=INDIRECT($C$10),IF(ISNUMBER('Full Scores'!F$10:F$201),1,0),0))</f>
        <v>27</v>
      </c>
      <c r="M9">
        <f t="array" aca="1" ref="M9" ca="1">SUM(IF($H16=INDIRECT($C$10),IF(ISNUMBER('Full Scores'!G$10:G$201),1,0),0))</f>
        <v>27</v>
      </c>
      <c r="N9">
        <f t="array" aca="1" ref="N9" ca="1">SUM(IF($H16=INDIRECT($C$10),IF(ISNUMBER('Full Scores'!H$10:H$201),1,0),0))</f>
        <v>27</v>
      </c>
      <c r="O9">
        <f t="array" aca="1" ref="O9" ca="1">SUM(IF($H16=INDIRECT($C$10),IF(ISNUMBER('Full Scores'!I$10:I$201),1,0),0))</f>
        <v>27</v>
      </c>
      <c r="P9">
        <f t="array" aca="1" ref="P9" ca="1">SUM(IF($H16=INDIRECT($C$10),IF(ISNUMBER('Full Scores'!J$10:J$201),1,0),0))</f>
        <v>27</v>
      </c>
      <c r="Q9">
        <f t="array" aca="1" ref="Q9" ca="1">SUM(IF($H16=INDIRECT($C$10),IF(ISNUMBER('Full Scores'!K$10:K$201),1,0),0))</f>
        <v>27</v>
      </c>
    </row>
    <row r="10" spans="1:17">
      <c r="C10" s="8" t="s">
        <v>516</v>
      </c>
      <c r="I10" s="8"/>
      <c r="J10">
        <f t="array" ref="J10">SUM(IF(ISNUMBER('Full Scores'!D$10:D$201),1,0))</f>
        <v>171</v>
      </c>
      <c r="K10">
        <f t="array" ref="K10">SUM(IF(ISNUMBER('Full Scores'!E$10:E$201),1,0))</f>
        <v>184</v>
      </c>
      <c r="L10">
        <f t="array" ref="L10">SUM(IF(ISNUMBER('Full Scores'!F$10:F$201),1,0))</f>
        <v>177</v>
      </c>
      <c r="M10">
        <f t="array" ref="M10">SUM(IF(ISNUMBER('Full Scores'!G$10:G$201),1,0))</f>
        <v>182</v>
      </c>
      <c r="N10">
        <f t="array" ref="N10">SUM(IF(ISNUMBER('Full Scores'!H$10:H$201),1,0))</f>
        <v>185</v>
      </c>
      <c r="O10">
        <f t="array" ref="O10">SUM(IF(ISNUMBER('Full Scores'!I$10:I$201),1,0))</f>
        <v>185</v>
      </c>
      <c r="P10">
        <f t="array" ref="P10">SUM(IF(ISNUMBER('Full Scores'!J$10:J$201),1,0))</f>
        <v>185</v>
      </c>
      <c r="Q10">
        <f t="array" ref="Q10">SUM(IF(ISNUMBER('Full Scores'!K$10:K$201),1,0))</f>
        <v>185</v>
      </c>
    </row>
    <row r="11" spans="1:17" s="20" customFormat="1">
      <c r="C11" s="87" t="s">
        <v>515</v>
      </c>
      <c r="I11" s="87" t="s">
        <v>515</v>
      </c>
      <c r="J11" s="2" t="s">
        <v>394</v>
      </c>
      <c r="K11" s="2" t="s">
        <v>391</v>
      </c>
      <c r="L11" s="2" t="s">
        <v>392</v>
      </c>
      <c r="M11" s="2" t="s">
        <v>393</v>
      </c>
      <c r="N11" s="2" t="s">
        <v>498</v>
      </c>
      <c r="O11" s="103" t="s">
        <v>420</v>
      </c>
      <c r="P11" s="103" t="s">
        <v>421</v>
      </c>
      <c r="Q11" s="103" t="s">
        <v>422</v>
      </c>
    </row>
    <row r="12" spans="1:17">
      <c r="A12" s="16" t="s">
        <v>7</v>
      </c>
      <c r="B12" s="15" t="s">
        <v>8</v>
      </c>
      <c r="C12" s="88">
        <v>1</v>
      </c>
      <c r="H12">
        <v>1</v>
      </c>
      <c r="I12" t="s">
        <v>521</v>
      </c>
      <c r="J12" s="5">
        <f t="array" aca="1" ref="J12" ca="1">SUM(IF($H12=INDIRECT($C$10),IF(ISNUMBER('Full Scores'!D$10:D$201),'Full Scores'!D$10:D$201,0),0))/J5</f>
        <v>0.46686702648882039</v>
      </c>
      <c r="K12" s="5">
        <f t="array" aca="1" ref="K12" ca="1">SUM(IF($H12=INDIRECT($C$10),IF(ISNUMBER('Full Scores'!E$10:E$201),'Full Scores'!E$10:E$201,0),0))/K5</f>
        <v>0.36620977927851878</v>
      </c>
      <c r="L12" s="5">
        <f t="array" aca="1" ref="L12" ca="1">SUM(IF($H12=INDIRECT($C$10),IF(ISNUMBER('Full Scores'!F$10:F$201),'Full Scores'!F$10:F$201,0),0))/L5</f>
        <v>0.56731255661240654</v>
      </c>
      <c r="M12" s="5">
        <f t="array" aca="1" ref="M12" ca="1">SUM(IF($H12=INDIRECT($C$10),IF(ISNUMBER('Full Scores'!G$10:G$201),'Full Scores'!G$10:G$201,0),0))/M5</f>
        <v>0.57045002954733126</v>
      </c>
      <c r="N12" s="5">
        <f t="array" aca="1" ref="N12" ca="1">SUM(IF($H12=INDIRECT($C$10),IF(ISNUMBER('Full Scores'!H$10:H$201),'Full Scores'!H$10:H$201,0),0))/N5</f>
        <v>0.35860519300377836</v>
      </c>
      <c r="O12" s="5">
        <f t="array" aca="1" ref="O12" ca="1">SUM(IF($H12=INDIRECT($C$10),IF(ISNUMBER('Full Scores'!I$10:I$201),'Full Scores'!I$10:I$201,0),0))/O5</f>
        <v>0.40007967651032866</v>
      </c>
      <c r="P12" s="5">
        <f t="array" aca="1" ref="P12" ca="1">SUM(IF($H12=INDIRECT($C$10),IF(ISNUMBER('Full Scores'!J$10:J$201),'Full Scores'!J$10:J$201,0),0))/P5</f>
        <v>0.44246496788141998</v>
      </c>
      <c r="Q12" s="5">
        <f t="array" aca="1" ref="Q12" ca="1">SUM(IF($H12=INDIRECT($C$10),IF(ISNUMBER('Full Scores'!K$10:K$201),'Full Scores'!K$10:K$201,0),0))/Q5</f>
        <v>0.60069474959525282</v>
      </c>
    </row>
    <row r="13" spans="1:17">
      <c r="A13" s="16" t="s">
        <v>9</v>
      </c>
      <c r="B13" s="15" t="s">
        <v>10</v>
      </c>
      <c r="C13" s="88">
        <v>2</v>
      </c>
      <c r="H13">
        <v>2</v>
      </c>
      <c r="I13" t="s">
        <v>522</v>
      </c>
      <c r="J13" s="5">
        <f t="array" aca="1" ref="J13" ca="1">SUM(IF($H13=INDIRECT($C$10),IF(ISNUMBER('Full Scores'!D$10:D$201),'Full Scores'!D$10:D$201,0),0))/J6</f>
        <v>0.33093497181926324</v>
      </c>
      <c r="K13" s="5">
        <f t="array" aca="1" ref="K13" ca="1">SUM(IF($H13=INDIRECT($C$10),IF(ISNUMBER('Full Scores'!E$10:E$201),'Full Scores'!E$10:E$201,0),0))/K6</f>
        <v>0.28629715043830006</v>
      </c>
      <c r="L13" s="5">
        <f t="array" aca="1" ref="L13" ca="1">SUM(IF($H13=INDIRECT($C$10),IF(ISNUMBER('Full Scores'!F$10:F$201),'Full Scores'!F$10:F$201,0),0))/L6</f>
        <v>0.44483883348315778</v>
      </c>
      <c r="M13" s="5">
        <f t="array" aca="1" ref="M13" ca="1">SUM(IF($H13=INDIRECT($C$10),IF(ISNUMBER('Full Scores'!G$10:G$201),'Full Scores'!G$10:G$201,0),0))/M6</f>
        <v>0.35646319358696626</v>
      </c>
      <c r="N13" s="5">
        <f t="array" aca="1" ref="N13" ca="1">SUM(IF($H13=INDIRECT($C$10),IF(ISNUMBER('Full Scores'!H$10:H$201),'Full Scores'!H$10:H$201,0),0))/N6</f>
        <v>0.25610347988127119</v>
      </c>
      <c r="O13" s="5">
        <f t="array" aca="1" ref="O13" ca="1">SUM(IF($H13=INDIRECT($C$10),IF(ISNUMBER('Full Scores'!I$10:I$201),'Full Scores'!I$10:I$201,0),0))/O6</f>
        <v>0.31522301624354127</v>
      </c>
      <c r="P13" s="5">
        <f t="array" aca="1" ref="P13" ca="1">SUM(IF($H13=INDIRECT($C$10),IF(ISNUMBER('Full Scores'!J$10:J$201),'Full Scores'!J$10:J$201,0),0))/P6</f>
        <v>0.36559495762556071</v>
      </c>
      <c r="Q13" s="5">
        <f t="array" aca="1" ref="Q13" ca="1">SUM(IF($H13=INDIRECT($C$10),IF(ISNUMBER('Full Scores'!K$10:K$201),'Full Scores'!K$10:K$201,0),0))/Q6</f>
        <v>0.31901731714504972</v>
      </c>
    </row>
    <row r="14" spans="1:17">
      <c r="A14" s="16" t="s">
        <v>11</v>
      </c>
      <c r="B14" s="15" t="s">
        <v>12</v>
      </c>
      <c r="C14" s="88">
        <v>2</v>
      </c>
      <c r="H14">
        <v>3</v>
      </c>
      <c r="I14" t="s">
        <v>523</v>
      </c>
      <c r="J14" s="5">
        <f t="array" aca="1" ref="J14" ca="1">SUM(IF($H14=INDIRECT($C$10),IF(ISNUMBER('Full Scores'!D$10:D$201),'Full Scores'!D$10:D$201,0),0))/J7</f>
        <v>0.26987814771641994</v>
      </c>
      <c r="K14" s="5">
        <f t="array" aca="1" ref="K14" ca="1">SUM(IF($H14=INDIRECT($C$10),IF(ISNUMBER('Full Scores'!E$10:E$201),'Full Scores'!E$10:E$201,0),0))/K7</f>
        <v>0.21991433076665926</v>
      </c>
      <c r="L14" s="5">
        <f t="array" aca="1" ref="L14" ca="1">SUM(IF($H14=INDIRECT($C$10),IF(ISNUMBER('Full Scores'!F$10:F$201),'Full Scores'!F$10:F$201,0),0))/L7</f>
        <v>0.37490038638814083</v>
      </c>
      <c r="M14" s="5">
        <f t="array" aca="1" ref="M14" ca="1">SUM(IF($H14=INDIRECT($C$10),IF(ISNUMBER('Full Scores'!G$10:G$201),'Full Scores'!G$10:G$201,0),0))/M7</f>
        <v>0.27916156997476471</v>
      </c>
      <c r="N14" s="5">
        <f t="array" aca="1" ref="N14" ca="1">SUM(IF($H14=INDIRECT($C$10),IF(ISNUMBER('Full Scores'!H$10:H$201),'Full Scores'!H$10:H$201,0),0))/N7</f>
        <v>0.21141934044697755</v>
      </c>
      <c r="O14" s="5">
        <f t="array" aca="1" ref="O14" ca="1">SUM(IF($H14=INDIRECT($C$10),IF(ISNUMBER('Full Scores'!I$10:I$201),'Full Scores'!I$10:I$201,0),0))/O7</f>
        <v>0.30135822399026269</v>
      </c>
      <c r="P14" s="5">
        <f t="array" aca="1" ref="P14" ca="1">SUM(IF($H14=INDIRECT($C$10),IF(ISNUMBER('Full Scores'!J$10:J$201),'Full Scores'!J$10:J$201,0),0))/P7</f>
        <v>0.2973376129608773</v>
      </c>
      <c r="Q14" s="5">
        <f t="array" aca="1" ref="Q14" ca="1">SUM(IF($H14=INDIRECT($C$10),IF(ISNUMBER('Full Scores'!K$10:K$201),'Full Scores'!K$10:K$201,0),0))/Q7</f>
        <v>0.20633319752225662</v>
      </c>
    </row>
    <row r="15" spans="1:17">
      <c r="A15" s="16" t="s">
        <v>13</v>
      </c>
      <c r="B15" s="15" t="s">
        <v>14</v>
      </c>
      <c r="C15" s="88">
        <v>4</v>
      </c>
      <c r="H15">
        <v>4</v>
      </c>
      <c r="I15" t="s">
        <v>524</v>
      </c>
      <c r="J15" s="5">
        <f t="array" aca="1" ref="J15" ca="1">SUM(IF($H15=INDIRECT($C$10),IF(ISNUMBER('Full Scores'!D$10:D$201),'Full Scores'!D$10:D$201,0),0))/J8</f>
        <v>0.26750416803031718</v>
      </c>
      <c r="K15" s="5">
        <f t="array" aca="1" ref="K15" ca="1">SUM(IF($H15=INDIRECT($C$10),IF(ISNUMBER('Full Scores'!E$10:E$201),'Full Scores'!E$10:E$201,0),0))/K8</f>
        <v>0.25368590351165876</v>
      </c>
      <c r="L15" s="5">
        <f t="array" aca="1" ref="L15" ca="1">SUM(IF($H15=INDIRECT($C$10),IF(ISNUMBER('Full Scores'!F$10:F$201),'Full Scores'!F$10:F$201,0),0))/L8</f>
        <v>0.42552774920917047</v>
      </c>
      <c r="M15" s="5">
        <f t="array" aca="1" ref="M15" ca="1">SUM(IF($H15=INDIRECT($C$10),IF(ISNUMBER('Full Scores'!G$10:G$201),'Full Scores'!G$10:G$201,0),0))/M8</f>
        <v>0.19592634485749</v>
      </c>
      <c r="N15" s="5">
        <f t="array" aca="1" ref="N15" ca="1">SUM(IF($H15=INDIRECT($C$10),IF(ISNUMBER('Full Scores'!H$10:H$201),'Full Scores'!H$10:H$201,0),0))/N8</f>
        <v>0.17420290936314217</v>
      </c>
      <c r="O15" s="5">
        <f t="array" aca="1" ref="O15" ca="1">SUM(IF($H15=INDIRECT($C$10),IF(ISNUMBER('Full Scores'!I$10:I$201),'Full Scores'!I$10:I$201,0),0))/O8</f>
        <v>0.2659916565176233</v>
      </c>
      <c r="P15" s="5">
        <f t="array" aca="1" ref="P15" ca="1">SUM(IF($H15=INDIRECT($C$10),IF(ISNUMBER('Full Scores'!J$10:J$201),'Full Scores'!J$10:J$201,0),0))/P8</f>
        <v>0.31596553701311048</v>
      </c>
      <c r="Q15" s="5">
        <f t="array" aca="1" ref="Q15" ca="1">SUM(IF($H15=INDIRECT($C$10),IF(ISNUMBER('Full Scores'!K$10:K$201),'Full Scores'!K$10:K$201,0),0))/Q8</f>
        <v>0.16292324286252952</v>
      </c>
    </row>
    <row r="16" spans="1:17">
      <c r="A16" s="16" t="s">
        <v>15</v>
      </c>
      <c r="B16" s="15" t="s">
        <v>16</v>
      </c>
      <c r="C16" s="88">
        <v>2</v>
      </c>
      <c r="H16">
        <v>5</v>
      </c>
      <c r="I16" t="s">
        <v>525</v>
      </c>
      <c r="J16" s="5">
        <f t="array" aca="1" ref="J16" ca="1">SUM(IF($H16=INDIRECT($C$10),IF(ISNUMBER('Full Scores'!D$10:D$201),'Full Scores'!D$10:D$201,0),0))/J9</f>
        <v>0.18042801963370667</v>
      </c>
      <c r="K16" s="5">
        <f t="array" aca="1" ref="K16" ca="1">SUM(IF($H16=INDIRECT($C$10),IF(ISNUMBER('Full Scores'!E$10:E$201),'Full Scores'!E$10:E$201,0),0))/K9</f>
        <v>0.18153170240241503</v>
      </c>
      <c r="L16" s="5">
        <f t="array" aca="1" ref="L16" ca="1">SUM(IF($H16=INDIRECT($C$10),IF(ISNUMBER('Full Scores'!F$10:F$201),'Full Scores'!F$10:F$201,0),0))/L9</f>
        <v>0.2442943992767839</v>
      </c>
      <c r="M16" s="5">
        <f t="array" aca="1" ref="M16" ca="1">SUM(IF($H16=INDIRECT($C$10),IF(ISNUMBER('Full Scores'!G$10:G$201),'Full Scores'!G$10:G$201,0),0))/M9</f>
        <v>0.11936303517155832</v>
      </c>
      <c r="N16" s="5">
        <f t="array" aca="1" ref="N16" ca="1">SUM(IF($H16=INDIRECT($C$10),IF(ISNUMBER('Full Scores'!H$10:H$201),'Full Scores'!H$10:H$201,0),0))/N9</f>
        <v>0.17652294168406935</v>
      </c>
      <c r="O16" s="5">
        <f t="array" aca="1" ref="O16" ca="1">SUM(IF($H16=INDIRECT($C$10),IF(ISNUMBER('Full Scores'!I$10:I$201),'Full Scores'!I$10:I$201,0),0))/O9</f>
        <v>0.22869015172723695</v>
      </c>
      <c r="P16" s="5">
        <f t="array" aca="1" ref="P16" ca="1">SUM(IF($H16=INDIRECT($C$10),IF(ISNUMBER('Full Scores'!J$10:J$201),'Full Scores'!J$10:J$201,0),0))/P9</f>
        <v>0.21084702201421568</v>
      </c>
      <c r="Q16" s="5">
        <f t="array" aca="1" ref="Q16" ca="1">SUM(IF($H16=INDIRECT($C$10),IF(ISNUMBER('Full Scores'!K$10:K$201),'Full Scores'!K$10:K$201,0),0))/Q9</f>
        <v>6.2406317922647801E-2</v>
      </c>
    </row>
    <row r="17" spans="1:17">
      <c r="A17" s="16" t="s">
        <v>17</v>
      </c>
      <c r="B17" s="15" t="s">
        <v>18</v>
      </c>
      <c r="C17" s="88">
        <v>4</v>
      </c>
      <c r="H17">
        <v>6</v>
      </c>
      <c r="I17" t="s">
        <v>517</v>
      </c>
      <c r="J17" s="5">
        <f t="array" ref="J17">SUM(IF(ISNUMBER('Full Scores'!D$10:D$201),'Full Scores'!D$10:D$201,0))/J10</f>
        <v>0.32404462010557</v>
      </c>
      <c r="K17" s="5">
        <f t="array" ref="K17">SUM(IF(ISNUMBER('Full Scores'!E$10:E$201),'Full Scores'!E$10:E$201,0))/K10</f>
        <v>0.27707902323052108</v>
      </c>
      <c r="L17" s="5">
        <f t="array" ref="L17">SUM(IF(ISNUMBER('Full Scores'!F$10:F$201),'Full Scores'!F$10:F$201,0))/L10</f>
        <v>0.43154716582150393</v>
      </c>
      <c r="M17" s="5">
        <f t="array" ref="M17">SUM(IF(ISNUMBER('Full Scores'!G$10:G$201),'Full Scores'!G$10:G$201,0))/M10</f>
        <v>0.34155966558478218</v>
      </c>
      <c r="N17" s="5">
        <f t="array" ref="N17">SUM(IF(ISNUMBER('Full Scores'!H$10:H$201),'Full Scores'!H$10:H$201,0))/N10</f>
        <v>0.25484395083201505</v>
      </c>
      <c r="O17" s="5">
        <f t="array" ref="O17">SUM(IF(ISNUMBER('Full Scores'!I$10:I$201),'Full Scores'!I$10:I$201,0))/O10</f>
        <v>0.31678300508554164</v>
      </c>
      <c r="P17" s="5">
        <f t="array" ref="P17">SUM(IF(ISNUMBER('Full Scores'!J$10:J$201),'Full Scores'!J$10:J$201,0))/P10</f>
        <v>0.34445416843767274</v>
      </c>
      <c r="Q17" s="5">
        <f t="array" ref="Q17">SUM(IF(ISNUMBER('Full Scores'!K$10:K$201),'Full Scores'!K$10:K$201,0))/Q10</f>
        <v>0.31652592981911265</v>
      </c>
    </row>
    <row r="18" spans="1:17">
      <c r="A18" s="16" t="s">
        <v>19</v>
      </c>
      <c r="B18" s="15" t="s">
        <v>20</v>
      </c>
      <c r="C18" s="88">
        <v>3</v>
      </c>
    </row>
    <row r="19" spans="1:17">
      <c r="A19" s="16" t="s">
        <v>21</v>
      </c>
      <c r="B19" s="15" t="s">
        <v>22</v>
      </c>
      <c r="C19" s="88">
        <v>2</v>
      </c>
    </row>
    <row r="20" spans="1:17">
      <c r="A20" s="16" t="s">
        <v>23</v>
      </c>
      <c r="B20" s="15" t="s">
        <v>24</v>
      </c>
      <c r="C20" s="88">
        <v>5</v>
      </c>
    </row>
    <row r="21" spans="1:17">
      <c r="A21" s="16" t="s">
        <v>25</v>
      </c>
      <c r="B21" s="15" t="s">
        <v>26</v>
      </c>
      <c r="C21" s="88">
        <v>5</v>
      </c>
    </row>
    <row r="22" spans="1:17">
      <c r="A22" s="16" t="s">
        <v>27</v>
      </c>
      <c r="B22" s="15" t="s">
        <v>28</v>
      </c>
      <c r="C22" s="88">
        <v>2</v>
      </c>
    </row>
    <row r="23" spans="1:17">
      <c r="A23" s="16" t="s">
        <v>29</v>
      </c>
      <c r="B23" s="15" t="s">
        <v>30</v>
      </c>
      <c r="C23" s="88">
        <v>4</v>
      </c>
    </row>
    <row r="24" spans="1:17">
      <c r="A24" s="16" t="s">
        <v>31</v>
      </c>
      <c r="B24" s="15" t="s">
        <v>32</v>
      </c>
      <c r="C24" s="88">
        <v>4</v>
      </c>
    </row>
    <row r="25" spans="1:17">
      <c r="A25" s="16" t="s">
        <v>33</v>
      </c>
      <c r="B25" s="15" t="s">
        <v>34</v>
      </c>
      <c r="C25" s="88">
        <v>1</v>
      </c>
    </row>
    <row r="26" spans="1:17">
      <c r="A26" s="16" t="s">
        <v>35</v>
      </c>
      <c r="B26" s="15" t="s">
        <v>36</v>
      </c>
      <c r="C26" s="88">
        <v>4</v>
      </c>
    </row>
    <row r="27" spans="1:17">
      <c r="A27" s="16" t="s">
        <v>37</v>
      </c>
      <c r="B27" s="15" t="s">
        <v>38</v>
      </c>
      <c r="C27" s="88">
        <v>3</v>
      </c>
    </row>
    <row r="28" spans="1:17">
      <c r="A28" s="16" t="s">
        <v>39</v>
      </c>
      <c r="B28" s="15" t="s">
        <v>40</v>
      </c>
      <c r="C28" s="88">
        <v>5</v>
      </c>
    </row>
    <row r="29" spans="1:17">
      <c r="A29" s="16" t="s">
        <v>41</v>
      </c>
      <c r="B29" s="15" t="s">
        <v>42</v>
      </c>
      <c r="C29" s="88">
        <v>3</v>
      </c>
    </row>
    <row r="30" spans="1:17">
      <c r="A30" s="16" t="s">
        <v>43</v>
      </c>
      <c r="B30" s="15" t="s">
        <v>44</v>
      </c>
      <c r="C30" s="88">
        <v>1</v>
      </c>
    </row>
    <row r="31" spans="1:17">
      <c r="A31" s="16" t="s">
        <v>45</v>
      </c>
      <c r="B31" s="15" t="s">
        <v>46</v>
      </c>
      <c r="C31" s="88">
        <v>2</v>
      </c>
    </row>
    <row r="32" spans="1:17">
      <c r="A32" s="16" t="s">
        <v>47</v>
      </c>
      <c r="B32" s="15" t="s">
        <v>48</v>
      </c>
      <c r="C32" s="88">
        <v>2</v>
      </c>
    </row>
    <row r="33" spans="1:3">
      <c r="A33" s="16" t="s">
        <v>49</v>
      </c>
      <c r="B33" s="15" t="s">
        <v>50</v>
      </c>
      <c r="C33" s="88">
        <v>2</v>
      </c>
    </row>
    <row r="34" spans="1:3">
      <c r="A34" s="16" t="s">
        <v>51</v>
      </c>
      <c r="B34" s="15" t="s">
        <v>52</v>
      </c>
      <c r="C34" s="88">
        <v>3</v>
      </c>
    </row>
    <row r="35" spans="1:3">
      <c r="A35" s="16" t="s">
        <v>53</v>
      </c>
      <c r="B35" s="15" t="s">
        <v>54</v>
      </c>
      <c r="C35" s="88">
        <v>3</v>
      </c>
    </row>
    <row r="36" spans="1:3">
      <c r="A36" s="16" t="s">
        <v>55</v>
      </c>
      <c r="B36" s="15" t="s">
        <v>56</v>
      </c>
      <c r="C36" s="88">
        <v>4</v>
      </c>
    </row>
    <row r="37" spans="1:3">
      <c r="A37" s="16" t="s">
        <v>57</v>
      </c>
      <c r="B37" s="15" t="s">
        <v>58</v>
      </c>
      <c r="C37" s="88">
        <v>3</v>
      </c>
    </row>
    <row r="38" spans="1:3">
      <c r="A38" s="16" t="s">
        <v>59</v>
      </c>
      <c r="B38" s="15" t="s">
        <v>60</v>
      </c>
      <c r="C38" s="88">
        <v>1</v>
      </c>
    </row>
    <row r="39" spans="1:3">
      <c r="A39" s="16" t="s">
        <v>61</v>
      </c>
      <c r="B39" s="15" t="s">
        <v>62</v>
      </c>
      <c r="C39" s="88">
        <v>1</v>
      </c>
    </row>
    <row r="40" spans="1:3">
      <c r="A40" s="16" t="s">
        <v>63</v>
      </c>
      <c r="B40" s="15" t="s">
        <v>64</v>
      </c>
      <c r="C40" s="88">
        <v>1</v>
      </c>
    </row>
    <row r="41" spans="1:3">
      <c r="A41" s="16" t="s">
        <v>65</v>
      </c>
      <c r="B41" s="15" t="s">
        <v>66</v>
      </c>
      <c r="C41" s="88">
        <v>2</v>
      </c>
    </row>
    <row r="42" spans="1:3">
      <c r="A42" s="16" t="s">
        <v>67</v>
      </c>
      <c r="B42" s="15" t="s">
        <v>68</v>
      </c>
      <c r="C42" s="88">
        <v>5</v>
      </c>
    </row>
    <row r="43" spans="1:3">
      <c r="A43" s="16" t="s">
        <v>69</v>
      </c>
      <c r="B43" s="15" t="s">
        <v>70</v>
      </c>
      <c r="C43" s="88">
        <v>2</v>
      </c>
    </row>
    <row r="44" spans="1:3">
      <c r="A44" s="16" t="s">
        <v>71</v>
      </c>
      <c r="B44" s="15" t="s">
        <v>72</v>
      </c>
      <c r="C44" s="88">
        <v>1</v>
      </c>
    </row>
    <row r="45" spans="1:3">
      <c r="A45" s="16" t="s">
        <v>73</v>
      </c>
      <c r="B45" s="15" t="s">
        <v>74</v>
      </c>
      <c r="C45" s="88">
        <v>1</v>
      </c>
    </row>
    <row r="46" spans="1:3">
      <c r="A46" s="16" t="s">
        <v>75</v>
      </c>
      <c r="B46" s="15" t="s">
        <v>76</v>
      </c>
      <c r="C46" s="88">
        <v>3</v>
      </c>
    </row>
    <row r="47" spans="1:3">
      <c r="A47" s="16" t="s">
        <v>77</v>
      </c>
      <c r="B47" s="15" t="s">
        <v>78</v>
      </c>
      <c r="C47" s="88">
        <v>2</v>
      </c>
    </row>
    <row r="48" spans="1:3">
      <c r="A48" s="16" t="s">
        <v>79</v>
      </c>
      <c r="B48" s="15" t="s">
        <v>80</v>
      </c>
      <c r="C48" s="88">
        <v>2</v>
      </c>
    </row>
    <row r="49" spans="1:3">
      <c r="A49" s="16" t="s">
        <v>81</v>
      </c>
      <c r="B49" s="15" t="s">
        <v>82</v>
      </c>
      <c r="C49" s="88">
        <v>1</v>
      </c>
    </row>
    <row r="50" spans="1:3">
      <c r="A50" s="16" t="s">
        <v>83</v>
      </c>
      <c r="B50" s="15" t="s">
        <v>84</v>
      </c>
      <c r="C50" s="88">
        <v>2</v>
      </c>
    </row>
    <row r="51" spans="1:3">
      <c r="A51" s="16" t="s">
        <v>85</v>
      </c>
      <c r="B51" s="15" t="s">
        <v>86</v>
      </c>
      <c r="C51" s="88">
        <v>1</v>
      </c>
    </row>
    <row r="52" spans="1:3">
      <c r="A52" s="16" t="s">
        <v>87</v>
      </c>
      <c r="B52" s="15" t="s">
        <v>88</v>
      </c>
      <c r="C52" s="88">
        <v>3</v>
      </c>
    </row>
    <row r="53" spans="1:3">
      <c r="A53" s="16" t="s">
        <v>89</v>
      </c>
      <c r="B53" s="15" t="s">
        <v>90</v>
      </c>
      <c r="C53" s="88">
        <v>1</v>
      </c>
    </row>
    <row r="54" spans="1:3">
      <c r="A54" s="16" t="s">
        <v>91</v>
      </c>
      <c r="B54" s="15" t="s">
        <v>92</v>
      </c>
      <c r="C54" s="88">
        <v>3</v>
      </c>
    </row>
    <row r="55" spans="1:3">
      <c r="A55" s="16" t="s">
        <v>93</v>
      </c>
      <c r="B55" s="15" t="s">
        <v>94</v>
      </c>
      <c r="C55" s="88">
        <v>3</v>
      </c>
    </row>
    <row r="56" spans="1:3">
      <c r="A56" s="16" t="s">
        <v>95</v>
      </c>
      <c r="B56" s="15" t="s">
        <v>96</v>
      </c>
      <c r="C56" s="88">
        <v>4</v>
      </c>
    </row>
    <row r="57" spans="1:3">
      <c r="A57" s="16" t="s">
        <v>97</v>
      </c>
      <c r="B57" s="15" t="s">
        <v>98</v>
      </c>
      <c r="C57" s="88">
        <v>5</v>
      </c>
    </row>
    <row r="58" spans="1:3">
      <c r="A58" s="16" t="s">
        <v>99</v>
      </c>
      <c r="B58" s="15" t="s">
        <v>100</v>
      </c>
      <c r="C58" s="88">
        <v>5</v>
      </c>
    </row>
    <row r="59" spans="1:3">
      <c r="A59" s="16" t="s">
        <v>101</v>
      </c>
      <c r="B59" s="15" t="s">
        <v>102</v>
      </c>
      <c r="C59" s="88">
        <v>2</v>
      </c>
    </row>
    <row r="60" spans="1:3">
      <c r="A60" s="16" t="s">
        <v>103</v>
      </c>
      <c r="B60" s="15" t="s">
        <v>104</v>
      </c>
      <c r="C60" s="88">
        <v>3</v>
      </c>
    </row>
    <row r="61" spans="1:3">
      <c r="A61" s="16" t="s">
        <v>105</v>
      </c>
      <c r="B61" s="15" t="s">
        <v>106</v>
      </c>
      <c r="C61" s="88">
        <v>2</v>
      </c>
    </row>
    <row r="62" spans="1:3">
      <c r="A62" s="16" t="s">
        <v>107</v>
      </c>
      <c r="B62" s="15" t="s">
        <v>108</v>
      </c>
      <c r="C62" s="88">
        <v>2</v>
      </c>
    </row>
    <row r="63" spans="1:3">
      <c r="A63" s="16" t="s">
        <v>109</v>
      </c>
      <c r="B63" s="15" t="s">
        <v>110</v>
      </c>
      <c r="C63" s="88">
        <v>2</v>
      </c>
    </row>
    <row r="64" spans="1:3">
      <c r="A64" s="16" t="s">
        <v>111</v>
      </c>
      <c r="B64" s="15" t="s">
        <v>112</v>
      </c>
      <c r="C64" s="88">
        <v>2</v>
      </c>
    </row>
    <row r="65" spans="1:3">
      <c r="A65" s="16" t="s">
        <v>113</v>
      </c>
      <c r="B65" s="15" t="s">
        <v>114</v>
      </c>
      <c r="C65" s="88">
        <v>4</v>
      </c>
    </row>
    <row r="66" spans="1:3">
      <c r="A66" s="16" t="s">
        <v>115</v>
      </c>
      <c r="B66" s="15" t="s">
        <v>116</v>
      </c>
      <c r="C66" s="88">
        <v>1</v>
      </c>
    </row>
    <row r="67" spans="1:3">
      <c r="A67" s="16" t="s">
        <v>117</v>
      </c>
      <c r="B67" s="15" t="s">
        <v>118</v>
      </c>
      <c r="C67" s="88">
        <v>4</v>
      </c>
    </row>
    <row r="68" spans="1:3">
      <c r="A68" s="16" t="s">
        <v>119</v>
      </c>
      <c r="B68" s="15" t="s">
        <v>120</v>
      </c>
      <c r="C68" s="88">
        <v>1</v>
      </c>
    </row>
    <row r="69" spans="1:3">
      <c r="A69" s="16" t="s">
        <v>121</v>
      </c>
      <c r="B69" s="15" t="s">
        <v>122</v>
      </c>
      <c r="C69" s="88">
        <v>3</v>
      </c>
    </row>
    <row r="70" spans="1:3">
      <c r="A70" s="16" t="s">
        <v>123</v>
      </c>
      <c r="B70" s="15" t="s">
        <v>124</v>
      </c>
      <c r="C70" s="88">
        <v>5</v>
      </c>
    </row>
    <row r="71" spans="1:3">
      <c r="A71" s="16" t="s">
        <v>125</v>
      </c>
      <c r="B71" s="15" t="s">
        <v>126</v>
      </c>
      <c r="C71" s="88">
        <v>5</v>
      </c>
    </row>
    <row r="72" spans="1:3">
      <c r="A72" s="16" t="s">
        <v>127</v>
      </c>
      <c r="B72" s="15" t="s">
        <v>128</v>
      </c>
      <c r="C72" s="88">
        <v>3</v>
      </c>
    </row>
    <row r="73" spans="1:3">
      <c r="A73" s="16" t="s">
        <v>129</v>
      </c>
      <c r="B73" s="15" t="s">
        <v>130</v>
      </c>
      <c r="C73" s="88">
        <v>1</v>
      </c>
    </row>
    <row r="74" spans="1:3">
      <c r="A74" s="16" t="s">
        <v>131</v>
      </c>
      <c r="B74" s="15" t="s">
        <v>132</v>
      </c>
      <c r="C74" s="88">
        <v>2</v>
      </c>
    </row>
    <row r="75" spans="1:3">
      <c r="A75" s="16" t="s">
        <v>133</v>
      </c>
      <c r="B75" s="15" t="s">
        <v>134</v>
      </c>
      <c r="C75" s="88">
        <v>5</v>
      </c>
    </row>
    <row r="76" spans="1:3">
      <c r="A76" s="16" t="s">
        <v>135</v>
      </c>
      <c r="B76" s="15" t="s">
        <v>136</v>
      </c>
      <c r="C76" s="88">
        <v>1</v>
      </c>
    </row>
    <row r="77" spans="1:3">
      <c r="A77" s="16" t="s">
        <v>137</v>
      </c>
      <c r="B77" s="15" t="s">
        <v>138</v>
      </c>
      <c r="C77" s="88">
        <v>5</v>
      </c>
    </row>
    <row r="78" spans="1:3">
      <c r="A78" s="16" t="s">
        <v>139</v>
      </c>
      <c r="B78" s="15" t="s">
        <v>140</v>
      </c>
      <c r="C78" s="88">
        <v>3</v>
      </c>
    </row>
    <row r="79" spans="1:3">
      <c r="A79" s="16" t="s">
        <v>141</v>
      </c>
      <c r="B79" s="15" t="s">
        <v>142</v>
      </c>
      <c r="C79" s="88">
        <v>2</v>
      </c>
    </row>
    <row r="80" spans="1:3">
      <c r="A80" s="16" t="s">
        <v>143</v>
      </c>
      <c r="B80" s="15" t="s">
        <v>144</v>
      </c>
      <c r="C80" s="88">
        <v>1</v>
      </c>
    </row>
    <row r="81" spans="1:3">
      <c r="A81" s="16" t="s">
        <v>145</v>
      </c>
      <c r="B81" s="15" t="s">
        <v>146</v>
      </c>
      <c r="C81" s="88">
        <v>1</v>
      </c>
    </row>
    <row r="82" spans="1:3">
      <c r="A82" s="16" t="s">
        <v>147</v>
      </c>
      <c r="B82" s="15" t="s">
        <v>148</v>
      </c>
      <c r="C82" s="88">
        <v>2</v>
      </c>
    </row>
    <row r="83" spans="1:3">
      <c r="A83" s="16" t="s">
        <v>149</v>
      </c>
      <c r="B83" s="15" t="s">
        <v>150</v>
      </c>
      <c r="C83" s="88">
        <v>1</v>
      </c>
    </row>
    <row r="84" spans="1:3">
      <c r="A84" s="16" t="s">
        <v>151</v>
      </c>
      <c r="B84" s="15" t="s">
        <v>152</v>
      </c>
      <c r="C84" s="88">
        <v>2</v>
      </c>
    </row>
    <row r="85" spans="1:3">
      <c r="A85" s="16" t="s">
        <v>153</v>
      </c>
      <c r="B85" s="15" t="s">
        <v>154</v>
      </c>
      <c r="C85" s="88">
        <v>5</v>
      </c>
    </row>
    <row r="86" spans="1:3">
      <c r="A86" s="16" t="s">
        <v>155</v>
      </c>
      <c r="B86" s="15" t="s">
        <v>156</v>
      </c>
      <c r="C86" s="88">
        <v>5</v>
      </c>
    </row>
    <row r="87" spans="1:3">
      <c r="A87" s="16" t="s">
        <v>157</v>
      </c>
      <c r="B87" s="15" t="s">
        <v>158</v>
      </c>
      <c r="C87" s="88">
        <v>2</v>
      </c>
    </row>
    <row r="88" spans="1:3">
      <c r="A88" s="16" t="s">
        <v>159</v>
      </c>
      <c r="B88" s="15" t="s">
        <v>160</v>
      </c>
      <c r="C88" s="88">
        <v>2</v>
      </c>
    </row>
    <row r="89" spans="1:3">
      <c r="A89" s="16" t="s">
        <v>161</v>
      </c>
      <c r="B89" s="15" t="s">
        <v>162</v>
      </c>
      <c r="C89" s="88">
        <v>2</v>
      </c>
    </row>
    <row r="90" spans="1:3">
      <c r="A90" s="16" t="s">
        <v>163</v>
      </c>
      <c r="B90" s="15" t="s">
        <v>164</v>
      </c>
      <c r="C90" s="88">
        <v>2</v>
      </c>
    </row>
    <row r="91" spans="1:3">
      <c r="A91" s="16" t="s">
        <v>165</v>
      </c>
      <c r="B91" s="15" t="s">
        <v>166</v>
      </c>
      <c r="C91" s="88">
        <v>5</v>
      </c>
    </row>
    <row r="92" spans="1:3">
      <c r="A92" s="16" t="s">
        <v>167</v>
      </c>
      <c r="B92" s="15" t="s">
        <v>168</v>
      </c>
      <c r="C92" s="88">
        <v>4</v>
      </c>
    </row>
    <row r="93" spans="1:3">
      <c r="A93" s="16" t="s">
        <v>169</v>
      </c>
      <c r="B93" s="15" t="s">
        <v>170</v>
      </c>
      <c r="C93" s="88">
        <v>5</v>
      </c>
    </row>
    <row r="94" spans="1:3">
      <c r="A94" s="16" t="s">
        <v>171</v>
      </c>
      <c r="B94" s="15" t="s">
        <v>172</v>
      </c>
      <c r="C94" s="88">
        <v>3</v>
      </c>
    </row>
    <row r="95" spans="1:3">
      <c r="A95" s="16" t="s">
        <v>173</v>
      </c>
      <c r="B95" s="15" t="s">
        <v>174</v>
      </c>
      <c r="C95" s="88">
        <v>5</v>
      </c>
    </row>
    <row r="96" spans="1:3">
      <c r="A96" s="16" t="s">
        <v>175</v>
      </c>
      <c r="B96" s="15" t="s">
        <v>176</v>
      </c>
      <c r="C96" s="88">
        <v>2</v>
      </c>
    </row>
    <row r="97" spans="1:3">
      <c r="A97" s="16" t="s">
        <v>177</v>
      </c>
      <c r="B97" s="15" t="s">
        <v>178</v>
      </c>
      <c r="C97" s="88">
        <v>3</v>
      </c>
    </row>
    <row r="98" spans="1:3">
      <c r="A98" s="16" t="s">
        <v>179</v>
      </c>
      <c r="B98" s="15" t="s">
        <v>180</v>
      </c>
      <c r="C98" s="88">
        <v>1</v>
      </c>
    </row>
    <row r="99" spans="1:3">
      <c r="A99" s="16" t="s">
        <v>181</v>
      </c>
      <c r="B99" s="15" t="s">
        <v>182</v>
      </c>
      <c r="C99" s="88">
        <v>2</v>
      </c>
    </row>
    <row r="100" spans="1:3">
      <c r="A100" s="16" t="s">
        <v>183</v>
      </c>
      <c r="B100" s="15" t="s">
        <v>184</v>
      </c>
      <c r="C100" s="88">
        <v>1</v>
      </c>
    </row>
    <row r="101" spans="1:3">
      <c r="A101" s="16" t="s">
        <v>185</v>
      </c>
      <c r="B101" s="15" t="s">
        <v>186</v>
      </c>
      <c r="C101" s="88">
        <v>5</v>
      </c>
    </row>
    <row r="102" spans="1:3">
      <c r="A102" s="16" t="s">
        <v>187</v>
      </c>
      <c r="B102" s="15" t="s">
        <v>188</v>
      </c>
      <c r="C102" s="88">
        <v>4</v>
      </c>
    </row>
    <row r="103" spans="1:3">
      <c r="A103" s="16" t="s">
        <v>189</v>
      </c>
      <c r="B103" s="15" t="s">
        <v>190</v>
      </c>
      <c r="C103" s="88">
        <v>1</v>
      </c>
    </row>
    <row r="104" spans="1:3">
      <c r="A104" s="16" t="s">
        <v>191</v>
      </c>
      <c r="B104" s="15" t="s">
        <v>192</v>
      </c>
      <c r="C104" s="88">
        <v>1</v>
      </c>
    </row>
    <row r="105" spans="1:3">
      <c r="A105" s="16" t="s">
        <v>193</v>
      </c>
      <c r="B105" s="15" t="s">
        <v>194</v>
      </c>
      <c r="C105" s="88">
        <v>3</v>
      </c>
    </row>
    <row r="106" spans="1:3">
      <c r="A106" s="16" t="s">
        <v>195</v>
      </c>
      <c r="B106" s="15" t="s">
        <v>196</v>
      </c>
      <c r="C106" s="88">
        <v>3</v>
      </c>
    </row>
    <row r="107" spans="1:3">
      <c r="A107" s="16" t="s">
        <v>197</v>
      </c>
      <c r="B107" s="15" t="s">
        <v>198</v>
      </c>
      <c r="C107" s="88">
        <v>2</v>
      </c>
    </row>
    <row r="108" spans="1:3">
      <c r="A108" s="16" t="s">
        <v>199</v>
      </c>
      <c r="B108" s="15" t="s">
        <v>200</v>
      </c>
      <c r="C108" s="88">
        <v>1</v>
      </c>
    </row>
    <row r="109" spans="1:3">
      <c r="A109" s="16" t="s">
        <v>201</v>
      </c>
      <c r="B109" s="15" t="s">
        <v>202</v>
      </c>
      <c r="C109" s="88">
        <v>3</v>
      </c>
    </row>
    <row r="110" spans="1:3">
      <c r="A110" s="16" t="s">
        <v>203</v>
      </c>
      <c r="B110" s="15" t="s">
        <v>204</v>
      </c>
      <c r="C110" s="88">
        <v>4</v>
      </c>
    </row>
    <row r="111" spans="1:3">
      <c r="A111" s="16" t="s">
        <v>205</v>
      </c>
      <c r="B111" s="15" t="s">
        <v>206</v>
      </c>
      <c r="C111" s="88">
        <v>3</v>
      </c>
    </row>
    <row r="112" spans="1:3">
      <c r="A112" s="16" t="s">
        <v>207</v>
      </c>
      <c r="B112" s="15" t="s">
        <v>208</v>
      </c>
      <c r="C112" s="88">
        <v>5</v>
      </c>
    </row>
    <row r="113" spans="1:3">
      <c r="A113" s="16" t="s">
        <v>209</v>
      </c>
      <c r="B113" s="15" t="s">
        <v>210</v>
      </c>
      <c r="C113" s="88">
        <v>1</v>
      </c>
    </row>
    <row r="114" spans="1:3">
      <c r="A114" s="16" t="s">
        <v>211</v>
      </c>
      <c r="B114" s="15" t="s">
        <v>212</v>
      </c>
      <c r="C114" s="88">
        <v>1</v>
      </c>
    </row>
    <row r="115" spans="1:3">
      <c r="A115" s="16" t="s">
        <v>213</v>
      </c>
      <c r="B115" s="15" t="s">
        <v>214</v>
      </c>
      <c r="C115" s="88">
        <v>3</v>
      </c>
    </row>
    <row r="116" spans="1:3">
      <c r="A116" s="16" t="s">
        <v>215</v>
      </c>
      <c r="B116" s="15" t="s">
        <v>216</v>
      </c>
      <c r="C116" s="88">
        <v>2</v>
      </c>
    </row>
    <row r="117" spans="1:3">
      <c r="A117" s="16" t="s">
        <v>217</v>
      </c>
      <c r="B117" s="15" t="s">
        <v>218</v>
      </c>
      <c r="C117" s="88">
        <v>1</v>
      </c>
    </row>
    <row r="118" spans="1:3">
      <c r="A118" s="16" t="s">
        <v>219</v>
      </c>
      <c r="B118" s="15" t="s">
        <v>220</v>
      </c>
      <c r="C118" s="88">
        <v>4</v>
      </c>
    </row>
    <row r="119" spans="1:3">
      <c r="A119" s="16" t="s">
        <v>221</v>
      </c>
      <c r="B119" s="15" t="s">
        <v>222</v>
      </c>
      <c r="C119" s="88">
        <v>2</v>
      </c>
    </row>
    <row r="120" spans="1:3">
      <c r="A120" s="16" t="s">
        <v>223</v>
      </c>
      <c r="B120" s="15" t="s">
        <v>224</v>
      </c>
      <c r="C120" s="88">
        <v>1</v>
      </c>
    </row>
    <row r="121" spans="1:3">
      <c r="A121" s="16" t="s">
        <v>225</v>
      </c>
      <c r="B121" s="15" t="s">
        <v>226</v>
      </c>
      <c r="C121" s="88">
        <v>3</v>
      </c>
    </row>
    <row r="122" spans="1:3">
      <c r="A122" s="16" t="s">
        <v>227</v>
      </c>
      <c r="B122" s="15" t="s">
        <v>228</v>
      </c>
      <c r="C122" s="88">
        <v>3</v>
      </c>
    </row>
    <row r="123" spans="1:3">
      <c r="A123" s="16" t="s">
        <v>229</v>
      </c>
      <c r="B123" s="15" t="s">
        <v>230</v>
      </c>
      <c r="C123" s="88">
        <v>2</v>
      </c>
    </row>
    <row r="124" spans="1:3">
      <c r="A124" s="16" t="s">
        <v>231</v>
      </c>
      <c r="B124" s="15" t="s">
        <v>232</v>
      </c>
      <c r="C124" s="88">
        <v>2</v>
      </c>
    </row>
    <row r="125" spans="1:3">
      <c r="A125" s="16" t="s">
        <v>233</v>
      </c>
      <c r="B125" s="15" t="s">
        <v>234</v>
      </c>
      <c r="C125" s="88">
        <v>4</v>
      </c>
    </row>
    <row r="126" spans="1:3">
      <c r="A126" s="16" t="s">
        <v>235</v>
      </c>
      <c r="B126" s="15" t="s">
        <v>236</v>
      </c>
      <c r="C126" s="88">
        <v>2</v>
      </c>
    </row>
    <row r="127" spans="1:3">
      <c r="A127" s="16" t="s">
        <v>237</v>
      </c>
      <c r="B127" s="15" t="s">
        <v>238</v>
      </c>
      <c r="C127" s="88">
        <v>2</v>
      </c>
    </row>
    <row r="128" spans="1:3">
      <c r="A128" s="16" t="s">
        <v>239</v>
      </c>
      <c r="B128" s="15" t="s">
        <v>240</v>
      </c>
      <c r="C128" s="88">
        <v>4</v>
      </c>
    </row>
    <row r="129" spans="1:3">
      <c r="A129" s="16" t="s">
        <v>241</v>
      </c>
      <c r="B129" s="15" t="s">
        <v>242</v>
      </c>
      <c r="C129" s="88">
        <v>2</v>
      </c>
    </row>
    <row r="130" spans="1:3">
      <c r="A130" s="16" t="s">
        <v>243</v>
      </c>
      <c r="B130" s="15" t="s">
        <v>244</v>
      </c>
      <c r="C130" s="88">
        <v>1</v>
      </c>
    </row>
    <row r="131" spans="1:3">
      <c r="A131" s="16" t="s">
        <v>245</v>
      </c>
      <c r="B131" s="15" t="s">
        <v>246</v>
      </c>
      <c r="C131" s="88">
        <v>1</v>
      </c>
    </row>
    <row r="132" spans="1:3">
      <c r="A132" s="16" t="s">
        <v>247</v>
      </c>
      <c r="B132" s="15" t="s">
        <v>248</v>
      </c>
      <c r="C132" s="88">
        <v>2</v>
      </c>
    </row>
    <row r="133" spans="1:3">
      <c r="A133" s="16" t="s">
        <v>249</v>
      </c>
      <c r="B133" s="15" t="s">
        <v>250</v>
      </c>
      <c r="C133" s="88">
        <v>1</v>
      </c>
    </row>
    <row r="134" spans="1:3">
      <c r="A134" s="16" t="s">
        <v>251</v>
      </c>
      <c r="B134" s="15" t="s">
        <v>252</v>
      </c>
      <c r="C134" s="88">
        <v>1</v>
      </c>
    </row>
    <row r="135" spans="1:3">
      <c r="A135" s="16" t="s">
        <v>253</v>
      </c>
      <c r="B135" s="15" t="s">
        <v>254</v>
      </c>
      <c r="C135" s="88">
        <v>5</v>
      </c>
    </row>
    <row r="136" spans="1:3">
      <c r="A136" s="16" t="s">
        <v>255</v>
      </c>
      <c r="B136" s="15" t="s">
        <v>256</v>
      </c>
      <c r="C136" s="88">
        <v>5</v>
      </c>
    </row>
    <row r="137" spans="1:3">
      <c r="A137" s="16" t="s">
        <v>257</v>
      </c>
      <c r="B137" s="15" t="s">
        <v>258</v>
      </c>
      <c r="C137" s="88">
        <v>2</v>
      </c>
    </row>
    <row r="138" spans="1:3">
      <c r="A138" s="16" t="s">
        <v>259</v>
      </c>
      <c r="B138" s="15" t="s">
        <v>260</v>
      </c>
      <c r="C138" s="88">
        <v>1</v>
      </c>
    </row>
    <row r="139" spans="1:3">
      <c r="A139" s="16" t="s">
        <v>261</v>
      </c>
      <c r="B139" s="15" t="s">
        <v>262</v>
      </c>
      <c r="C139" s="88">
        <v>1</v>
      </c>
    </row>
    <row r="140" spans="1:3">
      <c r="A140" s="16" t="s">
        <v>263</v>
      </c>
      <c r="B140" s="15" t="s">
        <v>264</v>
      </c>
      <c r="C140" s="88">
        <v>5</v>
      </c>
    </row>
    <row r="141" spans="1:3">
      <c r="A141" s="16" t="s">
        <v>265</v>
      </c>
      <c r="B141" s="15" t="s">
        <v>266</v>
      </c>
      <c r="C141" s="88">
        <v>4</v>
      </c>
    </row>
    <row r="142" spans="1:3">
      <c r="A142" s="16" t="s">
        <v>267</v>
      </c>
      <c r="B142" s="15" t="s">
        <v>268</v>
      </c>
      <c r="C142" s="88">
        <v>1</v>
      </c>
    </row>
    <row r="143" spans="1:3">
      <c r="A143" s="16" t="s">
        <v>269</v>
      </c>
      <c r="B143" s="15" t="s">
        <v>270</v>
      </c>
      <c r="C143" s="88">
        <v>3</v>
      </c>
    </row>
    <row r="144" spans="1:3">
      <c r="A144" s="16" t="s">
        <v>271</v>
      </c>
      <c r="B144" s="15" t="s">
        <v>272</v>
      </c>
      <c r="C144" s="88">
        <v>3</v>
      </c>
    </row>
    <row r="145" spans="1:3">
      <c r="A145" s="16" t="s">
        <v>273</v>
      </c>
      <c r="B145" s="15" t="s">
        <v>274</v>
      </c>
      <c r="C145" s="88">
        <v>1</v>
      </c>
    </row>
    <row r="146" spans="1:3">
      <c r="A146" s="16" t="s">
        <v>275</v>
      </c>
      <c r="B146" s="15" t="s">
        <v>276</v>
      </c>
      <c r="C146" s="88">
        <v>2</v>
      </c>
    </row>
    <row r="147" spans="1:3">
      <c r="A147" s="16" t="s">
        <v>277</v>
      </c>
      <c r="B147" s="15" t="s">
        <v>278</v>
      </c>
      <c r="C147" s="88">
        <v>2</v>
      </c>
    </row>
    <row r="148" spans="1:3">
      <c r="A148" s="16" t="s">
        <v>279</v>
      </c>
      <c r="B148" s="15" t="s">
        <v>280</v>
      </c>
      <c r="C148" s="88">
        <v>2</v>
      </c>
    </row>
    <row r="149" spans="1:3">
      <c r="A149" s="16" t="s">
        <v>281</v>
      </c>
      <c r="B149" s="15" t="s">
        <v>282</v>
      </c>
      <c r="C149" s="88">
        <v>3</v>
      </c>
    </row>
    <row r="150" spans="1:3">
      <c r="A150" s="16" t="s">
        <v>283</v>
      </c>
      <c r="B150" s="15" t="s">
        <v>284</v>
      </c>
      <c r="C150" s="88">
        <v>5</v>
      </c>
    </row>
    <row r="151" spans="1:3">
      <c r="A151" s="16" t="s">
        <v>285</v>
      </c>
      <c r="B151" s="15" t="s">
        <v>286</v>
      </c>
      <c r="C151" s="88">
        <v>4</v>
      </c>
    </row>
    <row r="152" spans="1:3">
      <c r="A152" s="16" t="s">
        <v>287</v>
      </c>
      <c r="B152" s="15" t="s">
        <v>288</v>
      </c>
      <c r="C152" s="88">
        <v>3</v>
      </c>
    </row>
    <row r="153" spans="1:3">
      <c r="A153" s="16" t="s">
        <v>289</v>
      </c>
      <c r="B153" s="15" t="s">
        <v>290</v>
      </c>
      <c r="C153" s="88">
        <v>3</v>
      </c>
    </row>
    <row r="154" spans="1:3">
      <c r="A154" s="16" t="s">
        <v>291</v>
      </c>
      <c r="B154" s="15" t="s">
        <v>292</v>
      </c>
      <c r="C154" s="88">
        <v>1</v>
      </c>
    </row>
    <row r="155" spans="1:3">
      <c r="A155" s="16" t="s">
        <v>293</v>
      </c>
      <c r="B155" s="15" t="s">
        <v>294</v>
      </c>
      <c r="C155" s="88">
        <v>3</v>
      </c>
    </row>
    <row r="156" spans="1:3">
      <c r="A156" s="16" t="s">
        <v>295</v>
      </c>
      <c r="B156" s="15" t="s">
        <v>296</v>
      </c>
      <c r="C156" s="88">
        <v>3</v>
      </c>
    </row>
    <row r="157" spans="1:3">
      <c r="A157" s="16" t="s">
        <v>297</v>
      </c>
      <c r="B157" s="15" t="s">
        <v>298</v>
      </c>
      <c r="C157" s="88">
        <v>3</v>
      </c>
    </row>
    <row r="158" spans="1:3">
      <c r="A158" s="16" t="s">
        <v>299</v>
      </c>
      <c r="B158" s="15" t="s">
        <v>300</v>
      </c>
      <c r="C158" s="88">
        <v>2</v>
      </c>
    </row>
    <row r="159" spans="1:3">
      <c r="A159" s="16" t="s">
        <v>301</v>
      </c>
      <c r="B159" s="15" t="s">
        <v>302</v>
      </c>
      <c r="C159" s="88">
        <v>4</v>
      </c>
    </row>
    <row r="160" spans="1:3">
      <c r="A160" s="16" t="s">
        <v>303</v>
      </c>
      <c r="B160" s="15" t="s">
        <v>304</v>
      </c>
      <c r="C160" s="88">
        <v>1</v>
      </c>
    </row>
    <row r="161" spans="1:3">
      <c r="A161" s="16" t="s">
        <v>305</v>
      </c>
      <c r="B161" s="15" t="s">
        <v>306</v>
      </c>
      <c r="C161" s="88">
        <v>4</v>
      </c>
    </row>
    <row r="162" spans="1:3">
      <c r="A162" s="16" t="s">
        <v>307</v>
      </c>
      <c r="B162" s="15" t="s">
        <v>308</v>
      </c>
      <c r="C162" s="88">
        <v>1</v>
      </c>
    </row>
    <row r="163" spans="1:3">
      <c r="A163" s="16" t="s">
        <v>309</v>
      </c>
      <c r="B163" s="15" t="s">
        <v>310</v>
      </c>
      <c r="C163" s="88">
        <v>4</v>
      </c>
    </row>
    <row r="164" spans="1:3">
      <c r="A164" s="16" t="s">
        <v>311</v>
      </c>
      <c r="B164" s="15" t="s">
        <v>312</v>
      </c>
      <c r="C164" s="88">
        <v>3</v>
      </c>
    </row>
    <row r="165" spans="1:3">
      <c r="A165" s="16" t="s">
        <v>313</v>
      </c>
      <c r="B165" s="15" t="s">
        <v>314</v>
      </c>
      <c r="C165" s="88">
        <v>1</v>
      </c>
    </row>
    <row r="166" spans="1:3">
      <c r="A166" s="16" t="s">
        <v>315</v>
      </c>
      <c r="B166" s="15" t="s">
        <v>316</v>
      </c>
      <c r="C166" s="88">
        <v>4</v>
      </c>
    </row>
    <row r="167" spans="1:3">
      <c r="A167" s="16" t="s">
        <v>317</v>
      </c>
      <c r="B167" s="15" t="s">
        <v>318</v>
      </c>
      <c r="C167" s="88">
        <v>5</v>
      </c>
    </row>
    <row r="168" spans="1:3">
      <c r="A168" s="16" t="s">
        <v>319</v>
      </c>
      <c r="B168" s="15" t="s">
        <v>320</v>
      </c>
      <c r="C168" s="88">
        <v>4</v>
      </c>
    </row>
    <row r="169" spans="1:3">
      <c r="A169" s="16" t="s">
        <v>321</v>
      </c>
      <c r="B169" s="15" t="s">
        <v>322</v>
      </c>
      <c r="C169" s="88">
        <v>1</v>
      </c>
    </row>
    <row r="170" spans="1:3">
      <c r="A170" s="16" t="s">
        <v>323</v>
      </c>
      <c r="B170" s="15" t="s">
        <v>324</v>
      </c>
      <c r="C170" s="88">
        <v>1</v>
      </c>
    </row>
    <row r="171" spans="1:3">
      <c r="A171" s="16" t="s">
        <v>325</v>
      </c>
      <c r="B171" s="15" t="s">
        <v>326</v>
      </c>
      <c r="C171" s="88">
        <v>3</v>
      </c>
    </row>
    <row r="172" spans="1:3">
      <c r="A172" s="16" t="s">
        <v>327</v>
      </c>
      <c r="B172" s="15" t="s">
        <v>328</v>
      </c>
      <c r="C172" s="88">
        <v>5</v>
      </c>
    </row>
    <row r="173" spans="1:3">
      <c r="A173" s="16" t="s">
        <v>329</v>
      </c>
      <c r="B173" s="15" t="s">
        <v>330</v>
      </c>
      <c r="C173" s="88">
        <v>2</v>
      </c>
    </row>
    <row r="174" spans="1:3">
      <c r="A174" s="16" t="s">
        <v>331</v>
      </c>
      <c r="B174" s="15" t="s">
        <v>332</v>
      </c>
      <c r="C174" s="88">
        <v>2</v>
      </c>
    </row>
    <row r="175" spans="1:3">
      <c r="A175" s="16" t="s">
        <v>333</v>
      </c>
      <c r="B175" s="15" t="s">
        <v>334</v>
      </c>
      <c r="C175" s="88">
        <v>3</v>
      </c>
    </row>
    <row r="176" spans="1:3">
      <c r="A176" s="16" t="s">
        <v>335</v>
      </c>
      <c r="B176" s="15" t="s">
        <v>336</v>
      </c>
      <c r="C176" s="88">
        <v>2</v>
      </c>
    </row>
    <row r="177" spans="1:3">
      <c r="A177" s="16" t="s">
        <v>337</v>
      </c>
      <c r="B177" s="15" t="s">
        <v>338</v>
      </c>
      <c r="C177" s="88">
        <v>5</v>
      </c>
    </row>
    <row r="178" spans="1:3">
      <c r="A178" s="16" t="s">
        <v>339</v>
      </c>
      <c r="B178" s="15" t="s">
        <v>340</v>
      </c>
      <c r="C178" s="88">
        <v>5</v>
      </c>
    </row>
    <row r="179" spans="1:3">
      <c r="A179" s="16" t="s">
        <v>341</v>
      </c>
      <c r="B179" s="15" t="s">
        <v>342</v>
      </c>
      <c r="C179" s="88">
        <v>2</v>
      </c>
    </row>
    <row r="180" spans="1:3">
      <c r="A180" s="16" t="s">
        <v>343</v>
      </c>
      <c r="B180" s="15" t="s">
        <v>344</v>
      </c>
      <c r="C180" s="88">
        <v>1</v>
      </c>
    </row>
    <row r="181" spans="1:3">
      <c r="A181" s="16" t="s">
        <v>345</v>
      </c>
      <c r="B181" s="15" t="s">
        <v>346</v>
      </c>
      <c r="C181" s="88">
        <v>1</v>
      </c>
    </row>
    <row r="182" spans="1:3">
      <c r="A182" s="16" t="s">
        <v>347</v>
      </c>
      <c r="B182" s="15" t="s">
        <v>348</v>
      </c>
      <c r="C182" s="88">
        <v>2</v>
      </c>
    </row>
    <row r="183" spans="1:3">
      <c r="A183" s="16" t="s">
        <v>349</v>
      </c>
      <c r="B183" s="15" t="s">
        <v>350</v>
      </c>
      <c r="C183" s="88">
        <v>1</v>
      </c>
    </row>
    <row r="184" spans="1:3">
      <c r="A184" s="16" t="s">
        <v>351</v>
      </c>
      <c r="B184" s="15" t="s">
        <v>352</v>
      </c>
      <c r="C184" s="88">
        <v>1</v>
      </c>
    </row>
    <row r="185" spans="1:3">
      <c r="A185" s="16" t="s">
        <v>353</v>
      </c>
      <c r="B185" s="15" t="s">
        <v>354</v>
      </c>
      <c r="C185" s="88">
        <v>2</v>
      </c>
    </row>
    <row r="186" spans="1:3">
      <c r="A186" s="16" t="s">
        <v>355</v>
      </c>
      <c r="B186" s="15" t="s">
        <v>356</v>
      </c>
      <c r="C186" s="88">
        <v>4</v>
      </c>
    </row>
    <row r="187" spans="1:3">
      <c r="A187" s="16" t="s">
        <v>357</v>
      </c>
      <c r="B187" s="15" t="s">
        <v>358</v>
      </c>
      <c r="C187" s="88">
        <v>2</v>
      </c>
    </row>
    <row r="188" spans="1:3">
      <c r="A188" s="16" t="s">
        <v>359</v>
      </c>
      <c r="B188" s="15" t="s">
        <v>360</v>
      </c>
      <c r="C188" s="88">
        <v>3</v>
      </c>
    </row>
    <row r="189" spans="1:3">
      <c r="A189" s="16" t="s">
        <v>361</v>
      </c>
      <c r="B189" s="15" t="s">
        <v>362</v>
      </c>
      <c r="C189" s="88">
        <v>2</v>
      </c>
    </row>
    <row r="190" spans="1:3">
      <c r="A190" s="16" t="s">
        <v>363</v>
      </c>
      <c r="B190" s="15" t="s">
        <v>364</v>
      </c>
      <c r="C190" s="88">
        <v>1</v>
      </c>
    </row>
    <row r="191" spans="1:3">
      <c r="A191" s="16" t="s">
        <v>365</v>
      </c>
      <c r="B191" s="15" t="s">
        <v>366</v>
      </c>
      <c r="C191" s="88">
        <v>1</v>
      </c>
    </row>
    <row r="192" spans="1:3">
      <c r="A192" s="16" t="s">
        <v>367</v>
      </c>
      <c r="B192" s="15" t="s">
        <v>368</v>
      </c>
      <c r="C192" s="88">
        <v>2</v>
      </c>
    </row>
    <row r="193" spans="1:3">
      <c r="A193" s="16" t="s">
        <v>369</v>
      </c>
      <c r="B193" s="15" t="s">
        <v>370</v>
      </c>
      <c r="C193" s="88">
        <v>4</v>
      </c>
    </row>
    <row r="194" spans="1:3">
      <c r="A194" s="16" t="s">
        <v>371</v>
      </c>
      <c r="B194" s="15" t="s">
        <v>372</v>
      </c>
      <c r="C194" s="88">
        <v>5</v>
      </c>
    </row>
    <row r="195" spans="1:3">
      <c r="A195" s="16" t="s">
        <v>373</v>
      </c>
      <c r="B195" s="15" t="s">
        <v>374</v>
      </c>
      <c r="C195" s="88">
        <v>5</v>
      </c>
    </row>
    <row r="196" spans="1:3">
      <c r="A196" s="16" t="s">
        <v>375</v>
      </c>
      <c r="B196" s="15" t="s">
        <v>376</v>
      </c>
      <c r="C196" s="88">
        <v>3</v>
      </c>
    </row>
    <row r="197" spans="1:3">
      <c r="A197" s="16" t="s">
        <v>377</v>
      </c>
      <c r="B197" s="15" t="s">
        <v>378</v>
      </c>
      <c r="C197" s="88">
        <v>1</v>
      </c>
    </row>
    <row r="198" spans="1:3">
      <c r="A198" s="16" t="s">
        <v>379</v>
      </c>
      <c r="B198" s="15" t="s">
        <v>380</v>
      </c>
      <c r="C198" s="88">
        <v>2</v>
      </c>
    </row>
    <row r="199" spans="1:3">
      <c r="A199" s="16" t="s">
        <v>381</v>
      </c>
      <c r="B199" s="15" t="s">
        <v>382</v>
      </c>
      <c r="C199" s="88">
        <v>3</v>
      </c>
    </row>
    <row r="200" spans="1:3">
      <c r="A200" s="16" t="s">
        <v>383</v>
      </c>
      <c r="B200" s="15" t="s">
        <v>384</v>
      </c>
      <c r="C200" s="88">
        <v>1</v>
      </c>
    </row>
    <row r="201" spans="1:3">
      <c r="A201" s="16" t="s">
        <v>385</v>
      </c>
      <c r="B201" s="15" t="s">
        <v>386</v>
      </c>
      <c r="C201" s="88">
        <v>1</v>
      </c>
    </row>
    <row r="202" spans="1:3">
      <c r="A202" s="16" t="s">
        <v>387</v>
      </c>
      <c r="B202" s="15" t="s">
        <v>388</v>
      </c>
      <c r="C202" s="88">
        <v>1</v>
      </c>
    </row>
    <row r="203" spans="1:3">
      <c r="A203" s="16" t="s">
        <v>389</v>
      </c>
      <c r="B203" s="15" t="s">
        <v>390</v>
      </c>
      <c r="C203" s="88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B2:AN195"/>
  <sheetViews>
    <sheetView workbookViewId="0">
      <pane xSplit="3" ySplit="3" topLeftCell="D138" activePane="bottomRight" state="frozen"/>
      <selection pane="topRight" activeCell="D1" sqref="D1"/>
      <selection pane="bottomLeft" activeCell="A5" sqref="A5"/>
      <selection pane="bottomRight" activeCell="D3" sqref="D3:AN195"/>
    </sheetView>
  </sheetViews>
  <sheetFormatPr baseColWidth="10" defaultRowHeight="15" x14ac:dyDescent="0"/>
  <sheetData>
    <row r="2" spans="2:40">
      <c r="D2">
        <f>COUNT(D4:D195)</f>
        <v>159</v>
      </c>
      <c r="E2">
        <f t="shared" ref="E2:AN2" si="0">COUNT(E4:E195)</f>
        <v>164</v>
      </c>
      <c r="F2">
        <f t="shared" si="0"/>
        <v>160</v>
      </c>
      <c r="G2">
        <f t="shared" si="0"/>
        <v>182</v>
      </c>
      <c r="H2">
        <f t="shared" si="0"/>
        <v>163</v>
      </c>
      <c r="I2">
        <f t="shared" si="0"/>
        <v>192</v>
      </c>
      <c r="J2">
        <f t="shared" si="0"/>
        <v>171</v>
      </c>
      <c r="K2">
        <f t="shared" si="0"/>
        <v>181</v>
      </c>
      <c r="L2">
        <f t="shared" si="0"/>
        <v>192</v>
      </c>
      <c r="M2">
        <f t="shared" si="0"/>
        <v>186</v>
      </c>
      <c r="N2">
        <f t="shared" si="0"/>
        <v>184</v>
      </c>
      <c r="O2">
        <f t="shared" si="0"/>
        <v>188</v>
      </c>
      <c r="P2">
        <f t="shared" si="0"/>
        <v>187</v>
      </c>
      <c r="Q2">
        <f t="shared" si="0"/>
        <v>192</v>
      </c>
      <c r="R2">
        <f t="shared" si="0"/>
        <v>185</v>
      </c>
      <c r="S2">
        <f t="shared" si="0"/>
        <v>172</v>
      </c>
      <c r="T2">
        <f t="shared" si="0"/>
        <v>180</v>
      </c>
      <c r="U2">
        <f t="shared" si="0"/>
        <v>191</v>
      </c>
      <c r="V2">
        <f t="shared" si="0"/>
        <v>186</v>
      </c>
      <c r="W2">
        <f t="shared" si="0"/>
        <v>185</v>
      </c>
      <c r="X2">
        <f t="shared" si="0"/>
        <v>191</v>
      </c>
      <c r="Y2">
        <f t="shared" si="0"/>
        <v>184</v>
      </c>
      <c r="Z2">
        <f t="shared" si="0"/>
        <v>184</v>
      </c>
      <c r="AA2">
        <f t="shared" si="0"/>
        <v>187</v>
      </c>
      <c r="AB2">
        <f t="shared" si="0"/>
        <v>189</v>
      </c>
      <c r="AC2">
        <f t="shared" si="0"/>
        <v>190</v>
      </c>
      <c r="AD2">
        <f t="shared" si="0"/>
        <v>152</v>
      </c>
      <c r="AE2">
        <f t="shared" si="0"/>
        <v>184</v>
      </c>
      <c r="AF2">
        <f t="shared" si="0"/>
        <v>177</v>
      </c>
      <c r="AG2">
        <f t="shared" si="0"/>
        <v>192</v>
      </c>
      <c r="AH2">
        <f t="shared" si="0"/>
        <v>192</v>
      </c>
      <c r="AI2">
        <f t="shared" si="0"/>
        <v>179</v>
      </c>
      <c r="AJ2">
        <f t="shared" si="0"/>
        <v>168</v>
      </c>
      <c r="AK2">
        <f t="shared" si="0"/>
        <v>174</v>
      </c>
      <c r="AL2">
        <f t="shared" si="0"/>
        <v>192</v>
      </c>
      <c r="AM2">
        <f t="shared" si="0"/>
        <v>174</v>
      </c>
      <c r="AN2">
        <f t="shared" si="0"/>
        <v>186</v>
      </c>
    </row>
    <row r="3" spans="2:40" ht="84">
      <c r="B3" s="1"/>
      <c r="C3" s="2" t="s">
        <v>0</v>
      </c>
      <c r="D3" s="2" t="s">
        <v>546</v>
      </c>
      <c r="E3" s="2" t="s">
        <v>391</v>
      </c>
      <c r="F3" s="2" t="s">
        <v>392</v>
      </c>
      <c r="G3" s="2" t="s">
        <v>393</v>
      </c>
      <c r="H3" s="2" t="s">
        <v>498</v>
      </c>
      <c r="I3" s="22" t="s">
        <v>1</v>
      </c>
      <c r="J3" s="22" t="s">
        <v>2</v>
      </c>
      <c r="K3" s="22" t="s">
        <v>3</v>
      </c>
      <c r="L3" s="22" t="s">
        <v>4</v>
      </c>
      <c r="M3" s="22" t="s">
        <v>5</v>
      </c>
      <c r="N3" s="22" t="s">
        <v>6</v>
      </c>
      <c r="O3" s="23" t="s">
        <v>395</v>
      </c>
      <c r="P3" s="23" t="s">
        <v>396</v>
      </c>
      <c r="Q3" s="23" t="s">
        <v>397</v>
      </c>
      <c r="R3" s="23" t="s">
        <v>398</v>
      </c>
      <c r="S3" s="23" t="s">
        <v>399</v>
      </c>
      <c r="T3" s="23" t="s">
        <v>400</v>
      </c>
      <c r="U3" s="24" t="s">
        <v>407</v>
      </c>
      <c r="V3" s="24" t="s">
        <v>408</v>
      </c>
      <c r="W3" s="24" t="s">
        <v>409</v>
      </c>
      <c r="X3" s="24" t="s">
        <v>410</v>
      </c>
      <c r="Y3" s="24" t="s">
        <v>411</v>
      </c>
      <c r="Z3" s="24" t="s">
        <v>412</v>
      </c>
      <c r="AA3" s="77" t="s">
        <v>493</v>
      </c>
      <c r="AB3" s="77" t="s">
        <v>496</v>
      </c>
      <c r="AC3" s="76" t="s">
        <v>476</v>
      </c>
      <c r="AD3" s="76" t="s">
        <v>477</v>
      </c>
      <c r="AE3" s="78" t="s">
        <v>495</v>
      </c>
      <c r="AF3" s="78" t="s">
        <v>494</v>
      </c>
      <c r="AG3" s="131" t="s">
        <v>537</v>
      </c>
      <c r="AH3" s="131" t="s">
        <v>538</v>
      </c>
      <c r="AI3" s="132" t="s">
        <v>539</v>
      </c>
      <c r="AJ3" s="131" t="s">
        <v>540</v>
      </c>
      <c r="AK3" s="131" t="s">
        <v>541</v>
      </c>
      <c r="AL3" s="131" t="s">
        <v>542</v>
      </c>
      <c r="AM3" s="131" t="s">
        <v>543</v>
      </c>
      <c r="AN3" s="131" t="s">
        <v>544</v>
      </c>
    </row>
    <row r="4" spans="2:40">
      <c r="B4" s="16" t="s">
        <v>7</v>
      </c>
      <c r="C4" s="15" t="s">
        <v>8</v>
      </c>
      <c r="D4" s="133" t="e">
        <v>#VALUE!</v>
      </c>
      <c r="E4" s="4">
        <v>0.58543482905982913</v>
      </c>
      <c r="F4" s="4" t="e">
        <v>#VALUE!</v>
      </c>
      <c r="G4" s="6">
        <v>0.68073641476482105</v>
      </c>
      <c r="H4" s="6">
        <v>0.36509894515738317</v>
      </c>
      <c r="I4" s="5">
        <v>0.37858333333333338</v>
      </c>
      <c r="J4" s="5">
        <v>0.3556923076923077</v>
      </c>
      <c r="K4" s="5">
        <v>0.52</v>
      </c>
      <c r="L4" s="5">
        <v>0.69166666666666687</v>
      </c>
      <c r="M4" s="5">
        <v>0.93666666666666665</v>
      </c>
      <c r="N4" s="5">
        <v>0.63</v>
      </c>
      <c r="O4" s="5">
        <v>0.50916666666666666</v>
      </c>
      <c r="P4" s="5">
        <v>0.75579999999999903</v>
      </c>
      <c r="Q4" s="5">
        <v>0.9850292427348889</v>
      </c>
      <c r="R4" s="5" t="e">
        <v>#VALUE!</v>
      </c>
      <c r="S4" s="5" t="e">
        <v>#N/A</v>
      </c>
      <c r="T4" s="5">
        <v>0.62</v>
      </c>
      <c r="U4" s="5">
        <v>0.7833333333333331</v>
      </c>
      <c r="V4" s="5">
        <v>0.9516</v>
      </c>
      <c r="W4" s="5">
        <v>0.81403951219512183</v>
      </c>
      <c r="X4" s="5">
        <v>0.36028297119757452</v>
      </c>
      <c r="Y4" s="5">
        <v>0.17516267186289636</v>
      </c>
      <c r="Z4" s="5">
        <v>1</v>
      </c>
      <c r="AA4" s="5">
        <v>0</v>
      </c>
      <c r="AB4" s="5">
        <v>0</v>
      </c>
      <c r="AC4" s="5">
        <v>0.85599999999999998</v>
      </c>
      <c r="AD4" s="5" t="e">
        <v>#N/A</v>
      </c>
      <c r="AE4" s="5">
        <v>7.3593670944298792E-2</v>
      </c>
      <c r="AF4" s="5">
        <v>0.70700000000000007</v>
      </c>
      <c r="AG4" s="134">
        <v>1321.3237969900945</v>
      </c>
      <c r="AH4" s="135">
        <v>7.1863893895433844</v>
      </c>
      <c r="AI4">
        <v>0.35199999999999998</v>
      </c>
      <c r="AJ4" s="136">
        <v>29.4</v>
      </c>
      <c r="AK4" s="137">
        <v>0.54375672966067778</v>
      </c>
      <c r="AL4" s="138">
        <v>0.44431221350228722</v>
      </c>
      <c r="AM4" s="139">
        <v>9.9444516158390561E-2</v>
      </c>
      <c r="AN4" s="139">
        <v>0.36479341208305149</v>
      </c>
    </row>
    <row r="5" spans="2:40">
      <c r="B5" s="16" t="s">
        <v>9</v>
      </c>
      <c r="C5" s="15" t="s">
        <v>10</v>
      </c>
      <c r="D5" s="133">
        <v>0.29280988938017399</v>
      </c>
      <c r="E5" s="4">
        <v>0.23970954902744476</v>
      </c>
      <c r="F5" s="4">
        <v>0.38390189107785139</v>
      </c>
      <c r="G5" s="6">
        <v>0.16165960266830692</v>
      </c>
      <c r="H5" s="6">
        <v>0.38596851474709187</v>
      </c>
      <c r="I5" s="5">
        <v>0.78049999999999997</v>
      </c>
      <c r="J5" s="5">
        <v>4.4076738609112709E-2</v>
      </c>
      <c r="K5" s="5">
        <v>3.0000000000000027E-2</v>
      </c>
      <c r="L5" s="5">
        <v>0.5303472222222223</v>
      </c>
      <c r="M5" s="5">
        <v>3.3333333333333333E-2</v>
      </c>
      <c r="N5" s="5">
        <v>2.0000000000000018E-2</v>
      </c>
      <c r="O5" s="5">
        <v>0.28591666666666671</v>
      </c>
      <c r="P5" s="5">
        <v>0.52639999999999998</v>
      </c>
      <c r="Q5" s="5">
        <v>0.73278415300548638</v>
      </c>
      <c r="R5" s="5">
        <v>0.16831590142174402</v>
      </c>
      <c r="S5" s="5">
        <v>0.5299946253732114</v>
      </c>
      <c r="T5" s="5">
        <v>0.06</v>
      </c>
      <c r="U5" s="5">
        <v>7.5000000000000067E-2</v>
      </c>
      <c r="V5" s="5">
        <v>0.6317600000000001</v>
      </c>
      <c r="W5" s="5">
        <v>0.1649268292682925</v>
      </c>
      <c r="X5" s="5">
        <v>5.6930693069306933E-2</v>
      </c>
      <c r="Y5" s="5">
        <v>2.6541994952568176E-2</v>
      </c>
      <c r="Z5" s="5">
        <v>1.4798098719673755E-2</v>
      </c>
      <c r="AA5" s="5">
        <v>4.5999999999999999E-2</v>
      </c>
      <c r="AB5" s="5">
        <v>0.10142829754715921</v>
      </c>
      <c r="AC5" s="5">
        <v>0</v>
      </c>
      <c r="AD5" s="5">
        <v>1</v>
      </c>
      <c r="AE5" s="5">
        <v>0.32846715328467158</v>
      </c>
      <c r="AF5" s="5">
        <v>0.61</v>
      </c>
      <c r="AG5" s="134">
        <v>8716.0067291809646</v>
      </c>
      <c r="AH5" s="135">
        <v>9.0729164681134282</v>
      </c>
      <c r="AI5">
        <v>0.81799999999999995</v>
      </c>
      <c r="AJ5" s="136">
        <v>34.510000000000005</v>
      </c>
      <c r="AK5" s="137">
        <v>0.29280988938017372</v>
      </c>
      <c r="AL5" s="138">
        <v>0.30678438947453102</v>
      </c>
      <c r="AM5" s="139">
        <v>-1.3974500094357301E-2</v>
      </c>
      <c r="AN5" s="139">
        <v>1.2083114599686029</v>
      </c>
    </row>
    <row r="6" spans="2:40">
      <c r="B6" s="16" t="s">
        <v>11</v>
      </c>
      <c r="C6" s="15" t="s">
        <v>12</v>
      </c>
      <c r="D6" s="133">
        <v>0.31056087006768202</v>
      </c>
      <c r="E6" s="4">
        <v>0.33743385818337618</v>
      </c>
      <c r="F6" s="4">
        <v>0.41800803557670191</v>
      </c>
      <c r="G6" s="6">
        <v>0.26446451730682363</v>
      </c>
      <c r="H6" s="6">
        <v>0.22233706920382756</v>
      </c>
      <c r="I6" s="5">
        <v>0.64683333333333337</v>
      </c>
      <c r="J6" s="5">
        <v>0.52647814910025703</v>
      </c>
      <c r="K6" s="5">
        <v>0.17000000000000004</v>
      </c>
      <c r="L6" s="5">
        <v>0.56395833333333334</v>
      </c>
      <c r="M6" s="5">
        <v>6.7333333333333328E-2</v>
      </c>
      <c r="N6" s="5">
        <v>5.0000000000000044E-2</v>
      </c>
      <c r="O6" s="5">
        <v>0.66583333333333339</v>
      </c>
      <c r="P6" s="5">
        <v>0.34139999999999998</v>
      </c>
      <c r="Q6" s="5">
        <v>0.75597654337469367</v>
      </c>
      <c r="R6" s="5">
        <v>4.2545901780739484E-2</v>
      </c>
      <c r="S6" s="5">
        <v>0.67229243497144475</v>
      </c>
      <c r="T6" s="5">
        <v>0.03</v>
      </c>
      <c r="U6" s="5">
        <v>0.20833333333333315</v>
      </c>
      <c r="V6" s="5">
        <v>0.79571999999999998</v>
      </c>
      <c r="W6" s="5">
        <v>0.24754487804878034</v>
      </c>
      <c r="X6" s="5">
        <v>0.26165803108808289</v>
      </c>
      <c r="Y6" s="5">
        <v>3.6068561103771974E-4</v>
      </c>
      <c r="Z6" s="5">
        <v>7.3170175759707662E-2</v>
      </c>
      <c r="AA6" s="5">
        <v>4.0000000000000001E-3</v>
      </c>
      <c r="AB6" s="5">
        <v>3.9635043021802749E-2</v>
      </c>
      <c r="AC6" s="5">
        <v>7.0000000000000062E-3</v>
      </c>
      <c r="AD6" s="5">
        <v>0</v>
      </c>
      <c r="AE6" s="5">
        <v>1.4485208293096644E-2</v>
      </c>
      <c r="AF6" s="5">
        <v>0.26540000000000008</v>
      </c>
      <c r="AG6" s="134">
        <v>8172.4752171015598</v>
      </c>
      <c r="AH6" s="135">
        <v>9.008527106119196</v>
      </c>
      <c r="AI6">
        <v>0.754</v>
      </c>
      <c r="AJ6" s="136">
        <v>35.33</v>
      </c>
      <c r="AK6" s="137">
        <v>0.31056087006768229</v>
      </c>
      <c r="AL6" s="138">
        <v>0.31147837396391054</v>
      </c>
      <c r="AM6" s="139">
        <v>-9.1750389622824446E-4</v>
      </c>
      <c r="AN6" s="139">
        <v>5.3337039959824957E-3</v>
      </c>
    </row>
    <row r="7" spans="2:40">
      <c r="B7" s="16" t="s">
        <v>13</v>
      </c>
      <c r="C7" s="15" t="s">
        <v>14</v>
      </c>
      <c r="D7" s="133" t="e">
        <v>#DIV/0!</v>
      </c>
      <c r="E7" s="4" t="e">
        <v>#DIV/0!</v>
      </c>
      <c r="F7" s="4" t="e">
        <v>#N/A</v>
      </c>
      <c r="G7" s="6" t="e">
        <v>#N/A</v>
      </c>
      <c r="H7" s="6" t="e">
        <v>#N/A</v>
      </c>
      <c r="I7" s="5">
        <v>0.66125</v>
      </c>
      <c r="J7" s="5" t="e">
        <v>#DIV/0!</v>
      </c>
      <c r="K7" s="5" t="e">
        <v>#N/A</v>
      </c>
      <c r="L7" s="5">
        <v>0.54041666666666677</v>
      </c>
      <c r="M7" s="5">
        <v>0</v>
      </c>
      <c r="N7" s="5">
        <v>0</v>
      </c>
      <c r="O7" s="5" t="e">
        <v>#N/A</v>
      </c>
      <c r="P7" s="5" t="e">
        <v>#N/A</v>
      </c>
      <c r="Q7" s="5">
        <v>1</v>
      </c>
      <c r="R7" s="5">
        <v>0.16250696014421309</v>
      </c>
      <c r="S7" s="5" t="e">
        <v>#N/A</v>
      </c>
      <c r="T7" s="5">
        <v>0</v>
      </c>
      <c r="U7" s="5">
        <v>6.6666666666666541E-2</v>
      </c>
      <c r="V7" s="5" t="e">
        <v>#N/A</v>
      </c>
      <c r="W7" s="5" t="e">
        <v>#N/A</v>
      </c>
      <c r="X7" s="5">
        <v>4.1994750656167978E-2</v>
      </c>
      <c r="Y7" s="5" t="e">
        <v>#N/A</v>
      </c>
      <c r="Z7" s="5" t="e">
        <v>#N/A</v>
      </c>
      <c r="AA7" s="5">
        <v>0</v>
      </c>
      <c r="AB7" s="5">
        <v>0</v>
      </c>
      <c r="AC7" s="5">
        <v>0</v>
      </c>
      <c r="AD7" s="5" t="e">
        <v>#N/A</v>
      </c>
      <c r="AE7" s="5" t="e">
        <v>#N/A</v>
      </c>
      <c r="AF7" s="5" t="e">
        <v>#N/A</v>
      </c>
      <c r="AG7" s="134">
        <v>44900</v>
      </c>
      <c r="AH7" s="135">
        <v>10.712193073730345</v>
      </c>
      <c r="AI7">
        <v>0.93400000000000005</v>
      </c>
      <c r="AJ7" s="136">
        <v>27.21</v>
      </c>
      <c r="AK7" s="137" t="e">
        <v>#N/A</v>
      </c>
      <c r="AL7" s="138">
        <v>0.18728112492505766</v>
      </c>
      <c r="AM7" s="139" t="e">
        <v>#N/A</v>
      </c>
      <c r="AN7" s="139" t="e">
        <v>#N/A</v>
      </c>
    </row>
    <row r="8" spans="2:40">
      <c r="B8" s="16" t="s">
        <v>15</v>
      </c>
      <c r="C8" s="15" t="s">
        <v>16</v>
      </c>
      <c r="D8" s="133">
        <v>0.49435087717856302</v>
      </c>
      <c r="E8" s="4">
        <v>0.4251679304304305</v>
      </c>
      <c r="F8" s="4">
        <v>0.55895585636364975</v>
      </c>
      <c r="G8" s="6">
        <v>0.53504766992075947</v>
      </c>
      <c r="H8" s="6">
        <v>0.45823205199941203</v>
      </c>
      <c r="I8" s="5">
        <v>0.43441666666666667</v>
      </c>
      <c r="J8" s="5">
        <v>4.3270270270270271E-3</v>
      </c>
      <c r="K8" s="5">
        <v>0.5</v>
      </c>
      <c r="L8" s="5">
        <v>0.33826388888888903</v>
      </c>
      <c r="M8" s="5">
        <v>0.84399999999999997</v>
      </c>
      <c r="N8" s="5">
        <v>0.43000000000000005</v>
      </c>
      <c r="O8" s="5">
        <v>0.52441666666666664</v>
      </c>
      <c r="P8" s="5">
        <v>0.42400000000000004</v>
      </c>
      <c r="Q8" s="5">
        <v>0.93963759296824134</v>
      </c>
      <c r="R8" s="5">
        <v>0.5</v>
      </c>
      <c r="S8" s="5">
        <v>0.54568087854698999</v>
      </c>
      <c r="T8" s="5">
        <v>0.42000000000000004</v>
      </c>
      <c r="U8" s="5">
        <v>0.20833333333333315</v>
      </c>
      <c r="V8" s="5">
        <v>0.88880000000000003</v>
      </c>
      <c r="W8" s="5">
        <v>0.7489668292682925</v>
      </c>
      <c r="X8" s="5">
        <v>0.46192893401015228</v>
      </c>
      <c r="Y8" s="5">
        <v>2.7331363636297557E-2</v>
      </c>
      <c r="Z8" s="5">
        <v>0.87492555927648075</v>
      </c>
      <c r="AA8" s="5">
        <v>2E-3</v>
      </c>
      <c r="AB8" s="5">
        <v>5.2795712771018868E-2</v>
      </c>
      <c r="AC8" s="5">
        <v>0.73799999999999999</v>
      </c>
      <c r="AD8" s="5">
        <v>0.63987251940270651</v>
      </c>
      <c r="AE8" s="5">
        <v>1.8047645784872061E-2</v>
      </c>
      <c r="AF8" s="5">
        <v>0.89600000381469702</v>
      </c>
      <c r="AG8" s="134">
        <v>5812.0219949393422</v>
      </c>
      <c r="AH8" s="135">
        <v>8.6676838090841386</v>
      </c>
      <c r="AI8">
        <v>0.56399999999999995</v>
      </c>
      <c r="AJ8" s="136">
        <v>58.64</v>
      </c>
      <c r="AK8" s="137">
        <v>0.49435087717856296</v>
      </c>
      <c r="AL8" s="138">
        <v>0.33632585031776618</v>
      </c>
      <c r="AM8" s="139">
        <v>0.15802502686079678</v>
      </c>
      <c r="AN8" s="139">
        <v>0.40067528524107471</v>
      </c>
    </row>
    <row r="9" spans="2:40">
      <c r="B9" s="16" t="s">
        <v>17</v>
      </c>
      <c r="C9" s="15" t="s">
        <v>18</v>
      </c>
      <c r="D9" s="133">
        <v>0.36470081128108001</v>
      </c>
      <c r="E9" s="4">
        <v>0.16180555555555556</v>
      </c>
      <c r="F9" s="4">
        <v>0.51642833162250656</v>
      </c>
      <c r="G9" s="6">
        <v>0.22805458313406665</v>
      </c>
      <c r="H9" s="6" t="e">
        <v>#N/A</v>
      </c>
      <c r="I9" s="5">
        <v>0.66833333333333333</v>
      </c>
      <c r="J9" s="5">
        <v>0</v>
      </c>
      <c r="K9" s="5">
        <v>8.9999999999999969E-2</v>
      </c>
      <c r="L9" s="5">
        <v>0.16249999999999998</v>
      </c>
      <c r="M9" s="5">
        <v>0</v>
      </c>
      <c r="N9" s="5">
        <v>5.0000000000000044E-2</v>
      </c>
      <c r="O9" s="5">
        <v>0.71158333333333335</v>
      </c>
      <c r="P9" s="5">
        <v>0.69619999999999993</v>
      </c>
      <c r="Q9" s="5">
        <v>0.52229166666666671</v>
      </c>
      <c r="R9" s="5">
        <v>0.23378563842922645</v>
      </c>
      <c r="S9" s="5">
        <v>0.93470935130581301</v>
      </c>
      <c r="T9" s="5">
        <v>0</v>
      </c>
      <c r="U9" s="5">
        <v>0.31666666666666676</v>
      </c>
      <c r="V9" s="5">
        <v>0.73080000000000001</v>
      </c>
      <c r="W9" s="5">
        <v>0.19439024390243897</v>
      </c>
      <c r="X9" s="5">
        <v>0.12647058823529411</v>
      </c>
      <c r="Y9" s="5">
        <v>0</v>
      </c>
      <c r="Z9" s="5">
        <v>0</v>
      </c>
      <c r="AA9" s="5">
        <v>1</v>
      </c>
      <c r="AB9" s="5">
        <v>0.31135530638454417</v>
      </c>
      <c r="AC9" s="5">
        <v>5.0000000000000044E-2</v>
      </c>
      <c r="AD9" s="5">
        <v>0</v>
      </c>
      <c r="AE9" s="5">
        <v>0</v>
      </c>
      <c r="AF9" s="5">
        <v>0.67040000915527309</v>
      </c>
      <c r="AG9" s="134">
        <v>18778.490631592878</v>
      </c>
      <c r="AH9" s="135">
        <v>9.8404673784776353</v>
      </c>
      <c r="AI9">
        <v>0.86799999999999999</v>
      </c>
      <c r="AJ9" s="136" t="e">
        <v>#N/A</v>
      </c>
      <c r="AK9" s="137">
        <v>0.30209615677070961</v>
      </c>
      <c r="AL9" s="138">
        <v>0.2508299281089803</v>
      </c>
      <c r="AM9" s="139">
        <v>5.1266228661729307E-2</v>
      </c>
      <c r="AN9" s="139">
        <v>2.6312089552238804</v>
      </c>
    </row>
    <row r="10" spans="2:40">
      <c r="B10" s="16" t="s">
        <v>19</v>
      </c>
      <c r="C10" s="15" t="s">
        <v>20</v>
      </c>
      <c r="D10" s="133">
        <v>0.20974761301546299</v>
      </c>
      <c r="E10" s="4">
        <v>0.13840714009464009</v>
      </c>
      <c r="F10" s="4">
        <v>0.21585298543469289</v>
      </c>
      <c r="G10" s="6">
        <v>0.25297280404034966</v>
      </c>
      <c r="H10" s="6">
        <v>0.23175752249217099</v>
      </c>
      <c r="I10" s="5">
        <v>0.45516666666666672</v>
      </c>
      <c r="J10" s="5">
        <v>4.0012285012285015E-2</v>
      </c>
      <c r="K10" s="5">
        <v>3.0000000000000027E-2</v>
      </c>
      <c r="L10" s="5">
        <v>0.20326388888888869</v>
      </c>
      <c r="M10" s="5">
        <v>2E-3</v>
      </c>
      <c r="N10" s="5">
        <v>9.9999999999999978E-2</v>
      </c>
      <c r="O10" s="5">
        <v>0.32058333333333333</v>
      </c>
      <c r="P10" s="5">
        <v>7.7999999999999861E-2</v>
      </c>
      <c r="Q10" s="5">
        <v>0.79056576193237704</v>
      </c>
      <c r="R10" s="5">
        <v>4.3083810466310053E-2</v>
      </c>
      <c r="S10" s="5">
        <v>2.8850068761369215E-3</v>
      </c>
      <c r="T10" s="5">
        <v>0.06</v>
      </c>
      <c r="U10" s="5">
        <v>0.31666666666666676</v>
      </c>
      <c r="V10" s="5">
        <v>0.83319999999999994</v>
      </c>
      <c r="W10" s="5">
        <v>0.18964975609756063</v>
      </c>
      <c r="X10" s="5">
        <v>0.13679245283018868</v>
      </c>
      <c r="Y10" s="5">
        <v>0</v>
      </c>
      <c r="Z10" s="5">
        <v>4.1527948647681882E-2</v>
      </c>
      <c r="AA10" s="5">
        <v>1.2E-2</v>
      </c>
      <c r="AB10" s="5">
        <v>0.10933842591428558</v>
      </c>
      <c r="AC10" s="5">
        <v>2.8000000000000025E-2</v>
      </c>
      <c r="AD10" s="5">
        <v>0.18528104604969939</v>
      </c>
      <c r="AE10" s="5">
        <v>1.1510255089177072E-2</v>
      </c>
      <c r="AF10" s="5">
        <v>0.7</v>
      </c>
      <c r="AG10" s="134">
        <v>14538.32401076723</v>
      </c>
      <c r="AH10" s="135">
        <v>9.5845434769586433</v>
      </c>
      <c r="AI10">
        <v>0.86599999999999999</v>
      </c>
      <c r="AJ10" s="136">
        <v>45.769999999999996</v>
      </c>
      <c r="AK10" s="137">
        <v>0.20974761301546338</v>
      </c>
      <c r="AL10" s="138">
        <v>0.26948678052971475</v>
      </c>
      <c r="AM10" s="139">
        <v>-5.9739167514251373E-2</v>
      </c>
      <c r="AN10" s="139">
        <v>0.38386033133916247</v>
      </c>
    </row>
    <row r="11" spans="2:40">
      <c r="B11" s="16" t="s">
        <v>21</v>
      </c>
      <c r="C11" s="15" t="s">
        <v>22</v>
      </c>
      <c r="D11" s="133">
        <v>0.279529891208045</v>
      </c>
      <c r="E11" s="4">
        <v>0.31206831221426085</v>
      </c>
      <c r="F11" s="4">
        <v>0.33536008886802876</v>
      </c>
      <c r="G11" s="6">
        <v>0.15544689527962544</v>
      </c>
      <c r="H11" s="6">
        <v>0.31524426847026299</v>
      </c>
      <c r="I11" s="5">
        <v>0.65949999999999998</v>
      </c>
      <c r="J11" s="5">
        <v>0.36388209550778733</v>
      </c>
      <c r="K11" s="5">
        <v>4.0000000000000036E-2</v>
      </c>
      <c r="L11" s="5">
        <v>0.66569444444444437</v>
      </c>
      <c r="M11" s="5">
        <v>4.3333333333333335E-2</v>
      </c>
      <c r="N11" s="5">
        <v>9.9999999999999978E-2</v>
      </c>
      <c r="O11" s="5">
        <v>0.27966666666666667</v>
      </c>
      <c r="P11" s="5">
        <v>0.36219999999999997</v>
      </c>
      <c r="Q11" s="5">
        <v>0.4699049865378333</v>
      </c>
      <c r="R11" s="5">
        <v>7.4171015373110952E-2</v>
      </c>
      <c r="S11" s="5">
        <v>0.8212178646305619</v>
      </c>
      <c r="T11" s="5">
        <v>5.0000000000000001E-3</v>
      </c>
      <c r="U11" s="5">
        <v>7.5000000000000067E-2</v>
      </c>
      <c r="V11" s="5">
        <v>0.46251999999999993</v>
      </c>
      <c r="W11" s="5">
        <v>0.22530146341463397</v>
      </c>
      <c r="X11" s="5">
        <v>7.2124756335282647E-2</v>
      </c>
      <c r="Y11" s="5">
        <v>8.4355135487194324E-2</v>
      </c>
      <c r="Z11" s="5">
        <v>1.3380016440641625E-2</v>
      </c>
      <c r="AA11" s="5">
        <v>0</v>
      </c>
      <c r="AB11" s="5">
        <v>0</v>
      </c>
      <c r="AC11" s="5">
        <v>0</v>
      </c>
      <c r="AD11" s="5">
        <v>0.81686034613962533</v>
      </c>
      <c r="AE11" s="5">
        <v>0.15957446808510639</v>
      </c>
      <c r="AF11" s="5">
        <v>9.4799999999999995E-2</v>
      </c>
      <c r="AG11" s="134">
        <v>5278.8765833541383</v>
      </c>
      <c r="AH11" s="135">
        <v>8.5714685857577795</v>
      </c>
      <c r="AI11">
        <v>0.79800000000000004</v>
      </c>
      <c r="AJ11" s="136">
        <v>30.86</v>
      </c>
      <c r="AK11" s="137">
        <v>0.2795298912080445</v>
      </c>
      <c r="AL11" s="138">
        <v>0.34333994009825775</v>
      </c>
      <c r="AM11" s="139">
        <v>-6.3810048890213245E-2</v>
      </c>
      <c r="AN11" s="139">
        <v>9.149969915764139E-2</v>
      </c>
    </row>
    <row r="12" spans="2:40">
      <c r="B12" s="16" t="s">
        <v>23</v>
      </c>
      <c r="C12" s="15" t="s">
        <v>24</v>
      </c>
      <c r="D12" s="133">
        <v>0.20227001709470499</v>
      </c>
      <c r="E12" s="4">
        <v>0.15212037037037041</v>
      </c>
      <c r="F12" s="4">
        <v>0.26831856029675433</v>
      </c>
      <c r="G12" s="6">
        <v>0.18054724210988785</v>
      </c>
      <c r="H12" s="6">
        <v>0.2080938956018086</v>
      </c>
      <c r="I12" s="5">
        <v>0.58174999999999999</v>
      </c>
      <c r="J12" s="5">
        <v>4.5833333333333337E-2</v>
      </c>
      <c r="K12" s="5">
        <v>0</v>
      </c>
      <c r="L12" s="5">
        <v>0.28513888888888905</v>
      </c>
      <c r="M12" s="5">
        <v>0</v>
      </c>
      <c r="N12" s="5">
        <v>0</v>
      </c>
      <c r="O12" s="5">
        <v>0.49116666666666664</v>
      </c>
      <c r="P12" s="5">
        <v>0.11080000000000007</v>
      </c>
      <c r="Q12" s="5">
        <v>0.8119917358098514</v>
      </c>
      <c r="R12" s="5">
        <v>0.16453804793510413</v>
      </c>
      <c r="S12" s="5">
        <v>3.141491136890364E-2</v>
      </c>
      <c r="T12" s="5">
        <v>0</v>
      </c>
      <c r="U12" s="5">
        <v>0.8500000000000002</v>
      </c>
      <c r="V12" s="5">
        <v>0.11316000000000004</v>
      </c>
      <c r="W12" s="5">
        <v>6.9121951219511812E-2</v>
      </c>
      <c r="X12" s="5">
        <v>4.7619047619047616E-2</v>
      </c>
      <c r="Y12" s="5">
        <v>0</v>
      </c>
      <c r="Z12" s="5">
        <v>3.3824538207674238E-3</v>
      </c>
      <c r="AA12" s="5">
        <v>1.4999999999999999E-2</v>
      </c>
      <c r="AB12" s="5">
        <v>0.12107492287808069</v>
      </c>
      <c r="AC12" s="5">
        <v>0</v>
      </c>
      <c r="AD12" s="5">
        <v>0</v>
      </c>
      <c r="AE12" s="5">
        <v>4.6860966116918116E-3</v>
      </c>
      <c r="AF12" s="5">
        <v>0.61299999237060498</v>
      </c>
      <c r="AG12" s="134">
        <v>39539.135363480695</v>
      </c>
      <c r="AH12" s="135">
        <v>10.58504622909757</v>
      </c>
      <c r="AI12">
        <v>0.97</v>
      </c>
      <c r="AJ12" s="136">
        <v>35.19</v>
      </c>
      <c r="AK12" s="137">
        <v>0.2022700170947053</v>
      </c>
      <c r="AL12" s="138">
        <v>0.19655012989878706</v>
      </c>
      <c r="AM12" s="139">
        <v>5.7198871959182329E-3</v>
      </c>
      <c r="AN12" s="139">
        <v>0.87160303231518377</v>
      </c>
    </row>
    <row r="13" spans="2:40">
      <c r="B13" s="16" t="s">
        <v>25</v>
      </c>
      <c r="C13" s="15" t="s">
        <v>26</v>
      </c>
      <c r="D13" s="133">
        <v>0.167439697651701</v>
      </c>
      <c r="E13" s="4">
        <v>0.17465942728442732</v>
      </c>
      <c r="F13" s="4">
        <v>0.22727257470065201</v>
      </c>
      <c r="G13" s="6">
        <v>6.3809292707267012E-2</v>
      </c>
      <c r="H13" s="6">
        <v>0.20401749591445595</v>
      </c>
      <c r="I13" s="5">
        <v>0.43258333333333332</v>
      </c>
      <c r="J13" s="5">
        <v>4.7039897039897041E-2</v>
      </c>
      <c r="K13" s="5">
        <v>0</v>
      </c>
      <c r="L13" s="5">
        <v>0.56833333333333358</v>
      </c>
      <c r="M13" s="5">
        <v>0</v>
      </c>
      <c r="N13" s="5">
        <v>0</v>
      </c>
      <c r="O13" s="5">
        <v>0.23600000000000002</v>
      </c>
      <c r="P13" s="5">
        <v>0.32655592715461623</v>
      </c>
      <c r="Q13" s="5">
        <v>0.31725861232416663</v>
      </c>
      <c r="R13" s="5">
        <v>0.20884725031387613</v>
      </c>
      <c r="S13" s="5">
        <v>0.27497365841125326</v>
      </c>
      <c r="T13" s="5">
        <v>0</v>
      </c>
      <c r="U13" s="5">
        <v>6.6666666666666541E-2</v>
      </c>
      <c r="V13" s="5">
        <v>0.18283999999999989</v>
      </c>
      <c r="W13" s="5">
        <v>9.8341463414633901E-2</v>
      </c>
      <c r="X13" s="5">
        <v>3.3254156769596199E-2</v>
      </c>
      <c r="Y13" s="5">
        <v>0</v>
      </c>
      <c r="Z13" s="5">
        <v>1.7534693927055542E-3</v>
      </c>
      <c r="AA13" s="5">
        <v>0</v>
      </c>
      <c r="AB13" s="5">
        <v>0</v>
      </c>
      <c r="AC13" s="5">
        <v>0</v>
      </c>
      <c r="AD13" s="5">
        <v>0.85968921339113347</v>
      </c>
      <c r="AE13" s="5">
        <v>7.2771376591873868E-2</v>
      </c>
      <c r="AF13" s="5">
        <v>0</v>
      </c>
      <c r="AG13" s="134">
        <v>38817.799131564811</v>
      </c>
      <c r="AH13" s="135">
        <v>10.566634160926355</v>
      </c>
      <c r="AI13">
        <v>0.95499999999999996</v>
      </c>
      <c r="AJ13" s="136">
        <v>29.148</v>
      </c>
      <c r="AK13" s="137">
        <v>0.16743969765170058</v>
      </c>
      <c r="AL13" s="138">
        <v>0.19789236966846857</v>
      </c>
      <c r="AM13" s="139">
        <v>-3.045267201676799E-2</v>
      </c>
      <c r="AN13" s="139">
        <v>7.6102895489002119E-3</v>
      </c>
    </row>
    <row r="14" spans="2:40">
      <c r="B14" s="16" t="s">
        <v>27</v>
      </c>
      <c r="C14" s="15" t="s">
        <v>28</v>
      </c>
      <c r="D14" s="133">
        <v>0.29573646392108699</v>
      </c>
      <c r="E14" s="4">
        <v>0.42498490965013452</v>
      </c>
      <c r="F14" s="4">
        <v>0.35581176289481031</v>
      </c>
      <c r="G14" s="6">
        <v>0.1104389808269181</v>
      </c>
      <c r="H14" s="6">
        <v>0.29171020231248529</v>
      </c>
      <c r="I14" s="5">
        <v>0.64766666666666661</v>
      </c>
      <c r="J14" s="5">
        <v>0.35207612456747406</v>
      </c>
      <c r="K14" s="5">
        <v>0.19999999999999996</v>
      </c>
      <c r="L14" s="5">
        <v>0.62083333333333313</v>
      </c>
      <c r="M14" s="5">
        <v>0.17933333333333334</v>
      </c>
      <c r="N14" s="5">
        <v>0.55000000000000004</v>
      </c>
      <c r="O14" s="5">
        <v>0.29150000000000004</v>
      </c>
      <c r="P14" s="5">
        <v>0.47939999999999999</v>
      </c>
      <c r="Q14" s="5">
        <v>0.75647437299005449</v>
      </c>
      <c r="R14" s="5">
        <v>6.0505975100616123E-2</v>
      </c>
      <c r="S14" s="5">
        <v>0.47199022927819123</v>
      </c>
      <c r="T14" s="5">
        <v>7.4999999999999997E-2</v>
      </c>
      <c r="U14" s="5">
        <v>7.5000000000000067E-2</v>
      </c>
      <c r="V14" s="5">
        <v>0.17464000000000002</v>
      </c>
      <c r="W14" s="5">
        <v>0.29113756097560928</v>
      </c>
      <c r="X14" s="5">
        <v>9.5060577819198508E-2</v>
      </c>
      <c r="Y14" s="5">
        <v>5.9367515775793356E-3</v>
      </c>
      <c r="Z14" s="5">
        <v>2.0858994589121375E-2</v>
      </c>
      <c r="AA14" s="5">
        <v>0.188</v>
      </c>
      <c r="AB14" s="5">
        <v>0</v>
      </c>
      <c r="AC14" s="5">
        <v>0</v>
      </c>
      <c r="AD14" s="5">
        <v>0</v>
      </c>
      <c r="AE14" s="5">
        <v>9.076716407072577E-2</v>
      </c>
      <c r="AF14" s="5">
        <v>0.49397453817385095</v>
      </c>
      <c r="AG14" s="134">
        <v>9638.1881862451737</v>
      </c>
      <c r="AH14" s="135">
        <v>9.1734884224553088</v>
      </c>
      <c r="AI14">
        <v>0.78700000000000003</v>
      </c>
      <c r="AJ14" s="136">
        <v>33.71</v>
      </c>
      <c r="AK14" s="137">
        <v>0.29573646392108704</v>
      </c>
      <c r="AL14" s="138">
        <v>0.29945269400300789</v>
      </c>
      <c r="AM14" s="139">
        <v>-3.716230081920846E-3</v>
      </c>
      <c r="AN14" s="139">
        <v>0.22661103979460848</v>
      </c>
    </row>
    <row r="15" spans="2:40">
      <c r="B15" s="16" t="s">
        <v>29</v>
      </c>
      <c r="C15" s="15" t="s">
        <v>30</v>
      </c>
      <c r="D15" s="133">
        <v>0.34384283013320999</v>
      </c>
      <c r="E15" s="4">
        <v>0.1494560185185185</v>
      </c>
      <c r="F15" s="4">
        <v>0.45227141921007058</v>
      </c>
      <c r="G15" s="6">
        <v>0.21931222469143674</v>
      </c>
      <c r="H15" s="6">
        <v>0.55433165811281504</v>
      </c>
      <c r="I15" s="5">
        <v>0.7174166666666667</v>
      </c>
      <c r="J15" s="5">
        <v>0</v>
      </c>
      <c r="K15" s="5">
        <v>3.0000000000000027E-2</v>
      </c>
      <c r="L15" s="5">
        <v>0.14798611111111104</v>
      </c>
      <c r="M15" s="5">
        <v>1.3333333333333333E-3</v>
      </c>
      <c r="N15" s="5">
        <v>0</v>
      </c>
      <c r="O15" s="5">
        <v>0.71158333333333335</v>
      </c>
      <c r="P15" s="5">
        <v>0.16099999999999984</v>
      </c>
      <c r="Q15" s="5">
        <v>0.72777777777777775</v>
      </c>
      <c r="R15" s="5">
        <v>0.11788255597015429</v>
      </c>
      <c r="S15" s="5">
        <v>0.99538484817915873</v>
      </c>
      <c r="T15" s="5">
        <v>0</v>
      </c>
      <c r="U15" s="5">
        <v>0.31666666666666676</v>
      </c>
      <c r="V15" s="5">
        <v>0.60039999999999993</v>
      </c>
      <c r="W15" s="5">
        <v>0.22271707317073153</v>
      </c>
      <c r="X15" s="5">
        <v>0.15116279069767441</v>
      </c>
      <c r="Y15" s="5">
        <v>0</v>
      </c>
      <c r="Z15" s="5">
        <v>2.4926817613547748E-2</v>
      </c>
      <c r="AA15" s="5">
        <v>0.79700000000000004</v>
      </c>
      <c r="AB15" s="5">
        <v>0.87632329726901204</v>
      </c>
      <c r="AC15" s="5">
        <v>6.0000000000000053E-2</v>
      </c>
      <c r="AD15" s="5">
        <v>0</v>
      </c>
      <c r="AE15" s="5">
        <v>0</v>
      </c>
      <c r="AF15" s="5">
        <v>0.42599998474121104</v>
      </c>
      <c r="AG15" s="134">
        <v>25894</v>
      </c>
      <c r="AH15" s="135">
        <v>10.161766560618593</v>
      </c>
      <c r="AI15">
        <v>0.85599999999999998</v>
      </c>
      <c r="AJ15" s="136" t="e">
        <v>#N/A</v>
      </c>
      <c r="AK15" s="137">
        <v>0.34384283013321021</v>
      </c>
      <c r="AL15" s="138">
        <v>0.22740721773090444</v>
      </c>
      <c r="AM15" s="139">
        <v>0.11643561240230577</v>
      </c>
      <c r="AN15" s="139">
        <v>4.8409893992932863E-2</v>
      </c>
    </row>
    <row r="16" spans="2:40">
      <c r="B16" s="16" t="s">
        <v>31</v>
      </c>
      <c r="C16" s="15" t="s">
        <v>32</v>
      </c>
      <c r="D16" s="133">
        <v>0.306964061479716</v>
      </c>
      <c r="E16" s="4">
        <v>0.30172916666666666</v>
      </c>
      <c r="F16" s="4" t="e">
        <v>#N/A</v>
      </c>
      <c r="G16" s="6">
        <v>0.16675291114752158</v>
      </c>
      <c r="H16" s="6">
        <v>0.30407877714267106</v>
      </c>
      <c r="I16" s="5">
        <v>0.28266666666666673</v>
      </c>
      <c r="J16" s="5">
        <v>1</v>
      </c>
      <c r="K16" s="5">
        <v>0</v>
      </c>
      <c r="L16" s="5">
        <v>0.52770833333333322</v>
      </c>
      <c r="M16" s="5">
        <v>0</v>
      </c>
      <c r="N16" s="5">
        <v>0</v>
      </c>
      <c r="O16" s="5">
        <v>0.54108333333333336</v>
      </c>
      <c r="P16" s="5">
        <v>0.11440000000000008</v>
      </c>
      <c r="Q16" s="5">
        <v>0.94047619047619047</v>
      </c>
      <c r="R16" s="5">
        <v>4.581282196250451E-2</v>
      </c>
      <c r="S16" s="5" t="e">
        <v>#N/A</v>
      </c>
      <c r="T16" s="5">
        <v>0.09</v>
      </c>
      <c r="U16" s="5">
        <v>7.5000000000000067E-2</v>
      </c>
      <c r="V16" s="5">
        <v>0.64392000000000005</v>
      </c>
      <c r="W16" s="5">
        <v>0.17847804878048745</v>
      </c>
      <c r="X16" s="5">
        <v>9.1836734693877556E-2</v>
      </c>
      <c r="Y16" s="5">
        <v>0</v>
      </c>
      <c r="Z16" s="5">
        <v>1.1282683410764407E-2</v>
      </c>
      <c r="AA16" s="5">
        <v>0.45200000000000001</v>
      </c>
      <c r="AB16" s="5">
        <v>0.77416756354415095</v>
      </c>
      <c r="AC16" s="5">
        <v>5.9999999999998943E-3</v>
      </c>
      <c r="AD16" s="5">
        <v>0</v>
      </c>
      <c r="AE16" s="5">
        <v>0</v>
      </c>
      <c r="AF16" s="5">
        <v>0.18518518518518501</v>
      </c>
      <c r="AG16" s="134">
        <v>35174.141600863964</v>
      </c>
      <c r="AH16" s="135">
        <v>10.46806647801357</v>
      </c>
      <c r="AI16">
        <v>0.89500000000000002</v>
      </c>
      <c r="AJ16" s="136" t="e">
        <v>#N/A</v>
      </c>
      <c r="AK16" s="137">
        <v>0.2575202849856198</v>
      </c>
      <c r="AL16" s="138">
        <v>0.20507795375281057</v>
      </c>
      <c r="AM16" s="139">
        <v>5.2442331232809225E-2</v>
      </c>
      <c r="AN16" s="139">
        <v>0</v>
      </c>
    </row>
    <row r="17" spans="2:40">
      <c r="B17" s="16" t="s">
        <v>33</v>
      </c>
      <c r="C17" s="15" t="s">
        <v>34</v>
      </c>
      <c r="D17" s="133">
        <v>0.42282570877578901</v>
      </c>
      <c r="E17" s="4">
        <v>0.26166861360137644</v>
      </c>
      <c r="F17" s="4">
        <v>0.49553458315598337</v>
      </c>
      <c r="G17" s="6">
        <v>0.39820893344718994</v>
      </c>
      <c r="H17" s="6">
        <v>0.53589070489860813</v>
      </c>
      <c r="I17" s="5">
        <v>0.37033333333333329</v>
      </c>
      <c r="J17" s="5">
        <v>2.9233903830480846E-2</v>
      </c>
      <c r="K17" s="5">
        <v>0.19999999999999996</v>
      </c>
      <c r="L17" s="5">
        <v>0.2777777777777779</v>
      </c>
      <c r="M17" s="5">
        <v>0.22266666666666668</v>
      </c>
      <c r="N17" s="5">
        <v>0.47</v>
      </c>
      <c r="O17" s="5">
        <v>0.46758333333333335</v>
      </c>
      <c r="P17" s="5">
        <v>0.7238</v>
      </c>
      <c r="Q17" s="5">
        <v>0.62250472123106726</v>
      </c>
      <c r="R17" s="5">
        <v>0.5</v>
      </c>
      <c r="S17" s="5">
        <v>0.11431944437149964</v>
      </c>
      <c r="T17" s="5">
        <v>0.54500000000000004</v>
      </c>
      <c r="U17" s="5">
        <v>0.44999999999999984</v>
      </c>
      <c r="V17" s="5">
        <v>0.96660000000000001</v>
      </c>
      <c r="W17" s="5">
        <v>0.36870780487804866</v>
      </c>
      <c r="X17" s="5">
        <v>0.30255057167985927</v>
      </c>
      <c r="Y17" s="5">
        <v>8.0015608085701781E-2</v>
      </c>
      <c r="Z17" s="5">
        <v>0.22137961603953007</v>
      </c>
      <c r="AA17" s="5">
        <v>0.30599999999999999</v>
      </c>
      <c r="AB17" s="5">
        <v>0.45560754787023527</v>
      </c>
      <c r="AC17" s="5">
        <v>0.59000000000000008</v>
      </c>
      <c r="AD17" s="5">
        <v>0.19809174313301572</v>
      </c>
      <c r="AE17" s="5">
        <v>0.34570177460244295</v>
      </c>
      <c r="AF17" s="5">
        <v>0.90500000000000003</v>
      </c>
      <c r="AG17" s="134">
        <v>1416.323365403855</v>
      </c>
      <c r="AH17" s="135">
        <v>7.2558196135804591</v>
      </c>
      <c r="AI17">
        <v>0.54300000000000004</v>
      </c>
      <c r="AJ17" s="136">
        <v>31.02</v>
      </c>
      <c r="AK17" s="137">
        <v>0.42282570877578946</v>
      </c>
      <c r="AL17" s="138">
        <v>0.43925075016998438</v>
      </c>
      <c r="AM17" s="139">
        <v>-1.6425041394194928E-2</v>
      </c>
      <c r="AN17" s="139">
        <v>2.5876117773852165</v>
      </c>
    </row>
    <row r="18" spans="2:40">
      <c r="B18" s="16" t="s">
        <v>35</v>
      </c>
      <c r="C18" s="15" t="s">
        <v>36</v>
      </c>
      <c r="D18" s="133">
        <v>0.260298710558167</v>
      </c>
      <c r="E18" s="4">
        <v>0.27168287037037037</v>
      </c>
      <c r="F18" s="4">
        <v>0.44369173144443103</v>
      </c>
      <c r="G18" s="6">
        <v>0.19907902010770828</v>
      </c>
      <c r="H18" s="6">
        <v>0.12674122031015991</v>
      </c>
      <c r="I18" s="5">
        <v>0.73766666666666669</v>
      </c>
      <c r="J18" s="5">
        <v>0.76124999999999998</v>
      </c>
      <c r="K18" s="5">
        <v>0</v>
      </c>
      <c r="L18" s="5">
        <v>0.13118055555555541</v>
      </c>
      <c r="M18" s="5">
        <v>0</v>
      </c>
      <c r="N18" s="5">
        <v>0</v>
      </c>
      <c r="O18" s="5">
        <v>0.71158333333333335</v>
      </c>
      <c r="P18" s="5">
        <v>0.59679999999999989</v>
      </c>
      <c r="Q18" s="5">
        <v>0.31729166666666664</v>
      </c>
      <c r="R18" s="5">
        <v>3.6475388666586325E-2</v>
      </c>
      <c r="S18" s="5">
        <v>1</v>
      </c>
      <c r="T18" s="5">
        <v>0</v>
      </c>
      <c r="U18" s="5">
        <v>0.31666666666666676</v>
      </c>
      <c r="V18" s="5">
        <v>0.53875999999999991</v>
      </c>
      <c r="W18" s="5">
        <v>0.15528878048780481</v>
      </c>
      <c r="X18" s="5">
        <v>0.14214876033057852</v>
      </c>
      <c r="Y18" s="5">
        <v>1.876344555619399E-2</v>
      </c>
      <c r="Z18" s="5">
        <v>2.2846467605005718E-2</v>
      </c>
      <c r="AA18" s="5">
        <v>0.217</v>
      </c>
      <c r="AB18" s="5">
        <v>4.3447321860959488E-2</v>
      </c>
      <c r="AC18" s="5">
        <v>0</v>
      </c>
      <c r="AD18" s="5">
        <v>0</v>
      </c>
      <c r="AE18" s="5">
        <v>0</v>
      </c>
      <c r="AF18" s="5">
        <v>0</v>
      </c>
      <c r="AG18" s="134">
        <v>19188.63992208847</v>
      </c>
      <c r="AH18" s="135">
        <v>9.8620737121851167</v>
      </c>
      <c r="AI18">
        <v>0.90300000000000002</v>
      </c>
      <c r="AJ18" s="136" t="e">
        <v>#N/A</v>
      </c>
      <c r="AK18" s="137">
        <v>0.26029871055816739</v>
      </c>
      <c r="AL18" s="138">
        <v>0.24925482638170493</v>
      </c>
      <c r="AM18" s="139">
        <v>1.104388417646246E-2</v>
      </c>
      <c r="AN18" s="139">
        <v>3.169961977186312E-2</v>
      </c>
    </row>
    <row r="19" spans="2:40">
      <c r="B19" s="16" t="s">
        <v>37</v>
      </c>
      <c r="C19" s="15" t="s">
        <v>38</v>
      </c>
      <c r="D19" s="133">
        <v>0.214187977563806</v>
      </c>
      <c r="E19" s="4">
        <v>0.21459977650063852</v>
      </c>
      <c r="F19" s="4">
        <v>0.18697952813667063</v>
      </c>
      <c r="G19" s="6">
        <v>0.20122696409199245</v>
      </c>
      <c r="H19" s="6">
        <v>0.25394564152592081</v>
      </c>
      <c r="I19" s="5">
        <v>0.38783333333333325</v>
      </c>
      <c r="J19" s="5">
        <v>7.4793103448275861E-2</v>
      </c>
      <c r="K19" s="5">
        <v>0</v>
      </c>
      <c r="L19" s="5">
        <v>0.75430555555555556</v>
      </c>
      <c r="M19" s="5">
        <v>6.6666666666666664E-4</v>
      </c>
      <c r="N19" s="5">
        <v>6.9999999999999951E-2</v>
      </c>
      <c r="O19" s="5">
        <v>0.27966666666666667</v>
      </c>
      <c r="P19" s="5">
        <v>0.26119909536530406</v>
      </c>
      <c r="Q19" s="5">
        <v>0.45468636693257225</v>
      </c>
      <c r="R19" s="5">
        <v>1.9359966091214854E-2</v>
      </c>
      <c r="S19" s="5">
        <v>0.10196507376426578</v>
      </c>
      <c r="T19" s="5">
        <v>5.0000000000000001E-3</v>
      </c>
      <c r="U19" s="5">
        <v>0.87499999999999967</v>
      </c>
      <c r="V19" s="5">
        <v>0</v>
      </c>
      <c r="W19" s="5">
        <v>0.29185365853658507</v>
      </c>
      <c r="X19" s="5">
        <v>3.3185840707964605E-2</v>
      </c>
      <c r="Y19" s="5">
        <v>2.4188192473847069E-3</v>
      </c>
      <c r="Z19" s="5">
        <v>4.9034660600207622E-3</v>
      </c>
      <c r="AA19" s="5">
        <v>0</v>
      </c>
      <c r="AB19" s="5">
        <v>0</v>
      </c>
      <c r="AC19" s="5">
        <v>0</v>
      </c>
      <c r="AD19" s="5">
        <v>0.85690128430926538</v>
      </c>
      <c r="AE19" s="5">
        <v>2.2178413011335635E-2</v>
      </c>
      <c r="AF19" s="5">
        <v>0.11360000610351606</v>
      </c>
      <c r="AG19" s="134">
        <v>13039.719480987231</v>
      </c>
      <c r="AH19" s="135">
        <v>9.4757553230550222</v>
      </c>
      <c r="AI19">
        <v>0.82599999999999996</v>
      </c>
      <c r="AJ19" s="136">
        <v>27.22</v>
      </c>
      <c r="AK19" s="137">
        <v>0.21418797756380561</v>
      </c>
      <c r="AL19" s="138">
        <v>0.27741743694928878</v>
      </c>
      <c r="AM19" s="139">
        <v>-6.3229459385483161E-2</v>
      </c>
      <c r="AN19" s="139">
        <v>6.1831837690206788E-3</v>
      </c>
    </row>
    <row r="20" spans="2:40">
      <c r="B20" s="16" t="s">
        <v>39</v>
      </c>
      <c r="C20" s="15" t="s">
        <v>40</v>
      </c>
      <c r="D20" s="133">
        <v>0.26583087073542699</v>
      </c>
      <c r="E20" s="4">
        <v>0.23805733910139648</v>
      </c>
      <c r="F20" s="4">
        <v>0.3274931142985672</v>
      </c>
      <c r="G20" s="6">
        <v>0.18126565807258396</v>
      </c>
      <c r="H20" s="6">
        <v>0.31650737146916197</v>
      </c>
      <c r="I20" s="5">
        <v>0.56641666666666668</v>
      </c>
      <c r="J20" s="5">
        <v>0.41185792349726774</v>
      </c>
      <c r="K20" s="5">
        <v>0</v>
      </c>
      <c r="L20" s="5">
        <v>0.45006944444444452</v>
      </c>
      <c r="M20" s="5">
        <v>0</v>
      </c>
      <c r="N20" s="5">
        <v>0</v>
      </c>
      <c r="O20" s="5">
        <v>0.25958333333333333</v>
      </c>
      <c r="P20" s="5">
        <v>2.6207407193650698E-2</v>
      </c>
      <c r="Q20" s="5">
        <v>0.49720194647201943</v>
      </c>
      <c r="R20" s="5">
        <v>0.18196599879239977</v>
      </c>
      <c r="S20" s="5">
        <v>1</v>
      </c>
      <c r="T20" s="5">
        <v>0</v>
      </c>
      <c r="U20" s="5">
        <v>6.6666666666666541E-2</v>
      </c>
      <c r="V20" s="5">
        <v>0.85651999999999995</v>
      </c>
      <c r="W20" s="5">
        <v>8.7463414634146086E-2</v>
      </c>
      <c r="X20" s="5">
        <v>7.4660633484162894E-2</v>
      </c>
      <c r="Y20" s="5">
        <v>0</v>
      </c>
      <c r="Z20" s="5">
        <v>2.2832336505284015E-3</v>
      </c>
      <c r="AA20" s="5">
        <v>0.10099999999999999</v>
      </c>
      <c r="AB20" s="5">
        <v>0.22952780651210364</v>
      </c>
      <c r="AC20" s="5">
        <v>0</v>
      </c>
      <c r="AD20" s="5">
        <v>0.72253717126849604</v>
      </c>
      <c r="AE20" s="5">
        <v>0.49537648612945839</v>
      </c>
      <c r="AF20" s="5">
        <v>0.21799999999999997</v>
      </c>
      <c r="AG20" s="134">
        <v>36312.651516005339</v>
      </c>
      <c r="AH20" s="135">
        <v>10.499921486143368</v>
      </c>
      <c r="AI20">
        <v>0.95299999999999996</v>
      </c>
      <c r="AJ20" s="136">
        <v>32.965800000000002</v>
      </c>
      <c r="AK20" s="137">
        <v>0.26583087073542744</v>
      </c>
      <c r="AL20" s="138">
        <v>0.20275572366014838</v>
      </c>
      <c r="AM20" s="139">
        <v>6.3075147075279059E-2</v>
      </c>
      <c r="AN20" s="139">
        <v>5.2875604222156459E-4</v>
      </c>
    </row>
    <row r="21" spans="2:40">
      <c r="B21" s="16" t="s">
        <v>41</v>
      </c>
      <c r="C21" s="15" t="s">
        <v>42</v>
      </c>
      <c r="D21" s="133">
        <v>0.29502802894526198</v>
      </c>
      <c r="E21" s="4">
        <v>0.20856530148747132</v>
      </c>
      <c r="F21" s="4">
        <v>0.31794735420688425</v>
      </c>
      <c r="G21" s="6">
        <v>0.25780818429401992</v>
      </c>
      <c r="H21" s="6">
        <v>0.39579127579267237</v>
      </c>
      <c r="I21" s="5">
        <v>0.82708333333333339</v>
      </c>
      <c r="J21" s="5">
        <v>8.0862533692722359E-3</v>
      </c>
      <c r="K21" s="5">
        <v>1.0000000000000009E-2</v>
      </c>
      <c r="L21" s="5">
        <v>0.28888888888888886</v>
      </c>
      <c r="M21" s="5">
        <v>1.7333333333333333E-2</v>
      </c>
      <c r="N21" s="5">
        <v>9.9999999999999978E-2</v>
      </c>
      <c r="O21" s="5">
        <v>0.49525000000000002</v>
      </c>
      <c r="P21" s="5">
        <v>0.47780017284602427</v>
      </c>
      <c r="Q21" s="5">
        <v>0.55273034330018223</v>
      </c>
      <c r="R21" s="5">
        <v>3.0902692206247584E-2</v>
      </c>
      <c r="S21" s="5">
        <v>0.31600091688885135</v>
      </c>
      <c r="T21" s="5">
        <v>3.4999999999999996E-2</v>
      </c>
      <c r="U21" s="5">
        <v>0.31666666666666676</v>
      </c>
      <c r="V21" s="5">
        <v>0.81008000000000002</v>
      </c>
      <c r="W21" s="5">
        <v>0.16815170731707296</v>
      </c>
      <c r="X21" s="5">
        <v>0.16807909604519775</v>
      </c>
      <c r="Y21" s="5">
        <v>7.5055597518344334E-3</v>
      </c>
      <c r="Z21" s="5">
        <v>7.6366075983347256E-2</v>
      </c>
      <c r="AA21" s="5">
        <v>0.16899999999999998</v>
      </c>
      <c r="AB21" s="5">
        <v>0.40332035678730693</v>
      </c>
      <c r="AC21" s="5">
        <v>8.2999999999999963E-2</v>
      </c>
      <c r="AD21" s="5" t="e">
        <v>#N/A</v>
      </c>
      <c r="AE21" s="5">
        <v>6.5760631302060502E-2</v>
      </c>
      <c r="AF21" s="5">
        <v>0.83</v>
      </c>
      <c r="AG21" s="134">
        <v>6627.9435451002837</v>
      </c>
      <c r="AH21" s="135">
        <v>8.7990498608729251</v>
      </c>
      <c r="AI21">
        <v>0.77200000000000002</v>
      </c>
      <c r="AJ21" s="136">
        <v>54.410000000000004</v>
      </c>
      <c r="AK21" s="137">
        <v>0.29502802894526192</v>
      </c>
      <c r="AL21" s="138">
        <v>0.32674926514236369</v>
      </c>
      <c r="AM21" s="139">
        <v>-3.1721236197101765E-2</v>
      </c>
      <c r="AN21" s="139">
        <v>0.68154929577464796</v>
      </c>
    </row>
    <row r="22" spans="2:40">
      <c r="B22" s="16" t="s">
        <v>43</v>
      </c>
      <c r="C22" s="15" t="s">
        <v>44</v>
      </c>
      <c r="D22" s="133">
        <v>0.43792870360616398</v>
      </c>
      <c r="E22" s="4">
        <v>0.32333722176610102</v>
      </c>
      <c r="F22" s="4">
        <v>0.45711983620471597</v>
      </c>
      <c r="G22" s="6">
        <v>0.47004745025105921</v>
      </c>
      <c r="H22" s="6">
        <v>0.50121030620277918</v>
      </c>
      <c r="I22" s="5">
        <v>0.13858333333333328</v>
      </c>
      <c r="J22" s="5">
        <v>4.9261083743842365E-3</v>
      </c>
      <c r="K22" s="5">
        <v>0.25</v>
      </c>
      <c r="L22" s="5">
        <v>0.32118055555555536</v>
      </c>
      <c r="M22" s="5">
        <v>0.34533333333333333</v>
      </c>
      <c r="N22" s="5">
        <v>0.88</v>
      </c>
      <c r="O22" s="5">
        <v>0.62008333333333332</v>
      </c>
      <c r="P22" s="5">
        <v>0.58400000000000007</v>
      </c>
      <c r="Q22" s="5">
        <v>0.9986518518518519</v>
      </c>
      <c r="R22" s="5">
        <v>0.12594576206507924</v>
      </c>
      <c r="S22" s="5">
        <v>0.1790380699780314</v>
      </c>
      <c r="T22" s="5">
        <v>0.23500000000000001</v>
      </c>
      <c r="U22" s="5">
        <v>0.20833333333333315</v>
      </c>
      <c r="V22" s="5">
        <v>0.93603999999999998</v>
      </c>
      <c r="W22" s="5">
        <v>0.46379073170731699</v>
      </c>
      <c r="X22" s="5">
        <v>0.40954274353876741</v>
      </c>
      <c r="Y22" s="5">
        <v>0.22634307412281715</v>
      </c>
      <c r="Z22" s="5">
        <v>0.5762348188041202</v>
      </c>
      <c r="AA22" s="5">
        <v>0</v>
      </c>
      <c r="AB22" s="5">
        <v>0.20951459620501484</v>
      </c>
      <c r="AC22" s="5">
        <v>0.752</v>
      </c>
      <c r="AD22" s="5">
        <v>0.39450181070764417</v>
      </c>
      <c r="AE22" s="5">
        <v>8.1359609473874522E-2</v>
      </c>
      <c r="AF22" s="5">
        <v>0.90500000000000003</v>
      </c>
      <c r="AG22" s="134">
        <v>1507.8812097896009</v>
      </c>
      <c r="AH22" s="135">
        <v>7.3184607721160475</v>
      </c>
      <c r="AI22">
        <v>0.49199999999999999</v>
      </c>
      <c r="AJ22" s="136">
        <v>38.619999999999997</v>
      </c>
      <c r="AK22" s="137">
        <v>0.43792870360616387</v>
      </c>
      <c r="AL22" s="138">
        <v>0.43468420971274002</v>
      </c>
      <c r="AM22" s="139">
        <v>3.2444938934238499E-3</v>
      </c>
      <c r="AN22" s="139">
        <v>0.72837276051188304</v>
      </c>
    </row>
    <row r="23" spans="2:40">
      <c r="B23" s="16" t="s">
        <v>45</v>
      </c>
      <c r="C23" s="15" t="s">
        <v>46</v>
      </c>
      <c r="D23" s="133">
        <v>0.37243765618955499</v>
      </c>
      <c r="E23" s="4">
        <v>0.24303112139917693</v>
      </c>
      <c r="F23" s="4" t="e">
        <v>#N/A</v>
      </c>
      <c r="G23" s="6">
        <v>0.38548708658515385</v>
      </c>
      <c r="H23" s="6">
        <v>0.3132679585351878</v>
      </c>
      <c r="I23" s="5">
        <v>0.39141666666666663</v>
      </c>
      <c r="J23" s="5">
        <v>4.17283950617284E-3</v>
      </c>
      <c r="K23" s="5">
        <v>7.999999999999996E-2</v>
      </c>
      <c r="L23" s="5">
        <v>0.41659722222222206</v>
      </c>
      <c r="M23" s="5">
        <v>0.216</v>
      </c>
      <c r="N23" s="5">
        <v>0.35</v>
      </c>
      <c r="O23" s="5">
        <v>0.45650000000000002</v>
      </c>
      <c r="P23" s="5">
        <v>0.64359999999999995</v>
      </c>
      <c r="Q23" s="5">
        <v>0.96714843750000001</v>
      </c>
      <c r="R23" s="5">
        <v>6.5538311932211643E-2</v>
      </c>
      <c r="S23" s="5" t="e">
        <v>#N/A</v>
      </c>
      <c r="T23" s="5">
        <v>0.155</v>
      </c>
      <c r="U23" s="5">
        <v>0.44999999999999984</v>
      </c>
      <c r="V23" s="5">
        <v>0.97348000000000001</v>
      </c>
      <c r="W23" s="5">
        <v>0.36975268292682928</v>
      </c>
      <c r="X23" s="5">
        <v>0.29941618015012511</v>
      </c>
      <c r="Y23" s="5">
        <v>7.5885970485570289E-2</v>
      </c>
      <c r="Z23" s="5">
        <v>0.1443876859483991</v>
      </c>
      <c r="AA23" s="5">
        <v>0</v>
      </c>
      <c r="AB23" s="5">
        <v>0</v>
      </c>
      <c r="AC23" s="5">
        <v>0.31499999999999995</v>
      </c>
      <c r="AD23" s="5" t="e">
        <v>#N/A</v>
      </c>
      <c r="AE23" s="5">
        <v>0.15627441787779339</v>
      </c>
      <c r="AF23" s="5">
        <v>0.38</v>
      </c>
      <c r="AG23" s="134">
        <v>5112.937960585612</v>
      </c>
      <c r="AH23" s="135">
        <v>8.5395294613442712</v>
      </c>
      <c r="AI23">
        <v>0.61899999999999999</v>
      </c>
      <c r="AJ23" s="136">
        <v>46.74</v>
      </c>
      <c r="AK23" s="137">
        <v>0.31392872217317286</v>
      </c>
      <c r="AL23" s="138">
        <v>0.34566830226800249</v>
      </c>
      <c r="AM23" s="139">
        <v>-3.1739580094829634E-2</v>
      </c>
      <c r="AN23" s="139">
        <v>3.6714443219404626E-2</v>
      </c>
    </row>
    <row r="24" spans="2:40">
      <c r="B24" s="16" t="s">
        <v>47</v>
      </c>
      <c r="C24" s="15" t="s">
        <v>48</v>
      </c>
      <c r="D24" s="133">
        <v>0.35331868248175602</v>
      </c>
      <c r="E24" s="4">
        <v>0.34294779674252562</v>
      </c>
      <c r="F24" s="4">
        <v>0.42271574919536753</v>
      </c>
      <c r="G24" s="6">
        <v>0.31496458108487935</v>
      </c>
      <c r="H24" s="6">
        <v>0.33264660290425241</v>
      </c>
      <c r="I24" s="5">
        <v>0.60408333333333331</v>
      </c>
      <c r="J24" s="5">
        <v>3.2562248995983939E-3</v>
      </c>
      <c r="K24" s="5">
        <v>0.14000000000000001</v>
      </c>
      <c r="L24" s="5">
        <v>0.39701388888888867</v>
      </c>
      <c r="M24" s="5">
        <v>0.16333333333333333</v>
      </c>
      <c r="N24" s="5">
        <v>0.75</v>
      </c>
      <c r="O24" s="5">
        <v>0.76291666666666669</v>
      </c>
      <c r="P24" s="5">
        <v>0.33959999999999996</v>
      </c>
      <c r="Q24" s="5">
        <v>0.95757592592600005</v>
      </c>
      <c r="R24" s="5">
        <v>0.19078398139186248</v>
      </c>
      <c r="S24" s="5">
        <v>0.24541792118767633</v>
      </c>
      <c r="T24" s="5">
        <v>0.04</v>
      </c>
      <c r="U24" s="5">
        <v>0.2250000000000002</v>
      </c>
      <c r="V24" s="5">
        <v>0.78080000000000005</v>
      </c>
      <c r="W24" s="5">
        <v>0.37978731707317048</v>
      </c>
      <c r="X24" s="5">
        <v>0.26326742976066597</v>
      </c>
      <c r="Y24" s="5">
        <v>7.444044134498147E-2</v>
      </c>
      <c r="Z24" s="5">
        <v>0.16649229833045795</v>
      </c>
      <c r="AA24" s="5">
        <v>0</v>
      </c>
      <c r="AB24" s="5">
        <v>0</v>
      </c>
      <c r="AC24" s="5">
        <v>0.22499999999999998</v>
      </c>
      <c r="AD24" s="5">
        <v>0</v>
      </c>
      <c r="AE24" s="5">
        <v>1.3846579894765992E-2</v>
      </c>
      <c r="AF24" s="5">
        <v>0.92999999999999994</v>
      </c>
      <c r="AG24" s="134">
        <v>4419.3363344503277</v>
      </c>
      <c r="AH24" s="135">
        <v>8.3937448132211685</v>
      </c>
      <c r="AI24">
        <v>0.72899999999999998</v>
      </c>
      <c r="AJ24" s="136">
        <v>57.26</v>
      </c>
      <c r="AK24" s="137">
        <v>0.35331868248175624</v>
      </c>
      <c r="AL24" s="138">
        <v>0.35629600311617671</v>
      </c>
      <c r="AM24" s="139">
        <v>-2.9773206344204661E-3</v>
      </c>
      <c r="AN24" s="139">
        <v>0.61814488104784815</v>
      </c>
    </row>
    <row r="25" spans="2:40">
      <c r="B25" s="16" t="s">
        <v>49</v>
      </c>
      <c r="C25" s="15" t="s">
        <v>50</v>
      </c>
      <c r="D25" s="133">
        <v>0.243193071871843</v>
      </c>
      <c r="E25" s="4">
        <v>0.19728444444444448</v>
      </c>
      <c r="F25" s="4">
        <v>0.30741639517644725</v>
      </c>
      <c r="G25" s="6">
        <v>0.14761516218905821</v>
      </c>
      <c r="H25" s="6">
        <v>0.32045628567742218</v>
      </c>
      <c r="I25" s="5">
        <v>0.63833333333333342</v>
      </c>
      <c r="J25" s="5">
        <v>9.0400000000000012E-3</v>
      </c>
      <c r="K25" s="5">
        <v>1.0000000000000009E-2</v>
      </c>
      <c r="L25" s="5">
        <v>0.47499999999999998</v>
      </c>
      <c r="M25" s="5">
        <v>1.3333333333333333E-3</v>
      </c>
      <c r="N25" s="5">
        <v>5.0000000000000044E-2</v>
      </c>
      <c r="O25" s="5">
        <v>0.28591666666666671</v>
      </c>
      <c r="P25" s="5">
        <v>0.51979999999999993</v>
      </c>
      <c r="Q25" s="5">
        <v>0.4802166005291667</v>
      </c>
      <c r="R25" s="5">
        <v>8.0400330833639011E-2</v>
      </c>
      <c r="S25" s="5">
        <v>0.45816477302921116</v>
      </c>
      <c r="T25" s="5">
        <v>0.02</v>
      </c>
      <c r="U25" s="5">
        <v>7.5000000000000067E-2</v>
      </c>
      <c r="V25" s="5">
        <v>0.56808400000000003</v>
      </c>
      <c r="W25" s="5">
        <v>0.19499121951219511</v>
      </c>
      <c r="X25" s="5">
        <v>3.4645669291338582E-2</v>
      </c>
      <c r="Y25" s="5">
        <v>1.0288415223995267E-2</v>
      </c>
      <c r="Z25" s="5">
        <v>2.6816691068202694E-3</v>
      </c>
      <c r="AA25" s="5">
        <v>0</v>
      </c>
      <c r="AB25" s="5">
        <v>1.7602833475632574E-4</v>
      </c>
      <c r="AC25" s="5">
        <v>0</v>
      </c>
      <c r="AD25" s="5">
        <v>0.52416660046864427</v>
      </c>
      <c r="AE25" s="5">
        <v>0.146484375</v>
      </c>
      <c r="AF25" s="5">
        <v>0.47700000762939498</v>
      </c>
      <c r="AG25" s="134">
        <v>8578.2870114640464</v>
      </c>
      <c r="AH25" s="135">
        <v>9.056989523535977</v>
      </c>
      <c r="AI25">
        <v>0.81200000000000006</v>
      </c>
      <c r="AJ25" s="136">
        <v>36.21</v>
      </c>
      <c r="AK25" s="137">
        <v>0.24319307187184303</v>
      </c>
      <c r="AL25" s="138">
        <v>0.30794546373422715</v>
      </c>
      <c r="AM25" s="139">
        <v>-6.4752391862384129E-2</v>
      </c>
      <c r="AN25" s="139">
        <v>0.10344122807017544</v>
      </c>
    </row>
    <row r="26" spans="2:40">
      <c r="B26" s="16" t="s">
        <v>51</v>
      </c>
      <c r="C26" s="15" t="s">
        <v>52</v>
      </c>
      <c r="D26" s="133">
        <v>0.40654995297075502</v>
      </c>
      <c r="E26" s="4">
        <v>0.33423651960784317</v>
      </c>
      <c r="F26" s="4">
        <v>0.51308613913960388</v>
      </c>
      <c r="G26" s="6">
        <v>0.43376021255584191</v>
      </c>
      <c r="H26" s="6">
        <v>0.34511694057972969</v>
      </c>
      <c r="I26" s="5">
        <v>0.85424999999999995</v>
      </c>
      <c r="J26" s="5">
        <v>1.5849673202614378E-2</v>
      </c>
      <c r="K26" s="5">
        <v>5.0000000000000044E-2</v>
      </c>
      <c r="L26" s="5">
        <v>0.4579861111111112</v>
      </c>
      <c r="M26" s="5">
        <v>0.22733333333333333</v>
      </c>
      <c r="N26" s="5">
        <v>0.4</v>
      </c>
      <c r="O26" s="5">
        <v>0.81700000000000006</v>
      </c>
      <c r="P26" s="5">
        <v>0.39659999999999995</v>
      </c>
      <c r="Q26" s="5">
        <v>0.77525376751865538</v>
      </c>
      <c r="R26" s="5">
        <v>0.14766039294268232</v>
      </c>
      <c r="S26" s="5">
        <v>0.8220026743762856</v>
      </c>
      <c r="T26" s="5">
        <v>0.12</v>
      </c>
      <c r="U26" s="5">
        <v>0.40833333333333333</v>
      </c>
      <c r="V26" s="5">
        <v>0.75936000000000003</v>
      </c>
      <c r="W26" s="5">
        <v>0.60094878048780487</v>
      </c>
      <c r="X26" s="5">
        <v>0.50895316804407709</v>
      </c>
      <c r="Y26" s="5">
        <v>0.18788994507393114</v>
      </c>
      <c r="Z26" s="5">
        <v>0.1370760483959044</v>
      </c>
      <c r="AA26" s="5">
        <v>0</v>
      </c>
      <c r="AB26" s="5">
        <v>0</v>
      </c>
      <c r="AC26" s="5">
        <v>0.54600000000000004</v>
      </c>
      <c r="AD26" s="5">
        <v>0.52668871043930088</v>
      </c>
      <c r="AE26" s="5">
        <v>1.0587052035360754E-2</v>
      </c>
      <c r="AF26" s="5">
        <v>0.67400001525878905</v>
      </c>
      <c r="AG26" s="134">
        <v>13384.46546409738</v>
      </c>
      <c r="AH26" s="135">
        <v>9.5018500197141567</v>
      </c>
      <c r="AI26">
        <v>0.69399999999999995</v>
      </c>
      <c r="AJ26" s="136">
        <v>60.96</v>
      </c>
      <c r="AK26" s="137">
        <v>0.40654995297075464</v>
      </c>
      <c r="AL26" s="138">
        <v>0.27551513356283786</v>
      </c>
      <c r="AM26" s="139">
        <v>0.13103481940791678</v>
      </c>
      <c r="AN26" s="139">
        <v>2.7852148387096776</v>
      </c>
    </row>
    <row r="27" spans="2:40">
      <c r="B27" s="16" t="s">
        <v>53</v>
      </c>
      <c r="C27" s="15" t="s">
        <v>54</v>
      </c>
      <c r="D27" s="133">
        <v>0.26651368541951098</v>
      </c>
      <c r="E27" s="4">
        <v>0.20004767568187645</v>
      </c>
      <c r="F27" s="4">
        <v>0.31786295088935451</v>
      </c>
      <c r="G27" s="6">
        <v>0.19023563834861104</v>
      </c>
      <c r="H27" s="6">
        <v>0.35790847675820175</v>
      </c>
      <c r="I27" s="5">
        <v>0.5498333333333334</v>
      </c>
      <c r="J27" s="5">
        <v>7.2027207579254213E-3</v>
      </c>
      <c r="K27" s="5">
        <v>3.0000000000000027E-2</v>
      </c>
      <c r="L27" s="5">
        <v>0.33125000000000004</v>
      </c>
      <c r="M27" s="5">
        <v>8.2000000000000003E-2</v>
      </c>
      <c r="N27" s="5">
        <v>0.19999999999999996</v>
      </c>
      <c r="O27" s="5">
        <v>0.4356666666666667</v>
      </c>
      <c r="P27" s="5">
        <v>0.13959999999999986</v>
      </c>
      <c r="Q27" s="5">
        <v>0.50849295081959567</v>
      </c>
      <c r="R27" s="5">
        <v>0.62872436154380995</v>
      </c>
      <c r="S27" s="5">
        <v>0.16469372630605481</v>
      </c>
      <c r="T27" s="5">
        <v>0.03</v>
      </c>
      <c r="U27" s="5">
        <v>0.31666666666666676</v>
      </c>
      <c r="V27" s="5">
        <v>0.41120000000000001</v>
      </c>
      <c r="W27" s="5">
        <v>0.24717024390243891</v>
      </c>
      <c r="X27" s="5">
        <v>0.13719943422913719</v>
      </c>
      <c r="Y27" s="5">
        <v>1.4067662502427551E-4</v>
      </c>
      <c r="Z27" s="5">
        <v>2.9036808668399222E-2</v>
      </c>
      <c r="AA27" s="5">
        <v>0.02</v>
      </c>
      <c r="AB27" s="5">
        <v>6.6733880428496484E-2</v>
      </c>
      <c r="AC27" s="5">
        <v>2.200000000000002E-2</v>
      </c>
      <c r="AD27" s="5">
        <v>0.81416076325363407</v>
      </c>
      <c r="AE27" s="5">
        <v>5.6741478730220271E-3</v>
      </c>
      <c r="AF27" s="5">
        <v>0.94499999999999995</v>
      </c>
      <c r="AG27" s="134">
        <v>10366.87661152876</v>
      </c>
      <c r="AH27" s="135">
        <v>9.2463710612101053</v>
      </c>
      <c r="AI27">
        <v>0.81299999999999994</v>
      </c>
      <c r="AJ27" s="136">
        <v>53.900000000000006</v>
      </c>
      <c r="AK27" s="137">
        <v>0.26651368541951093</v>
      </c>
      <c r="AL27" s="138">
        <v>0.29413954963778322</v>
      </c>
      <c r="AM27" s="139">
        <v>-2.7625864218272289E-2</v>
      </c>
      <c r="AN27" s="139">
        <v>0.26124985518079041</v>
      </c>
    </row>
    <row r="28" spans="2:40">
      <c r="B28" s="16" t="s">
        <v>55</v>
      </c>
      <c r="C28" s="15" t="s">
        <v>56</v>
      </c>
      <c r="D28" s="133">
        <v>0.23219604577151801</v>
      </c>
      <c r="E28" s="4">
        <v>0.10003240740740743</v>
      </c>
      <c r="F28" s="4">
        <v>0.36648023804852742</v>
      </c>
      <c r="G28" s="6">
        <v>0.27617211367083322</v>
      </c>
      <c r="H28" s="6">
        <v>0.18609942395930545</v>
      </c>
      <c r="I28" s="5">
        <v>0.46866666666666668</v>
      </c>
      <c r="J28" s="5">
        <v>0</v>
      </c>
      <c r="K28" s="5">
        <v>1.0000000000000009E-2</v>
      </c>
      <c r="L28" s="5">
        <v>0.1215277777777779</v>
      </c>
      <c r="M28" s="5">
        <v>0</v>
      </c>
      <c r="N28" s="5">
        <v>0</v>
      </c>
      <c r="O28" s="5">
        <v>0.49116666666666664</v>
      </c>
      <c r="P28" s="5">
        <v>0.24740000000000001</v>
      </c>
      <c r="Q28" s="5">
        <v>0.43611111111116663</v>
      </c>
      <c r="R28" s="5">
        <v>6.172233119815837E-2</v>
      </c>
      <c r="S28" s="5">
        <v>0.96248131931517267</v>
      </c>
      <c r="T28" s="5">
        <v>0</v>
      </c>
      <c r="U28" s="5">
        <v>0.8500000000000002</v>
      </c>
      <c r="V28" s="5">
        <v>0.55292000000000008</v>
      </c>
      <c r="W28" s="5">
        <v>0.14988975609756072</v>
      </c>
      <c r="X28" s="5">
        <v>9.1819699499165269E-2</v>
      </c>
      <c r="Y28" s="5">
        <v>0</v>
      </c>
      <c r="Z28" s="5">
        <v>1.2403226428272912E-2</v>
      </c>
      <c r="AA28" s="5">
        <v>0.22</v>
      </c>
      <c r="AB28" s="5">
        <v>9.4738862994147605E-2</v>
      </c>
      <c r="AC28" s="5">
        <v>3.0000000000000027E-3</v>
      </c>
      <c r="AD28" s="5">
        <v>0</v>
      </c>
      <c r="AE28" s="5">
        <v>0</v>
      </c>
      <c r="AF28" s="5">
        <v>0.22769996643066404</v>
      </c>
      <c r="AG28" s="134">
        <v>51204.568594596603</v>
      </c>
      <c r="AH28" s="135">
        <v>10.843584037410022</v>
      </c>
      <c r="AI28">
        <v>0.92</v>
      </c>
      <c r="AJ28" s="136" t="e">
        <v>#N/A</v>
      </c>
      <c r="AK28" s="137">
        <v>0.23219604577151837</v>
      </c>
      <c r="AL28" s="138">
        <v>0.17770272367280926</v>
      </c>
      <c r="AM28" s="139">
        <v>5.4493322098709107E-2</v>
      </c>
      <c r="AN28" s="139">
        <v>0</v>
      </c>
    </row>
    <row r="29" spans="2:40">
      <c r="B29" s="16" t="s">
        <v>57</v>
      </c>
      <c r="C29" s="15" t="s">
        <v>58</v>
      </c>
      <c r="D29" s="133">
        <v>0.22046081653128499</v>
      </c>
      <c r="E29" s="4">
        <v>0.27389896322378721</v>
      </c>
      <c r="F29" s="4">
        <v>0.26565648177799933</v>
      </c>
      <c r="G29" s="6">
        <v>0.13809515901965205</v>
      </c>
      <c r="H29" s="6">
        <v>0.20419266210370327</v>
      </c>
      <c r="I29" s="5">
        <v>0.73983333333333334</v>
      </c>
      <c r="J29" s="5">
        <v>0.29535211267605632</v>
      </c>
      <c r="K29" s="5">
        <v>0</v>
      </c>
      <c r="L29" s="5">
        <v>0.60687500000000028</v>
      </c>
      <c r="M29" s="5">
        <v>1.3333333333333333E-3</v>
      </c>
      <c r="N29" s="5">
        <v>0</v>
      </c>
      <c r="O29" s="5">
        <v>0.28591666666666671</v>
      </c>
      <c r="P29" s="5">
        <v>0.28617535873359207</v>
      </c>
      <c r="Q29" s="5">
        <v>0.57463410650117042</v>
      </c>
      <c r="R29" s="5">
        <v>0.33533196707471435</v>
      </c>
      <c r="S29" s="5">
        <v>0.11188079169185225</v>
      </c>
      <c r="T29" s="5">
        <v>0</v>
      </c>
      <c r="U29" s="5">
        <v>7.5000000000000067E-2</v>
      </c>
      <c r="V29" s="5">
        <v>0.47699999999999998</v>
      </c>
      <c r="W29" s="5">
        <v>0.23175609756097548</v>
      </c>
      <c r="X29" s="5">
        <v>4.0469973890339427E-2</v>
      </c>
      <c r="Y29" s="5">
        <v>0</v>
      </c>
      <c r="Z29" s="5">
        <v>4.3448826665974305E-3</v>
      </c>
      <c r="AA29" s="5">
        <v>3.0000000000000001E-3</v>
      </c>
      <c r="AB29" s="5">
        <v>1.5294866726029463E-2</v>
      </c>
      <c r="AC29" s="5">
        <v>0</v>
      </c>
      <c r="AD29" s="5">
        <v>0.51488277060296106</v>
      </c>
      <c r="AE29" s="5">
        <v>9.6676180830494438E-2</v>
      </c>
      <c r="AF29" s="5">
        <v>1.5999984741210893E-2</v>
      </c>
      <c r="AG29" s="134">
        <v>13869.584234282731</v>
      </c>
      <c r="AH29" s="135">
        <v>9.5374535369607258</v>
      </c>
      <c r="AI29">
        <v>0.84</v>
      </c>
      <c r="AJ29" s="136">
        <v>45.32</v>
      </c>
      <c r="AK29" s="137">
        <v>0.22046081653128546</v>
      </c>
      <c r="AL29" s="138">
        <v>0.272919637155563</v>
      </c>
      <c r="AM29" s="139">
        <v>-5.2458820624277536E-2</v>
      </c>
      <c r="AN29" s="139">
        <v>2.2335236735665002E-3</v>
      </c>
    </row>
    <row r="30" spans="2:40">
      <c r="B30" s="16" t="s">
        <v>59</v>
      </c>
      <c r="C30" s="15" t="s">
        <v>60</v>
      </c>
      <c r="D30" s="133">
        <v>0.48356932764959898</v>
      </c>
      <c r="E30" s="4">
        <v>0.42586944444444447</v>
      </c>
      <c r="F30" s="4">
        <v>0.54264682615889359</v>
      </c>
      <c r="G30" s="6">
        <v>0.55941425649648402</v>
      </c>
      <c r="H30" s="6">
        <v>0.40634678349857439</v>
      </c>
      <c r="I30" s="5">
        <v>0.47783333333333333</v>
      </c>
      <c r="J30" s="5">
        <v>7.8799999999999995E-2</v>
      </c>
      <c r="K30" s="5">
        <v>0.24</v>
      </c>
      <c r="L30" s="5">
        <v>0.34458333333333335</v>
      </c>
      <c r="M30" s="5">
        <v>0.52400000000000002</v>
      </c>
      <c r="N30" s="5">
        <v>0.89</v>
      </c>
      <c r="O30" s="5">
        <v>0.50358333333333338</v>
      </c>
      <c r="P30" s="5">
        <v>0.80019999999999991</v>
      </c>
      <c r="Q30" s="5">
        <v>0.98400370136257476</v>
      </c>
      <c r="R30" s="5">
        <v>0.18908045853891545</v>
      </c>
      <c r="S30" s="5">
        <v>7.4013463718537509E-2</v>
      </c>
      <c r="T30" s="5">
        <v>0.70499999999999996</v>
      </c>
      <c r="U30" s="5">
        <v>0.20833333333333315</v>
      </c>
      <c r="V30" s="5">
        <v>0.93903999999999999</v>
      </c>
      <c r="W30" s="5">
        <v>0.63382878048780467</v>
      </c>
      <c r="X30" s="5">
        <v>0.46596858638743455</v>
      </c>
      <c r="Y30" s="5">
        <v>0.21924247704779501</v>
      </c>
      <c r="Z30" s="5">
        <v>0.89007236172253701</v>
      </c>
      <c r="AA30" s="5">
        <v>0</v>
      </c>
      <c r="AB30" s="5">
        <v>0</v>
      </c>
      <c r="AC30" s="5">
        <v>0.9</v>
      </c>
      <c r="AD30" s="5" t="e">
        <v>#N/A</v>
      </c>
      <c r="AE30" s="5">
        <v>1.6447368421052631E-2</v>
      </c>
      <c r="AF30" s="5">
        <v>0.95829999923706055</v>
      </c>
      <c r="AG30" s="134">
        <v>1186.94802666339</v>
      </c>
      <c r="AH30" s="135">
        <v>7.0791406081947725</v>
      </c>
      <c r="AI30">
        <v>0.38900000000000001</v>
      </c>
      <c r="AJ30" s="136">
        <v>39.6</v>
      </c>
      <c r="AK30" s="137">
        <v>0.48356932764959909</v>
      </c>
      <c r="AL30" s="138">
        <v>0.45213064966260097</v>
      </c>
      <c r="AM30" s="139">
        <v>3.143867798699812E-2</v>
      </c>
      <c r="AN30" s="139">
        <v>0.40635565909532129</v>
      </c>
    </row>
    <row r="31" spans="2:40">
      <c r="B31" s="16" t="s">
        <v>61</v>
      </c>
      <c r="C31" s="15" t="s">
        <v>62</v>
      </c>
      <c r="D31" s="133">
        <v>0.52430131428001203</v>
      </c>
      <c r="E31" s="4">
        <v>0.35732775119617227</v>
      </c>
      <c r="F31" s="4">
        <v>0.61528529024635048</v>
      </c>
      <c r="G31" s="6">
        <v>0.67024766669156011</v>
      </c>
      <c r="H31" s="6">
        <v>0.45434454898596549</v>
      </c>
      <c r="I31" s="5">
        <v>0.28233333333333333</v>
      </c>
      <c r="J31" s="5">
        <v>2.2966507177033493E-2</v>
      </c>
      <c r="K31" s="5">
        <v>0.28000000000000003</v>
      </c>
      <c r="L31" s="5">
        <v>0.29333333333333345</v>
      </c>
      <c r="M31" s="5">
        <v>0.72533333333333339</v>
      </c>
      <c r="N31" s="5">
        <v>0.54</v>
      </c>
      <c r="O31" s="5">
        <v>0.71575</v>
      </c>
      <c r="P31" s="5">
        <v>0.89300000000000002</v>
      </c>
      <c r="Q31" s="5">
        <v>0.99334044205492111</v>
      </c>
      <c r="R31" s="5">
        <v>8.548330542065273E-2</v>
      </c>
      <c r="S31" s="5">
        <v>0.31913799400252918</v>
      </c>
      <c r="T31" s="5">
        <v>0.68499999999999994</v>
      </c>
      <c r="U31" s="5">
        <v>0.40833333333333333</v>
      </c>
      <c r="V31" s="5">
        <v>0.98360000000000003</v>
      </c>
      <c r="W31" s="5">
        <v>0.68257999999999996</v>
      </c>
      <c r="X31" s="5">
        <v>0.49475341028331582</v>
      </c>
      <c r="Y31" s="5">
        <v>0.4522192565327115</v>
      </c>
      <c r="Z31" s="5">
        <v>1</v>
      </c>
      <c r="AA31" s="5">
        <v>0</v>
      </c>
      <c r="AB31" s="5">
        <v>0</v>
      </c>
      <c r="AC31" s="5">
        <v>0.97199999999999998</v>
      </c>
      <c r="AD31" s="5" t="e">
        <v>#N/A</v>
      </c>
      <c r="AE31" s="5">
        <v>0.35046728971962615</v>
      </c>
      <c r="AF31" s="5">
        <v>0.89560000419616703</v>
      </c>
      <c r="AG31" s="134">
        <v>392.11517688357907</v>
      </c>
      <c r="AH31" s="135">
        <v>5.9715556152147951</v>
      </c>
      <c r="AI31">
        <v>0.39400000000000002</v>
      </c>
      <c r="AJ31" s="136">
        <v>33.270000000000003</v>
      </c>
      <c r="AK31" s="137">
        <v>0.52430131428001203</v>
      </c>
      <c r="AL31" s="138">
        <v>0.53287359565084136</v>
      </c>
      <c r="AM31" s="139">
        <v>-8.5722813708293266E-3</v>
      </c>
      <c r="AN31" s="139">
        <v>0.55373837981407703</v>
      </c>
    </row>
    <row r="32" spans="2:40">
      <c r="B32" s="16" t="s">
        <v>63</v>
      </c>
      <c r="C32" s="15" t="s">
        <v>64</v>
      </c>
      <c r="D32" s="133">
        <v>0.45224949281523902</v>
      </c>
      <c r="E32" s="4">
        <v>0.39264648970804455</v>
      </c>
      <c r="F32" s="4">
        <v>0.44362352073452788</v>
      </c>
      <c r="G32" s="6">
        <v>0.47455577587802278</v>
      </c>
      <c r="H32" s="6">
        <v>0.49817218494036125</v>
      </c>
      <c r="I32" s="5">
        <v>0.6087499999999999</v>
      </c>
      <c r="J32" s="5">
        <v>4.5872715816005043E-3</v>
      </c>
      <c r="K32" s="5">
        <v>0.39</v>
      </c>
      <c r="L32" s="5">
        <v>0.24520833333333347</v>
      </c>
      <c r="M32" s="5">
        <v>0.39733333333333332</v>
      </c>
      <c r="N32" s="5">
        <v>0.71</v>
      </c>
      <c r="O32" s="5">
        <v>0.54241666666666666</v>
      </c>
      <c r="P32" s="5">
        <v>0.77819999999999989</v>
      </c>
      <c r="Q32" s="5">
        <v>0.94251068376070513</v>
      </c>
      <c r="R32" s="5">
        <v>3.6175661830702678E-2</v>
      </c>
      <c r="S32" s="5">
        <v>1.7438112149093136E-2</v>
      </c>
      <c r="T32" s="5">
        <v>0.34500000000000003</v>
      </c>
      <c r="U32" s="5">
        <v>0.76666666666666661</v>
      </c>
      <c r="V32" s="5">
        <v>0.92771999999999999</v>
      </c>
      <c r="W32" s="5">
        <v>0.46997560975609753</v>
      </c>
      <c r="X32" s="5">
        <v>0.37025561580170413</v>
      </c>
      <c r="Y32" s="5">
        <v>9.0910351045003654E-2</v>
      </c>
      <c r="Z32" s="5">
        <v>0.22180641199866491</v>
      </c>
      <c r="AA32" s="5">
        <v>4.8000000000000001E-2</v>
      </c>
      <c r="AB32" s="5">
        <v>0.23871618579928555</v>
      </c>
      <c r="AC32" s="5">
        <v>0.76</v>
      </c>
      <c r="AD32" s="5">
        <v>0.32500832631824639</v>
      </c>
      <c r="AE32" s="5">
        <v>7.6478585995921139E-2</v>
      </c>
      <c r="AF32" s="5">
        <v>0.93710000038146968</v>
      </c>
      <c r="AG32" s="134">
        <v>1914.9922655635617</v>
      </c>
      <c r="AH32" s="135">
        <v>7.5574688627363873</v>
      </c>
      <c r="AI32">
        <v>0.59299999999999997</v>
      </c>
      <c r="AJ32" s="136">
        <v>44.37</v>
      </c>
      <c r="AK32" s="137">
        <v>0.45224949281523913</v>
      </c>
      <c r="AL32" s="138">
        <v>0.41726051990651725</v>
      </c>
      <c r="AM32" s="139">
        <v>3.4988972908721883E-2</v>
      </c>
      <c r="AN32" s="139">
        <v>1.4746739225076186</v>
      </c>
    </row>
    <row r="33" spans="2:40">
      <c r="B33" s="16" t="s">
        <v>65</v>
      </c>
      <c r="C33" s="15" t="s">
        <v>66</v>
      </c>
      <c r="D33" s="133">
        <v>0.421508970516837</v>
      </c>
      <c r="E33" s="4">
        <v>0.28703229227476162</v>
      </c>
      <c r="F33" s="4">
        <v>0.40769668569440726</v>
      </c>
      <c r="G33" s="6">
        <v>0.50084200285236447</v>
      </c>
      <c r="H33" s="6">
        <v>0.42478080206687835</v>
      </c>
      <c r="I33" s="5">
        <v>0.32958333333333334</v>
      </c>
      <c r="J33" s="5">
        <v>3.3604203152364275E-3</v>
      </c>
      <c r="K33" s="5">
        <v>0.26</v>
      </c>
      <c r="L33" s="5">
        <v>0.26791666666666669</v>
      </c>
      <c r="M33" s="5">
        <v>0.33133333333333331</v>
      </c>
      <c r="N33" s="5">
        <v>0.53</v>
      </c>
      <c r="O33" s="5">
        <v>0.44400000000000001</v>
      </c>
      <c r="P33" s="5">
        <v>0.42420000000000002</v>
      </c>
      <c r="Q33" s="5">
        <v>0.98428668478965831</v>
      </c>
      <c r="R33" s="5">
        <v>6.7261349064990136E-2</v>
      </c>
      <c r="S33" s="5">
        <v>0.26643208031179499</v>
      </c>
      <c r="T33" s="5">
        <v>0.26</v>
      </c>
      <c r="U33" s="5">
        <v>0.20833333333333315</v>
      </c>
      <c r="V33" s="5">
        <v>0.86440000000000006</v>
      </c>
      <c r="W33" s="5">
        <v>0.67288878048780476</v>
      </c>
      <c r="X33" s="5">
        <v>0.46515397082658022</v>
      </c>
      <c r="Y33" s="5">
        <v>8.1253048083902601E-2</v>
      </c>
      <c r="Z33" s="5">
        <v>0.71302288438256567</v>
      </c>
      <c r="AA33" s="5">
        <v>1.2E-2</v>
      </c>
      <c r="AB33" s="5">
        <v>2.8944314952209001E-2</v>
      </c>
      <c r="AC33" s="5">
        <v>0.70599999999999996</v>
      </c>
      <c r="AD33" s="5">
        <v>0.66144401461859959</v>
      </c>
      <c r="AE33" s="5">
        <v>1.5865964333312176E-2</v>
      </c>
      <c r="AF33" s="5">
        <v>0.91630000114440924</v>
      </c>
      <c r="AG33" s="134">
        <v>2204.8769061693347</v>
      </c>
      <c r="AH33" s="135">
        <v>7.6984269614561658</v>
      </c>
      <c r="AI33">
        <v>0.52300000000000002</v>
      </c>
      <c r="AJ33" s="136">
        <v>44.56</v>
      </c>
      <c r="AK33" s="137">
        <v>0.40508794572210294</v>
      </c>
      <c r="AL33" s="138">
        <v>0.40698467450984543</v>
      </c>
      <c r="AM33" s="139">
        <v>-1.8967287877424965E-3</v>
      </c>
      <c r="AN33" s="139">
        <v>3.1370210228119877E-4</v>
      </c>
    </row>
    <row r="34" spans="2:40">
      <c r="B34" s="16" t="s">
        <v>67</v>
      </c>
      <c r="C34" s="15" t="s">
        <v>68</v>
      </c>
      <c r="D34" s="133">
        <v>0.214927469891915</v>
      </c>
      <c r="E34" s="4">
        <v>0.19407531842662787</v>
      </c>
      <c r="F34" s="4">
        <v>0.22106528936130929</v>
      </c>
      <c r="G34" s="6">
        <v>0.19697735565273833</v>
      </c>
      <c r="H34" s="6">
        <v>0.24759191612698458</v>
      </c>
      <c r="I34" s="5">
        <v>0.2729166666666667</v>
      </c>
      <c r="J34" s="5">
        <v>1.5840799448656098E-2</v>
      </c>
      <c r="K34" s="5">
        <v>0</v>
      </c>
      <c r="L34" s="5">
        <v>0.87569444444444455</v>
      </c>
      <c r="M34" s="5">
        <v>0</v>
      </c>
      <c r="N34" s="5">
        <v>0</v>
      </c>
      <c r="O34" s="5">
        <v>0.19575000000000001</v>
      </c>
      <c r="P34" s="5">
        <v>0.19500000000000001</v>
      </c>
      <c r="Q34" s="5">
        <v>0.63423217945008603</v>
      </c>
      <c r="R34" s="5">
        <v>0.17623981741023237</v>
      </c>
      <c r="S34" s="5">
        <v>0.12516973930753722</v>
      </c>
      <c r="T34" s="5">
        <v>0</v>
      </c>
      <c r="U34" s="5">
        <v>0.92499999999999971</v>
      </c>
      <c r="V34" s="5">
        <v>0.11947199999999991</v>
      </c>
      <c r="W34" s="5">
        <v>7.5585365853658271E-2</v>
      </c>
      <c r="X34" s="5">
        <v>5.7356608478802994E-2</v>
      </c>
      <c r="Y34" s="5">
        <v>0</v>
      </c>
      <c r="Z34" s="5">
        <v>4.450159583968937E-3</v>
      </c>
      <c r="AA34" s="5">
        <v>2.2000000000000002E-2</v>
      </c>
      <c r="AB34" s="5">
        <v>4.2564618421112324E-2</v>
      </c>
      <c r="AC34" s="5">
        <v>0</v>
      </c>
      <c r="AD34" s="5">
        <v>0.37110523939067919</v>
      </c>
      <c r="AE34" s="5">
        <v>2.3093392980268346E-3</v>
      </c>
      <c r="AF34" s="5">
        <v>0.60130001068115191</v>
      </c>
      <c r="AG34" s="134">
        <v>37808.020159148189</v>
      </c>
      <c r="AH34" s="135">
        <v>10.5402765326245</v>
      </c>
      <c r="AI34">
        <v>0.96599999999999997</v>
      </c>
      <c r="AJ34" s="136">
        <v>32.561999999999998</v>
      </c>
      <c r="AK34" s="137">
        <v>0.21492746989191502</v>
      </c>
      <c r="AL34" s="138">
        <v>0.19981384077167386</v>
      </c>
      <c r="AM34" s="139">
        <v>1.5113629120241168E-2</v>
      </c>
      <c r="AN34" s="139">
        <v>5.4816038700006816E-3</v>
      </c>
    </row>
    <row r="35" spans="2:40">
      <c r="B35" s="16" t="s">
        <v>69</v>
      </c>
      <c r="C35" s="15" t="s">
        <v>70</v>
      </c>
      <c r="D35" s="133">
        <v>0.33065616730040998</v>
      </c>
      <c r="E35" s="4">
        <v>0.24602083333333333</v>
      </c>
      <c r="F35" s="4">
        <v>0.49519793470943108</v>
      </c>
      <c r="G35" s="6">
        <v>0.29305449554956148</v>
      </c>
      <c r="H35" s="6">
        <v>0.28835140560931211</v>
      </c>
      <c r="I35" s="5">
        <v>0.53708333333333336</v>
      </c>
      <c r="J35" s="5">
        <v>6.7666666666666667E-2</v>
      </c>
      <c r="K35" s="5">
        <v>0.16000000000000003</v>
      </c>
      <c r="L35" s="5">
        <v>0.18937499999999996</v>
      </c>
      <c r="M35" s="5">
        <v>6.2E-2</v>
      </c>
      <c r="N35" s="5">
        <v>0.45999999999999996</v>
      </c>
      <c r="O35" s="5">
        <v>0.62008333333333332</v>
      </c>
      <c r="P35" s="5">
        <v>0.39640000000000003</v>
      </c>
      <c r="Q35" s="5">
        <v>0.98133333333333328</v>
      </c>
      <c r="R35" s="5">
        <v>7.8238322584123304E-2</v>
      </c>
      <c r="S35" s="5">
        <v>0.81513261900579659</v>
      </c>
      <c r="T35" s="5">
        <v>0.08</v>
      </c>
      <c r="U35" s="5">
        <v>0.20833333333333315</v>
      </c>
      <c r="V35" s="5">
        <v>0.87152000000000007</v>
      </c>
      <c r="W35" s="5">
        <v>0.27371268292682882</v>
      </c>
      <c r="X35" s="5">
        <v>0.25912408759124089</v>
      </c>
      <c r="Y35" s="5">
        <v>7.3502882410073744E-2</v>
      </c>
      <c r="Z35" s="5">
        <v>7.2133987035892341E-2</v>
      </c>
      <c r="AA35" s="5">
        <v>0.107</v>
      </c>
      <c r="AB35" s="5">
        <v>0.12684177614447917</v>
      </c>
      <c r="AC35" s="5">
        <v>0.29599999999999993</v>
      </c>
      <c r="AD35" s="5">
        <v>0</v>
      </c>
      <c r="AE35" s="5">
        <v>0</v>
      </c>
      <c r="AF35" s="5">
        <v>0.309599990844727</v>
      </c>
      <c r="AG35" s="134">
        <v>3643.6177662741779</v>
      </c>
      <c r="AH35" s="135">
        <v>8.2007323588808827</v>
      </c>
      <c r="AI35">
        <v>0.70799999999999996</v>
      </c>
      <c r="AJ35" s="136">
        <v>50.4</v>
      </c>
      <c r="AK35" s="137">
        <v>0.33065616730040953</v>
      </c>
      <c r="AL35" s="138">
        <v>0.3703666110375835</v>
      </c>
      <c r="AM35" s="139">
        <v>-3.9710443737173973E-2</v>
      </c>
      <c r="AN35" s="139">
        <v>1.9749360613810742E-2</v>
      </c>
    </row>
    <row r="36" spans="2:40">
      <c r="B36" s="16" t="s">
        <v>71</v>
      </c>
      <c r="C36" s="15" t="s">
        <v>72</v>
      </c>
      <c r="D36" s="133">
        <v>0.51706357624321098</v>
      </c>
      <c r="E36" s="4">
        <v>0.32278774879450084</v>
      </c>
      <c r="F36" s="4">
        <v>0.66906930904439932</v>
      </c>
      <c r="G36" s="6">
        <v>0.66198954255852305</v>
      </c>
      <c r="H36" s="6">
        <v>0.41440770457542275</v>
      </c>
      <c r="I36" s="5">
        <v>0.3148333333333333</v>
      </c>
      <c r="J36" s="5">
        <v>4.6260387811634344E-4</v>
      </c>
      <c r="K36" s="5">
        <v>0.32999999999999996</v>
      </c>
      <c r="L36" s="5">
        <v>0.29076388888888882</v>
      </c>
      <c r="M36" s="5">
        <v>0.34066666666666667</v>
      </c>
      <c r="N36" s="5">
        <v>0.65999999999999992</v>
      </c>
      <c r="O36" s="5">
        <v>1</v>
      </c>
      <c r="P36" s="5">
        <v>0.61259999999999992</v>
      </c>
      <c r="Q36" s="5">
        <v>0.99946969696969701</v>
      </c>
      <c r="R36" s="5">
        <v>0.76317062671410163</v>
      </c>
      <c r="S36" s="5">
        <v>0.22417553058259723</v>
      </c>
      <c r="T36" s="5">
        <v>0.41500000000000004</v>
      </c>
      <c r="U36" s="5">
        <v>0.40833333333333333</v>
      </c>
      <c r="V36" s="5">
        <v>0.96399999999999997</v>
      </c>
      <c r="W36" s="5">
        <v>0.75394243902439018</v>
      </c>
      <c r="X36" s="5">
        <v>0.50937049495434883</v>
      </c>
      <c r="Y36" s="5">
        <v>0.40430739413254912</v>
      </c>
      <c r="Z36" s="5">
        <v>0.9319835939065173</v>
      </c>
      <c r="AA36" s="5">
        <v>0</v>
      </c>
      <c r="AB36" s="5">
        <v>0</v>
      </c>
      <c r="AC36" s="5">
        <v>0.94899999999999995</v>
      </c>
      <c r="AD36" s="5" t="e">
        <v>#N/A</v>
      </c>
      <c r="AE36" s="5">
        <v>1.4446227929373995E-2</v>
      </c>
      <c r="AF36" s="5">
        <v>0.97299999952316285</v>
      </c>
      <c r="AG36" s="134">
        <v>757.39389145787572</v>
      </c>
      <c r="AH36" s="135">
        <v>6.6298834502884532</v>
      </c>
      <c r="AI36">
        <v>0.36899999999999999</v>
      </c>
      <c r="AJ36" s="136">
        <v>43.57</v>
      </c>
      <c r="AK36" s="137">
        <v>0.51706357624321142</v>
      </c>
      <c r="AL36" s="138">
        <v>0.48488149647397166</v>
      </c>
      <c r="AM36" s="139">
        <v>3.2182079769239758E-2</v>
      </c>
      <c r="AN36" s="139">
        <v>3.5468395945140133E-2</v>
      </c>
    </row>
    <row r="37" spans="2:40">
      <c r="B37" s="16" t="s">
        <v>73</v>
      </c>
      <c r="C37" s="15" t="s">
        <v>74</v>
      </c>
      <c r="D37" s="133">
        <v>0.47831634678776103</v>
      </c>
      <c r="E37" s="4">
        <v>0.38831136950904394</v>
      </c>
      <c r="F37" s="4">
        <v>0.53207936774934905</v>
      </c>
      <c r="G37" s="6">
        <v>0.58008049489345959</v>
      </c>
      <c r="H37" s="6">
        <v>0.41279415499919148</v>
      </c>
      <c r="I37" s="5">
        <v>0.12975000000000003</v>
      </c>
      <c r="J37" s="5">
        <v>8.5348837209302322E-3</v>
      </c>
      <c r="K37" s="5">
        <v>0.5</v>
      </c>
      <c r="L37" s="5">
        <v>0.36958333333333326</v>
      </c>
      <c r="M37" s="5">
        <v>0.41199999999999998</v>
      </c>
      <c r="N37" s="5">
        <v>0.91</v>
      </c>
      <c r="O37" s="5">
        <v>0.63950000000000007</v>
      </c>
      <c r="P37" s="5">
        <v>0.72860000000000003</v>
      </c>
      <c r="Q37" s="5">
        <v>0.99984466689678975</v>
      </c>
      <c r="R37" s="5">
        <v>3.9986708032723535E-2</v>
      </c>
      <c r="S37" s="5">
        <v>8.4544831566580714E-2</v>
      </c>
      <c r="T37" s="5">
        <v>0.7</v>
      </c>
      <c r="U37" s="5">
        <v>0.20833333333333315</v>
      </c>
      <c r="V37" s="5">
        <v>0.97599999999999998</v>
      </c>
      <c r="W37" s="5">
        <v>0.72132487804878043</v>
      </c>
      <c r="X37" s="5">
        <v>0.50601805416248746</v>
      </c>
      <c r="Y37" s="5">
        <v>6.8806703816156611E-2</v>
      </c>
      <c r="Z37" s="5">
        <v>1</v>
      </c>
      <c r="AA37" s="5">
        <v>0</v>
      </c>
      <c r="AB37" s="5">
        <v>0</v>
      </c>
      <c r="AC37" s="5">
        <v>0.96499999999999997</v>
      </c>
      <c r="AD37" s="5" t="e">
        <v>#N/A</v>
      </c>
      <c r="AE37" s="5">
        <v>4.7649301143583237E-3</v>
      </c>
      <c r="AF37" s="5">
        <v>0.99199999988079068</v>
      </c>
      <c r="AG37" s="134">
        <v>1300.1300467868984</v>
      </c>
      <c r="AH37" s="135">
        <v>7.1702195744362838</v>
      </c>
      <c r="AI37">
        <v>0.39200000000000002</v>
      </c>
      <c r="AJ37" s="136">
        <v>39.78</v>
      </c>
      <c r="AK37" s="137">
        <v>0.47831634678776103</v>
      </c>
      <c r="AL37" s="138">
        <v>0.44549099302359485</v>
      </c>
      <c r="AM37" s="139">
        <v>3.2825353764166176E-2</v>
      </c>
      <c r="AN37" s="139">
        <v>0.72985455355816364</v>
      </c>
    </row>
    <row r="38" spans="2:40">
      <c r="B38" s="16" t="s">
        <v>75</v>
      </c>
      <c r="C38" s="15" t="s">
        <v>76</v>
      </c>
      <c r="D38" s="133">
        <v>0.23512586712133299</v>
      </c>
      <c r="E38" s="4">
        <v>0.12844109524383385</v>
      </c>
      <c r="F38" s="4">
        <v>0.2191330690993227</v>
      </c>
      <c r="G38" s="6">
        <v>0.23964309807915618</v>
      </c>
      <c r="H38" s="6">
        <v>0.35328620606302003</v>
      </c>
      <c r="I38" s="5">
        <v>0.53191666666666659</v>
      </c>
      <c r="J38" s="5">
        <v>1.229934924078091E-2</v>
      </c>
      <c r="K38" s="5">
        <v>4.0000000000000036E-2</v>
      </c>
      <c r="L38" s="5">
        <v>0.1457638888888888</v>
      </c>
      <c r="M38" s="5">
        <v>6.6666666666666664E-4</v>
      </c>
      <c r="N38" s="5">
        <v>4.0000000000000036E-2</v>
      </c>
      <c r="O38" s="5">
        <v>0.505</v>
      </c>
      <c r="P38" s="5">
        <v>0.11280000000000005</v>
      </c>
      <c r="Q38" s="5">
        <v>0</v>
      </c>
      <c r="R38" s="5">
        <v>0.11231123190092711</v>
      </c>
      <c r="S38" s="5">
        <v>0.58468718269500908</v>
      </c>
      <c r="T38" s="5">
        <v>0</v>
      </c>
      <c r="U38" s="5">
        <v>0.31666666666666676</v>
      </c>
      <c r="V38" s="5">
        <v>0.89825211810012839</v>
      </c>
      <c r="W38" s="5">
        <v>0.12546341463414623</v>
      </c>
      <c r="X38" s="5">
        <v>8.4812623274161739E-2</v>
      </c>
      <c r="Y38" s="5">
        <v>2.315661035806526E-4</v>
      </c>
      <c r="Z38" s="5">
        <v>1.2432199696253471E-2</v>
      </c>
      <c r="AA38" s="5">
        <v>3.5000000000000003E-2</v>
      </c>
      <c r="AB38" s="5">
        <v>2.2132395288207669E-2</v>
      </c>
      <c r="AC38" s="5">
        <v>1.5000000000000013E-2</v>
      </c>
      <c r="AD38" s="5">
        <v>0.82956175511969843</v>
      </c>
      <c r="AE38" s="5">
        <v>3.0250067222371606E-2</v>
      </c>
      <c r="AF38" s="5">
        <v>0.79799999237060504</v>
      </c>
      <c r="AG38" s="134">
        <v>14311.285266523524</v>
      </c>
      <c r="AH38" s="135">
        <v>9.5688036844867828</v>
      </c>
      <c r="AI38">
        <v>0.878</v>
      </c>
      <c r="AJ38" s="136">
        <v>52.06</v>
      </c>
      <c r="AK38" s="137">
        <v>0.23512586712133321</v>
      </c>
      <c r="AL38" s="138">
        <v>0.27063421140091337</v>
      </c>
      <c r="AM38" s="139">
        <v>-3.5508344279580162E-2</v>
      </c>
      <c r="AN38" s="139">
        <v>8.6219071076706538E-2</v>
      </c>
    </row>
    <row r="39" spans="2:40">
      <c r="B39" s="16" t="s">
        <v>77</v>
      </c>
      <c r="C39" s="15" t="s">
        <v>78</v>
      </c>
      <c r="D39" s="133">
        <v>0.27548888538487998</v>
      </c>
      <c r="E39" s="4">
        <v>0.29261945748565471</v>
      </c>
      <c r="F39" s="4">
        <v>0.15830150929384204</v>
      </c>
      <c r="G39" s="6">
        <v>0.32150484719979711</v>
      </c>
      <c r="H39" s="6">
        <v>0.32952972756022775</v>
      </c>
      <c r="I39" s="5">
        <v>0.34924999999999995</v>
      </c>
      <c r="J39" s="5">
        <v>0.19510563380281687</v>
      </c>
      <c r="K39" s="5">
        <v>0.10999999999999999</v>
      </c>
      <c r="L39" s="5">
        <v>0.61402777777777806</v>
      </c>
      <c r="M39" s="5">
        <v>3.7333333333333336E-2</v>
      </c>
      <c r="N39" s="5">
        <v>0.44999999999999996</v>
      </c>
      <c r="O39" s="5">
        <v>0.20825000000000002</v>
      </c>
      <c r="P39" s="5">
        <v>0.56000000000000005</v>
      </c>
      <c r="Q39" s="5">
        <v>3.8137798150500446E-2</v>
      </c>
      <c r="R39" s="5">
        <v>6.0236266312855322E-2</v>
      </c>
      <c r="S39" s="5">
        <v>2.3184991299696433E-2</v>
      </c>
      <c r="T39" s="5">
        <v>0.06</v>
      </c>
      <c r="U39" s="5">
        <v>0.76666666666666661</v>
      </c>
      <c r="V39" s="5">
        <v>0.83299999999999996</v>
      </c>
      <c r="W39" s="5">
        <v>0.23377902439024378</v>
      </c>
      <c r="X39" s="5">
        <v>7.9234972677595633E-2</v>
      </c>
      <c r="Y39" s="5">
        <v>0</v>
      </c>
      <c r="Z39" s="5">
        <v>1.6348419464276627E-2</v>
      </c>
      <c r="AA39" s="5">
        <v>1.2E-2</v>
      </c>
      <c r="AB39" s="5">
        <v>0.11397905071264958</v>
      </c>
      <c r="AC39" s="5">
        <v>5.9999999999998943E-3</v>
      </c>
      <c r="AD39" s="5">
        <v>0.21760664316765432</v>
      </c>
      <c r="AE39" s="5">
        <v>1.2865198768929132E-2</v>
      </c>
      <c r="AF39" s="5">
        <v>0.46499999999999997</v>
      </c>
      <c r="AG39" s="134">
        <v>6827.9500038541792</v>
      </c>
      <c r="AH39" s="135">
        <v>8.8287797616634727</v>
      </c>
      <c r="AI39">
        <v>0.77200000000000002</v>
      </c>
      <c r="AJ39" s="136">
        <v>41.53</v>
      </c>
      <c r="AK39" s="137">
        <v>0.27548888538488042</v>
      </c>
      <c r="AL39" s="138">
        <v>0.32458195537473278</v>
      </c>
      <c r="AM39" s="139">
        <v>-4.9093069989852356E-2</v>
      </c>
      <c r="AN39" s="139">
        <v>1.6802577119731679</v>
      </c>
    </row>
    <row r="40" spans="2:40">
      <c r="B40" s="16" t="s">
        <v>79</v>
      </c>
      <c r="C40" s="15" t="s">
        <v>80</v>
      </c>
      <c r="D40" s="133">
        <v>0.265795170727885</v>
      </c>
      <c r="E40" s="4">
        <v>0.16650510301577376</v>
      </c>
      <c r="F40" s="4">
        <v>0.29419944161235878</v>
      </c>
      <c r="G40" s="6">
        <v>0.27000220554882759</v>
      </c>
      <c r="H40" s="6">
        <v>0.33247393273458015</v>
      </c>
      <c r="I40" s="5">
        <v>0.3653333333333334</v>
      </c>
      <c r="J40" s="5">
        <v>5.9333958724202629E-3</v>
      </c>
      <c r="K40" s="5">
        <v>7.999999999999996E-2</v>
      </c>
      <c r="L40" s="5">
        <v>0.26576388888888891</v>
      </c>
      <c r="M40" s="5">
        <v>2.1999999999999999E-2</v>
      </c>
      <c r="N40" s="5">
        <v>0.26</v>
      </c>
      <c r="O40" s="5">
        <v>0.48833333333333334</v>
      </c>
      <c r="P40" s="5">
        <v>0.25200000000000011</v>
      </c>
      <c r="Q40" s="5">
        <v>0.3621504529342261</v>
      </c>
      <c r="R40" s="5">
        <v>2.5058423613747827E-2</v>
      </c>
      <c r="S40" s="5">
        <v>0.60765443979284517</v>
      </c>
      <c r="T40" s="5">
        <v>0.03</v>
      </c>
      <c r="U40" s="5">
        <v>0.31666666666666676</v>
      </c>
      <c r="V40" s="5">
        <v>0.89880000000000004</v>
      </c>
      <c r="W40" s="5">
        <v>0.23582487804878038</v>
      </c>
      <c r="X40" s="5">
        <v>0.11327433628318584</v>
      </c>
      <c r="Y40" s="5">
        <v>5.3121257100809702E-4</v>
      </c>
      <c r="Z40" s="5">
        <v>5.4916139723324306E-2</v>
      </c>
      <c r="AA40" s="5">
        <v>1.3000000000000001E-2</v>
      </c>
      <c r="AB40" s="5">
        <v>3.5307722344131445E-2</v>
      </c>
      <c r="AC40" s="5">
        <v>6.4000000000000057E-2</v>
      </c>
      <c r="AD40" s="5">
        <v>0.47763280660950758</v>
      </c>
      <c r="AE40" s="5">
        <v>3.7854889589905363E-2</v>
      </c>
      <c r="AF40" s="5">
        <v>0.85600000381469699</v>
      </c>
      <c r="AG40" s="134">
        <v>8959.2375738972405</v>
      </c>
      <c r="AH40" s="135">
        <v>9.10044041014946</v>
      </c>
      <c r="AI40">
        <v>0.80700000000000005</v>
      </c>
      <c r="AJ40" s="136">
        <v>58.489999999999995</v>
      </c>
      <c r="AK40" s="137">
        <v>0.26579517072788506</v>
      </c>
      <c r="AL40" s="138">
        <v>0.30477789410010425</v>
      </c>
      <c r="AM40" s="139">
        <v>-3.8982723372219197E-2</v>
      </c>
      <c r="AN40" s="139">
        <v>7.2170152041928282E-2</v>
      </c>
    </row>
    <row r="41" spans="2:40">
      <c r="B41" s="16" t="s">
        <v>81</v>
      </c>
      <c r="C41" s="15" t="s">
        <v>82</v>
      </c>
      <c r="D41" s="133">
        <v>0.41148180755624703</v>
      </c>
      <c r="E41" s="4">
        <v>0.25009722222222225</v>
      </c>
      <c r="F41" s="4">
        <v>0.56109398107178965</v>
      </c>
      <c r="G41" s="6">
        <v>0.39784611914818419</v>
      </c>
      <c r="H41" s="6">
        <v>0.43688990778279208</v>
      </c>
      <c r="I41" s="5">
        <v>0.54800000000000004</v>
      </c>
      <c r="J41" s="5">
        <v>8.3333333333333332E-3</v>
      </c>
      <c r="K41" s="5">
        <v>5.0000000000000044E-2</v>
      </c>
      <c r="L41" s="5">
        <v>0.13624999999999998</v>
      </c>
      <c r="M41" s="5">
        <v>0.11799999999999999</v>
      </c>
      <c r="N41" s="5">
        <v>0.64</v>
      </c>
      <c r="O41" s="5">
        <v>0.44466666666666665</v>
      </c>
      <c r="P41" s="5">
        <v>0.71860000000000002</v>
      </c>
      <c r="Q41" s="5">
        <v>1</v>
      </c>
      <c r="R41" s="5">
        <v>3.0669578150284933E-2</v>
      </c>
      <c r="S41" s="5">
        <v>0.74762764161378592</v>
      </c>
      <c r="T41" s="5">
        <v>0.42499999999999999</v>
      </c>
      <c r="U41" s="5">
        <v>0.20833333333333315</v>
      </c>
      <c r="V41" s="5">
        <v>0.93479999999999996</v>
      </c>
      <c r="W41" s="5">
        <v>0.38482536585365867</v>
      </c>
      <c r="X41" s="5">
        <v>0.35302916978309651</v>
      </c>
      <c r="Y41" s="5">
        <v>0.15306062877839335</v>
      </c>
      <c r="Z41" s="5">
        <v>0.35302821714062355</v>
      </c>
      <c r="AA41" s="5">
        <v>4.7E-2</v>
      </c>
      <c r="AB41" s="5">
        <v>0.1428878337935264</v>
      </c>
      <c r="AC41" s="5">
        <v>0.59899999999999998</v>
      </c>
      <c r="AD41" s="5" t="e">
        <v>#N/A</v>
      </c>
      <c r="AE41" s="5">
        <v>0.80645161290322576</v>
      </c>
      <c r="AF41" s="5">
        <v>0.23499999999999999</v>
      </c>
      <c r="AG41" s="134">
        <v>1182.9184021909027</v>
      </c>
      <c r="AH41" s="135">
        <v>7.0757398862747989</v>
      </c>
      <c r="AI41">
        <v>0.57599999999999996</v>
      </c>
      <c r="AJ41" s="136">
        <v>64.34</v>
      </c>
      <c r="AK41" s="137">
        <v>0.41148180755624703</v>
      </c>
      <c r="AL41" s="138">
        <v>0.45237856229056705</v>
      </c>
      <c r="AM41" s="139">
        <v>-4.0896754734320029E-2</v>
      </c>
      <c r="AN41" s="139">
        <v>0.18941215106732348</v>
      </c>
    </row>
    <row r="42" spans="2:40">
      <c r="B42" s="16" t="s">
        <v>83</v>
      </c>
      <c r="C42" s="15" t="s">
        <v>84</v>
      </c>
      <c r="D42" s="133">
        <v>0.442279738235001</v>
      </c>
      <c r="E42" s="4">
        <v>0.31027310363247862</v>
      </c>
      <c r="F42" s="4">
        <v>0.5579045467603323</v>
      </c>
      <c r="G42" s="6">
        <v>0.51736855986964103</v>
      </c>
      <c r="H42" s="6">
        <v>0.38357274267755392</v>
      </c>
      <c r="I42" s="5">
        <v>0.4690833333333333</v>
      </c>
      <c r="J42" s="5">
        <v>5.5288461538461539E-5</v>
      </c>
      <c r="K42" s="5">
        <v>0.29000000000000004</v>
      </c>
      <c r="L42" s="5">
        <v>0.25583333333333336</v>
      </c>
      <c r="M42" s="5">
        <v>0.14666666666666667</v>
      </c>
      <c r="N42" s="5">
        <v>0.7</v>
      </c>
      <c r="O42" s="5">
        <v>1</v>
      </c>
      <c r="P42" s="5">
        <v>0.38280000000000003</v>
      </c>
      <c r="Q42" s="5">
        <v>0.97765923023193857</v>
      </c>
      <c r="R42" s="5">
        <v>8.7328762084118022E-3</v>
      </c>
      <c r="S42" s="5">
        <v>0.84323517412164317</v>
      </c>
      <c r="T42" s="5">
        <v>0.13500000000000001</v>
      </c>
      <c r="U42" s="5">
        <v>0.40833333333333333</v>
      </c>
      <c r="V42" s="5">
        <v>0.93059999999999998</v>
      </c>
      <c r="W42" s="5">
        <v>0.62577999999999989</v>
      </c>
      <c r="X42" s="5">
        <v>0.42118076688983569</v>
      </c>
      <c r="Y42" s="5">
        <v>7.1615171840474737E-2</v>
      </c>
      <c r="Z42" s="5">
        <v>0.64670208715420274</v>
      </c>
      <c r="AA42" s="5">
        <v>5.0000000000000001E-3</v>
      </c>
      <c r="AB42" s="5">
        <v>2.9502723996677242E-2</v>
      </c>
      <c r="AC42" s="5">
        <v>0.7</v>
      </c>
      <c r="AD42" s="5">
        <v>0</v>
      </c>
      <c r="AE42" s="5">
        <v>1.7569546120058562E-2</v>
      </c>
      <c r="AF42" s="5">
        <v>0.92870588235294116</v>
      </c>
      <c r="AG42" s="134">
        <v>4237.953911543882</v>
      </c>
      <c r="AH42" s="135">
        <v>8.3518358637204742</v>
      </c>
      <c r="AI42">
        <v>0.60099999999999998</v>
      </c>
      <c r="AJ42" s="136">
        <v>47.32</v>
      </c>
      <c r="AK42" s="137">
        <v>0.4422797382350015</v>
      </c>
      <c r="AL42" s="138">
        <v>0.35935116553477731</v>
      </c>
      <c r="AM42" s="139">
        <v>8.292857270022419E-2</v>
      </c>
      <c r="AN42" s="139">
        <v>4.5470027247956402E-2</v>
      </c>
    </row>
    <row r="43" spans="2:40">
      <c r="B43" s="16" t="s">
        <v>85</v>
      </c>
      <c r="C43" s="15" t="s">
        <v>86</v>
      </c>
      <c r="D43" s="133" t="e">
        <v>#N/A</v>
      </c>
      <c r="E43" s="4" t="e">
        <v>#N/A</v>
      </c>
      <c r="F43" s="4" t="e">
        <v>#N/A</v>
      </c>
      <c r="G43" s="6" t="e">
        <v>#N/A</v>
      </c>
      <c r="H43" s="6" t="e">
        <v>#N/A</v>
      </c>
      <c r="I43" s="5">
        <v>0.44966666666666677</v>
      </c>
      <c r="J43" s="5">
        <v>4.849571317225253E-4</v>
      </c>
      <c r="K43" s="5" t="e">
        <v>#N/A</v>
      </c>
      <c r="L43" s="5">
        <v>0.30458333333333332</v>
      </c>
      <c r="M43" s="5">
        <v>0.52400000000000002</v>
      </c>
      <c r="N43" s="5" t="e">
        <v>#N/A</v>
      </c>
      <c r="O43" s="5" t="e">
        <v>#N/A</v>
      </c>
      <c r="P43" s="5" t="e">
        <v>#N/A</v>
      </c>
      <c r="Q43" s="5">
        <v>1</v>
      </c>
      <c r="R43" s="5">
        <v>4.6154013798409277E-2</v>
      </c>
      <c r="S43" s="5">
        <v>0.27839178839037459</v>
      </c>
      <c r="T43" s="5">
        <v>0.40499999999999997</v>
      </c>
      <c r="U43" s="5">
        <v>0.40833333333333333</v>
      </c>
      <c r="V43" s="5" t="e">
        <v>#N/A</v>
      </c>
      <c r="W43" s="5" t="e">
        <v>#N/A</v>
      </c>
      <c r="X43" s="5">
        <v>0.48440748440748443</v>
      </c>
      <c r="Y43" s="5" t="e">
        <v>#N/A</v>
      </c>
      <c r="Z43" s="5" t="e">
        <v>#N/A</v>
      </c>
      <c r="AA43" s="5">
        <v>0</v>
      </c>
      <c r="AB43" s="5">
        <v>3.6940300629197744E-4</v>
      </c>
      <c r="AC43" s="5" t="e">
        <v>#N/A</v>
      </c>
      <c r="AD43" s="5" t="e">
        <v>#N/A</v>
      </c>
      <c r="AE43" s="5" t="e">
        <v>#N/A</v>
      </c>
      <c r="AF43" s="5" t="e">
        <v>#N/A</v>
      </c>
      <c r="AG43" s="134">
        <v>319</v>
      </c>
      <c r="AH43" s="135">
        <v>5.7651911027848444</v>
      </c>
      <c r="AI43">
        <v>0.38900000000000001</v>
      </c>
      <c r="AJ43" s="136">
        <v>55</v>
      </c>
      <c r="AK43" s="137" t="e">
        <v>#N/A</v>
      </c>
      <c r="AL43" s="138">
        <v>0.54791756860698482</v>
      </c>
      <c r="AM43" s="139" t="e">
        <v>#N/A</v>
      </c>
      <c r="AN43" s="139">
        <v>1.0904377802311696E-2</v>
      </c>
    </row>
    <row r="44" spans="2:40">
      <c r="B44" s="16" t="s">
        <v>87</v>
      </c>
      <c r="C44" s="15" t="s">
        <v>88</v>
      </c>
      <c r="D44" s="133">
        <v>0.29592260459048803</v>
      </c>
      <c r="E44" s="4">
        <v>0.14876788420983264</v>
      </c>
      <c r="F44" s="4">
        <v>0.42163682889285004</v>
      </c>
      <c r="G44" s="6">
        <v>0.23302687588456708</v>
      </c>
      <c r="H44" s="6">
        <v>0.38025882937470284</v>
      </c>
      <c r="I44" s="5">
        <v>0.56950000000000001</v>
      </c>
      <c r="J44" s="5">
        <v>2.3843416370106764E-2</v>
      </c>
      <c r="K44" s="5">
        <v>3.0000000000000027E-2</v>
      </c>
      <c r="L44" s="5">
        <v>0.21659722222222233</v>
      </c>
      <c r="M44" s="5">
        <v>2.6666666666666666E-3</v>
      </c>
      <c r="N44" s="5">
        <v>5.0000000000000044E-2</v>
      </c>
      <c r="O44" s="5">
        <v>0.49525000000000002</v>
      </c>
      <c r="P44" s="5">
        <v>0.36219999999999997</v>
      </c>
      <c r="Q44" s="5">
        <v>0.18009422850412249</v>
      </c>
      <c r="R44" s="5">
        <v>0.5</v>
      </c>
      <c r="S44" s="5">
        <v>0.97227674485297777</v>
      </c>
      <c r="T44" s="5">
        <v>0.02</v>
      </c>
      <c r="U44" s="5">
        <v>0.31666666666666676</v>
      </c>
      <c r="V44" s="5">
        <v>0.87280000000000002</v>
      </c>
      <c r="W44" s="5">
        <v>0.11920243902439009</v>
      </c>
      <c r="X44" s="5">
        <v>6.4386317907444673E-2</v>
      </c>
      <c r="Y44" s="5">
        <v>1.5585562231595559E-3</v>
      </c>
      <c r="Z44" s="5">
        <v>2.354727548574153E-2</v>
      </c>
      <c r="AA44" s="5">
        <v>3.3000000000000002E-2</v>
      </c>
      <c r="AB44" s="5">
        <v>2.3556027702306456E-2</v>
      </c>
      <c r="AC44" s="5">
        <v>9.000000000000008E-3</v>
      </c>
      <c r="AD44" s="5">
        <v>0.87984760472056822</v>
      </c>
      <c r="AE44" s="5">
        <v>0.41128084606345483</v>
      </c>
      <c r="AF44" s="5">
        <v>0.74719999999999998</v>
      </c>
      <c r="AG44" s="134">
        <v>11105.74497353416</v>
      </c>
      <c r="AH44" s="135">
        <v>9.3152178185930197</v>
      </c>
      <c r="AI44">
        <v>0.85399999999999998</v>
      </c>
      <c r="AJ44" s="136">
        <v>50.31</v>
      </c>
      <c r="AK44" s="137">
        <v>0.29592260459048814</v>
      </c>
      <c r="AL44" s="138">
        <v>0.2891206210245687</v>
      </c>
      <c r="AM44" s="139">
        <v>6.8019835659194339E-3</v>
      </c>
      <c r="AN44" s="139">
        <v>0.35839942446043166</v>
      </c>
    </row>
    <row r="45" spans="2:40">
      <c r="B45" s="16" t="s">
        <v>89</v>
      </c>
      <c r="C45" s="15" t="s">
        <v>90</v>
      </c>
      <c r="D45" s="133">
        <v>0.42779113591166601</v>
      </c>
      <c r="E45" s="4">
        <v>0.32841269319603056</v>
      </c>
      <c r="F45" s="4">
        <v>0.43492115296810091</v>
      </c>
      <c r="G45" s="6">
        <v>0.50359826365289984</v>
      </c>
      <c r="H45" s="6">
        <v>0.44423243382963257</v>
      </c>
      <c r="I45" s="5">
        <v>0.33633333333333337</v>
      </c>
      <c r="J45" s="5">
        <v>1.7365048065072716E-2</v>
      </c>
      <c r="K45" s="5">
        <v>0.19999999999999996</v>
      </c>
      <c r="L45" s="5">
        <v>0.27277777777777745</v>
      </c>
      <c r="M45" s="5">
        <v>0.374</v>
      </c>
      <c r="N45" s="5">
        <v>0.77</v>
      </c>
      <c r="O45" s="5">
        <v>0.36491666666666667</v>
      </c>
      <c r="P45" s="5">
        <v>0.50559999999999994</v>
      </c>
      <c r="Q45" s="5">
        <v>0.91510535714283336</v>
      </c>
      <c r="R45" s="5">
        <v>7.5329854979443597E-2</v>
      </c>
      <c r="S45" s="5">
        <v>0.53357503901966175</v>
      </c>
      <c r="T45" s="5">
        <v>0.215</v>
      </c>
      <c r="U45" s="5">
        <v>0.40833333333333333</v>
      </c>
      <c r="V45" s="5">
        <v>0.95584000000000002</v>
      </c>
      <c r="W45" s="5">
        <v>0.54096439024390219</v>
      </c>
      <c r="X45" s="5">
        <v>0.44796828543111994</v>
      </c>
      <c r="Y45" s="5">
        <v>0.10631809614097458</v>
      </c>
      <c r="Z45" s="5">
        <v>0.56216547676806894</v>
      </c>
      <c r="AA45" s="5">
        <v>0</v>
      </c>
      <c r="AB45" s="5">
        <v>6.3369439124179638E-2</v>
      </c>
      <c r="AC45" s="5">
        <v>0.52700000000000002</v>
      </c>
      <c r="AD45" s="5">
        <v>0.25281770235722761</v>
      </c>
      <c r="AE45" s="5">
        <v>4.7169811320754715E-3</v>
      </c>
      <c r="AF45" s="5">
        <v>0.92070344894872924</v>
      </c>
      <c r="AG45" s="134">
        <v>1701.2263130294361</v>
      </c>
      <c r="AH45" s="135">
        <v>7.4391046305943513</v>
      </c>
      <c r="AI45">
        <v>0.48399999999999999</v>
      </c>
      <c r="AJ45" s="136">
        <v>41.5</v>
      </c>
      <c r="AK45" s="137">
        <v>0.42779113591166595</v>
      </c>
      <c r="AL45" s="138">
        <v>0.42588927242967167</v>
      </c>
      <c r="AM45" s="139">
        <v>1.9018634819942815E-3</v>
      </c>
      <c r="AN45" s="139">
        <v>4.8924469195962416E-4</v>
      </c>
    </row>
    <row r="46" spans="2:40">
      <c r="B46" s="16" t="s">
        <v>91</v>
      </c>
      <c r="C46" s="15" t="s">
        <v>92</v>
      </c>
      <c r="D46" s="133">
        <v>0.19292525101095401</v>
      </c>
      <c r="E46" s="4">
        <v>0.2009898959978936</v>
      </c>
      <c r="F46" s="4">
        <v>0.23343163944522149</v>
      </c>
      <c r="G46" s="6">
        <v>0.12117964579229949</v>
      </c>
      <c r="H46" s="6">
        <v>0.21609982280840079</v>
      </c>
      <c r="I46" s="5">
        <v>0.60099999999999998</v>
      </c>
      <c r="J46" s="5">
        <v>5.9810426540284371E-3</v>
      </c>
      <c r="K46" s="5">
        <v>1.0000000000000009E-2</v>
      </c>
      <c r="L46" s="5">
        <v>0.57895833333333313</v>
      </c>
      <c r="M46" s="5">
        <v>0</v>
      </c>
      <c r="N46" s="5">
        <v>1.0000000000000009E-2</v>
      </c>
      <c r="O46" s="5">
        <v>0.28591666666666671</v>
      </c>
      <c r="P46" s="5">
        <v>0.42460000000000003</v>
      </c>
      <c r="Q46" s="5">
        <v>0.41759906759906762</v>
      </c>
      <c r="R46" s="5">
        <v>0.15768096708019511</v>
      </c>
      <c r="S46" s="5">
        <v>0.11479313532539973</v>
      </c>
      <c r="T46" s="5">
        <v>0</v>
      </c>
      <c r="U46" s="5">
        <v>6.6666666666666541E-2</v>
      </c>
      <c r="V46" s="5">
        <v>0.44661002438363595</v>
      </c>
      <c r="W46" s="5">
        <v>0.17714634146341413</v>
      </c>
      <c r="X46" s="5">
        <v>3.1847133757961783E-2</v>
      </c>
      <c r="Y46" s="5">
        <v>0</v>
      </c>
      <c r="Z46" s="5">
        <v>4.8077084821185143E-3</v>
      </c>
      <c r="AA46" s="5">
        <v>1.3999999999999999E-2</v>
      </c>
      <c r="AB46" s="5">
        <v>3.0071427716422433E-2</v>
      </c>
      <c r="AC46" s="5">
        <v>0</v>
      </c>
      <c r="AD46" s="5">
        <v>0.75083934540980435</v>
      </c>
      <c r="AE46" s="5">
        <v>8.347245409015025E-2</v>
      </c>
      <c r="AF46" s="5">
        <v>0.13120000000000009</v>
      </c>
      <c r="AG46" s="134">
        <v>19986.24056064953</v>
      </c>
      <c r="AH46" s="135">
        <v>9.9027993438072937</v>
      </c>
      <c r="AI46">
        <v>0.871</v>
      </c>
      <c r="AJ46" s="136">
        <v>33.650000000000006</v>
      </c>
      <c r="AK46" s="137">
        <v>0.19292525101095384</v>
      </c>
      <c r="AL46" s="138">
        <v>0.2462859278364482</v>
      </c>
      <c r="AM46" s="139">
        <v>-5.3360676825494363E-2</v>
      </c>
      <c r="AN46" s="139">
        <v>5.0707388277565686E-4</v>
      </c>
    </row>
    <row r="47" spans="2:40">
      <c r="B47" s="16" t="s">
        <v>93</v>
      </c>
      <c r="C47" s="15" t="s">
        <v>94</v>
      </c>
      <c r="D47" s="133">
        <v>0.29733766635070702</v>
      </c>
      <c r="E47" s="4">
        <v>0.19040614191053598</v>
      </c>
      <c r="F47" s="4">
        <v>0.40794317629227311</v>
      </c>
      <c r="G47" s="6">
        <v>0.20044892196297334</v>
      </c>
      <c r="H47" s="6">
        <v>0.39055242523704559</v>
      </c>
      <c r="I47" s="5">
        <v>0.63758333333333339</v>
      </c>
      <c r="J47" s="5">
        <v>0.19800629590766003</v>
      </c>
      <c r="K47" s="5">
        <v>6.0000000000000053E-2</v>
      </c>
      <c r="L47" s="5">
        <v>0.15618055555555577</v>
      </c>
      <c r="M47" s="5">
        <v>6.6666666666666664E-4</v>
      </c>
      <c r="N47" s="5">
        <v>8.9999999999999969E-2</v>
      </c>
      <c r="O47" s="5">
        <v>0.71158333333333335</v>
      </c>
      <c r="P47" s="5">
        <v>0.24319999999999994</v>
      </c>
      <c r="Q47" s="5">
        <v>0.59518001334319481</v>
      </c>
      <c r="R47" s="5">
        <v>0.12914520149472705</v>
      </c>
      <c r="S47" s="5">
        <v>0.74855050958238334</v>
      </c>
      <c r="T47" s="5">
        <v>0.02</v>
      </c>
      <c r="U47" s="5">
        <v>0.92499999999999971</v>
      </c>
      <c r="V47" s="5">
        <v>5.2839999999999887E-2</v>
      </c>
      <c r="W47" s="5">
        <v>0.12213024390243876</v>
      </c>
      <c r="X47" s="5">
        <v>8.348134991119005E-2</v>
      </c>
      <c r="Y47" s="5">
        <v>1.1355320598551565E-3</v>
      </c>
      <c r="Z47" s="5">
        <v>1.8106405904356419E-2</v>
      </c>
      <c r="AA47" s="5">
        <v>0.19</v>
      </c>
      <c r="AB47" s="5">
        <v>0.13339407549196328</v>
      </c>
      <c r="AC47" s="5">
        <v>3.0000000000000027E-2</v>
      </c>
      <c r="AD47" s="5">
        <v>0.57888050374510702</v>
      </c>
      <c r="AE47" s="5">
        <v>0.13658714259697688</v>
      </c>
      <c r="AF47" s="5">
        <v>0.51</v>
      </c>
      <c r="AG47" s="134">
        <v>9700</v>
      </c>
      <c r="AH47" s="135">
        <v>9.1798811644914746</v>
      </c>
      <c r="AI47">
        <v>0.86299999999999999</v>
      </c>
      <c r="AJ47" s="136">
        <v>30</v>
      </c>
      <c r="AK47" s="137">
        <v>0.29733766635070702</v>
      </c>
      <c r="AL47" s="138">
        <v>0.29898666310857136</v>
      </c>
      <c r="AM47" s="139">
        <v>-1.6489967578643405E-3</v>
      </c>
      <c r="AN47" s="139">
        <v>1.1329733673841664</v>
      </c>
    </row>
    <row r="48" spans="2:40">
      <c r="B48" s="16" t="s">
        <v>95</v>
      </c>
      <c r="C48" s="15" t="s">
        <v>96</v>
      </c>
      <c r="D48" s="133">
        <v>0.246022450567076</v>
      </c>
      <c r="E48" s="4">
        <v>0.23305359686609686</v>
      </c>
      <c r="F48" s="4">
        <v>0.33130402477614873</v>
      </c>
      <c r="G48" s="6">
        <v>0.13420589734352309</v>
      </c>
      <c r="H48" s="6">
        <v>0.28552628328253388</v>
      </c>
      <c r="I48" s="5">
        <v>0.75050000000000006</v>
      </c>
      <c r="J48" s="5">
        <v>0.23397435897435895</v>
      </c>
      <c r="K48" s="5">
        <v>0</v>
      </c>
      <c r="L48" s="5">
        <v>0.40451388888888884</v>
      </c>
      <c r="M48" s="5">
        <v>9.3333333333333341E-3</v>
      </c>
      <c r="N48" s="5">
        <v>0</v>
      </c>
      <c r="O48" s="5">
        <v>0.23600000000000002</v>
      </c>
      <c r="P48" s="5">
        <v>0.2990000000000001</v>
      </c>
      <c r="Q48" s="5">
        <v>0.30732200647249996</v>
      </c>
      <c r="R48" s="5">
        <v>0.14550214218439222</v>
      </c>
      <c r="S48" s="5">
        <v>1</v>
      </c>
      <c r="T48" s="5">
        <v>0</v>
      </c>
      <c r="U48" s="5">
        <v>6.6666666666666541E-2</v>
      </c>
      <c r="V48" s="5">
        <v>0.58960000000000012</v>
      </c>
      <c r="W48" s="5">
        <v>0.10462195121951201</v>
      </c>
      <c r="X48" s="5">
        <v>4.0572792362768499E-2</v>
      </c>
      <c r="Y48" s="5">
        <v>0</v>
      </c>
      <c r="Z48" s="5">
        <v>3.7739738121914689E-3</v>
      </c>
      <c r="AA48" s="5">
        <v>4.0999999999999995E-2</v>
      </c>
      <c r="AB48" s="5">
        <v>8.1660770395557095E-2</v>
      </c>
      <c r="AC48" s="5">
        <v>0</v>
      </c>
      <c r="AD48" s="5">
        <v>0.96790409899458618</v>
      </c>
      <c r="AE48" s="5">
        <v>0.16233766233766234</v>
      </c>
      <c r="AF48" s="5">
        <v>0.35389999999999999</v>
      </c>
      <c r="AG48" s="134">
        <v>30848.201134587416</v>
      </c>
      <c r="AH48" s="135">
        <v>10.336833717571439</v>
      </c>
      <c r="AI48">
        <v>0.91400000000000003</v>
      </c>
      <c r="AJ48" s="136">
        <v>39</v>
      </c>
      <c r="AK48" s="137">
        <v>0.24602245056707561</v>
      </c>
      <c r="AL48" s="138">
        <v>0.214644821989042</v>
      </c>
      <c r="AM48" s="139">
        <v>3.1377628578033612E-2</v>
      </c>
      <c r="AN48" s="139">
        <v>7.2580645161290328E-4</v>
      </c>
    </row>
    <row r="49" spans="2:40">
      <c r="B49" s="16" t="s">
        <v>97</v>
      </c>
      <c r="C49" s="15" t="s">
        <v>98</v>
      </c>
      <c r="D49" s="133">
        <v>0.157990084056362</v>
      </c>
      <c r="E49" s="4">
        <v>0.19080643571327985</v>
      </c>
      <c r="F49" s="4">
        <v>0.20287395975036601</v>
      </c>
      <c r="G49" s="6">
        <v>7.3895376233714657E-2</v>
      </c>
      <c r="H49" s="6">
        <v>0.16438456452808795</v>
      </c>
      <c r="I49" s="5">
        <v>0.41583333333333339</v>
      </c>
      <c r="J49" s="5">
        <v>0.14806083650190113</v>
      </c>
      <c r="K49" s="5">
        <v>0</v>
      </c>
      <c r="L49" s="5">
        <v>0.56027777777777787</v>
      </c>
      <c r="M49" s="5">
        <v>6.6666666666666664E-4</v>
      </c>
      <c r="N49" s="5">
        <v>2.0000000000000018E-2</v>
      </c>
      <c r="O49" s="5">
        <v>0.23600000000000002</v>
      </c>
      <c r="P49" s="5">
        <v>0.26563986382780413</v>
      </c>
      <c r="Q49" s="5">
        <v>0.31416532749591286</v>
      </c>
      <c r="R49" s="5">
        <v>0.28294729345255359</v>
      </c>
      <c r="S49" s="5">
        <v>0.11849127372592541</v>
      </c>
      <c r="T49" s="5">
        <v>0</v>
      </c>
      <c r="U49" s="5">
        <v>6.6666666666666541E-2</v>
      </c>
      <c r="V49" s="5">
        <v>0.17099999999999993</v>
      </c>
      <c r="W49" s="5">
        <v>0.15843902439024393</v>
      </c>
      <c r="X49" s="5">
        <v>4.4326241134751775E-2</v>
      </c>
      <c r="Y49" s="5">
        <v>0</v>
      </c>
      <c r="Z49" s="5">
        <v>2.9403252106257574E-3</v>
      </c>
      <c r="AA49" s="5">
        <v>0</v>
      </c>
      <c r="AB49" s="5">
        <v>0</v>
      </c>
      <c r="AC49" s="5">
        <v>0</v>
      </c>
      <c r="AD49" s="5">
        <v>0.29644450501783565</v>
      </c>
      <c r="AE49" s="5">
        <v>3.8834951456310683E-2</v>
      </c>
      <c r="AF49" s="5">
        <v>0</v>
      </c>
      <c r="AG49" s="134">
        <v>25580.522543849391</v>
      </c>
      <c r="AH49" s="135">
        <v>10.149586502752546</v>
      </c>
      <c r="AI49">
        <v>0.90300000000000002</v>
      </c>
      <c r="AJ49" s="136">
        <v>25.82</v>
      </c>
      <c r="AK49" s="137">
        <v>0.15799008405636211</v>
      </c>
      <c r="AL49" s="138">
        <v>0.22829514394933925</v>
      </c>
      <c r="AM49" s="139">
        <v>-7.030505989297714E-2</v>
      </c>
      <c r="AN49" s="139">
        <v>2.92446036201723E-2</v>
      </c>
    </row>
    <row r="50" spans="2:40">
      <c r="B50" s="16" t="s">
        <v>99</v>
      </c>
      <c r="C50" s="15" t="s">
        <v>100</v>
      </c>
      <c r="D50" s="133">
        <v>0.11302658685587701</v>
      </c>
      <c r="E50" s="4">
        <v>0.15642685185185182</v>
      </c>
      <c r="F50" s="4">
        <v>0.10839394356268922</v>
      </c>
      <c r="G50" s="6">
        <v>4.1833791655603143E-2</v>
      </c>
      <c r="H50" s="6">
        <v>0.14545176035336208</v>
      </c>
      <c r="I50" s="5">
        <v>0.35275000000000001</v>
      </c>
      <c r="J50" s="5">
        <v>0.11153333333333332</v>
      </c>
      <c r="K50" s="5">
        <v>0</v>
      </c>
      <c r="L50" s="5">
        <v>0.47361111111111087</v>
      </c>
      <c r="M50" s="5">
        <v>6.6666666666666664E-4</v>
      </c>
      <c r="N50" s="5">
        <v>0</v>
      </c>
      <c r="O50" s="5">
        <v>1.5499999999999995E-2</v>
      </c>
      <c r="P50" s="5">
        <v>0.13052261334714085</v>
      </c>
      <c r="Q50" s="5">
        <v>0.28616041666666669</v>
      </c>
      <c r="R50" s="5">
        <v>8.2654558845831325E-2</v>
      </c>
      <c r="S50" s="5">
        <v>0.13552607251649648</v>
      </c>
      <c r="T50" s="5">
        <v>0</v>
      </c>
      <c r="U50" s="5">
        <v>6.6666666666666541E-2</v>
      </c>
      <c r="V50" s="5">
        <v>0</v>
      </c>
      <c r="W50" s="5">
        <v>0.12804878048780466</v>
      </c>
      <c r="X50" s="5">
        <v>5.3999999999999999E-2</v>
      </c>
      <c r="Y50" s="5">
        <v>0</v>
      </c>
      <c r="Z50" s="5">
        <v>2.2873027791476866E-3</v>
      </c>
      <c r="AA50" s="5">
        <v>0.20499999999999999</v>
      </c>
      <c r="AB50" s="5">
        <v>0.27046939186906183</v>
      </c>
      <c r="AC50" s="5">
        <v>0</v>
      </c>
      <c r="AD50" s="5">
        <v>0</v>
      </c>
      <c r="AE50" s="5">
        <v>0</v>
      </c>
      <c r="AF50" s="5">
        <v>0</v>
      </c>
      <c r="AG50" s="134">
        <v>37720.448123962502</v>
      </c>
      <c r="AH50" s="135">
        <v>10.537957616951546</v>
      </c>
      <c r="AI50">
        <v>0.95499999999999996</v>
      </c>
      <c r="AJ50" s="136">
        <v>24.7</v>
      </c>
      <c r="AK50" s="137">
        <v>0.11302658685587658</v>
      </c>
      <c r="AL50" s="138">
        <v>0.19998288972423217</v>
      </c>
      <c r="AM50" s="139">
        <v>-8.6956302868355595E-2</v>
      </c>
      <c r="AN50" s="139">
        <v>4.3993879112471308E-6</v>
      </c>
    </row>
    <row r="51" spans="2:40">
      <c r="B51" s="16" t="s">
        <v>101</v>
      </c>
      <c r="C51" s="15" t="s">
        <v>102</v>
      </c>
      <c r="D51" s="133" t="e">
        <v>#N/A</v>
      </c>
      <c r="E51" s="4">
        <v>0.26793981481481483</v>
      </c>
      <c r="F51" s="4">
        <v>0.48684704042427812</v>
      </c>
      <c r="G51" s="6">
        <v>0.53535966361522547</v>
      </c>
      <c r="H51" s="6" t="e">
        <v>#N/A</v>
      </c>
      <c r="I51" s="5">
        <v>0.37891666666666668</v>
      </c>
      <c r="J51" s="5">
        <v>6.3E-2</v>
      </c>
      <c r="K51" s="5">
        <v>7.999999999999996E-2</v>
      </c>
      <c r="L51" s="5">
        <v>0.34305555555555556</v>
      </c>
      <c r="M51" s="5">
        <v>0.30266666666666664</v>
      </c>
      <c r="N51" s="5">
        <v>0.43999999999999995</v>
      </c>
      <c r="O51" s="5">
        <v>0.39683333333333337</v>
      </c>
      <c r="P51" s="5">
        <v>0.12299999999999989</v>
      </c>
      <c r="Q51" s="5">
        <v>0.92307692307692313</v>
      </c>
      <c r="R51" s="5">
        <v>7.3171986135412023E-2</v>
      </c>
      <c r="S51" s="5">
        <v>1</v>
      </c>
      <c r="T51" s="5">
        <v>0.40499999999999997</v>
      </c>
      <c r="U51" s="5">
        <v>0.7833333333333331</v>
      </c>
      <c r="V51" s="5">
        <v>0.92684</v>
      </c>
      <c r="W51" s="5">
        <v>0.58505024390243887</v>
      </c>
      <c r="X51" s="5">
        <v>0.34584253127299486</v>
      </c>
      <c r="Y51" s="5">
        <v>0.30229725676399177</v>
      </c>
      <c r="Z51" s="5">
        <v>0.26879461641859465</v>
      </c>
      <c r="AA51" s="5">
        <v>3.2000000000000001E-2</v>
      </c>
      <c r="AB51" s="5">
        <v>0.40578297067453145</v>
      </c>
      <c r="AC51" s="5">
        <v>0.50299999999999989</v>
      </c>
      <c r="AD51" s="5" t="e">
        <v>#N/A</v>
      </c>
      <c r="AE51" s="5">
        <v>0.25884383088869717</v>
      </c>
      <c r="AF51" s="5">
        <v>0.55000000000000004</v>
      </c>
      <c r="AG51" s="134">
        <v>2319.4647212952941</v>
      </c>
      <c r="AH51" s="135">
        <v>7.7490917144599614</v>
      </c>
      <c r="AI51">
        <v>0.52</v>
      </c>
      <c r="AJ51" s="136">
        <v>39.85</v>
      </c>
      <c r="AK51" s="137">
        <v>0.43004883961810614</v>
      </c>
      <c r="AL51" s="138">
        <v>0.40329121401586876</v>
      </c>
      <c r="AM51" s="139">
        <v>2.6757625602237378E-2</v>
      </c>
      <c r="AN51" s="139">
        <v>2.3645686619718309</v>
      </c>
    </row>
    <row r="52" spans="2:40">
      <c r="B52" s="16" t="s">
        <v>103</v>
      </c>
      <c r="C52" s="15" t="s">
        <v>104</v>
      </c>
      <c r="D52" s="133" t="e">
        <v>#N/A</v>
      </c>
      <c r="E52" s="4" t="e">
        <v>#DIV/0!</v>
      </c>
      <c r="F52" s="4" t="e">
        <v>#N/A</v>
      </c>
      <c r="G52" s="6">
        <v>0.29011843259827713</v>
      </c>
      <c r="H52" s="6" t="e">
        <v>#N/A</v>
      </c>
      <c r="I52" s="5">
        <v>0.72199999999999998</v>
      </c>
      <c r="J52" s="5" t="e">
        <v>#DIV/0!</v>
      </c>
      <c r="K52" s="5">
        <v>5.0000000000000044E-2</v>
      </c>
      <c r="L52" s="5">
        <v>0.13201388888888888</v>
      </c>
      <c r="M52" s="5">
        <v>0</v>
      </c>
      <c r="N52" s="5">
        <v>0.18999999999999995</v>
      </c>
      <c r="O52" s="5">
        <v>0.71158333333333335</v>
      </c>
      <c r="P52" s="5">
        <v>0.25739999999999996</v>
      </c>
      <c r="Q52" s="5">
        <v>0.79742857142857138</v>
      </c>
      <c r="R52" s="5">
        <v>3.5496674211124984E-2</v>
      </c>
      <c r="S52" s="5">
        <v>0.98012895042807313</v>
      </c>
      <c r="T52" s="5" t="e">
        <v>#N/A</v>
      </c>
      <c r="U52" s="5">
        <v>0.31666666666666676</v>
      </c>
      <c r="V52" s="5">
        <v>0.64640000000000009</v>
      </c>
      <c r="W52" s="5">
        <v>0.16804878048780469</v>
      </c>
      <c r="X52" s="5">
        <v>0.10497981157469717</v>
      </c>
      <c r="Y52" s="5">
        <v>4.6153368604943054E-3</v>
      </c>
      <c r="Z52" s="5">
        <v>0.5</v>
      </c>
      <c r="AA52" s="5">
        <v>1</v>
      </c>
      <c r="AB52" s="5">
        <v>6.7322767800189934E-2</v>
      </c>
      <c r="AC52" s="5">
        <v>1.0000000000000009E-2</v>
      </c>
      <c r="AD52" s="5" t="e">
        <v>#N/A</v>
      </c>
      <c r="AE52" s="5">
        <v>1</v>
      </c>
      <c r="AF52" s="5">
        <v>0.49599998474121099</v>
      </c>
      <c r="AG52" s="134">
        <v>8882.8869508171811</v>
      </c>
      <c r="AH52" s="135">
        <v>9.0918818902243697</v>
      </c>
      <c r="AI52">
        <v>0.81399999999999995</v>
      </c>
      <c r="AJ52" s="136" t="e">
        <v>#N/A</v>
      </c>
      <c r="AK52" s="137" t="e">
        <v>#N/A</v>
      </c>
      <c r="AL52" s="138">
        <v>0.30540181020264334</v>
      </c>
      <c r="AM52" s="139" t="e">
        <v>#N/A</v>
      </c>
      <c r="AN52" s="139">
        <v>0.19468000000000002</v>
      </c>
    </row>
    <row r="53" spans="2:40">
      <c r="B53" s="16" t="s">
        <v>105</v>
      </c>
      <c r="C53" s="15" t="s">
        <v>106</v>
      </c>
      <c r="D53" s="133">
        <v>0.32179952793231797</v>
      </c>
      <c r="E53" s="4">
        <v>0.2037698412698413</v>
      </c>
      <c r="F53" s="4">
        <v>0.46888518276789948</v>
      </c>
      <c r="G53" s="6">
        <v>0.269616296520795</v>
      </c>
      <c r="H53" s="6">
        <v>0.34492679117073671</v>
      </c>
      <c r="I53" s="5">
        <v>0.53675000000000006</v>
      </c>
      <c r="J53" s="5">
        <v>0.16595238095238096</v>
      </c>
      <c r="K53" s="5">
        <v>0.14000000000000001</v>
      </c>
      <c r="L53" s="5">
        <v>0.16125</v>
      </c>
      <c r="M53" s="5">
        <v>4.8666666666666664E-2</v>
      </c>
      <c r="N53" s="5">
        <v>0.17000000000000004</v>
      </c>
      <c r="O53" s="5">
        <v>0.71158333333333335</v>
      </c>
      <c r="P53" s="5">
        <v>0.30239999999999989</v>
      </c>
      <c r="Q53" s="5">
        <v>0.94717343417653199</v>
      </c>
      <c r="R53" s="5">
        <v>3.1564418643138997E-2</v>
      </c>
      <c r="S53" s="5">
        <v>0.80558991045439232</v>
      </c>
      <c r="T53" s="5">
        <v>1.4999999999999999E-2</v>
      </c>
      <c r="U53" s="5">
        <v>0.31666666666666676</v>
      </c>
      <c r="V53" s="5">
        <v>0.77760000000000007</v>
      </c>
      <c r="W53" s="5">
        <v>0.24577951219512184</v>
      </c>
      <c r="X53" s="5">
        <v>0.18654822335025381</v>
      </c>
      <c r="Y53" s="5">
        <v>1.3802960283505371E-2</v>
      </c>
      <c r="Z53" s="5">
        <v>7.7300416629221852E-2</v>
      </c>
      <c r="AA53" s="5">
        <v>4.2999999999999997E-2</v>
      </c>
      <c r="AB53" s="5">
        <v>3.2537844220995246E-2</v>
      </c>
      <c r="AC53" s="5">
        <v>4.0999999999999925E-2</v>
      </c>
      <c r="AD53" s="5">
        <v>0.81561130394829717</v>
      </c>
      <c r="AE53" s="5">
        <v>0.18625827814569537</v>
      </c>
      <c r="AF53" s="5">
        <v>0.505999984741211</v>
      </c>
      <c r="AG53" s="134">
        <v>8433.3224239631854</v>
      </c>
      <c r="AH53" s="135">
        <v>9.0399460924454615</v>
      </c>
      <c r="AI53">
        <v>0.77700000000000002</v>
      </c>
      <c r="AJ53" s="136">
        <v>48.44</v>
      </c>
      <c r="AK53" s="137">
        <v>0.32179952793231814</v>
      </c>
      <c r="AL53" s="138">
        <v>0.30918792986072574</v>
      </c>
      <c r="AM53" s="139">
        <v>1.26115980715924E-2</v>
      </c>
      <c r="AN53" s="139">
        <v>0.32172231620039038</v>
      </c>
    </row>
    <row r="54" spans="2:40">
      <c r="B54" s="16" t="s">
        <v>107</v>
      </c>
      <c r="C54" s="15" t="s">
        <v>108</v>
      </c>
      <c r="D54" s="133">
        <v>0.25482828193913798</v>
      </c>
      <c r="E54" s="4">
        <v>0.14479903218487103</v>
      </c>
      <c r="F54" s="4">
        <v>0.31585899944675216</v>
      </c>
      <c r="G54" s="6">
        <v>0.25158689342308893</v>
      </c>
      <c r="H54" s="6">
        <v>0.30706820270183827</v>
      </c>
      <c r="I54" s="5">
        <v>0.44433333333333325</v>
      </c>
      <c r="J54" s="5">
        <v>3.5933081998114985E-2</v>
      </c>
      <c r="K54" s="5">
        <v>6.0000000000000053E-2</v>
      </c>
      <c r="L54" s="5">
        <v>0.20652777777777798</v>
      </c>
      <c r="M54" s="5">
        <v>4.2000000000000003E-2</v>
      </c>
      <c r="N54" s="5">
        <v>7.999999999999996E-2</v>
      </c>
      <c r="O54" s="5">
        <v>0.56600000000000006</v>
      </c>
      <c r="P54" s="5">
        <v>0.33760000000000007</v>
      </c>
      <c r="Q54" s="5">
        <v>0.49202260031836142</v>
      </c>
      <c r="R54" s="5">
        <v>6.3849326027275027E-2</v>
      </c>
      <c r="S54" s="5">
        <v>0.37068207033487627</v>
      </c>
      <c r="T54" s="5">
        <v>6.5000000000000002E-2</v>
      </c>
      <c r="U54" s="5">
        <v>0.2250000000000002</v>
      </c>
      <c r="V54" s="5">
        <v>0.80799999999999994</v>
      </c>
      <c r="W54" s="5">
        <v>0.19442536585365844</v>
      </c>
      <c r="X54" s="5">
        <v>0.17918088737201365</v>
      </c>
      <c r="Y54" s="5">
        <v>8.9049693225292312E-3</v>
      </c>
      <c r="Z54" s="5">
        <v>9.4010137990332004E-2</v>
      </c>
      <c r="AA54" s="5">
        <v>1.7000000000000001E-2</v>
      </c>
      <c r="AB54" s="5">
        <v>0.14018808640081232</v>
      </c>
      <c r="AC54" s="5">
        <v>7.7999999999999958E-2</v>
      </c>
      <c r="AD54" s="5">
        <v>0</v>
      </c>
      <c r="AE54" s="5">
        <v>4.3346337234503679E-2</v>
      </c>
      <c r="AF54" s="5">
        <v>0.851843370735058</v>
      </c>
      <c r="AG54" s="134">
        <v>8267.7302346438282</v>
      </c>
      <c r="AH54" s="135">
        <v>9.0201152926259009</v>
      </c>
      <c r="AI54">
        <v>0.80600000000000005</v>
      </c>
      <c r="AJ54" s="136">
        <v>48.980000000000004</v>
      </c>
      <c r="AK54" s="137">
        <v>0.25482828193913759</v>
      </c>
      <c r="AL54" s="138">
        <v>0.31063359516757172</v>
      </c>
      <c r="AM54" s="139">
        <v>-5.5805313228434128E-2</v>
      </c>
      <c r="AN54" s="139">
        <v>0.11410110487548229</v>
      </c>
    </row>
    <row r="55" spans="2:40">
      <c r="B55" s="16" t="s">
        <v>109</v>
      </c>
      <c r="C55" s="15" t="s">
        <v>110</v>
      </c>
      <c r="D55" s="133">
        <v>0.28190083016630801</v>
      </c>
      <c r="E55" s="4">
        <v>0.35543287037037036</v>
      </c>
      <c r="F55" s="4">
        <v>0.18261245371970181</v>
      </c>
      <c r="G55" s="6">
        <v>0.30838884185522392</v>
      </c>
      <c r="H55" s="6">
        <v>0.28116915471993437</v>
      </c>
      <c r="I55" s="5">
        <v>0.49783333333333335</v>
      </c>
      <c r="J55" s="5">
        <v>1</v>
      </c>
      <c r="K55" s="5">
        <v>1.0000000000000009E-2</v>
      </c>
      <c r="L55" s="5">
        <v>0.50743055555555561</v>
      </c>
      <c r="M55" s="5">
        <v>5.7333333333333333E-2</v>
      </c>
      <c r="N55" s="5">
        <v>6.0000000000000053E-2</v>
      </c>
      <c r="O55" s="5">
        <v>9.9999999999999933E-3</v>
      </c>
      <c r="P55" s="5">
        <v>0.57240000000000002</v>
      </c>
      <c r="Q55" s="5">
        <v>0</v>
      </c>
      <c r="R55" s="5">
        <v>8.0210782496603489E-2</v>
      </c>
      <c r="S55" s="5">
        <v>0.36806393982160734</v>
      </c>
      <c r="T55" s="5">
        <v>6.5000000000000002E-2</v>
      </c>
      <c r="U55" s="5">
        <v>0.7833333333333331</v>
      </c>
      <c r="V55" s="5">
        <v>0.60519999999999996</v>
      </c>
      <c r="W55" s="5">
        <v>0.29325024390243892</v>
      </c>
      <c r="X55" s="5">
        <v>8.8474970896391156E-2</v>
      </c>
      <c r="Y55" s="5">
        <v>1.4595680831150655E-2</v>
      </c>
      <c r="Z55" s="5">
        <v>6.5478822168029374E-2</v>
      </c>
      <c r="AA55" s="5">
        <v>3.4000000000000002E-2</v>
      </c>
      <c r="AB55" s="5">
        <v>0.38190865236555704</v>
      </c>
      <c r="AC55" s="5">
        <v>5.9999999999998943E-3</v>
      </c>
      <c r="AD55" s="5">
        <v>0</v>
      </c>
      <c r="AE55" s="5">
        <v>6.0274247827615656E-3</v>
      </c>
      <c r="AF55" s="5">
        <v>0.13109999999999999</v>
      </c>
      <c r="AG55" s="134">
        <v>5672.5516155472915</v>
      </c>
      <c r="AH55" s="135">
        <v>8.6433943158717064</v>
      </c>
      <c r="AI55">
        <v>0.70299999999999996</v>
      </c>
      <c r="AJ55" s="136">
        <v>32.14</v>
      </c>
      <c r="AK55" s="137">
        <v>0.28190083016630763</v>
      </c>
      <c r="AL55" s="138">
        <v>0.3380965543729525</v>
      </c>
      <c r="AM55" s="139">
        <v>-5.619572420664487E-2</v>
      </c>
      <c r="AN55" s="139">
        <v>2.6806353223660733E-3</v>
      </c>
    </row>
    <row r="56" spans="2:40">
      <c r="B56" s="16" t="s">
        <v>111</v>
      </c>
      <c r="C56" s="15" t="s">
        <v>112</v>
      </c>
      <c r="D56" s="133">
        <v>0.32380192047805401</v>
      </c>
      <c r="E56" s="4">
        <v>0.21441146727881275</v>
      </c>
      <c r="F56" s="4">
        <v>0.37384554035586737</v>
      </c>
      <c r="G56" s="6">
        <v>0.30108658824480444</v>
      </c>
      <c r="H56" s="6">
        <v>0.40586408603273272</v>
      </c>
      <c r="I56" s="5">
        <v>0.64274999999999993</v>
      </c>
      <c r="J56" s="5">
        <v>5.4538248117320644E-2</v>
      </c>
      <c r="K56" s="5">
        <v>0.13</v>
      </c>
      <c r="L56" s="5">
        <v>0.27451388888888906</v>
      </c>
      <c r="M56" s="5">
        <v>5.4666666666666669E-2</v>
      </c>
      <c r="N56" s="5">
        <v>0.13</v>
      </c>
      <c r="O56" s="5">
        <v>0.49525000000000002</v>
      </c>
      <c r="P56" s="5">
        <v>0.39</v>
      </c>
      <c r="Q56" s="5">
        <v>0.7125220174703415</v>
      </c>
      <c r="R56" s="5">
        <v>3.785795891863724E-2</v>
      </c>
      <c r="S56" s="5">
        <v>0.57744326574622562</v>
      </c>
      <c r="T56" s="5">
        <v>0.03</v>
      </c>
      <c r="U56" s="5">
        <v>0.31666666666666676</v>
      </c>
      <c r="V56" s="5">
        <v>0.90335999999999994</v>
      </c>
      <c r="W56" s="5">
        <v>0.27079902439024384</v>
      </c>
      <c r="X56" s="5">
        <v>0.16472114137483787</v>
      </c>
      <c r="Y56" s="5">
        <v>7.9434940015617239E-2</v>
      </c>
      <c r="Z56" s="5">
        <v>7.1537757021460938E-2</v>
      </c>
      <c r="AA56" s="5">
        <v>3.7000000000000005E-2</v>
      </c>
      <c r="AB56" s="5">
        <v>2.6220247404828645E-2</v>
      </c>
      <c r="AC56" s="5">
        <v>0.1359999999999999</v>
      </c>
      <c r="AD56" s="5">
        <v>0.59481577304933342</v>
      </c>
      <c r="AE56" s="5">
        <v>0.36196911196911197</v>
      </c>
      <c r="AF56" s="5">
        <v>0.80200000762939494</v>
      </c>
      <c r="AG56" s="134">
        <v>6629.3327203250747</v>
      </c>
      <c r="AH56" s="135">
        <v>8.7992594326133133</v>
      </c>
      <c r="AI56">
        <v>0.747</v>
      </c>
      <c r="AJ56" s="136">
        <v>46.93</v>
      </c>
      <c r="AK56" s="137">
        <v>0.32380192047805434</v>
      </c>
      <c r="AL56" s="138">
        <v>0.32673398736248938</v>
      </c>
      <c r="AM56" s="139">
        <v>-2.9320668844350362E-3</v>
      </c>
      <c r="AN56" s="139">
        <v>0.12299523725524784</v>
      </c>
    </row>
    <row r="57" spans="2:40">
      <c r="B57" s="16" t="s">
        <v>113</v>
      </c>
      <c r="C57" s="15" t="s">
        <v>114</v>
      </c>
      <c r="D57" s="133" t="e">
        <v>#N/A</v>
      </c>
      <c r="E57" s="4">
        <v>0.33781061253561245</v>
      </c>
      <c r="F57" s="4" t="e">
        <v>#N/A</v>
      </c>
      <c r="G57" s="6">
        <v>0.44048595973434584</v>
      </c>
      <c r="H57" s="6" t="e">
        <v>#N/A</v>
      </c>
      <c r="I57" s="5">
        <v>0.43149999999999999</v>
      </c>
      <c r="J57" s="5">
        <v>6.6923076923076918E-4</v>
      </c>
      <c r="K57" s="5">
        <v>0.57000000000000006</v>
      </c>
      <c r="L57" s="5">
        <v>0.1973611111111111</v>
      </c>
      <c r="M57" s="5">
        <v>0.33733333333333332</v>
      </c>
      <c r="N57" s="5">
        <v>0.49</v>
      </c>
      <c r="O57" s="5">
        <v>1</v>
      </c>
      <c r="P57" s="5">
        <v>0.60460000000000003</v>
      </c>
      <c r="Q57" s="5">
        <v>1</v>
      </c>
      <c r="R57" s="5">
        <v>8.9208529710053497E-2</v>
      </c>
      <c r="S57" s="5" t="e">
        <v>#N/A</v>
      </c>
      <c r="T57" s="5">
        <v>0.215</v>
      </c>
      <c r="U57" s="5">
        <v>0.20833333333333315</v>
      </c>
      <c r="V57" s="5">
        <v>0.9456</v>
      </c>
      <c r="W57" s="5">
        <v>0.68770487804878022</v>
      </c>
      <c r="X57" s="5">
        <v>0.42578356002365464</v>
      </c>
      <c r="Y57" s="5">
        <v>3.2392522340459265E-2</v>
      </c>
      <c r="Z57" s="5">
        <v>0.34310146465984792</v>
      </c>
      <c r="AA57" s="5">
        <v>0</v>
      </c>
      <c r="AB57" s="5">
        <v>6.3768804303994731E-2</v>
      </c>
      <c r="AC57" s="5">
        <v>0.73</v>
      </c>
      <c r="AD57" s="5" t="e">
        <v>#N/A</v>
      </c>
      <c r="AE57" s="5">
        <v>0</v>
      </c>
      <c r="AF57" s="5" t="e">
        <v>#N/A</v>
      </c>
      <c r="AG57" s="134">
        <v>31779.133525771082</v>
      </c>
      <c r="AH57" s="135">
        <v>10.366565174954104</v>
      </c>
      <c r="AI57">
        <v>0.71899999999999997</v>
      </c>
      <c r="AJ57" s="136">
        <v>65</v>
      </c>
      <c r="AK57" s="137">
        <v>0.38914828613497915</v>
      </c>
      <c r="AL57" s="138">
        <v>0.2124773987458457</v>
      </c>
      <c r="AM57" s="139">
        <v>0.17667088738913345</v>
      </c>
      <c r="AN57" s="139">
        <v>0</v>
      </c>
    </row>
    <row r="58" spans="2:40">
      <c r="B58" s="16" t="s">
        <v>115</v>
      </c>
      <c r="C58" s="15" t="s">
        <v>116</v>
      </c>
      <c r="D58" s="133">
        <v>0.47552989391164602</v>
      </c>
      <c r="E58" s="4">
        <v>0.39944543650793651</v>
      </c>
      <c r="F58" s="4">
        <v>0.54009183201404432</v>
      </c>
      <c r="G58" s="6">
        <v>0.52498523777216266</v>
      </c>
      <c r="H58" s="6">
        <v>0.43759706935243964</v>
      </c>
      <c r="I58" s="5">
        <v>0.46308333333333329</v>
      </c>
      <c r="J58" s="5">
        <v>9.2380952380952397E-2</v>
      </c>
      <c r="K58" s="5">
        <v>0.39</v>
      </c>
      <c r="L58" s="5">
        <v>0.33854166666666663</v>
      </c>
      <c r="M58" s="5">
        <v>0.25266666666666665</v>
      </c>
      <c r="N58" s="5">
        <v>0.86</v>
      </c>
      <c r="O58" s="5">
        <v>0.45091666666666669</v>
      </c>
      <c r="P58" s="5">
        <v>0.78839999999999999</v>
      </c>
      <c r="Q58" s="5">
        <v>0.98622023809523807</v>
      </c>
      <c r="R58" s="5">
        <v>0.16</v>
      </c>
      <c r="S58" s="5">
        <v>0.28001408732236172</v>
      </c>
      <c r="T58" s="5">
        <v>0.57499999999999996</v>
      </c>
      <c r="U58" s="5">
        <v>0.40833333333333333</v>
      </c>
      <c r="V58" s="5">
        <v>0.9516</v>
      </c>
      <c r="W58" s="5">
        <v>0.50294097560975581</v>
      </c>
      <c r="X58" s="5">
        <v>0.28450704225352114</v>
      </c>
      <c r="Y58" s="5">
        <v>0.65612808890458074</v>
      </c>
      <c r="Z58" s="5">
        <v>0.34640198653178489</v>
      </c>
      <c r="AA58" s="5">
        <v>3.6000000000000004E-2</v>
      </c>
      <c r="AB58" s="5">
        <v>1.666137315851807E-2</v>
      </c>
      <c r="AC58" s="5">
        <v>0.67999999999999994</v>
      </c>
      <c r="AD58" s="5">
        <v>0.19823788546255508</v>
      </c>
      <c r="AE58" s="5">
        <v>1.4851485148514851E-2</v>
      </c>
      <c r="AF58" s="5">
        <v>0.78200000762939503</v>
      </c>
      <c r="AG58" s="134">
        <v>580.51918314802379</v>
      </c>
      <c r="AH58" s="135">
        <v>6.3639228464972373</v>
      </c>
      <c r="AI58">
        <v>0.47199999999999998</v>
      </c>
      <c r="AJ58" s="136" t="e">
        <v>#N/A</v>
      </c>
      <c r="AK58" s="137">
        <v>0.4755298939116458</v>
      </c>
      <c r="AL58" s="138">
        <v>0.5042700244903513</v>
      </c>
      <c r="AM58" s="139">
        <v>-2.8740130578705503E-2</v>
      </c>
      <c r="AN58" s="139">
        <v>1.3394724041159962</v>
      </c>
    </row>
    <row r="59" spans="2:40">
      <c r="B59" s="16" t="s">
        <v>117</v>
      </c>
      <c r="C59" s="15" t="s">
        <v>118</v>
      </c>
      <c r="D59" s="133">
        <v>0.24381805596636599</v>
      </c>
      <c r="E59" s="4">
        <v>0.22504077218319019</v>
      </c>
      <c r="F59" s="4">
        <v>0.25352753275384926</v>
      </c>
      <c r="G59" s="6">
        <v>0.24509738211443868</v>
      </c>
      <c r="H59" s="6">
        <v>0.25160653681398709</v>
      </c>
      <c r="I59" s="5">
        <v>0.36066666666666669</v>
      </c>
      <c r="J59" s="5">
        <v>0.14020296643247462</v>
      </c>
      <c r="K59" s="5">
        <v>2.0000000000000018E-2</v>
      </c>
      <c r="L59" s="5">
        <v>0.77937499999999971</v>
      </c>
      <c r="M59" s="5">
        <v>0</v>
      </c>
      <c r="N59" s="5">
        <v>5.0000000000000044E-2</v>
      </c>
      <c r="O59" s="5">
        <v>0.27966666666666667</v>
      </c>
      <c r="P59" s="5">
        <v>0.30504829108516107</v>
      </c>
      <c r="Q59" s="5">
        <v>0.33278428093650003</v>
      </c>
      <c r="R59" s="5">
        <v>0.44969237809577478</v>
      </c>
      <c r="S59" s="5">
        <v>0.15397357973899287</v>
      </c>
      <c r="T59" s="5">
        <v>0</v>
      </c>
      <c r="U59" s="5">
        <v>0.87499999999999967</v>
      </c>
      <c r="V59" s="5">
        <v>0.31803999999999999</v>
      </c>
      <c r="W59" s="5">
        <v>0.20351219512195118</v>
      </c>
      <c r="X59" s="5">
        <v>3.0434782608695653E-2</v>
      </c>
      <c r="Y59" s="5">
        <v>3.8860932545325459E-2</v>
      </c>
      <c r="Z59" s="5">
        <v>4.7363824106601863E-3</v>
      </c>
      <c r="AA59" s="5">
        <v>2.6000000000000002E-2</v>
      </c>
      <c r="AB59" s="5">
        <v>0.11618123025599231</v>
      </c>
      <c r="AC59" s="5">
        <v>0</v>
      </c>
      <c r="AD59" s="5">
        <v>0.22085202810451207</v>
      </c>
      <c r="AE59" s="5">
        <v>0</v>
      </c>
      <c r="AF59" s="5">
        <v>0.712254885067374</v>
      </c>
      <c r="AG59" s="134">
        <v>19693.472359627653</v>
      </c>
      <c r="AH59" s="135">
        <v>9.8880425075136102</v>
      </c>
      <c r="AI59">
        <v>0.88300000000000001</v>
      </c>
      <c r="AJ59" s="136">
        <v>36</v>
      </c>
      <c r="AK59" s="137">
        <v>0.2438180559663663</v>
      </c>
      <c r="AL59" s="138">
        <v>0.24736170120225764</v>
      </c>
      <c r="AM59" s="139">
        <v>-3.5436452358913462E-3</v>
      </c>
      <c r="AN59" s="139">
        <v>7.123098201936377E-5</v>
      </c>
    </row>
    <row r="60" spans="2:40">
      <c r="B60" s="16" t="s">
        <v>119</v>
      </c>
      <c r="C60" s="15" t="s">
        <v>120</v>
      </c>
      <c r="D60" s="133">
        <v>0.52008440963978297</v>
      </c>
      <c r="E60" s="4">
        <v>0.42757437765634493</v>
      </c>
      <c r="F60" s="4">
        <v>0.53159485753813873</v>
      </c>
      <c r="G60" s="6">
        <v>0.5675570800523716</v>
      </c>
      <c r="H60" s="6">
        <v>0.55361132331227836</v>
      </c>
      <c r="I60" s="5">
        <v>0.26016666666666666</v>
      </c>
      <c r="J60" s="5">
        <v>4.555737704918033E-2</v>
      </c>
      <c r="K60" s="5">
        <v>0.62</v>
      </c>
      <c r="L60" s="5">
        <v>0.28972222222222244</v>
      </c>
      <c r="M60" s="5">
        <v>0.47</v>
      </c>
      <c r="N60" s="5">
        <v>0.88</v>
      </c>
      <c r="O60" s="5">
        <v>0.60066666666666668</v>
      </c>
      <c r="P60" s="5">
        <v>0.82699999999999985</v>
      </c>
      <c r="Q60" s="5">
        <v>0.98639553777694022</v>
      </c>
      <c r="R60" s="5">
        <v>0.16390646703026981</v>
      </c>
      <c r="S60" s="5">
        <v>5.660047375495568E-2</v>
      </c>
      <c r="T60" s="5">
        <v>0.55499999999999994</v>
      </c>
      <c r="U60" s="5">
        <v>0.40833333333333333</v>
      </c>
      <c r="V60" s="5">
        <v>0.97992000000000001</v>
      </c>
      <c r="W60" s="5">
        <v>0.58687853658536582</v>
      </c>
      <c r="X60" s="5">
        <v>0.40896199659671018</v>
      </c>
      <c r="Y60" s="5">
        <v>0.39474224540988695</v>
      </c>
      <c r="Z60" s="5">
        <v>0.62650636838893303</v>
      </c>
      <c r="AA60" s="5">
        <v>6.9999999999999993E-3</v>
      </c>
      <c r="AB60" s="5">
        <v>0</v>
      </c>
      <c r="AC60" s="5">
        <v>0.84699999999999998</v>
      </c>
      <c r="AD60" s="5">
        <v>0.88117799300666466</v>
      </c>
      <c r="AE60" s="5">
        <v>0.03</v>
      </c>
      <c r="AF60" s="5">
        <v>0.86325210216641501</v>
      </c>
      <c r="AG60" s="134">
        <v>934.40319272775969</v>
      </c>
      <c r="AH60" s="135">
        <v>6.839908028942868</v>
      </c>
      <c r="AI60">
        <v>0.41399999999999998</v>
      </c>
      <c r="AJ60" s="136">
        <v>29.76</v>
      </c>
      <c r="AK60" s="137">
        <v>0.52008440963978342</v>
      </c>
      <c r="AL60" s="138">
        <v>0.46957070469006484</v>
      </c>
      <c r="AM60" s="139">
        <v>5.0513704949718574E-2</v>
      </c>
      <c r="AN60" s="139">
        <v>1.5968875307328811</v>
      </c>
    </row>
    <row r="61" spans="2:40">
      <c r="B61" s="16" t="s">
        <v>121</v>
      </c>
      <c r="C61" s="15" t="s">
        <v>122</v>
      </c>
      <c r="D61" s="133">
        <v>0.311456405579146</v>
      </c>
      <c r="E61" s="4" t="e">
        <v>#N/A</v>
      </c>
      <c r="F61" s="4">
        <v>0.41369308484024164</v>
      </c>
      <c r="G61" s="6">
        <v>0.35591706719406541</v>
      </c>
      <c r="H61" s="6">
        <v>0.31308112183575743</v>
      </c>
      <c r="I61" s="5">
        <v>0.41333333333333333</v>
      </c>
      <c r="J61" s="5">
        <v>2.8616462346760067E-3</v>
      </c>
      <c r="K61" s="5" t="e">
        <v>#N/A</v>
      </c>
      <c r="L61" s="5">
        <v>6.5277777777777601E-2</v>
      </c>
      <c r="M61" s="5">
        <v>7.3333333333333332E-3</v>
      </c>
      <c r="N61" s="5" t="e">
        <v>#N/A</v>
      </c>
      <c r="O61" s="5">
        <v>0.44466666666666665</v>
      </c>
      <c r="P61" s="5">
        <v>0.47119999999999995</v>
      </c>
      <c r="Q61" s="5">
        <v>0.42227450980399994</v>
      </c>
      <c r="R61" s="5">
        <v>0.10401733257078329</v>
      </c>
      <c r="S61" s="5">
        <v>1</v>
      </c>
      <c r="T61" s="5">
        <v>0.04</v>
      </c>
      <c r="U61" s="5">
        <v>0.76666666666666661</v>
      </c>
      <c r="V61" s="5">
        <v>0.82348399999999999</v>
      </c>
      <c r="W61" s="5">
        <v>0.31913073170731676</v>
      </c>
      <c r="X61" s="5">
        <v>0.17418677859391396</v>
      </c>
      <c r="Y61" s="5">
        <v>3.330565550327521E-2</v>
      </c>
      <c r="Z61" s="5">
        <v>1.8728570693219704E-2</v>
      </c>
      <c r="AA61" s="5">
        <v>0.114</v>
      </c>
      <c r="AB61" s="5">
        <v>0.17561645949779828</v>
      </c>
      <c r="AC61" s="5">
        <v>0.4</v>
      </c>
      <c r="AD61" s="5">
        <v>0</v>
      </c>
      <c r="AE61" s="5">
        <v>0.16420361247947454</v>
      </c>
      <c r="AF61" s="5">
        <v>0.50799999237060489</v>
      </c>
      <c r="AG61" s="134">
        <v>4526.17584568251</v>
      </c>
      <c r="AH61" s="135">
        <v>8.4176326777769095</v>
      </c>
      <c r="AI61">
        <v>0.74099999999999999</v>
      </c>
      <c r="AJ61" s="136" t="e">
        <v>#N/A</v>
      </c>
      <c r="AK61" s="137">
        <v>0.36089709129002151</v>
      </c>
      <c r="AL61" s="138">
        <v>0.35455457779006316</v>
      </c>
      <c r="AM61" s="139">
        <v>6.3425134999583466E-3</v>
      </c>
      <c r="AN61" s="139">
        <v>1.4294401041666667</v>
      </c>
    </row>
    <row r="62" spans="2:40">
      <c r="B62" s="16" t="s">
        <v>123</v>
      </c>
      <c r="C62" s="15" t="s">
        <v>124</v>
      </c>
      <c r="D62" s="133">
        <v>0.15351920809675801</v>
      </c>
      <c r="E62" s="4">
        <v>0.18651809764309768</v>
      </c>
      <c r="F62" s="4">
        <v>0.1547385953826815</v>
      </c>
      <c r="G62" s="6">
        <v>3.337500498523651E-2</v>
      </c>
      <c r="H62" s="6">
        <v>0.23944513437601467</v>
      </c>
      <c r="I62" s="5">
        <v>0.27333333333333332</v>
      </c>
      <c r="J62" s="5">
        <v>2.0636363636363633E-2</v>
      </c>
      <c r="K62" s="5">
        <v>0</v>
      </c>
      <c r="L62" s="5">
        <v>0.82513888888888909</v>
      </c>
      <c r="M62" s="5">
        <v>0</v>
      </c>
      <c r="N62" s="5">
        <v>0</v>
      </c>
      <c r="O62" s="5">
        <v>1.5499999999999995E-2</v>
      </c>
      <c r="P62" s="5">
        <v>0.36398623753365134</v>
      </c>
      <c r="Q62" s="5">
        <v>0.27630532771749994</v>
      </c>
      <c r="R62" s="5">
        <v>0.19027169401412841</v>
      </c>
      <c r="S62" s="5">
        <v>8.236831303080934E-2</v>
      </c>
      <c r="T62" s="5">
        <v>0</v>
      </c>
      <c r="U62" s="5">
        <v>6.6666666666666541E-2</v>
      </c>
      <c r="V62" s="5">
        <v>0</v>
      </c>
      <c r="W62" s="5">
        <v>0.10560975609756074</v>
      </c>
      <c r="X62" s="5">
        <v>2.4663677130044841E-2</v>
      </c>
      <c r="Y62" s="5">
        <v>0</v>
      </c>
      <c r="Z62" s="5">
        <v>3.3099300171469388E-3</v>
      </c>
      <c r="AA62" s="5">
        <v>9.0000000000000011E-3</v>
      </c>
      <c r="AB62" s="5">
        <v>4.2678871958731983E-2</v>
      </c>
      <c r="AC62" s="5">
        <v>0</v>
      </c>
      <c r="AD62" s="5">
        <v>0.59001646911554995</v>
      </c>
      <c r="AE62" s="5">
        <v>0</v>
      </c>
      <c r="AF62" s="5">
        <v>0.34530000000000005</v>
      </c>
      <c r="AG62" s="134">
        <v>35265.393395200968</v>
      </c>
      <c r="AH62" s="135">
        <v>10.470657404980624</v>
      </c>
      <c r="AI62">
        <v>0.95899999999999996</v>
      </c>
      <c r="AJ62" s="136">
        <v>26.88</v>
      </c>
      <c r="AK62" s="137">
        <v>0.15351920809675759</v>
      </c>
      <c r="AL62" s="138">
        <v>0.20488907517691235</v>
      </c>
      <c r="AM62" s="139">
        <v>-5.1369867080154757E-2</v>
      </c>
      <c r="AN62" s="139">
        <v>7.8308535630383712E-5</v>
      </c>
    </row>
    <row r="63" spans="2:40">
      <c r="B63" s="16" t="s">
        <v>125</v>
      </c>
      <c r="C63" s="15" t="s">
        <v>126</v>
      </c>
      <c r="D63" s="133">
        <v>0.150224704589211</v>
      </c>
      <c r="E63" s="4">
        <v>0.1968085505529226</v>
      </c>
      <c r="F63" s="4">
        <v>0.15915110402970647</v>
      </c>
      <c r="G63" s="6">
        <v>5.8661666255934324E-2</v>
      </c>
      <c r="H63" s="6">
        <v>0.18627749751827868</v>
      </c>
      <c r="I63" s="5">
        <v>0.55483333333333329</v>
      </c>
      <c r="J63" s="5">
        <v>0.15497630331753556</v>
      </c>
      <c r="K63" s="5">
        <v>0</v>
      </c>
      <c r="L63" s="5">
        <v>0.47104166666666669</v>
      </c>
      <c r="M63" s="5">
        <v>0</v>
      </c>
      <c r="N63" s="5">
        <v>0</v>
      </c>
      <c r="O63" s="5">
        <v>0.25958333333333333</v>
      </c>
      <c r="P63" s="5">
        <v>0.22420632699016296</v>
      </c>
      <c r="Q63" s="5">
        <v>0.25646876213933334</v>
      </c>
      <c r="R63" s="5">
        <v>0.1083820591520766</v>
      </c>
      <c r="S63" s="5">
        <v>0.10626614256333251</v>
      </c>
      <c r="T63" s="5">
        <v>0</v>
      </c>
      <c r="U63" s="5">
        <v>6.6666666666666541E-2</v>
      </c>
      <c r="V63" s="5">
        <v>0.14491999999999994</v>
      </c>
      <c r="W63" s="5">
        <v>7.8634146341463262E-2</v>
      </c>
      <c r="X63" s="5">
        <v>5.793450881612091E-2</v>
      </c>
      <c r="Y63" s="5">
        <v>0</v>
      </c>
      <c r="Z63" s="5">
        <v>3.8146757113553071E-3</v>
      </c>
      <c r="AA63" s="5">
        <v>1.9E-2</v>
      </c>
      <c r="AB63" s="5">
        <v>4.7248629961729981E-2</v>
      </c>
      <c r="AC63" s="5">
        <v>0</v>
      </c>
      <c r="AD63" s="5">
        <v>0.54475913660255437</v>
      </c>
      <c r="AE63" s="5">
        <v>6.8473140269510277E-2</v>
      </c>
      <c r="AF63" s="5">
        <v>0</v>
      </c>
      <c r="AG63" s="134">
        <v>33674.387796961586</v>
      </c>
      <c r="AH63" s="135">
        <v>10.424492821364582</v>
      </c>
      <c r="AI63">
        <v>0.96099999999999997</v>
      </c>
      <c r="AJ63" s="136">
        <v>32.74</v>
      </c>
      <c r="AK63" s="137">
        <v>0.15022470458921053</v>
      </c>
      <c r="AL63" s="138">
        <v>0.20825447332252178</v>
      </c>
      <c r="AM63" s="139">
        <v>-5.8029768733311254E-2</v>
      </c>
      <c r="AN63" s="139">
        <v>6.202098419305458E-2</v>
      </c>
    </row>
    <row r="64" spans="2:40">
      <c r="B64" s="16" t="s">
        <v>127</v>
      </c>
      <c r="C64" s="15" t="s">
        <v>128</v>
      </c>
      <c r="D64" s="133">
        <v>0.36951361571157598</v>
      </c>
      <c r="E64" s="4">
        <v>0.26095618789521224</v>
      </c>
      <c r="F64" s="4">
        <v>0.50310089076723852</v>
      </c>
      <c r="G64" s="6">
        <v>0.32368082188965247</v>
      </c>
      <c r="H64" s="6">
        <v>0.28026928794932615</v>
      </c>
      <c r="I64" s="5">
        <v>0.48083333333333333</v>
      </c>
      <c r="J64" s="5">
        <v>7.9268292682926835E-4</v>
      </c>
      <c r="K64" s="5">
        <v>0.13</v>
      </c>
      <c r="L64" s="5">
        <v>0.21611111111111103</v>
      </c>
      <c r="M64" s="5">
        <v>6.8000000000000005E-2</v>
      </c>
      <c r="N64" s="5">
        <v>0.66999999999999993</v>
      </c>
      <c r="O64" s="5">
        <v>1</v>
      </c>
      <c r="P64" s="5">
        <v>0.14479999999999996</v>
      </c>
      <c r="Q64" s="5">
        <v>0.9765641025641667</v>
      </c>
      <c r="R64" s="5">
        <v>5.7982069203336546E-2</v>
      </c>
      <c r="S64" s="5">
        <v>0.7342591728359279</v>
      </c>
      <c r="T64" s="5">
        <v>0.10500000000000001</v>
      </c>
      <c r="U64" s="5">
        <v>0.20833333333333315</v>
      </c>
      <c r="V64" s="5">
        <v>0.58679999999999999</v>
      </c>
      <c r="W64" s="5">
        <v>0.48263999999999985</v>
      </c>
      <c r="X64" s="5">
        <v>0.42346542346542349</v>
      </c>
      <c r="Y64" s="5">
        <v>1.7125654704053112E-2</v>
      </c>
      <c r="Z64" s="5">
        <v>0.22372051983510541</v>
      </c>
      <c r="AA64" s="5">
        <v>3.5000000000000003E-2</v>
      </c>
      <c r="AB64" s="5">
        <v>0.14052803853743287</v>
      </c>
      <c r="AC64" s="5">
        <v>0.63300000000000001</v>
      </c>
      <c r="AD64" s="5">
        <v>0</v>
      </c>
      <c r="AE64" s="5">
        <v>0</v>
      </c>
      <c r="AF64" s="5">
        <v>0.89789999961852995</v>
      </c>
      <c r="AG64" s="134">
        <v>14419.225043651757</v>
      </c>
      <c r="AH64" s="135">
        <v>9.5763176676230763</v>
      </c>
      <c r="AI64">
        <v>0.755</v>
      </c>
      <c r="AJ64" s="136">
        <v>41.45</v>
      </c>
      <c r="AK64" s="137">
        <v>0.34200179712535739</v>
      </c>
      <c r="AL64" s="138">
        <v>0.27008644203027765</v>
      </c>
      <c r="AM64" s="139">
        <v>7.1915355095079736E-2</v>
      </c>
      <c r="AN64" s="139">
        <v>9.017132551848512E-3</v>
      </c>
    </row>
    <row r="65" spans="2:40">
      <c r="B65" s="16" t="s">
        <v>129</v>
      </c>
      <c r="C65" s="15" t="s">
        <v>130</v>
      </c>
      <c r="D65" s="133">
        <v>0.44030555878772498</v>
      </c>
      <c r="E65" s="4">
        <v>0.25509421296296297</v>
      </c>
      <c r="F65" s="4">
        <v>0.46819150668962117</v>
      </c>
      <c r="G65" s="6">
        <v>0.48478004139308428</v>
      </c>
      <c r="H65" s="6">
        <v>0.5531564741052325</v>
      </c>
      <c r="I65" s="5">
        <v>0.61716666666666664</v>
      </c>
      <c r="J65" s="5">
        <v>8.9125000000000003E-3</v>
      </c>
      <c r="K65" s="5">
        <v>7.999999999999996E-2</v>
      </c>
      <c r="L65" s="5">
        <v>0.30381944444444442</v>
      </c>
      <c r="M65" s="5">
        <v>0.19066666666666668</v>
      </c>
      <c r="N65" s="5">
        <v>0.32999999999999996</v>
      </c>
      <c r="O65" s="5">
        <v>0.62008333333333332</v>
      </c>
      <c r="P65" s="5">
        <v>0.4274</v>
      </c>
      <c r="Q65" s="5">
        <v>0.99172704483604746</v>
      </c>
      <c r="R65" s="5">
        <v>9.1236890246950059E-2</v>
      </c>
      <c r="S65" s="5">
        <v>0.48370177172139622</v>
      </c>
      <c r="T65" s="5">
        <v>0.19500000000000001</v>
      </c>
      <c r="U65" s="5">
        <v>0.20833333333333315</v>
      </c>
      <c r="V65" s="5">
        <v>0.95287999999999995</v>
      </c>
      <c r="W65" s="5">
        <v>0.57515365853658529</v>
      </c>
      <c r="X65" s="5">
        <v>0.39414414414414417</v>
      </c>
      <c r="Y65" s="5">
        <v>0.26279000433483357</v>
      </c>
      <c r="Z65" s="5">
        <v>0.51537910800960973</v>
      </c>
      <c r="AA65" s="5">
        <v>0.21</v>
      </c>
      <c r="AB65" s="5">
        <v>0.37547217491297019</v>
      </c>
      <c r="AC65" s="5">
        <v>0.91700000000000004</v>
      </c>
      <c r="AD65" s="5" t="e">
        <v>#N/A</v>
      </c>
      <c r="AE65" s="5">
        <v>0.45</v>
      </c>
      <c r="AF65" s="5">
        <v>0.80680000305175803</v>
      </c>
      <c r="AG65" s="134">
        <v>1414.6045407585227</v>
      </c>
      <c r="AH65" s="135">
        <v>7.2546052945207604</v>
      </c>
      <c r="AI65">
        <v>0.45600000000000002</v>
      </c>
      <c r="AJ65" s="136">
        <v>47.28</v>
      </c>
      <c r="AK65" s="137">
        <v>0.44030555878772526</v>
      </c>
      <c r="AL65" s="138">
        <v>0.43933927402943651</v>
      </c>
      <c r="AM65" s="139">
        <v>9.6628475828874905E-4</v>
      </c>
      <c r="AN65" s="139">
        <v>0.49365112107623321</v>
      </c>
    </row>
    <row r="66" spans="2:40">
      <c r="B66" s="16" t="s">
        <v>131</v>
      </c>
      <c r="C66" s="15" t="s">
        <v>132</v>
      </c>
      <c r="D66" s="133">
        <v>0.26806604639616499</v>
      </c>
      <c r="E66" s="4">
        <v>0.24856231029703316</v>
      </c>
      <c r="F66" s="4">
        <v>0.34451418449084387</v>
      </c>
      <c r="G66" s="6">
        <v>0.16942155284608484</v>
      </c>
      <c r="H66" s="6">
        <v>0.3097661379506968</v>
      </c>
      <c r="I66" s="5">
        <v>0.67783333333333329</v>
      </c>
      <c r="J66" s="5">
        <v>2.5596084004421281E-2</v>
      </c>
      <c r="K66" s="5">
        <v>2.0000000000000018E-2</v>
      </c>
      <c r="L66" s="5">
        <v>0.6052777777777778</v>
      </c>
      <c r="M66" s="5">
        <v>0.11266666666666666</v>
      </c>
      <c r="N66" s="5">
        <v>5.0000000000000044E-2</v>
      </c>
      <c r="O66" s="5">
        <v>0.27966666666666667</v>
      </c>
      <c r="P66" s="5">
        <v>0.4718</v>
      </c>
      <c r="Q66" s="5">
        <v>0.43820512820516666</v>
      </c>
      <c r="R66" s="5">
        <v>0.1200462889980982</v>
      </c>
      <c r="S66" s="5">
        <v>0.74236702307513136</v>
      </c>
      <c r="T66" s="5">
        <v>1.4999999999999999E-2</v>
      </c>
      <c r="U66" s="5">
        <v>7.5000000000000067E-2</v>
      </c>
      <c r="V66" s="5">
        <v>0.50727999999999995</v>
      </c>
      <c r="W66" s="5">
        <v>0.26632097560975576</v>
      </c>
      <c r="X66" s="5">
        <v>9.1370558375634514E-2</v>
      </c>
      <c r="Y66" s="5">
        <v>5.7715774545694404E-2</v>
      </c>
      <c r="Z66" s="5">
        <v>1.8842008545424394E-2</v>
      </c>
      <c r="AA66" s="5">
        <v>6.0000000000000001E-3</v>
      </c>
      <c r="AB66" s="5">
        <v>6.2409597162269417E-2</v>
      </c>
      <c r="AC66" s="5">
        <v>0</v>
      </c>
      <c r="AD66" s="5">
        <v>0.94538502309201267</v>
      </c>
      <c r="AE66" s="5">
        <v>4.3171679378327818E-2</v>
      </c>
      <c r="AF66" s="5">
        <v>5.9324118254709957E-2</v>
      </c>
      <c r="AG66" s="134">
        <v>4774.1108655255821</v>
      </c>
      <c r="AH66" s="135">
        <v>8.4709630294036558</v>
      </c>
      <c r="AI66">
        <v>0.77800000000000002</v>
      </c>
      <c r="AJ66" s="136">
        <v>41.339999999999996</v>
      </c>
      <c r="AK66" s="137">
        <v>0.26806604639616466</v>
      </c>
      <c r="AL66" s="138">
        <v>0.35066679515647337</v>
      </c>
      <c r="AM66" s="139">
        <v>-8.2600748760308706E-2</v>
      </c>
      <c r="AN66" s="139">
        <v>0.2285108370702541</v>
      </c>
    </row>
    <row r="67" spans="2:40">
      <c r="B67" s="16" t="s">
        <v>133</v>
      </c>
      <c r="C67" s="15" t="s">
        <v>134</v>
      </c>
      <c r="D67" s="133">
        <v>0.148824146103294</v>
      </c>
      <c r="E67" s="4">
        <v>0.19407151875901874</v>
      </c>
      <c r="F67" s="4">
        <v>0.17749187753296328</v>
      </c>
      <c r="G67" s="6">
        <v>3.6319445764820081E-2</v>
      </c>
      <c r="H67" s="6">
        <v>0.18741374235637312</v>
      </c>
      <c r="I67" s="5">
        <v>0.41249999999999998</v>
      </c>
      <c r="J67" s="5">
        <v>0.25422077922077924</v>
      </c>
      <c r="K67" s="5">
        <v>0</v>
      </c>
      <c r="L67" s="5">
        <v>0.4977083333333332</v>
      </c>
      <c r="M67" s="5">
        <v>0</v>
      </c>
      <c r="N67" s="5">
        <v>0</v>
      </c>
      <c r="O67" s="5">
        <v>0.20691666666666667</v>
      </c>
      <c r="P67" s="5">
        <v>0.26303796714967087</v>
      </c>
      <c r="Q67" s="5">
        <v>0.23265440375433333</v>
      </c>
      <c r="R67" s="5">
        <v>0.13784919514833946</v>
      </c>
      <c r="S67" s="5">
        <v>0.22449303247876939</v>
      </c>
      <c r="T67" s="5">
        <v>0</v>
      </c>
      <c r="U67" s="5">
        <v>6.6666666666666541E-2</v>
      </c>
      <c r="V67" s="5">
        <v>0</v>
      </c>
      <c r="W67" s="5">
        <v>0.10126829268292648</v>
      </c>
      <c r="X67" s="5">
        <v>4.7727272727272729E-2</v>
      </c>
      <c r="Y67" s="5">
        <v>0</v>
      </c>
      <c r="Z67" s="5">
        <v>2.2544425120547321E-3</v>
      </c>
      <c r="AA67" s="5">
        <v>4.2999999999999997E-2</v>
      </c>
      <c r="AB67" s="5">
        <v>5.6247942458081616E-2</v>
      </c>
      <c r="AC67" s="5">
        <v>0</v>
      </c>
      <c r="AD67" s="5">
        <v>0.60960468794671085</v>
      </c>
      <c r="AE67" s="5">
        <v>3.0105800384207355E-2</v>
      </c>
      <c r="AF67" s="5">
        <v>0</v>
      </c>
      <c r="AG67" s="134">
        <v>36337.692465078457</v>
      </c>
      <c r="AH67" s="135">
        <v>10.50061084144969</v>
      </c>
      <c r="AI67">
        <v>0.94699999999999995</v>
      </c>
      <c r="AJ67" s="136">
        <v>28.31</v>
      </c>
      <c r="AK67" s="137">
        <v>0.14882414610329381</v>
      </c>
      <c r="AL67" s="138">
        <v>0.20270546965831748</v>
      </c>
      <c r="AM67" s="139">
        <v>-5.3881323555023675E-2</v>
      </c>
      <c r="AN67" s="139">
        <v>7.1290701803798633E-3</v>
      </c>
    </row>
    <row r="68" spans="2:40">
      <c r="B68" s="16" t="s">
        <v>135</v>
      </c>
      <c r="C68" s="15" t="s">
        <v>136</v>
      </c>
      <c r="D68" s="133">
        <v>0.40562279086047498</v>
      </c>
      <c r="E68" s="4">
        <v>0.295838015176831</v>
      </c>
      <c r="F68" s="4">
        <v>0.39908348063677751</v>
      </c>
      <c r="G68" s="6">
        <v>0.44352069501483654</v>
      </c>
      <c r="H68" s="6">
        <v>0.48404897261345514</v>
      </c>
      <c r="I68" s="5">
        <v>0.26666666666666672</v>
      </c>
      <c r="J68" s="5">
        <v>1.8458646616541351E-2</v>
      </c>
      <c r="K68" s="5">
        <v>0.18000000000000005</v>
      </c>
      <c r="L68" s="5">
        <v>0.28923611111111136</v>
      </c>
      <c r="M68" s="5">
        <v>0.15066666666666667</v>
      </c>
      <c r="N68" s="5">
        <v>0.87</v>
      </c>
      <c r="O68" s="5">
        <v>0.36075000000000002</v>
      </c>
      <c r="P68" s="5">
        <v>0.49240000000000012</v>
      </c>
      <c r="Q68" s="5">
        <v>0.98174962121216669</v>
      </c>
      <c r="R68" s="5">
        <v>6.6333866796625701E-2</v>
      </c>
      <c r="S68" s="5">
        <v>0.33326739581187237</v>
      </c>
      <c r="T68" s="5">
        <v>0.16</v>
      </c>
      <c r="U68" s="5">
        <v>0.20833333333333315</v>
      </c>
      <c r="V68" s="5">
        <v>0.91259999999999997</v>
      </c>
      <c r="W68" s="5">
        <v>0.5636575609756096</v>
      </c>
      <c r="X68" s="5">
        <v>0.43120567375886526</v>
      </c>
      <c r="Y68" s="5">
        <v>0.16788410981944557</v>
      </c>
      <c r="Z68" s="5">
        <v>0.37744349220176615</v>
      </c>
      <c r="AA68" s="5">
        <v>0</v>
      </c>
      <c r="AB68" s="5">
        <v>3.6769619731843672E-2</v>
      </c>
      <c r="AC68" s="5">
        <v>0.45999999999999996</v>
      </c>
      <c r="AD68" s="5">
        <v>0.81230392693074305</v>
      </c>
      <c r="AE68" s="5">
        <v>3.2961237584600511E-2</v>
      </c>
      <c r="AF68" s="5">
        <v>0.85069706916809096</v>
      </c>
      <c r="AG68" s="134">
        <v>1552.3969142870731</v>
      </c>
      <c r="AH68" s="135">
        <v>7.3475554117879787</v>
      </c>
      <c r="AI68">
        <v>0.52600000000000002</v>
      </c>
      <c r="AJ68" s="136">
        <v>42.76</v>
      </c>
      <c r="AK68" s="137">
        <v>0.40562279086047504</v>
      </c>
      <c r="AL68" s="138">
        <v>0.43256321048065627</v>
      </c>
      <c r="AM68" s="139">
        <v>-2.6940419620181233E-2</v>
      </c>
      <c r="AN68" s="139">
        <v>0.78124654483152489</v>
      </c>
    </row>
    <row r="69" spans="2:40">
      <c r="B69" s="16" t="s">
        <v>137</v>
      </c>
      <c r="C69" s="15" t="s">
        <v>138</v>
      </c>
      <c r="D69" s="133">
        <v>0.198633318084666</v>
      </c>
      <c r="E69" s="4">
        <v>0.24627672558922561</v>
      </c>
      <c r="F69" s="4">
        <v>0.22600309264012899</v>
      </c>
      <c r="G69" s="6">
        <v>0.11428958354783481</v>
      </c>
      <c r="H69" s="6">
        <v>0.20796387056147383</v>
      </c>
      <c r="I69" s="5">
        <v>0.876</v>
      </c>
      <c r="J69" s="5">
        <v>0.13353535353535353</v>
      </c>
      <c r="K69" s="5">
        <v>0</v>
      </c>
      <c r="L69" s="5">
        <v>0.448125</v>
      </c>
      <c r="M69" s="5">
        <v>0</v>
      </c>
      <c r="N69" s="5">
        <v>2.0000000000000018E-2</v>
      </c>
      <c r="O69" s="5">
        <v>0.27483333333333337</v>
      </c>
      <c r="P69" s="5">
        <v>0.38794180258051297</v>
      </c>
      <c r="Q69" s="5">
        <v>0.26028730158733338</v>
      </c>
      <c r="R69" s="5">
        <v>6.2089506668115725E-2</v>
      </c>
      <c r="S69" s="5">
        <v>0.37086661167147872</v>
      </c>
      <c r="T69" s="5">
        <v>0</v>
      </c>
      <c r="U69" s="5">
        <v>6.6666666666666541E-2</v>
      </c>
      <c r="V69" s="5">
        <v>0.46548</v>
      </c>
      <c r="W69" s="5">
        <v>9.6243902439024365E-2</v>
      </c>
      <c r="X69" s="5">
        <v>5.6561085972850679E-2</v>
      </c>
      <c r="Y69" s="5">
        <v>0</v>
      </c>
      <c r="Z69" s="5">
        <v>7.8584620846718892E-4</v>
      </c>
      <c r="AA69" s="5">
        <v>4.4999999999999998E-2</v>
      </c>
      <c r="AB69" s="5">
        <v>8.6387275857641999E-2</v>
      </c>
      <c r="AC69" s="5">
        <v>0</v>
      </c>
      <c r="AD69" s="5">
        <v>0.69283311084308519</v>
      </c>
      <c r="AE69" s="5">
        <v>0.15128006206361522</v>
      </c>
      <c r="AF69" s="5">
        <v>8.1999969482422053E-2</v>
      </c>
      <c r="AG69" s="134">
        <v>29617.386838750543</v>
      </c>
      <c r="AH69" s="135">
        <v>10.296116861065324</v>
      </c>
      <c r="AI69">
        <v>0.94199999999999995</v>
      </c>
      <c r="AJ69" s="136">
        <v>34.265999999999998</v>
      </c>
      <c r="AK69" s="137">
        <v>0.19863331808466581</v>
      </c>
      <c r="AL69" s="138">
        <v>0.21761308082833775</v>
      </c>
      <c r="AM69" s="139">
        <v>-1.8979762743671941E-2</v>
      </c>
      <c r="AN69" s="139">
        <v>1.2794145781519035E-3</v>
      </c>
    </row>
    <row r="70" spans="2:40">
      <c r="B70" s="16" t="s">
        <v>139</v>
      </c>
      <c r="C70" s="15" t="s">
        <v>140</v>
      </c>
      <c r="D70" s="133" t="e">
        <v>#N/A</v>
      </c>
      <c r="E70" s="4" t="e">
        <v>#DIV/0!</v>
      </c>
      <c r="F70" s="4" t="e">
        <v>#N/A</v>
      </c>
      <c r="G70" s="6">
        <v>0.29644571124747204</v>
      </c>
      <c r="H70" s="6" t="e">
        <v>#N/A</v>
      </c>
      <c r="I70" s="5">
        <v>0.70849999999999991</v>
      </c>
      <c r="J70" s="5" t="e">
        <v>#DIV/0!</v>
      </c>
      <c r="K70" s="5">
        <v>5.0000000000000044E-2</v>
      </c>
      <c r="L70" s="5">
        <v>0.142777777777778</v>
      </c>
      <c r="M70" s="5">
        <v>3.3333333333333335E-3</v>
      </c>
      <c r="N70" s="5">
        <v>3.0000000000000027E-2</v>
      </c>
      <c r="O70" s="5">
        <v>0.71158333333333335</v>
      </c>
      <c r="P70" s="5">
        <v>0.69079999999999997</v>
      </c>
      <c r="Q70" s="5">
        <v>0.8</v>
      </c>
      <c r="R70" s="5">
        <v>3.6864810965626105E-2</v>
      </c>
      <c r="S70" s="5">
        <v>1</v>
      </c>
      <c r="T70" s="5" t="e">
        <v>#N/A</v>
      </c>
      <c r="U70" s="5">
        <v>0.31666666666666676</v>
      </c>
      <c r="V70" s="5">
        <v>0.64257600000000004</v>
      </c>
      <c r="W70" s="5">
        <v>0.19015317073170734</v>
      </c>
      <c r="X70" s="5">
        <v>0.12129760225669958</v>
      </c>
      <c r="Y70" s="5">
        <v>7.9808278297585564E-3</v>
      </c>
      <c r="Z70" s="5">
        <v>0.5</v>
      </c>
      <c r="AA70" s="5">
        <v>5.9000000000000004E-2</v>
      </c>
      <c r="AB70" s="5">
        <v>6.431711354662728E-2</v>
      </c>
      <c r="AC70" s="5">
        <v>5.0000000000000044E-3</v>
      </c>
      <c r="AD70" s="5">
        <v>0</v>
      </c>
      <c r="AE70" s="5">
        <v>0</v>
      </c>
      <c r="AF70" s="5">
        <v>0.39040000915527306</v>
      </c>
      <c r="AG70" s="134">
        <v>8361.8365760256365</v>
      </c>
      <c r="AH70" s="135">
        <v>9.0314333680787513</v>
      </c>
      <c r="AI70">
        <v>0.81299999999999994</v>
      </c>
      <c r="AJ70" s="136" t="e">
        <v>#N/A</v>
      </c>
      <c r="AK70" s="137" t="e">
        <v>#N/A</v>
      </c>
      <c r="AL70" s="138">
        <v>0.3098085074670589</v>
      </c>
      <c r="AM70" s="139" t="e">
        <v>#N/A</v>
      </c>
      <c r="AN70" s="139">
        <v>0.74753012048192768</v>
      </c>
    </row>
    <row r="71" spans="2:40">
      <c r="B71" s="16" t="s">
        <v>141</v>
      </c>
      <c r="C71" s="15" t="s">
        <v>142</v>
      </c>
      <c r="D71" s="133">
        <v>0.31823595210783101</v>
      </c>
      <c r="E71" s="4">
        <v>0.22792444095038436</v>
      </c>
      <c r="F71" s="4">
        <v>0.42768097592402426</v>
      </c>
      <c r="G71" s="6">
        <v>0.26179490969574032</v>
      </c>
      <c r="H71" s="6">
        <v>0.35554348186117385</v>
      </c>
      <c r="I71" s="5">
        <v>0.71650000000000003</v>
      </c>
      <c r="J71" s="5">
        <v>2.635220125786163E-2</v>
      </c>
      <c r="K71" s="5">
        <v>6.0000000000000053E-2</v>
      </c>
      <c r="L71" s="5">
        <v>0.29069444444444448</v>
      </c>
      <c r="M71" s="5">
        <v>8.4000000000000005E-2</v>
      </c>
      <c r="N71" s="5">
        <v>0.18999999999999995</v>
      </c>
      <c r="O71" s="5">
        <v>0.49525000000000002</v>
      </c>
      <c r="P71" s="5">
        <v>0.50960000000000005</v>
      </c>
      <c r="Q71" s="5">
        <v>0.79893310463122724</v>
      </c>
      <c r="R71" s="5">
        <v>1.3623049343007948E-2</v>
      </c>
      <c r="S71" s="5">
        <v>0.56367970156991021</v>
      </c>
      <c r="T71" s="5">
        <v>0.185</v>
      </c>
      <c r="U71" s="5">
        <v>0.2250000000000002</v>
      </c>
      <c r="V71" s="5">
        <v>0.64</v>
      </c>
      <c r="W71" s="5">
        <v>0.28889170731707314</v>
      </c>
      <c r="X71" s="5">
        <v>0.27239709443099275</v>
      </c>
      <c r="Y71" s="5">
        <v>2.3137170464605113E-2</v>
      </c>
      <c r="Z71" s="5">
        <v>0.12134348596177072</v>
      </c>
      <c r="AA71" s="5">
        <v>0.02</v>
      </c>
      <c r="AB71" s="5">
        <v>1.3658502977646376E-2</v>
      </c>
      <c r="AC71" s="5">
        <v>0.19499999999999995</v>
      </c>
      <c r="AD71" s="5">
        <v>0.61589528134594085</v>
      </c>
      <c r="AE71" s="5">
        <v>8.3986562150055982E-2</v>
      </c>
      <c r="AF71" s="5">
        <v>0.65500000000000003</v>
      </c>
      <c r="AG71" s="134">
        <v>4719.5130954212273</v>
      </c>
      <c r="AH71" s="135">
        <v>8.4594609155087337</v>
      </c>
      <c r="AI71">
        <v>0.70399999999999996</v>
      </c>
      <c r="AJ71" s="136">
        <v>53.69</v>
      </c>
      <c r="AK71" s="137">
        <v>0.31823595210783068</v>
      </c>
      <c r="AL71" s="138">
        <v>0.35150529925941321</v>
      </c>
      <c r="AM71" s="139">
        <v>-3.3269347151582529E-2</v>
      </c>
      <c r="AN71" s="139">
        <v>9.4824679230152364E-2</v>
      </c>
    </row>
    <row r="72" spans="2:40">
      <c r="B72" s="16" t="s">
        <v>143</v>
      </c>
      <c r="C72" s="15" t="s">
        <v>144</v>
      </c>
      <c r="D72" s="133" t="e">
        <v>#N/A</v>
      </c>
      <c r="E72" s="4">
        <v>0.32253033841363493</v>
      </c>
      <c r="F72" s="4">
        <v>0.47147348573918951</v>
      </c>
      <c r="G72" s="6">
        <v>0.54233072825726025</v>
      </c>
      <c r="H72" s="6" t="e">
        <v>#N/A</v>
      </c>
      <c r="I72" s="5">
        <v>0.19683333333333342</v>
      </c>
      <c r="J72" s="5">
        <v>7.1681415929203537E-3</v>
      </c>
      <c r="K72" s="5">
        <v>0.29000000000000004</v>
      </c>
      <c r="L72" s="5">
        <v>0.31118055555555557</v>
      </c>
      <c r="M72" s="5">
        <v>0.32</v>
      </c>
      <c r="N72" s="5">
        <v>0.81</v>
      </c>
      <c r="O72" s="5">
        <v>0.62008333333333332</v>
      </c>
      <c r="P72" s="5">
        <v>0.65079999999999993</v>
      </c>
      <c r="Q72" s="5">
        <v>0.9318865825223589</v>
      </c>
      <c r="R72" s="5">
        <v>6.7846681309586071E-2</v>
      </c>
      <c r="S72" s="5">
        <v>0.19322431726985859</v>
      </c>
      <c r="T72" s="5">
        <v>0.36499999999999999</v>
      </c>
      <c r="U72" s="5">
        <v>0.20833333333333315</v>
      </c>
      <c r="V72" s="5">
        <v>0.99280000000000002</v>
      </c>
      <c r="W72" s="5">
        <v>0.53319951219512185</v>
      </c>
      <c r="X72" s="5">
        <v>0.41887417218543044</v>
      </c>
      <c r="Y72" s="5">
        <v>0.15594906569532108</v>
      </c>
      <c r="Z72" s="5">
        <v>0.94482828613435499</v>
      </c>
      <c r="AA72" s="5">
        <v>2E-3</v>
      </c>
      <c r="AB72" s="5">
        <v>7.9528671305662296E-2</v>
      </c>
      <c r="AC72" s="5">
        <v>0.79800000000000004</v>
      </c>
      <c r="AD72" s="5" t="e">
        <v>#N/A</v>
      </c>
      <c r="AE72" s="5">
        <v>1.2209018394921048E-2</v>
      </c>
      <c r="AF72" s="5">
        <v>0.90210000038146965</v>
      </c>
      <c r="AG72" s="134">
        <v>1047.7981889515445</v>
      </c>
      <c r="AH72" s="135">
        <v>6.9544462785431014</v>
      </c>
      <c r="AI72">
        <v>0.435</v>
      </c>
      <c r="AJ72" s="136">
        <v>39.35</v>
      </c>
      <c r="AK72" s="137">
        <v>0.44544485080336155</v>
      </c>
      <c r="AL72" s="138">
        <v>0.46122086629420778</v>
      </c>
      <c r="AM72" s="139">
        <v>-1.5776015490846229E-2</v>
      </c>
      <c r="AN72" s="139">
        <v>3.1670400218549381E-2</v>
      </c>
    </row>
    <row r="73" spans="2:40">
      <c r="B73" s="16" t="s">
        <v>145</v>
      </c>
      <c r="C73" s="15" t="s">
        <v>146</v>
      </c>
      <c r="D73" s="133">
        <v>0.487842458734627</v>
      </c>
      <c r="E73" s="4">
        <v>0.43622326762246111</v>
      </c>
      <c r="F73" s="4">
        <v>0.45754986542458581</v>
      </c>
      <c r="G73" s="6">
        <v>0.63225884375591279</v>
      </c>
      <c r="H73" s="6">
        <v>0.4253378581355487</v>
      </c>
      <c r="I73" s="5">
        <v>0.56024999999999991</v>
      </c>
      <c r="J73" s="5">
        <v>5.6451612903225803E-3</v>
      </c>
      <c r="K73" s="5">
        <v>0.39</v>
      </c>
      <c r="L73" s="5">
        <v>0.28944444444444439</v>
      </c>
      <c r="M73" s="5">
        <v>0.58199999999999996</v>
      </c>
      <c r="N73" s="5">
        <v>0.79</v>
      </c>
      <c r="O73" s="5">
        <v>0.62008333333333332</v>
      </c>
      <c r="P73" s="5">
        <v>0.70080000000000009</v>
      </c>
      <c r="Q73" s="5">
        <v>0.99882716049382714</v>
      </c>
      <c r="R73" s="5">
        <v>3.1170207754135482E-2</v>
      </c>
      <c r="S73" s="5">
        <v>0.19441849096621844</v>
      </c>
      <c r="T73" s="5">
        <v>0.2</v>
      </c>
      <c r="U73" s="5">
        <v>0.20833333333333315</v>
      </c>
      <c r="V73" s="5">
        <v>0.95420000000000005</v>
      </c>
      <c r="W73" s="5">
        <v>0.73641804878048767</v>
      </c>
      <c r="X73" s="5">
        <v>0.47492323439099282</v>
      </c>
      <c r="Y73" s="5">
        <v>0.41967844603066284</v>
      </c>
      <c r="Z73" s="5">
        <v>1</v>
      </c>
      <c r="AA73" s="5">
        <v>0.127</v>
      </c>
      <c r="AB73" s="5">
        <v>0.26108433765315681</v>
      </c>
      <c r="AC73" s="5">
        <v>0.88500000000000001</v>
      </c>
      <c r="AD73" s="5" t="e">
        <v>#N/A</v>
      </c>
      <c r="AE73" s="5">
        <v>5.3342816500711238E-2</v>
      </c>
      <c r="AF73" s="5">
        <v>0.72059999465942393</v>
      </c>
      <c r="AG73" s="134">
        <v>1071.16650779524</v>
      </c>
      <c r="AH73" s="135">
        <v>6.9765035278269671</v>
      </c>
      <c r="AI73">
        <v>0.39600000000000002</v>
      </c>
      <c r="AJ73" s="136">
        <v>35.520000000000003</v>
      </c>
      <c r="AK73" s="137">
        <v>0.48784245873462706</v>
      </c>
      <c r="AL73" s="138">
        <v>0.45961289282141404</v>
      </c>
      <c r="AM73" s="139">
        <v>2.8229565913213017E-2</v>
      </c>
      <c r="AN73" s="139">
        <v>9.0693277310924372E-2</v>
      </c>
    </row>
    <row r="74" spans="2:40">
      <c r="B74" s="16" t="s">
        <v>147</v>
      </c>
      <c r="C74" s="15" t="s">
        <v>148</v>
      </c>
      <c r="D74" s="133">
        <v>0.37007605124248899</v>
      </c>
      <c r="E74" s="4">
        <v>0.23691194098662982</v>
      </c>
      <c r="F74" s="4">
        <v>0.43697282625826306</v>
      </c>
      <c r="G74" s="6">
        <v>0.35504225195026079</v>
      </c>
      <c r="H74" s="6">
        <v>0.45137718577480257</v>
      </c>
      <c r="I74" s="5">
        <v>0.75875000000000004</v>
      </c>
      <c r="J74" s="5">
        <v>6.8049792531120331E-3</v>
      </c>
      <c r="K74" s="5">
        <v>6.0000000000000053E-2</v>
      </c>
      <c r="L74" s="5">
        <v>0.31791666666666685</v>
      </c>
      <c r="M74" s="5">
        <v>8.7999999999999995E-2</v>
      </c>
      <c r="N74" s="5">
        <v>0.18999999999999995</v>
      </c>
      <c r="O74" s="5">
        <v>0.52233333333333332</v>
      </c>
      <c r="P74" s="5">
        <v>0.71560000000000001</v>
      </c>
      <c r="Q74" s="5">
        <v>0.77102057473864771</v>
      </c>
      <c r="R74" s="5">
        <v>0.15093451543959521</v>
      </c>
      <c r="S74" s="5">
        <v>0.34694853403800174</v>
      </c>
      <c r="T74" s="5">
        <v>0.11499999999999999</v>
      </c>
      <c r="U74" s="5">
        <v>0.31666666666666676</v>
      </c>
      <c r="V74" s="5">
        <v>0.79759999999999998</v>
      </c>
      <c r="W74" s="5">
        <v>0.34819902439024364</v>
      </c>
      <c r="X74" s="5">
        <v>0.19695431472081218</v>
      </c>
      <c r="Y74" s="5">
        <v>0.30839607858870255</v>
      </c>
      <c r="Z74" s="5">
        <v>0.16243742733513972</v>
      </c>
      <c r="AA74" s="5">
        <v>4.4999999999999998E-2</v>
      </c>
      <c r="AB74" s="5">
        <v>0.54630976702912593</v>
      </c>
      <c r="AC74" s="5">
        <v>0.22499999999999998</v>
      </c>
      <c r="AD74" s="5">
        <v>0</v>
      </c>
      <c r="AE74" s="5">
        <v>7.6200152400304798E-3</v>
      </c>
      <c r="AF74" s="5">
        <v>0.92599999904632568</v>
      </c>
      <c r="AG74" s="134">
        <v>3239.9976189641984</v>
      </c>
      <c r="AH74" s="135">
        <v>8.0833278738985115</v>
      </c>
      <c r="AI74">
        <v>0.72899999999999998</v>
      </c>
      <c r="AJ74" s="136">
        <v>43.2</v>
      </c>
      <c r="AK74" s="137">
        <v>0.37007605124248905</v>
      </c>
      <c r="AL74" s="138">
        <v>0.37892539799279845</v>
      </c>
      <c r="AM74" s="139">
        <v>-8.8493467503094059E-3</v>
      </c>
      <c r="AN74" s="139">
        <v>1.2415303643724698</v>
      </c>
    </row>
    <row r="75" spans="2:40">
      <c r="B75" s="16" t="s">
        <v>149</v>
      </c>
      <c r="C75" s="15" t="s">
        <v>150</v>
      </c>
      <c r="D75" s="133">
        <v>0.47607455255493802</v>
      </c>
      <c r="E75" s="4">
        <v>0.38519266749821818</v>
      </c>
      <c r="F75" s="4">
        <v>0.52093292004327962</v>
      </c>
      <c r="G75" s="6">
        <v>0.45683522281339367</v>
      </c>
      <c r="H75" s="6">
        <v>0.4249460275694254</v>
      </c>
      <c r="I75" s="5">
        <v>0.57383333333333331</v>
      </c>
      <c r="J75" s="5">
        <v>8.5531004989308629E-2</v>
      </c>
      <c r="K75" s="5">
        <v>0.37</v>
      </c>
      <c r="L75" s="5">
        <v>0.16645833333333337</v>
      </c>
      <c r="M75" s="5">
        <v>0.28533333333333333</v>
      </c>
      <c r="N75" s="5">
        <v>0.83</v>
      </c>
      <c r="O75" s="5">
        <v>0.71158333333333335</v>
      </c>
      <c r="P75" s="5">
        <v>0.51780000000000004</v>
      </c>
      <c r="Q75" s="5">
        <v>0.99729629629629635</v>
      </c>
      <c r="R75" s="5">
        <v>4.4151597543377268E-2</v>
      </c>
      <c r="S75" s="5">
        <v>0.55476629308667136</v>
      </c>
      <c r="T75" s="5">
        <v>0.3</v>
      </c>
      <c r="U75" s="5">
        <v>0.2250000000000002</v>
      </c>
      <c r="V75" s="5">
        <v>0.98119999999999996</v>
      </c>
      <c r="W75" s="5">
        <v>0.47129463414634143</v>
      </c>
      <c r="X75" s="5">
        <v>0.42117465224111283</v>
      </c>
      <c r="Y75" s="5">
        <v>0.37456105356576225</v>
      </c>
      <c r="Z75" s="5">
        <v>0.26778099692714552</v>
      </c>
      <c r="AA75" s="5">
        <v>3.7999999999999999E-2</v>
      </c>
      <c r="AB75" s="5">
        <v>9.1850650691748276E-2</v>
      </c>
      <c r="AC75" s="5">
        <v>0.61499999999999999</v>
      </c>
      <c r="AD75" s="5">
        <v>0.54985909096980135</v>
      </c>
      <c r="AE75" s="5">
        <v>0.59869375907111755</v>
      </c>
      <c r="AF75" s="5">
        <v>0.75700000762939501</v>
      </c>
      <c r="AG75" s="134">
        <v>1151.0352132201149</v>
      </c>
      <c r="AH75" s="135">
        <v>7.0484170018421928</v>
      </c>
      <c r="AI75">
        <v>0.53200000000000003</v>
      </c>
      <c r="AJ75" s="136">
        <v>59.5</v>
      </c>
      <c r="AK75" s="137">
        <v>0.4469767094810792</v>
      </c>
      <c r="AL75" s="138">
        <v>0.4543704005657041</v>
      </c>
      <c r="AM75" s="139">
        <v>-7.3936910846248982E-3</v>
      </c>
      <c r="AN75" s="139">
        <v>0.49785237140948568</v>
      </c>
    </row>
    <row r="76" spans="2:40">
      <c r="B76" s="16" t="s">
        <v>151</v>
      </c>
      <c r="C76" s="15" t="s">
        <v>152</v>
      </c>
      <c r="D76" s="133">
        <v>0.33620063938750899</v>
      </c>
      <c r="E76" s="4">
        <v>0.23207211445652889</v>
      </c>
      <c r="F76" s="4">
        <v>0.38938906624966257</v>
      </c>
      <c r="G76" s="6">
        <v>0.29749312098797248</v>
      </c>
      <c r="H76" s="6">
        <v>0.42584825585587271</v>
      </c>
      <c r="I76" s="5">
        <v>0.61591666666666667</v>
      </c>
      <c r="J76" s="5">
        <v>1.2446575628062128E-2</v>
      </c>
      <c r="K76" s="5">
        <v>0.14000000000000001</v>
      </c>
      <c r="L76" s="5">
        <v>0.26340277777777787</v>
      </c>
      <c r="M76" s="5">
        <v>7.0666666666666669E-2</v>
      </c>
      <c r="N76" s="5">
        <v>0.29000000000000004</v>
      </c>
      <c r="O76" s="5">
        <v>0.49525000000000002</v>
      </c>
      <c r="P76" s="5">
        <v>0.51659999999999995</v>
      </c>
      <c r="Q76" s="5">
        <v>0.73930002771586834</v>
      </c>
      <c r="R76" s="5">
        <v>4.7449449801441945E-2</v>
      </c>
      <c r="S76" s="5">
        <v>0.46773491998066524</v>
      </c>
      <c r="T76" s="5">
        <v>6.9999999999999993E-2</v>
      </c>
      <c r="U76" s="5">
        <v>0.31666666666666676</v>
      </c>
      <c r="V76" s="5">
        <v>0.87160000000000004</v>
      </c>
      <c r="W76" s="5">
        <v>0.25189073170731713</v>
      </c>
      <c r="X76" s="5">
        <v>0.16135881104033969</v>
      </c>
      <c r="Y76" s="5">
        <v>7.8802885315253382E-2</v>
      </c>
      <c r="Z76" s="5">
        <v>0.10463963119825796</v>
      </c>
      <c r="AA76" s="5">
        <v>4.4000000000000004E-2</v>
      </c>
      <c r="AB76" s="5">
        <v>4.6211245771682695E-2</v>
      </c>
      <c r="AC76" s="5">
        <v>0.29700000000000004</v>
      </c>
      <c r="AD76" s="5">
        <v>0.70810327478452439</v>
      </c>
      <c r="AE76" s="5">
        <v>0.14746626150683706</v>
      </c>
      <c r="AF76" s="5">
        <v>0.79600000381469704</v>
      </c>
      <c r="AG76" s="134">
        <v>3841.5905704236975</v>
      </c>
      <c r="AH76" s="135">
        <v>8.2536417708678957</v>
      </c>
      <c r="AI76">
        <v>0.73199999999999998</v>
      </c>
      <c r="AJ76" s="136">
        <v>57.66</v>
      </c>
      <c r="AK76" s="137">
        <v>0.33620063938750916</v>
      </c>
      <c r="AL76" s="138">
        <v>0.36650951490373029</v>
      </c>
      <c r="AM76" s="139">
        <v>-3.0308875516221134E-2</v>
      </c>
      <c r="AN76" s="139">
        <v>0.73353282469836756</v>
      </c>
    </row>
    <row r="77" spans="2:40">
      <c r="B77" s="16" t="s">
        <v>153</v>
      </c>
      <c r="C77" s="15" t="s">
        <v>154</v>
      </c>
      <c r="D77" s="133">
        <v>0.224339328414455</v>
      </c>
      <c r="E77" s="4">
        <v>0.20080804843304847</v>
      </c>
      <c r="F77" s="4">
        <v>0.18589739891748014</v>
      </c>
      <c r="G77" s="6">
        <v>0.2489294198700899</v>
      </c>
      <c r="H77" s="6">
        <v>0.26172244643719961</v>
      </c>
      <c r="I77" s="5">
        <v>0.52133333333333343</v>
      </c>
      <c r="J77" s="5">
        <v>5.6153846153846151E-2</v>
      </c>
      <c r="K77" s="5">
        <v>0</v>
      </c>
      <c r="L77" s="5">
        <v>0.62736111111111126</v>
      </c>
      <c r="M77" s="5">
        <v>0</v>
      </c>
      <c r="N77" s="5">
        <v>0</v>
      </c>
      <c r="O77" s="5">
        <v>0.23600000000000002</v>
      </c>
      <c r="P77" s="5">
        <v>0.32094634497671143</v>
      </c>
      <c r="Q77" s="5">
        <v>0.40650258354900481</v>
      </c>
      <c r="R77" s="5">
        <v>0.10253999313781199</v>
      </c>
      <c r="S77" s="5">
        <v>4.939547184135254E-2</v>
      </c>
      <c r="T77" s="5">
        <v>0</v>
      </c>
      <c r="U77" s="5">
        <v>0.87499999999999967</v>
      </c>
      <c r="V77" s="5">
        <v>0.36972000000000005</v>
      </c>
      <c r="W77" s="5">
        <v>0.22190243902439022</v>
      </c>
      <c r="X77" s="5">
        <v>2.2377622377622378E-2</v>
      </c>
      <c r="Y77" s="5">
        <v>0</v>
      </c>
      <c r="Z77" s="5">
        <v>4.5764578185272459E-3</v>
      </c>
      <c r="AA77" s="5">
        <v>0</v>
      </c>
      <c r="AB77" s="5">
        <v>0</v>
      </c>
      <c r="AC77" s="5">
        <v>0</v>
      </c>
      <c r="AD77" s="5">
        <v>0.5690157147656858</v>
      </c>
      <c r="AE77" s="5">
        <v>0.11717442249748912</v>
      </c>
      <c r="AF77" s="5">
        <v>0.62349999999999994</v>
      </c>
      <c r="AG77" s="134">
        <v>20311.731284287343</v>
      </c>
      <c r="AH77" s="135">
        <v>9.9189538938901194</v>
      </c>
      <c r="AI77">
        <v>0.879</v>
      </c>
      <c r="AJ77" s="136">
        <v>31.180000000000003</v>
      </c>
      <c r="AK77" s="137">
        <v>0.22433932841445453</v>
      </c>
      <c r="AL77" s="138">
        <v>0.24510826113541018</v>
      </c>
      <c r="AM77" s="139">
        <v>-2.0768932720955646E-2</v>
      </c>
      <c r="AN77" s="139">
        <v>1.4456040728411983E-2</v>
      </c>
    </row>
    <row r="78" spans="2:40">
      <c r="B78" s="16" t="s">
        <v>155</v>
      </c>
      <c r="C78" s="15" t="s">
        <v>156</v>
      </c>
      <c r="D78" s="133">
        <v>0.213614710335324</v>
      </c>
      <c r="E78" s="4">
        <v>0.13201361655773422</v>
      </c>
      <c r="F78" s="4">
        <v>0.36140653601911293</v>
      </c>
      <c r="G78" s="6">
        <v>3.1201128187512455E-2</v>
      </c>
      <c r="H78" s="6">
        <v>0.32983756057693653</v>
      </c>
      <c r="I78" s="5">
        <v>0.36166666666666669</v>
      </c>
      <c r="J78" s="5">
        <v>9.7058823529411762E-4</v>
      </c>
      <c r="K78" s="5">
        <v>0</v>
      </c>
      <c r="L78" s="5">
        <v>0.42944444444444441</v>
      </c>
      <c r="M78" s="5">
        <v>0</v>
      </c>
      <c r="N78" s="5">
        <v>0</v>
      </c>
      <c r="O78" s="5">
        <v>0.44466666666666665</v>
      </c>
      <c r="P78" s="5">
        <v>7.8242787525198476E-2</v>
      </c>
      <c r="Q78" s="5">
        <v>0.5</v>
      </c>
      <c r="R78" s="5">
        <v>0.14552976192281245</v>
      </c>
      <c r="S78" s="5">
        <v>1</v>
      </c>
      <c r="T78" s="5">
        <v>0</v>
      </c>
      <c r="U78" s="5">
        <v>6.6666666666666541E-2</v>
      </c>
      <c r="V78" s="5">
        <v>0</v>
      </c>
      <c r="W78" s="5">
        <v>7.0878048780487535E-2</v>
      </c>
      <c r="X78" s="5">
        <v>4.6997389033942558E-2</v>
      </c>
      <c r="Y78" s="5">
        <v>0</v>
      </c>
      <c r="Z78" s="5">
        <v>2.6646646439780655E-3</v>
      </c>
      <c r="AA78" s="5">
        <v>0.02</v>
      </c>
      <c r="AB78" s="5">
        <v>0.17163011571269635</v>
      </c>
      <c r="AC78" s="5">
        <v>0</v>
      </c>
      <c r="AD78" s="5">
        <v>0.77421639413671284</v>
      </c>
      <c r="AE78" s="5">
        <v>0</v>
      </c>
      <c r="AF78" s="5">
        <v>0.63358369098712397</v>
      </c>
      <c r="AG78" s="134">
        <v>36795.490728354482</v>
      </c>
      <c r="AH78" s="135">
        <v>10.513130582093465</v>
      </c>
      <c r="AI78">
        <v>0.96899999999999997</v>
      </c>
      <c r="AJ78" s="136">
        <v>28</v>
      </c>
      <c r="AK78" s="137">
        <v>0.21361471033532403</v>
      </c>
      <c r="AL78" s="138">
        <v>0.2017927805653863</v>
      </c>
      <c r="AM78" s="139">
        <v>1.1821929769937733E-2</v>
      </c>
      <c r="AN78" s="139">
        <v>1.0486891385767792E-3</v>
      </c>
    </row>
    <row r="79" spans="2:40">
      <c r="B79" s="16" t="s">
        <v>157</v>
      </c>
      <c r="C79" s="15" t="s">
        <v>158</v>
      </c>
      <c r="D79" s="133">
        <v>0.40380969747984002</v>
      </c>
      <c r="E79" s="4">
        <v>0.33719189705796843</v>
      </c>
      <c r="F79" s="4">
        <v>0.52298743318552521</v>
      </c>
      <c r="G79" s="6">
        <v>0.37412532081144079</v>
      </c>
      <c r="H79" s="6">
        <v>0.38093413886442723</v>
      </c>
      <c r="I79" s="5">
        <v>0.31099999999999994</v>
      </c>
      <c r="J79" s="5">
        <v>0.39822082679225529</v>
      </c>
      <c r="K79" s="5">
        <v>0.12</v>
      </c>
      <c r="L79" s="5">
        <v>0.29326388888888888</v>
      </c>
      <c r="M79" s="5">
        <v>0.21066666666666667</v>
      </c>
      <c r="N79" s="5">
        <v>0.69</v>
      </c>
      <c r="O79" s="5">
        <v>0.6825</v>
      </c>
      <c r="P79" s="5">
        <v>0.70179999999999998</v>
      </c>
      <c r="Q79" s="5">
        <v>0.48010836770007603</v>
      </c>
      <c r="R79" s="5">
        <v>0.5</v>
      </c>
      <c r="S79" s="5">
        <v>1.3516231413074694E-2</v>
      </c>
      <c r="T79" s="5">
        <v>0.76</v>
      </c>
      <c r="U79" s="5">
        <v>0.44999999999999984</v>
      </c>
      <c r="V79" s="5">
        <v>0.87204000000000004</v>
      </c>
      <c r="W79" s="5">
        <v>0.41895463414634126</v>
      </c>
      <c r="X79" s="5">
        <v>0.3164777680906713</v>
      </c>
      <c r="Y79" s="5">
        <v>1.1344494187416303E-2</v>
      </c>
      <c r="Z79" s="5">
        <v>0.1759350284442161</v>
      </c>
      <c r="AA79" s="5">
        <v>1.9E-2</v>
      </c>
      <c r="AB79" s="5">
        <v>6.2694538166016847E-2</v>
      </c>
      <c r="AC79" s="5">
        <v>0.35499999999999998</v>
      </c>
      <c r="AD79" s="5">
        <v>0.34968403219254518</v>
      </c>
      <c r="AE79" s="5">
        <v>2.5729939896205759E-2</v>
      </c>
      <c r="AF79" s="5">
        <v>0.50659340685279997</v>
      </c>
      <c r="AG79" s="134">
        <v>3296.3610479295498</v>
      </c>
      <c r="AH79" s="135">
        <v>8.1005744262709207</v>
      </c>
      <c r="AI79">
        <v>0.61199999999999999</v>
      </c>
      <c r="AJ79" s="136">
        <v>36.799999999999997</v>
      </c>
      <c r="AK79" s="137">
        <v>0.40380969747984041</v>
      </c>
      <c r="AL79" s="138">
        <v>0.37766812432484975</v>
      </c>
      <c r="AM79" s="139">
        <v>2.614157315499066E-2</v>
      </c>
      <c r="AN79" s="139">
        <v>1.6603397086597855</v>
      </c>
    </row>
    <row r="80" spans="2:40">
      <c r="B80" s="16" t="s">
        <v>159</v>
      </c>
      <c r="C80" s="15" t="s">
        <v>160</v>
      </c>
      <c r="D80" s="133">
        <v>0.301655469909694</v>
      </c>
      <c r="E80" s="4">
        <v>0.24155420381376916</v>
      </c>
      <c r="F80" s="4">
        <v>0.35736737349089354</v>
      </c>
      <c r="G80" s="6">
        <v>0.26379123415758382</v>
      </c>
      <c r="H80" s="6">
        <v>0.34390906817652978</v>
      </c>
      <c r="I80" s="5">
        <v>0.49758333333333338</v>
      </c>
      <c r="J80" s="5">
        <v>5.6116889549281825E-2</v>
      </c>
      <c r="K80" s="5">
        <v>0.19999999999999996</v>
      </c>
      <c r="L80" s="5">
        <v>0.12895833333333329</v>
      </c>
      <c r="M80" s="5">
        <v>8.666666666666667E-2</v>
      </c>
      <c r="N80" s="5">
        <v>0.48</v>
      </c>
      <c r="O80" s="5">
        <v>0.41483333333333333</v>
      </c>
      <c r="P80" s="5">
        <v>0.47419999999999995</v>
      </c>
      <c r="Q80" s="5">
        <v>0.65774975840959615</v>
      </c>
      <c r="R80" s="5">
        <v>2.8466028712515516E-2</v>
      </c>
      <c r="S80" s="5">
        <v>0.1389551204899159</v>
      </c>
      <c r="T80" s="5">
        <v>0.43</v>
      </c>
      <c r="U80" s="5">
        <v>7.5000000000000067E-2</v>
      </c>
      <c r="V80" s="5">
        <v>0.82528000000000001</v>
      </c>
      <c r="W80" s="5">
        <v>0.27635731707317068</v>
      </c>
      <c r="X80" s="5">
        <v>0.25390218522372526</v>
      </c>
      <c r="Y80" s="5">
        <v>1.8161297511447447E-2</v>
      </c>
      <c r="Z80" s="5">
        <v>0.13404660513715966</v>
      </c>
      <c r="AA80" s="5">
        <v>0.14000000000000001</v>
      </c>
      <c r="AB80" s="5">
        <v>0.19620963744431971</v>
      </c>
      <c r="AC80" s="5">
        <v>0.35499999999999998</v>
      </c>
      <c r="AD80" s="5">
        <v>0</v>
      </c>
      <c r="AE80" s="5">
        <v>3.3120442489111654E-2</v>
      </c>
      <c r="AF80" s="5">
        <v>0.40893505330558599</v>
      </c>
      <c r="AG80" s="134">
        <v>4198.7789031763432</v>
      </c>
      <c r="AH80" s="135">
        <v>8.3425490246601992</v>
      </c>
      <c r="AI80">
        <v>0.73399999999999999</v>
      </c>
      <c r="AJ80" s="136">
        <v>36.76</v>
      </c>
      <c r="AK80" s="137">
        <v>0.30165546990969405</v>
      </c>
      <c r="AL80" s="138">
        <v>0.36002817610227134</v>
      </c>
      <c r="AM80" s="139">
        <v>-5.8372706192577284E-2</v>
      </c>
      <c r="AN80" s="139">
        <v>4.3910273246763783E-2</v>
      </c>
    </row>
    <row r="81" spans="2:40">
      <c r="B81" s="16" t="s">
        <v>161</v>
      </c>
      <c r="C81" s="15" t="s">
        <v>162</v>
      </c>
      <c r="D81" s="133">
        <v>0.28231810473813401</v>
      </c>
      <c r="E81" s="4" t="e">
        <v>#N/A</v>
      </c>
      <c r="F81" s="4">
        <v>0.28476832852617845</v>
      </c>
      <c r="G81" s="6">
        <v>0.21681237015008969</v>
      </c>
      <c r="H81" s="6">
        <v>0.24090573542778118</v>
      </c>
      <c r="I81" s="5">
        <v>0.58216666666666672</v>
      </c>
      <c r="J81" s="5">
        <v>0.67709090909090908</v>
      </c>
      <c r="K81" s="5">
        <v>6.9999999999999951E-2</v>
      </c>
      <c r="L81" s="5">
        <v>0.62145833333333345</v>
      </c>
      <c r="M81" s="5" t="e">
        <v>#N/A</v>
      </c>
      <c r="N81" s="5">
        <v>0.17000000000000004</v>
      </c>
      <c r="O81" s="5">
        <v>0.56741666666666668</v>
      </c>
      <c r="P81" s="5">
        <v>0.31019999999999992</v>
      </c>
      <c r="Q81" s="5">
        <v>0.54377716687058575</v>
      </c>
      <c r="R81" s="5">
        <v>2.3592559565480845E-2</v>
      </c>
      <c r="S81" s="5">
        <v>0.18862357805433766</v>
      </c>
      <c r="T81" s="5">
        <v>7.4999999999999997E-2</v>
      </c>
      <c r="U81" s="5">
        <v>7.5000000000000067E-2</v>
      </c>
      <c r="V81" s="5">
        <v>0.83640000000000003</v>
      </c>
      <c r="W81" s="5">
        <v>0.26619756097560976</v>
      </c>
      <c r="X81" s="5">
        <v>0.10635538261997406</v>
      </c>
      <c r="Y81" s="5">
        <v>4.671969708723374E-4</v>
      </c>
      <c r="Z81" s="5">
        <v>1.6454080334081855E-2</v>
      </c>
      <c r="AA81" s="5">
        <v>1.2E-2</v>
      </c>
      <c r="AB81" s="5">
        <v>2.1085371934435892E-2</v>
      </c>
      <c r="AC81" s="5">
        <v>1.5999999999999903E-2</v>
      </c>
      <c r="AD81" s="5">
        <v>0</v>
      </c>
      <c r="AE81" s="5">
        <v>2.6710877774707563E-2</v>
      </c>
      <c r="AF81" s="5">
        <v>0.26702658045564898</v>
      </c>
      <c r="AG81" s="134">
        <v>11558.382627854615</v>
      </c>
      <c r="AH81" s="135">
        <v>9.3551662213526594</v>
      </c>
      <c r="AI81">
        <v>0.78200000000000003</v>
      </c>
      <c r="AJ81" s="136">
        <v>38.28</v>
      </c>
      <c r="AK81" s="137">
        <v>0.24749547803468308</v>
      </c>
      <c r="AL81" s="138">
        <v>0.28620838246339098</v>
      </c>
      <c r="AM81" s="139">
        <v>-3.8712904428707895E-2</v>
      </c>
      <c r="AN81" s="139">
        <v>1.0510544387804175</v>
      </c>
    </row>
    <row r="82" spans="2:40">
      <c r="B82" s="16" t="s">
        <v>163</v>
      </c>
      <c r="C82" s="15" t="s">
        <v>164</v>
      </c>
      <c r="D82" s="133">
        <v>0.42051669193100999</v>
      </c>
      <c r="E82" s="4">
        <v>0.52580163650457756</v>
      </c>
      <c r="F82" s="4" t="e">
        <v>#N/A</v>
      </c>
      <c r="G82" s="6">
        <v>0.37404527084493761</v>
      </c>
      <c r="H82" s="6">
        <v>0.26849508013942752</v>
      </c>
      <c r="I82" s="5">
        <v>0.89524999999999999</v>
      </c>
      <c r="J82" s="5">
        <v>0.87276815236079874</v>
      </c>
      <c r="K82" s="5">
        <v>0.20999999999999996</v>
      </c>
      <c r="L82" s="5">
        <v>0.65145833333333347</v>
      </c>
      <c r="M82" s="5">
        <v>0.25533333333333336</v>
      </c>
      <c r="N82" s="5">
        <v>0.27</v>
      </c>
      <c r="O82" s="5">
        <v>0.73658333333333337</v>
      </c>
      <c r="P82" s="5">
        <v>0.33499999999999974</v>
      </c>
      <c r="Q82" s="5">
        <v>0.68917320261437909</v>
      </c>
      <c r="R82" s="5">
        <v>5.940704352662745E-2</v>
      </c>
      <c r="S82" s="5" t="e">
        <v>#N/A</v>
      </c>
      <c r="T82" s="5">
        <v>6.9999999999999993E-2</v>
      </c>
      <c r="U82" s="5">
        <v>0.7833333333333331</v>
      </c>
      <c r="V82" s="5">
        <v>0.86199999999999999</v>
      </c>
      <c r="W82" s="5">
        <v>0.33690634146341436</v>
      </c>
      <c r="X82" s="5">
        <v>0.14749780509218613</v>
      </c>
      <c r="Y82" s="5">
        <v>3.1055818084577913E-2</v>
      </c>
      <c r="Z82" s="5">
        <v>8.3478327096113941E-2</v>
      </c>
      <c r="AA82" s="5">
        <v>3.6000000000000004E-2</v>
      </c>
      <c r="AB82" s="5">
        <v>0.11595386696371496</v>
      </c>
      <c r="AC82" s="5">
        <v>0.15000000000000002</v>
      </c>
      <c r="AD82" s="5">
        <v>0</v>
      </c>
      <c r="AE82" s="5">
        <v>3.4295905068934766E-3</v>
      </c>
      <c r="AF82" s="5">
        <v>0.15699996948242201</v>
      </c>
      <c r="AG82" s="134">
        <v>3547.9989718767401</v>
      </c>
      <c r="AH82" s="135">
        <v>8.1741390536539882</v>
      </c>
      <c r="AI82" t="s">
        <v>545</v>
      </c>
      <c r="AJ82" s="136">
        <v>42</v>
      </c>
      <c r="AK82" s="137">
        <v>0.38944732916298092</v>
      </c>
      <c r="AL82" s="138">
        <v>0.37230526298862421</v>
      </c>
      <c r="AM82" s="139">
        <v>1.7142066174356707E-2</v>
      </c>
      <c r="AN82" s="139">
        <v>3.9592200336533703E-4</v>
      </c>
    </row>
    <row r="83" spans="2:40">
      <c r="B83" s="16" t="s">
        <v>165</v>
      </c>
      <c r="C83" s="15" t="s">
        <v>166</v>
      </c>
      <c r="D83" s="133">
        <v>0.147900947881591</v>
      </c>
      <c r="E83" s="4">
        <v>0.11464120370370372</v>
      </c>
      <c r="F83" s="4">
        <v>0.23478887752435881</v>
      </c>
      <c r="G83" s="6">
        <v>4.0491740685105908E-2</v>
      </c>
      <c r="H83" s="6">
        <v>0.20168196961319618</v>
      </c>
      <c r="I83" s="5">
        <v>0.46875</v>
      </c>
      <c r="J83" s="5">
        <v>0</v>
      </c>
      <c r="K83" s="5">
        <v>0</v>
      </c>
      <c r="L83" s="5">
        <v>0.20909722222222227</v>
      </c>
      <c r="M83" s="5">
        <v>0</v>
      </c>
      <c r="N83" s="5">
        <v>1.0000000000000009E-2</v>
      </c>
      <c r="O83" s="5">
        <v>0.23600000000000002</v>
      </c>
      <c r="P83" s="5">
        <v>0.38768570615036668</v>
      </c>
      <c r="Q83" s="5">
        <v>0</v>
      </c>
      <c r="R83" s="5">
        <v>0.33017104857826385</v>
      </c>
      <c r="S83" s="5">
        <v>0.45487651041752242</v>
      </c>
      <c r="T83" s="5">
        <v>0</v>
      </c>
      <c r="U83" s="5">
        <v>6.6666666666666541E-2</v>
      </c>
      <c r="V83" s="5">
        <v>0</v>
      </c>
      <c r="W83" s="5">
        <v>0.10999999999999999</v>
      </c>
      <c r="X83" s="5">
        <v>6.4876957494407153E-2</v>
      </c>
      <c r="Y83" s="5">
        <v>0</v>
      </c>
      <c r="Z83" s="5">
        <v>1.4068199495617616E-3</v>
      </c>
      <c r="AA83" s="5">
        <v>3.7999999999999999E-2</v>
      </c>
      <c r="AB83" s="5">
        <v>0.1020940659426844</v>
      </c>
      <c r="AC83" s="5">
        <v>0</v>
      </c>
      <c r="AD83" s="5">
        <v>0.89965970518481486</v>
      </c>
      <c r="AE83" s="5">
        <v>4.3547684714762669E-2</v>
      </c>
      <c r="AF83" s="5">
        <v>0</v>
      </c>
      <c r="AG83" s="134">
        <v>40697.462253542129</v>
      </c>
      <c r="AH83" s="135">
        <v>10.613921016993867</v>
      </c>
      <c r="AI83">
        <v>0.96499999999999997</v>
      </c>
      <c r="AJ83" s="136">
        <v>34.276800000000001</v>
      </c>
      <c r="AK83" s="137">
        <v>0.14790094788159114</v>
      </c>
      <c r="AL83" s="138">
        <v>0.19444515786114691</v>
      </c>
      <c r="AM83" s="139">
        <v>-4.6544209979555773E-2</v>
      </c>
      <c r="AN83" s="139">
        <v>1.0626212247159877E-3</v>
      </c>
    </row>
    <row r="84" spans="2:40">
      <c r="B84" s="16" t="s">
        <v>167</v>
      </c>
      <c r="C84" s="15" t="s">
        <v>168</v>
      </c>
      <c r="D84" s="133">
        <v>0.23582042101836001</v>
      </c>
      <c r="E84" s="4">
        <v>0.35896296296296298</v>
      </c>
      <c r="F84" s="4">
        <v>0.25916442158441849</v>
      </c>
      <c r="G84" s="6">
        <v>9.7039492039242961E-2</v>
      </c>
      <c r="H84" s="6">
        <v>0.22811480748681359</v>
      </c>
      <c r="I84" s="5">
        <v>0.71058333333333334</v>
      </c>
      <c r="J84" s="5">
        <v>1</v>
      </c>
      <c r="K84" s="5">
        <v>0</v>
      </c>
      <c r="L84" s="5">
        <v>0.44319444444444456</v>
      </c>
      <c r="M84" s="5">
        <v>0</v>
      </c>
      <c r="N84" s="5">
        <v>0</v>
      </c>
      <c r="O84" s="5">
        <v>0.54108333333333336</v>
      </c>
      <c r="P84" s="5">
        <v>8.305153866751061E-2</v>
      </c>
      <c r="Q84" s="5">
        <v>7.9052038448833351E-2</v>
      </c>
      <c r="R84" s="5">
        <v>7.3076451259651024E-2</v>
      </c>
      <c r="S84" s="5">
        <v>0.77872316779718265</v>
      </c>
      <c r="T84" s="5">
        <v>0</v>
      </c>
      <c r="U84" s="5">
        <v>6.6666666666666541E-2</v>
      </c>
      <c r="V84" s="5">
        <v>0.36268</v>
      </c>
      <c r="W84" s="5">
        <v>6.8926829268292522E-2</v>
      </c>
      <c r="X84" s="5">
        <v>7.9081632653061229E-2</v>
      </c>
      <c r="Y84" s="5">
        <v>0</v>
      </c>
      <c r="Z84" s="5">
        <v>4.8818236474375406E-3</v>
      </c>
      <c r="AA84" s="5">
        <v>7.9000000000000001E-2</v>
      </c>
      <c r="AB84" s="5">
        <v>5.3787903926616636E-2</v>
      </c>
      <c r="AC84" s="5">
        <v>0</v>
      </c>
      <c r="AD84" s="5">
        <v>0.85146655144412664</v>
      </c>
      <c r="AE84" s="5">
        <v>0.13863216266173753</v>
      </c>
      <c r="AF84" s="5">
        <v>0</v>
      </c>
      <c r="AG84" s="134">
        <v>27655.939891041435</v>
      </c>
      <c r="AH84" s="135">
        <v>10.227595808148182</v>
      </c>
      <c r="AI84">
        <v>0.93500000000000005</v>
      </c>
      <c r="AJ84" s="136">
        <v>39.199800000000003</v>
      </c>
      <c r="AK84" s="137">
        <v>0.23582042101835951</v>
      </c>
      <c r="AL84" s="138">
        <v>0.22260826558599744</v>
      </c>
      <c r="AM84" s="139">
        <v>1.3212155432362066E-2</v>
      </c>
      <c r="AN84" s="139">
        <v>3.1146008599738267E-4</v>
      </c>
    </row>
    <row r="85" spans="2:40">
      <c r="B85" s="16" t="s">
        <v>169</v>
      </c>
      <c r="C85" s="15" t="s">
        <v>170</v>
      </c>
      <c r="D85" s="133">
        <v>0.18780557977845999</v>
      </c>
      <c r="E85" s="4">
        <v>0.2222139443089195</v>
      </c>
      <c r="F85" s="4">
        <v>0.23395749774973887</v>
      </c>
      <c r="G85" s="6">
        <v>8.1678657265963489E-2</v>
      </c>
      <c r="H85" s="6">
        <v>0.21337221978921653</v>
      </c>
      <c r="I85" s="5">
        <v>0.63358333333333339</v>
      </c>
      <c r="J85" s="5">
        <v>0.23685311029796133</v>
      </c>
      <c r="K85" s="5">
        <v>0</v>
      </c>
      <c r="L85" s="5">
        <v>0.4628472222222223</v>
      </c>
      <c r="M85" s="5">
        <v>0</v>
      </c>
      <c r="N85" s="5">
        <v>0</v>
      </c>
      <c r="O85" s="5">
        <v>0.26925000000000004</v>
      </c>
      <c r="P85" s="5">
        <v>0.3179764172382572</v>
      </c>
      <c r="Q85" s="5">
        <v>0.2399901850813333</v>
      </c>
      <c r="R85" s="5">
        <v>0.18145736964664266</v>
      </c>
      <c r="S85" s="5">
        <v>0.39507101453220006</v>
      </c>
      <c r="T85" s="5">
        <v>0</v>
      </c>
      <c r="U85" s="5">
        <v>6.6666666666666541E-2</v>
      </c>
      <c r="V85" s="5">
        <v>0.30871999999999999</v>
      </c>
      <c r="W85" s="5">
        <v>7.1268292682926782E-2</v>
      </c>
      <c r="X85" s="5">
        <v>4.1775456919060053E-2</v>
      </c>
      <c r="Y85" s="5">
        <v>0</v>
      </c>
      <c r="Z85" s="5">
        <v>1.6415273271275801E-3</v>
      </c>
      <c r="AA85" s="5">
        <v>3.9E-2</v>
      </c>
      <c r="AB85" s="5">
        <v>9.2841981604747215E-2</v>
      </c>
      <c r="AC85" s="5">
        <v>0</v>
      </c>
      <c r="AD85" s="5">
        <v>0.86778330143129667</v>
      </c>
      <c r="AE85" s="5">
        <v>7.6494186441830425E-2</v>
      </c>
      <c r="AF85" s="5">
        <v>0</v>
      </c>
      <c r="AG85" s="134">
        <v>32429.991740697391</v>
      </c>
      <c r="AH85" s="135">
        <v>10.386838944620401</v>
      </c>
      <c r="AI85">
        <v>0.95099999999999996</v>
      </c>
      <c r="AJ85" s="136">
        <v>36.033146000000002</v>
      </c>
      <c r="AK85" s="137">
        <v>0.18780557977845957</v>
      </c>
      <c r="AL85" s="138">
        <v>0.21099944093717271</v>
      </c>
      <c r="AM85" s="139">
        <v>-2.3193861158713136E-2</v>
      </c>
      <c r="AN85" s="139">
        <v>1.6856424844243557E-3</v>
      </c>
    </row>
    <row r="86" spans="2:40">
      <c r="B86" s="16" t="s">
        <v>171</v>
      </c>
      <c r="C86" s="15" t="s">
        <v>172</v>
      </c>
      <c r="D86" s="133">
        <v>0.32880333668020501</v>
      </c>
      <c r="E86" s="4">
        <v>0.18106671314019254</v>
      </c>
      <c r="F86" s="4">
        <v>0.49568206508105345</v>
      </c>
      <c r="G86" s="6">
        <v>0.28187743161541295</v>
      </c>
      <c r="H86" s="6">
        <v>0.35658713688416294</v>
      </c>
      <c r="I86" s="5">
        <v>0.61975000000000002</v>
      </c>
      <c r="J86" s="5">
        <v>6.2122501063377286E-2</v>
      </c>
      <c r="K86" s="5">
        <v>6.0000000000000053E-2</v>
      </c>
      <c r="L86" s="5">
        <v>0.14319444444444451</v>
      </c>
      <c r="M86" s="5">
        <v>3.1333333333333331E-2</v>
      </c>
      <c r="N86" s="5">
        <v>0.17000000000000004</v>
      </c>
      <c r="O86" s="5">
        <v>0.71158333333333335</v>
      </c>
      <c r="P86" s="5">
        <v>0.46533502534583138</v>
      </c>
      <c r="Q86" s="5">
        <v>0.7139586206896551</v>
      </c>
      <c r="R86" s="5">
        <v>4.8215411117500905E-2</v>
      </c>
      <c r="S86" s="5">
        <v>1</v>
      </c>
      <c r="T86" s="5">
        <v>3.4999999999999996E-2</v>
      </c>
      <c r="U86" s="5">
        <v>0.31666666666666676</v>
      </c>
      <c r="V86" s="5">
        <v>0.83400000000000007</v>
      </c>
      <c r="W86" s="5">
        <v>0.25878487804878003</v>
      </c>
      <c r="X86" s="5">
        <v>0.20811518324607331</v>
      </c>
      <c r="Y86" s="5">
        <v>1.827235053837456E-2</v>
      </c>
      <c r="Z86" s="5">
        <v>5.5425511192582752E-2</v>
      </c>
      <c r="AA86" s="5">
        <v>3.9E-2</v>
      </c>
      <c r="AB86" s="5">
        <v>7.8784836407009479E-2</v>
      </c>
      <c r="AC86" s="5">
        <v>7.999999999999996E-2</v>
      </c>
      <c r="AD86" s="5">
        <v>0.88722463323613854</v>
      </c>
      <c r="AE86" s="5">
        <v>0.27700831024930744</v>
      </c>
      <c r="AF86" s="5">
        <v>0.26720001220703093</v>
      </c>
      <c r="AG86" s="134">
        <v>7632.561289724531</v>
      </c>
      <c r="AH86" s="135">
        <v>8.940178754674994</v>
      </c>
      <c r="AI86">
        <v>0.76600000000000001</v>
      </c>
      <c r="AJ86" s="136">
        <v>45.51</v>
      </c>
      <c r="AK86" s="137">
        <v>0.32880333668020545</v>
      </c>
      <c r="AL86" s="138">
        <v>0.31646096878419283</v>
      </c>
      <c r="AM86" s="139">
        <v>1.2342367896012618E-2</v>
      </c>
      <c r="AN86" s="139">
        <v>0.74840088996763754</v>
      </c>
    </row>
    <row r="87" spans="2:40">
      <c r="B87" s="16" t="s">
        <v>173</v>
      </c>
      <c r="C87" s="15" t="s">
        <v>174</v>
      </c>
      <c r="D87" s="133">
        <v>0.234548927862857</v>
      </c>
      <c r="E87" s="4">
        <v>0.17171473944875112</v>
      </c>
      <c r="F87" s="4">
        <v>0.24452418564684444</v>
      </c>
      <c r="G87" s="6">
        <v>0.26571769659972683</v>
      </c>
      <c r="H87" s="6">
        <v>0.25623908975610704</v>
      </c>
      <c r="I87" s="5">
        <v>0.43841666666666668</v>
      </c>
      <c r="J87" s="5">
        <v>0.20930232558139536</v>
      </c>
      <c r="K87" s="5">
        <v>0</v>
      </c>
      <c r="L87" s="5">
        <v>0.38256944444444452</v>
      </c>
      <c r="M87" s="5">
        <v>0</v>
      </c>
      <c r="N87" s="5">
        <v>0</v>
      </c>
      <c r="O87" s="5">
        <v>0.24566666666666667</v>
      </c>
      <c r="P87" s="5">
        <v>0.33373076199435558</v>
      </c>
      <c r="Q87" s="5">
        <v>3.628636644999983E-2</v>
      </c>
      <c r="R87" s="5">
        <v>7.4394183538246755E-2</v>
      </c>
      <c r="S87" s="5">
        <v>0.77706713523179793</v>
      </c>
      <c r="T87" s="5">
        <v>0</v>
      </c>
      <c r="U87" s="5">
        <v>0.8500000000000002</v>
      </c>
      <c r="V87" s="5">
        <v>0.58628000000000002</v>
      </c>
      <c r="W87" s="5">
        <v>4.1370731707316977E-2</v>
      </c>
      <c r="X87" s="5">
        <v>0.11461318051575932</v>
      </c>
      <c r="Y87" s="5">
        <v>0</v>
      </c>
      <c r="Z87" s="5">
        <v>2.0422673752847663E-3</v>
      </c>
      <c r="AA87" s="5">
        <v>4.4000000000000004E-2</v>
      </c>
      <c r="AB87" s="5">
        <v>0.2407771396279218</v>
      </c>
      <c r="AC87" s="5">
        <v>0</v>
      </c>
      <c r="AD87" s="5">
        <v>0.81751977997812786</v>
      </c>
      <c r="AE87" s="5">
        <v>3.2921810699588473E-2</v>
      </c>
      <c r="AF87" s="5">
        <v>0.20399666944213191</v>
      </c>
      <c r="AG87" s="134">
        <v>32418.424123393655</v>
      </c>
      <c r="AH87" s="135">
        <v>10.386482185946427</v>
      </c>
      <c r="AI87">
        <v>0.96</v>
      </c>
      <c r="AJ87" s="136">
        <v>24.85</v>
      </c>
      <c r="AK87" s="137">
        <v>0.23454892786285736</v>
      </c>
      <c r="AL87" s="138">
        <v>0.21102544864450534</v>
      </c>
      <c r="AM87" s="139">
        <v>2.3523479218352017E-2</v>
      </c>
      <c r="AN87" s="139">
        <v>1.847093375414435E-2</v>
      </c>
    </row>
    <row r="88" spans="2:40">
      <c r="B88" s="16" t="s">
        <v>175</v>
      </c>
      <c r="C88" s="15" t="s">
        <v>176</v>
      </c>
      <c r="D88" s="133">
        <v>0.31534371107338299</v>
      </c>
      <c r="E88" s="4">
        <v>0.39171444029408281</v>
      </c>
      <c r="F88" s="4">
        <v>0.39060550045241915</v>
      </c>
      <c r="G88" s="6">
        <v>0.17642866652975345</v>
      </c>
      <c r="H88" s="6">
        <v>0.30262623701727687</v>
      </c>
      <c r="I88" s="5">
        <v>0.76183333333333336</v>
      </c>
      <c r="J88" s="5">
        <v>0.99370330843116339</v>
      </c>
      <c r="K88" s="5">
        <v>4.0000000000000036E-2</v>
      </c>
      <c r="L88" s="5">
        <v>0.49541666666666662</v>
      </c>
      <c r="M88" s="5">
        <v>3.9333333333333331E-2</v>
      </c>
      <c r="N88" s="5">
        <v>2.0000000000000018E-2</v>
      </c>
      <c r="O88" s="5">
        <v>0.54108333333333336</v>
      </c>
      <c r="P88" s="5">
        <v>0.22076989467232186</v>
      </c>
      <c r="Q88" s="5">
        <v>0.48424927238486559</v>
      </c>
      <c r="R88" s="5">
        <v>7.2530502323993842E-2</v>
      </c>
      <c r="S88" s="5">
        <v>1</v>
      </c>
      <c r="T88" s="5">
        <v>2.5000000000000001E-2</v>
      </c>
      <c r="U88" s="5">
        <v>7.5000000000000067E-2</v>
      </c>
      <c r="V88" s="5">
        <v>0.57960000000000012</v>
      </c>
      <c r="W88" s="5">
        <v>0.24113853658536588</v>
      </c>
      <c r="X88" s="5">
        <v>9.6219931271477668E-2</v>
      </c>
      <c r="Y88" s="5">
        <v>1.7264043125155275E-2</v>
      </c>
      <c r="Z88" s="5">
        <v>4.9349488196521706E-2</v>
      </c>
      <c r="AA88" s="5">
        <v>2.7000000000000003E-2</v>
      </c>
      <c r="AB88" s="5">
        <v>2.8998202182264047E-4</v>
      </c>
      <c r="AC88" s="5">
        <v>9.9999999999988987E-4</v>
      </c>
      <c r="AD88" s="5">
        <v>0.96108718239394619</v>
      </c>
      <c r="AE88" s="5">
        <v>0</v>
      </c>
      <c r="AF88" s="5">
        <v>0</v>
      </c>
      <c r="AG88" s="134">
        <v>5596.9912676449067</v>
      </c>
      <c r="AH88" s="135">
        <v>8.6299844587052057</v>
      </c>
      <c r="AI88">
        <v>0.77</v>
      </c>
      <c r="AJ88" s="136">
        <v>37.72</v>
      </c>
      <c r="AK88" s="137">
        <v>0.3153437110733831</v>
      </c>
      <c r="AL88" s="138">
        <v>0.33907413296039035</v>
      </c>
      <c r="AM88" s="139">
        <v>-2.3730421887007247E-2</v>
      </c>
      <c r="AN88" s="139">
        <v>8.1968227818310188E-2</v>
      </c>
    </row>
    <row r="89" spans="2:40">
      <c r="B89" s="16" t="s">
        <v>177</v>
      </c>
      <c r="C89" s="15" t="s">
        <v>178</v>
      </c>
      <c r="D89" s="133">
        <v>0.26670654928215998</v>
      </c>
      <c r="E89" s="4">
        <v>0.30166656528791574</v>
      </c>
      <c r="F89" s="4">
        <v>0.30250928168972241</v>
      </c>
      <c r="G89" s="6">
        <v>0.25576645260111347</v>
      </c>
      <c r="H89" s="6">
        <v>0.20688389754988812</v>
      </c>
      <c r="I89" s="5">
        <v>0.46958333333333335</v>
      </c>
      <c r="J89" s="5">
        <v>0.28941605839416057</v>
      </c>
      <c r="K89" s="5">
        <v>5.0000000000000044E-2</v>
      </c>
      <c r="L89" s="5">
        <v>0.80500000000000038</v>
      </c>
      <c r="M89" s="5">
        <v>0.16600000000000001</v>
      </c>
      <c r="N89" s="5">
        <v>3.0000000000000027E-2</v>
      </c>
      <c r="O89" s="5">
        <v>8.5833333333333421E-3</v>
      </c>
      <c r="P89" s="5">
        <v>0.41627866512486444</v>
      </c>
      <c r="Q89" s="5">
        <v>0.96533531571219389</v>
      </c>
      <c r="R89" s="5">
        <v>0.35974458479369836</v>
      </c>
      <c r="S89" s="5">
        <v>2.5113791174244202E-2</v>
      </c>
      <c r="T89" s="5">
        <v>0.04</v>
      </c>
      <c r="U89" s="5">
        <v>0.87499999999999967</v>
      </c>
      <c r="V89" s="5">
        <v>0.22160000000000002</v>
      </c>
      <c r="W89" s="5">
        <v>0.33141463414634131</v>
      </c>
      <c r="X89" s="5">
        <v>7.6923076923076927E-2</v>
      </c>
      <c r="Y89" s="5">
        <v>3.3190098585014903E-3</v>
      </c>
      <c r="Z89" s="5">
        <v>2.634199467876145E-2</v>
      </c>
      <c r="AA89" s="5">
        <v>7.0000000000000007E-2</v>
      </c>
      <c r="AB89" s="5">
        <v>0</v>
      </c>
      <c r="AC89" s="5">
        <v>0</v>
      </c>
      <c r="AD89" s="5">
        <v>0</v>
      </c>
      <c r="AE89" s="5">
        <v>1.66685187243027E-3</v>
      </c>
      <c r="AF89" s="5">
        <v>0.10120000000000007</v>
      </c>
      <c r="AG89" s="134">
        <v>11509.932171313365</v>
      </c>
      <c r="AH89" s="135">
        <v>9.3509656086762671</v>
      </c>
      <c r="AI89">
        <v>0.80400000000000005</v>
      </c>
      <c r="AJ89" s="136">
        <v>30.880000000000003</v>
      </c>
      <c r="AK89" s="137">
        <v>0.26670654928215992</v>
      </c>
      <c r="AL89" s="138">
        <v>0.28651460712749999</v>
      </c>
      <c r="AM89" s="139">
        <v>-1.9808057845340066E-2</v>
      </c>
      <c r="AN89" s="139">
        <v>4.0425948296690023E-2</v>
      </c>
    </row>
    <row r="90" spans="2:40">
      <c r="B90" s="16" t="s">
        <v>179</v>
      </c>
      <c r="C90" s="15" t="s">
        <v>180</v>
      </c>
      <c r="D90" s="133">
        <v>0.449232689128785</v>
      </c>
      <c r="E90" s="4">
        <v>0.30248225057304862</v>
      </c>
      <c r="F90" s="4">
        <v>0.43517907644148823</v>
      </c>
      <c r="G90" s="6">
        <v>0.56191702631280027</v>
      </c>
      <c r="H90" s="6">
        <v>0.49735240318780161</v>
      </c>
      <c r="I90" s="5">
        <v>0.14766666666666661</v>
      </c>
      <c r="J90" s="5">
        <v>8.9087947882736163E-2</v>
      </c>
      <c r="K90" s="5">
        <v>0.41000000000000003</v>
      </c>
      <c r="L90" s="5">
        <v>0.2368055555555556</v>
      </c>
      <c r="M90" s="5">
        <v>0.24133333333333334</v>
      </c>
      <c r="N90" s="5">
        <v>0.69</v>
      </c>
      <c r="O90" s="5">
        <v>0.24158333333333334</v>
      </c>
      <c r="P90" s="5">
        <v>0.78100000000000014</v>
      </c>
      <c r="Q90" s="5">
        <v>0.90247301051671425</v>
      </c>
      <c r="R90" s="5">
        <v>0.22817030714922726</v>
      </c>
      <c r="S90" s="5">
        <v>0.24784780764965456</v>
      </c>
      <c r="T90" s="5">
        <v>0.21000000000000002</v>
      </c>
      <c r="U90" s="5">
        <v>0.40833333333333333</v>
      </c>
      <c r="V90" s="5">
        <v>0.90003999999999995</v>
      </c>
      <c r="W90" s="5">
        <v>0.6022234146341463</v>
      </c>
      <c r="X90" s="5">
        <v>0.43912737508796623</v>
      </c>
      <c r="Y90" s="5">
        <v>0.36066477720155715</v>
      </c>
      <c r="Z90" s="5">
        <v>0.66111325761979867</v>
      </c>
      <c r="AA90" s="5">
        <v>4.0000000000000001E-3</v>
      </c>
      <c r="AB90" s="5">
        <v>9.1353185574827925E-3</v>
      </c>
      <c r="AC90" s="5">
        <v>0.85</v>
      </c>
      <c r="AD90" s="5">
        <v>0.50019529542488639</v>
      </c>
      <c r="AE90" s="5">
        <v>2.8991109393119444E-2</v>
      </c>
      <c r="AF90" s="5">
        <v>0.85880000114440902</v>
      </c>
      <c r="AG90" s="134">
        <v>1572.5747560382999</v>
      </c>
      <c r="AH90" s="135">
        <v>7.360469527055626</v>
      </c>
      <c r="AI90">
        <v>0.54100000000000004</v>
      </c>
      <c r="AJ90" s="136">
        <v>47.68</v>
      </c>
      <c r="AK90" s="137">
        <v>0.44923268912878467</v>
      </c>
      <c r="AL90" s="138">
        <v>0.4316217714776448</v>
      </c>
      <c r="AM90" s="139">
        <v>1.7610917651139868E-2</v>
      </c>
      <c r="AN90" s="139">
        <v>0.79862756480467323</v>
      </c>
    </row>
    <row r="91" spans="2:40">
      <c r="B91" s="16" t="s">
        <v>181</v>
      </c>
      <c r="C91" s="15" t="s">
        <v>182</v>
      </c>
      <c r="D91" s="133" t="e">
        <v>#N/A</v>
      </c>
      <c r="E91" s="4" t="e">
        <v>#DIV/0!</v>
      </c>
      <c r="F91" s="4" t="e">
        <v>#N/A</v>
      </c>
      <c r="G91" s="6">
        <v>0.50505194540891185</v>
      </c>
      <c r="H91" s="6" t="e">
        <v>#N/A</v>
      </c>
      <c r="I91" s="5">
        <v>0.23975000000000002</v>
      </c>
      <c r="J91" s="5" t="e">
        <v>#DIV/0!</v>
      </c>
      <c r="K91" s="5">
        <v>0.39</v>
      </c>
      <c r="L91" s="5">
        <v>0.12305555555555553</v>
      </c>
      <c r="M91" s="5">
        <v>0.13733333333333334</v>
      </c>
      <c r="N91" s="5">
        <v>0.69</v>
      </c>
      <c r="O91" s="5">
        <v>0.44466666666666665</v>
      </c>
      <c r="P91" s="5">
        <v>0.56079999999999997</v>
      </c>
      <c r="Q91" s="5">
        <v>0.8833333333333333</v>
      </c>
      <c r="R91" s="5">
        <v>0.10395099010684958</v>
      </c>
      <c r="S91" s="5">
        <v>0.81990195235228347</v>
      </c>
      <c r="T91" s="5" t="e">
        <v>#N/A</v>
      </c>
      <c r="U91" s="5">
        <v>0.76666666666666661</v>
      </c>
      <c r="V91" s="5">
        <v>0.74652000000000007</v>
      </c>
      <c r="W91" s="5">
        <v>0.48102439024390231</v>
      </c>
      <c r="X91" s="5">
        <v>0.26592517694641049</v>
      </c>
      <c r="Y91" s="5">
        <v>0.27017543859649124</v>
      </c>
      <c r="Z91" s="5">
        <v>0.5</v>
      </c>
      <c r="AA91" s="5">
        <v>1</v>
      </c>
      <c r="AB91" s="5" t="e">
        <v>#N/A</v>
      </c>
      <c r="AC91" s="5">
        <v>0.4</v>
      </c>
      <c r="AD91" s="5">
        <v>0</v>
      </c>
      <c r="AE91" s="5">
        <v>0</v>
      </c>
      <c r="AF91" s="5" t="e">
        <v>#N/A</v>
      </c>
      <c r="AG91" s="134">
        <v>2432.209022502836</v>
      </c>
      <c r="AH91" s="135">
        <v>7.7965551861456577</v>
      </c>
      <c r="AI91" t="s">
        <v>545</v>
      </c>
      <c r="AJ91" s="136" t="e">
        <v>#N/A</v>
      </c>
      <c r="AK91" s="137" t="e">
        <v>#N/A</v>
      </c>
      <c r="AL91" s="138">
        <v>0.39983112692998146</v>
      </c>
      <c r="AM91" s="139" t="e">
        <v>#N/A</v>
      </c>
      <c r="AN91" s="139">
        <v>1.0769230769230769</v>
      </c>
    </row>
    <row r="92" spans="2:40">
      <c r="B92" s="16" t="s">
        <v>183</v>
      </c>
      <c r="C92" s="15" t="s">
        <v>184</v>
      </c>
      <c r="D92" s="133" t="e">
        <v>#N/A</v>
      </c>
      <c r="E92" s="4" t="e">
        <v>#N/A</v>
      </c>
      <c r="F92" s="4">
        <v>0.34982872668629234</v>
      </c>
      <c r="G92" s="6" t="e">
        <v>#N/A</v>
      </c>
      <c r="H92" s="6" t="e">
        <v>#N/A</v>
      </c>
      <c r="I92" s="5">
        <v>0.30058333333333331</v>
      </c>
      <c r="J92" s="5">
        <v>8.9513933895009709E-2</v>
      </c>
      <c r="K92" s="5">
        <v>0</v>
      </c>
      <c r="L92" s="5">
        <v>0.63541666666666652</v>
      </c>
      <c r="M92" s="5" t="e">
        <v>#N/A</v>
      </c>
      <c r="N92" s="5">
        <v>0.41000000000000003</v>
      </c>
      <c r="O92" s="5">
        <v>0.26791666666666664</v>
      </c>
      <c r="P92" s="5">
        <v>0.36959999999999998</v>
      </c>
      <c r="Q92" s="5">
        <v>0.50765864332603938</v>
      </c>
      <c r="R92" s="5">
        <v>0.32</v>
      </c>
      <c r="S92" s="5">
        <v>0.22879705012504797</v>
      </c>
      <c r="T92" s="5">
        <v>0.40499999999999997</v>
      </c>
      <c r="U92" s="5" t="e">
        <v>#N/A</v>
      </c>
      <c r="V92" s="5">
        <v>0.53879999999999995</v>
      </c>
      <c r="W92" s="5">
        <v>0.3526721951219508</v>
      </c>
      <c r="X92" s="5">
        <v>0.30769230769230771</v>
      </c>
      <c r="Y92" s="5" t="e">
        <v>#N/A</v>
      </c>
      <c r="Z92" s="5">
        <v>0.10740015831219563</v>
      </c>
      <c r="AA92" s="5">
        <v>4.2999999999999997E-2</v>
      </c>
      <c r="AB92" s="5">
        <v>0.1021548238422606</v>
      </c>
      <c r="AC92" s="5" t="e">
        <v>#N/A</v>
      </c>
      <c r="AD92" s="5">
        <v>0.59547430843658833</v>
      </c>
      <c r="AE92" s="5">
        <v>9.9659496719541565E-2</v>
      </c>
      <c r="AF92" s="5">
        <v>0.97166784048080435</v>
      </c>
      <c r="AG92" s="134">
        <v>1244</v>
      </c>
      <c r="AH92" s="135">
        <v>7.1260872732991247</v>
      </c>
      <c r="AI92" t="s">
        <v>545</v>
      </c>
      <c r="AJ92" s="136">
        <v>31</v>
      </c>
      <c r="AK92" s="137" t="e">
        <v>#N/A</v>
      </c>
      <c r="AL92" s="138">
        <v>0.44870823777649371</v>
      </c>
      <c r="AM92" s="139" t="e">
        <v>#N/A</v>
      </c>
      <c r="AN92" s="139">
        <v>0.49787690076264446</v>
      </c>
    </row>
    <row r="93" spans="2:40">
      <c r="B93" s="16" t="s">
        <v>185</v>
      </c>
      <c r="C93" s="15" t="s">
        <v>186</v>
      </c>
      <c r="D93" s="133">
        <v>0.26382066513636498</v>
      </c>
      <c r="E93" s="4">
        <v>0.20194091078165688</v>
      </c>
      <c r="F93" s="4">
        <v>0.26120924542768648</v>
      </c>
      <c r="G93" s="6">
        <v>0.23852122970349801</v>
      </c>
      <c r="H93" s="6">
        <v>0.35361127463262054</v>
      </c>
      <c r="I93" s="5">
        <v>0.38691666666666669</v>
      </c>
      <c r="J93" s="5">
        <v>0.36542324246771879</v>
      </c>
      <c r="K93" s="5">
        <v>2.0000000000000018E-2</v>
      </c>
      <c r="L93" s="5">
        <v>0.43930555555555584</v>
      </c>
      <c r="M93" s="5">
        <v>0</v>
      </c>
      <c r="N93" s="5">
        <v>0</v>
      </c>
      <c r="O93" s="5">
        <v>0.29558333333333331</v>
      </c>
      <c r="P93" s="5">
        <v>0.18310928472468568</v>
      </c>
      <c r="Q93" s="5">
        <v>0</v>
      </c>
      <c r="R93" s="5">
        <v>0.31874269223908025</v>
      </c>
      <c r="S93" s="5">
        <v>0.7698201622690195</v>
      </c>
      <c r="T93" s="5">
        <v>0</v>
      </c>
      <c r="U93" s="5">
        <v>0.76666666666666661</v>
      </c>
      <c r="V93" s="5">
        <v>0.49812000000000001</v>
      </c>
      <c r="W93" s="5">
        <v>9.4478048780488044E-2</v>
      </c>
      <c r="X93" s="5">
        <v>6.6513761467889912E-2</v>
      </c>
      <c r="Y93" s="5">
        <v>0</v>
      </c>
      <c r="Z93" s="5">
        <v>5.348901305943364E-3</v>
      </c>
      <c r="AA93" s="5">
        <v>5.0999999999999997E-2</v>
      </c>
      <c r="AB93" s="5">
        <v>6.158470761612117E-2</v>
      </c>
      <c r="AC93" s="5">
        <v>0.74</v>
      </c>
      <c r="AD93" s="5">
        <v>0.80685746340091957</v>
      </c>
      <c r="AE93" s="5">
        <v>0.17024349979364423</v>
      </c>
      <c r="AF93" s="5">
        <v>0.21499999999999997</v>
      </c>
      <c r="AG93" s="134">
        <v>27099.777575974731</v>
      </c>
      <c r="AH93" s="135">
        <v>10.207280799305503</v>
      </c>
      <c r="AI93">
        <v>0.93700000000000006</v>
      </c>
      <c r="AJ93" s="136">
        <v>31.59</v>
      </c>
      <c r="AK93" s="137">
        <v>0.26382066513636548</v>
      </c>
      <c r="AL93" s="138">
        <v>0.22408922973062873</v>
      </c>
      <c r="AM93" s="139">
        <v>3.9731435405736759E-2</v>
      </c>
      <c r="AN93" s="139">
        <v>4.3348415887746725E-2</v>
      </c>
    </row>
    <row r="94" spans="2:40">
      <c r="B94" s="16" t="s">
        <v>187</v>
      </c>
      <c r="C94" s="15" t="s">
        <v>188</v>
      </c>
      <c r="D94" s="133">
        <v>0.29626991565706301</v>
      </c>
      <c r="E94" s="4">
        <v>0.4126435185185186</v>
      </c>
      <c r="F94" s="4">
        <v>0.43266238886537517</v>
      </c>
      <c r="G94" s="6">
        <v>0.14887294422401107</v>
      </c>
      <c r="H94" s="6">
        <v>0.19090081102034687</v>
      </c>
      <c r="I94" s="5">
        <v>0.87391666666666667</v>
      </c>
      <c r="J94" s="5">
        <v>1</v>
      </c>
      <c r="K94" s="5">
        <v>1.0000000000000009E-2</v>
      </c>
      <c r="L94" s="5">
        <v>0.59194444444444472</v>
      </c>
      <c r="M94" s="5">
        <v>0</v>
      </c>
      <c r="N94" s="5">
        <v>0</v>
      </c>
      <c r="O94" s="5">
        <v>0.54108333333333336</v>
      </c>
      <c r="P94" s="5">
        <v>1.6199999999999971E-2</v>
      </c>
      <c r="Q94" s="5">
        <v>0.84064327485380119</v>
      </c>
      <c r="R94" s="5">
        <v>5.3047725005116696E-2</v>
      </c>
      <c r="S94" s="5">
        <v>1</v>
      </c>
      <c r="T94" s="5">
        <v>0.14499999999999999</v>
      </c>
      <c r="U94" s="5">
        <v>7.5000000000000067E-2</v>
      </c>
      <c r="V94" s="5">
        <v>0.56428000000000011</v>
      </c>
      <c r="W94" s="5">
        <v>0.13799609756097542</v>
      </c>
      <c r="X94" s="5">
        <v>0.11041666666666666</v>
      </c>
      <c r="Y94" s="5">
        <v>0</v>
      </c>
      <c r="Z94" s="5">
        <v>5.5449011164241504E-3</v>
      </c>
      <c r="AA94" s="5">
        <v>6.3E-2</v>
      </c>
      <c r="AB94" s="5">
        <v>0.24163408012917145</v>
      </c>
      <c r="AC94" s="5">
        <v>0</v>
      </c>
      <c r="AD94" s="5">
        <v>0</v>
      </c>
      <c r="AE94" s="5">
        <v>8.4175084175084167E-2</v>
      </c>
      <c r="AF94" s="5">
        <v>0.15000000000000002</v>
      </c>
      <c r="AG94" s="134">
        <v>48631.319212014401</v>
      </c>
      <c r="AH94" s="135">
        <v>10.792023030564627</v>
      </c>
      <c r="AI94">
        <v>0.91600000000000004</v>
      </c>
      <c r="AJ94" s="136">
        <v>30</v>
      </c>
      <c r="AK94" s="137">
        <v>0.29626991565706295</v>
      </c>
      <c r="AL94" s="138">
        <v>0.18146152107183855</v>
      </c>
      <c r="AM94" s="139">
        <v>0.1148083945852244</v>
      </c>
      <c r="AN94" s="139">
        <v>1.1792452830188679E-4</v>
      </c>
    </row>
    <row r="95" spans="2:40">
      <c r="B95" s="16" t="s">
        <v>189</v>
      </c>
      <c r="C95" s="15" t="s">
        <v>190</v>
      </c>
      <c r="D95" s="133">
        <v>0.31081793781085398</v>
      </c>
      <c r="E95" s="4">
        <v>0.3474916835162718</v>
      </c>
      <c r="F95" s="4">
        <v>0.35622877089557359</v>
      </c>
      <c r="G95" s="6">
        <v>0.19410401904150523</v>
      </c>
      <c r="H95" s="6">
        <v>0.34544727779006568</v>
      </c>
      <c r="I95" s="5">
        <v>0.52533333333333332</v>
      </c>
      <c r="J95" s="5">
        <v>0.43674176776429813</v>
      </c>
      <c r="K95" s="5">
        <v>9.9999999999999978E-2</v>
      </c>
      <c r="L95" s="5">
        <v>0.79020833333333318</v>
      </c>
      <c r="M95" s="5">
        <v>0.16266666666666665</v>
      </c>
      <c r="N95" s="5">
        <v>6.9999999999999951E-2</v>
      </c>
      <c r="O95" s="5">
        <v>0.2485</v>
      </c>
      <c r="P95" s="5">
        <v>0.63560000000000005</v>
      </c>
      <c r="Q95" s="5">
        <v>0.64995831705095841</v>
      </c>
      <c r="R95" s="5">
        <v>0.30058638796838888</v>
      </c>
      <c r="S95" s="5">
        <v>0.28772792035409428</v>
      </c>
      <c r="T95" s="5">
        <v>1.4999999999999999E-2</v>
      </c>
      <c r="U95" s="5">
        <v>7.5000000000000067E-2</v>
      </c>
      <c r="V95" s="5">
        <v>0.45516000000000001</v>
      </c>
      <c r="W95" s="5">
        <v>0.35723902439024391</v>
      </c>
      <c r="X95" s="5">
        <v>0.10081008100810081</v>
      </c>
      <c r="Y95" s="5">
        <v>0.12115630901084881</v>
      </c>
      <c r="Z95" s="5">
        <v>5.5258699839837909E-2</v>
      </c>
      <c r="AA95" s="5">
        <v>0</v>
      </c>
      <c r="AB95" s="5">
        <v>0</v>
      </c>
      <c r="AC95" s="5">
        <v>0</v>
      </c>
      <c r="AD95" s="5">
        <v>0.96016776857898345</v>
      </c>
      <c r="AE95" s="5">
        <v>7.8206465067778945E-3</v>
      </c>
      <c r="AF95" s="5">
        <v>8.9000015258789089E-2</v>
      </c>
      <c r="AG95" s="134">
        <v>2283.3054419981331</v>
      </c>
      <c r="AH95" s="135">
        <v>7.7333794273302559</v>
      </c>
      <c r="AI95">
        <v>0.71</v>
      </c>
      <c r="AJ95" s="136">
        <v>33.43</v>
      </c>
      <c r="AK95" s="137">
        <v>0.31081793781085409</v>
      </c>
      <c r="AL95" s="138">
        <v>0.40443663974762423</v>
      </c>
      <c r="AM95" s="139">
        <v>-9.3618701936770132E-2</v>
      </c>
      <c r="AN95" s="139">
        <v>2.1457693993862342E-3</v>
      </c>
    </row>
    <row r="96" spans="2:40">
      <c r="B96" s="16" t="s">
        <v>191</v>
      </c>
      <c r="C96" s="15" t="s">
        <v>192</v>
      </c>
      <c r="D96" s="133">
        <v>0.40991491597561203</v>
      </c>
      <c r="E96" s="4">
        <v>0.31014508370814592</v>
      </c>
      <c r="F96" s="4">
        <v>0.45991306090281209</v>
      </c>
      <c r="G96" s="6">
        <v>0.47958586360113892</v>
      </c>
      <c r="H96" s="6">
        <v>0.39001565569035235</v>
      </c>
      <c r="I96" s="5">
        <v>0.51700000000000002</v>
      </c>
      <c r="J96" s="5">
        <v>8.9955022488755615E-3</v>
      </c>
      <c r="K96" s="5">
        <v>0.43000000000000005</v>
      </c>
      <c r="L96" s="5">
        <v>0.27354166666666668</v>
      </c>
      <c r="M96" s="5">
        <v>0.16133333333333333</v>
      </c>
      <c r="N96" s="5">
        <v>0.47</v>
      </c>
      <c r="O96" s="5">
        <v>0.49116666666666664</v>
      </c>
      <c r="P96" s="5">
        <v>0.67959999999999998</v>
      </c>
      <c r="Q96" s="5">
        <v>0.98581196581196584</v>
      </c>
      <c r="R96" s="5">
        <v>0.12653054544233644</v>
      </c>
      <c r="S96" s="5">
        <v>2.6369187495903015E-2</v>
      </c>
      <c r="T96" s="5">
        <v>0.45</v>
      </c>
      <c r="U96" s="5">
        <v>0.76666666666666661</v>
      </c>
      <c r="V96" s="5">
        <v>0.91152</v>
      </c>
      <c r="W96" s="5">
        <v>0.39180926829268292</v>
      </c>
      <c r="X96" s="5">
        <v>0.29984051036682613</v>
      </c>
      <c r="Y96" s="5">
        <v>0</v>
      </c>
      <c r="Z96" s="5">
        <v>0.50767873628065741</v>
      </c>
      <c r="AA96" s="5">
        <v>0</v>
      </c>
      <c r="AB96" s="5">
        <v>0</v>
      </c>
      <c r="AC96" s="5">
        <v>0.44999999999999996</v>
      </c>
      <c r="AD96" s="5" t="e">
        <v>#N/A</v>
      </c>
      <c r="AE96" s="5">
        <v>4.5493934142114389E-2</v>
      </c>
      <c r="AF96" s="5">
        <v>0.86460000000000004</v>
      </c>
      <c r="AG96" s="134">
        <v>2255.4408179493616</v>
      </c>
      <c r="AH96" s="135">
        <v>7.7211007175103479</v>
      </c>
      <c r="AI96">
        <v>0.61899999999999999</v>
      </c>
      <c r="AJ96" s="136">
        <v>36.74</v>
      </c>
      <c r="AK96" s="137">
        <v>0.40991491597561236</v>
      </c>
      <c r="AL96" s="138">
        <v>0.4053317576934955</v>
      </c>
      <c r="AM96" s="139">
        <v>4.5831582821168615E-3</v>
      </c>
      <c r="AN96" s="139">
        <v>0.99143448570209136</v>
      </c>
    </row>
    <row r="97" spans="2:40">
      <c r="B97" s="16" t="s">
        <v>193</v>
      </c>
      <c r="C97" s="15" t="s">
        <v>194</v>
      </c>
      <c r="D97" s="133">
        <v>0.230818725048796</v>
      </c>
      <c r="E97" s="4">
        <v>0.22852966489056051</v>
      </c>
      <c r="F97" s="4">
        <v>0.17915378560786047</v>
      </c>
      <c r="G97" s="6">
        <v>0.27533272087381944</v>
      </c>
      <c r="H97" s="6">
        <v>0.24025872882294541</v>
      </c>
      <c r="I97" s="5">
        <v>0.38800000000000001</v>
      </c>
      <c r="J97" s="5">
        <v>1.1650211565585329E-2</v>
      </c>
      <c r="K97" s="5">
        <v>1.0000000000000009E-2</v>
      </c>
      <c r="L97" s="5">
        <v>0.74152777777777779</v>
      </c>
      <c r="M97" s="5">
        <v>0</v>
      </c>
      <c r="N97" s="5">
        <v>0.21999999999999997</v>
      </c>
      <c r="O97" s="5">
        <v>0.27966666666666667</v>
      </c>
      <c r="P97" s="5">
        <v>0.31854175232279691</v>
      </c>
      <c r="Q97" s="5">
        <v>0.29290455840450003</v>
      </c>
      <c r="R97" s="5">
        <v>3.8013662898866867E-2</v>
      </c>
      <c r="S97" s="5">
        <v>0.1457960733543324</v>
      </c>
      <c r="T97" s="5">
        <v>0</v>
      </c>
      <c r="U97" s="5">
        <v>0.87499999999999967</v>
      </c>
      <c r="V97" s="5">
        <v>0.49328000000000005</v>
      </c>
      <c r="W97" s="5">
        <v>0.23839024390243879</v>
      </c>
      <c r="X97" s="5">
        <v>3.8314176245210725E-2</v>
      </c>
      <c r="Y97" s="5">
        <v>0</v>
      </c>
      <c r="Z97" s="5">
        <v>7.0119050952672495E-3</v>
      </c>
      <c r="AA97" s="5">
        <v>1.4999999999999999E-2</v>
      </c>
      <c r="AB97" s="5">
        <v>0.33647723622301134</v>
      </c>
      <c r="AC97" s="5">
        <v>0</v>
      </c>
      <c r="AD97" s="5">
        <v>0.83621937960344073</v>
      </c>
      <c r="AE97" s="5">
        <v>0</v>
      </c>
      <c r="AF97" s="5">
        <v>0</v>
      </c>
      <c r="AG97" s="134">
        <v>16437.411064003009</v>
      </c>
      <c r="AH97" s="135">
        <v>9.7073151783505338</v>
      </c>
      <c r="AI97">
        <v>0.86599999999999999</v>
      </c>
      <c r="AJ97" s="136">
        <v>35.730000000000004</v>
      </c>
      <c r="AK97" s="137">
        <v>0.23081872504879647</v>
      </c>
      <c r="AL97" s="138">
        <v>0.26053672349824597</v>
      </c>
      <c r="AM97" s="139">
        <v>-2.9717998449449501E-2</v>
      </c>
      <c r="AN97" s="139">
        <v>3.0424339471577261E-5</v>
      </c>
    </row>
    <row r="98" spans="2:40">
      <c r="B98" s="16" t="s">
        <v>195</v>
      </c>
      <c r="C98" s="15" t="s">
        <v>196</v>
      </c>
      <c r="D98" s="133">
        <v>0.28564894061600299</v>
      </c>
      <c r="E98" s="4">
        <v>0.26374241863449061</v>
      </c>
      <c r="F98" s="4">
        <v>0.34492771114685189</v>
      </c>
      <c r="G98" s="6">
        <v>0.18383047465671018</v>
      </c>
      <c r="H98" s="6">
        <v>0.33664925636277904</v>
      </c>
      <c r="I98" s="5">
        <v>0.76991666666666669</v>
      </c>
      <c r="J98" s="5">
        <v>0.31823228958472127</v>
      </c>
      <c r="K98" s="5">
        <v>0</v>
      </c>
      <c r="L98" s="5">
        <v>0.44763888888888881</v>
      </c>
      <c r="M98" s="5">
        <v>2.6666666666666668E-2</v>
      </c>
      <c r="N98" s="5">
        <v>2.0000000000000018E-2</v>
      </c>
      <c r="O98" s="5">
        <v>0.54108333333333336</v>
      </c>
      <c r="P98" s="5">
        <v>0.12919999999999993</v>
      </c>
      <c r="Q98" s="5">
        <v>0.40636574074066667</v>
      </c>
      <c r="R98" s="5">
        <v>8.4341242254193705E-2</v>
      </c>
      <c r="S98" s="5">
        <v>0.89357595055291728</v>
      </c>
      <c r="T98" s="5">
        <v>1.4999999999999999E-2</v>
      </c>
      <c r="U98" s="5">
        <v>7.5000000000000067E-2</v>
      </c>
      <c r="V98" s="5">
        <v>0.67999999999999994</v>
      </c>
      <c r="W98" s="5">
        <v>0.25540439024390227</v>
      </c>
      <c r="X98" s="5">
        <v>6.6666666666666666E-2</v>
      </c>
      <c r="Y98" s="5">
        <v>1.3465805869608246E-2</v>
      </c>
      <c r="Z98" s="5">
        <v>1.2445985160083686E-2</v>
      </c>
      <c r="AA98" s="5">
        <v>2E-3</v>
      </c>
      <c r="AB98" s="5">
        <v>0.13745717182065673</v>
      </c>
      <c r="AC98" s="5">
        <v>9.9999999999988987E-4</v>
      </c>
      <c r="AD98" s="5">
        <v>0.96429032816571592</v>
      </c>
      <c r="AE98" s="5">
        <v>0.1466275659824047</v>
      </c>
      <c r="AF98" s="5">
        <v>0.1509999847412109</v>
      </c>
      <c r="AG98" s="134">
        <v>13069.734119079485</v>
      </c>
      <c r="AH98" s="135">
        <v>9.4780544635712172</v>
      </c>
      <c r="AI98">
        <v>0.80300000000000005</v>
      </c>
      <c r="AJ98" s="136">
        <v>45</v>
      </c>
      <c r="AK98" s="137">
        <v>0.28228746520020792</v>
      </c>
      <c r="AL98" s="138">
        <v>0.27724982960565814</v>
      </c>
      <c r="AM98" s="139">
        <v>5.037635594549783E-3</v>
      </c>
      <c r="AN98" s="139">
        <v>3.9071428571428569E-2</v>
      </c>
    </row>
    <row r="99" spans="2:40">
      <c r="B99" s="16" t="s">
        <v>197</v>
      </c>
      <c r="C99" s="15" t="s">
        <v>198</v>
      </c>
      <c r="D99" s="133" t="e">
        <v>#N/A</v>
      </c>
      <c r="E99" s="4">
        <v>0.31554922236929189</v>
      </c>
      <c r="F99" s="4">
        <v>0.53074146604841776</v>
      </c>
      <c r="G99" s="6">
        <v>0.57275180706800111</v>
      </c>
      <c r="H99" s="6" t="e">
        <v>#N/A</v>
      </c>
      <c r="I99" s="5">
        <v>0.62324999999999997</v>
      </c>
      <c r="J99" s="5">
        <v>1.6545334215751162E-2</v>
      </c>
      <c r="K99" s="5">
        <v>0.15000000000000002</v>
      </c>
      <c r="L99" s="5">
        <v>0.36416666666666675</v>
      </c>
      <c r="M99" s="5">
        <v>2.9333333333333333E-2</v>
      </c>
      <c r="N99" s="5">
        <v>0.71</v>
      </c>
      <c r="O99" s="5">
        <v>0.69216666666666671</v>
      </c>
      <c r="P99" s="5">
        <v>0.73819999999999997</v>
      </c>
      <c r="Q99" s="5">
        <v>0.89583333333333337</v>
      </c>
      <c r="R99" s="5">
        <v>0.14281621503121339</v>
      </c>
      <c r="S99" s="5">
        <v>0.53543258125929272</v>
      </c>
      <c r="T99" s="5">
        <v>0.18</v>
      </c>
      <c r="U99" s="5">
        <v>0.40833333333333333</v>
      </c>
      <c r="V99" s="5">
        <v>0.94840000000000002</v>
      </c>
      <c r="W99" s="5">
        <v>0.79292487804878031</v>
      </c>
      <c r="X99" s="5">
        <v>0.57834101382488479</v>
      </c>
      <c r="Y99" s="5">
        <v>0.30402279493198103</v>
      </c>
      <c r="Z99" s="5">
        <v>0.40448882226902749</v>
      </c>
      <c r="AA99" s="5">
        <v>0</v>
      </c>
      <c r="AB99" s="5">
        <v>0</v>
      </c>
      <c r="AC99" s="5">
        <v>0.84</v>
      </c>
      <c r="AD99" s="5" t="e">
        <v>#N/A</v>
      </c>
      <c r="AE99" s="5">
        <v>0</v>
      </c>
      <c r="AF99" s="5">
        <v>0.81700000762939495</v>
      </c>
      <c r="AG99" s="134">
        <v>1467.5618293189252</v>
      </c>
      <c r="AH99" s="135">
        <v>7.2913576832296467</v>
      </c>
      <c r="AI99">
        <v>0.51400000000000001</v>
      </c>
      <c r="AJ99" s="136">
        <v>52.5</v>
      </c>
      <c r="AK99" s="137">
        <v>0.47301416516190359</v>
      </c>
      <c r="AL99" s="138">
        <v>0.43666002489255862</v>
      </c>
      <c r="AM99" s="139">
        <v>3.635414026934497E-2</v>
      </c>
      <c r="AN99" s="139">
        <v>1.1608871063576947</v>
      </c>
    </row>
    <row r="100" spans="2:40">
      <c r="B100" s="16" t="s">
        <v>199</v>
      </c>
      <c r="C100" s="15" t="s">
        <v>200</v>
      </c>
      <c r="D100" s="133">
        <v>0.490816275990825</v>
      </c>
      <c r="E100" s="4">
        <v>0.39040832535121323</v>
      </c>
      <c r="F100" s="4">
        <v>0.52907922637466309</v>
      </c>
      <c r="G100" s="6">
        <v>0.6113770363305121</v>
      </c>
      <c r="H100" s="6">
        <v>0.43240051590691148</v>
      </c>
      <c r="I100" s="5">
        <v>0.38883333333333325</v>
      </c>
      <c r="J100" s="5">
        <v>7.6939655172413783E-4</v>
      </c>
      <c r="K100" s="5">
        <v>0.31999999999999995</v>
      </c>
      <c r="L100" s="5">
        <v>0.2128472222222223</v>
      </c>
      <c r="M100" s="5">
        <v>0.59</v>
      </c>
      <c r="N100" s="5">
        <v>0.83</v>
      </c>
      <c r="O100" s="5">
        <v>0.62008333333333332</v>
      </c>
      <c r="P100" s="5">
        <v>0.39179999999999998</v>
      </c>
      <c r="Q100" s="5">
        <v>1</v>
      </c>
      <c r="R100" s="5">
        <v>0.26250341295129365</v>
      </c>
      <c r="S100" s="5">
        <v>0.60508861196335151</v>
      </c>
      <c r="T100" s="5">
        <v>0.29500000000000004</v>
      </c>
      <c r="U100" s="5">
        <v>0.20833333333333315</v>
      </c>
      <c r="V100" s="5">
        <v>0.97784000000000004</v>
      </c>
      <c r="W100" s="5">
        <v>0.52667609756097544</v>
      </c>
      <c r="X100" s="5">
        <v>0.48541278708876473</v>
      </c>
      <c r="Y100" s="5">
        <v>0.47</v>
      </c>
      <c r="Z100" s="5">
        <v>1</v>
      </c>
      <c r="AA100" s="5">
        <v>0</v>
      </c>
      <c r="AB100" s="5">
        <v>0.15083000383312373</v>
      </c>
      <c r="AC100" s="5">
        <v>0.96699999999999997</v>
      </c>
      <c r="AD100" s="5" t="e">
        <v>#N/A</v>
      </c>
      <c r="AE100" s="5">
        <v>1.5573089700996679E-2</v>
      </c>
      <c r="AF100" s="5">
        <v>0.93800000190734856</v>
      </c>
      <c r="AG100" s="134">
        <v>395.98964898204304</v>
      </c>
      <c r="AH100" s="135">
        <v>5.9813880719786177</v>
      </c>
      <c r="AI100">
        <v>0.442</v>
      </c>
      <c r="AJ100" s="136">
        <v>38.159999999999997</v>
      </c>
      <c r="AK100" s="137">
        <v>0.49081627599082495</v>
      </c>
      <c r="AL100" s="138">
        <v>0.53215680955275868</v>
      </c>
      <c r="AM100" s="139">
        <v>-4.1340533561933734E-2</v>
      </c>
      <c r="AN100" s="139">
        <v>0.47299201503053079</v>
      </c>
    </row>
    <row r="101" spans="2:40">
      <c r="B101" s="16" t="s">
        <v>201</v>
      </c>
      <c r="C101" s="15" t="s">
        <v>202</v>
      </c>
      <c r="D101" s="133">
        <v>0.31017261607350999</v>
      </c>
      <c r="E101" s="4" t="e">
        <v>#N/A</v>
      </c>
      <c r="F101" s="4">
        <v>0.41806690691981374</v>
      </c>
      <c r="G101" s="6">
        <v>0.13485079367395741</v>
      </c>
      <c r="H101" s="6">
        <v>0.19774498592249209</v>
      </c>
      <c r="I101" s="5">
        <v>0.746</v>
      </c>
      <c r="J101" s="5">
        <v>1</v>
      </c>
      <c r="K101" s="5">
        <v>0.45999999999999996</v>
      </c>
      <c r="L101" s="5">
        <v>0.50416666666666665</v>
      </c>
      <c r="M101" s="5" t="e">
        <v>#N/A</v>
      </c>
      <c r="N101" s="5">
        <v>3.0000000000000027E-2</v>
      </c>
      <c r="O101" s="5">
        <v>0.66583333333333339</v>
      </c>
      <c r="P101" s="5">
        <v>0.2228</v>
      </c>
      <c r="Q101" s="5">
        <v>0.5896947133673931</v>
      </c>
      <c r="R101" s="5">
        <v>0.15615534398007125</v>
      </c>
      <c r="S101" s="5">
        <v>0.8439180508380848</v>
      </c>
      <c r="T101" s="5">
        <v>0.03</v>
      </c>
      <c r="U101" s="5">
        <v>7.5000000000000067E-2</v>
      </c>
      <c r="V101" s="5">
        <v>0.38</v>
      </c>
      <c r="W101" s="5">
        <v>0.20908878048780477</v>
      </c>
      <c r="X101" s="5">
        <v>8.8010204081632654E-2</v>
      </c>
      <c r="Y101" s="5">
        <v>1.0435967271952586E-2</v>
      </c>
      <c r="Z101" s="5">
        <v>4.6569810202354435E-2</v>
      </c>
      <c r="AA101" s="5">
        <v>8.0000000000000002E-3</v>
      </c>
      <c r="AB101" s="5">
        <v>0.15559427165075759</v>
      </c>
      <c r="AC101" s="5">
        <v>2.0000000000000018E-3</v>
      </c>
      <c r="AD101" s="5">
        <v>0</v>
      </c>
      <c r="AE101" s="5">
        <v>8.5249553860668127E-4</v>
      </c>
      <c r="AF101" s="5">
        <v>0.42799999237060493</v>
      </c>
      <c r="AG101" s="134">
        <v>16502.026672867512</v>
      </c>
      <c r="AH101" s="135">
        <v>9.7112384810044876</v>
      </c>
      <c r="AI101">
        <v>0.84699999999999998</v>
      </c>
      <c r="AJ101" s="136">
        <v>36</v>
      </c>
      <c r="AK101" s="137">
        <v>0.25022089550542109</v>
      </c>
      <c r="AL101" s="138">
        <v>0.26025071473477279</v>
      </c>
      <c r="AM101" s="139">
        <v>-1.00298192293517E-2</v>
      </c>
      <c r="AN101" s="139">
        <v>0</v>
      </c>
    </row>
    <row r="102" spans="2:40">
      <c r="B102" s="16" t="s">
        <v>203</v>
      </c>
      <c r="C102" s="15" t="s">
        <v>204</v>
      </c>
      <c r="D102" s="133" t="e">
        <v>#DIV/0!</v>
      </c>
      <c r="E102" s="4" t="e">
        <v>#DIV/0!</v>
      </c>
      <c r="F102" s="4" t="e">
        <v>#N/A</v>
      </c>
      <c r="G102" s="6" t="e">
        <v>#N/A</v>
      </c>
      <c r="H102" s="6" t="e">
        <v>#N/A</v>
      </c>
      <c r="I102" s="5">
        <v>0.42416666666666669</v>
      </c>
      <c r="J102" s="5" t="e">
        <v>#DIV/0!</v>
      </c>
      <c r="K102" s="5" t="e">
        <v>#N/A</v>
      </c>
      <c r="L102" s="5">
        <v>0.5502083333333333</v>
      </c>
      <c r="M102" s="5">
        <v>0</v>
      </c>
      <c r="N102" s="5">
        <v>0</v>
      </c>
      <c r="O102" s="5">
        <v>0.23600000000000002</v>
      </c>
      <c r="P102" s="5">
        <v>0.85740000000000005</v>
      </c>
      <c r="Q102" s="5">
        <v>0.5</v>
      </c>
      <c r="R102" s="5">
        <v>6.6148168239284988E-2</v>
      </c>
      <c r="S102" s="5" t="e">
        <v>#N/A</v>
      </c>
      <c r="T102" s="5">
        <v>0</v>
      </c>
      <c r="U102" s="5">
        <v>6.7499999999999991E-2</v>
      </c>
      <c r="V102" s="5" t="e">
        <v>#N/A</v>
      </c>
      <c r="W102" s="5">
        <v>4.104878048780447E-2</v>
      </c>
      <c r="X102" s="5" t="e">
        <v>#N/A</v>
      </c>
      <c r="Y102" s="5" t="e">
        <v>#N/A</v>
      </c>
      <c r="Z102" s="5" t="e">
        <v>#N/A</v>
      </c>
      <c r="AA102" s="5">
        <v>0</v>
      </c>
      <c r="AB102" s="5">
        <v>0</v>
      </c>
      <c r="AC102" s="5">
        <v>0</v>
      </c>
      <c r="AD102" s="5" t="e">
        <v>#N/A</v>
      </c>
      <c r="AE102" s="5">
        <v>0</v>
      </c>
      <c r="AF102" s="5" t="e">
        <v>#N/A</v>
      </c>
      <c r="AG102" s="134">
        <v>91696</v>
      </c>
      <c r="AH102" s="135">
        <v>11.426234036791518</v>
      </c>
      <c r="AI102">
        <v>0.95099999999999996</v>
      </c>
      <c r="AJ102" s="136" t="e">
        <v>#N/A</v>
      </c>
      <c r="AK102" s="137" t="e">
        <v>#N/A</v>
      </c>
      <c r="AL102" s="138">
        <v>0.13522753871789817</v>
      </c>
      <c r="AM102" s="139" t="e">
        <v>#N/A</v>
      </c>
      <c r="AN102" s="139">
        <v>0</v>
      </c>
    </row>
    <row r="103" spans="2:40">
      <c r="B103" s="16" t="s">
        <v>205</v>
      </c>
      <c r="C103" s="15" t="s">
        <v>206</v>
      </c>
      <c r="D103" s="133">
        <v>0.23230066347115699</v>
      </c>
      <c r="E103" s="4" t="e">
        <v>#N/A</v>
      </c>
      <c r="F103" s="4">
        <v>0.21856411782245078</v>
      </c>
      <c r="G103" s="6">
        <v>0.2386382912084358</v>
      </c>
      <c r="H103" s="6">
        <v>0.27009066207819443</v>
      </c>
      <c r="I103" s="5">
        <v>0.39708333333333334</v>
      </c>
      <c r="J103" s="5">
        <v>0.11076305220883535</v>
      </c>
      <c r="K103" s="5" t="e">
        <v>#N/A</v>
      </c>
      <c r="L103" s="5">
        <v>0.70361111111111119</v>
      </c>
      <c r="M103" s="5">
        <v>0</v>
      </c>
      <c r="N103" s="5">
        <v>0</v>
      </c>
      <c r="O103" s="5">
        <v>0.27966666666666667</v>
      </c>
      <c r="P103" s="5">
        <v>0.32931363417938558</v>
      </c>
      <c r="Q103" s="5">
        <v>0.3681126331811666</v>
      </c>
      <c r="R103" s="5">
        <v>0.2</v>
      </c>
      <c r="S103" s="5">
        <v>0.13429177290748573</v>
      </c>
      <c r="T103" s="5">
        <v>0</v>
      </c>
      <c r="U103" s="5">
        <v>0.87499999999999967</v>
      </c>
      <c r="V103" s="5">
        <v>0.26783999999999997</v>
      </c>
      <c r="W103" s="5">
        <v>0.24170731707317061</v>
      </c>
      <c r="X103" s="5">
        <v>4.2983565107458911E-2</v>
      </c>
      <c r="Y103" s="5">
        <v>0</v>
      </c>
      <c r="Z103" s="5">
        <v>4.2988650699854504E-3</v>
      </c>
      <c r="AA103" s="5">
        <v>2E-3</v>
      </c>
      <c r="AB103" s="5">
        <v>5.0568407302369091E-2</v>
      </c>
      <c r="AC103" s="5">
        <v>0</v>
      </c>
      <c r="AD103" s="5">
        <v>0.59281158085786678</v>
      </c>
      <c r="AE103" s="5">
        <v>0</v>
      </c>
      <c r="AF103" s="5">
        <v>0.71399999999999997</v>
      </c>
      <c r="AG103" s="134">
        <v>17308.004374939774</v>
      </c>
      <c r="AH103" s="135">
        <v>9.7589243541145478</v>
      </c>
      <c r="AI103">
        <v>0.87</v>
      </c>
      <c r="AJ103" s="136">
        <v>37.57</v>
      </c>
      <c r="AK103" s="137">
        <v>0.24243102370302702</v>
      </c>
      <c r="AL103" s="138">
        <v>0.25677441458504935</v>
      </c>
      <c r="AM103" s="139">
        <v>-1.4343390882022328E-2</v>
      </c>
      <c r="AN103" s="139">
        <v>0.2189312377210216</v>
      </c>
    </row>
    <row r="104" spans="2:40">
      <c r="B104" s="16" t="s">
        <v>207</v>
      </c>
      <c r="C104" s="15" t="s">
        <v>208</v>
      </c>
      <c r="D104" s="133">
        <v>0.17126368362993999</v>
      </c>
      <c r="E104" s="4">
        <v>0.18216248506571087</v>
      </c>
      <c r="F104" s="4">
        <v>0.25404924447967403</v>
      </c>
      <c r="G104" s="6">
        <v>3.8418545278988837E-2</v>
      </c>
      <c r="H104" s="6">
        <v>0.21042445969538484</v>
      </c>
      <c r="I104" s="5">
        <v>0.58624999999999994</v>
      </c>
      <c r="J104" s="5">
        <v>1.9419354838709674E-2</v>
      </c>
      <c r="K104" s="5">
        <v>0</v>
      </c>
      <c r="L104" s="5">
        <v>0.48597222222222214</v>
      </c>
      <c r="M104" s="5">
        <v>1.3333333333333333E-3</v>
      </c>
      <c r="N104" s="5">
        <v>0</v>
      </c>
      <c r="O104" s="5">
        <v>0.23600000000000002</v>
      </c>
      <c r="P104" s="5">
        <v>0.17666119433933664</v>
      </c>
      <c r="Q104" s="5">
        <v>3.8870967742000051E-2</v>
      </c>
      <c r="R104" s="5">
        <v>0.14185134604431165</v>
      </c>
      <c r="S104" s="5">
        <v>0.93091195875239563</v>
      </c>
      <c r="T104" s="5">
        <v>0</v>
      </c>
      <c r="U104" s="5">
        <v>6.6666666666666541E-2</v>
      </c>
      <c r="V104" s="5">
        <v>0</v>
      </c>
      <c r="W104" s="5">
        <v>9.8243902439024255E-2</v>
      </c>
      <c r="X104" s="5">
        <v>5.8962264150943397E-2</v>
      </c>
      <c r="Y104" s="5">
        <v>0</v>
      </c>
      <c r="Z104" s="5">
        <v>6.6384384172988101E-3</v>
      </c>
      <c r="AA104" s="5">
        <v>0</v>
      </c>
      <c r="AB104" s="5">
        <v>0</v>
      </c>
      <c r="AC104" s="5">
        <v>0</v>
      </c>
      <c r="AD104" s="5">
        <v>0.98008606437332035</v>
      </c>
      <c r="AE104" s="5">
        <v>0</v>
      </c>
      <c r="AF104" s="5">
        <v>0</v>
      </c>
      <c r="AG104" s="134">
        <v>83820.4182999943</v>
      </c>
      <c r="AH104" s="135">
        <v>11.336431911922281</v>
      </c>
      <c r="AI104">
        <v>0.96</v>
      </c>
      <c r="AJ104" s="136">
        <v>30.760249999999999</v>
      </c>
      <c r="AK104" s="137">
        <v>0.17126368362993966</v>
      </c>
      <c r="AL104" s="138">
        <v>0.14177411362086556</v>
      </c>
      <c r="AM104" s="139">
        <v>2.9489570009074095E-2</v>
      </c>
      <c r="AN104" s="139">
        <v>0</v>
      </c>
    </row>
    <row r="105" spans="2:40">
      <c r="B105" s="16" t="s">
        <v>209</v>
      </c>
      <c r="C105" s="15" t="s">
        <v>210</v>
      </c>
      <c r="D105" s="133">
        <v>0.45276090484339399</v>
      </c>
      <c r="E105" s="4">
        <v>0.44761893477305198</v>
      </c>
      <c r="F105" s="4">
        <v>0.49457395833387136</v>
      </c>
      <c r="G105" s="6">
        <v>0.47462359274346966</v>
      </c>
      <c r="H105" s="6">
        <v>0.39422713352318167</v>
      </c>
      <c r="I105" s="5">
        <v>0.61416666666666675</v>
      </c>
      <c r="J105" s="5">
        <v>4.3560830860534125E-2</v>
      </c>
      <c r="K105" s="5">
        <v>0.59000000000000008</v>
      </c>
      <c r="L105" s="5">
        <v>0.18798611111111108</v>
      </c>
      <c r="M105" s="5">
        <v>0.36</v>
      </c>
      <c r="N105" s="5">
        <v>0.89</v>
      </c>
      <c r="O105" s="5">
        <v>0.5299166666666667</v>
      </c>
      <c r="P105" s="5">
        <v>0.70140000000000002</v>
      </c>
      <c r="Q105" s="5">
        <v>0.98915708510819178</v>
      </c>
      <c r="R105" s="5">
        <v>4.7831515354916039E-2</v>
      </c>
      <c r="S105" s="5">
        <v>0.1341384828734537</v>
      </c>
      <c r="T105" s="5">
        <v>0.56500000000000006</v>
      </c>
      <c r="U105" s="5">
        <v>0.20833333333333315</v>
      </c>
      <c r="V105" s="5">
        <v>0.96796000000000004</v>
      </c>
      <c r="W105" s="5">
        <v>0.48413951219512175</v>
      </c>
      <c r="X105" s="5">
        <v>0.34901625320787</v>
      </c>
      <c r="Y105" s="5">
        <v>0.28311670226769503</v>
      </c>
      <c r="Z105" s="5">
        <v>0.55517575545679754</v>
      </c>
      <c r="AA105" s="5">
        <v>1.1000000000000001E-2</v>
      </c>
      <c r="AB105" s="5">
        <v>5.52040884424553E-2</v>
      </c>
      <c r="AC105" s="5">
        <v>0.81</v>
      </c>
      <c r="AD105" s="5" t="e">
        <v>#N/A</v>
      </c>
      <c r="AE105" s="5">
        <v>5.1587165113319809E-3</v>
      </c>
      <c r="AF105" s="5">
        <v>0.88399999618530301</v>
      </c>
      <c r="AG105" s="134">
        <v>1003.9637614173394</v>
      </c>
      <c r="AH105" s="135">
        <v>6.9117112053944254</v>
      </c>
      <c r="AI105">
        <v>0.54300000000000004</v>
      </c>
      <c r="AJ105" s="136">
        <v>47.24</v>
      </c>
      <c r="AK105" s="137">
        <v>0.45276090484339371</v>
      </c>
      <c r="AL105" s="138">
        <v>0.46433625312674631</v>
      </c>
      <c r="AM105" s="139">
        <v>-1.1575348283352604E-2</v>
      </c>
      <c r="AN105" s="139">
        <v>0.58809144970628768</v>
      </c>
    </row>
    <row r="106" spans="2:40">
      <c r="B106" s="16" t="s">
        <v>211</v>
      </c>
      <c r="C106" s="15" t="s">
        <v>212</v>
      </c>
      <c r="D106" s="133">
        <v>0.45844454414779601</v>
      </c>
      <c r="E106" s="4">
        <v>0.31990644290123454</v>
      </c>
      <c r="F106" s="4">
        <v>0.44892304549458312</v>
      </c>
      <c r="G106" s="6">
        <v>0.69642760052293085</v>
      </c>
      <c r="H106" s="6">
        <v>0.36852108767243463</v>
      </c>
      <c r="I106" s="5">
        <v>0.50741666666666663</v>
      </c>
      <c r="J106" s="5">
        <v>5.6105324074074071E-2</v>
      </c>
      <c r="K106" s="5">
        <v>0.19999999999999996</v>
      </c>
      <c r="L106" s="5">
        <v>0.30458333333333321</v>
      </c>
      <c r="M106" s="5">
        <v>0.41133333333333333</v>
      </c>
      <c r="N106" s="5">
        <v>0.43999999999999995</v>
      </c>
      <c r="O106" s="5">
        <v>0.60066666666666668</v>
      </c>
      <c r="P106" s="5">
        <v>0.80699999999999994</v>
      </c>
      <c r="Q106" s="5">
        <v>0.99082164021159258</v>
      </c>
      <c r="R106" s="5">
        <v>6.1478103374846715E-2</v>
      </c>
      <c r="S106" s="5">
        <v>5.3571862714392564E-2</v>
      </c>
      <c r="T106" s="5">
        <v>0.18</v>
      </c>
      <c r="U106" s="5">
        <v>0.40833333333333333</v>
      </c>
      <c r="V106" s="5">
        <v>0.97684000000000004</v>
      </c>
      <c r="W106" s="5">
        <v>0.62383317073170708</v>
      </c>
      <c r="X106" s="5">
        <v>0.49317406143344711</v>
      </c>
      <c r="Y106" s="5">
        <v>0.99142224507379084</v>
      </c>
      <c r="Z106" s="5">
        <v>0.68496279256530646</v>
      </c>
      <c r="AA106" s="5">
        <v>0</v>
      </c>
      <c r="AB106" s="5">
        <v>0</v>
      </c>
      <c r="AC106" s="5">
        <v>0.91</v>
      </c>
      <c r="AD106" s="5" t="e">
        <v>#N/A</v>
      </c>
      <c r="AE106" s="5">
        <v>0.19132653061224492</v>
      </c>
      <c r="AF106" s="5">
        <v>0.54979999542236302</v>
      </c>
      <c r="AG106" s="134">
        <v>794.33023139015347</v>
      </c>
      <c r="AH106" s="135">
        <v>6.6774992833329785</v>
      </c>
      <c r="AI106">
        <v>0.49299999999999999</v>
      </c>
      <c r="AJ106" s="136">
        <v>39.020000000000003</v>
      </c>
      <c r="AK106" s="137">
        <v>0.45844454414779578</v>
      </c>
      <c r="AL106" s="138">
        <v>0.48141030224502579</v>
      </c>
      <c r="AM106" s="139">
        <v>-2.2965758097230005E-2</v>
      </c>
      <c r="AN106" s="139">
        <v>2.9660697720712648</v>
      </c>
    </row>
    <row r="107" spans="2:40">
      <c r="B107" s="16" t="s">
        <v>213</v>
      </c>
      <c r="C107" s="15" t="s">
        <v>214</v>
      </c>
      <c r="D107" s="133">
        <v>0.24621667983946</v>
      </c>
      <c r="E107" s="4">
        <v>0.12117432950191571</v>
      </c>
      <c r="F107" s="4">
        <v>0.34193087173994313</v>
      </c>
      <c r="G107" s="6">
        <v>0.33038503962105209</v>
      </c>
      <c r="H107" s="6">
        <v>0.19137647849493022</v>
      </c>
      <c r="I107" s="5">
        <v>0.49658333333333338</v>
      </c>
      <c r="J107" s="5">
        <v>2.1379310344827585E-2</v>
      </c>
      <c r="K107" s="5">
        <v>0</v>
      </c>
      <c r="L107" s="5">
        <v>0.14708333333333334</v>
      </c>
      <c r="M107" s="5">
        <v>2.1999999999999999E-2</v>
      </c>
      <c r="N107" s="5">
        <v>4.0000000000000036E-2</v>
      </c>
      <c r="O107" s="5">
        <v>0.47866666666666663</v>
      </c>
      <c r="P107" s="5">
        <v>0.2871999999999999</v>
      </c>
      <c r="Q107" s="5">
        <v>0.1035256410256411</v>
      </c>
      <c r="R107" s="5">
        <v>0.31794564996390134</v>
      </c>
      <c r="S107" s="5">
        <v>0.83424727278345012</v>
      </c>
      <c r="T107" s="5">
        <v>0.03</v>
      </c>
      <c r="U107" s="5">
        <v>0.76666666666666661</v>
      </c>
      <c r="V107" s="5">
        <v>0.74395999999999995</v>
      </c>
      <c r="W107" s="5">
        <v>0.20831902439024386</v>
      </c>
      <c r="X107" s="5">
        <v>0.24278215223097113</v>
      </c>
      <c r="Y107" s="5">
        <v>0</v>
      </c>
      <c r="Z107" s="5">
        <v>2.058239443843058E-2</v>
      </c>
      <c r="AA107" s="5">
        <v>7.0999999999999994E-2</v>
      </c>
      <c r="AB107" s="5">
        <v>0.23506220821348531</v>
      </c>
      <c r="AC107" s="5">
        <v>5.9999999999998943E-3</v>
      </c>
      <c r="AD107" s="5">
        <v>0</v>
      </c>
      <c r="AE107" s="5">
        <v>6.3917211992086442E-2</v>
      </c>
      <c r="AF107" s="5">
        <v>0.17227186668252004</v>
      </c>
      <c r="AG107" s="134">
        <v>14011.983059217679</v>
      </c>
      <c r="AH107" s="135">
        <v>9.5476681752970691</v>
      </c>
      <c r="AI107">
        <v>0.82899999999999996</v>
      </c>
      <c r="AJ107" s="136">
        <v>46.21</v>
      </c>
      <c r="AK107" s="137">
        <v>0.2462166798394603</v>
      </c>
      <c r="AL107" s="138">
        <v>0.27217499002084355</v>
      </c>
      <c r="AM107" s="139">
        <v>-2.5958310181383254E-2</v>
      </c>
      <c r="AN107" s="139">
        <v>1.4415901389775573E-2</v>
      </c>
    </row>
    <row r="108" spans="2:40">
      <c r="B108" s="16" t="s">
        <v>215</v>
      </c>
      <c r="C108" s="15" t="s">
        <v>216</v>
      </c>
      <c r="D108" s="133">
        <v>0.38585886334751301</v>
      </c>
      <c r="E108" s="4">
        <v>0.16499305555555555</v>
      </c>
      <c r="F108" s="4">
        <v>0.57356349298039244</v>
      </c>
      <c r="G108" s="6">
        <v>0.23432334929854878</v>
      </c>
      <c r="H108" s="6">
        <v>0.57055555555555559</v>
      </c>
      <c r="I108" s="5">
        <v>0.49050000000000005</v>
      </c>
      <c r="J108" s="5">
        <v>0.15666666666666668</v>
      </c>
      <c r="K108" s="5">
        <v>8.9999999999999969E-2</v>
      </c>
      <c r="L108" s="5">
        <v>0.12145833333333339</v>
      </c>
      <c r="M108" s="5">
        <v>0.11133333333333334</v>
      </c>
      <c r="N108" s="5">
        <v>2.0000000000000018E-2</v>
      </c>
      <c r="O108" s="5">
        <v>0.44466666666666665</v>
      </c>
      <c r="P108" s="5">
        <v>0.60819999999999996</v>
      </c>
      <c r="Q108" s="5">
        <v>0.99124999999999996</v>
      </c>
      <c r="R108" s="5">
        <v>3.7264291215688528E-2</v>
      </c>
      <c r="S108" s="5">
        <v>1</v>
      </c>
      <c r="T108" s="5">
        <v>0.36</v>
      </c>
      <c r="U108" s="5">
        <v>0.44999999999999984</v>
      </c>
      <c r="V108" s="5">
        <v>0.58019999999999994</v>
      </c>
      <c r="W108" s="5">
        <v>0.26010292682926828</v>
      </c>
      <c r="X108" s="5">
        <v>8.3098591549295775E-2</v>
      </c>
      <c r="Y108" s="5">
        <v>1.2191179149675456E-2</v>
      </c>
      <c r="Z108" s="5">
        <v>2.0347398263053242E-2</v>
      </c>
      <c r="AA108" s="5">
        <v>1</v>
      </c>
      <c r="AB108" s="5">
        <v>1</v>
      </c>
      <c r="AC108" s="5">
        <v>0</v>
      </c>
      <c r="AD108" s="5" t="e">
        <v>#N/A</v>
      </c>
      <c r="AE108" s="5">
        <v>0</v>
      </c>
      <c r="AF108" s="5">
        <v>0</v>
      </c>
      <c r="AG108" s="134">
        <v>5475.6779220602903</v>
      </c>
      <c r="AH108" s="135">
        <v>8.608071368400342</v>
      </c>
      <c r="AI108">
        <v>0.77100000000000002</v>
      </c>
      <c r="AJ108" s="136">
        <v>37.369999999999997</v>
      </c>
      <c r="AK108" s="137">
        <v>0.38585886334751307</v>
      </c>
      <c r="AL108" s="138">
        <v>0.34067159724361495</v>
      </c>
      <c r="AM108" s="139">
        <v>4.5187266103898116E-2</v>
      </c>
      <c r="AN108" s="139">
        <v>9.6596000000000001E-2</v>
      </c>
    </row>
    <row r="109" spans="2:40">
      <c r="B109" s="16" t="s">
        <v>217</v>
      </c>
      <c r="C109" s="15" t="s">
        <v>218</v>
      </c>
      <c r="D109" s="133">
        <v>0.49563695355704301</v>
      </c>
      <c r="E109" s="4">
        <v>0.43321324074074075</v>
      </c>
      <c r="F109" s="4">
        <v>0.55646886835215525</v>
      </c>
      <c r="G109" s="6">
        <v>0.61149072392343806</v>
      </c>
      <c r="H109" s="6">
        <v>0.38137498121183833</v>
      </c>
      <c r="I109" s="5">
        <v>0.41749999999999998</v>
      </c>
      <c r="J109" s="5">
        <v>6.5460000000000004E-2</v>
      </c>
      <c r="K109" s="5">
        <v>0.43999999999999995</v>
      </c>
      <c r="L109" s="5">
        <v>0.44965277777777768</v>
      </c>
      <c r="M109" s="5">
        <v>0.58666666666666667</v>
      </c>
      <c r="N109" s="5">
        <v>0.64</v>
      </c>
      <c r="O109" s="5">
        <v>0.66024999999999989</v>
      </c>
      <c r="P109" s="5">
        <v>0.67259999999999986</v>
      </c>
      <c r="Q109" s="5">
        <v>0.98046357388311001</v>
      </c>
      <c r="R109" s="5">
        <v>0.43798055226035559</v>
      </c>
      <c r="S109" s="5">
        <v>9.2519083969465649E-2</v>
      </c>
      <c r="T109" s="5">
        <v>0.495</v>
      </c>
      <c r="U109" s="5">
        <v>0.20833333333333315</v>
      </c>
      <c r="V109" s="5">
        <v>0.97404000000000002</v>
      </c>
      <c r="W109" s="5">
        <v>0.72384926829268281</v>
      </c>
      <c r="X109" s="5">
        <v>0.50674019607843135</v>
      </c>
      <c r="Y109" s="5">
        <v>0.25598154583618127</v>
      </c>
      <c r="Z109" s="5">
        <v>1</v>
      </c>
      <c r="AA109" s="5">
        <v>0</v>
      </c>
      <c r="AB109" s="5">
        <v>0</v>
      </c>
      <c r="AC109" s="5">
        <v>0.82600000000000007</v>
      </c>
      <c r="AD109" s="5" t="e">
        <v>#N/A</v>
      </c>
      <c r="AE109" s="5">
        <v>8.6052172202689733E-3</v>
      </c>
      <c r="AF109" s="5">
        <v>0.80964467005076102</v>
      </c>
      <c r="AG109" s="134">
        <v>1185.4997286371658</v>
      </c>
      <c r="AH109" s="135">
        <v>7.0779196766038446</v>
      </c>
      <c r="AI109">
        <v>0.371</v>
      </c>
      <c r="AJ109" s="136">
        <v>38.99</v>
      </c>
      <c r="AK109" s="137">
        <v>0.49563695355704313</v>
      </c>
      <c r="AL109" s="138">
        <v>0.45221965557557964</v>
      </c>
      <c r="AM109" s="139">
        <v>4.3417297981463487E-2</v>
      </c>
      <c r="AN109" s="139">
        <v>0.27743945538818077</v>
      </c>
    </row>
    <row r="110" spans="2:40">
      <c r="B110" s="16" t="s">
        <v>219</v>
      </c>
      <c r="C110" s="15" t="s">
        <v>220</v>
      </c>
      <c r="D110" s="133">
        <v>0.23256029128134501</v>
      </c>
      <c r="E110" s="4">
        <v>0.31038364044737804</v>
      </c>
      <c r="F110" s="4">
        <v>0.30208053711189137</v>
      </c>
      <c r="G110" s="6">
        <v>9.6209553830359382E-2</v>
      </c>
      <c r="H110" s="6">
        <v>0.22156743373575175</v>
      </c>
      <c r="I110" s="5">
        <v>0.77700000000000002</v>
      </c>
      <c r="J110" s="5">
        <v>0.71287128712871284</v>
      </c>
      <c r="K110" s="5">
        <v>0</v>
      </c>
      <c r="L110" s="5">
        <v>0.3724305555555556</v>
      </c>
      <c r="M110" s="5">
        <v>0</v>
      </c>
      <c r="N110" s="5">
        <v>0</v>
      </c>
      <c r="O110" s="5">
        <v>0.23600000000000002</v>
      </c>
      <c r="P110" s="5">
        <v>5.518663931412935E-2</v>
      </c>
      <c r="Q110" s="5">
        <v>0.38392156862749993</v>
      </c>
      <c r="R110" s="5">
        <v>0.137375014729719</v>
      </c>
      <c r="S110" s="5">
        <v>1</v>
      </c>
      <c r="T110" s="5">
        <v>0</v>
      </c>
      <c r="U110" s="5">
        <v>6.6666666666666541E-2</v>
      </c>
      <c r="V110" s="5">
        <v>0.3466800000000001</v>
      </c>
      <c r="W110" s="5">
        <v>0.10209756097560929</v>
      </c>
      <c r="X110" s="5">
        <v>5.909090909090909E-2</v>
      </c>
      <c r="Y110" s="5">
        <v>0</v>
      </c>
      <c r="Z110" s="5">
        <v>2.7221862489711945E-3</v>
      </c>
      <c r="AA110" s="5">
        <v>0</v>
      </c>
      <c r="AB110" s="5">
        <v>0.12943246848923695</v>
      </c>
      <c r="AC110" s="5">
        <v>0</v>
      </c>
      <c r="AD110" s="5">
        <v>0.99877899877899878</v>
      </c>
      <c r="AE110" s="5">
        <v>0</v>
      </c>
      <c r="AF110" s="5">
        <v>0.12470000000000003</v>
      </c>
      <c r="AG110" s="134">
        <v>24814.319247907642</v>
      </c>
      <c r="AH110" s="135">
        <v>10.119176154556698</v>
      </c>
      <c r="AI110">
        <v>0.90200000000000002</v>
      </c>
      <c r="AJ110" s="136">
        <v>26</v>
      </c>
      <c r="AK110" s="137">
        <v>0.23256029128134512</v>
      </c>
      <c r="AL110" s="138">
        <v>0.23051205833281663</v>
      </c>
      <c r="AM110" s="139">
        <v>2.0482329485284889E-3</v>
      </c>
      <c r="AN110" s="139">
        <v>0</v>
      </c>
    </row>
    <row r="111" spans="2:40">
      <c r="B111" s="16" t="s">
        <v>221</v>
      </c>
      <c r="C111" s="15" t="s">
        <v>222</v>
      </c>
      <c r="D111" s="133" t="e">
        <v>#N/A</v>
      </c>
      <c r="E111" s="4" t="e">
        <v>#N/A</v>
      </c>
      <c r="F111" s="4" t="e">
        <v>#N/A</v>
      </c>
      <c r="G111" s="6">
        <v>0.53598119701126501</v>
      </c>
      <c r="H111" s="6" t="e">
        <v>#N/A</v>
      </c>
      <c r="I111" s="5">
        <v>0.32850000000000001</v>
      </c>
      <c r="J111" s="5" t="e">
        <v>#N/A</v>
      </c>
      <c r="K111" s="5">
        <v>6.0000000000000053E-2</v>
      </c>
      <c r="L111" s="5">
        <v>0.11138888888888876</v>
      </c>
      <c r="M111" s="5">
        <v>0.13466666666666666</v>
      </c>
      <c r="N111" s="5">
        <v>0.27</v>
      </c>
      <c r="O111" s="5">
        <v>0.44466666666666665</v>
      </c>
      <c r="P111" s="5">
        <v>0.28560000000000002</v>
      </c>
      <c r="Q111" s="5">
        <v>1</v>
      </c>
      <c r="R111" s="5">
        <v>9.7341583160908574E-2</v>
      </c>
      <c r="S111" s="5" t="e">
        <v>#N/A</v>
      </c>
      <c r="T111" s="5" t="e">
        <v>#N/A</v>
      </c>
      <c r="U111" s="5">
        <v>0.76666666666666661</v>
      </c>
      <c r="V111" s="5">
        <v>0.77523999999999993</v>
      </c>
      <c r="W111" s="5">
        <v>0.39521951219512175</v>
      </c>
      <c r="X111" s="5">
        <v>0.20200235571260305</v>
      </c>
      <c r="Y111" s="5">
        <v>0.57675864749319861</v>
      </c>
      <c r="Z111" s="5">
        <v>0.5</v>
      </c>
      <c r="AA111" s="5">
        <v>1</v>
      </c>
      <c r="AB111" s="5">
        <v>0.99778454556316631</v>
      </c>
      <c r="AC111" s="5">
        <v>0.255</v>
      </c>
      <c r="AD111" s="5" t="e">
        <v>#N/A</v>
      </c>
      <c r="AE111" s="5">
        <v>0</v>
      </c>
      <c r="AF111" s="5" t="e">
        <v>#N/A</v>
      </c>
      <c r="AG111" s="134">
        <v>2900</v>
      </c>
      <c r="AH111" s="135">
        <v>7.9724660159745655</v>
      </c>
      <c r="AI111" t="s">
        <v>545</v>
      </c>
      <c r="AJ111" s="136" t="e">
        <v>#N/A</v>
      </c>
      <c r="AK111" s="137" t="e">
        <v>#N/A</v>
      </c>
      <c r="AL111" s="138">
        <v>0.38700722743545413</v>
      </c>
      <c r="AM111" s="139" t="e">
        <v>#N/A</v>
      </c>
      <c r="AN111" s="139">
        <v>0.125</v>
      </c>
    </row>
    <row r="112" spans="2:40">
      <c r="B112" s="16" t="s">
        <v>223</v>
      </c>
      <c r="C112" s="15" t="s">
        <v>224</v>
      </c>
      <c r="D112" s="133" t="e">
        <v>#N/A</v>
      </c>
      <c r="E112" s="4">
        <v>0.48917580409356737</v>
      </c>
      <c r="F112" s="4" t="e">
        <v>#VALUE!</v>
      </c>
      <c r="G112" s="6">
        <v>0.49686488080730018</v>
      </c>
      <c r="H112" s="6" t="e">
        <v>#N/A</v>
      </c>
      <c r="I112" s="5">
        <v>0.81791666666666674</v>
      </c>
      <c r="J112" s="5">
        <v>0.14026315789473684</v>
      </c>
      <c r="K112" s="5">
        <v>0.51</v>
      </c>
      <c r="L112" s="5">
        <v>0.46687500000000004</v>
      </c>
      <c r="M112" s="5">
        <v>0.26</v>
      </c>
      <c r="N112" s="5">
        <v>0.74</v>
      </c>
      <c r="O112" s="5">
        <v>0.63950000000000007</v>
      </c>
      <c r="P112" s="5">
        <v>0.58799999999999997</v>
      </c>
      <c r="Q112" s="5">
        <v>0.98375000000000001</v>
      </c>
      <c r="R112" s="5" t="e">
        <v>#VALUE!</v>
      </c>
      <c r="S112" s="5">
        <v>0.64019086225825517</v>
      </c>
      <c r="T112" s="5">
        <v>0.36499999999999999</v>
      </c>
      <c r="U112" s="5">
        <v>0.20833333333333315</v>
      </c>
      <c r="V112" s="5">
        <v>0.94120000000000004</v>
      </c>
      <c r="W112" s="5">
        <v>0.56061414634146334</v>
      </c>
      <c r="X112" s="5">
        <v>0.40809084457061745</v>
      </c>
      <c r="Y112" s="5">
        <v>0.25564910972570148</v>
      </c>
      <c r="Z112" s="5">
        <v>0.60730185087268584</v>
      </c>
      <c r="AA112" s="5">
        <v>1E-3</v>
      </c>
      <c r="AB112" s="5">
        <v>0.29248158080123798</v>
      </c>
      <c r="AC112" s="5">
        <v>0.69900000000000007</v>
      </c>
      <c r="AD112" s="5" t="e">
        <v>#N/A</v>
      </c>
      <c r="AE112" s="5">
        <v>8.7319297564761814E-3</v>
      </c>
      <c r="AF112" s="5">
        <v>0.73151999999999995</v>
      </c>
      <c r="AG112" s="134">
        <v>1928.6762438981964</v>
      </c>
      <c r="AH112" s="135">
        <v>7.5645891625823252</v>
      </c>
      <c r="AI112">
        <v>0.52</v>
      </c>
      <c r="AJ112" s="136">
        <v>39.04</v>
      </c>
      <c r="AK112" s="137">
        <v>0.4930203424504338</v>
      </c>
      <c r="AL112" s="138">
        <v>0.41674145004774843</v>
      </c>
      <c r="AM112" s="139">
        <v>7.6278892402685372E-2</v>
      </c>
      <c r="AN112" s="139">
        <v>1.9802369565217393</v>
      </c>
    </row>
    <row r="113" spans="2:40">
      <c r="B113" s="16" t="s">
        <v>225</v>
      </c>
      <c r="C113" s="15" t="s">
        <v>226</v>
      </c>
      <c r="D113" s="133">
        <v>0.26182529162533302</v>
      </c>
      <c r="E113" s="4">
        <v>0.18266647734157271</v>
      </c>
      <c r="F113" s="4">
        <v>0.48135314810796337</v>
      </c>
      <c r="G113" s="6">
        <v>0.2026431908216634</v>
      </c>
      <c r="H113" s="6">
        <v>0.18063835023013128</v>
      </c>
      <c r="I113" s="5">
        <v>0.64966666666666661</v>
      </c>
      <c r="J113" s="5">
        <v>0.26354053071610323</v>
      </c>
      <c r="K113" s="5">
        <v>1.0000000000000009E-2</v>
      </c>
      <c r="L113" s="5">
        <v>7.8125E-2</v>
      </c>
      <c r="M113" s="5">
        <v>4.6666666666666671E-3</v>
      </c>
      <c r="N113" s="5">
        <v>8.9999999999999969E-2</v>
      </c>
      <c r="O113" s="5">
        <v>0.44466666666666665</v>
      </c>
      <c r="P113" s="5">
        <v>0.5746</v>
      </c>
      <c r="Q113" s="5">
        <v>0.6027183908046666</v>
      </c>
      <c r="R113" s="5">
        <v>0.16613383117644676</v>
      </c>
      <c r="S113" s="5">
        <v>1</v>
      </c>
      <c r="T113" s="5">
        <v>0.1</v>
      </c>
      <c r="U113" s="5">
        <v>0.20833333333333315</v>
      </c>
      <c r="V113" s="5">
        <v>0.65920000000000001</v>
      </c>
      <c r="W113" s="5">
        <v>0.24719999999999998</v>
      </c>
      <c r="X113" s="5">
        <v>6.860158311345646E-2</v>
      </c>
      <c r="Y113" s="5">
        <v>1.6422791115971464E-2</v>
      </c>
      <c r="Z113" s="5">
        <v>1.6101437367219251E-2</v>
      </c>
      <c r="AA113" s="5">
        <v>0</v>
      </c>
      <c r="AB113" s="5">
        <v>9.4130101380787728E-2</v>
      </c>
      <c r="AC113" s="5">
        <v>5.9999999999998943E-3</v>
      </c>
      <c r="AD113" s="5">
        <v>0</v>
      </c>
      <c r="AE113" s="5">
        <v>0</v>
      </c>
      <c r="AF113" s="5">
        <v>1.969999999999994E-2</v>
      </c>
      <c r="AG113" s="134">
        <v>12838.379295098772</v>
      </c>
      <c r="AH113" s="135">
        <v>9.4601943461539939</v>
      </c>
      <c r="AI113">
        <v>0.80400000000000005</v>
      </c>
      <c r="AJ113" s="136">
        <v>39</v>
      </c>
      <c r="AK113" s="137">
        <v>0.26182529162533269</v>
      </c>
      <c r="AL113" s="138">
        <v>0.27855183216537371</v>
      </c>
      <c r="AM113" s="139">
        <v>-1.6726540540041024E-2</v>
      </c>
      <c r="AN113" s="139">
        <v>4.3743111111111108E-2</v>
      </c>
    </row>
    <row r="114" spans="2:40">
      <c r="B114" s="16" t="s">
        <v>227</v>
      </c>
      <c r="C114" s="15" t="s">
        <v>228</v>
      </c>
      <c r="D114" s="133">
        <v>0.25805206627531102</v>
      </c>
      <c r="E114" s="4">
        <v>0.24108282298046077</v>
      </c>
      <c r="F114" s="4">
        <v>0.376029479235019</v>
      </c>
      <c r="G114" s="6">
        <v>0.20621213500579547</v>
      </c>
      <c r="H114" s="6">
        <v>0.20888382787996748</v>
      </c>
      <c r="I114" s="5">
        <v>0.71499999999999997</v>
      </c>
      <c r="J114" s="5">
        <v>0.17449693788276466</v>
      </c>
      <c r="K114" s="5">
        <v>6.0000000000000053E-2</v>
      </c>
      <c r="L114" s="5">
        <v>0.33166666666666655</v>
      </c>
      <c r="M114" s="5">
        <v>1.5333333333333332E-2</v>
      </c>
      <c r="N114" s="5">
        <v>0.15000000000000002</v>
      </c>
      <c r="O114" s="5">
        <v>0.65750000000000008</v>
      </c>
      <c r="P114" s="5">
        <v>0.22499999999999998</v>
      </c>
      <c r="Q114" s="5">
        <v>0.76349319600342413</v>
      </c>
      <c r="R114" s="5">
        <v>0.16419553423874983</v>
      </c>
      <c r="S114" s="5">
        <v>0.38598814516794</v>
      </c>
      <c r="T114" s="5">
        <v>0.06</v>
      </c>
      <c r="U114" s="5">
        <v>0.31666666666666676</v>
      </c>
      <c r="V114" s="5">
        <v>0.56588000000000016</v>
      </c>
      <c r="W114" s="5">
        <v>0.19409277750243892</v>
      </c>
      <c r="X114" s="5">
        <v>0.11003236245954692</v>
      </c>
      <c r="Y114" s="5">
        <v>1.2199361173237487E-4</v>
      </c>
      <c r="Z114" s="5">
        <v>5.0479009794387478E-2</v>
      </c>
      <c r="AA114" s="5">
        <v>0.03</v>
      </c>
      <c r="AB114" s="5">
        <v>5.6621088264455152E-2</v>
      </c>
      <c r="AC114" s="5">
        <v>1.5000000000000013E-2</v>
      </c>
      <c r="AD114" s="5">
        <v>0</v>
      </c>
      <c r="AE114" s="5">
        <v>1.4660870907173537E-2</v>
      </c>
      <c r="AF114" s="5">
        <v>0.6472</v>
      </c>
      <c r="AG114" s="134">
        <v>14258.24653887714</v>
      </c>
      <c r="AH114" s="135">
        <v>9.5650907227945385</v>
      </c>
      <c r="AI114">
        <v>0.85399999999999998</v>
      </c>
      <c r="AJ114" s="136">
        <v>51.739999999999995</v>
      </c>
      <c r="AK114" s="137">
        <v>0.25805206627531069</v>
      </c>
      <c r="AL114" s="138">
        <v>0.27090488630827803</v>
      </c>
      <c r="AM114" s="139">
        <v>-1.2852820032967338E-2</v>
      </c>
      <c r="AN114" s="139">
        <v>6.3838616240413412E-2</v>
      </c>
    </row>
    <row r="115" spans="2:40">
      <c r="B115" s="16" t="s">
        <v>229</v>
      </c>
      <c r="C115" s="15" t="s">
        <v>230</v>
      </c>
      <c r="D115" s="133" t="e">
        <v>#N/A</v>
      </c>
      <c r="E115" s="4" t="e">
        <v>#DIV/0!</v>
      </c>
      <c r="F115" s="4" t="e">
        <v>#N/A</v>
      </c>
      <c r="G115" s="6">
        <v>0.54840372304023755</v>
      </c>
      <c r="H115" s="6">
        <v>0.58622339983116367</v>
      </c>
      <c r="I115" s="5">
        <v>0.25</v>
      </c>
      <c r="J115" s="5" t="e">
        <v>#DIV/0!</v>
      </c>
      <c r="K115" s="5">
        <v>6.0000000000000053E-2</v>
      </c>
      <c r="L115" s="5">
        <v>0.125</v>
      </c>
      <c r="M115" s="5">
        <v>5.5333333333333332E-2</v>
      </c>
      <c r="N115" s="5">
        <v>0.73</v>
      </c>
      <c r="O115" s="5">
        <v>0.44466666666666665</v>
      </c>
      <c r="P115" s="5">
        <v>0.77379999999999993</v>
      </c>
      <c r="Q115" s="5">
        <v>1</v>
      </c>
      <c r="R115" s="5">
        <v>3.5854881636792603E-2</v>
      </c>
      <c r="S115" s="5" t="e">
        <v>#N/A</v>
      </c>
      <c r="T115" s="5" t="e">
        <v>#N/A</v>
      </c>
      <c r="U115" s="5">
        <v>0.76666666666666661</v>
      </c>
      <c r="V115" s="5">
        <v>0.79664000000000001</v>
      </c>
      <c r="W115" s="5">
        <v>0.32448536585365839</v>
      </c>
      <c r="X115" s="5">
        <v>0.21549893842887474</v>
      </c>
      <c r="Y115" s="5">
        <v>0.68713136729222546</v>
      </c>
      <c r="Z115" s="5">
        <v>0.5</v>
      </c>
      <c r="AA115" s="5">
        <v>1</v>
      </c>
      <c r="AB115" s="5">
        <v>0.31234039898698246</v>
      </c>
      <c r="AC115" s="5">
        <v>0.45999999999999996</v>
      </c>
      <c r="AD115" s="5">
        <v>0</v>
      </c>
      <c r="AE115" s="5">
        <v>0</v>
      </c>
      <c r="AF115" s="5">
        <v>0.82499999999999996</v>
      </c>
      <c r="AG115" s="134">
        <v>3087.9494188587569</v>
      </c>
      <c r="AH115" s="135">
        <v>8.0352625311072625</v>
      </c>
      <c r="AI115" t="s">
        <v>545</v>
      </c>
      <c r="AJ115" s="136">
        <v>61.1</v>
      </c>
      <c r="AK115" s="137">
        <v>0.56731356143570055</v>
      </c>
      <c r="AL115" s="138">
        <v>0.38242936148228046</v>
      </c>
      <c r="AM115" s="139">
        <v>0.18488419995342009</v>
      </c>
      <c r="AN115" s="139">
        <v>0.35171962616822428</v>
      </c>
    </row>
    <row r="116" spans="2:40">
      <c r="B116" s="16" t="s">
        <v>231</v>
      </c>
      <c r="C116" s="15" t="s">
        <v>232</v>
      </c>
      <c r="D116" s="133">
        <v>0.29275484237024302</v>
      </c>
      <c r="E116" s="4">
        <v>0.26045183595612781</v>
      </c>
      <c r="F116" s="4">
        <v>0.28090417432837045</v>
      </c>
      <c r="G116" s="6">
        <v>0.27925191937376687</v>
      </c>
      <c r="H116" s="6">
        <v>0.35041143982270678</v>
      </c>
      <c r="I116" s="5">
        <v>0.51833333333333331</v>
      </c>
      <c r="J116" s="5">
        <v>0.16437768240343348</v>
      </c>
      <c r="K116" s="5">
        <v>9.9999999999999978E-2</v>
      </c>
      <c r="L116" s="5">
        <v>0.56000000000000005</v>
      </c>
      <c r="M116" s="5">
        <v>0.01</v>
      </c>
      <c r="N116" s="5">
        <v>0.20999999999999996</v>
      </c>
      <c r="O116" s="5">
        <v>0.27966666666666667</v>
      </c>
      <c r="P116" s="5">
        <v>0.58519999999999994</v>
      </c>
      <c r="Q116" s="5">
        <v>0.65007317965600353</v>
      </c>
      <c r="R116" s="5">
        <v>1.5248314235851167E-4</v>
      </c>
      <c r="S116" s="5">
        <v>0.14533271650519411</v>
      </c>
      <c r="T116" s="5">
        <v>2.5000000000000001E-2</v>
      </c>
      <c r="U116" s="5">
        <v>0.87499999999999967</v>
      </c>
      <c r="V116" s="5">
        <v>0.36128000000000005</v>
      </c>
      <c r="W116" s="5">
        <v>0.32751170731707302</v>
      </c>
      <c r="X116" s="5">
        <v>6.0204081632653061E-2</v>
      </c>
      <c r="Y116" s="5">
        <v>3.9211112053941337E-2</v>
      </c>
      <c r="Z116" s="5">
        <v>1.2304615238933858E-2</v>
      </c>
      <c r="AA116" s="5">
        <v>1.3000000000000001E-2</v>
      </c>
      <c r="AB116" s="5">
        <v>2.0423356933776698E-2</v>
      </c>
      <c r="AC116" s="5">
        <v>0</v>
      </c>
      <c r="AD116" s="5">
        <v>0.96835132508601884</v>
      </c>
      <c r="AE116" s="5">
        <v>0.18242626938279113</v>
      </c>
      <c r="AF116" s="5">
        <v>0.14200000000000002</v>
      </c>
      <c r="AG116" s="134">
        <v>2854.3083054576136</v>
      </c>
      <c r="AH116" s="135">
        <v>7.9565848179408993</v>
      </c>
      <c r="AI116">
        <v>0.72</v>
      </c>
      <c r="AJ116" s="136">
        <v>38.03</v>
      </c>
      <c r="AK116" s="137">
        <v>0.29275484237024296</v>
      </c>
      <c r="AL116" s="138">
        <v>0.38816496677210832</v>
      </c>
      <c r="AM116" s="139">
        <v>-9.5410124401865359E-2</v>
      </c>
      <c r="AN116" s="139">
        <v>0.6111281401244526</v>
      </c>
    </row>
    <row r="117" spans="2:40">
      <c r="B117" s="16" t="s">
        <v>233</v>
      </c>
      <c r="C117" s="15" t="s">
        <v>234</v>
      </c>
      <c r="D117" s="133" t="e">
        <v>#DIV/0!</v>
      </c>
      <c r="E117" s="4" t="e">
        <v>#DIV/0!</v>
      </c>
      <c r="F117" s="4" t="e">
        <v>#N/A</v>
      </c>
      <c r="G117" s="6" t="e">
        <v>#N/A</v>
      </c>
      <c r="H117" s="6" t="e">
        <v>#N/A</v>
      </c>
      <c r="I117" s="5">
        <v>0.55283333333333329</v>
      </c>
      <c r="J117" s="5" t="e">
        <v>#DIV/0!</v>
      </c>
      <c r="K117" s="5">
        <v>0</v>
      </c>
      <c r="L117" s="5">
        <v>0.48833333333333351</v>
      </c>
      <c r="M117" s="5">
        <v>1.3333333333333333E-3</v>
      </c>
      <c r="N117" s="5">
        <v>0</v>
      </c>
      <c r="O117" s="5">
        <v>0.23600000000000002</v>
      </c>
      <c r="P117" s="5">
        <v>0</v>
      </c>
      <c r="Q117" s="5">
        <v>1</v>
      </c>
      <c r="R117" s="5">
        <v>0.23452831459786513</v>
      </c>
      <c r="S117" s="5" t="e">
        <v>#N/A</v>
      </c>
      <c r="T117" s="5">
        <v>0</v>
      </c>
      <c r="U117" s="5">
        <v>6.6666666666666541E-2</v>
      </c>
      <c r="V117" s="5">
        <v>0</v>
      </c>
      <c r="W117" s="5" t="e">
        <v>#N/A</v>
      </c>
      <c r="X117" s="5">
        <v>5.7291666666666664E-2</v>
      </c>
      <c r="Y117" s="5">
        <v>0</v>
      </c>
      <c r="Z117" s="5" t="e">
        <v>#N/A</v>
      </c>
      <c r="AA117" s="5" t="e">
        <v>#N/A</v>
      </c>
      <c r="AB117" s="5">
        <v>0.72701819580561589</v>
      </c>
      <c r="AC117" s="5">
        <v>0</v>
      </c>
      <c r="AD117" s="5" t="e">
        <v>#N/A</v>
      </c>
      <c r="AE117" s="5">
        <v>0</v>
      </c>
      <c r="AF117" s="5">
        <v>0</v>
      </c>
      <c r="AG117" s="134">
        <v>215163</v>
      </c>
      <c r="AH117" s="135">
        <v>12.279151159402078</v>
      </c>
      <c r="AI117" t="s">
        <v>545</v>
      </c>
      <c r="AJ117" s="136" t="e">
        <v>#N/A</v>
      </c>
      <c r="AK117" s="137" t="e">
        <v>#N/A</v>
      </c>
      <c r="AL117" s="138">
        <v>7.304988047958838E-2</v>
      </c>
      <c r="AM117" s="139" t="e">
        <v>#N/A</v>
      </c>
      <c r="AN117" s="139">
        <v>0</v>
      </c>
    </row>
    <row r="118" spans="2:40">
      <c r="B118" s="16" t="s">
        <v>235</v>
      </c>
      <c r="C118" s="15" t="s">
        <v>236</v>
      </c>
      <c r="D118" s="133">
        <v>0.24688041522106899</v>
      </c>
      <c r="E118" s="4">
        <v>0.27489351851851845</v>
      </c>
      <c r="F118" s="4">
        <v>0.2447212968235889</v>
      </c>
      <c r="G118" s="6">
        <v>0.14750907105252922</v>
      </c>
      <c r="H118" s="6">
        <v>0.32039777448964091</v>
      </c>
      <c r="I118" s="5">
        <v>0.79075000000000006</v>
      </c>
      <c r="J118" s="5">
        <v>0.16062499999999999</v>
      </c>
      <c r="K118" s="5">
        <v>0</v>
      </c>
      <c r="L118" s="5">
        <v>0.58798611111111099</v>
      </c>
      <c r="M118" s="5">
        <v>0</v>
      </c>
      <c r="N118" s="5">
        <v>0.10999999999999999</v>
      </c>
      <c r="O118" s="5">
        <v>0.28591666666666671</v>
      </c>
      <c r="P118" s="5">
        <v>0.32599999999999985</v>
      </c>
      <c r="Q118" s="5">
        <v>0.40635416666666668</v>
      </c>
      <c r="R118" s="5">
        <v>0.16</v>
      </c>
      <c r="S118" s="5">
        <v>0.27505694760820043</v>
      </c>
      <c r="T118" s="5">
        <v>1.4999999999999999E-2</v>
      </c>
      <c r="U118" s="5">
        <v>7.4999999999999997E-2</v>
      </c>
      <c r="V118" s="5">
        <v>0.55094799999999999</v>
      </c>
      <c r="W118" s="5">
        <v>0.21295902439024361</v>
      </c>
      <c r="X118" s="5">
        <v>3.2608695652173912E-2</v>
      </c>
      <c r="Y118" s="5">
        <v>1.0124378449990026E-2</v>
      </c>
      <c r="Z118" s="5">
        <v>3.4143278227677012E-3</v>
      </c>
      <c r="AA118" s="5">
        <v>0</v>
      </c>
      <c r="AB118" s="5">
        <v>0</v>
      </c>
      <c r="AC118" s="5">
        <v>0</v>
      </c>
      <c r="AD118" s="5">
        <v>0.52031398813452445</v>
      </c>
      <c r="AE118" s="5">
        <v>0.29492725127801811</v>
      </c>
      <c r="AF118" s="5">
        <v>0.43459999999999999</v>
      </c>
      <c r="AG118" s="134">
        <v>11158.632001649077</v>
      </c>
      <c r="AH118" s="135">
        <v>9.3199686479243038</v>
      </c>
      <c r="AI118" t="e">
        <v>#N/A</v>
      </c>
      <c r="AJ118" s="136">
        <v>44.2</v>
      </c>
      <c r="AK118" s="137">
        <v>0.24688041522106938</v>
      </c>
      <c r="AL118" s="138">
        <v>0.28877428556631812</v>
      </c>
      <c r="AM118" s="139">
        <v>-4.1893870345248746E-2</v>
      </c>
      <c r="AN118" s="139">
        <v>6.1096790626591957E-2</v>
      </c>
    </row>
    <row r="119" spans="2:40">
      <c r="B119" s="16" t="s">
        <v>237</v>
      </c>
      <c r="C119" s="15" t="s">
        <v>238</v>
      </c>
      <c r="D119" s="133">
        <v>0.35549134315106501</v>
      </c>
      <c r="E119" s="4">
        <v>0.3182358716475096</v>
      </c>
      <c r="F119" s="4">
        <v>0.41654005186233029</v>
      </c>
      <c r="G119" s="6">
        <v>0.3121535463098653</v>
      </c>
      <c r="H119" s="6">
        <v>0.37503590278455645</v>
      </c>
      <c r="I119" s="5">
        <v>0.23983333333333334</v>
      </c>
      <c r="J119" s="5">
        <v>1.4373563218390804E-2</v>
      </c>
      <c r="K119" s="5">
        <v>0.24</v>
      </c>
      <c r="L119" s="5">
        <v>0.78520833333333351</v>
      </c>
      <c r="M119" s="5">
        <v>0.13</v>
      </c>
      <c r="N119" s="5">
        <v>0.5</v>
      </c>
      <c r="O119" s="5">
        <v>0.26791666666666664</v>
      </c>
      <c r="P119" s="5">
        <v>0.42660000000000003</v>
      </c>
      <c r="Q119" s="5">
        <v>0.92301960784305881</v>
      </c>
      <c r="R119" s="5">
        <v>0.12953983255496482</v>
      </c>
      <c r="S119" s="5">
        <v>0.69716420410929103</v>
      </c>
      <c r="T119" s="5">
        <v>5.5000000000000007E-2</v>
      </c>
      <c r="U119" s="5">
        <v>0.76666666666666661</v>
      </c>
      <c r="V119" s="5">
        <v>0.60948000000000002</v>
      </c>
      <c r="W119" s="5">
        <v>0.3615799999999999</v>
      </c>
      <c r="X119" s="5">
        <v>0.10113636363636364</v>
      </c>
      <c r="Y119" s="5">
        <v>0</v>
      </c>
      <c r="Z119" s="5">
        <v>3.4058247556161395E-2</v>
      </c>
      <c r="AA119" s="5">
        <v>0</v>
      </c>
      <c r="AB119" s="5">
        <v>0</v>
      </c>
      <c r="AC119" s="5">
        <v>0.32999999999999996</v>
      </c>
      <c r="AD119" s="5">
        <v>0</v>
      </c>
      <c r="AE119" s="5">
        <v>3.8620973763485154E-3</v>
      </c>
      <c r="AF119" s="5">
        <v>0.96499999999999997</v>
      </c>
      <c r="AG119" s="134">
        <v>3522.2527375089498</v>
      </c>
      <c r="AH119" s="135">
        <v>8.1668560461376973</v>
      </c>
      <c r="AI119">
        <v>0.72699999999999998</v>
      </c>
      <c r="AJ119" s="136">
        <v>36.520000000000003</v>
      </c>
      <c r="AK119" s="137">
        <v>0.3554913431510654</v>
      </c>
      <c r="AL119" s="138">
        <v>0.37283619423656178</v>
      </c>
      <c r="AM119" s="139">
        <v>-1.7344851085496382E-2</v>
      </c>
      <c r="AN119" s="139">
        <v>1.0333607859531773</v>
      </c>
    </row>
    <row r="120" spans="2:40">
      <c r="B120" s="16" t="s">
        <v>239</v>
      </c>
      <c r="C120" s="15" t="s">
        <v>240</v>
      </c>
      <c r="D120" s="133" t="e">
        <v>#DIV/0!</v>
      </c>
      <c r="E120" s="4" t="e">
        <v>#DIV/0!</v>
      </c>
      <c r="F120" s="4">
        <v>0.4006676496783535</v>
      </c>
      <c r="G120" s="6">
        <v>0.13479209251395838</v>
      </c>
      <c r="H120" s="6" t="e">
        <v>#N/A</v>
      </c>
      <c r="I120" s="5">
        <v>0.68166666666666664</v>
      </c>
      <c r="J120" s="5" t="e">
        <v>#DIV/0!</v>
      </c>
      <c r="K120" s="5">
        <v>2.0000000000000018E-2</v>
      </c>
      <c r="L120" s="5">
        <v>0.50749999999999995</v>
      </c>
      <c r="M120" s="5">
        <v>0</v>
      </c>
      <c r="N120" s="5">
        <v>7.999999999999996E-2</v>
      </c>
      <c r="O120" s="5">
        <v>0.28333333333333333</v>
      </c>
      <c r="P120" s="5">
        <v>0.40159999999999996</v>
      </c>
      <c r="Q120" s="5">
        <v>1</v>
      </c>
      <c r="R120" s="5">
        <v>0.24671626692315093</v>
      </c>
      <c r="S120" s="5">
        <v>0.43735629781363655</v>
      </c>
      <c r="T120" s="5">
        <v>3.4999999999999996E-2</v>
      </c>
      <c r="U120" s="5">
        <v>7.4999999999999997E-2</v>
      </c>
      <c r="V120" s="5">
        <v>0.47736000000000001</v>
      </c>
      <c r="W120" s="5">
        <v>0.21458975609756092</v>
      </c>
      <c r="X120" s="5">
        <v>2.4637681159420291E-2</v>
      </c>
      <c r="Y120" s="5">
        <v>1.0866755109658861E-2</v>
      </c>
      <c r="Z120" s="5">
        <v>6.2983627171102124E-3</v>
      </c>
      <c r="AA120" s="5" t="e">
        <v>#N/A</v>
      </c>
      <c r="AB120" s="5" t="e">
        <v>#N/A</v>
      </c>
      <c r="AC120" s="5">
        <v>0</v>
      </c>
      <c r="AD120" s="5" t="e">
        <v>#N/A</v>
      </c>
      <c r="AE120" s="5" t="e">
        <v>#N/A</v>
      </c>
      <c r="AF120" s="5" t="e">
        <v>#N/A</v>
      </c>
      <c r="AG120" s="134">
        <v>13085.847439421894</v>
      </c>
      <c r="AH120" s="135">
        <v>9.4792865770568113</v>
      </c>
      <c r="AI120">
        <v>0.83399999999999996</v>
      </c>
      <c r="AJ120" s="136">
        <v>29.99</v>
      </c>
      <c r="AK120" s="137">
        <v>0.26772987109615592</v>
      </c>
      <c r="AL120" s="138">
        <v>0.27716000853255829</v>
      </c>
      <c r="AM120" s="139">
        <v>-9.4301374364023638E-3</v>
      </c>
      <c r="AN120" s="139" t="e">
        <v>#N/A</v>
      </c>
    </row>
    <row r="121" spans="2:40">
      <c r="B121" s="16" t="s">
        <v>241</v>
      </c>
      <c r="C121" s="15" t="s">
        <v>242</v>
      </c>
      <c r="D121" s="133">
        <v>0.384871177550766</v>
      </c>
      <c r="E121" s="4">
        <v>0.38080308109833966</v>
      </c>
      <c r="F121" s="4">
        <v>0.44966005618344407</v>
      </c>
      <c r="G121" s="6">
        <v>0.36132272124453851</v>
      </c>
      <c r="H121" s="6">
        <v>0.34769885167674125</v>
      </c>
      <c r="I121" s="5">
        <v>0.81974999999999998</v>
      </c>
      <c r="J121" s="5">
        <v>0.43413793103448273</v>
      </c>
      <c r="K121" s="5">
        <v>0.18999999999999995</v>
      </c>
      <c r="L121" s="5">
        <v>0.45493055555555562</v>
      </c>
      <c r="M121" s="5">
        <v>7.5999999999999998E-2</v>
      </c>
      <c r="N121" s="5">
        <v>0.31000000000000005</v>
      </c>
      <c r="O121" s="5">
        <v>0.70741666666666669</v>
      </c>
      <c r="P121" s="5">
        <v>0.43640000000000001</v>
      </c>
      <c r="Q121" s="5">
        <v>0.82862205708780645</v>
      </c>
      <c r="R121" s="5">
        <v>0</v>
      </c>
      <c r="S121" s="5">
        <v>0.62552161334619127</v>
      </c>
      <c r="T121" s="5">
        <v>0.1</v>
      </c>
      <c r="U121" s="5">
        <v>0.7833333333333331</v>
      </c>
      <c r="V121" s="5">
        <v>0.90400000000000003</v>
      </c>
      <c r="W121" s="5">
        <v>0.26825756097560971</v>
      </c>
      <c r="X121" s="5">
        <v>0.14092140921409213</v>
      </c>
      <c r="Y121" s="5">
        <v>1.9635499668348797E-3</v>
      </c>
      <c r="Z121" s="5">
        <v>6.9460473977361728E-2</v>
      </c>
      <c r="AA121" s="5">
        <v>3.0000000000000001E-3</v>
      </c>
      <c r="AB121" s="5">
        <v>8.0356733011789014E-2</v>
      </c>
      <c r="AC121" s="5">
        <v>3.0000000000000027E-2</v>
      </c>
      <c r="AD121" s="5">
        <v>0.95936554952194475</v>
      </c>
      <c r="AE121" s="5">
        <v>3.3609679587721264E-2</v>
      </c>
      <c r="AF121" s="5">
        <v>0.32230000000000003</v>
      </c>
      <c r="AG121" s="134">
        <v>4494.4248743956696</v>
      </c>
      <c r="AH121" s="135">
        <v>8.4105929908655614</v>
      </c>
      <c r="AI121">
        <v>0.65400000000000003</v>
      </c>
      <c r="AJ121" s="136">
        <v>40.880000000000003</v>
      </c>
      <c r="AK121" s="137">
        <v>0.38487117755076583</v>
      </c>
      <c r="AL121" s="138">
        <v>0.35506777096590048</v>
      </c>
      <c r="AM121" s="139">
        <v>2.9803406584865355E-2</v>
      </c>
      <c r="AN121" s="139">
        <v>1.4890606952569023E-2</v>
      </c>
    </row>
    <row r="122" spans="2:40">
      <c r="B122" s="16" t="s">
        <v>243</v>
      </c>
      <c r="C122" s="15" t="s">
        <v>244</v>
      </c>
      <c r="D122" s="133">
        <v>0.53825945462842095</v>
      </c>
      <c r="E122" s="4">
        <v>0.40527733741917871</v>
      </c>
      <c r="F122" s="4">
        <v>0.50963818327140953</v>
      </c>
      <c r="G122" s="6">
        <v>0.66435334528457646</v>
      </c>
      <c r="H122" s="6">
        <v>0.57376895253851812</v>
      </c>
      <c r="I122" s="5">
        <v>0.5315833333333333</v>
      </c>
      <c r="J122" s="5">
        <v>3.4279134039613083E-3</v>
      </c>
      <c r="K122" s="5">
        <v>0.53</v>
      </c>
      <c r="L122" s="5">
        <v>0.27798611111111093</v>
      </c>
      <c r="M122" s="5">
        <v>0.25866666666666666</v>
      </c>
      <c r="N122" s="5">
        <v>0.83</v>
      </c>
      <c r="O122" s="5">
        <v>0.46758333333333335</v>
      </c>
      <c r="P122" s="5">
        <v>0.62380000000000002</v>
      </c>
      <c r="Q122" s="5">
        <v>0.97490724117295036</v>
      </c>
      <c r="R122" s="5">
        <v>0.44566732474114223</v>
      </c>
      <c r="S122" s="5">
        <v>0.33087120038103102</v>
      </c>
      <c r="T122" s="5">
        <v>0.215</v>
      </c>
      <c r="U122" s="5">
        <v>0.40833333333333333</v>
      </c>
      <c r="V122" s="5">
        <v>0.97411999999999999</v>
      </c>
      <c r="W122" s="5">
        <v>0.7383712195121952</v>
      </c>
      <c r="X122" s="5">
        <v>0.47423191278493559</v>
      </c>
      <c r="Y122" s="5">
        <v>0.71952460362281911</v>
      </c>
      <c r="Z122" s="5">
        <v>0.67153900245417575</v>
      </c>
      <c r="AA122" s="5">
        <v>0.02</v>
      </c>
      <c r="AB122" s="5">
        <v>0.11791148547134225</v>
      </c>
      <c r="AC122" s="5">
        <v>0.88300000000000001</v>
      </c>
      <c r="AD122" s="5">
        <v>0.99894260091698883</v>
      </c>
      <c r="AE122" s="5">
        <v>1.9074747577507059E-2</v>
      </c>
      <c r="AF122" s="5">
        <v>0.79220000000000002</v>
      </c>
      <c r="AG122" s="134">
        <v>885.19951912093245</v>
      </c>
      <c r="AH122" s="135">
        <v>6.7858130649333361</v>
      </c>
      <c r="AI122">
        <v>0.40200000000000002</v>
      </c>
      <c r="AJ122" s="136">
        <v>45.61</v>
      </c>
      <c r="AK122" s="137">
        <v>0.53825945462842073</v>
      </c>
      <c r="AL122" s="138">
        <v>0.47351422756635969</v>
      </c>
      <c r="AM122" s="139">
        <v>6.4745227062061039E-2</v>
      </c>
      <c r="AN122" s="139">
        <v>2.1296695090601294</v>
      </c>
    </row>
    <row r="123" spans="2:40">
      <c r="B123" s="16" t="s">
        <v>245</v>
      </c>
      <c r="C123" s="15" t="s">
        <v>246</v>
      </c>
      <c r="D123" s="133">
        <v>0.396539524051022</v>
      </c>
      <c r="E123" s="4">
        <v>0.25598477929984781</v>
      </c>
      <c r="F123" s="4">
        <v>0.49085546230184202</v>
      </c>
      <c r="G123" s="6">
        <v>0.39707830078726164</v>
      </c>
      <c r="H123" s="6">
        <v>0.44223955381513624</v>
      </c>
      <c r="I123" s="5">
        <v>0.52524999999999999</v>
      </c>
      <c r="J123" s="5">
        <v>2.8450342465753418E-2</v>
      </c>
      <c r="K123" s="5">
        <v>0.29000000000000004</v>
      </c>
      <c r="L123" s="5">
        <v>0.25020833333333337</v>
      </c>
      <c r="M123" s="5">
        <v>0.252</v>
      </c>
      <c r="N123" s="5">
        <v>0.18999999999999995</v>
      </c>
      <c r="O123" s="5">
        <v>0.71158333333333335</v>
      </c>
      <c r="P123" s="5">
        <v>0.66759999999999986</v>
      </c>
      <c r="Q123" s="5">
        <v>0.94057469917961889</v>
      </c>
      <c r="R123" s="5">
        <v>0.24795625131390236</v>
      </c>
      <c r="S123" s="5">
        <v>7.4184899841977124E-3</v>
      </c>
      <c r="T123" s="5">
        <v>0.37</v>
      </c>
      <c r="U123" s="5">
        <v>0.44999999999999984</v>
      </c>
      <c r="V123" s="5">
        <v>0.91771999999999998</v>
      </c>
      <c r="W123" s="5">
        <v>0.45819463414634132</v>
      </c>
      <c r="X123" s="5">
        <v>0.31254237288135595</v>
      </c>
      <c r="Y123" s="5">
        <v>0.10161353810446982</v>
      </c>
      <c r="Z123" s="5">
        <v>0.14239925959140254</v>
      </c>
      <c r="AA123" s="5">
        <v>2.6000000000000002E-2</v>
      </c>
      <c r="AB123" s="5">
        <v>0.25779434714865318</v>
      </c>
      <c r="AC123" s="5">
        <v>0.87</v>
      </c>
      <c r="AD123" s="5">
        <v>0.42240065686895223</v>
      </c>
      <c r="AE123" s="5">
        <v>1.1476312890194639E-2</v>
      </c>
      <c r="AF123" s="5">
        <v>0.88149999618530295</v>
      </c>
      <c r="AG123" s="134">
        <v>1250</v>
      </c>
      <c r="AH123" s="135">
        <v>7.1308988302963465</v>
      </c>
      <c r="AI123">
        <v>0.58599999999999997</v>
      </c>
      <c r="AJ123" s="136">
        <v>40</v>
      </c>
      <c r="AK123" s="137">
        <v>0.39653952405102194</v>
      </c>
      <c r="AL123" s="138">
        <v>0.44835747527139624</v>
      </c>
      <c r="AM123" s="139">
        <v>-5.1817951220374303E-2</v>
      </c>
      <c r="AN123" s="139">
        <v>1.8819839433936589E-2</v>
      </c>
    </row>
    <row r="124" spans="2:40">
      <c r="B124" s="16" t="s">
        <v>247</v>
      </c>
      <c r="C124" s="15" t="s">
        <v>248</v>
      </c>
      <c r="D124" s="133">
        <v>0.43284116478809498</v>
      </c>
      <c r="E124" s="4">
        <v>0.33638134875846504</v>
      </c>
      <c r="F124" s="4">
        <v>0.54035897106042097</v>
      </c>
      <c r="G124" s="6">
        <v>0.39248489123837732</v>
      </c>
      <c r="H124" s="6">
        <v>0.46213944809511803</v>
      </c>
      <c r="I124" s="5">
        <v>0.86799999999999999</v>
      </c>
      <c r="J124" s="5">
        <v>1.6913092550790071E-2</v>
      </c>
      <c r="K124" s="5">
        <v>7.999999999999996E-2</v>
      </c>
      <c r="L124" s="5">
        <v>0.36937500000000012</v>
      </c>
      <c r="M124" s="5">
        <v>1.4E-2</v>
      </c>
      <c r="N124" s="5">
        <v>0.66999999999999993</v>
      </c>
      <c r="O124" s="5">
        <v>0.81700000000000006</v>
      </c>
      <c r="P124" s="5">
        <v>0.62579999999999991</v>
      </c>
      <c r="Q124" s="5">
        <v>0.99952291666666671</v>
      </c>
      <c r="R124" s="5">
        <v>3.0704311323000732E-2</v>
      </c>
      <c r="S124" s="5">
        <v>0.60412659837285843</v>
      </c>
      <c r="T124" s="5">
        <v>0.16499999999999998</v>
      </c>
      <c r="U124" s="5">
        <v>0.40833333333333333</v>
      </c>
      <c r="V124" s="5">
        <v>0.76263999999999998</v>
      </c>
      <c r="W124" s="5">
        <v>0.46840926829268281</v>
      </c>
      <c r="X124" s="5">
        <v>0.41332510795805061</v>
      </c>
      <c r="Y124" s="5">
        <v>0.14917958642166501</v>
      </c>
      <c r="Z124" s="5">
        <v>0.15302205142453171</v>
      </c>
      <c r="AA124" s="5">
        <v>1E-3</v>
      </c>
      <c r="AB124" s="5">
        <v>2.5929763944944045E-2</v>
      </c>
      <c r="AC124" s="5">
        <v>0.65999999999999992</v>
      </c>
      <c r="AD124" s="5">
        <v>0.94115479168980254</v>
      </c>
      <c r="AE124" s="5">
        <v>7.2878329628684908E-3</v>
      </c>
      <c r="AF124" s="5">
        <v>0.87199999809265094</v>
      </c>
      <c r="AG124" s="134">
        <v>6410.0938990751911</v>
      </c>
      <c r="AH124" s="135">
        <v>8.7656291986491066</v>
      </c>
      <c r="AI124">
        <v>0.68600000000000005</v>
      </c>
      <c r="AJ124" s="136">
        <v>74.33</v>
      </c>
      <c r="AK124" s="137">
        <v>0.43284116478809531</v>
      </c>
      <c r="AL124" s="138">
        <v>0.32918563141848001</v>
      </c>
      <c r="AM124" s="139">
        <v>0.1036555333696153</v>
      </c>
      <c r="AN124" s="139">
        <v>0.89170048602673146</v>
      </c>
    </row>
    <row r="125" spans="2:40">
      <c r="B125" s="16" t="s">
        <v>249</v>
      </c>
      <c r="C125" s="15" t="s">
        <v>250</v>
      </c>
      <c r="D125" s="133" t="e">
        <v>#N/A</v>
      </c>
      <c r="E125" s="4" t="e">
        <v>#DIV/0!</v>
      </c>
      <c r="F125" s="4" t="e">
        <v>#N/A</v>
      </c>
      <c r="G125" s="6" t="e">
        <v>#N/A</v>
      </c>
      <c r="H125" s="6" t="e">
        <v>#N/A</v>
      </c>
      <c r="I125" s="5">
        <v>0.2506666666666667</v>
      </c>
      <c r="J125" s="5" t="e">
        <v>#DIV/0!</v>
      </c>
      <c r="K125" s="5" t="e">
        <v>#N/A</v>
      </c>
      <c r="L125" s="5">
        <v>0.12034722222222222</v>
      </c>
      <c r="M125" s="5" t="e">
        <v>#N/A</v>
      </c>
      <c r="N125" s="5" t="e">
        <v>#N/A</v>
      </c>
      <c r="O125" s="5">
        <v>0.44466666666666665</v>
      </c>
      <c r="P125" s="5" t="e">
        <v>#N/A</v>
      </c>
      <c r="Q125" s="5">
        <v>1</v>
      </c>
      <c r="R125" s="5">
        <v>0.2282774241168693</v>
      </c>
      <c r="S125" s="5" t="e">
        <v>#N/A</v>
      </c>
      <c r="T125" s="5" t="e">
        <v>#N/A</v>
      </c>
      <c r="U125" s="5">
        <v>0.76666666666666661</v>
      </c>
      <c r="V125" s="5" t="e">
        <v>#N/A</v>
      </c>
      <c r="W125" s="5" t="e">
        <v>#N/A</v>
      </c>
      <c r="X125" s="5">
        <v>0.16205266711681296</v>
      </c>
      <c r="Y125" s="5" t="e">
        <v>#N/A</v>
      </c>
      <c r="Z125" s="5" t="e">
        <v>#N/A</v>
      </c>
      <c r="AA125" s="5">
        <v>1</v>
      </c>
      <c r="AB125" s="5">
        <v>0.41984947043494891</v>
      </c>
      <c r="AC125" s="5">
        <v>9.9999999999988987E-4</v>
      </c>
      <c r="AD125" s="5">
        <v>0</v>
      </c>
      <c r="AE125" s="5" t="e">
        <v>#N/A</v>
      </c>
      <c r="AF125" s="5" t="e">
        <v>#N/A</v>
      </c>
      <c r="AG125" s="134">
        <v>2500</v>
      </c>
      <c r="AH125" s="135">
        <v>7.8240460108562919</v>
      </c>
      <c r="AI125" t="s">
        <v>545</v>
      </c>
      <c r="AJ125" s="136" t="e">
        <v>#N/A</v>
      </c>
      <c r="AK125" s="137" t="e">
        <v>#N/A</v>
      </c>
      <c r="AL125" s="138">
        <v>0.3978270458085762</v>
      </c>
      <c r="AM125" s="139" t="e">
        <v>#N/A</v>
      </c>
      <c r="AN125" s="139">
        <v>0</v>
      </c>
    </row>
    <row r="126" spans="2:40">
      <c r="B126" s="16" t="s">
        <v>251</v>
      </c>
      <c r="C126" s="15" t="s">
        <v>252</v>
      </c>
      <c r="D126" s="133">
        <v>0.42317335367391901</v>
      </c>
      <c r="E126" s="4">
        <v>0.31914088214046582</v>
      </c>
      <c r="F126" s="4" t="e">
        <v>#VALUE!</v>
      </c>
      <c r="G126" s="6">
        <v>0.42403188290328209</v>
      </c>
      <c r="H126" s="6">
        <v>0.48665723665129007</v>
      </c>
      <c r="I126" s="5">
        <v>0.39058333333333339</v>
      </c>
      <c r="J126" s="5">
        <v>4.7859181731684117E-2</v>
      </c>
      <c r="K126" s="5">
        <v>0.12</v>
      </c>
      <c r="L126" s="5">
        <v>0.44173611111111089</v>
      </c>
      <c r="M126" s="5">
        <v>0.22466666666666665</v>
      </c>
      <c r="N126" s="5">
        <v>0.69</v>
      </c>
      <c r="O126" s="5">
        <v>0.40658333333333335</v>
      </c>
      <c r="P126" s="5">
        <v>0.82279999999999998</v>
      </c>
      <c r="Q126" s="5">
        <v>0.74890301660356395</v>
      </c>
      <c r="R126" s="5" t="e">
        <v>#VALUE!</v>
      </c>
      <c r="S126" s="5">
        <v>4.8894128066923337E-2</v>
      </c>
      <c r="T126" s="5">
        <v>0.5</v>
      </c>
      <c r="U126" s="5">
        <v>0.44999999999999984</v>
      </c>
      <c r="V126" s="5">
        <v>0.95479999999999998</v>
      </c>
      <c r="W126" s="5">
        <v>0.35867121951219505</v>
      </c>
      <c r="X126" s="5">
        <v>0.33267716535433073</v>
      </c>
      <c r="Y126" s="5">
        <v>0.13742478497796984</v>
      </c>
      <c r="Z126" s="5">
        <v>0.31061812757519702</v>
      </c>
      <c r="AA126" s="5">
        <v>0</v>
      </c>
      <c r="AB126" s="5">
        <v>0</v>
      </c>
      <c r="AC126" s="5">
        <v>0.56400000000000006</v>
      </c>
      <c r="AD126" s="5">
        <v>0.99682122332025458</v>
      </c>
      <c r="AE126" s="5">
        <v>9.4175095919079174E-2</v>
      </c>
      <c r="AF126" s="5">
        <v>0.4415</v>
      </c>
      <c r="AG126" s="134">
        <v>1154.6985440655546</v>
      </c>
      <c r="AH126" s="135">
        <v>7.0515945880802118</v>
      </c>
      <c r="AI126">
        <v>0.55300000000000005</v>
      </c>
      <c r="AJ126" s="136">
        <v>47.3</v>
      </c>
      <c r="AK126" s="137">
        <v>0.40994333389834597</v>
      </c>
      <c r="AL126" s="138">
        <v>0.45413875452895247</v>
      </c>
      <c r="AM126" s="139">
        <v>-4.4195420630606497E-2</v>
      </c>
      <c r="AN126" s="139">
        <v>0.28252010698251984</v>
      </c>
    </row>
    <row r="127" spans="2:40">
      <c r="B127" s="16" t="s">
        <v>253</v>
      </c>
      <c r="C127" s="15" t="s">
        <v>254</v>
      </c>
      <c r="D127" s="133">
        <v>0.226081704355373</v>
      </c>
      <c r="E127" s="4">
        <v>0.17319734432234438</v>
      </c>
      <c r="F127" s="4">
        <v>0.2535249665081632</v>
      </c>
      <c r="G127" s="6">
        <v>0.17599488832216018</v>
      </c>
      <c r="H127" s="6">
        <v>0.30160961826882399</v>
      </c>
      <c r="I127" s="5">
        <v>0.49741666666666662</v>
      </c>
      <c r="J127" s="5">
        <v>0.12593406593406595</v>
      </c>
      <c r="K127" s="5">
        <v>0</v>
      </c>
      <c r="L127" s="5">
        <v>0.41583333333333361</v>
      </c>
      <c r="M127" s="5">
        <v>0</v>
      </c>
      <c r="N127" s="5">
        <v>0</v>
      </c>
      <c r="O127" s="5">
        <v>0.26374999999999998</v>
      </c>
      <c r="P127" s="5">
        <v>0.17616999615092616</v>
      </c>
      <c r="Q127" s="5">
        <v>5.1492280767500009E-2</v>
      </c>
      <c r="R127" s="5">
        <v>2.9737522130552922E-2</v>
      </c>
      <c r="S127" s="5">
        <v>1</v>
      </c>
      <c r="T127" s="5">
        <v>0</v>
      </c>
      <c r="U127" s="5">
        <v>6.6666666666666541E-2</v>
      </c>
      <c r="V127" s="5">
        <v>0.83116000000000001</v>
      </c>
      <c r="W127" s="5">
        <v>8.9024390243902185E-2</v>
      </c>
      <c r="X127" s="5">
        <v>6.5573770491803282E-2</v>
      </c>
      <c r="Y127" s="5">
        <v>0</v>
      </c>
      <c r="Z127" s="5">
        <v>3.5445025305892251E-3</v>
      </c>
      <c r="AA127" s="5">
        <v>0.57499999999999996</v>
      </c>
      <c r="AB127" s="5">
        <v>0.73900016982005856</v>
      </c>
      <c r="AC127" s="5">
        <v>0</v>
      </c>
      <c r="AD127" s="5">
        <v>0.18604809773246539</v>
      </c>
      <c r="AE127" s="5">
        <v>0.13329383886255924</v>
      </c>
      <c r="AF127" s="5">
        <v>9.9999999999999978E-2</v>
      </c>
      <c r="AG127" s="134">
        <v>40676.111105562566</v>
      </c>
      <c r="AH127" s="135">
        <v>10.613396248384399</v>
      </c>
      <c r="AI127">
        <v>0.96399999999999997</v>
      </c>
      <c r="AJ127" s="136">
        <v>30.9</v>
      </c>
      <c r="AK127" s="137">
        <v>0.22608170435537295</v>
      </c>
      <c r="AL127" s="138">
        <v>0.1944834134927772</v>
      </c>
      <c r="AM127" s="139">
        <v>3.1598290862595746E-2</v>
      </c>
      <c r="AN127" s="139">
        <v>1.7163205899476036E-2</v>
      </c>
    </row>
    <row r="128" spans="2:40">
      <c r="B128" s="16" t="s">
        <v>255</v>
      </c>
      <c r="C128" s="15" t="s">
        <v>256</v>
      </c>
      <c r="D128" s="133">
        <v>0.15754009594909299</v>
      </c>
      <c r="E128" s="4">
        <v>8.2068361365953135E-2</v>
      </c>
      <c r="F128" s="4">
        <v>0.12455360590313218</v>
      </c>
      <c r="G128" s="6">
        <v>0.17020832751368542</v>
      </c>
      <c r="H128" s="6">
        <v>0.25333008901359994</v>
      </c>
      <c r="I128" s="5">
        <v>0.36849999999999994</v>
      </c>
      <c r="J128" s="5">
        <v>1.4535168195718656E-2</v>
      </c>
      <c r="K128" s="5">
        <v>0</v>
      </c>
      <c r="L128" s="5">
        <v>0.10937500000000022</v>
      </c>
      <c r="M128" s="5">
        <v>0</v>
      </c>
      <c r="N128" s="5">
        <v>0</v>
      </c>
      <c r="O128" s="5">
        <v>0.13616666666666666</v>
      </c>
      <c r="P128" s="5">
        <v>0.13320000000000001</v>
      </c>
      <c r="Q128" s="5">
        <v>0</v>
      </c>
      <c r="R128" s="5">
        <v>5.9460771616074666E-2</v>
      </c>
      <c r="S128" s="5">
        <v>0.41849419713605179</v>
      </c>
      <c r="T128" s="5">
        <v>0</v>
      </c>
      <c r="U128" s="5">
        <v>0.8500000000000002</v>
      </c>
      <c r="V128" s="5">
        <v>3.503999999999996E-2</v>
      </c>
      <c r="W128" s="5">
        <v>9.3975609756097311E-2</v>
      </c>
      <c r="X128" s="5">
        <v>3.5629453681710214E-2</v>
      </c>
      <c r="Y128" s="5">
        <v>0</v>
      </c>
      <c r="Z128" s="5">
        <v>6.6049016443047821E-3</v>
      </c>
      <c r="AA128" s="5">
        <v>2.5000000000000001E-2</v>
      </c>
      <c r="AB128" s="5">
        <v>0.14685605728470441</v>
      </c>
      <c r="AC128" s="5">
        <v>0</v>
      </c>
      <c r="AD128" s="5">
        <v>0.62091752601450012</v>
      </c>
      <c r="AE128" s="5">
        <v>3.9221545702439208E-2</v>
      </c>
      <c r="AF128" s="5">
        <v>0.34109999999999996</v>
      </c>
      <c r="AG128" s="134">
        <v>28993.446429648775</v>
      </c>
      <c r="AH128" s="135">
        <v>10.274825098245586</v>
      </c>
      <c r="AI128">
        <v>0.95</v>
      </c>
      <c r="AJ128" s="136">
        <v>36.172026000000002</v>
      </c>
      <c r="AK128" s="137">
        <v>0.15754009594909268</v>
      </c>
      <c r="AL128" s="138">
        <v>0.21916525033789669</v>
      </c>
      <c r="AM128" s="139">
        <v>-6.1625154388804004E-2</v>
      </c>
      <c r="AN128" s="139">
        <v>7.3779134295227523E-3</v>
      </c>
    </row>
    <row r="129" spans="2:40">
      <c r="B129" s="16" t="s">
        <v>257</v>
      </c>
      <c r="C129" s="15" t="s">
        <v>258</v>
      </c>
      <c r="D129" s="133">
        <v>0.33597035079144999</v>
      </c>
      <c r="E129" s="4">
        <v>0.25418217333559401</v>
      </c>
      <c r="F129" s="4">
        <v>0.3855350765019061</v>
      </c>
      <c r="G129" s="6">
        <v>0.28179698750933529</v>
      </c>
      <c r="H129" s="6">
        <v>0.42236716581896322</v>
      </c>
      <c r="I129" s="5">
        <v>0.56658333333333333</v>
      </c>
      <c r="J129" s="5">
        <v>6.5513733468972549E-3</v>
      </c>
      <c r="K129" s="5">
        <v>0.15000000000000002</v>
      </c>
      <c r="L129" s="5">
        <v>0.2539583333333334</v>
      </c>
      <c r="M129" s="5">
        <v>6.8000000000000005E-2</v>
      </c>
      <c r="N129" s="5">
        <v>0.48</v>
      </c>
      <c r="O129" s="5">
        <v>0.49525000000000002</v>
      </c>
      <c r="P129" s="5">
        <v>0.42980000000000002</v>
      </c>
      <c r="Q129" s="5">
        <v>0.92050676691721423</v>
      </c>
      <c r="R129" s="5">
        <v>3.6577396268550229E-2</v>
      </c>
      <c r="S129" s="5">
        <v>0.40107629582567206</v>
      </c>
      <c r="T129" s="5">
        <v>0.03</v>
      </c>
      <c r="U129" s="5">
        <v>0.2250000000000002</v>
      </c>
      <c r="V129" s="5">
        <v>0.89959999999999996</v>
      </c>
      <c r="W129" s="5">
        <v>0.23002341463414633</v>
      </c>
      <c r="X129" s="5">
        <v>0.13530326594090203</v>
      </c>
      <c r="Y129" s="5">
        <v>0.11775330569258463</v>
      </c>
      <c r="Z129" s="5">
        <v>8.3101938788378904E-2</v>
      </c>
      <c r="AA129" s="5">
        <v>5.5E-2</v>
      </c>
      <c r="AB129" s="5">
        <v>2.0867845058966782E-2</v>
      </c>
      <c r="AC129" s="5">
        <v>0.27900000000000003</v>
      </c>
      <c r="AD129" s="5">
        <v>0.48290315382326687</v>
      </c>
      <c r="AE129" s="5">
        <v>5.0004167013917827E-2</v>
      </c>
      <c r="AF129" s="5">
        <v>0.88</v>
      </c>
      <c r="AG129" s="134">
        <v>2641.2777803924505</v>
      </c>
      <c r="AH129" s="135">
        <v>7.8790180867708175</v>
      </c>
      <c r="AI129">
        <v>0.69899999999999995</v>
      </c>
      <c r="AJ129" s="136">
        <v>52.33</v>
      </c>
      <c r="AK129" s="137">
        <v>0.33597035079144966</v>
      </c>
      <c r="AL129" s="138">
        <v>0.39381958147440732</v>
      </c>
      <c r="AM129" s="139">
        <v>-5.7849230682957664E-2</v>
      </c>
      <c r="AN129" s="139">
        <v>0.52204428377767742</v>
      </c>
    </row>
    <row r="130" spans="2:40">
      <c r="B130" s="16" t="s">
        <v>259</v>
      </c>
      <c r="C130" s="15" t="s">
        <v>260</v>
      </c>
      <c r="D130" s="133">
        <v>0.52044812847960498</v>
      </c>
      <c r="E130" s="4">
        <v>0.55340552597545545</v>
      </c>
      <c r="F130" s="4">
        <v>0.53129094959182399</v>
      </c>
      <c r="G130" s="6">
        <v>0.61624227353793504</v>
      </c>
      <c r="H130" s="6">
        <v>0.38085376481320665</v>
      </c>
      <c r="I130" s="5">
        <v>0.59466666666666668</v>
      </c>
      <c r="J130" s="5">
        <v>7.0252600297176823E-2</v>
      </c>
      <c r="K130" s="5">
        <v>0.52</v>
      </c>
      <c r="L130" s="5">
        <v>0.40618055555555577</v>
      </c>
      <c r="M130" s="5">
        <v>0.81933333333333336</v>
      </c>
      <c r="N130" s="5">
        <v>0.91</v>
      </c>
      <c r="O130" s="5">
        <v>0.63950000000000007</v>
      </c>
      <c r="P130" s="5">
        <v>0.83379999999999999</v>
      </c>
      <c r="Q130" s="5">
        <v>0.99912333329145386</v>
      </c>
      <c r="R130" s="5">
        <v>3.2758484488043506E-2</v>
      </c>
      <c r="S130" s="5">
        <v>8.2563879771446247E-2</v>
      </c>
      <c r="T130" s="5">
        <v>0.6</v>
      </c>
      <c r="U130" s="5">
        <v>0.20833333333333315</v>
      </c>
      <c r="V130" s="5">
        <v>0.98804000000000003</v>
      </c>
      <c r="W130" s="5">
        <v>0.66093170731707307</v>
      </c>
      <c r="X130" s="5">
        <v>0.51372273047149897</v>
      </c>
      <c r="Y130" s="5">
        <v>0.32642587010570506</v>
      </c>
      <c r="Z130" s="5">
        <v>1</v>
      </c>
      <c r="AA130" s="5">
        <v>0</v>
      </c>
      <c r="AB130" s="5">
        <v>0</v>
      </c>
      <c r="AC130" s="5">
        <v>0.90700000000000003</v>
      </c>
      <c r="AD130" s="5" t="e">
        <v>#N/A</v>
      </c>
      <c r="AE130" s="5">
        <v>8.2892555459066868E-3</v>
      </c>
      <c r="AF130" s="5">
        <v>0.79349999999999998</v>
      </c>
      <c r="AG130" s="134">
        <v>689.83922798940318</v>
      </c>
      <c r="AH130" s="135">
        <v>6.5364585675280003</v>
      </c>
      <c r="AI130">
        <v>0.34</v>
      </c>
      <c r="AJ130" s="136">
        <v>34.04</v>
      </c>
      <c r="AK130" s="137">
        <v>0.52044812847960531</v>
      </c>
      <c r="AL130" s="138">
        <v>0.4916921704272087</v>
      </c>
      <c r="AM130" s="139">
        <v>2.8755958052396613E-2</v>
      </c>
      <c r="AN130" s="139">
        <v>1.3208119743249225</v>
      </c>
    </row>
    <row r="131" spans="2:40">
      <c r="B131" s="16" t="s">
        <v>261</v>
      </c>
      <c r="C131" s="15" t="s">
        <v>262</v>
      </c>
      <c r="D131" s="133">
        <v>0.43490486475798901</v>
      </c>
      <c r="E131" s="4">
        <v>0.34314979326811085</v>
      </c>
      <c r="F131" s="4">
        <v>0.42988340163873517</v>
      </c>
      <c r="G131" s="6">
        <v>0.55566814461298752</v>
      </c>
      <c r="H131" s="6">
        <v>0.41091811951212409</v>
      </c>
      <c r="I131" s="5">
        <v>0.25683333333333325</v>
      </c>
      <c r="J131" s="5">
        <v>3.6023759608665273E-2</v>
      </c>
      <c r="K131" s="5">
        <v>0.42000000000000004</v>
      </c>
      <c r="L131" s="5">
        <v>0.29270833333333324</v>
      </c>
      <c r="M131" s="5">
        <v>0.37333333333333335</v>
      </c>
      <c r="N131" s="5">
        <v>0.67999999999999994</v>
      </c>
      <c r="O131" s="5">
        <v>0.42316666666666669</v>
      </c>
      <c r="P131" s="5">
        <v>0.50919999999999999</v>
      </c>
      <c r="Q131" s="5">
        <v>0.96685791111111108</v>
      </c>
      <c r="R131" s="5">
        <v>0.10869037985409417</v>
      </c>
      <c r="S131" s="5">
        <v>0.1213854522005389</v>
      </c>
      <c r="T131" s="5">
        <v>0.45</v>
      </c>
      <c r="U131" s="5">
        <v>0.20833333333333315</v>
      </c>
      <c r="V131" s="5">
        <v>0.85539999999999994</v>
      </c>
      <c r="W131" s="5">
        <v>0.73712097560975609</v>
      </c>
      <c r="X131" s="5">
        <v>0.48456610366919045</v>
      </c>
      <c r="Y131" s="5">
        <v>4.8588455065645554E-2</v>
      </c>
      <c r="Z131" s="5">
        <v>1</v>
      </c>
      <c r="AA131" s="5">
        <v>5.0000000000000001E-3</v>
      </c>
      <c r="AB131" s="5">
        <v>6.0776866111679359E-2</v>
      </c>
      <c r="AC131" s="5">
        <v>0.53200000000000003</v>
      </c>
      <c r="AD131" s="5">
        <v>0</v>
      </c>
      <c r="AE131" s="5">
        <v>2.9645245232056392E-2</v>
      </c>
      <c r="AF131" s="5">
        <v>0.85</v>
      </c>
      <c r="AG131" s="134">
        <v>2203.3475614546869</v>
      </c>
      <c r="AH131" s="135">
        <v>7.6977331017005035</v>
      </c>
      <c r="AI131">
        <v>0.51100000000000001</v>
      </c>
      <c r="AJ131" s="136">
        <v>42.93</v>
      </c>
      <c r="AK131" s="137">
        <v>0.43490486475798945</v>
      </c>
      <c r="AL131" s="138">
        <v>0.40703525688603315</v>
      </c>
      <c r="AM131" s="139">
        <v>2.7869607871956303E-2</v>
      </c>
      <c r="AN131" s="139">
        <v>4.462327386503806E-2</v>
      </c>
    </row>
    <row r="132" spans="2:40">
      <c r="B132" s="16" t="s">
        <v>263</v>
      </c>
      <c r="C132" s="15" t="s">
        <v>264</v>
      </c>
      <c r="D132" s="133">
        <v>0.132405502501595</v>
      </c>
      <c r="E132" s="4">
        <v>0.14047441584254408</v>
      </c>
      <c r="F132" s="4">
        <v>0.1441951768437767</v>
      </c>
      <c r="G132" s="6">
        <v>3.6241634058701525E-2</v>
      </c>
      <c r="H132" s="6">
        <v>0.20871078326135692</v>
      </c>
      <c r="I132" s="5">
        <v>0.28925000000000012</v>
      </c>
      <c r="J132" s="5">
        <v>7.6937172774869111E-3</v>
      </c>
      <c r="K132" s="5">
        <v>0</v>
      </c>
      <c r="L132" s="5">
        <v>0.54590277777777751</v>
      </c>
      <c r="M132" s="5">
        <v>0</v>
      </c>
      <c r="N132" s="5">
        <v>0</v>
      </c>
      <c r="O132" s="5">
        <v>1.5499999999999995E-2</v>
      </c>
      <c r="P132" s="5">
        <v>0.22464530481276881</v>
      </c>
      <c r="Q132" s="5">
        <v>0.13508740775816674</v>
      </c>
      <c r="R132" s="5">
        <v>4.6609671520953411E-2</v>
      </c>
      <c r="S132" s="5">
        <v>0.44332867697077127</v>
      </c>
      <c r="T132" s="5">
        <v>0</v>
      </c>
      <c r="U132" s="5">
        <v>6.6666666666666541E-2</v>
      </c>
      <c r="V132" s="5">
        <v>0</v>
      </c>
      <c r="W132" s="5">
        <v>8.409756097560972E-2</v>
      </c>
      <c r="X132" s="5">
        <v>6.3380281690140844E-2</v>
      </c>
      <c r="Y132" s="5">
        <v>0</v>
      </c>
      <c r="Z132" s="5">
        <v>3.3052950197920553E-3</v>
      </c>
      <c r="AA132" s="5">
        <v>2.1000000000000001E-2</v>
      </c>
      <c r="AB132" s="5">
        <v>8.632058782452523E-2</v>
      </c>
      <c r="AC132" s="5">
        <v>0</v>
      </c>
      <c r="AD132" s="5">
        <v>0.63954352678278614</v>
      </c>
      <c r="AE132" s="5">
        <v>1.4789010122255817E-2</v>
      </c>
      <c r="AF132" s="5">
        <v>0.19550000000000001</v>
      </c>
      <c r="AG132" s="134">
        <v>56213.519855050894</v>
      </c>
      <c r="AH132" s="135">
        <v>10.936912573766078</v>
      </c>
      <c r="AI132">
        <v>0.97099999999999997</v>
      </c>
      <c r="AJ132" s="136">
        <v>25.79</v>
      </c>
      <c r="AK132" s="137">
        <v>0.1324055025015948</v>
      </c>
      <c r="AL132" s="138">
        <v>0.1708990733724528</v>
      </c>
      <c r="AM132" s="139">
        <v>-3.8493570870858002E-2</v>
      </c>
      <c r="AN132" s="139">
        <v>1.3994035329203947E-3</v>
      </c>
    </row>
    <row r="133" spans="2:40">
      <c r="B133" s="16" t="s">
        <v>265</v>
      </c>
      <c r="C133" s="15" t="s">
        <v>266</v>
      </c>
      <c r="D133" s="133">
        <v>0.27806038873712302</v>
      </c>
      <c r="E133" s="4">
        <v>0.30824371693121688</v>
      </c>
      <c r="F133" s="4" t="e">
        <v>#N/A</v>
      </c>
      <c r="G133" s="6">
        <v>0.14907026137975299</v>
      </c>
      <c r="H133" s="6">
        <v>0.25139268716251056</v>
      </c>
      <c r="I133" s="5">
        <v>0.29391666666666671</v>
      </c>
      <c r="J133" s="5">
        <v>0.94714285714285718</v>
      </c>
      <c r="K133" s="5">
        <v>0.12</v>
      </c>
      <c r="L133" s="5">
        <v>0.35840277777777763</v>
      </c>
      <c r="M133" s="5">
        <v>0</v>
      </c>
      <c r="N133" s="5">
        <v>0.13</v>
      </c>
      <c r="O133" s="5">
        <v>0.54108333333333336</v>
      </c>
      <c r="P133" s="5">
        <v>0.2834000000000001</v>
      </c>
      <c r="Q133" s="5">
        <v>0.44596774193548383</v>
      </c>
      <c r="R133" s="5">
        <v>8.5758261581263831E-2</v>
      </c>
      <c r="S133" s="5" t="e">
        <v>#N/A</v>
      </c>
      <c r="T133" s="5">
        <v>6.5000000000000002E-2</v>
      </c>
      <c r="U133" s="5">
        <v>7.5000000000000067E-2</v>
      </c>
      <c r="V133" s="5">
        <v>0.59515999999999991</v>
      </c>
      <c r="W133" s="5">
        <v>0.17716829268292689</v>
      </c>
      <c r="X133" s="5">
        <v>3.1029619181946404E-2</v>
      </c>
      <c r="Y133" s="5">
        <v>0</v>
      </c>
      <c r="Z133" s="5">
        <v>1.6063656413644673E-2</v>
      </c>
      <c r="AA133" s="5">
        <v>8.0000000000000002E-3</v>
      </c>
      <c r="AB133" s="5">
        <v>0.18263317430403042</v>
      </c>
      <c r="AC133" s="5">
        <v>2.0000000000000018E-2</v>
      </c>
      <c r="AD133" s="5">
        <v>0</v>
      </c>
      <c r="AE133" s="5">
        <v>0</v>
      </c>
      <c r="AF133" s="5">
        <v>0.56540000000000001</v>
      </c>
      <c r="AG133" s="134">
        <v>25462.14743565553</v>
      </c>
      <c r="AH133" s="135">
        <v>10.144948214024099</v>
      </c>
      <c r="AI133">
        <v>0.84599999999999997</v>
      </c>
      <c r="AJ133" s="136">
        <v>32</v>
      </c>
      <c r="AK133" s="137">
        <v>0.23623555515782679</v>
      </c>
      <c r="AL133" s="138">
        <v>0.22863327519764309</v>
      </c>
      <c r="AM133" s="139">
        <v>7.6022799601836999E-3</v>
      </c>
      <c r="AN133" s="139">
        <v>6.2081286288521661E-5</v>
      </c>
    </row>
    <row r="134" spans="2:40">
      <c r="B134" s="16" t="s">
        <v>267</v>
      </c>
      <c r="C134" s="15" t="s">
        <v>268</v>
      </c>
      <c r="D134" s="133">
        <v>0.395788701514454</v>
      </c>
      <c r="E134" s="4">
        <v>0.36370686902240196</v>
      </c>
      <c r="F134" s="4">
        <v>0.38326046866243108</v>
      </c>
      <c r="G134" s="6">
        <v>0.44981946125527728</v>
      </c>
      <c r="H134" s="6">
        <v>0.38636800711770497</v>
      </c>
      <c r="I134" s="5">
        <v>0.10183333333333333</v>
      </c>
      <c r="J134" s="5">
        <v>0.79506065857885622</v>
      </c>
      <c r="K134" s="5">
        <v>9.9999999999999978E-2</v>
      </c>
      <c r="L134" s="5">
        <v>0.49868055555555568</v>
      </c>
      <c r="M134" s="5">
        <v>0.13666666666666666</v>
      </c>
      <c r="N134" s="5">
        <v>0.55000000000000004</v>
      </c>
      <c r="O134" s="5">
        <v>0.58816666666666662</v>
      </c>
      <c r="P134" s="5">
        <v>0.63419999999999999</v>
      </c>
      <c r="Q134" s="5">
        <v>0.38649868182447422</v>
      </c>
      <c r="R134" s="5">
        <v>5.4519070415082034E-2</v>
      </c>
      <c r="S134" s="5">
        <v>6.1783930683638509E-3</v>
      </c>
      <c r="T134" s="5">
        <v>0.63</v>
      </c>
      <c r="U134" s="5">
        <v>0.7833333333333331</v>
      </c>
      <c r="V134" s="5">
        <v>0.92267999999999994</v>
      </c>
      <c r="W134" s="5">
        <v>0.36297902439024399</v>
      </c>
      <c r="X134" s="5">
        <v>0.32521008403361346</v>
      </c>
      <c r="Y134" s="5">
        <v>3.6969235647714906E-2</v>
      </c>
      <c r="Z134" s="5">
        <v>0.26774509012675873</v>
      </c>
      <c r="AA134" s="5">
        <v>2.2000000000000002E-2</v>
      </c>
      <c r="AB134" s="5">
        <v>2.9429240533700267E-2</v>
      </c>
      <c r="AC134" s="5">
        <v>0.42399999999999993</v>
      </c>
      <c r="AD134" s="5">
        <v>0.46735854362651963</v>
      </c>
      <c r="AE134" s="5">
        <v>3.6970734744707349E-2</v>
      </c>
      <c r="AF134" s="5">
        <v>0.34639816284179703</v>
      </c>
      <c r="AG134" s="134">
        <v>2608.5856470624781</v>
      </c>
      <c r="AH134" s="135">
        <v>7.8665634557599162</v>
      </c>
      <c r="AI134">
        <v>0.57199999999999995</v>
      </c>
      <c r="AJ134" s="136">
        <v>32.74</v>
      </c>
      <c r="AK134" s="137">
        <v>0.39578870151445383</v>
      </c>
      <c r="AL134" s="138">
        <v>0.39472752407510203</v>
      </c>
      <c r="AM134" s="139">
        <v>1.0611774393518014E-3</v>
      </c>
      <c r="AN134" s="139">
        <v>0.29210167432567435</v>
      </c>
    </row>
    <row r="135" spans="2:40">
      <c r="B135" s="16" t="s">
        <v>269</v>
      </c>
      <c r="C135" s="15" t="s">
        <v>270</v>
      </c>
      <c r="D135" s="133" t="e">
        <v>#N/A</v>
      </c>
      <c r="E135" s="4" t="e">
        <v>#DIV/0!</v>
      </c>
      <c r="F135" s="4" t="e">
        <v>#N/A</v>
      </c>
      <c r="G135" s="6">
        <v>0.45142716270094635</v>
      </c>
      <c r="H135" s="6" t="e">
        <v>#N/A</v>
      </c>
      <c r="I135" s="5">
        <v>0.43183333333333329</v>
      </c>
      <c r="J135" s="5" t="e">
        <v>#DIV/0!</v>
      </c>
      <c r="K135" s="5">
        <v>0.16000000000000003</v>
      </c>
      <c r="L135" s="5">
        <v>9.0347222222222245E-2</v>
      </c>
      <c r="M135" s="5">
        <v>2.6666666666666668E-2</v>
      </c>
      <c r="N135" s="5">
        <v>0.17000000000000004</v>
      </c>
      <c r="O135" s="5">
        <v>0.44466666666666665</v>
      </c>
      <c r="P135" s="5">
        <v>0.18419999999999997</v>
      </c>
      <c r="Q135" s="5">
        <v>1</v>
      </c>
      <c r="R135" s="5">
        <v>3.3614265853040594E-2</v>
      </c>
      <c r="S135" s="5" t="e">
        <v>#N/A</v>
      </c>
      <c r="T135" s="5" t="e">
        <v>#N/A</v>
      </c>
      <c r="U135" s="5">
        <v>0.76666666666666661</v>
      </c>
      <c r="V135" s="5">
        <v>0.47599999999999998</v>
      </c>
      <c r="W135" s="5">
        <v>0.31741463414634152</v>
      </c>
      <c r="X135" s="5">
        <v>0.18848167539267016</v>
      </c>
      <c r="Y135" s="5">
        <v>0.46</v>
      </c>
      <c r="Z135" s="5">
        <v>0.5</v>
      </c>
      <c r="AA135" s="5">
        <v>0.4</v>
      </c>
      <c r="AB135" s="5">
        <v>0.51496675914453194</v>
      </c>
      <c r="AC135" s="5">
        <v>5.0000000000000044E-3</v>
      </c>
      <c r="AD135" s="5" t="e">
        <v>#N/A</v>
      </c>
      <c r="AE135" s="5">
        <v>0</v>
      </c>
      <c r="AF135" s="5" t="e">
        <v>#N/A</v>
      </c>
      <c r="AG135" s="134">
        <v>8100</v>
      </c>
      <c r="AH135" s="135">
        <v>8.99961934066053</v>
      </c>
      <c r="AI135" t="s">
        <v>545</v>
      </c>
      <c r="AJ135" s="136" t="e">
        <v>#N/A</v>
      </c>
      <c r="AK135" s="137" t="e">
        <v>#N/A</v>
      </c>
      <c r="AL135" s="138">
        <v>0.31212775006584725</v>
      </c>
      <c r="AM135" s="139" t="e">
        <v>#N/A</v>
      </c>
      <c r="AN135" s="139" t="e">
        <v>#N/A</v>
      </c>
    </row>
    <row r="136" spans="2:40">
      <c r="B136" s="16" t="s">
        <v>271</v>
      </c>
      <c r="C136" s="15" t="s">
        <v>272</v>
      </c>
      <c r="D136" s="133">
        <v>0.28569594031304402</v>
      </c>
      <c r="E136" s="4">
        <v>0.17444848598598597</v>
      </c>
      <c r="F136" s="4">
        <v>0.38403691706988546</v>
      </c>
      <c r="G136" s="6">
        <v>0.23943759466271589</v>
      </c>
      <c r="H136" s="6">
        <v>0.34486076353358808</v>
      </c>
      <c r="I136" s="5">
        <v>0.41933333333333322</v>
      </c>
      <c r="J136" s="5">
        <v>3.052027027027027E-3</v>
      </c>
      <c r="K136" s="5">
        <v>6.9999999999999951E-2</v>
      </c>
      <c r="L136" s="5">
        <v>0.20763888888888893</v>
      </c>
      <c r="M136" s="5">
        <v>3.6666666666666667E-2</v>
      </c>
      <c r="N136" s="5">
        <v>0.31000000000000005</v>
      </c>
      <c r="O136" s="5">
        <v>0.49525000000000002</v>
      </c>
      <c r="P136" s="5">
        <v>0.26</v>
      </c>
      <c r="Q136" s="5">
        <v>0.69590328467150364</v>
      </c>
      <c r="R136" s="5">
        <v>0.04</v>
      </c>
      <c r="S136" s="5">
        <v>0.76306821774780953</v>
      </c>
      <c r="T136" s="5">
        <v>0.05</v>
      </c>
      <c r="U136" s="5">
        <v>0.31666666666666676</v>
      </c>
      <c r="V136" s="5">
        <v>0.71839999999999993</v>
      </c>
      <c r="W136" s="5">
        <v>0.18364097560975579</v>
      </c>
      <c r="X136" s="5">
        <v>0.16880733944954129</v>
      </c>
      <c r="Y136" s="5">
        <v>9.8024800274469442E-4</v>
      </c>
      <c r="Z136" s="5">
        <v>4.8130338247586855E-2</v>
      </c>
      <c r="AA136" s="5">
        <v>6.3E-2</v>
      </c>
      <c r="AB136" s="5">
        <v>7.3612317997076626E-2</v>
      </c>
      <c r="AC136" s="5">
        <v>0.11900000000000011</v>
      </c>
      <c r="AD136" s="5">
        <v>0.90799712669730592</v>
      </c>
      <c r="AE136" s="5">
        <v>0.14124293785310735</v>
      </c>
      <c r="AF136" s="5">
        <v>0.61860000000000004</v>
      </c>
      <c r="AG136" s="134">
        <v>13057.092850781899</v>
      </c>
      <c r="AH136" s="135">
        <v>9.4770867785707686</v>
      </c>
      <c r="AI136">
        <v>0.84</v>
      </c>
      <c r="AJ136" s="136">
        <v>52.339999999999996</v>
      </c>
      <c r="AK136" s="137">
        <v>0.28569594031304385</v>
      </c>
      <c r="AL136" s="138">
        <v>0.27732037384219088</v>
      </c>
      <c r="AM136" s="139">
        <v>8.3755664708529687E-3</v>
      </c>
      <c r="AN136" s="139">
        <v>6.9011985018726588E-2</v>
      </c>
    </row>
    <row r="137" spans="2:40">
      <c r="B137" s="16" t="s">
        <v>273</v>
      </c>
      <c r="C137" s="15" t="s">
        <v>274</v>
      </c>
      <c r="D137" s="133">
        <v>0.45137786016228798</v>
      </c>
      <c r="E137" s="4">
        <v>0.30566758218893048</v>
      </c>
      <c r="F137" s="4" t="e">
        <v>#N/A</v>
      </c>
      <c r="G137" s="6">
        <v>0.49522122192104018</v>
      </c>
      <c r="H137" s="6">
        <v>0.42471703242763115</v>
      </c>
      <c r="I137" s="5">
        <v>0.36250000000000004</v>
      </c>
      <c r="J137" s="5">
        <v>3.3882646691635451E-4</v>
      </c>
      <c r="K137" s="5">
        <v>0.6</v>
      </c>
      <c r="L137" s="5">
        <v>0.12916666666666665</v>
      </c>
      <c r="M137" s="5">
        <v>0.192</v>
      </c>
      <c r="N137" s="5">
        <v>0.55000000000000004</v>
      </c>
      <c r="O137" s="5">
        <v>0.49116666666666664</v>
      </c>
      <c r="P137" s="5">
        <v>0.87479999999999991</v>
      </c>
      <c r="Q137" s="5">
        <v>0.77092915334955925</v>
      </c>
      <c r="R137" s="5">
        <v>7.2537804653077742E-2</v>
      </c>
      <c r="S137" s="5" t="e">
        <v>#N/A</v>
      </c>
      <c r="T137" s="5">
        <v>0.27</v>
      </c>
      <c r="U137" s="5">
        <v>0.76666666666666661</v>
      </c>
      <c r="V137" s="5">
        <v>0.95708000000000004</v>
      </c>
      <c r="W137" s="5">
        <v>0.47201804878048759</v>
      </c>
      <c r="X137" s="5">
        <v>0.30877483443708609</v>
      </c>
      <c r="Y137" s="5">
        <v>0.19999408957252832</v>
      </c>
      <c r="Z137" s="5">
        <v>0.26679369206947279</v>
      </c>
      <c r="AA137" s="5">
        <v>7.5999999999999998E-2</v>
      </c>
      <c r="AB137" s="5">
        <v>2.7365348741470185E-2</v>
      </c>
      <c r="AC137" s="5">
        <v>0.9</v>
      </c>
      <c r="AD137" s="5" t="e">
        <v>#N/A</v>
      </c>
      <c r="AE137" s="5">
        <v>9.9368458243165661E-3</v>
      </c>
      <c r="AF137" s="5">
        <v>0.96499999999999997</v>
      </c>
      <c r="AG137" s="134">
        <v>2281.466102748574</v>
      </c>
      <c r="AH137" s="135">
        <v>7.732573542816179</v>
      </c>
      <c r="AI137">
        <v>0.54100000000000004</v>
      </c>
      <c r="AJ137" s="136">
        <v>50.88</v>
      </c>
      <c r="AK137" s="137">
        <v>0.40853527884586721</v>
      </c>
      <c r="AL137" s="138">
        <v>0.4044953887287005</v>
      </c>
      <c r="AM137" s="139">
        <v>4.0398901171667112E-3</v>
      </c>
      <c r="AN137" s="139">
        <v>0.21460612505316887</v>
      </c>
    </row>
    <row r="138" spans="2:40">
      <c r="B138" s="16" t="s">
        <v>275</v>
      </c>
      <c r="C138" s="15" t="s">
        <v>276</v>
      </c>
      <c r="D138" s="133">
        <v>0.30587815471148599</v>
      </c>
      <c r="E138" s="4">
        <v>0.21428009259259262</v>
      </c>
      <c r="F138" s="4">
        <v>0.36206025266717362</v>
      </c>
      <c r="G138" s="6">
        <v>0.27226725087742465</v>
      </c>
      <c r="H138" s="6">
        <v>0.37490502270875181</v>
      </c>
      <c r="I138" s="5">
        <v>0.48758333333333337</v>
      </c>
      <c r="J138" s="5">
        <v>1.4583333333333334E-3</v>
      </c>
      <c r="K138" s="5">
        <v>0.14000000000000001</v>
      </c>
      <c r="L138" s="5">
        <v>0.31930555555555562</v>
      </c>
      <c r="M138" s="5">
        <v>3.7333333333333336E-2</v>
      </c>
      <c r="N138" s="5">
        <v>0.30000000000000004</v>
      </c>
      <c r="O138" s="5">
        <v>0.76291666666666669</v>
      </c>
      <c r="P138" s="5">
        <v>0.39099999999999996</v>
      </c>
      <c r="Q138" s="5">
        <v>0.78615357142861109</v>
      </c>
      <c r="R138" s="5">
        <v>0.12115516673910023</v>
      </c>
      <c r="S138" s="5">
        <v>8.6136111168663931E-2</v>
      </c>
      <c r="T138" s="5">
        <v>2.5000000000000001E-2</v>
      </c>
      <c r="U138" s="5">
        <v>0.31666666666666676</v>
      </c>
      <c r="V138" s="5">
        <v>0.81240000000000001</v>
      </c>
      <c r="W138" s="5">
        <v>0.25838439024390225</v>
      </c>
      <c r="X138" s="5">
        <v>0.1492776886035313</v>
      </c>
      <c r="Y138" s="5">
        <v>1.719439785273634E-2</v>
      </c>
      <c r="Z138" s="5">
        <v>7.9680361897711272E-2</v>
      </c>
      <c r="AA138" s="5">
        <v>0</v>
      </c>
      <c r="AB138" s="5">
        <v>0</v>
      </c>
      <c r="AC138" s="5">
        <v>5.5000000000000049E-2</v>
      </c>
      <c r="AD138" s="5">
        <v>0.99999999999999967</v>
      </c>
      <c r="AE138" s="5">
        <v>1.5101938082053862E-2</v>
      </c>
      <c r="AF138" s="5">
        <v>0.492000007629395</v>
      </c>
      <c r="AG138" s="134">
        <v>4522.5207295504824</v>
      </c>
      <c r="AH138" s="135">
        <v>8.4168248009074773</v>
      </c>
      <c r="AI138">
        <v>0.76100000000000001</v>
      </c>
      <c r="AJ138" s="136">
        <v>51.949999999999996</v>
      </c>
      <c r="AK138" s="137">
        <v>0.30587815471148566</v>
      </c>
      <c r="AL138" s="138">
        <v>0.35461347201384474</v>
      </c>
      <c r="AM138" s="139">
        <v>-4.8735317302359082E-2</v>
      </c>
      <c r="AN138" s="139">
        <v>0.18304307310002071</v>
      </c>
    </row>
    <row r="139" spans="2:40">
      <c r="B139" s="16" t="s">
        <v>277</v>
      </c>
      <c r="C139" s="15" t="s">
        <v>278</v>
      </c>
      <c r="D139" s="133">
        <v>0.30853086127158003</v>
      </c>
      <c r="E139" s="4">
        <v>0.21148270241621656</v>
      </c>
      <c r="F139" s="4">
        <v>0.39823004024271946</v>
      </c>
      <c r="G139" s="6">
        <v>0.27942580956582336</v>
      </c>
      <c r="H139" s="6">
        <v>0.34498489286156175</v>
      </c>
      <c r="I139" s="5">
        <v>0.39508333333333334</v>
      </c>
      <c r="J139" s="5">
        <v>1.0104547830632516E-2</v>
      </c>
      <c r="K139" s="5">
        <v>0.18000000000000005</v>
      </c>
      <c r="L139" s="5">
        <v>0.31770833333333348</v>
      </c>
      <c r="M139" s="5">
        <v>4.5999999999999999E-2</v>
      </c>
      <c r="N139" s="5">
        <v>0.31999999999999995</v>
      </c>
      <c r="O139" s="5">
        <v>0.59099999999999997</v>
      </c>
      <c r="P139" s="5">
        <v>0.28500000000000003</v>
      </c>
      <c r="Q139" s="5">
        <v>0.80300087519022223</v>
      </c>
      <c r="R139" s="5">
        <v>0.17716995688605974</v>
      </c>
      <c r="S139" s="5">
        <v>0.50820940938003478</v>
      </c>
      <c r="T139" s="5">
        <v>2.5000000000000001E-2</v>
      </c>
      <c r="U139" s="5">
        <v>0.2250000000000002</v>
      </c>
      <c r="V139" s="5">
        <v>0.86160000000000003</v>
      </c>
      <c r="W139" s="5">
        <v>0.23037951219512198</v>
      </c>
      <c r="X139" s="5">
        <v>0.2826797385620915</v>
      </c>
      <c r="Y139" s="5">
        <v>9.5829938455676902E-3</v>
      </c>
      <c r="Z139" s="5">
        <v>6.7312612792158888E-2</v>
      </c>
      <c r="AA139" s="5">
        <v>5.0000000000000001E-3</v>
      </c>
      <c r="AB139" s="5">
        <v>1.7865612563228567E-2</v>
      </c>
      <c r="AC139" s="5">
        <v>0.23099999999999998</v>
      </c>
      <c r="AD139" s="5">
        <v>0.65439116578656154</v>
      </c>
      <c r="AE139" s="5">
        <v>1.8749999999999999E-2</v>
      </c>
      <c r="AF139" s="5">
        <v>0.86119059073759896</v>
      </c>
      <c r="AG139" s="134">
        <v>8629.4907904990177</v>
      </c>
      <c r="AH139" s="135">
        <v>9.062940777759465</v>
      </c>
      <c r="AI139">
        <v>0.80600000000000005</v>
      </c>
      <c r="AJ139" s="136">
        <v>47.96</v>
      </c>
      <c r="AK139" s="137">
        <v>0.3085308612715803</v>
      </c>
      <c r="AL139" s="138">
        <v>0.30751161730133492</v>
      </c>
      <c r="AM139" s="139">
        <v>1.019243970245387E-3</v>
      </c>
      <c r="AN139" s="139">
        <v>0.44633183706003271</v>
      </c>
    </row>
    <row r="140" spans="2:40">
      <c r="B140" s="16" t="s">
        <v>279</v>
      </c>
      <c r="C140" s="15" t="s">
        <v>280</v>
      </c>
      <c r="D140" s="133">
        <v>0.31328326363469</v>
      </c>
      <c r="E140" s="4">
        <v>0.1890382886801206</v>
      </c>
      <c r="F140" s="4">
        <v>0.32288512041215051</v>
      </c>
      <c r="G140" s="6">
        <v>0.31331330000351776</v>
      </c>
      <c r="H140" s="6">
        <v>0.42789634544297056</v>
      </c>
      <c r="I140" s="5">
        <v>0.45974999999999999</v>
      </c>
      <c r="J140" s="5">
        <v>0.17027139874739039</v>
      </c>
      <c r="K140" s="5">
        <v>8.9999999999999969E-2</v>
      </c>
      <c r="L140" s="5">
        <v>0.11020833333333324</v>
      </c>
      <c r="M140" s="5">
        <v>6.4000000000000001E-2</v>
      </c>
      <c r="N140" s="5">
        <v>0.24</v>
      </c>
      <c r="O140" s="5">
        <v>0.49116666666666664</v>
      </c>
      <c r="P140" s="5">
        <v>0.34340000000000004</v>
      </c>
      <c r="Q140" s="5">
        <v>0.56877633862850807</v>
      </c>
      <c r="R140" s="5">
        <v>3.8476110048425008E-2</v>
      </c>
      <c r="S140" s="5">
        <v>0.24549160712930349</v>
      </c>
      <c r="T140" s="5">
        <v>0.25</v>
      </c>
      <c r="U140" s="5">
        <v>0.76666666666666661</v>
      </c>
      <c r="V140" s="5">
        <v>0.47387999999999997</v>
      </c>
      <c r="W140" s="5">
        <v>0.2583756097560973</v>
      </c>
      <c r="X140" s="5">
        <v>0.26101694915254237</v>
      </c>
      <c r="Y140" s="5">
        <v>4.3000002419030368E-2</v>
      </c>
      <c r="Z140" s="5">
        <v>7.6940572026770043E-2</v>
      </c>
      <c r="AA140" s="5">
        <v>5.7000000000000002E-2</v>
      </c>
      <c r="AB140" s="5">
        <v>0.17703882549799743</v>
      </c>
      <c r="AC140" s="5">
        <v>0.14000000000000001</v>
      </c>
      <c r="AD140" s="5">
        <v>0.52539323264037807</v>
      </c>
      <c r="AE140" s="5">
        <v>0.13582855418050105</v>
      </c>
      <c r="AF140" s="5">
        <v>0.90100000381469725</v>
      </c>
      <c r="AG140" s="134">
        <v>3541.7022197772872</v>
      </c>
      <c r="AH140" s="135">
        <v>8.1723627435994732</v>
      </c>
      <c r="AI140">
        <v>0.751</v>
      </c>
      <c r="AJ140" s="136">
        <v>44.04</v>
      </c>
      <c r="AK140" s="137">
        <v>0.31328326363468983</v>
      </c>
      <c r="AL140" s="138">
        <v>0.37243475599159825</v>
      </c>
      <c r="AM140" s="139">
        <v>-5.9151492356908419E-2</v>
      </c>
      <c r="AN140" s="139">
        <v>0.97309165740686598</v>
      </c>
    </row>
    <row r="141" spans="2:40">
      <c r="B141" s="16" t="s">
        <v>281</v>
      </c>
      <c r="C141" s="15" t="s">
        <v>282</v>
      </c>
      <c r="D141" s="133">
        <v>0.174268151342412</v>
      </c>
      <c r="E141" s="4">
        <v>0.22185975829725826</v>
      </c>
      <c r="F141" s="4">
        <v>0.1578352760257819</v>
      </c>
      <c r="G141" s="6">
        <v>0.12723467257755339</v>
      </c>
      <c r="H141" s="6">
        <v>0.19014289846905622</v>
      </c>
      <c r="I141" s="5">
        <v>0.40783333333333327</v>
      </c>
      <c r="J141" s="5">
        <v>0.20811688311688312</v>
      </c>
      <c r="K141" s="5">
        <v>0</v>
      </c>
      <c r="L141" s="5">
        <v>0.61520833333333336</v>
      </c>
      <c r="M141" s="5">
        <v>0</v>
      </c>
      <c r="N141" s="5">
        <v>9.9999999999999978E-2</v>
      </c>
      <c r="O141" s="5">
        <v>0.23183333333333334</v>
      </c>
      <c r="P141" s="5">
        <v>0.38720779935982447</v>
      </c>
      <c r="Q141" s="5">
        <v>0.18267228807050007</v>
      </c>
      <c r="R141" s="5">
        <v>3.0777509782251109E-2</v>
      </c>
      <c r="S141" s="5">
        <v>0.11452072560878244</v>
      </c>
      <c r="T141" s="5">
        <v>0</v>
      </c>
      <c r="U141" s="5">
        <v>7.5000000000000067E-2</v>
      </c>
      <c r="V141" s="5">
        <v>0.45584000000000002</v>
      </c>
      <c r="W141" s="5">
        <v>0.18609756097560959</v>
      </c>
      <c r="X141" s="5">
        <v>4.4585987261146494E-2</v>
      </c>
      <c r="Y141" s="5">
        <v>0</v>
      </c>
      <c r="Z141" s="5">
        <v>1.8844872285642127E-3</v>
      </c>
      <c r="AA141" s="5">
        <v>9.0000000000000011E-3</v>
      </c>
      <c r="AB141" s="5">
        <v>2.5313311200471974E-2</v>
      </c>
      <c r="AC141" s="5">
        <v>0</v>
      </c>
      <c r="AD141" s="5">
        <v>0.29778864154715962</v>
      </c>
      <c r="AE141" s="5">
        <v>1.4790468364831553E-2</v>
      </c>
      <c r="AF141" s="5">
        <v>0.31848707532117304</v>
      </c>
      <c r="AG141" s="134">
        <v>18905.341259503013</v>
      </c>
      <c r="AH141" s="135">
        <v>9.8471997674449998</v>
      </c>
      <c r="AI141">
        <v>0.88</v>
      </c>
      <c r="AJ141" s="136">
        <v>34.21</v>
      </c>
      <c r="AK141" s="137">
        <v>0.17426815134241244</v>
      </c>
      <c r="AL141" s="138">
        <v>0.25033913695325938</v>
      </c>
      <c r="AM141" s="139">
        <v>-7.6070985610846936E-2</v>
      </c>
      <c r="AN141" s="139">
        <v>6.9440082912294344E-3</v>
      </c>
    </row>
    <row r="142" spans="2:40">
      <c r="B142" s="16" t="s">
        <v>283</v>
      </c>
      <c r="C142" s="15" t="s">
        <v>284</v>
      </c>
      <c r="D142" s="133">
        <v>0.211154942998168</v>
      </c>
      <c r="E142" s="4">
        <v>0.2206861656962639</v>
      </c>
      <c r="F142" s="4">
        <v>0.28407939779923913</v>
      </c>
      <c r="G142" s="6">
        <v>0.11939542722803724</v>
      </c>
      <c r="H142" s="6">
        <v>0.22045878126913176</v>
      </c>
      <c r="I142" s="5">
        <v>0.82366666666666666</v>
      </c>
      <c r="J142" s="5">
        <v>0.12315866084425037</v>
      </c>
      <c r="K142" s="5">
        <v>1.0000000000000009E-2</v>
      </c>
      <c r="L142" s="5">
        <v>0.36729166666666624</v>
      </c>
      <c r="M142" s="5">
        <v>0</v>
      </c>
      <c r="N142" s="5">
        <v>0</v>
      </c>
      <c r="O142" s="5">
        <v>0.29975000000000002</v>
      </c>
      <c r="P142" s="5">
        <v>0.39936673334690836</v>
      </c>
      <c r="Q142" s="5">
        <v>0.10587301587300002</v>
      </c>
      <c r="R142" s="5">
        <v>8.5678800333864574E-2</v>
      </c>
      <c r="S142" s="5">
        <v>0.81380783724166184</v>
      </c>
      <c r="T142" s="5">
        <v>0</v>
      </c>
      <c r="U142" s="5">
        <v>6.6666666666666541E-2</v>
      </c>
      <c r="V142" s="5">
        <v>0.4234</v>
      </c>
      <c r="W142" s="5">
        <v>0.12546341463414623</v>
      </c>
      <c r="X142" s="5">
        <v>9.8290598290598288E-2</v>
      </c>
      <c r="Y142" s="5">
        <v>0</v>
      </c>
      <c r="Z142" s="5">
        <v>2.551883776812318E-3</v>
      </c>
      <c r="AA142" s="5">
        <v>1.9E-2</v>
      </c>
      <c r="AB142" s="5">
        <v>5.4811007844475609E-2</v>
      </c>
      <c r="AC142" s="5">
        <v>0</v>
      </c>
      <c r="AD142" s="5">
        <v>0.82341976141860118</v>
      </c>
      <c r="AE142" s="5">
        <v>8.1967213114754092E-2</v>
      </c>
      <c r="AF142" s="5">
        <v>0.14000000000000001</v>
      </c>
      <c r="AG142" s="134">
        <v>24919.560142145332</v>
      </c>
      <c r="AH142" s="135">
        <v>10.123408321948876</v>
      </c>
      <c r="AI142">
        <v>0.90900000000000003</v>
      </c>
      <c r="AJ142" s="136">
        <v>38.454304</v>
      </c>
      <c r="AK142" s="137">
        <v>0.211154942998168</v>
      </c>
      <c r="AL142" s="138">
        <v>0.23020353332992682</v>
      </c>
      <c r="AM142" s="139">
        <v>-1.9048590331758819E-2</v>
      </c>
      <c r="AN142" s="139">
        <v>1.60069584509883E-2</v>
      </c>
    </row>
    <row r="143" spans="2:40">
      <c r="B143" s="16" t="s">
        <v>285</v>
      </c>
      <c r="C143" s="15" t="s">
        <v>286</v>
      </c>
      <c r="D143" s="133">
        <v>0.23140188855965799</v>
      </c>
      <c r="E143" s="4">
        <v>0.25705787037037031</v>
      </c>
      <c r="F143" s="4" t="e">
        <v>#N/A</v>
      </c>
      <c r="G143" s="6">
        <v>0.10431487143626844</v>
      </c>
      <c r="H143" s="6">
        <v>0.20316513606789668</v>
      </c>
      <c r="I143" s="5">
        <v>1.7500000000000293E-3</v>
      </c>
      <c r="J143" s="5">
        <v>1</v>
      </c>
      <c r="K143" s="5">
        <v>0</v>
      </c>
      <c r="L143" s="5">
        <v>0.53659722222222206</v>
      </c>
      <c r="M143" s="5">
        <v>4.0000000000000001E-3</v>
      </c>
      <c r="N143" s="5">
        <v>0</v>
      </c>
      <c r="O143" s="5">
        <v>0.54108333333333336</v>
      </c>
      <c r="P143" s="5">
        <v>4.2800000000000019E-2</v>
      </c>
      <c r="Q143" s="5">
        <v>0.44487179487175643</v>
      </c>
      <c r="R143" s="5">
        <v>0.13766292997948543</v>
      </c>
      <c r="S143" s="5" t="e">
        <v>#N/A</v>
      </c>
      <c r="T143" s="5">
        <v>0</v>
      </c>
      <c r="U143" s="5">
        <v>7.5000000000000067E-2</v>
      </c>
      <c r="V143" s="5">
        <v>0.30012000000000005</v>
      </c>
      <c r="W143" s="5">
        <v>0.1775907317073171</v>
      </c>
      <c r="X143" s="5">
        <v>6.7538126361655779E-2</v>
      </c>
      <c r="Y143" s="5">
        <v>0</v>
      </c>
      <c r="Z143" s="5">
        <v>5.640370548637628E-3</v>
      </c>
      <c r="AA143" s="5">
        <v>0.182</v>
      </c>
      <c r="AB143" s="5">
        <v>0.33104463039743365</v>
      </c>
      <c r="AC143" s="5">
        <v>1.3000000000000012E-2</v>
      </c>
      <c r="AD143" s="5">
        <v>0</v>
      </c>
      <c r="AE143" s="5">
        <v>0</v>
      </c>
      <c r="AF143" s="5">
        <v>9.9999999999999978E-2</v>
      </c>
      <c r="AG143" s="134">
        <v>91378.736172986857</v>
      </c>
      <c r="AH143" s="135">
        <v>11.422768084566234</v>
      </c>
      <c r="AI143">
        <v>0.91</v>
      </c>
      <c r="AJ143" s="136">
        <v>41.1</v>
      </c>
      <c r="AK143" s="137">
        <v>0.18817929262484515</v>
      </c>
      <c r="AL143" s="138">
        <v>0.13548020663512139</v>
      </c>
      <c r="AM143" s="139">
        <v>5.2699085989723754E-2</v>
      </c>
      <c r="AN143" s="139">
        <v>0</v>
      </c>
    </row>
    <row r="144" spans="2:40">
      <c r="B144" s="16" t="s">
        <v>287</v>
      </c>
      <c r="C144" s="15" t="s">
        <v>288</v>
      </c>
      <c r="D144" s="133" t="e">
        <v>#N/A</v>
      </c>
      <c r="E144" s="4" t="e">
        <v>#N/A</v>
      </c>
      <c r="F144" s="4" t="e">
        <v>#N/A</v>
      </c>
      <c r="G144" s="6" t="e">
        <v>#N/A</v>
      </c>
      <c r="H144" s="6" t="e">
        <v>#N/A</v>
      </c>
      <c r="I144" s="5">
        <v>0.58166666666666667</v>
      </c>
      <c r="J144" s="5">
        <v>4.2331288343558281E-2</v>
      </c>
      <c r="K144" s="5" t="e">
        <v>#N/A</v>
      </c>
      <c r="L144" s="5">
        <v>0.67118055555555522</v>
      </c>
      <c r="M144" s="5" t="e">
        <v>#N/A</v>
      </c>
      <c r="N144" s="5" t="e">
        <v>#N/A</v>
      </c>
      <c r="O144" s="5" t="e">
        <v>#N/A</v>
      </c>
      <c r="P144" s="5" t="e">
        <v>#N/A</v>
      </c>
      <c r="Q144" s="5">
        <v>1</v>
      </c>
      <c r="R144" s="5">
        <v>8.1220243637248113E-2</v>
      </c>
      <c r="S144" s="5">
        <v>0.12549281457315314</v>
      </c>
      <c r="T144" s="5">
        <v>1.4999999999999999E-2</v>
      </c>
      <c r="U144" s="5">
        <v>7.5000000000000067E-2</v>
      </c>
      <c r="V144" s="5" t="e">
        <v>#N/A</v>
      </c>
      <c r="W144" s="5" t="e">
        <v>#N/A</v>
      </c>
      <c r="X144" s="5">
        <v>5.1841746248294678E-2</v>
      </c>
      <c r="Y144" s="5" t="e">
        <v>#N/A</v>
      </c>
      <c r="Z144" s="5" t="e">
        <v>#N/A</v>
      </c>
      <c r="AA144" s="5">
        <v>2.7000000000000003E-2</v>
      </c>
      <c r="AB144" s="5">
        <v>3.4182356808076214E-2</v>
      </c>
      <c r="AC144" s="5">
        <v>0</v>
      </c>
      <c r="AD144" s="5" t="e">
        <v>#N/A</v>
      </c>
      <c r="AE144" s="5" t="e">
        <v>#N/A</v>
      </c>
      <c r="AF144" s="5" t="e">
        <v>#N/A</v>
      </c>
      <c r="AG144" s="134">
        <v>14199</v>
      </c>
      <c r="AH144" s="135">
        <v>9.560926818574357</v>
      </c>
      <c r="AI144">
        <v>0.83699999999999997</v>
      </c>
      <c r="AJ144" s="136">
        <v>31</v>
      </c>
      <c r="AK144" s="137" t="e">
        <v>#N/A</v>
      </c>
      <c r="AL144" s="138">
        <v>0.27120843492592928</v>
      </c>
      <c r="AM144" s="139" t="e">
        <v>#N/A</v>
      </c>
      <c r="AN144" s="139">
        <v>1.5397513337154447E-2</v>
      </c>
    </row>
    <row r="145" spans="2:40">
      <c r="B145" s="16" t="s">
        <v>289</v>
      </c>
      <c r="C145" s="15" t="s">
        <v>290</v>
      </c>
      <c r="D145" s="133">
        <v>0.24858908633576701</v>
      </c>
      <c r="E145" s="4">
        <v>0.22834796370238916</v>
      </c>
      <c r="F145" s="4">
        <v>0.33656864006282206</v>
      </c>
      <c r="G145" s="6">
        <v>0.23774478835727095</v>
      </c>
      <c r="H145" s="6">
        <v>0.19169495322058641</v>
      </c>
      <c r="I145" s="5">
        <v>0.2174166666666667</v>
      </c>
      <c r="J145" s="5">
        <v>1.4685004436557231E-2</v>
      </c>
      <c r="K145" s="5">
        <v>4.0000000000000036E-2</v>
      </c>
      <c r="L145" s="5">
        <v>0.96465277777777758</v>
      </c>
      <c r="M145" s="5">
        <v>3.3333333333333335E-3</v>
      </c>
      <c r="N145" s="5">
        <v>0.13</v>
      </c>
      <c r="O145" s="5">
        <v>0.2734166666666667</v>
      </c>
      <c r="P145" s="5">
        <v>0.27170449796682422</v>
      </c>
      <c r="Q145" s="5">
        <v>0.92360972963199328</v>
      </c>
      <c r="R145" s="5">
        <v>0.5</v>
      </c>
      <c r="S145" s="5">
        <v>2.5680946111447989E-2</v>
      </c>
      <c r="T145" s="5">
        <v>2.5000000000000001E-2</v>
      </c>
      <c r="U145" s="5">
        <v>0.87499999999999967</v>
      </c>
      <c r="V145" s="5">
        <v>0.14604399999999995</v>
      </c>
      <c r="W145" s="5">
        <v>0.32283170731707311</v>
      </c>
      <c r="X145" s="5">
        <v>6.91333982473223E-2</v>
      </c>
      <c r="Y145" s="5">
        <v>0</v>
      </c>
      <c r="Z145" s="5">
        <v>1.3459624579230618E-2</v>
      </c>
      <c r="AA145" s="5">
        <v>1.9E-2</v>
      </c>
      <c r="AB145" s="5">
        <v>2.4434785748641535E-2</v>
      </c>
      <c r="AC145" s="5">
        <v>0</v>
      </c>
      <c r="AD145" s="5">
        <v>0</v>
      </c>
      <c r="AE145" s="5">
        <v>2.5644563901979149E-3</v>
      </c>
      <c r="AF145" s="5">
        <v>0.19940000000000002</v>
      </c>
      <c r="AG145" s="134">
        <v>18932.054636199446</v>
      </c>
      <c r="AH145" s="135">
        <v>9.8486117769399666</v>
      </c>
      <c r="AI145">
        <v>0.81699999999999995</v>
      </c>
      <c r="AJ145" s="136">
        <v>42.27</v>
      </c>
      <c r="AK145" s="137">
        <v>0.24858908633576715</v>
      </c>
      <c r="AL145" s="138">
        <v>0.25023620146107628</v>
      </c>
      <c r="AM145" s="139">
        <v>-1.6471151253091287E-3</v>
      </c>
      <c r="AN145" s="139">
        <v>2.5678259226007655E-2</v>
      </c>
    </row>
    <row r="146" spans="2:40">
      <c r="B146" s="16" t="s">
        <v>291</v>
      </c>
      <c r="C146" s="15" t="s">
        <v>292</v>
      </c>
      <c r="D146" s="133">
        <v>0.481934749579292</v>
      </c>
      <c r="E146" s="4">
        <v>0.36229824561403512</v>
      </c>
      <c r="F146" s="4">
        <v>0.52125657720547791</v>
      </c>
      <c r="G146" s="6">
        <v>0.62087133489053181</v>
      </c>
      <c r="H146" s="6">
        <v>0.42331284060712515</v>
      </c>
      <c r="I146" s="5">
        <v>0.41300000000000003</v>
      </c>
      <c r="J146" s="5">
        <v>1.5789473684210527E-2</v>
      </c>
      <c r="K146" s="5">
        <v>0.35</v>
      </c>
      <c r="L146" s="5">
        <v>0.28833333333333355</v>
      </c>
      <c r="M146" s="5">
        <v>0.64666666666666661</v>
      </c>
      <c r="N146" s="5">
        <v>0.45999999999999996</v>
      </c>
      <c r="O146" s="5">
        <v>0.71575</v>
      </c>
      <c r="P146" s="5">
        <v>0.81379999999999997</v>
      </c>
      <c r="Q146" s="5">
        <v>0.98527220694067441</v>
      </c>
      <c r="R146" s="5">
        <v>0.11844990645537272</v>
      </c>
      <c r="S146" s="5">
        <v>0.27426734983681977</v>
      </c>
      <c r="T146" s="5">
        <v>0.22000000000000003</v>
      </c>
      <c r="U146" s="5">
        <v>0.40833333333333333</v>
      </c>
      <c r="V146" s="5">
        <v>0.96304000000000001</v>
      </c>
      <c r="W146" s="5">
        <v>0.68813073170731698</v>
      </c>
      <c r="X146" s="5">
        <v>0.41695865451997199</v>
      </c>
      <c r="Y146" s="5">
        <v>0.53190784038949046</v>
      </c>
      <c r="Z146" s="5">
        <v>0.71685744939307805</v>
      </c>
      <c r="AA146" s="5">
        <v>0</v>
      </c>
      <c r="AB146" s="5">
        <v>0</v>
      </c>
      <c r="AC146" s="5">
        <v>0.95199999999999996</v>
      </c>
      <c r="AD146" s="5" t="e">
        <v>#N/A</v>
      </c>
      <c r="AE146" s="5">
        <v>0.24321037697608427</v>
      </c>
      <c r="AF146" s="5">
        <v>0.81</v>
      </c>
      <c r="AG146" s="134">
        <v>1136.0313534276602</v>
      </c>
      <c r="AH146" s="135">
        <v>7.0352961987485205</v>
      </c>
      <c r="AI146">
        <v>0.46</v>
      </c>
      <c r="AJ146" s="136">
        <v>53.080000000000005</v>
      </c>
      <c r="AK146" s="137">
        <v>0.4819347495792925</v>
      </c>
      <c r="AL146" s="138">
        <v>0.4553269071112328</v>
      </c>
      <c r="AM146" s="139">
        <v>2.6607842468059695E-2</v>
      </c>
      <c r="AN146" s="139">
        <v>0.33708119158878508</v>
      </c>
    </row>
    <row r="147" spans="2:40">
      <c r="B147" s="16" t="s">
        <v>293</v>
      </c>
      <c r="C147" s="15" t="s">
        <v>294</v>
      </c>
      <c r="D147" s="133" t="e">
        <v>#N/A</v>
      </c>
      <c r="E147" s="4">
        <v>0.14750231481481482</v>
      </c>
      <c r="F147" s="4">
        <v>0.53529105299183877</v>
      </c>
      <c r="G147" s="6">
        <v>0.29135638814310622</v>
      </c>
      <c r="H147" s="6" t="e">
        <v>#N/A</v>
      </c>
      <c r="I147" s="5">
        <v>0.67808333333333337</v>
      </c>
      <c r="J147" s="5">
        <v>0</v>
      </c>
      <c r="K147" s="5">
        <v>1.0000000000000009E-2</v>
      </c>
      <c r="L147" s="5">
        <v>0.13826388888888885</v>
      </c>
      <c r="M147" s="5">
        <v>1.8666666666666668E-2</v>
      </c>
      <c r="N147" s="5">
        <v>4.0000000000000036E-2</v>
      </c>
      <c r="O147" s="5">
        <v>0.71158333333333335</v>
      </c>
      <c r="P147" s="5">
        <v>0.6764</v>
      </c>
      <c r="Q147" s="5">
        <v>0.88624999999999998</v>
      </c>
      <c r="R147" s="5">
        <v>0.14654450975260461</v>
      </c>
      <c r="S147" s="5">
        <v>0.79096847486509514</v>
      </c>
      <c r="T147" s="5">
        <v>0</v>
      </c>
      <c r="U147" s="5">
        <v>0.31666666666666676</v>
      </c>
      <c r="V147" s="5">
        <v>0.57939200000000002</v>
      </c>
      <c r="W147" s="5">
        <v>0.27326829268292674</v>
      </c>
      <c r="X147" s="5">
        <v>7.8811369509043924E-2</v>
      </c>
      <c r="Y147" s="5">
        <v>0</v>
      </c>
      <c r="Z147" s="5">
        <v>0.5</v>
      </c>
      <c r="AA147" s="5">
        <v>1</v>
      </c>
      <c r="AB147" s="5">
        <v>0.17084744967633733</v>
      </c>
      <c r="AC147" s="5">
        <v>0.13</v>
      </c>
      <c r="AD147" s="5">
        <v>0</v>
      </c>
      <c r="AE147" s="5">
        <v>0</v>
      </c>
      <c r="AF147" s="5">
        <v>0.57499999999999996</v>
      </c>
      <c r="AG147" s="134">
        <v>14526.713192870855</v>
      </c>
      <c r="AH147" s="135">
        <v>9.5837445226388773</v>
      </c>
      <c r="AI147">
        <v>0.83799999999999997</v>
      </c>
      <c r="AJ147" s="136" t="e">
        <v>#N/A</v>
      </c>
      <c r="AK147" s="137">
        <v>0.32471658531658659</v>
      </c>
      <c r="AL147" s="138">
        <v>0.26954502429962568</v>
      </c>
      <c r="AM147" s="139">
        <v>5.5171561016960913E-2</v>
      </c>
      <c r="AN147" s="139">
        <v>0.32454545454545458</v>
      </c>
    </row>
    <row r="148" spans="2:40">
      <c r="B148" s="16" t="s">
        <v>295</v>
      </c>
      <c r="C148" s="15" t="s">
        <v>296</v>
      </c>
      <c r="D148" s="133" t="e">
        <v>#VALUE!</v>
      </c>
      <c r="E148" s="4" t="e">
        <v>#DIV/0!</v>
      </c>
      <c r="F148" s="4" t="e">
        <v>#VALUE!</v>
      </c>
      <c r="G148" s="6">
        <v>0.33567094701100858</v>
      </c>
      <c r="H148" s="6" t="e">
        <v>#N/A</v>
      </c>
      <c r="I148" s="5">
        <v>0.73658333333333337</v>
      </c>
      <c r="J148" s="5" t="e">
        <v>#DIV/0!</v>
      </c>
      <c r="K148" s="5">
        <v>2.0000000000000018E-2</v>
      </c>
      <c r="L148" s="5">
        <v>0.13277777777777788</v>
      </c>
      <c r="M148" s="5">
        <v>1.3333333333333333E-3</v>
      </c>
      <c r="N148" s="5">
        <v>0.10999999999999999</v>
      </c>
      <c r="O148" s="5">
        <v>0.71158333333333335</v>
      </c>
      <c r="P148" s="5">
        <v>0.7208</v>
      </c>
      <c r="Q148" s="5">
        <v>0.92222222222222228</v>
      </c>
      <c r="R148" s="5" t="e">
        <v>#VALUE!</v>
      </c>
      <c r="S148" s="5">
        <v>1</v>
      </c>
      <c r="T148" s="5" t="e">
        <v>#N/A</v>
      </c>
      <c r="U148" s="5">
        <v>0.31666666666666676</v>
      </c>
      <c r="V148" s="5">
        <v>0.80828</v>
      </c>
      <c r="W148" s="5">
        <v>0.24521463414634126</v>
      </c>
      <c r="X148" s="5">
        <v>0.12442396313364056</v>
      </c>
      <c r="Y148" s="5">
        <v>1.9440418119402721E-2</v>
      </c>
      <c r="Z148" s="5">
        <v>0.5</v>
      </c>
      <c r="AA148" s="5">
        <v>0.182</v>
      </c>
      <c r="AB148" s="5">
        <v>4.2824159881293046E-2</v>
      </c>
      <c r="AC148" s="5">
        <v>1.0000000000000009E-2</v>
      </c>
      <c r="AD148" s="5">
        <v>0</v>
      </c>
      <c r="AE148" s="5">
        <v>0</v>
      </c>
      <c r="AF148" s="5" t="e">
        <v>#N/A</v>
      </c>
      <c r="AG148" s="134">
        <v>9604.6588176220812</v>
      </c>
      <c r="AH148" s="135">
        <v>9.1700035532414201</v>
      </c>
      <c r="AI148">
        <v>0.82099999999999995</v>
      </c>
      <c r="AJ148" s="136">
        <v>42.6</v>
      </c>
      <c r="AK148" s="137" t="e">
        <v>#N/A</v>
      </c>
      <c r="AL148" s="138">
        <v>0.29970674096870031</v>
      </c>
      <c r="AM148" s="139" t="e">
        <v>#N/A</v>
      </c>
      <c r="AN148" s="139">
        <v>0.59996428571428573</v>
      </c>
    </row>
    <row r="149" spans="2:40">
      <c r="B149" s="16" t="s">
        <v>297</v>
      </c>
      <c r="C149" s="15" t="s">
        <v>298</v>
      </c>
      <c r="D149" s="133" t="e">
        <v>#VALUE!</v>
      </c>
      <c r="E149" s="4" t="e">
        <v>#DIV/0!</v>
      </c>
      <c r="F149" s="4" t="e">
        <v>#VALUE!</v>
      </c>
      <c r="G149" s="6">
        <v>0.31969443686954302</v>
      </c>
      <c r="H149" s="6">
        <v>0.25235787434318679</v>
      </c>
      <c r="I149" s="5">
        <v>0.69366666666666665</v>
      </c>
      <c r="J149" s="5" t="e">
        <v>#DIV/0!</v>
      </c>
      <c r="K149" s="5" t="e">
        <v>#N/A</v>
      </c>
      <c r="L149" s="5">
        <v>0.13541666666666663</v>
      </c>
      <c r="M149" s="5">
        <v>0</v>
      </c>
      <c r="N149" s="5" t="e">
        <v>#N/A</v>
      </c>
      <c r="O149" s="5">
        <v>0.71158333333333335</v>
      </c>
      <c r="P149" s="5">
        <v>0.52580000000000005</v>
      </c>
      <c r="Q149" s="5">
        <v>0.62666666666666659</v>
      </c>
      <c r="R149" s="5" t="e">
        <v>#VALUE!</v>
      </c>
      <c r="S149" s="5">
        <v>1</v>
      </c>
      <c r="T149" s="5" t="e">
        <v>#N/A</v>
      </c>
      <c r="U149" s="5">
        <v>0.31666666666666676</v>
      </c>
      <c r="V149" s="5">
        <v>0.66663200000000011</v>
      </c>
      <c r="W149" s="5">
        <v>0.26281365853658512</v>
      </c>
      <c r="X149" s="5">
        <v>0.14954486345903772</v>
      </c>
      <c r="Y149" s="5">
        <v>2.2509432554968418E-2</v>
      </c>
      <c r="Z149" s="5">
        <v>0.5</v>
      </c>
      <c r="AA149" s="5">
        <v>0.30299999999999999</v>
      </c>
      <c r="AB149" s="5">
        <v>9.1147246059120945E-2</v>
      </c>
      <c r="AC149" s="5">
        <v>1.0000000000000009E-2</v>
      </c>
      <c r="AD149" s="5">
        <v>0</v>
      </c>
      <c r="AE149" s="5">
        <v>0</v>
      </c>
      <c r="AF149" s="5">
        <v>0.30000000000000004</v>
      </c>
      <c r="AG149" s="134">
        <v>9153.7000968697703</v>
      </c>
      <c r="AH149" s="135">
        <v>9.1219134587006909</v>
      </c>
      <c r="AI149">
        <v>0.77200000000000002</v>
      </c>
      <c r="AJ149" s="136" t="e">
        <v>#N/A</v>
      </c>
      <c r="AK149" s="137">
        <v>0.28602615560636491</v>
      </c>
      <c r="AL149" s="138">
        <v>0.30321250886071949</v>
      </c>
      <c r="AM149" s="139">
        <v>-1.718635325435458E-2</v>
      </c>
      <c r="AN149" s="139">
        <v>0.20784210526315788</v>
      </c>
    </row>
    <row r="150" spans="2:40">
      <c r="B150" s="16" t="s">
        <v>299</v>
      </c>
      <c r="C150" s="15" t="s">
        <v>300</v>
      </c>
      <c r="D150" s="133">
        <v>0.43190759626446501</v>
      </c>
      <c r="E150" s="4" t="e">
        <v>#DIV/0!</v>
      </c>
      <c r="F150" s="4" t="e">
        <v>#N/A</v>
      </c>
      <c r="G150" s="6">
        <v>0.46318370613622434</v>
      </c>
      <c r="H150" s="6">
        <v>0.50666383529924963</v>
      </c>
      <c r="I150" s="5">
        <v>0.59550000000000003</v>
      </c>
      <c r="J150" s="5" t="e">
        <v>#DIV/0!</v>
      </c>
      <c r="K150" s="5">
        <v>0.12</v>
      </c>
      <c r="L150" s="5">
        <v>5.0902777777777741E-2</v>
      </c>
      <c r="M150" s="5">
        <v>4.2000000000000003E-2</v>
      </c>
      <c r="N150" s="5">
        <v>0</v>
      </c>
      <c r="O150" s="5">
        <v>0.44466666666666665</v>
      </c>
      <c r="P150" s="5">
        <v>0.76800000000000002</v>
      </c>
      <c r="Q150" s="5">
        <v>0.93426666666666669</v>
      </c>
      <c r="R150" s="5">
        <v>4.1370950623196345E-2</v>
      </c>
      <c r="S150" s="5">
        <v>1</v>
      </c>
      <c r="T150" s="5" t="e">
        <v>#N/A</v>
      </c>
      <c r="U150" s="5">
        <v>0.76666666666666661</v>
      </c>
      <c r="V150" s="5">
        <v>0.91399999999999992</v>
      </c>
      <c r="W150" s="5">
        <v>0.25985951219512204</v>
      </c>
      <c r="X150" s="5">
        <v>0.21271929824561403</v>
      </c>
      <c r="Y150" s="5">
        <v>0.12585675970994337</v>
      </c>
      <c r="Z150" s="5">
        <v>0.5</v>
      </c>
      <c r="AA150" s="5">
        <v>0.113</v>
      </c>
      <c r="AB150" s="5">
        <v>0.23571434315458828</v>
      </c>
      <c r="AC150" s="5">
        <v>3.0000000000000027E-2</v>
      </c>
      <c r="AD150" s="5">
        <v>0</v>
      </c>
      <c r="AE150" s="5">
        <v>0.53003533568904593</v>
      </c>
      <c r="AF150" s="5">
        <v>0.85789999961853003</v>
      </c>
      <c r="AG150" s="134">
        <v>4405.3351108906181</v>
      </c>
      <c r="AH150" s="135">
        <v>8.3905716105937671</v>
      </c>
      <c r="AI150">
        <v>0.77100000000000002</v>
      </c>
      <c r="AJ150" s="136" t="e">
        <v>#N/A</v>
      </c>
      <c r="AK150" s="137">
        <v>0.48492377071773696</v>
      </c>
      <c r="AL150" s="138">
        <v>0.35652732958771427</v>
      </c>
      <c r="AM150" s="139">
        <v>0.12839644113002269</v>
      </c>
      <c r="AN150" s="139">
        <v>1.7169277108433734</v>
      </c>
    </row>
    <row r="151" spans="2:40">
      <c r="B151" s="16" t="s">
        <v>301</v>
      </c>
      <c r="C151" s="15" t="s">
        <v>302</v>
      </c>
      <c r="D151" s="133" t="e">
        <v>#VALUE!</v>
      </c>
      <c r="E151" s="4" t="e">
        <v>#DIV/0!</v>
      </c>
      <c r="F151" s="4" t="e">
        <v>#VALUE!</v>
      </c>
      <c r="G151" s="6">
        <v>2.6971377614959661E-2</v>
      </c>
      <c r="H151" s="6" t="e">
        <v>#N/A</v>
      </c>
      <c r="I151" s="5">
        <v>0.5850833333333334</v>
      </c>
      <c r="J151" s="5" t="e">
        <v>#DIV/0!</v>
      </c>
      <c r="K151" s="5" t="e">
        <v>#N/A</v>
      </c>
      <c r="L151" s="5">
        <v>0.53590277777777784</v>
      </c>
      <c r="M151" s="5">
        <v>0</v>
      </c>
      <c r="N151" s="5" t="e">
        <v>#N/A</v>
      </c>
      <c r="O151" s="5">
        <v>0.23600000000000002</v>
      </c>
      <c r="P151" s="5">
        <v>5.7376154602530482E-2</v>
      </c>
      <c r="Q151" s="5">
        <v>1</v>
      </c>
      <c r="R151" s="5" t="e">
        <v>#VALUE!</v>
      </c>
      <c r="S151" s="5" t="e">
        <v>#N/A</v>
      </c>
      <c r="T151" s="5">
        <v>0</v>
      </c>
      <c r="U151" s="5">
        <v>6.6666666666666541E-2</v>
      </c>
      <c r="V151" s="5">
        <v>0</v>
      </c>
      <c r="W151" s="5">
        <v>4.0089135254975483E-2</v>
      </c>
      <c r="X151" s="5">
        <v>5.5072463768115941E-2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 t="e">
        <v>#N/A</v>
      </c>
      <c r="AE151" s="5">
        <v>0</v>
      </c>
      <c r="AF151" s="5" t="e">
        <v>#N/A</v>
      </c>
      <c r="AG151" s="134">
        <v>35928</v>
      </c>
      <c r="AH151" s="135">
        <v>10.489272214767574</v>
      </c>
      <c r="AI151" t="s">
        <v>545</v>
      </c>
      <c r="AJ151" s="136" t="e">
        <v>#N/A</v>
      </c>
      <c r="AK151" s="137" t="e">
        <v>#N/A</v>
      </c>
      <c r="AL151" s="138">
        <v>0.20353205554344378</v>
      </c>
      <c r="AM151" s="139" t="e">
        <v>#N/A</v>
      </c>
      <c r="AN151" s="139" t="e">
        <v>#N/A</v>
      </c>
    </row>
    <row r="152" spans="2:40">
      <c r="B152" s="16" t="s">
        <v>303</v>
      </c>
      <c r="C152" s="15" t="s">
        <v>304</v>
      </c>
      <c r="D152" s="133" t="e">
        <v>#VALUE!</v>
      </c>
      <c r="E152" s="4">
        <v>0.27194907407407404</v>
      </c>
      <c r="F152" s="4" t="e">
        <v>#VALUE!</v>
      </c>
      <c r="G152" s="6">
        <v>0.43524665592543976</v>
      </c>
      <c r="H152" s="6">
        <v>0.34545646728969953</v>
      </c>
      <c r="I152" s="5">
        <v>0.33691666666666675</v>
      </c>
      <c r="J152" s="5">
        <v>0</v>
      </c>
      <c r="K152" s="5">
        <v>0.10999999999999999</v>
      </c>
      <c r="L152" s="5">
        <v>0.15944444444444439</v>
      </c>
      <c r="M152" s="5">
        <v>0.28533333333333333</v>
      </c>
      <c r="N152" s="5">
        <v>0.74</v>
      </c>
      <c r="O152" s="5">
        <v>0.62008333333333332</v>
      </c>
      <c r="P152" s="5">
        <v>0.38619999999999999</v>
      </c>
      <c r="Q152" s="5">
        <v>0.5</v>
      </c>
      <c r="R152" s="5" t="e">
        <v>#VALUE!</v>
      </c>
      <c r="S152" s="5">
        <v>1</v>
      </c>
      <c r="T152" s="5">
        <v>0.06</v>
      </c>
      <c r="U152" s="5">
        <v>0.20833333333333315</v>
      </c>
      <c r="V152" s="5">
        <v>0.83079999999999998</v>
      </c>
      <c r="W152" s="5">
        <v>0.38490926829268257</v>
      </c>
      <c r="X152" s="5">
        <v>0.30032292787944026</v>
      </c>
      <c r="Y152" s="5">
        <v>0.38711440604718256</v>
      </c>
      <c r="Z152" s="5">
        <v>0.5</v>
      </c>
      <c r="AA152" s="5">
        <v>0</v>
      </c>
      <c r="AB152" s="5">
        <v>0.26040545514607472</v>
      </c>
      <c r="AC152" s="5">
        <v>0.51500000000000001</v>
      </c>
      <c r="AD152" s="5">
        <v>0</v>
      </c>
      <c r="AE152" s="5">
        <v>0</v>
      </c>
      <c r="AF152" s="5">
        <v>0.31900001525878907</v>
      </c>
      <c r="AG152" s="134">
        <v>1819.9851483731602</v>
      </c>
      <c r="AH152" s="135">
        <v>7.5065836198030187</v>
      </c>
      <c r="AI152">
        <v>0.65100000000000002</v>
      </c>
      <c r="AJ152" s="136">
        <v>50.6</v>
      </c>
      <c r="AK152" s="137">
        <v>0.35088406576307113</v>
      </c>
      <c r="AL152" s="138">
        <v>0.42097005411635979</v>
      </c>
      <c r="AM152" s="139">
        <v>-7.0085988353288664E-2</v>
      </c>
      <c r="AN152" s="139">
        <v>0.70992366412213737</v>
      </c>
    </row>
    <row r="153" spans="2:40">
      <c r="B153" s="16" t="s">
        <v>305</v>
      </c>
      <c r="C153" s="15" t="s">
        <v>306</v>
      </c>
      <c r="D153" s="133">
        <v>0.30337365681358702</v>
      </c>
      <c r="E153" s="4">
        <v>0.33895601851851859</v>
      </c>
      <c r="F153" s="4">
        <v>0.42368339391325094</v>
      </c>
      <c r="G153" s="6">
        <v>0.20475192096336406</v>
      </c>
      <c r="H153" s="6">
        <v>0.23777160631107744</v>
      </c>
      <c r="I153" s="5">
        <v>0.45874999999999999</v>
      </c>
      <c r="J153" s="5">
        <v>1</v>
      </c>
      <c r="K153" s="5">
        <v>4.2999999999999927E-2</v>
      </c>
      <c r="L153" s="5">
        <v>0.51798611111111137</v>
      </c>
      <c r="M153" s="5">
        <v>0</v>
      </c>
      <c r="N153" s="5">
        <v>1.4000000000000012E-2</v>
      </c>
      <c r="O153" s="5">
        <v>0.47033333333333333</v>
      </c>
      <c r="P153" s="5">
        <v>0.1756722525425862</v>
      </c>
      <c r="Q153" s="5">
        <v>0.82981831499762382</v>
      </c>
      <c r="R153" s="5">
        <v>4.928129653531288E-2</v>
      </c>
      <c r="S153" s="5">
        <v>0.87699516607064931</v>
      </c>
      <c r="T153" s="5">
        <v>0.13999999999999999</v>
      </c>
      <c r="U153" s="5">
        <v>7.5000000000000067E-2</v>
      </c>
      <c r="V153" s="5">
        <v>0.79444000000000004</v>
      </c>
      <c r="W153" s="5">
        <v>0.2314634146341461</v>
      </c>
      <c r="X153" s="5">
        <v>0.10776942355889724</v>
      </c>
      <c r="Y153" s="5">
        <v>0</v>
      </c>
      <c r="Z153" s="5">
        <v>1.9838687587140903E-2</v>
      </c>
      <c r="AA153" s="5">
        <v>4.0000000000000001E-3</v>
      </c>
      <c r="AB153" s="5">
        <v>0.13462215009415213</v>
      </c>
      <c r="AC153" s="5">
        <v>1.0000000000000009E-2</v>
      </c>
      <c r="AD153" s="5">
        <v>0</v>
      </c>
      <c r="AE153" s="5">
        <v>3.0000000000000001E-3</v>
      </c>
      <c r="AF153" s="5">
        <v>0.78530000686645507</v>
      </c>
      <c r="AG153" s="134">
        <v>23479.510648571875</v>
      </c>
      <c r="AH153" s="135">
        <v>10.063883432522632</v>
      </c>
      <c r="AI153">
        <v>0.84299999999999997</v>
      </c>
      <c r="AJ153" s="136">
        <v>32</v>
      </c>
      <c r="AK153" s="137">
        <v>0.30129073492655273</v>
      </c>
      <c r="AL153" s="138">
        <v>0.23454289776910009</v>
      </c>
      <c r="AM153" s="139">
        <v>6.6747837157452639E-2</v>
      </c>
      <c r="AN153" s="139">
        <v>9.80547208603511E-4</v>
      </c>
    </row>
    <row r="154" spans="2:40">
      <c r="B154" s="16" t="s">
        <v>307</v>
      </c>
      <c r="C154" s="15" t="s">
        <v>308</v>
      </c>
      <c r="D154" s="133">
        <v>0.47094855183322698</v>
      </c>
      <c r="E154" s="4">
        <v>0.36664222985872463</v>
      </c>
      <c r="F154" s="4">
        <v>0.57123644771793347</v>
      </c>
      <c r="G154" s="6">
        <v>0.47431165850892354</v>
      </c>
      <c r="H154" s="6">
        <v>0.47160387124732656</v>
      </c>
      <c r="I154" s="5">
        <v>0.65566666666666662</v>
      </c>
      <c r="J154" s="5">
        <v>5.7242268041237117E-2</v>
      </c>
      <c r="K154" s="5">
        <v>0.31000000000000005</v>
      </c>
      <c r="L154" s="5">
        <v>0.33361111111111097</v>
      </c>
      <c r="M154" s="5">
        <v>0.35333333333333333</v>
      </c>
      <c r="N154" s="5">
        <v>0.49</v>
      </c>
      <c r="O154" s="5">
        <v>0.88633333333333331</v>
      </c>
      <c r="P154" s="5">
        <v>0.5736</v>
      </c>
      <c r="Q154" s="5">
        <v>0.99249175125836209</v>
      </c>
      <c r="R154" s="5">
        <v>0.11345085683486836</v>
      </c>
      <c r="S154" s="5">
        <v>0.71154274488103753</v>
      </c>
      <c r="T154" s="5">
        <v>0.15</v>
      </c>
      <c r="U154" s="5">
        <v>0.20833333333333315</v>
      </c>
      <c r="V154" s="5">
        <v>0.96404000000000001</v>
      </c>
      <c r="W154" s="5">
        <v>0.5822258536585363</v>
      </c>
      <c r="X154" s="5">
        <v>0.41314935064935066</v>
      </c>
      <c r="Y154" s="5">
        <v>0.13996222442067585</v>
      </c>
      <c r="Z154" s="5">
        <v>0.53815918899164505</v>
      </c>
      <c r="AA154" s="5">
        <v>3.3000000000000002E-2</v>
      </c>
      <c r="AB154" s="5">
        <v>0.31479057632968366</v>
      </c>
      <c r="AC154" s="5">
        <v>0.58000000000000007</v>
      </c>
      <c r="AD154" s="5">
        <v>0.61081273848383388</v>
      </c>
      <c r="AE154" s="5">
        <v>4.674596166831143E-2</v>
      </c>
      <c r="AF154" s="5">
        <v>0.707399997711182</v>
      </c>
      <c r="AG154" s="134">
        <v>1816.5749199190634</v>
      </c>
      <c r="AH154" s="135">
        <v>7.5047080949170253</v>
      </c>
      <c r="AI154">
        <v>0.46400000000000002</v>
      </c>
      <c r="AJ154" s="136">
        <v>39.19</v>
      </c>
      <c r="AK154" s="137">
        <v>0.47094855183322704</v>
      </c>
      <c r="AL154" s="138">
        <v>0.42110677988054879</v>
      </c>
      <c r="AM154" s="139">
        <v>4.9841771952678249E-2</v>
      </c>
      <c r="AN154" s="139">
        <v>0.3754841688654354</v>
      </c>
    </row>
    <row r="155" spans="2:40">
      <c r="B155" s="16" t="s">
        <v>309</v>
      </c>
      <c r="C155" s="15" t="s">
        <v>310</v>
      </c>
      <c r="D155" s="133" t="e">
        <v>#DIV/0!</v>
      </c>
      <c r="E155" s="4" t="e">
        <v>#DIV/0!</v>
      </c>
      <c r="F155" s="4">
        <v>0.285788901242439</v>
      </c>
      <c r="G155" s="6">
        <v>0.14922926348591173</v>
      </c>
      <c r="H155" s="6" t="e">
        <v>#N/A</v>
      </c>
      <c r="I155" s="5">
        <v>0.68166666666666664</v>
      </c>
      <c r="J155" s="5" t="e">
        <v>#DIV/0!</v>
      </c>
      <c r="K155" s="5">
        <v>1.0000000000000009E-2</v>
      </c>
      <c r="L155" s="5">
        <v>0.50749999999999995</v>
      </c>
      <c r="M155" s="5">
        <v>0</v>
      </c>
      <c r="N155" s="5">
        <v>7.999999999999996E-2</v>
      </c>
      <c r="O155" s="5">
        <v>0.28333333333333333</v>
      </c>
      <c r="P155" s="5">
        <v>0.4778</v>
      </c>
      <c r="Q155" s="5">
        <v>0.77845850999400246</v>
      </c>
      <c r="R155" s="5">
        <v>0.1601415641272986</v>
      </c>
      <c r="S155" s="5">
        <v>0.01</v>
      </c>
      <c r="T155" s="5">
        <v>5.0000000000000001E-3</v>
      </c>
      <c r="U155" s="5">
        <v>7.5000000000000067E-2</v>
      </c>
      <c r="V155" s="5">
        <v>0.56420000000000003</v>
      </c>
      <c r="W155" s="5">
        <v>0.22629268292682891</v>
      </c>
      <c r="X155" s="5">
        <v>2.2222222222222223E-2</v>
      </c>
      <c r="Y155" s="5">
        <v>4.3414821267884866E-3</v>
      </c>
      <c r="Z155" s="5">
        <v>3.3191936396306408E-3</v>
      </c>
      <c r="AA155" s="5" t="e">
        <v>#N/A</v>
      </c>
      <c r="AB155" s="5" t="e">
        <v>#N/A</v>
      </c>
      <c r="AC155" s="5">
        <v>0</v>
      </c>
      <c r="AD155" s="5">
        <v>0.54207427949963072</v>
      </c>
      <c r="AE155" s="5" t="e">
        <v>#N/A</v>
      </c>
      <c r="AF155" s="5">
        <v>0.52259999999999995</v>
      </c>
      <c r="AG155" s="134">
        <v>11893.16585512249</v>
      </c>
      <c r="AH155" s="135">
        <v>9.383719216238557</v>
      </c>
      <c r="AI155">
        <v>0.82599999999999996</v>
      </c>
      <c r="AJ155" s="136">
        <v>28.16</v>
      </c>
      <c r="AK155" s="137">
        <v>0.21750908236417538</v>
      </c>
      <c r="AL155" s="138">
        <v>0.2841268691362091</v>
      </c>
      <c r="AM155" s="139">
        <v>-6.6617786772033727E-2</v>
      </c>
      <c r="AN155" s="139" t="e">
        <v>#N/A</v>
      </c>
    </row>
    <row r="156" spans="2:40">
      <c r="B156" s="16" t="s">
        <v>311</v>
      </c>
      <c r="C156" s="15" t="s">
        <v>312</v>
      </c>
      <c r="D156" s="133" t="e">
        <v>#N/A</v>
      </c>
      <c r="E156" s="4" t="e">
        <v>#DIV/0!</v>
      </c>
      <c r="F156" s="4">
        <v>0.39135555555555551</v>
      </c>
      <c r="G156" s="6">
        <v>0.24050828278066483</v>
      </c>
      <c r="H156" s="6">
        <v>0.4055028801722505</v>
      </c>
      <c r="I156" s="5">
        <v>0.49283333333333335</v>
      </c>
      <c r="J156" s="5" t="e">
        <v>#DIV/0!</v>
      </c>
      <c r="K156" s="5" t="e">
        <v>#N/A</v>
      </c>
      <c r="L156" s="5">
        <v>0.1334722222222221</v>
      </c>
      <c r="M156" s="5" t="e">
        <v>#N/A</v>
      </c>
      <c r="N156" s="5" t="e">
        <v>#N/A</v>
      </c>
      <c r="O156" s="5">
        <v>0.44466666666666665</v>
      </c>
      <c r="P156" s="5">
        <v>0.45179999999999998</v>
      </c>
      <c r="Q156" s="5">
        <v>0.45166666666666666</v>
      </c>
      <c r="R156" s="5">
        <v>0</v>
      </c>
      <c r="S156" s="5">
        <v>1</v>
      </c>
      <c r="T156" s="5">
        <v>0</v>
      </c>
      <c r="U156" s="5">
        <v>0.20833333333333315</v>
      </c>
      <c r="V156" s="5">
        <v>0.30519999999999992</v>
      </c>
      <c r="W156" s="5">
        <v>0.22612195121951206</v>
      </c>
      <c r="X156" s="5">
        <v>0.18908629441624367</v>
      </c>
      <c r="Y156" s="5">
        <v>1.4308117714900181E-2</v>
      </c>
      <c r="Z156" s="5">
        <v>0.5</v>
      </c>
      <c r="AA156" s="5">
        <v>0.3</v>
      </c>
      <c r="AB156" s="5">
        <v>0.1742508768340274</v>
      </c>
      <c r="AC156" s="5">
        <v>4.0000000000000036E-2</v>
      </c>
      <c r="AD156" s="5">
        <v>0</v>
      </c>
      <c r="AE156" s="5">
        <v>1</v>
      </c>
      <c r="AF156" s="5">
        <v>3.5433070866142113E-2</v>
      </c>
      <c r="AG156" s="134">
        <v>19587.023927178274</v>
      </c>
      <c r="AH156" s="135">
        <v>9.8826225814386337</v>
      </c>
      <c r="AI156">
        <v>0.84499999999999997</v>
      </c>
      <c r="AJ156" s="136">
        <v>65.77</v>
      </c>
      <c r="AK156" s="137">
        <v>0.34578890616949026</v>
      </c>
      <c r="AL156" s="138">
        <v>0.24775681381312353</v>
      </c>
      <c r="AM156" s="139">
        <v>9.8032092356366729E-2</v>
      </c>
      <c r="AN156" s="139">
        <v>0.10716000000000001</v>
      </c>
    </row>
    <row r="157" spans="2:40">
      <c r="B157" s="16" t="s">
        <v>313</v>
      </c>
      <c r="C157" s="15" t="s">
        <v>314</v>
      </c>
      <c r="D157" s="133">
        <v>0.50439577482553699</v>
      </c>
      <c r="E157" s="4">
        <v>0.47798597222222217</v>
      </c>
      <c r="F157" s="4">
        <v>0.49694119252860797</v>
      </c>
      <c r="G157" s="6">
        <v>0.61481082001554799</v>
      </c>
      <c r="H157" s="6">
        <v>0.42784511453577068</v>
      </c>
      <c r="I157" s="5">
        <v>0.26533333333333331</v>
      </c>
      <c r="J157" s="5">
        <v>3.0825000000000002E-3</v>
      </c>
      <c r="K157" s="5">
        <v>0.51</v>
      </c>
      <c r="L157" s="5">
        <v>0.23749999999999982</v>
      </c>
      <c r="M157" s="5">
        <v>0.98199999999999998</v>
      </c>
      <c r="N157" s="5">
        <v>0.87</v>
      </c>
      <c r="O157" s="5">
        <v>0.62008333333333332</v>
      </c>
      <c r="P157" s="5">
        <v>0.61919999999999997</v>
      </c>
      <c r="Q157" s="5">
        <v>0.99721074380165287</v>
      </c>
      <c r="R157" s="5">
        <v>0.12</v>
      </c>
      <c r="S157" s="5">
        <v>0.20515307803666172</v>
      </c>
      <c r="T157" s="5">
        <v>0.42000000000000004</v>
      </c>
      <c r="U157" s="5">
        <v>0.20833333333333315</v>
      </c>
      <c r="V157" s="5">
        <v>0.98575999999999997</v>
      </c>
      <c r="W157" s="5">
        <v>0.74166780487804873</v>
      </c>
      <c r="X157" s="5">
        <v>0.54928835002635745</v>
      </c>
      <c r="Y157" s="5">
        <v>0.20381543185554865</v>
      </c>
      <c r="Z157" s="5">
        <v>1</v>
      </c>
      <c r="AA157" s="5">
        <v>4.5999999999999999E-2</v>
      </c>
      <c r="AB157" s="5">
        <v>9.6793483454035711E-2</v>
      </c>
      <c r="AC157" s="5">
        <v>0.94899999999999995</v>
      </c>
      <c r="AD157" s="5" t="e">
        <v>#N/A</v>
      </c>
      <c r="AE157" s="5">
        <v>2.0943870427254957E-2</v>
      </c>
      <c r="AF157" s="5">
        <v>0.92</v>
      </c>
      <c r="AG157" s="134">
        <v>807.95513778933196</v>
      </c>
      <c r="AH157" s="135">
        <v>6.6945065344417065</v>
      </c>
      <c r="AI157">
        <v>0.36499999999999999</v>
      </c>
      <c r="AJ157" s="136">
        <v>42.52</v>
      </c>
      <c r="AK157" s="137">
        <v>0.50439577482553721</v>
      </c>
      <c r="AL157" s="138">
        <v>0.48017047363919951</v>
      </c>
      <c r="AM157" s="139">
        <v>2.42253011863377E-2</v>
      </c>
      <c r="AN157" s="139">
        <v>5.2703504043126681E-2</v>
      </c>
    </row>
    <row r="158" spans="2:40">
      <c r="B158" s="16" t="s">
        <v>315</v>
      </c>
      <c r="C158" s="15" t="s">
        <v>316</v>
      </c>
      <c r="D158" s="133">
        <v>0.27031552871944797</v>
      </c>
      <c r="E158" s="4">
        <v>0.12445833333333334</v>
      </c>
      <c r="F158" s="4" t="e">
        <v>#N/A</v>
      </c>
      <c r="G158" s="6">
        <v>0.2577225244456382</v>
      </c>
      <c r="H158" s="6">
        <v>0.2756459534872337</v>
      </c>
      <c r="I158" s="5">
        <v>0.57925000000000004</v>
      </c>
      <c r="J158" s="5">
        <v>0</v>
      </c>
      <c r="K158" s="5">
        <v>0</v>
      </c>
      <c r="L158" s="5">
        <v>0.16749999999999998</v>
      </c>
      <c r="M158" s="5">
        <v>0</v>
      </c>
      <c r="N158" s="5">
        <v>0</v>
      </c>
      <c r="O158" s="5">
        <v>0.49116666666666664</v>
      </c>
      <c r="P158" s="5">
        <v>0</v>
      </c>
      <c r="Q158" s="5">
        <v>1</v>
      </c>
      <c r="R158" s="5">
        <v>3.9445155002844144E-2</v>
      </c>
      <c r="S158" s="5" t="e">
        <v>#N/A</v>
      </c>
      <c r="T158" s="5">
        <v>0.01</v>
      </c>
      <c r="U158" s="5">
        <v>0.8500000000000002</v>
      </c>
      <c r="V158" s="5">
        <v>0.45467999999999997</v>
      </c>
      <c r="W158" s="5">
        <v>7.4146341463414589E-2</v>
      </c>
      <c r="X158" s="5">
        <v>0.16500000000000001</v>
      </c>
      <c r="Y158" s="5">
        <v>0</v>
      </c>
      <c r="Z158" s="5">
        <v>2.5088052104141599E-3</v>
      </c>
      <c r="AA158" s="5">
        <v>0.16699999999999998</v>
      </c>
      <c r="AB158" s="5">
        <v>0.149891532087291</v>
      </c>
      <c r="AC158" s="5">
        <v>0</v>
      </c>
      <c r="AD158" s="5">
        <v>1</v>
      </c>
      <c r="AE158" s="5">
        <v>0</v>
      </c>
      <c r="AF158" s="5">
        <v>0</v>
      </c>
      <c r="AG158" s="134">
        <v>50632.806632058215</v>
      </c>
      <c r="AH158" s="135">
        <v>10.832354997598152</v>
      </c>
      <c r="AI158">
        <v>0.94399999999999995</v>
      </c>
      <c r="AJ158" s="136">
        <v>42.475708664599999</v>
      </c>
      <c r="AK158" s="137">
        <v>0.21927560375540175</v>
      </c>
      <c r="AL158" s="138">
        <v>0.17852132067509463</v>
      </c>
      <c r="AM158" s="139">
        <v>4.0754283080307124E-2</v>
      </c>
      <c r="AN158" s="139">
        <v>0</v>
      </c>
    </row>
    <row r="159" spans="2:40">
      <c r="B159" s="16" t="s">
        <v>317</v>
      </c>
      <c r="C159" s="15" t="s">
        <v>318</v>
      </c>
      <c r="D159" s="133">
        <v>0.20029971276057401</v>
      </c>
      <c r="E159" s="4">
        <v>0.18569183854513194</v>
      </c>
      <c r="F159" s="4">
        <v>0.27585469291107373</v>
      </c>
      <c r="G159" s="6">
        <v>0.1139961875860921</v>
      </c>
      <c r="H159" s="6">
        <v>0.22565613199999737</v>
      </c>
      <c r="I159" s="5">
        <v>0.47299999999999998</v>
      </c>
      <c r="J159" s="5">
        <v>2.3373253493013973E-2</v>
      </c>
      <c r="K159" s="5">
        <v>0</v>
      </c>
      <c r="L159" s="5">
        <v>0.61777777777777765</v>
      </c>
      <c r="M159" s="5">
        <v>0</v>
      </c>
      <c r="N159" s="5">
        <v>0</v>
      </c>
      <c r="O159" s="5">
        <v>0.23600000000000002</v>
      </c>
      <c r="P159" s="5">
        <v>0.43302362697122954</v>
      </c>
      <c r="Q159" s="5">
        <v>0.52555354558618195</v>
      </c>
      <c r="R159" s="5">
        <v>0.28000000000000003</v>
      </c>
      <c r="S159" s="5">
        <v>0.18055098490903107</v>
      </c>
      <c r="T159" s="5">
        <v>0</v>
      </c>
      <c r="U159" s="5">
        <v>7.5000000000000067E-2</v>
      </c>
      <c r="V159" s="5">
        <v>0.35360000000000003</v>
      </c>
      <c r="W159" s="5">
        <v>0.20180487804878022</v>
      </c>
      <c r="X159" s="5">
        <v>5.1698670605612999E-2</v>
      </c>
      <c r="Y159" s="5">
        <v>0</v>
      </c>
      <c r="Z159" s="5">
        <v>1.8735768621593585E-3</v>
      </c>
      <c r="AA159" s="5">
        <v>0</v>
      </c>
      <c r="AB159" s="5">
        <v>0</v>
      </c>
      <c r="AC159" s="5">
        <v>0</v>
      </c>
      <c r="AD159" s="5">
        <v>0.71446162188973072</v>
      </c>
      <c r="AE159" s="5">
        <v>9.355509355509356E-2</v>
      </c>
      <c r="AF159" s="5">
        <v>0.12970001220703098</v>
      </c>
      <c r="AG159" s="134">
        <v>22881.684224494704</v>
      </c>
      <c r="AH159" s="135">
        <v>10.038092053994994</v>
      </c>
      <c r="AI159">
        <v>0.88</v>
      </c>
      <c r="AJ159" s="136">
        <v>25.81</v>
      </c>
      <c r="AK159" s="137">
        <v>0.20029971276057379</v>
      </c>
      <c r="AL159" s="138">
        <v>0.23642308926376487</v>
      </c>
      <c r="AM159" s="139">
        <v>-3.6123376503191085E-2</v>
      </c>
      <c r="AN159" s="139">
        <v>1.0882923191648023E-2</v>
      </c>
    </row>
    <row r="160" spans="2:40">
      <c r="B160" s="16" t="s">
        <v>319</v>
      </c>
      <c r="C160" s="15" t="s">
        <v>320</v>
      </c>
      <c r="D160" s="133">
        <v>0.198704916506832</v>
      </c>
      <c r="E160" s="4">
        <v>0.19171561479505864</v>
      </c>
      <c r="F160" s="4">
        <v>0.33519487820822125</v>
      </c>
      <c r="G160" s="6">
        <v>8.0947573590872984E-2</v>
      </c>
      <c r="H160" s="6">
        <v>0.18696159943317311</v>
      </c>
      <c r="I160" s="5">
        <v>0.52233333333333332</v>
      </c>
      <c r="J160" s="5">
        <v>2.9557577659240667E-2</v>
      </c>
      <c r="K160" s="5">
        <v>1.0000000000000009E-2</v>
      </c>
      <c r="L160" s="5">
        <v>0.58840277777777794</v>
      </c>
      <c r="M160" s="5">
        <v>0</v>
      </c>
      <c r="N160" s="5">
        <v>0</v>
      </c>
      <c r="O160" s="5">
        <v>0.28591666666666671</v>
      </c>
      <c r="P160" s="5">
        <v>0.51677075538323669</v>
      </c>
      <c r="Q160" s="5">
        <v>0.52606872576694896</v>
      </c>
      <c r="R160" s="5">
        <v>0.13840868112485818</v>
      </c>
      <c r="S160" s="5">
        <v>0.54400444030761719</v>
      </c>
      <c r="T160" s="5">
        <v>0</v>
      </c>
      <c r="U160" s="5">
        <v>6.6666666666666541E-2</v>
      </c>
      <c r="V160" s="5">
        <v>0.24828000000000006</v>
      </c>
      <c r="W160" s="5">
        <v>0.12058536585365853</v>
      </c>
      <c r="X160" s="5">
        <v>4.4117647058823532E-2</v>
      </c>
      <c r="Y160" s="5">
        <v>0</v>
      </c>
      <c r="Z160" s="5">
        <v>6.0357619660892422E-3</v>
      </c>
      <c r="AA160" s="5">
        <v>0</v>
      </c>
      <c r="AB160" s="5">
        <v>1.4871545756063545E-2</v>
      </c>
      <c r="AC160" s="5">
        <v>0</v>
      </c>
      <c r="AD160" s="5">
        <v>0.64158950994733677</v>
      </c>
      <c r="AE160" s="5">
        <v>0</v>
      </c>
      <c r="AF160" s="5">
        <v>0</v>
      </c>
      <c r="AG160" s="134">
        <v>27132.966933002419</v>
      </c>
      <c r="AH160" s="135">
        <v>10.208504759533646</v>
      </c>
      <c r="AI160">
        <v>0.92900000000000005</v>
      </c>
      <c r="AJ160" s="136">
        <v>31.15</v>
      </c>
      <c r="AK160" s="137">
        <v>0.1987049165068315</v>
      </c>
      <c r="AL160" s="138">
        <v>0.22400000302999712</v>
      </c>
      <c r="AM160" s="139">
        <v>-2.5295086523165616E-2</v>
      </c>
      <c r="AN160" s="139">
        <v>0</v>
      </c>
    </row>
    <row r="161" spans="2:40">
      <c r="B161" s="16" t="s">
        <v>321</v>
      </c>
      <c r="C161" s="15" t="s">
        <v>322</v>
      </c>
      <c r="D161" s="133" t="e">
        <v>#N/A</v>
      </c>
      <c r="E161" s="4">
        <v>0.25510416666666669</v>
      </c>
      <c r="F161" s="4">
        <v>0.66405813169122563</v>
      </c>
      <c r="G161" s="6">
        <v>0.44042096493481903</v>
      </c>
      <c r="H161" s="6" t="e">
        <v>#N/A</v>
      </c>
      <c r="I161" s="5">
        <v>0.36191666666666678</v>
      </c>
      <c r="J161" s="5">
        <v>0</v>
      </c>
      <c r="K161" s="5">
        <v>0.31000000000000005</v>
      </c>
      <c r="L161" s="5">
        <v>9.2708333333333282E-2</v>
      </c>
      <c r="M161" s="5">
        <v>5.6000000000000001E-2</v>
      </c>
      <c r="N161" s="5">
        <v>0.71</v>
      </c>
      <c r="O161" s="5">
        <v>0.44466666666666665</v>
      </c>
      <c r="P161" s="5">
        <v>0.81720000000000004</v>
      </c>
      <c r="Q161" s="5">
        <v>0.98787878787878791</v>
      </c>
      <c r="R161" s="5">
        <v>0.1346033356018988</v>
      </c>
      <c r="S161" s="5">
        <v>1</v>
      </c>
      <c r="T161" s="5">
        <v>0.6</v>
      </c>
      <c r="U161" s="5">
        <v>0.76666666666666661</v>
      </c>
      <c r="V161" s="5">
        <v>0.87656000000000001</v>
      </c>
      <c r="W161" s="5">
        <v>0.36651170731707305</v>
      </c>
      <c r="X161" s="5">
        <v>0.23167848699763594</v>
      </c>
      <c r="Y161" s="5">
        <v>0.29380833442881554</v>
      </c>
      <c r="Z161" s="5">
        <v>0.10730059419872325</v>
      </c>
      <c r="AA161" s="5">
        <v>0.222</v>
      </c>
      <c r="AB161" s="5">
        <v>0.19467218546855819</v>
      </c>
      <c r="AC161" s="5">
        <v>0.85599999999999998</v>
      </c>
      <c r="AD161" s="5">
        <v>0</v>
      </c>
      <c r="AE161" s="5">
        <v>0</v>
      </c>
      <c r="AF161" s="5">
        <v>0.97559999942779541</v>
      </c>
      <c r="AG161" s="134">
        <v>2546.6213098467492</v>
      </c>
      <c r="AH161" s="135">
        <v>7.8425227830642505</v>
      </c>
      <c r="AI161">
        <v>0.61</v>
      </c>
      <c r="AJ161" s="136" t="e">
        <v>#N/A</v>
      </c>
      <c r="AK161" s="137">
        <v>0.45319442109757047</v>
      </c>
      <c r="AL161" s="138">
        <v>0.39648008911461607</v>
      </c>
      <c r="AM161" s="139">
        <v>5.6714331982954391E-2</v>
      </c>
      <c r="AN161" s="139">
        <v>0.72474598930481282</v>
      </c>
    </row>
    <row r="162" spans="2:40">
      <c r="B162" s="16" t="s">
        <v>323</v>
      </c>
      <c r="C162" s="15" t="s">
        <v>324</v>
      </c>
      <c r="D162" s="133" t="e">
        <v>#N/A</v>
      </c>
      <c r="E162" s="4">
        <v>0.48488766061980343</v>
      </c>
      <c r="F162" s="4" t="e">
        <v>#N/A</v>
      </c>
      <c r="G162" s="6" t="e">
        <v>#N/A</v>
      </c>
      <c r="H162" s="6" t="e">
        <v>#N/A</v>
      </c>
      <c r="I162" s="5">
        <v>0.37608333333333333</v>
      </c>
      <c r="J162" s="5">
        <v>0.22435374149659865</v>
      </c>
      <c r="K162" s="5">
        <v>0.7</v>
      </c>
      <c r="L162" s="5">
        <v>0.24888888888888894</v>
      </c>
      <c r="M162" s="5">
        <v>0.59</v>
      </c>
      <c r="N162" s="5">
        <v>0.77</v>
      </c>
      <c r="O162" s="5">
        <v>0.39683333333333337</v>
      </c>
      <c r="P162" s="5">
        <v>0.63039999999999996</v>
      </c>
      <c r="Q162" s="5">
        <v>0.97995614035087719</v>
      </c>
      <c r="R162" s="5">
        <v>1.0037124960794905E-2</v>
      </c>
      <c r="S162" s="5" t="e">
        <v>#N/A</v>
      </c>
      <c r="T162" s="5">
        <v>0.57999999999999996</v>
      </c>
      <c r="U162" s="5">
        <v>0.7833333333333331</v>
      </c>
      <c r="V162" s="5">
        <v>0.98980000000000001</v>
      </c>
      <c r="W162" s="5">
        <v>0.69864829268292672</v>
      </c>
      <c r="X162" s="5">
        <v>0.38696109358569925</v>
      </c>
      <c r="Y162" s="5" t="e">
        <v>#N/A</v>
      </c>
      <c r="Z162" s="5">
        <v>1</v>
      </c>
      <c r="AA162" s="5" t="e">
        <v>#N/A</v>
      </c>
      <c r="AB162" s="5">
        <v>4.9785423036339239E-2</v>
      </c>
      <c r="AC162" s="5">
        <v>0</v>
      </c>
      <c r="AD162" s="5" t="e">
        <v>#N/A</v>
      </c>
      <c r="AE162" s="5">
        <v>2.6301527082602735E-2</v>
      </c>
      <c r="AF162" s="5">
        <v>0.88199999809265095</v>
      </c>
      <c r="AG162" s="134">
        <v>600</v>
      </c>
      <c r="AH162" s="135">
        <v>6.3969296552161463</v>
      </c>
      <c r="AI162" t="s">
        <v>545</v>
      </c>
      <c r="AJ162" s="136">
        <v>30</v>
      </c>
      <c r="AK162" s="137" t="e">
        <v>#N/A</v>
      </c>
      <c r="AL162" s="138">
        <v>0.50186382813474284</v>
      </c>
      <c r="AM162" s="139" t="e">
        <v>#N/A</v>
      </c>
      <c r="AN162" s="139">
        <v>0.70635753126699297</v>
      </c>
    </row>
    <row r="163" spans="2:40">
      <c r="B163" s="16" t="s">
        <v>325</v>
      </c>
      <c r="C163" s="15" t="s">
        <v>326</v>
      </c>
      <c r="D163" s="133">
        <v>0.359289196948061</v>
      </c>
      <c r="E163" s="4">
        <v>0.27435231481481481</v>
      </c>
      <c r="F163" s="4">
        <v>0.41876548467824404</v>
      </c>
      <c r="G163" s="6">
        <v>0.4278492632742294</v>
      </c>
      <c r="H163" s="6">
        <v>0.31618972502495701</v>
      </c>
      <c r="I163" s="5">
        <v>0.65808333333333335</v>
      </c>
      <c r="J163" s="5">
        <v>0.24960000000000002</v>
      </c>
      <c r="K163" s="5">
        <v>8.9999999999999969E-2</v>
      </c>
      <c r="L163" s="5">
        <v>0.34909722222222228</v>
      </c>
      <c r="M163" s="5">
        <v>6.933333333333333E-2</v>
      </c>
      <c r="N163" s="5">
        <v>0.22999999999999998</v>
      </c>
      <c r="O163" s="5">
        <v>0.62974999999999992</v>
      </c>
      <c r="P163" s="5">
        <v>0.38780275201920511</v>
      </c>
      <c r="Q163" s="5">
        <v>0.845522717178814</v>
      </c>
      <c r="R163" s="5">
        <v>0.25309247441202209</v>
      </c>
      <c r="S163" s="5">
        <v>0.25142496445942292</v>
      </c>
      <c r="T163" s="5">
        <v>0.14499999999999999</v>
      </c>
      <c r="U163" s="5">
        <v>0.40833333333333333</v>
      </c>
      <c r="V163" s="5">
        <v>0.64280000000000004</v>
      </c>
      <c r="W163" s="5">
        <v>0.66750731707317057</v>
      </c>
      <c r="X163" s="5">
        <v>0.58165680473372783</v>
      </c>
      <c r="Y163" s="5">
        <v>1.9032421387803606E-2</v>
      </c>
      <c r="Z163" s="5">
        <v>0.24776570311734111</v>
      </c>
      <c r="AA163" s="5">
        <v>2E-3</v>
      </c>
      <c r="AB163" s="5">
        <v>1.0482097953101517E-2</v>
      </c>
      <c r="AC163" s="5">
        <v>0.25</v>
      </c>
      <c r="AD163" s="5">
        <v>0</v>
      </c>
      <c r="AE163" s="5">
        <v>1.8526600080693637E-2</v>
      </c>
      <c r="AF163" s="5">
        <v>0.82700000762939496</v>
      </c>
      <c r="AG163" s="134">
        <v>10277.762471036945</v>
      </c>
      <c r="AH163" s="135">
        <v>9.2377378568586739</v>
      </c>
      <c r="AI163">
        <v>0.68300000000000005</v>
      </c>
      <c r="AJ163" s="136">
        <v>57.77</v>
      </c>
      <c r="AK163" s="137">
        <v>0.35928919694806133</v>
      </c>
      <c r="AL163" s="138">
        <v>0.29476891023500251</v>
      </c>
      <c r="AM163" s="139">
        <v>6.4520286713058816E-2</v>
      </c>
      <c r="AN163" s="139">
        <v>0.18973437576349866</v>
      </c>
    </row>
    <row r="164" spans="2:40">
      <c r="B164" s="16" t="s">
        <v>327</v>
      </c>
      <c r="C164" s="15" t="s">
        <v>328</v>
      </c>
      <c r="D164" s="133">
        <v>0.198477758543702</v>
      </c>
      <c r="E164" s="4">
        <v>0.26295977619996674</v>
      </c>
      <c r="F164" s="4">
        <v>0.22966271083094816</v>
      </c>
      <c r="G164" s="6">
        <v>0.10627021412999323</v>
      </c>
      <c r="H164" s="6">
        <v>0.19501833301389981</v>
      </c>
      <c r="I164" s="5">
        <v>0.75175000000000003</v>
      </c>
      <c r="J164" s="5">
        <v>0.32816143497757849</v>
      </c>
      <c r="K164" s="5">
        <v>0</v>
      </c>
      <c r="L164" s="5">
        <v>0.49784722222222222</v>
      </c>
      <c r="M164" s="5">
        <v>0</v>
      </c>
      <c r="N164" s="5">
        <v>0</v>
      </c>
      <c r="O164" s="5">
        <v>0.29008333333333336</v>
      </c>
      <c r="P164" s="5">
        <v>0.22881029609897222</v>
      </c>
      <c r="Q164" s="5">
        <v>0.32258666666666669</v>
      </c>
      <c r="R164" s="5">
        <v>0.1624995145935644</v>
      </c>
      <c r="S164" s="5">
        <v>0.37399645429315237</v>
      </c>
      <c r="T164" s="5">
        <v>0</v>
      </c>
      <c r="U164" s="5">
        <v>6.6666666666666541E-2</v>
      </c>
      <c r="V164" s="5">
        <v>0.43899999999999995</v>
      </c>
      <c r="W164" s="5">
        <v>6.9463414634146292E-2</v>
      </c>
      <c r="X164" s="5">
        <v>6.030150753768844E-2</v>
      </c>
      <c r="Y164" s="5">
        <v>0</v>
      </c>
      <c r="Z164" s="5">
        <v>2.1896959414581568E-3</v>
      </c>
      <c r="AA164" s="5">
        <v>9.0000000000000011E-3</v>
      </c>
      <c r="AB164" s="5">
        <v>7.7373712561670305E-2</v>
      </c>
      <c r="AC164" s="5">
        <v>0</v>
      </c>
      <c r="AD164" s="5">
        <v>0.78764002823051227</v>
      </c>
      <c r="AE164" s="5">
        <v>1.803679506192633E-2</v>
      </c>
      <c r="AF164" s="5">
        <v>1.0000000000000009E-2</v>
      </c>
      <c r="AG164" s="134">
        <v>32149.794400424929</v>
      </c>
      <c r="AH164" s="135">
        <v>10.378161334635207</v>
      </c>
      <c r="AI164">
        <v>0.95499999999999996</v>
      </c>
      <c r="AJ164" s="136">
        <v>34.661200000000001</v>
      </c>
      <c r="AK164" s="137">
        <v>0.198477758543702</v>
      </c>
      <c r="AL164" s="138">
        <v>0.21163203870509328</v>
      </c>
      <c r="AM164" s="139">
        <v>-1.315428016139128E-2</v>
      </c>
      <c r="AN164" s="139">
        <v>0.17081279579316391</v>
      </c>
    </row>
    <row r="165" spans="2:40">
      <c r="B165" s="16" t="s">
        <v>329</v>
      </c>
      <c r="C165" s="15" t="s">
        <v>330</v>
      </c>
      <c r="D165" s="133">
        <v>0.29955785905781002</v>
      </c>
      <c r="E165" s="4">
        <v>0.16978682659932662</v>
      </c>
      <c r="F165" s="4">
        <v>0.45016220508218047</v>
      </c>
      <c r="G165" s="6">
        <v>0.20706714578372717</v>
      </c>
      <c r="H165" s="6">
        <v>0.3712152587660062</v>
      </c>
      <c r="I165" s="5">
        <v>0.41091666666666671</v>
      </c>
      <c r="J165" s="5">
        <v>0.24640151515151515</v>
      </c>
      <c r="K165" s="5">
        <v>9.9999999999999978E-2</v>
      </c>
      <c r="L165" s="5">
        <v>0.14340277777777777</v>
      </c>
      <c r="M165" s="5">
        <v>2.8000000000000001E-2</v>
      </c>
      <c r="N165" s="5">
        <v>8.9999999999999969E-2</v>
      </c>
      <c r="O165" s="5">
        <v>0.4453333333333333</v>
      </c>
      <c r="P165" s="5">
        <v>0.84899999999999987</v>
      </c>
      <c r="Q165" s="5">
        <v>0.25438047763516147</v>
      </c>
      <c r="R165" s="5">
        <v>0.17638934410054899</v>
      </c>
      <c r="S165" s="5">
        <v>0.37587007542403883</v>
      </c>
      <c r="T165" s="5">
        <v>0.6</v>
      </c>
      <c r="U165" s="5">
        <v>7.5000000000000067E-2</v>
      </c>
      <c r="V165" s="5">
        <v>0.82591999999999999</v>
      </c>
      <c r="W165" s="5">
        <v>0.21482731707317049</v>
      </c>
      <c r="X165" s="5">
        <v>8.4491978609625665E-2</v>
      </c>
      <c r="Y165" s="5">
        <v>1.9524016514824789E-2</v>
      </c>
      <c r="Z165" s="5">
        <v>2.2639562504742E-2</v>
      </c>
      <c r="AA165" s="5">
        <v>7.9000000000000001E-2</v>
      </c>
      <c r="AB165" s="5">
        <v>0.11790965206905284</v>
      </c>
      <c r="AC165" s="5">
        <v>0.2340000000000001</v>
      </c>
      <c r="AD165" s="5">
        <v>0.68595309580953701</v>
      </c>
      <c r="AE165" s="5">
        <v>0.37134457682190936</v>
      </c>
      <c r="AF165" s="5">
        <v>0.18999999999999995</v>
      </c>
      <c r="AG165" s="134">
        <v>4771.6104878226106</v>
      </c>
      <c r="AH165" s="135">
        <v>8.4704391553730609</v>
      </c>
      <c r="AI165">
        <v>0.75900000000000001</v>
      </c>
      <c r="AJ165" s="136">
        <v>40.26</v>
      </c>
      <c r="AK165" s="137">
        <v>0.29955785905781013</v>
      </c>
      <c r="AL165" s="138">
        <v>0.35070498557330376</v>
      </c>
      <c r="AM165" s="139">
        <v>-5.1147126515493635E-2</v>
      </c>
      <c r="AN165" s="139">
        <v>0.9306215061020191</v>
      </c>
    </row>
    <row r="166" spans="2:40">
      <c r="B166" s="16" t="s">
        <v>331</v>
      </c>
      <c r="C166" s="15" t="s">
        <v>332</v>
      </c>
      <c r="D166" s="133">
        <v>0.46491423449408098</v>
      </c>
      <c r="E166" s="4">
        <v>0.396531492248062</v>
      </c>
      <c r="F166" s="4">
        <v>0.53411264149401827</v>
      </c>
      <c r="G166" s="6">
        <v>0.55225520493503444</v>
      </c>
      <c r="H166" s="6">
        <v>0.3767575992992076</v>
      </c>
      <c r="I166" s="5">
        <v>0.17275000000000007</v>
      </c>
      <c r="J166" s="5">
        <v>0.57581395348837205</v>
      </c>
      <c r="K166" s="5">
        <v>0.43000000000000005</v>
      </c>
      <c r="L166" s="5">
        <v>0.37062499999999998</v>
      </c>
      <c r="M166" s="5">
        <v>0.17</v>
      </c>
      <c r="N166" s="5">
        <v>0.65999999999999992</v>
      </c>
      <c r="O166" s="5">
        <v>0.94450000000000001</v>
      </c>
      <c r="P166" s="5">
        <v>0.55679999999999996</v>
      </c>
      <c r="Q166" s="5">
        <v>0.97343946275003179</v>
      </c>
      <c r="R166" s="5">
        <v>2.8829453336222971E-2</v>
      </c>
      <c r="S166" s="5">
        <v>0.23110693287785516</v>
      </c>
      <c r="T166" s="5">
        <v>0.47000000000000003</v>
      </c>
      <c r="U166" s="5">
        <v>0.7833333333333331</v>
      </c>
      <c r="V166" s="5">
        <v>0.92159999999999997</v>
      </c>
      <c r="W166" s="5">
        <v>0.53033073170731693</v>
      </c>
      <c r="X166" s="5">
        <v>0.26511954992967651</v>
      </c>
      <c r="Y166" s="5">
        <v>3.1510926280448187E-2</v>
      </c>
      <c r="Z166" s="5">
        <v>0.78163668835943212</v>
      </c>
      <c r="AA166" s="5">
        <v>0</v>
      </c>
      <c r="AB166" s="5">
        <v>5.5283365736773201E-3</v>
      </c>
      <c r="AC166" s="5">
        <v>0.68599999999999994</v>
      </c>
      <c r="AD166" s="5">
        <v>0</v>
      </c>
      <c r="AE166" s="5">
        <v>7.575757575757576E-3</v>
      </c>
      <c r="AF166" s="5">
        <v>0.63700000762939502</v>
      </c>
      <c r="AG166" s="134">
        <v>2209.6949311824155</v>
      </c>
      <c r="AH166" s="135">
        <v>7.7006097447944226</v>
      </c>
      <c r="AI166">
        <v>0.53100000000000003</v>
      </c>
      <c r="AJ166" s="136" t="e">
        <v>#N/A</v>
      </c>
      <c r="AK166" s="137">
        <v>0.46491423449408059</v>
      </c>
      <c r="AL166" s="138">
        <v>0.40682554960448647</v>
      </c>
      <c r="AM166" s="139">
        <v>5.8088684889594122E-2</v>
      </c>
      <c r="AN166" s="139">
        <v>1.1408206717241871</v>
      </c>
    </row>
    <row r="167" spans="2:40">
      <c r="B167" s="16" t="s">
        <v>333</v>
      </c>
      <c r="C167" s="15" t="s">
        <v>334</v>
      </c>
      <c r="D167" s="133">
        <v>0.27881961750374301</v>
      </c>
      <c r="E167" s="4">
        <v>0.21901020795385548</v>
      </c>
      <c r="F167" s="4">
        <v>0.22871482755403538</v>
      </c>
      <c r="G167" s="6">
        <v>0.29043120963879493</v>
      </c>
      <c r="H167" s="6">
        <v>0.377122224868288</v>
      </c>
      <c r="I167" s="5">
        <v>0.73524999999999996</v>
      </c>
      <c r="J167" s="5">
        <v>5.4918032786885253E-3</v>
      </c>
      <c r="K167" s="5">
        <v>6.9999999999999951E-2</v>
      </c>
      <c r="L167" s="5">
        <v>0.31465277777777778</v>
      </c>
      <c r="M167" s="5">
        <v>2.8666666666666667E-2</v>
      </c>
      <c r="N167" s="5">
        <v>0.16000000000000003</v>
      </c>
      <c r="O167" s="5">
        <v>0.52233333333333332</v>
      </c>
      <c r="P167" s="5">
        <v>0.24739999999999984</v>
      </c>
      <c r="Q167" s="5">
        <v>0.15544217687074835</v>
      </c>
      <c r="R167" s="5">
        <v>0.14225345077918</v>
      </c>
      <c r="S167" s="5">
        <v>0.26486000434095069</v>
      </c>
      <c r="T167" s="5">
        <v>0.04</v>
      </c>
      <c r="U167" s="5">
        <v>0.31666666666666676</v>
      </c>
      <c r="V167" s="5">
        <v>0.85240000000000005</v>
      </c>
      <c r="W167" s="5">
        <v>0.31556634146341456</v>
      </c>
      <c r="X167" s="5">
        <v>0.16321243523316062</v>
      </c>
      <c r="Y167" s="5">
        <v>3.2667536540454199E-2</v>
      </c>
      <c r="Z167" s="5">
        <v>6.2074277929073475E-2</v>
      </c>
      <c r="AA167" s="5">
        <v>5.7000000000000002E-2</v>
      </c>
      <c r="AB167" s="5">
        <v>0.76156668254306115</v>
      </c>
      <c r="AC167" s="5">
        <v>0.21400000000000008</v>
      </c>
      <c r="AD167" s="5" t="e">
        <v>#N/A</v>
      </c>
      <c r="AE167" s="5">
        <v>0</v>
      </c>
      <c r="AF167" s="5">
        <v>0.73750000000000004</v>
      </c>
      <c r="AG167" s="134">
        <v>7458.996865444773</v>
      </c>
      <c r="AH167" s="135">
        <v>8.9171762157170775</v>
      </c>
      <c r="AI167">
        <v>0.76900000000000002</v>
      </c>
      <c r="AJ167" s="136">
        <v>52.81</v>
      </c>
      <c r="AK167" s="137">
        <v>0.27881961750374346</v>
      </c>
      <c r="AL167" s="138">
        <v>0.31813785387422489</v>
      </c>
      <c r="AM167" s="139">
        <v>-3.931823637048143E-2</v>
      </c>
      <c r="AN167" s="139">
        <v>0</v>
      </c>
    </row>
    <row r="168" spans="2:40">
      <c r="B168" s="16" t="s">
        <v>335</v>
      </c>
      <c r="C168" s="15" t="s">
        <v>336</v>
      </c>
      <c r="D168" s="133">
        <v>0.41297106668329597</v>
      </c>
      <c r="E168" s="4">
        <v>0.3321297066190359</v>
      </c>
      <c r="F168" s="4">
        <v>0.54592134954101568</v>
      </c>
      <c r="G168" s="6">
        <v>0.4420594375818121</v>
      </c>
      <c r="H168" s="6">
        <v>0.3317737729913191</v>
      </c>
      <c r="I168" s="5">
        <v>0.54491666666666672</v>
      </c>
      <c r="J168" s="5">
        <v>0.23104212860310422</v>
      </c>
      <c r="K168" s="5">
        <v>0.31000000000000005</v>
      </c>
      <c r="L168" s="5">
        <v>0.28881944444444452</v>
      </c>
      <c r="M168" s="5">
        <v>0.16800000000000001</v>
      </c>
      <c r="N168" s="5">
        <v>0.44999999999999996</v>
      </c>
      <c r="O168" s="5">
        <v>0.69216666666666671</v>
      </c>
      <c r="P168" s="5">
        <v>0.74779999999999991</v>
      </c>
      <c r="Q168" s="5">
        <v>0.85486891385767794</v>
      </c>
      <c r="R168" s="5">
        <v>5.0800836535590262E-2</v>
      </c>
      <c r="S168" s="5">
        <v>0.81989168018615932</v>
      </c>
      <c r="T168" s="5">
        <v>0.11000000000000001</v>
      </c>
      <c r="U168" s="5">
        <v>0.40833333333333333</v>
      </c>
      <c r="V168" s="5">
        <v>0.48960000000000004</v>
      </c>
      <c r="W168" s="5">
        <v>0.77357073170731694</v>
      </c>
      <c r="X168" s="5">
        <v>0.52747252747252749</v>
      </c>
      <c r="Y168" s="5">
        <v>0.12211082229503256</v>
      </c>
      <c r="Z168" s="5">
        <v>0.33126921068266224</v>
      </c>
      <c r="AA168" s="5">
        <v>0</v>
      </c>
      <c r="AB168" s="5">
        <v>0</v>
      </c>
      <c r="AC168" s="5">
        <v>0.70300000000000007</v>
      </c>
      <c r="AD168" s="5" t="e">
        <v>#N/A</v>
      </c>
      <c r="AE168" s="5">
        <v>8.7209302325581384E-2</v>
      </c>
      <c r="AF168" s="5">
        <v>0.70010000228900005</v>
      </c>
      <c r="AG168" s="134">
        <v>4998.4063494657421</v>
      </c>
      <c r="AH168" s="135">
        <v>8.5168744105041494</v>
      </c>
      <c r="AI168">
        <v>0.57199999999999995</v>
      </c>
      <c r="AJ168" s="136">
        <v>50.68</v>
      </c>
      <c r="AK168" s="137">
        <v>0.4129710666832957</v>
      </c>
      <c r="AL168" s="138">
        <v>0.34731985547424737</v>
      </c>
      <c r="AM168" s="139">
        <v>6.5651211209048321E-2</v>
      </c>
      <c r="AN168" s="139">
        <v>1.7823748668796593</v>
      </c>
    </row>
    <row r="169" spans="2:40">
      <c r="B169" s="16" t="s">
        <v>337</v>
      </c>
      <c r="C169" s="15" t="s">
        <v>338</v>
      </c>
      <c r="D169" s="133">
        <v>0.15321777631699701</v>
      </c>
      <c r="E169" s="4">
        <v>0.157713601532567</v>
      </c>
      <c r="F169" s="4">
        <v>0.13984846550032032</v>
      </c>
      <c r="G169" s="6">
        <v>3.1768441415457982E-2</v>
      </c>
      <c r="H169" s="6">
        <v>0.28354059681964117</v>
      </c>
      <c r="I169" s="5">
        <v>0.28458333333333341</v>
      </c>
      <c r="J169" s="5">
        <v>1.5448275862068966E-2</v>
      </c>
      <c r="K169" s="5">
        <v>0</v>
      </c>
      <c r="L169" s="5">
        <v>0.64624999999999955</v>
      </c>
      <c r="M169" s="5">
        <v>0</v>
      </c>
      <c r="N169" s="5">
        <v>0</v>
      </c>
      <c r="O169" s="5">
        <v>1.5499999999999995E-2</v>
      </c>
      <c r="P169" s="5">
        <v>0.15362835432733946</v>
      </c>
      <c r="Q169" s="5">
        <v>0.26312135059666675</v>
      </c>
      <c r="R169" s="5">
        <v>0.26316972255270604</v>
      </c>
      <c r="S169" s="5">
        <v>0.14367136552520965</v>
      </c>
      <c r="T169" s="5">
        <v>0</v>
      </c>
      <c r="U169" s="5">
        <v>6.6666666666666541E-2</v>
      </c>
      <c r="V169" s="5">
        <v>0</v>
      </c>
      <c r="W169" s="5">
        <v>7.2975609756097404E-2</v>
      </c>
      <c r="X169" s="5">
        <v>4.878048780487805E-2</v>
      </c>
      <c r="Y169" s="5">
        <v>0</v>
      </c>
      <c r="Z169" s="5">
        <v>2.1878842651059231E-3</v>
      </c>
      <c r="AA169" s="5">
        <v>1.6E-2</v>
      </c>
      <c r="AB169" s="5">
        <v>7.1766598898714187E-2</v>
      </c>
      <c r="AC169" s="5">
        <v>0</v>
      </c>
      <c r="AD169" s="5">
        <v>0.66053674715373401</v>
      </c>
      <c r="AE169" s="5">
        <v>0</v>
      </c>
      <c r="AF169" s="5">
        <v>0.76429999999999998</v>
      </c>
      <c r="AG169" s="134">
        <v>37377.102886468798</v>
      </c>
      <c r="AH169" s="135">
        <v>10.528813573631103</v>
      </c>
      <c r="AI169">
        <v>0.96299999999999997</v>
      </c>
      <c r="AJ169" s="136">
        <v>25</v>
      </c>
      <c r="AK169" s="137">
        <v>0.15321777631699662</v>
      </c>
      <c r="AL169" s="138">
        <v>0.20064949048229253</v>
      </c>
      <c r="AM169" s="139">
        <v>-4.7431714165295902E-2</v>
      </c>
      <c r="AN169" s="139">
        <v>2.1524866885691627E-6</v>
      </c>
    </row>
    <row r="170" spans="2:40">
      <c r="B170" s="16" t="s">
        <v>339</v>
      </c>
      <c r="C170" s="15" t="s">
        <v>340</v>
      </c>
      <c r="D170" s="133">
        <v>0.14870041058328401</v>
      </c>
      <c r="E170" s="4">
        <v>0.17215024662512982</v>
      </c>
      <c r="F170" s="4">
        <v>0.2062799584809123</v>
      </c>
      <c r="G170" s="6">
        <v>2.9170306655715281E-2</v>
      </c>
      <c r="H170" s="6">
        <v>0.18720113057137774</v>
      </c>
      <c r="I170" s="5">
        <v>0.4388333333333333</v>
      </c>
      <c r="J170" s="5">
        <v>4.885981308411215E-2</v>
      </c>
      <c r="K170" s="5">
        <v>0</v>
      </c>
      <c r="L170" s="5">
        <v>0.54520833333333363</v>
      </c>
      <c r="M170" s="5">
        <v>0</v>
      </c>
      <c r="N170" s="5">
        <v>0</v>
      </c>
      <c r="O170" s="5">
        <v>0.23600000000000002</v>
      </c>
      <c r="P170" s="5">
        <v>0.26508944333184997</v>
      </c>
      <c r="Q170" s="5">
        <v>0.122814107274</v>
      </c>
      <c r="R170" s="5">
        <v>7.7675386820854633E-2</v>
      </c>
      <c r="S170" s="5">
        <v>0.53610081345876914</v>
      </c>
      <c r="T170" s="5">
        <v>0</v>
      </c>
      <c r="U170" s="5">
        <v>6.6666666666666541E-2</v>
      </c>
      <c r="V170" s="5">
        <v>0</v>
      </c>
      <c r="W170" s="5">
        <v>5.9121951219512137E-2</v>
      </c>
      <c r="X170" s="5">
        <v>4.5945945945945948E-2</v>
      </c>
      <c r="Y170" s="5">
        <v>0</v>
      </c>
      <c r="Z170" s="5">
        <v>3.287276102167047E-3</v>
      </c>
      <c r="AA170" s="5">
        <v>0</v>
      </c>
      <c r="AB170" s="5">
        <v>0</v>
      </c>
      <c r="AC170" s="5">
        <v>0</v>
      </c>
      <c r="AD170" s="5">
        <v>0.77990644926722552</v>
      </c>
      <c r="AE170" s="5">
        <v>0.1125</v>
      </c>
      <c r="AF170" s="5">
        <v>0</v>
      </c>
      <c r="AG170" s="134">
        <v>45223.681025707279</v>
      </c>
      <c r="AH170" s="135">
        <v>10.71937614512194</v>
      </c>
      <c r="AI170">
        <v>0.96</v>
      </c>
      <c r="AJ170" s="136">
        <v>33.682000000000002</v>
      </c>
      <c r="AK170" s="137">
        <v>0.14870041058328379</v>
      </c>
      <c r="AL170" s="138">
        <v>0.18675747902061046</v>
      </c>
      <c r="AM170" s="139">
        <v>-3.8057068437326674E-2</v>
      </c>
      <c r="AN170" s="139">
        <v>4.1416128125878056E-4</v>
      </c>
    </row>
    <row r="171" spans="2:40">
      <c r="B171" s="16" t="s">
        <v>341</v>
      </c>
      <c r="C171" s="15" t="s">
        <v>342</v>
      </c>
      <c r="D171" s="133">
        <v>0.29663651528956098</v>
      </c>
      <c r="E171" s="4">
        <v>0.43056382275132282</v>
      </c>
      <c r="F171" s="4">
        <v>0.31404026793946166</v>
      </c>
      <c r="G171" s="6">
        <v>0.20111527745383026</v>
      </c>
      <c r="H171" s="6">
        <v>0.24082669301363113</v>
      </c>
      <c r="I171" s="5">
        <v>0.82941666666666669</v>
      </c>
      <c r="J171" s="5">
        <v>0.99761904761904763</v>
      </c>
      <c r="K171" s="5">
        <v>0.10999999999999999</v>
      </c>
      <c r="L171" s="5">
        <v>0.57034722222222234</v>
      </c>
      <c r="M171" s="5">
        <v>3.5999999999999997E-2</v>
      </c>
      <c r="N171" s="5">
        <v>4.0000000000000036E-2</v>
      </c>
      <c r="O171" s="5">
        <v>0.54108333333333336</v>
      </c>
      <c r="P171" s="5">
        <v>0.45440000000000053</v>
      </c>
      <c r="Q171" s="5">
        <v>0.4635862240192743</v>
      </c>
      <c r="R171" s="5">
        <v>6.8157589622160092E-2</v>
      </c>
      <c r="S171" s="5">
        <v>0.2670144606620018</v>
      </c>
      <c r="T171" s="5">
        <v>0.09</v>
      </c>
      <c r="U171" s="5">
        <v>7.5000000000000067E-2</v>
      </c>
      <c r="V171" s="5">
        <v>0.79120000000000001</v>
      </c>
      <c r="W171" s="5">
        <v>0.21167024390243849</v>
      </c>
      <c r="X171" s="5">
        <v>7.7777777777777779E-2</v>
      </c>
      <c r="Y171" s="5">
        <v>1.0152496465847167E-2</v>
      </c>
      <c r="Z171" s="5">
        <v>4.0891146576918037E-2</v>
      </c>
      <c r="AA171" s="5">
        <v>0</v>
      </c>
      <c r="AB171" s="5">
        <v>6.1777839027265611E-3</v>
      </c>
      <c r="AC171" s="5">
        <v>7.2999999999999954E-2</v>
      </c>
      <c r="AD171" s="5">
        <v>0</v>
      </c>
      <c r="AE171" s="5">
        <v>0</v>
      </c>
      <c r="AF171" s="5">
        <v>8.9700000000000002E-2</v>
      </c>
      <c r="AG171" s="134">
        <v>4729.9694793840836</v>
      </c>
      <c r="AH171" s="135">
        <v>8.4616740289036567</v>
      </c>
      <c r="AI171">
        <v>0.74199999999999999</v>
      </c>
      <c r="AJ171" s="136">
        <v>35.78</v>
      </c>
      <c r="AK171" s="137">
        <v>0.29663651528956148</v>
      </c>
      <c r="AL171" s="138">
        <v>0.35134396329292328</v>
      </c>
      <c r="AM171" s="139">
        <v>-5.4707448003361803E-2</v>
      </c>
      <c r="AN171" s="139">
        <v>4.5104960263085775E-2</v>
      </c>
    </row>
    <row r="172" spans="2:40">
      <c r="B172" s="16" t="s">
        <v>343</v>
      </c>
      <c r="C172" s="15" t="s">
        <v>344</v>
      </c>
      <c r="D172" s="133">
        <v>0.37746033474530999</v>
      </c>
      <c r="E172" s="4">
        <v>0.47402166481249708</v>
      </c>
      <c r="F172" s="4">
        <v>0.43796843769507771</v>
      </c>
      <c r="G172" s="6">
        <v>0.22653555985651244</v>
      </c>
      <c r="H172" s="6">
        <v>0.37131567661715453</v>
      </c>
      <c r="I172" s="5">
        <v>0.59516666666666662</v>
      </c>
      <c r="J172" s="5">
        <v>0.74843554443053817</v>
      </c>
      <c r="K172" s="5">
        <v>0.30000000000000004</v>
      </c>
      <c r="L172" s="5">
        <v>0.77319444444444452</v>
      </c>
      <c r="M172" s="5">
        <v>0.36733333333333335</v>
      </c>
      <c r="N172" s="5">
        <v>6.0000000000000053E-2</v>
      </c>
      <c r="O172" s="5">
        <v>0.2485</v>
      </c>
      <c r="P172" s="5">
        <v>0.73520000000000008</v>
      </c>
      <c r="Q172" s="5">
        <v>0.61473615217429933</v>
      </c>
      <c r="R172" s="5">
        <v>0.18788261314814483</v>
      </c>
      <c r="S172" s="5">
        <v>0.57649186084802195</v>
      </c>
      <c r="T172" s="5">
        <v>0.26500000000000001</v>
      </c>
      <c r="U172" s="5">
        <v>7.5000000000000067E-2</v>
      </c>
      <c r="V172" s="5">
        <v>0.51708799999999999</v>
      </c>
      <c r="W172" s="5">
        <v>0.35972731707317052</v>
      </c>
      <c r="X172" s="5">
        <v>0.23178137651821862</v>
      </c>
      <c r="Y172" s="5">
        <v>0.11695572995876534</v>
      </c>
      <c r="Z172" s="5">
        <v>5.8660935588919993E-2</v>
      </c>
      <c r="AA172" s="5">
        <v>0</v>
      </c>
      <c r="AB172" s="5">
        <v>0</v>
      </c>
      <c r="AC172" s="5">
        <v>0</v>
      </c>
      <c r="AD172" s="5">
        <v>0.98888106118696728</v>
      </c>
      <c r="AE172" s="5">
        <v>0.12860817376393255</v>
      </c>
      <c r="AF172" s="5">
        <v>0.17300003051757795</v>
      </c>
      <c r="AG172" s="134">
        <v>1972.0834588008452</v>
      </c>
      <c r="AH172" s="135">
        <v>7.5868458561741567</v>
      </c>
      <c r="AI172">
        <v>0.68799999999999994</v>
      </c>
      <c r="AJ172" s="136">
        <v>33.6</v>
      </c>
      <c r="AK172" s="137">
        <v>0.37746033474531043</v>
      </c>
      <c r="AL172" s="138">
        <v>0.41511893708490388</v>
      </c>
      <c r="AM172" s="139">
        <v>-3.765860233959345E-2</v>
      </c>
      <c r="AN172" s="139">
        <v>0.67228845148928762</v>
      </c>
    </row>
    <row r="173" spans="2:40">
      <c r="B173" s="16" t="s">
        <v>345</v>
      </c>
      <c r="C173" s="15" t="s">
        <v>346</v>
      </c>
      <c r="D173" s="133">
        <v>0.49588651406928103</v>
      </c>
      <c r="E173" s="4">
        <v>0.36725253626951976</v>
      </c>
      <c r="F173" s="4">
        <v>0.44045627267085724</v>
      </c>
      <c r="G173" s="6">
        <v>0.66708372747524114</v>
      </c>
      <c r="H173" s="6">
        <v>0.50875351986150408</v>
      </c>
      <c r="I173" s="5">
        <v>0.4441666666666666</v>
      </c>
      <c r="J173" s="5">
        <v>5.3848550950451858E-2</v>
      </c>
      <c r="K173" s="5">
        <v>0.45999999999999996</v>
      </c>
      <c r="L173" s="5">
        <v>0.27083333333333348</v>
      </c>
      <c r="M173" s="5">
        <v>0.21466666666666667</v>
      </c>
      <c r="N173" s="5">
        <v>0.76</v>
      </c>
      <c r="O173" s="5">
        <v>0.50224999999999997</v>
      </c>
      <c r="P173" s="5">
        <v>0.74039999999999995</v>
      </c>
      <c r="Q173" s="5">
        <v>0.95124788232600732</v>
      </c>
      <c r="R173" s="5">
        <v>0.11861570455426589</v>
      </c>
      <c r="S173" s="5">
        <v>0.14522404914487061</v>
      </c>
      <c r="T173" s="5">
        <v>0.185</v>
      </c>
      <c r="U173" s="5">
        <v>0.40833333333333333</v>
      </c>
      <c r="V173" s="5">
        <v>0.98048000000000002</v>
      </c>
      <c r="W173" s="5">
        <v>0.5741921951219513</v>
      </c>
      <c r="X173" s="5">
        <v>0.47480267152398298</v>
      </c>
      <c r="Y173" s="5">
        <v>0.56469416487217972</v>
      </c>
      <c r="Z173" s="5">
        <v>1</v>
      </c>
      <c r="AA173" s="5">
        <v>8.0000000000000002E-3</v>
      </c>
      <c r="AB173" s="5">
        <v>2.2521697348586108E-2</v>
      </c>
      <c r="AC173" s="5">
        <v>0.88500000000000001</v>
      </c>
      <c r="AD173" s="5">
        <v>0.63275422719373542</v>
      </c>
      <c r="AE173" s="5">
        <v>2.2013998645292392E-2</v>
      </c>
      <c r="AF173" s="5">
        <v>0.92620000000000002</v>
      </c>
      <c r="AG173" s="134">
        <v>1362.3753080524577</v>
      </c>
      <c r="AH173" s="135">
        <v>7.2169850053237417</v>
      </c>
      <c r="AI173">
        <v>0.53</v>
      </c>
      <c r="AJ173" s="136">
        <v>37.580000000000005</v>
      </c>
      <c r="AK173" s="137">
        <v>0.49588651406928053</v>
      </c>
      <c r="AL173" s="138">
        <v>0.4420817931118991</v>
      </c>
      <c r="AM173" s="139">
        <v>5.3804720957381424E-2</v>
      </c>
      <c r="AN173" s="139">
        <v>0.43709520567927651</v>
      </c>
    </row>
    <row r="174" spans="2:40">
      <c r="B174" s="16" t="s">
        <v>347</v>
      </c>
      <c r="C174" s="15" t="s">
        <v>348</v>
      </c>
      <c r="D174" s="133">
        <v>0.25909239398281297</v>
      </c>
      <c r="E174" s="4">
        <v>0.16585401466788266</v>
      </c>
      <c r="F174" s="4">
        <v>0.3104652145709797</v>
      </c>
      <c r="G174" s="6">
        <v>0.24177144307769918</v>
      </c>
      <c r="H174" s="6">
        <v>0.32134920267987349</v>
      </c>
      <c r="I174" s="5">
        <v>0.53283333333333327</v>
      </c>
      <c r="J174" s="5">
        <v>0.1306657546739626</v>
      </c>
      <c r="K174" s="5">
        <v>2.0000000000000018E-2</v>
      </c>
      <c r="L174" s="5">
        <v>0.23229166666666667</v>
      </c>
      <c r="M174" s="5">
        <v>3.9333333333333331E-2</v>
      </c>
      <c r="N174" s="5">
        <v>4.0000000000000036E-2</v>
      </c>
      <c r="O174" s="5">
        <v>0.5299166666666667</v>
      </c>
      <c r="P174" s="5">
        <v>0.66339999999999999</v>
      </c>
      <c r="Q174" s="5">
        <v>0.28186491228066668</v>
      </c>
      <c r="R174" s="5">
        <v>0.25143382731559194</v>
      </c>
      <c r="S174" s="5">
        <v>0.11617588116295305</v>
      </c>
      <c r="T174" s="5">
        <v>0.02</v>
      </c>
      <c r="U174" s="5">
        <v>7.5000000000000067E-2</v>
      </c>
      <c r="V174" s="5">
        <v>0.86648000000000003</v>
      </c>
      <c r="W174" s="5">
        <v>0.31892048780487781</v>
      </c>
      <c r="X174" s="5">
        <v>0.16381156316916487</v>
      </c>
      <c r="Y174" s="5">
        <v>5.3641322887488987E-3</v>
      </c>
      <c r="Z174" s="5">
        <v>2.1052475203403313E-2</v>
      </c>
      <c r="AA174" s="5">
        <v>3.7999999999999999E-2</v>
      </c>
      <c r="AB174" s="5">
        <v>0.26319040322522941</v>
      </c>
      <c r="AC174" s="5">
        <v>7.0000000000000062E-3</v>
      </c>
      <c r="AD174" s="5">
        <v>0.43289411203158168</v>
      </c>
      <c r="AE174" s="5">
        <v>8.8081583119653931E-2</v>
      </c>
      <c r="AF174" s="5">
        <v>1.5000000000000013E-2</v>
      </c>
      <c r="AG174" s="134">
        <v>7995.0835184954149</v>
      </c>
      <c r="AH174" s="135">
        <v>8.9865820715543823</v>
      </c>
      <c r="AI174">
        <v>0.78300000000000003</v>
      </c>
      <c r="AJ174" s="136">
        <v>53.569999999999993</v>
      </c>
      <c r="AK174" s="137">
        <v>0.25985996874910877</v>
      </c>
      <c r="AL174" s="138">
        <v>0.3130781669836854</v>
      </c>
      <c r="AM174" s="139">
        <v>-5.321819823457663E-2</v>
      </c>
      <c r="AN174" s="139">
        <v>0.67238623158331612</v>
      </c>
    </row>
    <row r="175" spans="2:40">
      <c r="B175" s="16" t="s">
        <v>349</v>
      </c>
      <c r="C175" s="15" t="s">
        <v>350</v>
      </c>
      <c r="D175" s="133" t="e">
        <v>#N/A</v>
      </c>
      <c r="E175" s="4" t="e">
        <v>#DIV/0!</v>
      </c>
      <c r="F175" s="4" t="e">
        <v>#N/A</v>
      </c>
      <c r="G175" s="6" t="e">
        <v>#N/A</v>
      </c>
      <c r="H175" s="6" t="e">
        <v>#N/A</v>
      </c>
      <c r="I175" s="5">
        <v>0.49833333333333329</v>
      </c>
      <c r="J175" s="5" t="e">
        <v>#DIV/0!</v>
      </c>
      <c r="K175" s="5" t="e">
        <v>#N/A</v>
      </c>
      <c r="L175" s="5">
        <v>0.16749999999999998</v>
      </c>
      <c r="M175" s="5">
        <v>9.9333333333333329E-2</v>
      </c>
      <c r="N175" s="5" t="e">
        <v>#N/A</v>
      </c>
      <c r="O175" s="5" t="e">
        <v>#N/A</v>
      </c>
      <c r="P175" s="5" t="e">
        <v>#N/A</v>
      </c>
      <c r="Q175" s="5">
        <v>1</v>
      </c>
      <c r="R175" s="5">
        <v>2.32180548932726E-2</v>
      </c>
      <c r="S175" s="5">
        <v>0.33292217986095535</v>
      </c>
      <c r="T175" s="5">
        <v>0.73</v>
      </c>
      <c r="U175" s="5">
        <v>0.44999999999999984</v>
      </c>
      <c r="V175" s="5" t="e">
        <v>#N/A</v>
      </c>
      <c r="W175" s="5" t="e">
        <v>#N/A</v>
      </c>
      <c r="X175" s="5">
        <v>0.42085308056872039</v>
      </c>
      <c r="Y175" s="5" t="e">
        <v>#N/A</v>
      </c>
      <c r="Z175" s="5" t="e">
        <v>#N/A</v>
      </c>
      <c r="AA175" s="5" t="e">
        <v>#N/A</v>
      </c>
      <c r="AB175" s="5">
        <v>3.4949750731594682E-2</v>
      </c>
      <c r="AC175" s="5">
        <v>0.78</v>
      </c>
      <c r="AD175" s="5" t="e">
        <v>#N/A</v>
      </c>
      <c r="AE175" s="5" t="e">
        <v>#N/A</v>
      </c>
      <c r="AF175" s="5" t="e">
        <v>#N/A</v>
      </c>
      <c r="AG175" s="134">
        <v>805</v>
      </c>
      <c r="AH175" s="135">
        <v>6.6908422774185636</v>
      </c>
      <c r="AI175">
        <v>0.48899999999999999</v>
      </c>
      <c r="AJ175" s="136">
        <v>38</v>
      </c>
      <c r="AK175" s="137" t="e">
        <v>#N/A</v>
      </c>
      <c r="AL175" s="138">
        <v>0.48043759797618663</v>
      </c>
      <c r="AM175" s="139" t="e">
        <v>#N/A</v>
      </c>
      <c r="AN175" s="139">
        <v>4.2357142857142862E-3</v>
      </c>
    </row>
    <row r="176" spans="2:40">
      <c r="B176" s="16" t="s">
        <v>351</v>
      </c>
      <c r="C176" s="15" t="s">
        <v>352</v>
      </c>
      <c r="D176" s="133">
        <v>0.471617093338424</v>
      </c>
      <c r="E176" s="4">
        <v>0.34494156273620558</v>
      </c>
      <c r="F176" s="4">
        <v>0.55214253446963169</v>
      </c>
      <c r="G176" s="6">
        <v>0.43760287075916232</v>
      </c>
      <c r="H176" s="6">
        <v>0.55178140538869613</v>
      </c>
      <c r="I176" s="5">
        <v>0.19750000000000001</v>
      </c>
      <c r="J176" s="5">
        <v>1.1496598639455784E-2</v>
      </c>
      <c r="K176" s="5">
        <v>0.4</v>
      </c>
      <c r="L176" s="5">
        <v>0.30131944444444447</v>
      </c>
      <c r="M176" s="5">
        <v>0.27933333333333332</v>
      </c>
      <c r="N176" s="5">
        <v>0.88</v>
      </c>
      <c r="O176" s="5">
        <v>0.62008333333333332</v>
      </c>
      <c r="P176" s="5">
        <v>0.57299999999999995</v>
      </c>
      <c r="Q176" s="5">
        <v>0.99103184281849599</v>
      </c>
      <c r="R176" s="5">
        <v>0.8</v>
      </c>
      <c r="S176" s="5">
        <v>0.16874003066596116</v>
      </c>
      <c r="T176" s="5">
        <v>0.16</v>
      </c>
      <c r="U176" s="5">
        <v>0.20833333333333315</v>
      </c>
      <c r="V176" s="5">
        <v>0.97628000000000004</v>
      </c>
      <c r="W176" s="5">
        <v>0.44257658536585365</v>
      </c>
      <c r="X176" s="5">
        <v>0.4490806223479491</v>
      </c>
      <c r="Y176" s="5">
        <v>0.1741107740790746</v>
      </c>
      <c r="Z176" s="5">
        <v>0.37523590942876361</v>
      </c>
      <c r="AA176" s="5">
        <v>0</v>
      </c>
      <c r="AB176" s="5">
        <v>0.11909779706789045</v>
      </c>
      <c r="AC176" s="5">
        <v>0.8</v>
      </c>
      <c r="AD176" s="5">
        <v>0.7829779000091992</v>
      </c>
      <c r="AE176" s="5">
        <v>0.11031439602868176</v>
      </c>
      <c r="AF176" s="5">
        <v>0.79</v>
      </c>
      <c r="AG176" s="134">
        <v>850.33452874036493</v>
      </c>
      <c r="AH176" s="135">
        <v>6.7456298352826289</v>
      </c>
      <c r="AI176">
        <v>0.499</v>
      </c>
      <c r="AJ176" s="136">
        <v>34.409999999999997</v>
      </c>
      <c r="AK176" s="137">
        <v>0.47161709333842394</v>
      </c>
      <c r="AL176" s="138">
        <v>0.47644358500789624</v>
      </c>
      <c r="AM176" s="139">
        <v>-4.8264916694722992E-3</v>
      </c>
      <c r="AN176" s="139">
        <v>0.17624838459550271</v>
      </c>
    </row>
    <row r="177" spans="2:40">
      <c r="B177" s="16" t="s">
        <v>353</v>
      </c>
      <c r="C177" s="15" t="s">
        <v>354</v>
      </c>
      <c r="D177" s="133" t="e">
        <v>#N/A</v>
      </c>
      <c r="E177" s="4" t="e">
        <v>#DIV/0!</v>
      </c>
      <c r="F177" s="4" t="e">
        <v>#N/A</v>
      </c>
      <c r="G177" s="6">
        <v>0.4200934493601558</v>
      </c>
      <c r="H177" s="6" t="e">
        <v>#N/A</v>
      </c>
      <c r="I177" s="5">
        <v>0.45816666666666672</v>
      </c>
      <c r="J177" s="5" t="e">
        <v>#DIV/0!</v>
      </c>
      <c r="K177" s="5">
        <v>0</v>
      </c>
      <c r="L177" s="5">
        <v>4.5833333333333337E-2</v>
      </c>
      <c r="M177" s="5">
        <v>3.6666666666666667E-2</v>
      </c>
      <c r="N177" s="5">
        <v>4.0000000000000036E-2</v>
      </c>
      <c r="O177" s="5">
        <v>0.44466666666666665</v>
      </c>
      <c r="P177" s="5">
        <v>0.74960000000000004</v>
      </c>
      <c r="Q177" s="5">
        <v>0.61766666666666659</v>
      </c>
      <c r="R177" s="5">
        <v>7.9597220958275691E-2</v>
      </c>
      <c r="S177" s="5" t="e">
        <v>#N/A</v>
      </c>
      <c r="T177" s="5" t="e">
        <v>#N/A</v>
      </c>
      <c r="U177" s="5">
        <v>0.76666666666666661</v>
      </c>
      <c r="V177" s="5">
        <v>0.75395199999999996</v>
      </c>
      <c r="W177" s="5">
        <v>0.25972243902439029</v>
      </c>
      <c r="X177" s="5">
        <v>0.19839449541284404</v>
      </c>
      <c r="Y177" s="5">
        <v>4.1825095057034224E-2</v>
      </c>
      <c r="Z177" s="5">
        <v>0.5</v>
      </c>
      <c r="AA177" s="5">
        <v>0.82299999999999995</v>
      </c>
      <c r="AB177" s="5">
        <v>0.42953491524639253</v>
      </c>
      <c r="AC177" s="5">
        <v>7.7000000000000068E-2</v>
      </c>
      <c r="AD177" s="5">
        <v>0</v>
      </c>
      <c r="AE177" s="5">
        <v>0</v>
      </c>
      <c r="AF177" s="5">
        <v>0.73</v>
      </c>
      <c r="AG177" s="134">
        <v>4465.5779583479698</v>
      </c>
      <c r="AH177" s="135">
        <v>8.4041539268929437</v>
      </c>
      <c r="AI177">
        <v>0.76800000000000002</v>
      </c>
      <c r="AJ177" s="136" t="e">
        <v>#N/A</v>
      </c>
      <c r="AK177" s="137" t="e">
        <v>#N/A</v>
      </c>
      <c r="AL177" s="138">
        <v>0.3555371787295043</v>
      </c>
      <c r="AM177" s="139" t="e">
        <v>#N/A</v>
      </c>
      <c r="AN177" s="139">
        <v>1.7443232323232325</v>
      </c>
    </row>
    <row r="178" spans="2:40">
      <c r="B178" s="16" t="s">
        <v>355</v>
      </c>
      <c r="C178" s="15" t="s">
        <v>356</v>
      </c>
      <c r="D178" s="133">
        <v>0.28897496489803198</v>
      </c>
      <c r="E178" s="4">
        <v>0.18411921296296296</v>
      </c>
      <c r="F178" s="4">
        <v>0.4334972222222222</v>
      </c>
      <c r="G178" s="6">
        <v>0.24033631293730637</v>
      </c>
      <c r="H178" s="6">
        <v>0.29794711146963493</v>
      </c>
      <c r="I178" s="5">
        <v>0.70308333333333328</v>
      </c>
      <c r="J178" s="5">
        <v>6.0312500000000012E-2</v>
      </c>
      <c r="K178" s="5">
        <v>6.0000000000000053E-2</v>
      </c>
      <c r="L178" s="5">
        <v>0.19798611111111097</v>
      </c>
      <c r="M178" s="5">
        <v>3.3333333333333335E-3</v>
      </c>
      <c r="N178" s="5">
        <v>7.999999999999996E-2</v>
      </c>
      <c r="O178" s="5">
        <v>0.71158333333333335</v>
      </c>
      <c r="P178" s="5">
        <v>0.86440000000000017</v>
      </c>
      <c r="Q178" s="5">
        <v>0</v>
      </c>
      <c r="R178" s="5">
        <v>0</v>
      </c>
      <c r="S178" s="5">
        <v>1</v>
      </c>
      <c r="T178" s="5">
        <v>2.5000000000000001E-2</v>
      </c>
      <c r="U178" s="5">
        <v>0.31666666666666676</v>
      </c>
      <c r="V178" s="5">
        <v>0.66820000000000002</v>
      </c>
      <c r="W178" s="5">
        <v>0.30859658536585355</v>
      </c>
      <c r="X178" s="5">
        <v>0.12264150943396226</v>
      </c>
      <c r="Y178" s="5">
        <v>2.3198225751273551E-3</v>
      </c>
      <c r="Z178" s="5">
        <v>2.3593293582228281E-2</v>
      </c>
      <c r="AA178" s="5">
        <v>8.199999999999999E-2</v>
      </c>
      <c r="AB178" s="5">
        <v>0.12578938824183963</v>
      </c>
      <c r="AC178" s="5">
        <v>1.0000000000000009E-2</v>
      </c>
      <c r="AD178" s="5">
        <v>0</v>
      </c>
      <c r="AE178" s="5">
        <v>0.58479532163742687</v>
      </c>
      <c r="AF178" s="5">
        <v>0.489000015258789</v>
      </c>
      <c r="AG178" s="134">
        <v>25571.659221747272</v>
      </c>
      <c r="AH178" s="135">
        <v>10.149239955571765</v>
      </c>
      <c r="AI178">
        <v>0.83699999999999997</v>
      </c>
      <c r="AJ178" s="136">
        <v>40.270000000000003</v>
      </c>
      <c r="AK178" s="137">
        <v>0.28897496489803165</v>
      </c>
      <c r="AL178" s="138">
        <v>0.22832040723881819</v>
      </c>
      <c r="AM178" s="139">
        <v>6.0654557659213459E-2</v>
      </c>
      <c r="AN178" s="139">
        <v>1.4036478984932592E-3</v>
      </c>
    </row>
    <row r="179" spans="2:40">
      <c r="B179" s="16" t="s">
        <v>357</v>
      </c>
      <c r="C179" s="15" t="s">
        <v>358</v>
      </c>
      <c r="D179" s="133">
        <v>0.310206676711412</v>
      </c>
      <c r="E179" s="4">
        <v>0.36397577882561566</v>
      </c>
      <c r="F179" s="4">
        <v>0.42835126045158939</v>
      </c>
      <c r="G179" s="6">
        <v>0.20467909193505476</v>
      </c>
      <c r="H179" s="6">
        <v>0.24382057563338777</v>
      </c>
      <c r="I179" s="5">
        <v>0.84641666666666671</v>
      </c>
      <c r="J179" s="5">
        <v>0.6174102285092492</v>
      </c>
      <c r="K179" s="5">
        <v>6.0000000000000053E-2</v>
      </c>
      <c r="L179" s="5">
        <v>0.46736111111111112</v>
      </c>
      <c r="M179" s="5">
        <v>4.2666666666666665E-2</v>
      </c>
      <c r="N179" s="5">
        <v>0.15000000000000002</v>
      </c>
      <c r="O179" s="5">
        <v>0.66583333333333339</v>
      </c>
      <c r="P179" s="5">
        <v>0.33100000000000002</v>
      </c>
      <c r="Q179" s="5">
        <v>0.70870194003519782</v>
      </c>
      <c r="R179" s="5">
        <v>0.14139798045790034</v>
      </c>
      <c r="S179" s="5">
        <v>0.71317430888310507</v>
      </c>
      <c r="T179" s="5">
        <v>0.01</v>
      </c>
      <c r="U179" s="5">
        <v>7.5000000000000067E-2</v>
      </c>
      <c r="V179" s="5">
        <v>0.69</v>
      </c>
      <c r="W179" s="5">
        <v>0.21097560975609753</v>
      </c>
      <c r="X179" s="5">
        <v>0.21102362204724409</v>
      </c>
      <c r="Y179" s="5">
        <v>1.2018888115977249E-2</v>
      </c>
      <c r="Z179" s="5">
        <v>2.9056431691009851E-2</v>
      </c>
      <c r="AA179" s="5">
        <v>2.5000000000000001E-2</v>
      </c>
      <c r="AB179" s="5">
        <v>0.14766453097619425</v>
      </c>
      <c r="AC179" s="5">
        <v>5.0000000000000044E-3</v>
      </c>
      <c r="AD179" s="5">
        <v>0.18116130443378364</v>
      </c>
      <c r="AE179" s="5">
        <v>1.9309989701338827E-2</v>
      </c>
      <c r="AF179" s="5">
        <v>0.24819999999999998</v>
      </c>
      <c r="AG179" s="134">
        <v>8272.5020085580218</v>
      </c>
      <c r="AH179" s="135">
        <v>9.0206922825951352</v>
      </c>
      <c r="AI179">
        <v>0.76900000000000002</v>
      </c>
      <c r="AJ179" s="136">
        <v>40.81</v>
      </c>
      <c r="AK179" s="137">
        <v>0.31020667671141189</v>
      </c>
      <c r="AL179" s="138">
        <v>0.31059153259881456</v>
      </c>
      <c r="AM179" s="139">
        <v>-3.8485588740266863E-4</v>
      </c>
      <c r="AN179" s="139">
        <v>2.3631731843575417E-2</v>
      </c>
    </row>
    <row r="180" spans="2:40">
      <c r="B180" s="16" t="s">
        <v>359</v>
      </c>
      <c r="C180" s="15" t="s">
        <v>360</v>
      </c>
      <c r="D180" s="133">
        <v>0.262570754721898</v>
      </c>
      <c r="E180" s="4">
        <v>0.29617894298793174</v>
      </c>
      <c r="F180" s="4">
        <v>0.22869493508896446</v>
      </c>
      <c r="G180" s="6">
        <v>0.20151406704013289</v>
      </c>
      <c r="H180" s="6">
        <v>0.32389507377056348</v>
      </c>
      <c r="I180" s="5">
        <v>0.85558333333333336</v>
      </c>
      <c r="J180" s="5">
        <v>0.19662921348314608</v>
      </c>
      <c r="K180" s="5">
        <v>1.0000000000000009E-2</v>
      </c>
      <c r="L180" s="5">
        <v>0.55819444444444444</v>
      </c>
      <c r="M180" s="5">
        <v>5.6666666666666664E-2</v>
      </c>
      <c r="N180" s="5">
        <v>9.9999999999999978E-2</v>
      </c>
      <c r="O180" s="5">
        <v>0.39133333333333337</v>
      </c>
      <c r="P180" s="5">
        <v>0.30859999999999999</v>
      </c>
      <c r="Q180" s="5">
        <v>0.35213183329466669</v>
      </c>
      <c r="R180" s="5">
        <v>0.1943170395094766</v>
      </c>
      <c r="S180" s="5">
        <v>0.11078740439631007</v>
      </c>
      <c r="T180" s="5">
        <v>1.4999999999999999E-2</v>
      </c>
      <c r="U180" s="5">
        <v>7.5000000000000067E-2</v>
      </c>
      <c r="V180" s="5">
        <v>0.78320000000000001</v>
      </c>
      <c r="W180" s="5">
        <v>0.25893853658536581</v>
      </c>
      <c r="X180" s="5">
        <v>7.8635014836795247E-2</v>
      </c>
      <c r="Y180" s="5">
        <v>0</v>
      </c>
      <c r="Z180" s="5">
        <v>1.3310850818636234E-2</v>
      </c>
      <c r="AA180" s="5">
        <v>6.0000000000000001E-3</v>
      </c>
      <c r="AB180" s="5">
        <v>3.6734833849850247E-2</v>
      </c>
      <c r="AC180" s="5">
        <v>0</v>
      </c>
      <c r="AD180" s="5">
        <v>0.75364089375453636</v>
      </c>
      <c r="AE180" s="5">
        <v>2.5336850174759298E-2</v>
      </c>
      <c r="AF180" s="5">
        <v>0.65999999999999992</v>
      </c>
      <c r="AG180" s="134">
        <v>13667.879548372061</v>
      </c>
      <c r="AH180" s="135">
        <v>9.5228038005223716</v>
      </c>
      <c r="AI180">
        <v>0.80600000000000005</v>
      </c>
      <c r="AJ180" s="136">
        <v>39.739999999999995</v>
      </c>
      <c r="AK180" s="137">
        <v>0.26257075472189817</v>
      </c>
      <c r="AL180" s="138">
        <v>0.27398760294191904</v>
      </c>
      <c r="AM180" s="139">
        <v>-1.141684822002087E-2</v>
      </c>
      <c r="AN180" s="139">
        <v>2.6851387347391786E-2</v>
      </c>
    </row>
    <row r="181" spans="2:40">
      <c r="B181" s="16" t="s">
        <v>361</v>
      </c>
      <c r="C181" s="15" t="s">
        <v>362</v>
      </c>
      <c r="D181" s="133">
        <v>0.28952932153047201</v>
      </c>
      <c r="E181" s="4">
        <v>0.45794444444444443</v>
      </c>
      <c r="F181" s="4">
        <v>0.24299463917650868</v>
      </c>
      <c r="G181" s="6">
        <v>0.200555310487604</v>
      </c>
      <c r="H181" s="6">
        <v>0.25662289201333244</v>
      </c>
      <c r="I181" s="5">
        <v>0.62250000000000005</v>
      </c>
      <c r="J181" s="5">
        <v>1</v>
      </c>
      <c r="K181" s="5">
        <v>0.17000000000000004</v>
      </c>
      <c r="L181" s="5">
        <v>0.63583333333333325</v>
      </c>
      <c r="M181" s="5">
        <v>0.29933333333333334</v>
      </c>
      <c r="N181" s="5">
        <v>2.0000000000000018E-2</v>
      </c>
      <c r="O181" s="5">
        <v>0.2485</v>
      </c>
      <c r="P181" s="5">
        <v>0.50939999999999996</v>
      </c>
      <c r="Q181" s="5">
        <v>0.5</v>
      </c>
      <c r="R181" s="5">
        <v>5.8051397948473762E-2</v>
      </c>
      <c r="S181" s="5">
        <v>6.2016437110578179E-2</v>
      </c>
      <c r="T181" s="5">
        <v>0.08</v>
      </c>
      <c r="U181" s="5">
        <v>7.5000000000000067E-2</v>
      </c>
      <c r="V181" s="5">
        <v>0.54087999999999992</v>
      </c>
      <c r="W181" s="5">
        <v>0.39902097560975625</v>
      </c>
      <c r="X181" s="5">
        <v>0.1321656050955414</v>
      </c>
      <c r="Y181" s="5">
        <v>6.2367676465392777E-3</v>
      </c>
      <c r="Z181" s="5">
        <v>5.0028514573787188E-2</v>
      </c>
      <c r="AA181" s="5">
        <v>8.199999999999999E-2</v>
      </c>
      <c r="AB181" s="5">
        <v>0</v>
      </c>
      <c r="AC181" s="5">
        <v>0</v>
      </c>
      <c r="AD181" s="5">
        <v>0</v>
      </c>
      <c r="AE181" s="5">
        <v>3.1919647607090416E-3</v>
      </c>
      <c r="AF181" s="5">
        <v>0.18800003051757797</v>
      </c>
      <c r="AG181" s="134">
        <v>7241.9966150519058</v>
      </c>
      <c r="AH181" s="135">
        <v>8.8876522229203267</v>
      </c>
      <c r="AI181">
        <v>0.73899999999999999</v>
      </c>
      <c r="AJ181" s="136">
        <v>40.770000000000003</v>
      </c>
      <c r="AK181" s="137">
        <v>0.28952932153047239</v>
      </c>
      <c r="AL181" s="138">
        <v>0.32029015294910812</v>
      </c>
      <c r="AM181" s="139">
        <v>-3.0760831418635726E-2</v>
      </c>
      <c r="AN181" s="139">
        <v>9.9762470308788589E-5</v>
      </c>
    </row>
    <row r="182" spans="2:40">
      <c r="B182" s="16" t="s">
        <v>363</v>
      </c>
      <c r="C182" s="15" t="s">
        <v>364</v>
      </c>
      <c r="D182" s="133" t="e">
        <v>#N/A</v>
      </c>
      <c r="E182" s="4" t="e">
        <v>#DIV/0!</v>
      </c>
      <c r="F182" s="4" t="e">
        <v>#N/A</v>
      </c>
      <c r="G182" s="6" t="e">
        <v>#N/A</v>
      </c>
      <c r="H182" s="6" t="e">
        <v>#N/A</v>
      </c>
      <c r="I182" s="5">
        <v>0.3464166666666666</v>
      </c>
      <c r="J182" s="5" t="e">
        <v>#DIV/0!</v>
      </c>
      <c r="K182" s="5">
        <v>3.0000000000000027E-2</v>
      </c>
      <c r="L182" s="5">
        <v>8.347222222222217E-2</v>
      </c>
      <c r="M182" s="5">
        <v>9.8666666666666666E-2</v>
      </c>
      <c r="N182" s="5">
        <v>0.16000000000000003</v>
      </c>
      <c r="O182" s="5">
        <v>0.44466666666666665</v>
      </c>
      <c r="P182" s="5">
        <v>0.51900000000000002</v>
      </c>
      <c r="Q182" s="5">
        <v>1</v>
      </c>
      <c r="R182" s="5">
        <v>0.2086737060570483</v>
      </c>
      <c r="S182" s="5" t="e">
        <v>#N/A</v>
      </c>
      <c r="T182" s="5" t="e">
        <v>#N/A</v>
      </c>
      <c r="U182" s="5">
        <v>0.76666666666666661</v>
      </c>
      <c r="V182" s="5">
        <v>0.50896000000000008</v>
      </c>
      <c r="W182" s="5" t="e">
        <v>#N/A</v>
      </c>
      <c r="X182" s="5">
        <v>0.19910179640718562</v>
      </c>
      <c r="Y182" s="5">
        <v>0.15989159891598917</v>
      </c>
      <c r="Z182" s="5" t="e">
        <v>#N/A</v>
      </c>
      <c r="AA182" s="5">
        <v>1</v>
      </c>
      <c r="AB182" s="5">
        <v>0.99495920975555086</v>
      </c>
      <c r="AC182" s="5">
        <v>2.0000000000000018E-2</v>
      </c>
      <c r="AD182" s="5">
        <v>0</v>
      </c>
      <c r="AE182" s="5" t="e">
        <v>#N/A</v>
      </c>
      <c r="AF182" s="5" t="e">
        <v>#N/A</v>
      </c>
      <c r="AG182" s="134">
        <v>1600</v>
      </c>
      <c r="AH182" s="135">
        <v>7.3777589082278725</v>
      </c>
      <c r="AI182" t="s">
        <v>545</v>
      </c>
      <c r="AJ182" s="136" t="e">
        <v>#N/A</v>
      </c>
      <c r="AK182" s="137" t="e">
        <v>#N/A</v>
      </c>
      <c r="AL182" s="138">
        <v>0.43036137559018794</v>
      </c>
      <c r="AM182" s="139" t="e">
        <v>#N/A</v>
      </c>
      <c r="AN182" s="139" t="e">
        <v>#N/A</v>
      </c>
    </row>
    <row r="183" spans="2:40">
      <c r="B183" s="16" t="s">
        <v>365</v>
      </c>
      <c r="C183" s="15" t="s">
        <v>366</v>
      </c>
      <c r="D183" s="133">
        <v>0.42130411630452702</v>
      </c>
      <c r="E183" s="4">
        <v>0.28757306397306398</v>
      </c>
      <c r="F183" s="4">
        <v>0.46533264217207476</v>
      </c>
      <c r="G183" s="6">
        <v>0.54645078951436987</v>
      </c>
      <c r="H183" s="6">
        <v>0.38585996955859969</v>
      </c>
      <c r="I183" s="5">
        <v>0.30758333333333332</v>
      </c>
      <c r="J183" s="5">
        <v>4.9939393939393943E-3</v>
      </c>
      <c r="K183" s="5">
        <v>0.32999999999999996</v>
      </c>
      <c r="L183" s="5">
        <v>0.2781944444444443</v>
      </c>
      <c r="M183" s="5">
        <v>0.28466666666666668</v>
      </c>
      <c r="N183" s="5">
        <v>0.52</v>
      </c>
      <c r="O183" s="5">
        <v>0.39958333333333335</v>
      </c>
      <c r="P183" s="5">
        <v>0.86860000000000004</v>
      </c>
      <c r="Q183" s="5">
        <v>0.98580181302641956</v>
      </c>
      <c r="R183" s="5">
        <v>0.12</v>
      </c>
      <c r="S183" s="5">
        <v>0.18801070667269557</v>
      </c>
      <c r="T183" s="5">
        <v>0.22999999999999998</v>
      </c>
      <c r="U183" s="5">
        <v>0.40833333333333333</v>
      </c>
      <c r="V183" s="5">
        <v>0.89051999999999998</v>
      </c>
      <c r="W183" s="5">
        <v>0.63187707317073161</v>
      </c>
      <c r="X183" s="5">
        <v>0.43153969099627065</v>
      </c>
      <c r="Y183" s="5">
        <v>0.20898043738614702</v>
      </c>
      <c r="Z183" s="5">
        <v>0.70745420219973676</v>
      </c>
      <c r="AA183" s="5">
        <v>0</v>
      </c>
      <c r="AB183" s="5">
        <v>0</v>
      </c>
      <c r="AC183" s="5">
        <v>0.91</v>
      </c>
      <c r="AD183" s="5" t="e">
        <v>#N/A</v>
      </c>
      <c r="AE183" s="5">
        <v>6.8493150684931503E-2</v>
      </c>
      <c r="AF183" s="5">
        <v>0.77</v>
      </c>
      <c r="AG183" s="134">
        <v>1217.175336454987</v>
      </c>
      <c r="AH183" s="135">
        <v>7.1042881552928705</v>
      </c>
      <c r="AI183">
        <v>0.51400000000000001</v>
      </c>
      <c r="AJ183" s="136">
        <v>44.3</v>
      </c>
      <c r="AK183" s="137">
        <v>0.42130411630452702</v>
      </c>
      <c r="AL183" s="138">
        <v>0.45029739347914965</v>
      </c>
      <c r="AM183" s="139">
        <v>-2.8993277174622634E-2</v>
      </c>
      <c r="AN183" s="139">
        <v>0.19058582420834566</v>
      </c>
    </row>
    <row r="184" spans="2:40">
      <c r="B184" s="16" t="s">
        <v>367</v>
      </c>
      <c r="C184" s="15" t="s">
        <v>368</v>
      </c>
      <c r="D184" s="133">
        <v>0.28284168984689401</v>
      </c>
      <c r="E184" s="4">
        <v>0.25819078319006689</v>
      </c>
      <c r="F184" s="4">
        <v>0.3613849089974866</v>
      </c>
      <c r="G184" s="6">
        <v>0.24920177172888017</v>
      </c>
      <c r="H184" s="6">
        <v>0.26258929547114174</v>
      </c>
      <c r="I184" s="5">
        <v>0.48358333333333337</v>
      </c>
      <c r="J184" s="5">
        <v>0.27564469914040113</v>
      </c>
      <c r="K184" s="5">
        <v>2.0000000000000018E-2</v>
      </c>
      <c r="L184" s="5">
        <v>0.71791666666666676</v>
      </c>
      <c r="M184" s="5">
        <v>2E-3</v>
      </c>
      <c r="N184" s="5">
        <v>5.0000000000000044E-2</v>
      </c>
      <c r="O184" s="5">
        <v>0.23874999999999999</v>
      </c>
      <c r="P184" s="5">
        <v>0.3196</v>
      </c>
      <c r="Q184" s="5">
        <v>0.77318008252756676</v>
      </c>
      <c r="R184" s="5">
        <v>0.8</v>
      </c>
      <c r="S184" s="5">
        <v>2.6779371457353054E-2</v>
      </c>
      <c r="T184" s="5">
        <v>0.01</v>
      </c>
      <c r="U184" s="5">
        <v>0.87499999999999967</v>
      </c>
      <c r="V184" s="5">
        <v>0.19898400000000005</v>
      </c>
      <c r="W184" s="5">
        <v>0.31620000000000004</v>
      </c>
      <c r="X184" s="5">
        <v>9.1350826044703598E-2</v>
      </c>
      <c r="Y184" s="5">
        <v>5.2073768441660614E-3</v>
      </c>
      <c r="Z184" s="5">
        <v>8.4684274844114803E-3</v>
      </c>
      <c r="AA184" s="5">
        <v>0.02</v>
      </c>
      <c r="AB184" s="5">
        <v>2.6547972431963159E-2</v>
      </c>
      <c r="AC184" s="5">
        <v>0</v>
      </c>
      <c r="AD184" s="5">
        <v>0.43822668612336935</v>
      </c>
      <c r="AE184" s="5">
        <v>1.5535187199005747E-2</v>
      </c>
      <c r="AF184" s="5">
        <v>2.1900000000000031E-2</v>
      </c>
      <c r="AG184" s="134">
        <v>6317.8376352998475</v>
      </c>
      <c r="AH184" s="135">
        <v>8.7511322822821835</v>
      </c>
      <c r="AI184">
        <v>0.79600000000000004</v>
      </c>
      <c r="AJ184" s="136">
        <v>27.51</v>
      </c>
      <c r="AK184" s="137">
        <v>0.28284168984689384</v>
      </c>
      <c r="AL184" s="138">
        <v>0.33024245662162877</v>
      </c>
      <c r="AM184" s="139">
        <v>-4.7400766774734926E-2</v>
      </c>
      <c r="AN184" s="139">
        <v>4.8518755700452158E-2</v>
      </c>
    </row>
    <row r="185" spans="2:40">
      <c r="B185" s="16" t="s">
        <v>369</v>
      </c>
      <c r="C185" s="15" t="s">
        <v>370</v>
      </c>
      <c r="D185" s="133">
        <v>0.25552338844375599</v>
      </c>
      <c r="E185" s="4">
        <v>0.2827175925925926</v>
      </c>
      <c r="F185" s="4">
        <v>0.41674886950968321</v>
      </c>
      <c r="G185" s="6">
        <v>0.16002715561627009</v>
      </c>
      <c r="H185" s="6">
        <v>0.1625999360564796</v>
      </c>
      <c r="I185" s="5">
        <v>0.14783333333333326</v>
      </c>
      <c r="J185" s="5">
        <v>1</v>
      </c>
      <c r="K185" s="5">
        <v>0</v>
      </c>
      <c r="L185" s="5">
        <v>0.51180555555555562</v>
      </c>
      <c r="M185" s="5">
        <v>6.6666666666666671E-3</v>
      </c>
      <c r="N185" s="5">
        <v>3.0000000000000027E-2</v>
      </c>
      <c r="O185" s="5">
        <v>0.54108333333333336</v>
      </c>
      <c r="P185" s="5">
        <v>0.22060000000000005</v>
      </c>
      <c r="Q185" s="5">
        <v>0.39444444444444449</v>
      </c>
      <c r="R185" s="5">
        <v>0.18436543928032115</v>
      </c>
      <c r="S185" s="5">
        <v>1</v>
      </c>
      <c r="T185" s="5">
        <v>0.16</v>
      </c>
      <c r="U185" s="5">
        <v>7.5000000000000067E-2</v>
      </c>
      <c r="V185" s="5">
        <v>0.59560000000000002</v>
      </c>
      <c r="W185" s="5">
        <v>0.14238048780487789</v>
      </c>
      <c r="X185" s="5">
        <v>0.14119922630560927</v>
      </c>
      <c r="Y185" s="5">
        <v>0</v>
      </c>
      <c r="Z185" s="5">
        <v>5.9832195871333607E-3</v>
      </c>
      <c r="AA185" s="5">
        <v>2.4E-2</v>
      </c>
      <c r="AB185" s="5">
        <v>0.2164143447761514</v>
      </c>
      <c r="AC185" s="5">
        <v>0</v>
      </c>
      <c r="AD185" s="5">
        <v>0</v>
      </c>
      <c r="AE185" s="5">
        <v>0</v>
      </c>
      <c r="AF185" s="5">
        <v>0</v>
      </c>
      <c r="AG185" s="134">
        <v>57743.723604377818</v>
      </c>
      <c r="AH185" s="135">
        <v>10.963769940302429</v>
      </c>
      <c r="AI185">
        <v>0.90300000000000002</v>
      </c>
      <c r="AJ185" s="136">
        <v>31</v>
      </c>
      <c r="AK185" s="137">
        <v>0.25552338844375638</v>
      </c>
      <c r="AL185" s="138">
        <v>0.16894117135195286</v>
      </c>
      <c r="AM185" s="139">
        <v>8.6582217091803526E-2</v>
      </c>
      <c r="AN185" s="139">
        <v>0</v>
      </c>
    </row>
    <row r="186" spans="2:40">
      <c r="B186" s="16" t="s">
        <v>371</v>
      </c>
      <c r="C186" s="15" t="s">
        <v>372</v>
      </c>
      <c r="D186" s="133">
        <v>0.13879561300755899</v>
      </c>
      <c r="E186" s="4">
        <v>0.14127829743008316</v>
      </c>
      <c r="F186" s="4">
        <v>0.21820389401878915</v>
      </c>
      <c r="G186" s="6">
        <v>5.2555662139364918E-2</v>
      </c>
      <c r="H186" s="6">
        <v>0.14314459844199773</v>
      </c>
      <c r="I186" s="5">
        <v>0.44800000000000006</v>
      </c>
      <c r="J186" s="5">
        <v>0.10585034013605442</v>
      </c>
      <c r="K186" s="5">
        <v>0</v>
      </c>
      <c r="L186" s="5">
        <v>0.29381944444444441</v>
      </c>
      <c r="M186" s="5">
        <v>0</v>
      </c>
      <c r="N186" s="5">
        <v>0</v>
      </c>
      <c r="O186" s="5">
        <v>0.22075000000000003</v>
      </c>
      <c r="P186" s="5">
        <v>9.9779985173939087E-2</v>
      </c>
      <c r="Q186" s="5">
        <v>0.15306688870383334</v>
      </c>
      <c r="R186" s="5">
        <v>0.60619242372781368</v>
      </c>
      <c r="S186" s="5">
        <v>0.22943406650714887</v>
      </c>
      <c r="T186" s="5">
        <v>0</v>
      </c>
      <c r="U186" s="5">
        <v>6.6666666666666541E-2</v>
      </c>
      <c r="V186" s="5">
        <v>6.6439999999999944E-2</v>
      </c>
      <c r="W186" s="5">
        <v>9.8975609756097649E-2</v>
      </c>
      <c r="X186" s="5">
        <v>7.792207792207792E-2</v>
      </c>
      <c r="Y186" s="5">
        <v>0</v>
      </c>
      <c r="Z186" s="5">
        <v>5.3296184913474648E-3</v>
      </c>
      <c r="AA186" s="5">
        <v>0.05</v>
      </c>
      <c r="AB186" s="5">
        <v>0.11741034431545544</v>
      </c>
      <c r="AC186" s="5">
        <v>0</v>
      </c>
      <c r="AD186" s="5">
        <v>0.2047726382939356</v>
      </c>
      <c r="AE186" s="5">
        <v>8.6801967511263581E-2</v>
      </c>
      <c r="AF186" s="5">
        <v>0</v>
      </c>
      <c r="AG186" s="134">
        <v>35154.797399998162</v>
      </c>
      <c r="AH186" s="135">
        <v>10.46751637156725</v>
      </c>
      <c r="AI186">
        <v>0.94699999999999995</v>
      </c>
      <c r="AJ186" s="136">
        <v>35.973684716500003</v>
      </c>
      <c r="AK186" s="137">
        <v>0.13879561300755872</v>
      </c>
      <c r="AL186" s="138">
        <v>0.20511805651274739</v>
      </c>
      <c r="AM186" s="139">
        <v>-6.6322443505188677E-2</v>
      </c>
      <c r="AN186" s="139">
        <v>8.6409580921349097E-3</v>
      </c>
    </row>
    <row r="187" spans="2:40">
      <c r="B187" s="16" t="s">
        <v>373</v>
      </c>
      <c r="C187" s="15" t="s">
        <v>374</v>
      </c>
      <c r="D187" s="133">
        <v>0.191632187735992</v>
      </c>
      <c r="E187" s="4">
        <v>0.20982033371347888</v>
      </c>
      <c r="F187" s="4">
        <v>0.14822872393444184</v>
      </c>
      <c r="G187" s="6">
        <v>0.20642312755036055</v>
      </c>
      <c r="H187" s="6">
        <v>0.20205656574568709</v>
      </c>
      <c r="I187" s="5">
        <v>0.44983333333333342</v>
      </c>
      <c r="J187" s="5">
        <v>0.15568589116976214</v>
      </c>
      <c r="K187" s="5">
        <v>1.0000000000000009E-2</v>
      </c>
      <c r="L187" s="5">
        <v>0.64340277777777777</v>
      </c>
      <c r="M187" s="5">
        <v>0</v>
      </c>
      <c r="N187" s="5">
        <v>0</v>
      </c>
      <c r="O187" s="5">
        <v>0.22908333333333336</v>
      </c>
      <c r="P187" s="5">
        <v>0.18000215929175425</v>
      </c>
      <c r="Q187" s="5">
        <v>0.3989045410162686</v>
      </c>
      <c r="R187" s="5">
        <v>4.3181759849345691E-2</v>
      </c>
      <c r="S187" s="5">
        <v>3.320055011594903E-2</v>
      </c>
      <c r="T187" s="5">
        <v>5.0000000000000001E-3</v>
      </c>
      <c r="U187" s="5">
        <v>0.92499999999999971</v>
      </c>
      <c r="V187" s="5">
        <v>0.10751999999999995</v>
      </c>
      <c r="W187" s="5">
        <v>0.12682926829268271</v>
      </c>
      <c r="X187" s="5">
        <v>6.7326732673267331E-2</v>
      </c>
      <c r="Y187" s="5">
        <v>0</v>
      </c>
      <c r="Z187" s="5">
        <v>1.1862764336213402E-2</v>
      </c>
      <c r="AA187" s="5">
        <v>2.3E-2</v>
      </c>
      <c r="AB187" s="5">
        <v>8.0748953173138543E-2</v>
      </c>
      <c r="AC187" s="5">
        <v>0</v>
      </c>
      <c r="AD187" s="5">
        <v>0.27377657392159022</v>
      </c>
      <c r="AE187" s="5">
        <v>8.1860570710069504E-3</v>
      </c>
      <c r="AF187" s="5">
        <v>0.32629999999999992</v>
      </c>
      <c r="AG187" s="134">
        <v>45989.179399818247</v>
      </c>
      <c r="AH187" s="135">
        <v>10.73616141736148</v>
      </c>
      <c r="AI187">
        <v>0.95599999999999996</v>
      </c>
      <c r="AJ187" s="136">
        <v>40.81</v>
      </c>
      <c r="AK187" s="137">
        <v>0.19163218773599208</v>
      </c>
      <c r="AL187" s="138">
        <v>0.18553383267434798</v>
      </c>
      <c r="AM187" s="139">
        <v>6.0983550616441062E-3</v>
      </c>
      <c r="AN187" s="139">
        <v>2.7895938061456967E-2</v>
      </c>
    </row>
    <row r="188" spans="2:40">
      <c r="B188" s="16" t="s">
        <v>375</v>
      </c>
      <c r="C188" s="15" t="s">
        <v>376</v>
      </c>
      <c r="D188" s="133">
        <v>0.19072522923207699</v>
      </c>
      <c r="E188" s="4">
        <v>8.0052841060484922E-2</v>
      </c>
      <c r="F188" s="4">
        <v>0.2058119466446674</v>
      </c>
      <c r="G188" s="6">
        <v>0.16725947180252529</v>
      </c>
      <c r="H188" s="6">
        <v>0.30977665742063076</v>
      </c>
      <c r="I188" s="5">
        <v>0.2885833333333333</v>
      </c>
      <c r="J188" s="5">
        <v>2.6330935251798561E-2</v>
      </c>
      <c r="K188" s="5">
        <v>0</v>
      </c>
      <c r="L188" s="5">
        <v>0.16340277777777767</v>
      </c>
      <c r="M188" s="5">
        <v>2E-3</v>
      </c>
      <c r="N188" s="5">
        <v>0</v>
      </c>
      <c r="O188" s="5">
        <v>0.505</v>
      </c>
      <c r="P188" s="5">
        <v>7.5999999999999915E-2</v>
      </c>
      <c r="Q188" s="5">
        <v>0.43220934959348367</v>
      </c>
      <c r="R188" s="5">
        <v>6.016751545191891E-2</v>
      </c>
      <c r="S188" s="5">
        <v>0.12149481482260169</v>
      </c>
      <c r="T188" s="5">
        <v>0.04</v>
      </c>
      <c r="U188" s="5">
        <v>0.31666666666666676</v>
      </c>
      <c r="V188" s="5">
        <v>0.40656000000000003</v>
      </c>
      <c r="W188" s="5">
        <v>0.1777756097560973</v>
      </c>
      <c r="X188" s="5">
        <v>8.7579617834394899E-2</v>
      </c>
      <c r="Y188" s="5">
        <v>3.5880118662346631E-4</v>
      </c>
      <c r="Z188" s="5">
        <v>1.4616135371369139E-2</v>
      </c>
      <c r="AA188" s="5">
        <v>0.03</v>
      </c>
      <c r="AB188" s="5">
        <v>0.10576699467832046</v>
      </c>
      <c r="AC188" s="5">
        <v>5.0000000000000044E-3</v>
      </c>
      <c r="AD188" s="5">
        <v>0.83892181337526306</v>
      </c>
      <c r="AE188" s="5">
        <v>4.2852245457661982E-2</v>
      </c>
      <c r="AF188" s="5" t="e">
        <v>#N/A</v>
      </c>
      <c r="AG188" s="134">
        <v>13189.127706663689</v>
      </c>
      <c r="AH188" s="135">
        <v>9.4871481105952693</v>
      </c>
      <c r="AI188">
        <v>0.86499999999999999</v>
      </c>
      <c r="AJ188" s="136">
        <v>42.42</v>
      </c>
      <c r="AK188" s="137">
        <v>0.1907252292320771</v>
      </c>
      <c r="AL188" s="138">
        <v>0.27658690273760478</v>
      </c>
      <c r="AM188" s="139">
        <v>-8.5861673505527675E-2</v>
      </c>
      <c r="AN188" s="139">
        <v>1.6846488502175266E-2</v>
      </c>
    </row>
    <row r="189" spans="2:40">
      <c r="B189" s="16" t="s">
        <v>377</v>
      </c>
      <c r="C189" s="15" t="s">
        <v>378</v>
      </c>
      <c r="D189" s="133">
        <v>0.2921466915964</v>
      </c>
      <c r="E189" s="4">
        <v>0.4276064814814815</v>
      </c>
      <c r="F189" s="4">
        <v>0.37305853077383294</v>
      </c>
      <c r="G189" s="6">
        <v>9.8129468430513109E-2</v>
      </c>
      <c r="H189" s="6">
        <v>0.24463287808036671</v>
      </c>
      <c r="I189" s="5">
        <v>0.50175000000000003</v>
      </c>
      <c r="J189" s="5">
        <v>1</v>
      </c>
      <c r="K189" s="5">
        <v>0.13</v>
      </c>
      <c r="L189" s="5">
        <v>0.71722222222222243</v>
      </c>
      <c r="M189" s="5">
        <v>0.21666666666666667</v>
      </c>
      <c r="N189" s="5">
        <v>0</v>
      </c>
      <c r="O189" s="5">
        <v>0.33441666666666664</v>
      </c>
      <c r="P189" s="5">
        <v>0.63064278660717177</v>
      </c>
      <c r="Q189" s="5">
        <v>1</v>
      </c>
      <c r="R189" s="5">
        <v>8.5328986167983581E-2</v>
      </c>
      <c r="S189" s="5">
        <v>0.14796274520117572</v>
      </c>
      <c r="T189" s="5">
        <v>0.04</v>
      </c>
      <c r="U189" s="5">
        <v>7.5000000000000067E-2</v>
      </c>
      <c r="V189" s="5">
        <v>3.0520000000000103E-2</v>
      </c>
      <c r="W189" s="5">
        <v>0.3411956097560972</v>
      </c>
      <c r="X189" s="5">
        <v>0.10547667342799188</v>
      </c>
      <c r="Y189" s="5">
        <v>1.8181242415027148E-2</v>
      </c>
      <c r="Z189" s="5">
        <v>1.8403284983962181E-2</v>
      </c>
      <c r="AA189" s="5">
        <v>2E-3</v>
      </c>
      <c r="AB189" s="5">
        <v>0</v>
      </c>
      <c r="AC189" s="5">
        <v>0</v>
      </c>
      <c r="AD189" s="5">
        <v>5.4317519827843198E-2</v>
      </c>
      <c r="AE189" s="5">
        <v>0</v>
      </c>
      <c r="AF189" s="5">
        <v>0.12699996948242198</v>
      </c>
      <c r="AG189" s="134">
        <v>2874.835647743329</v>
      </c>
      <c r="AH189" s="135">
        <v>7.9637507855950922</v>
      </c>
      <c r="AI189">
        <v>0.71</v>
      </c>
      <c r="AJ189" s="134">
        <v>36.72</v>
      </c>
      <c r="AK189" s="137">
        <v>0.28585683969154857</v>
      </c>
      <c r="AL189" s="138">
        <v>0.38764256773011763</v>
      </c>
      <c r="AM189" s="139">
        <v>-0.10178572803856906</v>
      </c>
      <c r="AN189" s="139">
        <v>4.8343208251042352E-2</v>
      </c>
    </row>
    <row r="190" spans="2:40">
      <c r="B190" s="16" t="s">
        <v>379</v>
      </c>
      <c r="C190" s="15" t="s">
        <v>380</v>
      </c>
      <c r="D190" s="133" t="e">
        <v>#N/A</v>
      </c>
      <c r="E190" s="4" t="e">
        <v>#DIV/0!</v>
      </c>
      <c r="F190" s="4">
        <v>0.54681209750921977</v>
      </c>
      <c r="G190" s="6">
        <v>0.4584221388992869</v>
      </c>
      <c r="H190" s="6" t="e">
        <v>#N/A</v>
      </c>
      <c r="I190" s="5">
        <v>0.45341666666666669</v>
      </c>
      <c r="J190" s="5" t="e">
        <v>#DIV/0!</v>
      </c>
      <c r="K190" s="5">
        <v>0.17000000000000004</v>
      </c>
      <c r="L190" s="5">
        <v>8.861111111111114E-2</v>
      </c>
      <c r="M190" s="5">
        <v>2.7333333333333334E-2</v>
      </c>
      <c r="N190" s="5">
        <v>0.48</v>
      </c>
      <c r="O190" s="5">
        <v>0.44466666666666665</v>
      </c>
      <c r="P190" s="5">
        <v>0.74819999999999998</v>
      </c>
      <c r="Q190" s="5">
        <v>0.96111111111111114</v>
      </c>
      <c r="R190" s="5">
        <v>7.4387697235974631E-2</v>
      </c>
      <c r="S190" s="5">
        <v>0.9425071100415664</v>
      </c>
      <c r="T190" s="5">
        <v>0.11000000000000001</v>
      </c>
      <c r="U190" s="5">
        <v>0.76666666666666661</v>
      </c>
      <c r="V190" s="5">
        <v>0.85936000000000001</v>
      </c>
      <c r="W190" s="5">
        <v>0.28831804878048761</v>
      </c>
      <c r="X190" s="5">
        <v>0.1961883408071749</v>
      </c>
      <c r="Y190" s="5">
        <v>0.13999977714139261</v>
      </c>
      <c r="Z190" s="5">
        <v>0.5</v>
      </c>
      <c r="AA190" s="5">
        <v>0.14699999999999999</v>
      </c>
      <c r="AB190" s="5">
        <v>4.5264538682378931E-2</v>
      </c>
      <c r="AC190" s="5">
        <v>0.81</v>
      </c>
      <c r="AD190" s="5">
        <v>0</v>
      </c>
      <c r="AE190" s="5">
        <v>0.12305168170631665</v>
      </c>
      <c r="AF190" s="5">
        <v>0.76100000381469701</v>
      </c>
      <c r="AG190" s="134">
        <v>4438.3751503439807</v>
      </c>
      <c r="AH190" s="135">
        <v>8.3980436313178846</v>
      </c>
      <c r="AI190">
        <v>0.69299999999999995</v>
      </c>
      <c r="AJ190" s="140" t="e">
        <v>#N/A</v>
      </c>
      <c r="AK190" s="137">
        <v>0.50261711820425337</v>
      </c>
      <c r="AL190" s="138">
        <v>0.35598261927692609</v>
      </c>
      <c r="AM190" s="139">
        <v>0.14663449892732727</v>
      </c>
      <c r="AN190" s="139">
        <v>1.4279476744186046</v>
      </c>
    </row>
    <row r="191" spans="2:40">
      <c r="B191" s="16" t="s">
        <v>381</v>
      </c>
      <c r="C191" s="15" t="s">
        <v>382</v>
      </c>
      <c r="D191" s="133">
        <v>0.24269667876596299</v>
      </c>
      <c r="E191" s="4">
        <v>0.15639813125168964</v>
      </c>
      <c r="F191" s="4">
        <v>0.25700346091006404</v>
      </c>
      <c r="G191" s="6">
        <v>0.25631547275374211</v>
      </c>
      <c r="H191" s="6">
        <v>0.30106965014835668</v>
      </c>
      <c r="I191" s="5">
        <v>0.42708333333333337</v>
      </c>
      <c r="J191" s="5">
        <v>7.3471208434712091E-3</v>
      </c>
      <c r="K191" s="5">
        <v>8.9999999999999969E-2</v>
      </c>
      <c r="L191" s="5">
        <v>0.30395833333333333</v>
      </c>
      <c r="M191" s="5">
        <v>0.02</v>
      </c>
      <c r="N191" s="5">
        <v>8.9999999999999969E-2</v>
      </c>
      <c r="O191" s="5">
        <v>0.60899999999999999</v>
      </c>
      <c r="P191" s="5">
        <v>6.3400000000000054E-2</v>
      </c>
      <c r="Q191" s="5">
        <v>0.4213078047683867</v>
      </c>
      <c r="R191" s="5">
        <v>1.4262759247521368E-2</v>
      </c>
      <c r="S191" s="5">
        <v>0.39405020144447622</v>
      </c>
      <c r="T191" s="5">
        <v>0.04</v>
      </c>
      <c r="U191" s="5">
        <v>0.31666666666666676</v>
      </c>
      <c r="V191" s="5">
        <v>0.83199999999999996</v>
      </c>
      <c r="W191" s="5">
        <v>0.22512097560975608</v>
      </c>
      <c r="X191" s="5">
        <v>0.11735537190082644</v>
      </c>
      <c r="Y191" s="5">
        <v>1.1870807438038243E-4</v>
      </c>
      <c r="Z191" s="5">
        <v>4.663111427082315E-2</v>
      </c>
      <c r="AA191" s="5">
        <v>4.5999999999999999E-2</v>
      </c>
      <c r="AB191" s="5">
        <v>6.7862859324012328E-2</v>
      </c>
      <c r="AC191" s="5">
        <v>1.0000000000000009E-2</v>
      </c>
      <c r="AD191" s="5">
        <v>0.23293603015868314</v>
      </c>
      <c r="AE191" s="5">
        <v>2.0407006405532564E-2</v>
      </c>
      <c r="AF191" s="5">
        <v>0.66400001525878904</v>
      </c>
      <c r="AG191" s="134">
        <v>12322.924925697496</v>
      </c>
      <c r="AH191" s="135">
        <v>9.4192166217096727</v>
      </c>
      <c r="AI191">
        <v>0.84399999999999997</v>
      </c>
      <c r="AJ191" s="136">
        <v>43.5</v>
      </c>
      <c r="AK191" s="137">
        <v>0.24269667876596313</v>
      </c>
      <c r="AL191" s="138">
        <v>0.28153910827736472</v>
      </c>
      <c r="AM191" s="139">
        <v>-3.8842429511401599E-2</v>
      </c>
      <c r="AN191" s="139">
        <v>3.5110243055555559E-2</v>
      </c>
    </row>
    <row r="192" spans="2:40">
      <c r="B192" s="16" t="s">
        <v>383</v>
      </c>
      <c r="C192" s="15" t="s">
        <v>384</v>
      </c>
      <c r="D192" s="133">
        <v>0.31527396477518599</v>
      </c>
      <c r="E192" s="4">
        <v>0.23203338140481847</v>
      </c>
      <c r="F192" s="4">
        <v>0.25791140078212116</v>
      </c>
      <c r="G192" s="6">
        <v>0.34086071960385483</v>
      </c>
      <c r="H192" s="6">
        <v>0.43029035730995036</v>
      </c>
      <c r="I192" s="5">
        <v>0.49858333333333327</v>
      </c>
      <c r="J192" s="5">
        <v>9.2783621762244084E-2</v>
      </c>
      <c r="K192" s="5">
        <v>0.25</v>
      </c>
      <c r="L192" s="5">
        <v>0.25750000000000006</v>
      </c>
      <c r="M192" s="5">
        <v>4.3333333333333335E-2</v>
      </c>
      <c r="N192" s="5">
        <v>0.25</v>
      </c>
      <c r="O192" s="5">
        <v>0.37600000000000006</v>
      </c>
      <c r="P192" s="5">
        <v>0.71679999999999988</v>
      </c>
      <c r="Q192" s="5">
        <v>8.4892763270172034E-2</v>
      </c>
      <c r="R192" s="5">
        <v>3.0516625758644209E-2</v>
      </c>
      <c r="S192" s="5">
        <v>8.9259015663910882E-2</v>
      </c>
      <c r="T192" s="5">
        <v>0.25</v>
      </c>
      <c r="U192" s="5">
        <v>0.76666666666666661</v>
      </c>
      <c r="V192" s="5">
        <v>0.87024000000000001</v>
      </c>
      <c r="W192" s="5">
        <v>0.20843756097560939</v>
      </c>
      <c r="X192" s="5">
        <v>0.15345911949685534</v>
      </c>
      <c r="Y192" s="5">
        <v>1.7000000008367676E-2</v>
      </c>
      <c r="Z192" s="5">
        <v>2.9360970475629591E-2</v>
      </c>
      <c r="AA192" s="5">
        <v>0.153</v>
      </c>
      <c r="AB192" s="5">
        <v>0.55096713685635512</v>
      </c>
      <c r="AC192" s="5">
        <v>0.10999999999999999</v>
      </c>
      <c r="AD192" s="5">
        <v>0.22596973353341737</v>
      </c>
      <c r="AE192" s="5">
        <v>0.10158996355661624</v>
      </c>
      <c r="AF192" s="5">
        <v>0.52375865924579501</v>
      </c>
      <c r="AG192" s="134">
        <v>2953.0691299201176</v>
      </c>
      <c r="AH192" s="135">
        <v>7.9906002915342924</v>
      </c>
      <c r="AI192">
        <v>0.72499999999999998</v>
      </c>
      <c r="AJ192" s="136">
        <v>37.57</v>
      </c>
      <c r="AK192" s="137">
        <v>0.31527396477518621</v>
      </c>
      <c r="AL192" s="138">
        <v>0.38568523874714999</v>
      </c>
      <c r="AM192" s="139">
        <v>-7.0411273971963784E-2</v>
      </c>
      <c r="AN192" s="139">
        <v>0.87624821185870594</v>
      </c>
    </row>
    <row r="193" spans="2:40">
      <c r="B193" s="16" t="s">
        <v>385</v>
      </c>
      <c r="C193" s="15" t="s">
        <v>386</v>
      </c>
      <c r="D193" s="133">
        <v>0.48826655333552499</v>
      </c>
      <c r="E193" s="4">
        <v>0.49137962962962956</v>
      </c>
      <c r="F193" s="4">
        <v>0.62316761238122476</v>
      </c>
      <c r="G193" s="6">
        <v>0.44741671555006673</v>
      </c>
      <c r="H193" s="6">
        <v>0.39110225578117896</v>
      </c>
      <c r="I193" s="5">
        <v>0.37958333333333327</v>
      </c>
      <c r="J193" s="5">
        <v>1</v>
      </c>
      <c r="K193" s="5">
        <v>0.48</v>
      </c>
      <c r="L193" s="5">
        <v>0.35736111111111102</v>
      </c>
      <c r="M193" s="5">
        <v>0.25133333333333335</v>
      </c>
      <c r="N193" s="5">
        <v>0.48</v>
      </c>
      <c r="O193" s="5">
        <v>0.55766666666666664</v>
      </c>
      <c r="P193" s="5">
        <v>0.68779999999999997</v>
      </c>
      <c r="Q193" s="5">
        <v>0.90786482832383064</v>
      </c>
      <c r="R193" s="5">
        <v>1.5771128888706777E-2</v>
      </c>
      <c r="S193" s="5">
        <v>0.80990305040814403</v>
      </c>
      <c r="T193" s="5">
        <v>0.76</v>
      </c>
      <c r="U193" s="5">
        <v>0.7833333333333331</v>
      </c>
      <c r="V193" s="5">
        <v>0.93520000000000003</v>
      </c>
      <c r="W193" s="5">
        <v>0.43243317073170717</v>
      </c>
      <c r="X193" s="5">
        <v>0.20530973451327433</v>
      </c>
      <c r="Y193" s="5">
        <v>5.2502450568324067E-2</v>
      </c>
      <c r="Z193" s="5">
        <v>0.27572160415376157</v>
      </c>
      <c r="AA193" s="5">
        <v>5.0000000000000001E-3</v>
      </c>
      <c r="AB193" s="5">
        <v>2.3693721684414113E-2</v>
      </c>
      <c r="AC193" s="5">
        <v>0.61799999999999999</v>
      </c>
      <c r="AD193" s="5">
        <v>0</v>
      </c>
      <c r="AE193" s="5">
        <v>3.1251775669072106E-2</v>
      </c>
      <c r="AF193" s="5">
        <v>0.91300000190734854</v>
      </c>
      <c r="AG193" s="134">
        <v>2469.5893889216291</v>
      </c>
      <c r="AH193" s="135">
        <v>7.8118071764997543</v>
      </c>
      <c r="AI193">
        <v>0.57499999999999996</v>
      </c>
      <c r="AJ193" s="136">
        <v>37.69</v>
      </c>
      <c r="AK193" s="137">
        <v>0.48826655333552504</v>
      </c>
      <c r="AL193" s="138">
        <v>0.39871925683316778</v>
      </c>
      <c r="AM193" s="139">
        <v>8.9547296502357265E-2</v>
      </c>
      <c r="AN193" s="139">
        <v>2.0767058979106058E-2</v>
      </c>
    </row>
    <row r="194" spans="2:40">
      <c r="B194" s="16" t="s">
        <v>387</v>
      </c>
      <c r="C194" s="15" t="s">
        <v>388</v>
      </c>
      <c r="D194" s="133">
        <v>0.52952120714927597</v>
      </c>
      <c r="E194" s="4">
        <v>0.39229600584424729</v>
      </c>
      <c r="F194" s="4">
        <v>0.44615124098877601</v>
      </c>
      <c r="G194" s="6">
        <v>0.62563380399138313</v>
      </c>
      <c r="H194" s="6">
        <v>0.65400377777269891</v>
      </c>
      <c r="I194" s="5">
        <v>0.65100000000000002</v>
      </c>
      <c r="J194" s="5">
        <v>1.6539923954372624E-2</v>
      </c>
      <c r="K194" s="5">
        <v>0.51</v>
      </c>
      <c r="L194" s="5">
        <v>0.33090277777777788</v>
      </c>
      <c r="M194" s="5">
        <v>0.33533333333333332</v>
      </c>
      <c r="N194" s="5">
        <v>0.51</v>
      </c>
      <c r="O194" s="5">
        <v>0.71575</v>
      </c>
      <c r="P194" s="5">
        <v>0.64439999999999997</v>
      </c>
      <c r="Q194" s="5">
        <v>0.87121317844958268</v>
      </c>
      <c r="R194" s="5">
        <v>0.11429208626971589</v>
      </c>
      <c r="S194" s="5">
        <v>0.18625218121335735</v>
      </c>
      <c r="T194" s="5">
        <v>0.14499999999999999</v>
      </c>
      <c r="U194" s="5">
        <v>0.40833333333333333</v>
      </c>
      <c r="V194" s="5">
        <v>0.94100000000000006</v>
      </c>
      <c r="W194" s="5">
        <v>0.77337999999999973</v>
      </c>
      <c r="X194" s="5">
        <v>0.46313253012048194</v>
      </c>
      <c r="Y194" s="5">
        <v>0.50302094646312856</v>
      </c>
      <c r="Z194" s="5">
        <v>0.66493601403135461</v>
      </c>
      <c r="AA194" s="5">
        <v>0</v>
      </c>
      <c r="AB194" s="5">
        <v>0</v>
      </c>
      <c r="AC194" s="5">
        <v>0.81200000000000006</v>
      </c>
      <c r="AD194" s="5">
        <v>0.99714362156813929</v>
      </c>
      <c r="AE194" s="5">
        <v>1</v>
      </c>
      <c r="AF194" s="5">
        <v>0.78</v>
      </c>
      <c r="AG194" s="134">
        <v>1430.2170162018904</v>
      </c>
      <c r="AH194" s="135">
        <v>7.265581471321374</v>
      </c>
      <c r="AI194">
        <v>0.48099999999999998</v>
      </c>
      <c r="AJ194" s="136">
        <v>50.74</v>
      </c>
      <c r="AK194" s="137">
        <v>0.52952120714927631</v>
      </c>
      <c r="AL194" s="138">
        <v>0.43853911074067176</v>
      </c>
      <c r="AM194" s="139">
        <v>9.0982096408604551E-2</v>
      </c>
      <c r="AN194" s="139">
        <v>1.1848396115676021</v>
      </c>
    </row>
    <row r="195" spans="2:40">
      <c r="B195" s="16" t="s">
        <v>389</v>
      </c>
      <c r="C195" s="15" t="s">
        <v>390</v>
      </c>
      <c r="D195" s="133">
        <v>0.44696420550917798</v>
      </c>
      <c r="E195" s="4">
        <v>0.41150231481481486</v>
      </c>
      <c r="F195" s="4">
        <v>0.46887527880867025</v>
      </c>
      <c r="G195" s="6">
        <v>0.5787831360432304</v>
      </c>
      <c r="H195" s="6">
        <v>0.32869609236999703</v>
      </c>
      <c r="I195" s="5">
        <v>0.62149999999999994</v>
      </c>
      <c r="J195" s="5">
        <v>0.21024999999999999</v>
      </c>
      <c r="K195" s="5">
        <v>0.56000000000000005</v>
      </c>
      <c r="L195" s="5">
        <v>0.34659722222222222</v>
      </c>
      <c r="M195" s="5">
        <v>0.17066666666666666</v>
      </c>
      <c r="N195" s="5">
        <v>0.56000000000000005</v>
      </c>
      <c r="O195" s="5">
        <v>0.69216666666666671</v>
      </c>
      <c r="P195" s="5">
        <v>0.62180000000000002</v>
      </c>
      <c r="Q195" s="5">
        <v>0.83851342592704003</v>
      </c>
      <c r="R195" s="5">
        <v>0.21671251523212567</v>
      </c>
      <c r="S195" s="5">
        <v>0.28405906502618872</v>
      </c>
      <c r="T195" s="5">
        <v>0.16</v>
      </c>
      <c r="U195" s="5">
        <v>0.40833333333333333</v>
      </c>
      <c r="V195" s="5">
        <v>0.93599999999999994</v>
      </c>
      <c r="W195" s="5">
        <v>0.79122097560975602</v>
      </c>
      <c r="X195" s="5">
        <v>0.6906987093902982</v>
      </c>
      <c r="Y195" s="5">
        <v>5.4838874126019711E-2</v>
      </c>
      <c r="Z195" s="5">
        <v>0.59160692379997482</v>
      </c>
      <c r="AA195" s="5">
        <v>0</v>
      </c>
      <c r="AB195" s="5">
        <v>0</v>
      </c>
      <c r="AC195" s="5">
        <v>0.58499999999999996</v>
      </c>
      <c r="AD195" s="5">
        <v>0.58128689949329138</v>
      </c>
      <c r="AE195" s="5">
        <v>1.5509887553315237E-2</v>
      </c>
      <c r="AF195" s="5">
        <v>0.81</v>
      </c>
      <c r="AG195" s="134">
        <v>395</v>
      </c>
      <c r="AH195" s="135">
        <v>5.978885764901122</v>
      </c>
      <c r="AI195" t="s">
        <v>545</v>
      </c>
      <c r="AJ195" s="136">
        <v>50.1</v>
      </c>
      <c r="AK195" s="137">
        <v>0.44696420550917815</v>
      </c>
      <c r="AL195" s="138">
        <v>0.53233922773870812</v>
      </c>
      <c r="AM195" s="139">
        <v>-8.5375022229529973E-2</v>
      </c>
      <c r="AN195" s="139">
        <v>2.3330529366635413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The View</vt:lpstr>
      <vt:lpstr>Shout</vt:lpstr>
      <vt:lpstr>Full Scores</vt:lpstr>
      <vt:lpstr>Data sources</vt:lpstr>
      <vt:lpstr>IncomeGrp</vt:lpstr>
      <vt:lpstr>FULL copy</vt:lpstr>
    </vt:vector>
  </TitlesOfParts>
  <Company>Noble.adapt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Noble</dc:creator>
  <cp:lastModifiedBy>Ian Noble</cp:lastModifiedBy>
  <cp:lastPrinted>2011-07-10T15:44:24Z</cp:lastPrinted>
  <dcterms:created xsi:type="dcterms:W3CDTF">2011-06-17T13:34:40Z</dcterms:created>
  <dcterms:modified xsi:type="dcterms:W3CDTF">2011-07-13T20:23:41Z</dcterms:modified>
</cp:coreProperties>
</file>