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0" yWindow="0" windowWidth="42580" windowHeight="24820" tabRatio="500"/>
  </bookViews>
  <sheets>
    <sheet name="Batch_List" sheetId="1" r:id="rId1"/>
    <sheet name="Summary" sheetId="7" r:id="rId2"/>
    <sheet name="Years" sheetId="9" r:id="rId3"/>
    <sheet name="GapM" sheetId="13" r:id="rId4"/>
    <sheet name="Backups" sheetId="12" r:id="rId5"/>
  </sheets>
  <externalReferences>
    <externalReference r:id="rId6"/>
  </externalReferences>
  <definedNames>
    <definedName name="ColDir">Batch_List!$J$2</definedName>
    <definedName name="ColFormat">Batch_List!$D$2</definedName>
    <definedName name="CountryRM">Batch_List!$O$2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1" l="1"/>
  <c r="G19" i="1"/>
  <c r="G4" i="1"/>
  <c r="J4" i="1"/>
  <c r="G5" i="1"/>
  <c r="J5" i="1"/>
  <c r="G6" i="1"/>
  <c r="J6" i="1"/>
  <c r="G7" i="1"/>
  <c r="J7" i="1"/>
  <c r="G8" i="1"/>
  <c r="J8" i="1"/>
  <c r="G9" i="1"/>
  <c r="J9" i="1"/>
  <c r="G10" i="1"/>
  <c r="J10" i="1"/>
  <c r="G11" i="1"/>
  <c r="J11" i="1"/>
  <c r="G12" i="1"/>
  <c r="J12" i="1"/>
  <c r="G13" i="1"/>
  <c r="J13" i="1"/>
  <c r="G14" i="1"/>
  <c r="J14" i="1"/>
  <c r="G15" i="1"/>
  <c r="J15" i="1"/>
  <c r="G16" i="1"/>
  <c r="J16" i="1"/>
  <c r="G17" i="1"/>
  <c r="J17" i="1"/>
  <c r="J19" i="1"/>
  <c r="G20" i="1"/>
  <c r="J20" i="1"/>
  <c r="G21" i="1"/>
  <c r="J21" i="1"/>
  <c r="G22" i="1"/>
  <c r="J22" i="1"/>
  <c r="G23" i="1"/>
  <c r="J23" i="1"/>
  <c r="G24" i="1"/>
  <c r="J24" i="1"/>
  <c r="G25" i="1"/>
  <c r="J25" i="1"/>
  <c r="G26" i="1"/>
  <c r="J26" i="1"/>
  <c r="G27" i="1"/>
  <c r="J27" i="1"/>
  <c r="G28" i="1"/>
  <c r="J28" i="1"/>
  <c r="G29" i="1"/>
  <c r="J29" i="1"/>
  <c r="G30" i="1"/>
  <c r="J30" i="1"/>
  <c r="G31" i="1"/>
  <c r="J31" i="1"/>
  <c r="G32" i="1"/>
  <c r="J32" i="1"/>
  <c r="G33" i="1"/>
  <c r="J33" i="1"/>
  <c r="G34" i="1"/>
  <c r="J34" i="1"/>
  <c r="G35" i="1"/>
  <c r="J35" i="1"/>
  <c r="G36" i="1"/>
  <c r="J36" i="1"/>
  <c r="G3" i="1"/>
  <c r="J3" i="1"/>
</calcChain>
</file>

<file path=xl/sharedStrings.xml><?xml version="1.0" encoding="utf-8"?>
<sst xmlns="http://schemas.openxmlformats.org/spreadsheetml/2006/main" count="2222" uniqueCount="594">
  <si>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</si>
  <si>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</si>
  <si>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</si>
  <si>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</si>
  <si>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</si>
  <si>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</si>
  <si>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</si>
  <si>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</si>
  <si>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</si>
  <si>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</si>
  <si>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</si>
  <si>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</si>
  <si>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</si>
  <si>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</si>
  <si>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</si>
  <si>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</si>
  <si>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</si>
  <si>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</si>
  <si>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</si>
  <si>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</si>
  <si>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</si>
  <si>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</si>
  <si>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</si>
  <si>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</si>
  <si>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</si>
  <si>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</si>
  <si>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</si>
  <si>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</si>
  <si>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</si>
  <si>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</si>
  <si>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</si>
  <si>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</si>
  <si>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</si>
  <si>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</si>
  <si>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</si>
  <si>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</si>
  <si>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</si>
  <si>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</si>
  <si>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</si>
  <si>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</si>
  <si>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</si>
  <si>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</si>
  <si>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</si>
  <si>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</si>
  <si>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</si>
  <si>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</si>
  <si>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</si>
  <si>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</si>
  <si>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</si>
  <si>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</si>
  <si>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</si>
  <si>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</si>
  <si>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</si>
  <si>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</si>
  <si>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</si>
  <si>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</si>
  <si>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</si>
  <si>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</si>
  <si>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</si>
  <si>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</si>
  <si>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</si>
  <si>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</si>
  <si>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</si>
  <si>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</si>
  <si>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</si>
  <si>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</si>
  <si>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</si>
  <si>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</si>
  <si>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</si>
  <si>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</si>
  <si>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</si>
  <si>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</si>
  <si>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</si>
  <si>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</si>
  <si>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</si>
  <si>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</si>
  <si>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</si>
  <si>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</si>
  <si>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</si>
  <si>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</si>
  <si>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Bolivia, Plurinational State of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</si>
  <si>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</si>
  <si>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</si>
  <si>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</si>
  <si>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</si>
  <si>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</si>
  <si>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</si>
  <si>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</si>
  <si>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</si>
  <si>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</si>
  <si>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</si>
  <si>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</si>
  <si>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</si>
  <si>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</si>
  <si>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</si>
  <si>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</si>
  <si>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</si>
  <si>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</si>
  <si>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</si>
  <si>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</si>
  <si>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</si>
  <si>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</si>
  <si>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</si>
  <si>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</si>
  <si>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</si>
  <si>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</si>
  <si>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</si>
  <si>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</si>
  <si>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</si>
  <si>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</si>
  <si>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</si>
  <si>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</si>
  <si>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</si>
  <si>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</si>
  <si>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</si>
  <si>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</si>
  <si>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</si>
  <si>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</si>
  <si>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Congo, the Democratic Republic of the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</si>
  <si>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</si>
  <si>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</si>
  <si>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</si>
  <si>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</si>
  <si>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</si>
  <si>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</si>
  <si>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</si>
  <si>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</si>
  <si>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</si>
  <si>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</si>
  <si>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</si>
  <si>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</si>
  <si>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</si>
  <si>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</si>
  <si>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</si>
  <si>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</si>
  <si>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</si>
  <si>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</si>
  <si>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</si>
  <si>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</si>
  <si>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</si>
  <si>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</si>
  <si>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</si>
  <si>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</si>
  <si>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</si>
  <si>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</si>
  <si>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</si>
  <si>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</si>
  <si>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</si>
  <si>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</si>
  <si>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</si>
  <si>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</si>
  <si>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</si>
  <si>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</si>
  <si>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</si>
  <si>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</si>
  <si>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</si>
  <si>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</si>
  <si>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</si>
  <si>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</si>
  <si>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</si>
  <si>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</si>
  <si>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</si>
  <si>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</si>
  <si>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</si>
  <si>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</si>
  <si>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</si>
  <si>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</si>
  <si>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</si>
  <si>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</si>
  <si>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</si>
  <si>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</si>
  <si>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</si>
  <si>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</si>
  <si>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</si>
  <si>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</si>
  <si>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</si>
  <si>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</si>
  <si>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</si>
  <si>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</si>
  <si>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</si>
  <si>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</si>
  <si>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</si>
  <si>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</si>
  <si>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</si>
  <si>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</si>
  <si>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</si>
  <si>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</si>
  <si>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</si>
  <si>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</si>
  <si>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</si>
  <si>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</si>
  <si>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</si>
  <si>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</si>
  <si>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</si>
  <si>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</si>
  <si>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</si>
  <si>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</si>
  <si>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</si>
  <si>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</si>
  <si>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</si>
  <si>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</si>
  <si>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</si>
  <si>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</si>
  <si>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</si>
  <si>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</si>
  <si>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</si>
  <si>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</si>
  <si>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</si>
  <si>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</si>
  <si>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</si>
  <si>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</si>
  <si>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</si>
  <si>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</si>
  <si>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</si>
  <si>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</si>
  <si>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</si>
  <si>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</si>
  <si>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</si>
  <si>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</si>
  <si>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</si>
  <si>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</si>
  <si>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</si>
  <si>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</si>
  <si>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</si>
  <si>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</si>
  <si>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</si>
  <si>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</si>
  <si>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</si>
  <si>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</si>
  <si>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</si>
  <si>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</si>
  <si>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</si>
  <si>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</si>
  <si>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</si>
  <si>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</si>
  <si>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</si>
  <si>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</si>
  <si>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</si>
  <si>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</si>
  <si>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</si>
  <si>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</si>
  <si>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</si>
  <si>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</si>
  <si>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</si>
  <si>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</si>
  <si>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</si>
  <si>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</si>
  <si>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</si>
  <si>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</si>
  <si>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</si>
  <si>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</si>
  <si>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</si>
  <si>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</si>
  <si>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</si>
  <si>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</si>
  <si>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</si>
  <si>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</si>
  <si>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</si>
  <si>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</si>
  <si>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</si>
  <si>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</si>
  <si>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</si>
  <si>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</si>
  <si>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</si>
  <si>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</si>
  <si>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</si>
  <si>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</si>
  <si>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</si>
  <si>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</si>
  <si>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</si>
  <si>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</si>
  <si>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</si>
  <si>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</si>
  <si>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</si>
  <si>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</si>
  <si>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</si>
  <si>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</si>
  <si>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</si>
  <si>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</si>
  <si>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</si>
  <si>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</si>
  <si>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</si>
  <si>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</si>
  <si>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</si>
  <si>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</si>
  <si>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</si>
  <si>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</si>
  <si>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</si>
  <si>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</si>
  <si>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</si>
  <si>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</si>
  <si>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</si>
  <si>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</si>
  <si>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</si>
  <si>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</si>
  <si>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</si>
  <si>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</si>
  <si>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</si>
  <si>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</si>
  <si>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</si>
  <si>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</si>
  <si>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</si>
  <si>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</si>
  <si>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</si>
  <si>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</si>
  <si>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</si>
  <si>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</si>
  <si>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</si>
  <si>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</si>
  <si>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</si>
  <si>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</si>
  <si>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</si>
  <si>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</si>
  <si>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</si>
  <si>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</si>
  <si>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</si>
  <si>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</si>
  <si>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</si>
  <si>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</si>
  <si>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</si>
  <si>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</si>
  <si>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</si>
  <si>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</si>
  <si>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</si>
  <si>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</si>
  <si>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</si>
  <si>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</si>
  <si>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</si>
  <si>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</si>
  <si>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</si>
  <si>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</si>
  <si>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</si>
  <si>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</si>
  <si>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</si>
  <si>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</si>
  <si>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</si>
  <si>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</si>
  <si>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</si>
  <si>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</si>
  <si>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</si>
  <si>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</si>
  <si>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</si>
  <si>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</si>
  <si>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</si>
  <si>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</si>
  <si>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</si>
  <si>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</si>
  <si>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</si>
  <si>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</si>
  <si>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</si>
  <si>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</si>
  <si>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</si>
  <si>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</si>
  <si>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</si>
  <si>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</si>
  <si>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</si>
  <si>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</si>
  <si>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</si>
  <si>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</si>
  <si>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</si>
  <si>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</si>
  <si>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</si>
  <si>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</si>
  <si>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</si>
  <si>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</si>
  <si>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</si>
  <si>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</si>
  <si>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</si>
  <si>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</si>
  <si>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</si>
  <si>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</si>
  <si>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</si>
  <si>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</si>
  <si>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</si>
  <si>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</si>
  <si>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</si>
  <si>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</si>
  <si>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</si>
  <si>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</si>
  <si>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</si>
  <si>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</si>
  <si>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</si>
  <si>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</si>
  <si>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</si>
  <si>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</si>
  <si>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</si>
  <si>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</si>
  <si>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</si>
  <si>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</si>
  <si>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</si>
  <si>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</si>
  <si>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</si>
  <si>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</si>
  <si>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</si>
  <si>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</si>
  <si>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</si>
  <si>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</si>
  <si>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</si>
  <si>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</si>
  <si>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</si>
  <si>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</si>
  <si>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</si>
  <si>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</si>
  <si>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</si>
  <si>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</si>
  <si>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</si>
  <si>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</si>
  <si>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</si>
  <si>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</si>
  <si>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</si>
  <si>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</si>
  <si>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</si>
  <si>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</si>
  <si>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</si>
  <si>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</si>
  <si>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</si>
  <si>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</si>
  <si>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</si>
  <si>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</si>
  <si>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</si>
  <si>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</si>
  <si>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</si>
  <si>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</si>
  <si>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</si>
  <si>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98,6</t>
  </si>
  <si>
    <t>95,7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</si>
  <si>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</si>
  <si>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</si>
  <si>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</si>
  <si>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</si>
  <si>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</si>
  <si>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</si>
  <si>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</si>
  <si>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</si>
  <si>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</si>
  <si>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</si>
  <si>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</si>
  <si>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</si>
  <si>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</si>
  <si>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</si>
  <si>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</si>
  <si>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</si>
  <si>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</si>
  <si>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</si>
  <si>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</si>
  <si>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</si>
  <si>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</si>
  <si>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</si>
  <si>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</si>
  <si>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</si>
  <si>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</si>
  <si>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</si>
  <si>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</si>
  <si>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</si>
  <si>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</si>
  <si>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</si>
  <si>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</si>
  <si>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</si>
  <si>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</si>
  <si>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</si>
  <si>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</si>
  <si>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</si>
  <si>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</si>
  <si>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</si>
  <si>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</si>
  <si>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</si>
  <si>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</si>
  <si>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</si>
  <si>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</si>
  <si>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</si>
  <si>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</si>
  <si>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</si>
  <si>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</si>
  <si>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</si>
  <si>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</si>
  <si>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</si>
  <si>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</si>
  <si>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raw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</si>
  <si>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</si>
  <si>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</si>
  <si>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</si>
  <si>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</si>
  <si>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</si>
  <si>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</si>
  <si>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</si>
  <si>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</si>
  <si>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Agric Yld Exp</t>
  </si>
  <si>
    <t>Water d-Ppt</t>
  </si>
  <si>
    <t>Water d-Temp</t>
  </si>
  <si>
    <t>Agric Imports</t>
  </si>
  <si>
    <t>Health Staff</t>
  </si>
  <si>
    <t>Health Longev</t>
  </si>
  <si>
    <t>Water Inf Mort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</si>
  <si>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</si>
  <si>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</si>
  <si>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</si>
  <si>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</si>
  <si>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</si>
  <si>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</si>
  <si>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</si>
  <si>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</si>
  <si>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</si>
  <si>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</si>
  <si>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</si>
  <si>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</si>
  <si>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</si>
  <si>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</si>
  <si>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</si>
  <si>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</si>
  <si>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</si>
  <si>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</si>
  <si>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</si>
  <si>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</si>
  <si>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</si>
  <si>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</si>
  <si>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</si>
  <si>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</si>
  <si>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</si>
  <si>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</si>
  <si>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</si>
  <si>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</si>
  <si>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</si>
  <si>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</si>
  <si>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</si>
  <si>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</si>
  <si>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</si>
  <si>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</si>
  <si>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</si>
  <si>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</si>
  <si>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</si>
  <si>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</si>
  <si>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</si>
  <si>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</si>
  <si>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</si>
  <si>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</si>
  <si>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</si>
  <si>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</si>
  <si>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</si>
  <si>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</si>
  <si>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</si>
  <si>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</si>
  <si>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</si>
  <si>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</si>
  <si>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</si>
  <si>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</si>
  <si>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</si>
  <si>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</si>
  <si>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</si>
  <si>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</si>
  <si>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</si>
  <si>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</si>
  <si>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</si>
  <si>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</si>
  <si>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</si>
  <si>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</si>
  <si>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</si>
  <si>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</si>
  <si>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</si>
  <si>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</si>
  <si>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</si>
  <si>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</si>
  <si>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</si>
  <si>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</si>
  <si>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</si>
  <si>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Inf Mort.xls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</si>
  <si>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</si>
  <si>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</si>
  <si>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</si>
  <si>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</si>
  <si>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</si>
  <si>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</si>
  <si>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</si>
  <si>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</si>
  <si>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</si>
  <si>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</si>
  <si>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</si>
  <si>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</si>
  <si>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Trend</t>
  </si>
  <si>
    <t>Cap Low</t>
  </si>
  <si>
    <t>Cap Hi</t>
  </si>
  <si>
    <t>Dir</t>
  </si>
  <si>
    <t>Match</t>
  </si>
  <si>
    <t>X-GNI pc.xls</t>
  </si>
  <si>
    <t>Reserve Master List</t>
  </si>
  <si>
    <t>Do not change the blue labels below - they are used to find the data</t>
  </si>
  <si>
    <t>RUNNING</t>
  </si>
  <si>
    <t>Country</t>
  </si>
  <si>
    <t>ISO3</t>
  </si>
  <si>
    <t xml:space="preserve">   Sheet missing</t>
  </si>
  <si>
    <t>Health Disease</t>
  </si>
  <si>
    <t>Health Disease.xls</t>
  </si>
  <si>
    <t xml:space="preserve">OK   </t>
  </si>
  <si>
    <t>Agric Yld Proj.xls</t>
  </si>
  <si>
    <t>Agric Yld Proj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</si>
</sst>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###"/>
    <numFmt numFmtId="165" formatCode="0.0"/>
    <numFmt numFmtId="166" formatCode="0.000"/>
  </numFmts>
  <fonts count="10" x14ac:knownFonts="1"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indexed="1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NumberFormat="1" applyFont="1" applyFill="1" applyAlignment="1"/>
    <xf numFmtId="0" fontId="0" fillId="4" borderId="0" xfId="0" applyNumberFormat="1" applyFont="1" applyFill="1" applyAlignment="1">
      <alignment wrapText="1"/>
    </xf>
    <xf numFmtId="0" fontId="0" fillId="0" borderId="0" xfId="0" quotePrefix="1"/>
    <xf numFmtId="164" fontId="0" fillId="0" borderId="0" xfId="0" applyNumberFormat="1"/>
    <xf numFmtId="0" fontId="5" fillId="0" borderId="0" xfId="0" applyFon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4" fillId="3" borderId="0" xfId="0" applyFont="1" applyFill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4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0" fontId="9" fillId="2" borderId="0" xfId="0" applyFont="1" applyFill="1" applyAlignment="1">
      <alignment horizontal="center"/>
    </xf>
    <xf numFmtId="165" fontId="0" fillId="7" borderId="0" xfId="0" applyNumberFormat="1" applyFill="1"/>
    <xf numFmtId="1" fontId="0" fillId="0" borderId="0" xfId="0" applyNumberFormat="1"/>
    <xf numFmtId="0" fontId="0" fillId="5" borderId="0" xfId="0" applyFill="1" applyAlignment="1">
      <alignment horizontal="center"/>
    </xf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3</xdr:row>
          <xdr:rowOff>12700</xdr:rowOff>
        </xdr:from>
        <xdr:to>
          <xdr:col>12</xdr:col>
          <xdr:colOff>254000</xdr:colOff>
          <xdr:row>5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8</xdr:row>
          <xdr:rowOff>165100</xdr:rowOff>
        </xdr:from>
        <xdr:to>
          <xdr:col>12</xdr:col>
          <xdr:colOff>279400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5</xdr:row>
          <xdr:rowOff>177800</xdr:rowOff>
        </xdr:from>
        <xdr:to>
          <xdr:col>12</xdr:col>
          <xdr:colOff>254000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11</xdr:row>
          <xdr:rowOff>165100</xdr:rowOff>
        </xdr:from>
        <xdr:to>
          <xdr:col>12</xdr:col>
          <xdr:colOff>215900</xdr:colOff>
          <xdr:row>14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in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dicators"/>
      <sheetName val="Options"/>
      <sheetName val="Readiness"/>
      <sheetName val="Vulnerability"/>
      <sheetName val="Food"/>
      <sheetName val="Water"/>
      <sheetName val="Health"/>
      <sheetName val="Coast"/>
      <sheetName val="Infrastructure"/>
      <sheetName val="Energy"/>
      <sheetName val="Transportation"/>
      <sheetName val="Exposure"/>
      <sheetName val="Sensitivity"/>
      <sheetName val="Capacity"/>
      <sheetName val="GaIn"/>
      <sheetName val="Data reporting"/>
      <sheetName val="Missing"/>
      <sheetName val="R,V tracks"/>
      <sheetName val="Rankings"/>
      <sheetName val="Merged"/>
      <sheetName val="Country"/>
      <sheetName val="Readiness-static"/>
    </sheetNames>
    <sheetDataSet>
      <sheetData sheetId="0">
        <row r="4">
          <cell r="D4">
            <v>0</v>
          </cell>
          <cell r="F4" t="str">
            <v>R-IEF</v>
          </cell>
        </row>
        <row r="5">
          <cell r="D5">
            <v>0</v>
          </cell>
          <cell r="F5" t="str">
            <v>R-WGI va</v>
          </cell>
        </row>
        <row r="6">
          <cell r="D6">
            <v>0</v>
          </cell>
          <cell r="F6" t="str">
            <v>R-WGI psnv</v>
          </cell>
        </row>
        <row r="7">
          <cell r="D7">
            <v>0</v>
          </cell>
          <cell r="F7" t="str">
            <v>R-Mobiles</v>
          </cell>
        </row>
        <row r="8">
          <cell r="D8">
            <v>0</v>
          </cell>
          <cell r="F8" t="str">
            <v>R-enrollment</v>
          </cell>
        </row>
        <row r="9">
          <cell r="D9">
            <v>0</v>
          </cell>
          <cell r="F9" t="str">
            <v>R-Reporting</v>
          </cell>
        </row>
        <row r="13">
          <cell r="D13">
            <v>0</v>
          </cell>
          <cell r="F13" t="str">
            <v>Agric Yld Exp</v>
          </cell>
        </row>
        <row r="14">
          <cell r="D14">
            <v>1</v>
          </cell>
          <cell r="F14" t="str">
            <v>Agric Yield CV</v>
          </cell>
        </row>
        <row r="15">
          <cell r="D15">
            <v>1</v>
          </cell>
          <cell r="F15" t="str">
            <v>Water d-Ppt</v>
          </cell>
        </row>
        <row r="16">
          <cell r="D16">
            <v>1</v>
          </cell>
          <cell r="F16" t="str">
            <v>Water d-Temp</v>
          </cell>
        </row>
        <row r="17">
          <cell r="D17">
            <v>1</v>
          </cell>
          <cell r="F17" t="str">
            <v>Health DALYs</v>
          </cell>
        </row>
        <row r="18">
          <cell r="D18">
            <v>1</v>
          </cell>
          <cell r="F18" t="str">
            <v>Water Inf Mort</v>
          </cell>
        </row>
        <row r="19">
          <cell r="D19">
            <v>1</v>
          </cell>
          <cell r="F19" t="str">
            <v>Coast Area</v>
          </cell>
        </row>
        <row r="20">
          <cell r="D20">
            <v>1</v>
          </cell>
          <cell r="F20" t="str">
            <v>Road Floods</v>
          </cell>
        </row>
        <row r="21">
          <cell r="D21">
            <v>0</v>
          </cell>
          <cell r="F21" t="str">
            <v>Energy Access</v>
          </cell>
        </row>
        <row r="24">
          <cell r="D24">
            <v>1</v>
          </cell>
          <cell r="F24" t="str">
            <v>Agric rural popn</v>
          </cell>
        </row>
        <row r="25">
          <cell r="D25">
            <v>1</v>
          </cell>
          <cell r="F25" t="str">
            <v>Agric Imports</v>
          </cell>
        </row>
        <row r="26">
          <cell r="D26">
            <v>1</v>
          </cell>
          <cell r="F26" t="str">
            <v>Water Use</v>
          </cell>
        </row>
        <row r="27">
          <cell r="D27">
            <v>1</v>
          </cell>
          <cell r="F27" t="str">
            <v>Water Disease</v>
          </cell>
        </row>
        <row r="28">
          <cell r="D28">
            <v>0</v>
          </cell>
          <cell r="F28" t="str">
            <v>Health Staff</v>
          </cell>
        </row>
        <row r="29">
          <cell r="D29">
            <v>1</v>
          </cell>
          <cell r="F29" t="str">
            <v>Health External</v>
          </cell>
        </row>
        <row r="30">
          <cell r="D30">
            <v>1</v>
          </cell>
          <cell r="F30" t="str">
            <v>Coast Popn</v>
          </cell>
        </row>
        <row r="31">
          <cell r="D31">
            <v>0</v>
          </cell>
          <cell r="F31" t="str">
            <v>Road Paved</v>
          </cell>
        </row>
        <row r="32">
          <cell r="D32">
            <v>1</v>
          </cell>
          <cell r="F32" t="str">
            <v>Energy Sensit</v>
          </cell>
        </row>
        <row r="35">
          <cell r="D35">
            <v>0</v>
          </cell>
          <cell r="F35" t="str">
            <v>Agric Capacity</v>
          </cell>
        </row>
        <row r="36">
          <cell r="D36">
            <v>1</v>
          </cell>
          <cell r="F36" t="str">
            <v>Agric Malnutr</v>
          </cell>
        </row>
        <row r="37">
          <cell r="D37">
            <v>0</v>
          </cell>
          <cell r="F37" t="str">
            <v>Water Acess</v>
          </cell>
        </row>
        <row r="38">
          <cell r="D38">
            <v>0</v>
          </cell>
          <cell r="F38" t="str">
            <v>Water Sanit</v>
          </cell>
        </row>
        <row r="39">
          <cell r="D39">
            <v>0</v>
          </cell>
          <cell r="F39" t="str">
            <v>Health Longev</v>
          </cell>
        </row>
        <row r="40">
          <cell r="D40">
            <v>1</v>
          </cell>
          <cell r="F40" t="str">
            <v>Health Matern</v>
          </cell>
        </row>
        <row r="41">
          <cell r="D41">
            <v>0</v>
          </cell>
        </row>
        <row r="42">
          <cell r="D42">
            <v>1</v>
          </cell>
        </row>
        <row r="43">
          <cell r="D43">
            <v>0</v>
          </cell>
        </row>
        <row r="46">
          <cell r="F46" t="str">
            <v>X-Popn</v>
          </cell>
        </row>
        <row r="47">
          <cell r="F47" t="str">
            <v>X-GNI pc</v>
          </cell>
        </row>
        <row r="48">
          <cell r="F48" t="str">
            <v>X- GDP pc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3078"/>
  <sheetViews>
    <sheetView tabSelected="1" workbookViewId="0">
      <selection activeCell="H45" sqref="H45"/>
    </sheetView>
  </sheetViews>
  <sheetFormatPr baseColWidth="10" defaultRowHeight="15" x14ac:dyDescent="0"/>
  <cols>
    <col min="3" max="3" width="24.33203125" customWidth="1"/>
    <col min="5" max="5" width="21.33203125" customWidth="1"/>
    <col min="6" max="6" width="13.83203125" customWidth="1"/>
    <col min="7" max="7" width="5.83203125" customWidth="1"/>
    <col min="8" max="8" width="7.6640625" customWidth="1"/>
    <col min="9" max="9" width="7.83203125" customWidth="1"/>
    <col min="10" max="10" width="7" customWidth="1"/>
    <col min="15" max="15" width="10.83203125" style="14"/>
    <col min="16" max="16" width="10.83203125" style="17"/>
    <col min="22" max="22" width="22.33203125" customWidth="1"/>
  </cols>
  <sheetData>
    <row r="1" spans="1:22">
      <c r="A1" s="3" t="s">
        <v>477</v>
      </c>
      <c r="C1" s="22" t="s">
        <v>584</v>
      </c>
      <c r="D1" s="23"/>
      <c r="E1" s="23"/>
      <c r="F1" s="23"/>
      <c r="G1" s="23"/>
      <c r="H1" s="23"/>
      <c r="I1" s="23"/>
      <c r="J1" s="23"/>
      <c r="K1" s="23"/>
      <c r="L1" s="23"/>
      <c r="O1" s="27" t="s">
        <v>583</v>
      </c>
      <c r="P1" s="27"/>
    </row>
    <row r="2" spans="1:22">
      <c r="B2" s="21" t="s">
        <v>36</v>
      </c>
      <c r="C2" s="2" t="s">
        <v>38</v>
      </c>
      <c r="D2" s="2" t="s">
        <v>431</v>
      </c>
      <c r="E2" s="24" t="s">
        <v>585</v>
      </c>
      <c r="F2" s="2"/>
      <c r="G2" s="2" t="s">
        <v>581</v>
      </c>
      <c r="H2" s="2" t="s">
        <v>578</v>
      </c>
      <c r="I2" s="2" t="s">
        <v>579</v>
      </c>
      <c r="J2" s="2" t="s">
        <v>580</v>
      </c>
      <c r="K2" s="2"/>
      <c r="L2" s="2"/>
      <c r="O2" s="2" t="s">
        <v>586</v>
      </c>
      <c r="P2" s="2" t="s">
        <v>587</v>
      </c>
    </row>
    <row r="3" spans="1:22">
      <c r="B3" s="17" t="s">
        <v>575</v>
      </c>
      <c r="C3" t="s">
        <v>541</v>
      </c>
      <c r="D3" s="6" t="s">
        <v>429</v>
      </c>
      <c r="E3" t="s">
        <v>588</v>
      </c>
      <c r="F3" t="s">
        <v>480</v>
      </c>
      <c r="G3" s="26">
        <f>MATCH(F3,[1]Indicators!$F$4:$F$48,0)</f>
        <v>32</v>
      </c>
      <c r="J3">
        <f>INDEX([1]Indicators!$D$4:$D$48,G3)</f>
        <v>0</v>
      </c>
      <c r="O3" s="12" t="s">
        <v>40</v>
      </c>
      <c r="P3" s="15" t="s">
        <v>39</v>
      </c>
      <c r="U3" t="s">
        <v>506</v>
      </c>
      <c r="V3" t="s">
        <v>4</v>
      </c>
    </row>
    <row r="4" spans="1:22">
      <c r="B4" s="17" t="s">
        <v>575</v>
      </c>
      <c r="C4" t="s">
        <v>542</v>
      </c>
      <c r="D4" s="6" t="s">
        <v>428</v>
      </c>
      <c r="E4" t="s">
        <v>591</v>
      </c>
      <c r="F4" t="s">
        <v>489</v>
      </c>
      <c r="G4" s="26">
        <f>MATCH(F4,[1]Indicators!$F$4:$F$48,0)</f>
        <v>22</v>
      </c>
      <c r="J4">
        <f>INDEX([1]Indicators!$D$4:$D$48,G4)</f>
        <v>1</v>
      </c>
      <c r="O4" s="12" t="s">
        <v>42</v>
      </c>
      <c r="P4" s="15" t="s">
        <v>41</v>
      </c>
      <c r="U4" t="s">
        <v>507</v>
      </c>
      <c r="V4" t="s">
        <v>0</v>
      </c>
    </row>
    <row r="5" spans="1:22">
      <c r="B5" s="17" t="s">
        <v>575</v>
      </c>
      <c r="C5" t="s">
        <v>543</v>
      </c>
      <c r="D5" s="6" t="s">
        <v>429</v>
      </c>
      <c r="E5" t="s">
        <v>591</v>
      </c>
      <c r="F5" t="s">
        <v>498</v>
      </c>
      <c r="G5" s="26">
        <f>MATCH(F5,[1]Indicators!$F$4:$F$48,0)</f>
        <v>33</v>
      </c>
      <c r="J5">
        <f>INDEX([1]Indicators!$D$4:$D$48,G5)</f>
        <v>1</v>
      </c>
      <c r="O5" s="12" t="s">
        <v>44</v>
      </c>
      <c r="P5" s="15" t="s">
        <v>43</v>
      </c>
      <c r="U5" t="s">
        <v>508</v>
      </c>
      <c r="V5" t="s">
        <v>3</v>
      </c>
    </row>
    <row r="6" spans="1:22">
      <c r="B6" s="17" t="s">
        <v>575</v>
      </c>
      <c r="C6" t="s">
        <v>569</v>
      </c>
      <c r="D6" s="6" t="s">
        <v>429</v>
      </c>
      <c r="E6" t="s">
        <v>591</v>
      </c>
      <c r="F6" s="9" t="s">
        <v>497</v>
      </c>
      <c r="G6" s="26">
        <f>MATCH(F6,[1]Indicators!$F$4:$F$48,0)</f>
        <v>21</v>
      </c>
      <c r="J6">
        <f>INDEX([1]Indicators!$D$4:$D$48,G6)</f>
        <v>1</v>
      </c>
      <c r="O6" s="12" t="s">
        <v>46</v>
      </c>
      <c r="P6" s="15" t="s">
        <v>45</v>
      </c>
      <c r="U6" t="s">
        <v>509</v>
      </c>
      <c r="V6" t="s">
        <v>1</v>
      </c>
    </row>
    <row r="7" spans="1:22">
      <c r="B7" s="17" t="s">
        <v>575</v>
      </c>
      <c r="C7" t="s">
        <v>570</v>
      </c>
      <c r="D7" s="6" t="s">
        <v>428</v>
      </c>
      <c r="E7" t="s">
        <v>591</v>
      </c>
      <c r="F7" s="9" t="s">
        <v>499</v>
      </c>
      <c r="G7" s="26">
        <f>MATCH(F7,[1]Indicators!$F$4:$F$48,0)</f>
        <v>11</v>
      </c>
      <c r="J7">
        <f>INDEX([1]Indicators!$D$4:$D$48,G7)</f>
        <v>1</v>
      </c>
      <c r="O7" s="12" t="s">
        <v>48</v>
      </c>
      <c r="P7" s="15" t="s">
        <v>47</v>
      </c>
      <c r="U7" t="s">
        <v>510</v>
      </c>
      <c r="V7" t="s">
        <v>2</v>
      </c>
    </row>
    <row r="8" spans="1:22">
      <c r="B8" s="17" t="s">
        <v>575</v>
      </c>
      <c r="C8" t="s">
        <v>592</v>
      </c>
      <c r="D8" s="6" t="s">
        <v>428</v>
      </c>
      <c r="E8" t="s">
        <v>591</v>
      </c>
      <c r="F8" s="9" t="s">
        <v>593</v>
      </c>
      <c r="G8" s="26" t="e">
        <f>MATCH(F8,[1]Indicators!$F$4:$F$48,0)</f>
        <v>#N/A</v>
      </c>
      <c r="J8" t="e">
        <f>INDEX([1]Indicators!$D$4:$D$48,G8)</f>
        <v>#N/A</v>
      </c>
      <c r="O8" s="12" t="s">
        <v>50</v>
      </c>
      <c r="P8" s="15" t="s">
        <v>49</v>
      </c>
      <c r="U8" t="s">
        <v>511</v>
      </c>
      <c r="V8" s="1" t="s">
        <v>35</v>
      </c>
    </row>
    <row r="9" spans="1:22">
      <c r="B9" s="17" t="s">
        <v>575</v>
      </c>
      <c r="C9" t="s">
        <v>544</v>
      </c>
      <c r="D9" s="6" t="s">
        <v>429</v>
      </c>
      <c r="E9" t="s">
        <v>591</v>
      </c>
      <c r="F9" s="9" t="s">
        <v>481</v>
      </c>
      <c r="G9" s="26">
        <f>MATCH(F9,[1]Indicators!$F$4:$F$48,0)</f>
        <v>16</v>
      </c>
      <c r="J9">
        <f>INDEX([1]Indicators!$D$4:$D$48,G9)</f>
        <v>1</v>
      </c>
      <c r="O9" s="12" t="s">
        <v>52</v>
      </c>
      <c r="P9" s="15" t="s">
        <v>51</v>
      </c>
      <c r="U9" t="s">
        <v>537</v>
      </c>
      <c r="V9" s="1" t="s">
        <v>5</v>
      </c>
    </row>
    <row r="10" spans="1:22">
      <c r="B10" s="17" t="s">
        <v>575</v>
      </c>
      <c r="C10" t="s">
        <v>545</v>
      </c>
      <c r="D10" s="6" t="s">
        <v>429</v>
      </c>
      <c r="E10" t="s">
        <v>591</v>
      </c>
      <c r="F10" s="9" t="s">
        <v>482</v>
      </c>
      <c r="G10" s="26">
        <f>MATCH(F10,[1]Indicators!$F$4:$F$48,0)</f>
        <v>27</v>
      </c>
      <c r="J10">
        <f>INDEX([1]Indicators!$D$4:$D$48,G10)</f>
        <v>1</v>
      </c>
      <c r="O10" s="12" t="s">
        <v>54</v>
      </c>
      <c r="P10" s="15" t="s">
        <v>53</v>
      </c>
      <c r="U10" t="s">
        <v>512</v>
      </c>
      <c r="V10" t="s">
        <v>6</v>
      </c>
    </row>
    <row r="11" spans="1:22">
      <c r="B11" s="17" t="s">
        <v>575</v>
      </c>
      <c r="C11" t="s">
        <v>546</v>
      </c>
      <c r="D11" s="6" t="s">
        <v>429</v>
      </c>
      <c r="E11" t="s">
        <v>591</v>
      </c>
      <c r="F11" s="9" t="s">
        <v>479</v>
      </c>
      <c r="G11" s="26">
        <f>MATCH(F11,[1]Indicators!$F$4:$F$48,0)</f>
        <v>18</v>
      </c>
      <c r="J11">
        <f>INDEX([1]Indicators!$D$4:$D$48,G11)</f>
        <v>0</v>
      </c>
      <c r="O11" s="12" t="s">
        <v>56</v>
      </c>
      <c r="P11" s="15" t="s">
        <v>55</v>
      </c>
      <c r="U11" t="s">
        <v>513</v>
      </c>
      <c r="V11" t="s">
        <v>7</v>
      </c>
    </row>
    <row r="12" spans="1:22">
      <c r="B12" s="17" t="s">
        <v>575</v>
      </c>
      <c r="C12" t="s">
        <v>547</v>
      </c>
      <c r="D12" s="6" t="s">
        <v>429</v>
      </c>
      <c r="E12" t="s">
        <v>591</v>
      </c>
      <c r="F12" s="9" t="s">
        <v>484</v>
      </c>
      <c r="G12" s="26">
        <f>MATCH(F12,[1]Indicators!$F$4:$F$48,0)</f>
        <v>29</v>
      </c>
      <c r="J12">
        <f>INDEX([1]Indicators!$D$4:$D$48,G12)</f>
        <v>1</v>
      </c>
      <c r="O12" s="12" t="s">
        <v>58</v>
      </c>
      <c r="P12" s="15" t="s">
        <v>57</v>
      </c>
      <c r="U12" t="s">
        <v>514</v>
      </c>
      <c r="V12" t="s">
        <v>8</v>
      </c>
    </row>
    <row r="13" spans="1:22">
      <c r="B13" s="17" t="s">
        <v>575</v>
      </c>
      <c r="C13" t="s">
        <v>548</v>
      </c>
      <c r="D13" s="6" t="s">
        <v>428</v>
      </c>
      <c r="E13" t="s">
        <v>591</v>
      </c>
      <c r="F13" s="9" t="s">
        <v>539</v>
      </c>
      <c r="G13" s="26">
        <f>MATCH(F13,[1]Indicators!$F$4:$F$48,0)</f>
        <v>14</v>
      </c>
      <c r="J13">
        <f>INDEX([1]Indicators!$D$4:$D$48,G13)</f>
        <v>1</v>
      </c>
      <c r="O13" s="12" t="s">
        <v>60</v>
      </c>
      <c r="P13" s="15" t="s">
        <v>59</v>
      </c>
      <c r="U13" t="s">
        <v>515</v>
      </c>
      <c r="V13" t="s">
        <v>9</v>
      </c>
    </row>
    <row r="14" spans="1:22">
      <c r="B14" s="17" t="s">
        <v>575</v>
      </c>
      <c r="C14" t="s">
        <v>549</v>
      </c>
      <c r="D14" s="6" t="s">
        <v>429</v>
      </c>
      <c r="E14" t="s">
        <v>591</v>
      </c>
      <c r="F14" s="9" t="s">
        <v>485</v>
      </c>
      <c r="G14" s="26">
        <f>MATCH(F14,[1]Indicators!$F$4:$F$48,0)</f>
        <v>26</v>
      </c>
      <c r="J14">
        <f>INDEX([1]Indicators!$D$4:$D$48,G14)</f>
        <v>1</v>
      </c>
      <c r="O14" s="12" t="s">
        <v>62</v>
      </c>
      <c r="P14" s="15" t="s">
        <v>61</v>
      </c>
      <c r="V14" t="s">
        <v>10</v>
      </c>
    </row>
    <row r="15" spans="1:22">
      <c r="B15" s="17" t="s">
        <v>575</v>
      </c>
      <c r="C15" t="s">
        <v>550</v>
      </c>
      <c r="D15" s="6" t="s">
        <v>429</v>
      </c>
      <c r="E15" t="s">
        <v>591</v>
      </c>
      <c r="F15" s="9" t="s">
        <v>491</v>
      </c>
      <c r="G15" s="26">
        <f>MATCH(F15,[1]Indicators!$F$4:$F$48,0)</f>
        <v>36</v>
      </c>
      <c r="J15">
        <f>INDEX([1]Indicators!$D$4:$D$48,G15)</f>
        <v>0</v>
      </c>
      <c r="O15" s="12" t="s">
        <v>64</v>
      </c>
      <c r="P15" s="15" t="s">
        <v>63</v>
      </c>
      <c r="U15" t="s">
        <v>516</v>
      </c>
      <c r="V15" t="s">
        <v>11</v>
      </c>
    </row>
    <row r="16" spans="1:22">
      <c r="B16" s="17" t="s">
        <v>575</v>
      </c>
      <c r="C16" t="s">
        <v>551</v>
      </c>
      <c r="D16" s="6" t="s">
        <v>428</v>
      </c>
      <c r="E16" t="s">
        <v>591</v>
      </c>
      <c r="F16" s="9" t="s">
        <v>500</v>
      </c>
      <c r="G16" s="26">
        <f>MATCH(F16,[1]Indicators!$F$4:$F$48,0)</f>
        <v>37</v>
      </c>
      <c r="J16">
        <f>INDEX([1]Indicators!$D$4:$D$48,G16)</f>
        <v>1</v>
      </c>
      <c r="O16" s="12" t="s">
        <v>66</v>
      </c>
      <c r="P16" s="15" t="s">
        <v>65</v>
      </c>
      <c r="U16" t="s">
        <v>517</v>
      </c>
      <c r="V16" t="s">
        <v>12</v>
      </c>
    </row>
    <row r="17" spans="2:22">
      <c r="B17" s="17" t="s">
        <v>575</v>
      </c>
      <c r="C17" t="s">
        <v>552</v>
      </c>
      <c r="D17" s="6" t="s">
        <v>429</v>
      </c>
      <c r="E17" t="s">
        <v>591</v>
      </c>
      <c r="F17" s="9" t="s">
        <v>490</v>
      </c>
      <c r="G17" s="26">
        <f>MATCH(F17,[1]Indicators!$F$4:$F$48,0)</f>
        <v>25</v>
      </c>
      <c r="J17">
        <f>INDEX([1]Indicators!$D$4:$D$48,G17)</f>
        <v>0</v>
      </c>
      <c r="O17" s="12" t="s">
        <v>68</v>
      </c>
      <c r="P17" s="15" t="s">
        <v>67</v>
      </c>
      <c r="U17" t="s">
        <v>538</v>
      </c>
      <c r="V17" t="s">
        <v>13</v>
      </c>
    </row>
    <row r="18" spans="2:22">
      <c r="B18" s="17" t="s">
        <v>575</v>
      </c>
      <c r="C18" t="s">
        <v>590</v>
      </c>
      <c r="D18" s="6" t="s">
        <v>430</v>
      </c>
      <c r="E18" t="s">
        <v>591</v>
      </c>
      <c r="F18" s="9" t="s">
        <v>589</v>
      </c>
      <c r="G18" s="26" t="e">
        <f>MATCH(F18,[1]Indicators!$F$4:$F$48,0)</f>
        <v>#N/A</v>
      </c>
      <c r="J18">
        <v>1</v>
      </c>
      <c r="O18" s="12" t="s">
        <v>70</v>
      </c>
      <c r="P18" s="15" t="s">
        <v>69</v>
      </c>
      <c r="U18" t="s">
        <v>518</v>
      </c>
      <c r="V18" t="s">
        <v>14</v>
      </c>
    </row>
    <row r="19" spans="2:22">
      <c r="B19" s="17"/>
      <c r="C19" t="s">
        <v>553</v>
      </c>
      <c r="D19" s="6" t="s">
        <v>429</v>
      </c>
      <c r="F19" s="9" t="s">
        <v>571</v>
      </c>
      <c r="G19" s="26">
        <f>MATCH(F19,[1]Indicators!$F$4:$F$48,0)</f>
        <v>5</v>
      </c>
      <c r="J19">
        <f>INDEX([1]Indicators!$D$4:$D$48,G19)</f>
        <v>0</v>
      </c>
      <c r="O19" s="12" t="s">
        <v>72</v>
      </c>
      <c r="P19" s="15" t="s">
        <v>71</v>
      </c>
      <c r="V19" t="s">
        <v>15</v>
      </c>
    </row>
    <row r="20" spans="2:22">
      <c r="B20" s="17"/>
      <c r="C20" t="s">
        <v>554</v>
      </c>
      <c r="D20" s="6" t="s">
        <v>429</v>
      </c>
      <c r="F20" s="9" t="s">
        <v>501</v>
      </c>
      <c r="G20" s="26">
        <f>MATCH(F20,[1]Indicators!$F$4:$F$48,0)</f>
        <v>1</v>
      </c>
      <c r="J20">
        <f>INDEX([1]Indicators!$D$4:$D$48,G20)</f>
        <v>0</v>
      </c>
      <c r="O20" s="12" t="s">
        <v>74</v>
      </c>
      <c r="P20" s="15" t="s">
        <v>73</v>
      </c>
      <c r="U20" t="s">
        <v>519</v>
      </c>
      <c r="V20" s="3" t="s">
        <v>16</v>
      </c>
    </row>
    <row r="21" spans="2:22">
      <c r="B21" s="17"/>
      <c r="C21" t="s">
        <v>555</v>
      </c>
      <c r="D21" s="6" t="s">
        <v>429</v>
      </c>
      <c r="F21" s="9" t="s">
        <v>502</v>
      </c>
      <c r="G21" s="26">
        <f>MATCH(F21,[1]Indicators!$F$4:$F$48,0)</f>
        <v>4</v>
      </c>
      <c r="J21">
        <f>INDEX([1]Indicators!$D$4:$D$48,G21)</f>
        <v>0</v>
      </c>
      <c r="O21" s="12" t="s">
        <v>76</v>
      </c>
      <c r="P21" s="15" t="s">
        <v>75</v>
      </c>
      <c r="U21" t="s">
        <v>520</v>
      </c>
      <c r="V21" s="3" t="s">
        <v>17</v>
      </c>
    </row>
    <row r="22" spans="2:22">
      <c r="B22" s="17"/>
      <c r="C22" t="s">
        <v>556</v>
      </c>
      <c r="D22" s="6" t="s">
        <v>429</v>
      </c>
      <c r="F22" s="9" t="s">
        <v>572</v>
      </c>
      <c r="G22" s="26">
        <f>MATCH(F22,[1]Indicators!$F$4:$F$48,0)</f>
        <v>6</v>
      </c>
      <c r="J22">
        <f>INDEX([1]Indicators!$D$4:$D$48,G22)</f>
        <v>0</v>
      </c>
      <c r="O22" s="12" t="s">
        <v>78</v>
      </c>
      <c r="P22" s="15" t="s">
        <v>77</v>
      </c>
      <c r="U22" t="s">
        <v>521</v>
      </c>
      <c r="V22" t="s">
        <v>18</v>
      </c>
    </row>
    <row r="23" spans="2:22">
      <c r="B23" s="17"/>
      <c r="C23" t="s">
        <v>557</v>
      </c>
      <c r="D23" s="6" t="s">
        <v>428</v>
      </c>
      <c r="F23" s="9" t="s">
        <v>573</v>
      </c>
      <c r="G23" s="26">
        <f>MATCH(F23,[1]Indicators!$F$4:$F$48,0)</f>
        <v>3</v>
      </c>
      <c r="J23">
        <f>INDEX([1]Indicators!$D$4:$D$48,G23)</f>
        <v>0</v>
      </c>
      <c r="O23" s="12" t="s">
        <v>432</v>
      </c>
      <c r="P23" s="15" t="s">
        <v>79</v>
      </c>
      <c r="U23" t="s">
        <v>522</v>
      </c>
      <c r="V23" t="s">
        <v>19</v>
      </c>
    </row>
    <row r="24" spans="2:22">
      <c r="B24" s="17"/>
      <c r="C24" t="s">
        <v>558</v>
      </c>
      <c r="D24" s="6" t="s">
        <v>428</v>
      </c>
      <c r="F24" s="9" t="s">
        <v>540</v>
      </c>
      <c r="G24" s="26">
        <f>MATCH(F24,[1]Indicators!$F$4:$F$48,0)</f>
        <v>2</v>
      </c>
      <c r="J24">
        <f>INDEX([1]Indicators!$D$4:$D$48,G24)</f>
        <v>0</v>
      </c>
      <c r="O24" s="12" t="s">
        <v>449</v>
      </c>
      <c r="P24" s="15" t="s">
        <v>81</v>
      </c>
      <c r="U24" t="s">
        <v>523</v>
      </c>
      <c r="V24" t="s">
        <v>20</v>
      </c>
    </row>
    <row r="25" spans="2:22">
      <c r="B25" s="17" t="s">
        <v>575</v>
      </c>
      <c r="C25" t="s">
        <v>559</v>
      </c>
      <c r="D25" s="6" t="s">
        <v>428</v>
      </c>
      <c r="E25" t="s">
        <v>591</v>
      </c>
      <c r="F25" s="9" t="s">
        <v>495</v>
      </c>
      <c r="G25" s="26">
        <f>MATCH(F25,[1]Indicators!$F$4:$F$48,0)</f>
        <v>17</v>
      </c>
      <c r="J25">
        <f>INDEX([1]Indicators!$D$4:$D$48,G25)</f>
        <v>1</v>
      </c>
      <c r="O25" s="12" t="s">
        <v>84</v>
      </c>
      <c r="P25" s="15" t="s">
        <v>83</v>
      </c>
      <c r="U25" t="s">
        <v>524</v>
      </c>
      <c r="V25" t="s">
        <v>21</v>
      </c>
    </row>
    <row r="26" spans="2:22">
      <c r="B26" s="17" t="s">
        <v>575</v>
      </c>
      <c r="C26" t="s">
        <v>560</v>
      </c>
      <c r="D26" s="6" t="s">
        <v>429</v>
      </c>
      <c r="E26" t="s">
        <v>591</v>
      </c>
      <c r="F26" s="9" t="s">
        <v>496</v>
      </c>
      <c r="G26" s="26">
        <f>MATCH(F26,[1]Indicators!$F$4:$F$48,0)</f>
        <v>28</v>
      </c>
      <c r="J26">
        <f>INDEX([1]Indicators!$D$4:$D$48,G26)</f>
        <v>0</v>
      </c>
      <c r="O26" s="12" t="s">
        <v>86</v>
      </c>
      <c r="P26" s="15" t="s">
        <v>85</v>
      </c>
      <c r="U26" t="s">
        <v>525</v>
      </c>
      <c r="V26" t="s">
        <v>22</v>
      </c>
    </row>
    <row r="27" spans="2:22">
      <c r="B27" s="17" t="s">
        <v>575</v>
      </c>
      <c r="C27" t="s">
        <v>576</v>
      </c>
      <c r="D27" s="6" t="s">
        <v>429</v>
      </c>
      <c r="E27" t="s">
        <v>591</v>
      </c>
      <c r="F27" s="25" t="s">
        <v>494</v>
      </c>
      <c r="G27" s="26">
        <f>MATCH(F27,[1]Indicators!$F$4:$F$48,0)</f>
        <v>34</v>
      </c>
      <c r="J27">
        <f>INDEX([1]Indicators!$D$4:$D$48,G27)</f>
        <v>0</v>
      </c>
      <c r="O27" s="12" t="s">
        <v>88</v>
      </c>
      <c r="P27" s="15" t="s">
        <v>87</v>
      </c>
      <c r="U27" t="s">
        <v>526</v>
      </c>
      <c r="V27" t="s">
        <v>23</v>
      </c>
    </row>
    <row r="28" spans="2:22">
      <c r="B28" s="17" t="s">
        <v>575</v>
      </c>
      <c r="C28" t="s">
        <v>561</v>
      </c>
      <c r="D28" s="6" t="s">
        <v>429</v>
      </c>
      <c r="E28" t="s">
        <v>591</v>
      </c>
      <c r="F28" s="9" t="s">
        <v>487</v>
      </c>
      <c r="G28" s="26">
        <f>MATCH(F28,[1]Indicators!$F$4:$F$48,0)</f>
        <v>12</v>
      </c>
      <c r="J28">
        <f>INDEX([1]Indicators!$D$4:$D$48,G28)</f>
        <v>1</v>
      </c>
      <c r="O28" s="12" t="s">
        <v>90</v>
      </c>
      <c r="P28" s="15" t="s">
        <v>89</v>
      </c>
      <c r="U28" t="s">
        <v>527</v>
      </c>
      <c r="V28" t="s">
        <v>24</v>
      </c>
    </row>
    <row r="29" spans="2:22">
      <c r="B29" s="17" t="s">
        <v>575</v>
      </c>
      <c r="C29" t="s">
        <v>562</v>
      </c>
      <c r="D29" s="6" t="s">
        <v>429</v>
      </c>
      <c r="E29" t="s">
        <v>591</v>
      </c>
      <c r="F29" s="9" t="s">
        <v>488</v>
      </c>
      <c r="G29" s="26">
        <f>MATCH(F29,[1]Indicators!$F$4:$F$48,0)</f>
        <v>13</v>
      </c>
      <c r="J29">
        <f>INDEX([1]Indicators!$D$4:$D$48,G29)</f>
        <v>1</v>
      </c>
      <c r="O29" s="12" t="s">
        <v>92</v>
      </c>
      <c r="P29" s="15" t="s">
        <v>91</v>
      </c>
      <c r="U29" t="s">
        <v>528</v>
      </c>
      <c r="V29" t="s">
        <v>25</v>
      </c>
    </row>
    <row r="30" spans="2:22">
      <c r="B30" s="17" t="s">
        <v>575</v>
      </c>
      <c r="C30" t="s">
        <v>563</v>
      </c>
      <c r="D30" s="6" t="s">
        <v>429</v>
      </c>
      <c r="E30" t="s">
        <v>591</v>
      </c>
      <c r="F30" s="9" t="s">
        <v>483</v>
      </c>
      <c r="G30" s="26">
        <f>MATCH(F30,[1]Indicators!$F$4:$F$48,0)</f>
        <v>24</v>
      </c>
      <c r="J30">
        <f>INDEX([1]Indicators!$D$4:$D$48,G30)</f>
        <v>1</v>
      </c>
      <c r="O30" s="12" t="s">
        <v>94</v>
      </c>
      <c r="P30" s="15" t="s">
        <v>93</v>
      </c>
      <c r="U30" t="s">
        <v>529</v>
      </c>
      <c r="V30" s="3" t="s">
        <v>26</v>
      </c>
    </row>
    <row r="31" spans="2:22">
      <c r="B31" s="17"/>
      <c r="C31" t="s">
        <v>564</v>
      </c>
      <c r="D31" s="6" t="s">
        <v>430</v>
      </c>
      <c r="F31" s="9" t="s">
        <v>492</v>
      </c>
      <c r="G31" s="26">
        <f>MATCH(F31,[1]Indicators!$F$4:$F$48,0)</f>
        <v>15</v>
      </c>
      <c r="J31">
        <f>INDEX([1]Indicators!$D$4:$D$48,G31)</f>
        <v>1</v>
      </c>
      <c r="O31" s="12" t="s">
        <v>96</v>
      </c>
      <c r="P31" s="15" t="s">
        <v>95</v>
      </c>
      <c r="U31" t="s">
        <v>530</v>
      </c>
      <c r="V31" t="s">
        <v>27</v>
      </c>
    </row>
    <row r="32" spans="2:22">
      <c r="B32" s="17" t="s">
        <v>575</v>
      </c>
      <c r="C32" t="s">
        <v>565</v>
      </c>
      <c r="D32" s="6" t="s">
        <v>429</v>
      </c>
      <c r="E32" t="s">
        <v>591</v>
      </c>
      <c r="F32" s="9" t="s">
        <v>574</v>
      </c>
      <c r="G32" s="26">
        <f>MATCH(F32,[1]Indicators!$F$4:$F$48,0)</f>
        <v>35</v>
      </c>
      <c r="J32">
        <f>INDEX([1]Indicators!$D$4:$D$48,G32)</f>
        <v>0</v>
      </c>
      <c r="O32" s="12" t="s">
        <v>98</v>
      </c>
      <c r="P32" s="15" t="s">
        <v>97</v>
      </c>
      <c r="U32" t="s">
        <v>531</v>
      </c>
      <c r="V32" t="s">
        <v>28</v>
      </c>
    </row>
    <row r="33" spans="2:22">
      <c r="B33" s="17" t="s">
        <v>575</v>
      </c>
      <c r="C33" t="s">
        <v>566</v>
      </c>
      <c r="D33" s="6" t="s">
        <v>429</v>
      </c>
      <c r="E33" t="s">
        <v>591</v>
      </c>
      <c r="F33" s="9" t="s">
        <v>493</v>
      </c>
      <c r="G33" s="26">
        <f>MATCH(F33,[1]Indicators!$F$4:$F$48,0)</f>
        <v>23</v>
      </c>
      <c r="J33">
        <f>INDEX([1]Indicators!$D$4:$D$48,G33)</f>
        <v>1</v>
      </c>
      <c r="O33" s="12" t="s">
        <v>100</v>
      </c>
      <c r="P33" s="15" t="s">
        <v>99</v>
      </c>
      <c r="V33" t="s">
        <v>29</v>
      </c>
    </row>
    <row r="34" spans="2:22">
      <c r="B34" s="17"/>
      <c r="C34" t="s">
        <v>567</v>
      </c>
      <c r="D34" s="6" t="s">
        <v>427</v>
      </c>
      <c r="F34" s="25" t="s">
        <v>503</v>
      </c>
      <c r="G34" s="26" t="e">
        <f>MATCH(F34,[1]Indicators!$F$4:$F$48,0)</f>
        <v>#N/A</v>
      </c>
      <c r="J34" t="e">
        <f>INDEX([1]Indicators!$D$4:$D$48,G34)</f>
        <v>#N/A</v>
      </c>
      <c r="O34" s="12" t="s">
        <v>102</v>
      </c>
      <c r="P34" s="15" t="s">
        <v>101</v>
      </c>
      <c r="U34" t="s">
        <v>532</v>
      </c>
      <c r="V34" t="s">
        <v>30</v>
      </c>
    </row>
    <row r="35" spans="2:22">
      <c r="B35" s="17"/>
      <c r="C35" t="s">
        <v>582</v>
      </c>
      <c r="D35" s="6" t="s">
        <v>427</v>
      </c>
      <c r="F35" s="9" t="s">
        <v>504</v>
      </c>
      <c r="G35" s="26">
        <f>MATCH(F35,[1]Indicators!$F$4:$F$48,0)</f>
        <v>44</v>
      </c>
      <c r="J35">
        <f>INDEX([1]Indicators!$D$4:$D$48,G35)</f>
        <v>0</v>
      </c>
      <c r="O35" s="12" t="s">
        <v>450</v>
      </c>
      <c r="P35" s="15" t="s">
        <v>103</v>
      </c>
      <c r="V35" t="s">
        <v>31</v>
      </c>
    </row>
    <row r="36" spans="2:22">
      <c r="B36" s="17"/>
      <c r="C36" t="s">
        <v>568</v>
      </c>
      <c r="D36" s="6" t="s">
        <v>427</v>
      </c>
      <c r="F36" s="9" t="s">
        <v>505</v>
      </c>
      <c r="G36" s="26">
        <f>MATCH(F36,[1]Indicators!$F$4:$F$48,0)</f>
        <v>43</v>
      </c>
      <c r="J36">
        <f>INDEX([1]Indicators!$D$4:$D$48,G36)</f>
        <v>0</v>
      </c>
      <c r="O36" s="12" t="s">
        <v>106</v>
      </c>
      <c r="P36" s="15" t="s">
        <v>105</v>
      </c>
      <c r="U36" s="20" t="s">
        <v>534</v>
      </c>
      <c r="V36" t="s">
        <v>32</v>
      </c>
    </row>
    <row r="37" spans="2:22">
      <c r="D37" s="6"/>
      <c r="E37" s="9"/>
      <c r="F37" s="9"/>
      <c r="G37" s="10"/>
      <c r="O37" s="12" t="s">
        <v>108</v>
      </c>
      <c r="P37" s="15" t="s">
        <v>107</v>
      </c>
      <c r="U37" s="20" t="s">
        <v>533</v>
      </c>
      <c r="V37" t="s">
        <v>33</v>
      </c>
    </row>
    <row r="38" spans="2:22">
      <c r="D38" s="6"/>
      <c r="E38" s="9"/>
      <c r="F38" s="9"/>
      <c r="G38" s="10"/>
      <c r="O38" s="12" t="s">
        <v>110</v>
      </c>
      <c r="P38" s="15" t="s">
        <v>109</v>
      </c>
      <c r="U38" t="s">
        <v>535</v>
      </c>
      <c r="V38" t="s">
        <v>34</v>
      </c>
    </row>
    <row r="39" spans="2:22">
      <c r="D39" s="6"/>
      <c r="E39" s="9"/>
      <c r="F39" s="9"/>
      <c r="G39" s="10"/>
      <c r="O39" s="12" t="s">
        <v>112</v>
      </c>
      <c r="P39" s="15" t="s">
        <v>111</v>
      </c>
      <c r="U39" t="s">
        <v>536</v>
      </c>
    </row>
    <row r="40" spans="2:22">
      <c r="D40" s="6"/>
      <c r="E40" s="9"/>
      <c r="F40" s="9"/>
      <c r="G40" s="10"/>
      <c r="O40" s="12" t="s">
        <v>114</v>
      </c>
      <c r="P40" s="15" t="s">
        <v>113</v>
      </c>
    </row>
    <row r="41" spans="2:22">
      <c r="E41" s="9"/>
      <c r="F41" s="9"/>
      <c r="G41" s="10"/>
      <c r="O41" s="12" t="s">
        <v>116</v>
      </c>
      <c r="P41" s="15" t="s">
        <v>115</v>
      </c>
    </row>
    <row r="42" spans="2:22">
      <c r="E42" s="9"/>
      <c r="F42" s="9"/>
      <c r="G42" s="10"/>
      <c r="O42" s="12" t="s">
        <v>433</v>
      </c>
      <c r="P42" s="15" t="s">
        <v>117</v>
      </c>
    </row>
    <row r="43" spans="2:22">
      <c r="E43" s="9"/>
      <c r="F43" s="9"/>
      <c r="G43" s="10"/>
      <c r="O43" s="12" t="s">
        <v>120</v>
      </c>
      <c r="P43" s="15" t="s">
        <v>119</v>
      </c>
    </row>
    <row r="44" spans="2:22">
      <c r="E44" s="9"/>
      <c r="F44" s="9"/>
      <c r="G44" s="10"/>
      <c r="O44" s="12" t="s">
        <v>122</v>
      </c>
      <c r="P44" s="15" t="s">
        <v>121</v>
      </c>
    </row>
    <row r="45" spans="2:22">
      <c r="E45" s="9"/>
      <c r="F45" s="9"/>
      <c r="G45" s="10"/>
      <c r="O45" s="12" t="s">
        <v>124</v>
      </c>
      <c r="P45" s="15" t="s">
        <v>123</v>
      </c>
    </row>
    <row r="46" spans="2:22">
      <c r="E46" s="9"/>
      <c r="F46" s="9"/>
      <c r="G46" s="10"/>
      <c r="O46" s="12" t="s">
        <v>126</v>
      </c>
      <c r="P46" s="15" t="s">
        <v>125</v>
      </c>
    </row>
    <row r="47" spans="2:22">
      <c r="E47" s="9"/>
      <c r="F47" s="9"/>
      <c r="G47" s="10"/>
      <c r="O47" s="12" t="s">
        <v>128</v>
      </c>
      <c r="P47" s="15" t="s">
        <v>127</v>
      </c>
    </row>
    <row r="48" spans="2:22">
      <c r="E48" s="9"/>
      <c r="F48" s="9"/>
      <c r="G48" s="10"/>
      <c r="O48" s="12" t="s">
        <v>130</v>
      </c>
      <c r="P48" s="15" t="s">
        <v>129</v>
      </c>
    </row>
    <row r="49" spans="5:16">
      <c r="E49" s="9"/>
      <c r="F49" s="9"/>
      <c r="G49" s="10"/>
      <c r="O49" s="12" t="s">
        <v>132</v>
      </c>
      <c r="P49" s="15" t="s">
        <v>131</v>
      </c>
    </row>
    <row r="50" spans="5:16">
      <c r="E50" s="9"/>
      <c r="F50" s="9"/>
      <c r="G50" s="10"/>
      <c r="O50" s="12" t="s">
        <v>134</v>
      </c>
      <c r="P50" s="15" t="s">
        <v>133</v>
      </c>
    </row>
    <row r="51" spans="5:16">
      <c r="E51" s="9"/>
      <c r="F51" s="9"/>
      <c r="G51" s="10"/>
      <c r="O51" s="12" t="s">
        <v>136</v>
      </c>
      <c r="P51" s="15" t="s">
        <v>135</v>
      </c>
    </row>
    <row r="52" spans="5:16">
      <c r="E52" s="9"/>
      <c r="F52" s="9"/>
      <c r="G52" s="10"/>
      <c r="O52" s="12" t="s">
        <v>434</v>
      </c>
      <c r="P52" s="15" t="s">
        <v>137</v>
      </c>
    </row>
    <row r="53" spans="5:16">
      <c r="E53" s="9"/>
      <c r="F53" s="9"/>
      <c r="G53" s="10"/>
      <c r="O53" s="12" t="s">
        <v>140</v>
      </c>
      <c r="P53" s="15" t="s">
        <v>139</v>
      </c>
    </row>
    <row r="54" spans="5:16">
      <c r="E54" s="9"/>
      <c r="F54" s="9"/>
      <c r="G54" s="10"/>
      <c r="O54" s="12" t="s">
        <v>142</v>
      </c>
      <c r="P54" s="15" t="s">
        <v>141</v>
      </c>
    </row>
    <row r="55" spans="5:16">
      <c r="E55" s="9"/>
      <c r="F55" s="9"/>
      <c r="G55" s="10"/>
      <c r="O55" s="12" t="s">
        <v>144</v>
      </c>
      <c r="P55" s="15" t="s">
        <v>143</v>
      </c>
    </row>
    <row r="56" spans="5:16">
      <c r="E56" s="9"/>
      <c r="F56" s="9"/>
      <c r="G56" s="10"/>
      <c r="O56" s="12" t="s">
        <v>146</v>
      </c>
      <c r="P56" s="15" t="s">
        <v>145</v>
      </c>
    </row>
    <row r="57" spans="5:16">
      <c r="E57" s="9"/>
      <c r="F57" s="9"/>
      <c r="G57" s="10"/>
      <c r="O57" s="12" t="s">
        <v>148</v>
      </c>
      <c r="P57" s="15" t="s">
        <v>147</v>
      </c>
    </row>
    <row r="58" spans="5:16">
      <c r="E58" s="9"/>
      <c r="F58" s="9"/>
      <c r="G58" s="10"/>
      <c r="O58" s="12" t="s">
        <v>150</v>
      </c>
      <c r="P58" s="15" t="s">
        <v>149</v>
      </c>
    </row>
    <row r="59" spans="5:16">
      <c r="E59" s="9"/>
      <c r="F59" s="9"/>
      <c r="G59" s="10"/>
      <c r="O59" s="12" t="s">
        <v>152</v>
      </c>
      <c r="P59" s="15" t="s">
        <v>151</v>
      </c>
    </row>
    <row r="60" spans="5:16">
      <c r="E60" s="9"/>
      <c r="F60" s="9"/>
      <c r="G60" s="10"/>
      <c r="O60" s="12" t="s">
        <v>154</v>
      </c>
      <c r="P60" s="15" t="s">
        <v>153</v>
      </c>
    </row>
    <row r="61" spans="5:16">
      <c r="E61" s="9"/>
      <c r="F61" s="9"/>
      <c r="G61" s="10"/>
      <c r="O61" s="12" t="s">
        <v>156</v>
      </c>
      <c r="P61" s="15" t="s">
        <v>155</v>
      </c>
    </row>
    <row r="62" spans="5:16">
      <c r="E62" s="9"/>
      <c r="F62" s="9"/>
      <c r="G62" s="10"/>
      <c r="O62" s="12" t="s">
        <v>158</v>
      </c>
      <c r="P62" s="15" t="s">
        <v>157</v>
      </c>
    </row>
    <row r="63" spans="5:16">
      <c r="E63" s="9"/>
      <c r="F63" s="9"/>
      <c r="G63" s="10"/>
      <c r="O63" s="12" t="s">
        <v>160</v>
      </c>
      <c r="P63" s="15" t="s">
        <v>159</v>
      </c>
    </row>
    <row r="64" spans="5:16">
      <c r="E64" s="9"/>
      <c r="F64" s="9"/>
      <c r="G64" s="10"/>
      <c r="O64" s="12" t="s">
        <v>162</v>
      </c>
      <c r="P64" s="15" t="s">
        <v>161</v>
      </c>
    </row>
    <row r="65" spans="5:16">
      <c r="E65" s="9"/>
      <c r="F65" s="9"/>
      <c r="G65" s="10"/>
      <c r="O65" s="12" t="s">
        <v>164</v>
      </c>
      <c r="P65" s="15" t="s">
        <v>163</v>
      </c>
    </row>
    <row r="66" spans="5:16">
      <c r="E66" s="9"/>
      <c r="F66" s="9"/>
      <c r="G66" s="10"/>
      <c r="O66" s="12" t="s">
        <v>166</v>
      </c>
      <c r="P66" s="15" t="s">
        <v>165</v>
      </c>
    </row>
    <row r="67" spans="5:16">
      <c r="E67" s="9"/>
      <c r="F67" s="9"/>
      <c r="G67" s="10"/>
      <c r="O67" s="12" t="s">
        <v>168</v>
      </c>
      <c r="P67" s="15" t="s">
        <v>167</v>
      </c>
    </row>
    <row r="68" spans="5:16">
      <c r="E68" s="9"/>
      <c r="F68" s="9"/>
      <c r="G68" s="10"/>
      <c r="O68" s="12" t="s">
        <v>170</v>
      </c>
      <c r="P68" s="15" t="s">
        <v>169</v>
      </c>
    </row>
    <row r="69" spans="5:16">
      <c r="E69" s="9"/>
      <c r="F69" s="9"/>
      <c r="G69" s="10"/>
      <c r="O69" s="12" t="s">
        <v>172</v>
      </c>
      <c r="P69" s="15" t="s">
        <v>171</v>
      </c>
    </row>
    <row r="70" spans="5:16">
      <c r="E70" s="9"/>
      <c r="F70" s="9"/>
      <c r="G70" s="10"/>
      <c r="O70" s="12" t="s">
        <v>174</v>
      </c>
      <c r="P70" s="15" t="s">
        <v>173</v>
      </c>
    </row>
    <row r="71" spans="5:16">
      <c r="E71" s="9"/>
      <c r="F71" s="9"/>
      <c r="G71" s="10"/>
      <c r="O71" s="12" t="s">
        <v>176</v>
      </c>
      <c r="P71" s="15" t="s">
        <v>175</v>
      </c>
    </row>
    <row r="72" spans="5:16">
      <c r="E72" s="9"/>
      <c r="F72" s="9"/>
      <c r="G72" s="10"/>
      <c r="O72" s="12" t="s">
        <v>178</v>
      </c>
      <c r="P72" s="15" t="s">
        <v>177</v>
      </c>
    </row>
    <row r="73" spans="5:16">
      <c r="E73" s="9"/>
      <c r="F73" s="9"/>
      <c r="G73" s="10"/>
      <c r="O73" s="12" t="s">
        <v>180</v>
      </c>
      <c r="P73" s="15" t="s">
        <v>179</v>
      </c>
    </row>
    <row r="74" spans="5:16">
      <c r="E74" s="9"/>
      <c r="F74" s="9"/>
      <c r="G74" s="10"/>
      <c r="O74" s="12" t="s">
        <v>182</v>
      </c>
      <c r="P74" s="15" t="s">
        <v>181</v>
      </c>
    </row>
    <row r="75" spans="5:16">
      <c r="E75" s="9"/>
      <c r="F75" s="9"/>
      <c r="G75" s="10"/>
      <c r="O75" s="12" t="s">
        <v>184</v>
      </c>
      <c r="P75" s="15" t="s">
        <v>183</v>
      </c>
    </row>
    <row r="76" spans="5:16">
      <c r="E76" s="9"/>
      <c r="F76" s="9"/>
      <c r="G76" s="10"/>
      <c r="O76" s="12" t="s">
        <v>186</v>
      </c>
      <c r="P76" s="15" t="s">
        <v>185</v>
      </c>
    </row>
    <row r="77" spans="5:16">
      <c r="E77" s="9"/>
      <c r="F77" s="9"/>
      <c r="G77" s="10"/>
      <c r="O77" s="12" t="s">
        <v>188</v>
      </c>
      <c r="P77" s="15" t="s">
        <v>187</v>
      </c>
    </row>
    <row r="78" spans="5:16">
      <c r="E78" s="9"/>
      <c r="F78" s="9"/>
      <c r="G78" s="10"/>
      <c r="O78" s="12" t="s">
        <v>190</v>
      </c>
      <c r="P78" s="15" t="s">
        <v>189</v>
      </c>
    </row>
    <row r="79" spans="5:16">
      <c r="E79" s="9"/>
      <c r="F79" s="9"/>
      <c r="G79" s="10"/>
      <c r="O79" s="12" t="s">
        <v>192</v>
      </c>
      <c r="P79" s="15" t="s">
        <v>191</v>
      </c>
    </row>
    <row r="80" spans="5:16">
      <c r="E80" s="9"/>
      <c r="F80" s="9"/>
      <c r="G80" s="10"/>
      <c r="O80" s="12" t="s">
        <v>435</v>
      </c>
      <c r="P80" s="15" t="s">
        <v>193</v>
      </c>
    </row>
    <row r="81" spans="5:16">
      <c r="E81" s="9"/>
      <c r="F81" s="9"/>
      <c r="G81" s="10"/>
      <c r="O81" s="12" t="s">
        <v>196</v>
      </c>
      <c r="P81" s="15" t="s">
        <v>195</v>
      </c>
    </row>
    <row r="82" spans="5:16">
      <c r="E82" s="9"/>
      <c r="F82" s="9"/>
      <c r="G82" s="10"/>
      <c r="O82" s="12" t="s">
        <v>198</v>
      </c>
      <c r="P82" s="15" t="s">
        <v>197</v>
      </c>
    </row>
    <row r="83" spans="5:16">
      <c r="E83" s="9"/>
      <c r="F83" s="9"/>
      <c r="G83" s="10"/>
      <c r="O83" s="12" t="s">
        <v>200</v>
      </c>
      <c r="P83" s="15" t="s">
        <v>199</v>
      </c>
    </row>
    <row r="84" spans="5:16">
      <c r="E84" s="9"/>
      <c r="F84" s="9"/>
      <c r="G84" s="10"/>
      <c r="O84" s="12" t="s">
        <v>202</v>
      </c>
      <c r="P84" s="15" t="s">
        <v>201</v>
      </c>
    </row>
    <row r="85" spans="5:16">
      <c r="E85" s="9"/>
      <c r="F85" s="9"/>
      <c r="G85" s="10"/>
      <c r="O85" s="12" t="s">
        <v>204</v>
      </c>
      <c r="P85" s="15" t="s">
        <v>203</v>
      </c>
    </row>
    <row r="86" spans="5:16">
      <c r="E86" s="9"/>
      <c r="F86" s="9"/>
      <c r="G86" s="10"/>
      <c r="O86" s="12" t="s">
        <v>206</v>
      </c>
      <c r="P86" s="15" t="s">
        <v>205</v>
      </c>
    </row>
    <row r="87" spans="5:16">
      <c r="E87" s="9"/>
      <c r="F87" s="9"/>
      <c r="G87" s="10"/>
      <c r="O87" s="12" t="s">
        <v>208</v>
      </c>
      <c r="P87" s="15" t="s">
        <v>207</v>
      </c>
    </row>
    <row r="88" spans="5:16">
      <c r="E88" s="9"/>
      <c r="F88" s="9"/>
      <c r="G88" s="10"/>
      <c r="O88" s="12" t="s">
        <v>210</v>
      </c>
      <c r="P88" s="15" t="s">
        <v>209</v>
      </c>
    </row>
    <row r="89" spans="5:16">
      <c r="E89" s="9"/>
      <c r="F89" s="9"/>
      <c r="G89" s="10"/>
      <c r="O89" s="12" t="s">
        <v>212</v>
      </c>
      <c r="P89" s="15" t="s">
        <v>211</v>
      </c>
    </row>
    <row r="90" spans="5:16">
      <c r="E90" s="9"/>
      <c r="F90" s="9"/>
      <c r="G90" s="10"/>
      <c r="O90" s="12" t="s">
        <v>214</v>
      </c>
      <c r="P90" s="15" t="s">
        <v>213</v>
      </c>
    </row>
    <row r="91" spans="5:16">
      <c r="E91" s="9"/>
      <c r="F91" s="9"/>
      <c r="G91" s="10"/>
      <c r="O91" s="12" t="s">
        <v>436</v>
      </c>
      <c r="P91" s="15" t="s">
        <v>215</v>
      </c>
    </row>
    <row r="92" spans="5:16">
      <c r="E92" s="9"/>
      <c r="F92" s="9"/>
      <c r="G92" s="10"/>
      <c r="O92" s="12" t="s">
        <v>437</v>
      </c>
      <c r="P92" s="15" t="s">
        <v>217</v>
      </c>
    </row>
    <row r="93" spans="5:16">
      <c r="E93" s="9"/>
      <c r="F93" s="9"/>
      <c r="G93" s="10"/>
      <c r="O93" s="12" t="s">
        <v>220</v>
      </c>
      <c r="P93" s="15" t="s">
        <v>219</v>
      </c>
    </row>
    <row r="94" spans="5:16">
      <c r="E94" s="9"/>
      <c r="F94" s="9"/>
      <c r="G94" s="10"/>
      <c r="O94" s="12" t="s">
        <v>222</v>
      </c>
      <c r="P94" s="15" t="s">
        <v>221</v>
      </c>
    </row>
    <row r="95" spans="5:16">
      <c r="E95" s="9"/>
      <c r="F95" s="9"/>
      <c r="G95" s="10"/>
      <c r="O95" s="12" t="s">
        <v>438</v>
      </c>
      <c r="P95" s="15" t="s">
        <v>223</v>
      </c>
    </row>
    <row r="96" spans="5:16">
      <c r="E96" s="9"/>
      <c r="F96" s="9"/>
      <c r="G96" s="10"/>
      <c r="O96" s="12" t="s">
        <v>226</v>
      </c>
      <c r="P96" s="15" t="s">
        <v>225</v>
      </c>
    </row>
    <row r="97" spans="5:16">
      <c r="E97" s="9"/>
      <c r="F97" s="9"/>
      <c r="G97" s="10"/>
      <c r="O97" s="12" t="s">
        <v>228</v>
      </c>
      <c r="P97" s="15" t="s">
        <v>227</v>
      </c>
    </row>
    <row r="98" spans="5:16">
      <c r="E98" s="9"/>
      <c r="F98" s="9"/>
      <c r="G98" s="10"/>
      <c r="O98" s="12" t="s">
        <v>230</v>
      </c>
      <c r="P98" s="15" t="s">
        <v>229</v>
      </c>
    </row>
    <row r="99" spans="5:16">
      <c r="E99" s="9"/>
      <c r="F99" s="9"/>
      <c r="G99" s="10"/>
      <c r="O99" s="13" t="s">
        <v>232</v>
      </c>
      <c r="P99" s="16" t="s">
        <v>231</v>
      </c>
    </row>
    <row r="100" spans="5:16">
      <c r="E100" s="9"/>
      <c r="F100" s="9"/>
      <c r="G100" s="10"/>
      <c r="O100" s="13" t="s">
        <v>439</v>
      </c>
      <c r="P100" s="16" t="s">
        <v>233</v>
      </c>
    </row>
    <row r="101" spans="5:16" ht="30">
      <c r="E101" s="9"/>
      <c r="F101" s="9"/>
      <c r="G101" s="10"/>
      <c r="O101" s="13" t="s">
        <v>236</v>
      </c>
      <c r="P101" s="16" t="s">
        <v>235</v>
      </c>
    </row>
    <row r="102" spans="5:16">
      <c r="E102" s="9"/>
      <c r="F102" s="9"/>
      <c r="G102" s="10"/>
      <c r="O102" s="13" t="s">
        <v>238</v>
      </c>
      <c r="P102" s="16" t="s">
        <v>237</v>
      </c>
    </row>
    <row r="103" spans="5:16" ht="30">
      <c r="E103" s="9"/>
      <c r="F103" s="9"/>
      <c r="G103" s="10"/>
      <c r="O103" s="13" t="s">
        <v>240</v>
      </c>
      <c r="P103" s="16" t="s">
        <v>239</v>
      </c>
    </row>
    <row r="104" spans="5:16" ht="30">
      <c r="E104" s="9"/>
      <c r="F104" s="9"/>
      <c r="G104" s="10"/>
      <c r="O104" s="13" t="s">
        <v>242</v>
      </c>
      <c r="P104" s="16" t="s">
        <v>241</v>
      </c>
    </row>
    <row r="105" spans="5:16">
      <c r="E105" s="9"/>
      <c r="F105" s="9"/>
      <c r="G105" s="10"/>
      <c r="O105" s="13" t="s">
        <v>244</v>
      </c>
      <c r="P105" s="16" t="s">
        <v>243</v>
      </c>
    </row>
    <row r="106" spans="5:16">
      <c r="E106" s="9"/>
      <c r="F106" s="9"/>
      <c r="G106" s="10"/>
      <c r="O106" s="13" t="s">
        <v>246</v>
      </c>
      <c r="P106" s="16" t="s">
        <v>245</v>
      </c>
    </row>
    <row r="107" spans="5:16">
      <c r="E107" s="9"/>
      <c r="F107" s="9"/>
      <c r="G107" s="10"/>
      <c r="O107" s="13" t="s">
        <v>248</v>
      </c>
      <c r="P107" s="16" t="s">
        <v>247</v>
      </c>
    </row>
    <row r="108" spans="5:16">
      <c r="E108" s="9"/>
      <c r="F108" s="9"/>
      <c r="G108" s="10"/>
      <c r="O108" s="13" t="s">
        <v>250</v>
      </c>
      <c r="P108" s="16" t="s">
        <v>249</v>
      </c>
    </row>
    <row r="109" spans="5:16">
      <c r="E109" s="9"/>
      <c r="F109" s="9"/>
      <c r="G109" s="10"/>
      <c r="O109" s="13" t="s">
        <v>252</v>
      </c>
      <c r="P109" s="16" t="s">
        <v>251</v>
      </c>
    </row>
    <row r="110" spans="5:16" ht="30">
      <c r="E110" s="9"/>
      <c r="F110" s="9"/>
      <c r="G110" s="10"/>
      <c r="O110" s="13" t="s">
        <v>254</v>
      </c>
      <c r="P110" s="16" t="s">
        <v>253</v>
      </c>
    </row>
    <row r="111" spans="5:16">
      <c r="E111" s="9"/>
      <c r="F111" s="9"/>
      <c r="G111" s="10"/>
      <c r="O111" s="13" t="s">
        <v>256</v>
      </c>
      <c r="P111" s="16" t="s">
        <v>255</v>
      </c>
    </row>
    <row r="112" spans="5:16">
      <c r="E112" s="9"/>
      <c r="F112" s="9"/>
      <c r="G112" s="10"/>
      <c r="O112" s="13" t="s">
        <v>258</v>
      </c>
      <c r="P112" s="16" t="s">
        <v>257</v>
      </c>
    </row>
    <row r="113" spans="5:16">
      <c r="E113" s="9"/>
      <c r="F113" s="9"/>
      <c r="G113" s="10"/>
      <c r="O113" s="13" t="s">
        <v>260</v>
      </c>
      <c r="P113" s="16" t="s">
        <v>259</v>
      </c>
    </row>
    <row r="114" spans="5:16" ht="30">
      <c r="E114" s="9"/>
      <c r="F114" s="9"/>
      <c r="G114" s="10"/>
      <c r="O114" s="13" t="s">
        <v>440</v>
      </c>
      <c r="P114" s="16" t="s">
        <v>261</v>
      </c>
    </row>
    <row r="115" spans="5:16">
      <c r="E115" s="9"/>
      <c r="F115" s="9"/>
      <c r="G115" s="10"/>
      <c r="O115" s="13" t="s">
        <v>441</v>
      </c>
      <c r="P115" s="16" t="s">
        <v>263</v>
      </c>
    </row>
    <row r="116" spans="5:16">
      <c r="E116" s="9"/>
      <c r="F116" s="9"/>
      <c r="G116" s="10"/>
      <c r="O116" s="13" t="s">
        <v>266</v>
      </c>
      <c r="P116" s="16" t="s">
        <v>265</v>
      </c>
    </row>
    <row r="117" spans="5:16">
      <c r="E117" s="9"/>
      <c r="F117" s="9"/>
      <c r="G117" s="10"/>
      <c r="O117" s="13" t="s">
        <v>268</v>
      </c>
      <c r="P117" s="16" t="s">
        <v>267</v>
      </c>
    </row>
    <row r="118" spans="5:16">
      <c r="E118" s="9"/>
      <c r="F118" s="9"/>
      <c r="G118" s="10"/>
      <c r="O118" s="13" t="s">
        <v>270</v>
      </c>
      <c r="P118" s="16" t="s">
        <v>269</v>
      </c>
    </row>
    <row r="119" spans="5:16" ht="30">
      <c r="E119" s="9"/>
      <c r="F119" s="9"/>
      <c r="G119" s="10"/>
      <c r="O119" s="13" t="s">
        <v>272</v>
      </c>
      <c r="P119" s="16" t="s">
        <v>271</v>
      </c>
    </row>
    <row r="120" spans="5:16">
      <c r="E120" s="9"/>
      <c r="F120" s="9"/>
      <c r="G120" s="10"/>
      <c r="O120" s="13" t="s">
        <v>274</v>
      </c>
      <c r="P120" s="16" t="s">
        <v>273</v>
      </c>
    </row>
    <row r="121" spans="5:16" ht="30">
      <c r="E121" s="9"/>
      <c r="F121" s="9"/>
      <c r="G121" s="10"/>
      <c r="O121" s="13" t="s">
        <v>276</v>
      </c>
      <c r="P121" s="16" t="s">
        <v>275</v>
      </c>
    </row>
    <row r="122" spans="5:16">
      <c r="E122" s="9"/>
      <c r="F122" s="9"/>
      <c r="G122" s="10"/>
      <c r="O122" s="13" t="s">
        <v>278</v>
      </c>
      <c r="P122" s="16" t="s">
        <v>277</v>
      </c>
    </row>
    <row r="123" spans="5:16">
      <c r="E123" s="9"/>
      <c r="F123" s="9"/>
      <c r="G123" s="10"/>
      <c r="O123" s="13" t="s">
        <v>280</v>
      </c>
      <c r="P123" s="16" t="s">
        <v>279</v>
      </c>
    </row>
    <row r="124" spans="5:16">
      <c r="E124" s="9"/>
      <c r="F124" s="9"/>
      <c r="G124" s="10"/>
      <c r="O124" s="13" t="s">
        <v>282</v>
      </c>
      <c r="P124" s="16" t="s">
        <v>281</v>
      </c>
    </row>
    <row r="125" spans="5:16">
      <c r="E125" s="9"/>
      <c r="F125" s="9"/>
      <c r="G125" s="10"/>
      <c r="O125" s="13" t="s">
        <v>284</v>
      </c>
      <c r="P125" s="16" t="s">
        <v>283</v>
      </c>
    </row>
    <row r="126" spans="5:16" ht="30">
      <c r="E126" s="9"/>
      <c r="F126" s="9"/>
      <c r="G126" s="10"/>
      <c r="O126" s="13" t="s">
        <v>286</v>
      </c>
      <c r="P126" s="16" t="s">
        <v>285</v>
      </c>
    </row>
    <row r="127" spans="5:16" ht="30">
      <c r="E127" s="9"/>
      <c r="F127" s="9"/>
      <c r="G127" s="10"/>
      <c r="O127" s="13" t="s">
        <v>288</v>
      </c>
      <c r="P127" s="16" t="s">
        <v>287</v>
      </c>
    </row>
    <row r="128" spans="5:16">
      <c r="E128" s="9"/>
      <c r="F128" s="9"/>
      <c r="G128" s="10"/>
      <c r="O128" s="13" t="s">
        <v>290</v>
      </c>
      <c r="P128" s="16" t="s">
        <v>289</v>
      </c>
    </row>
    <row r="129" spans="5:16">
      <c r="E129" s="9"/>
      <c r="F129" s="9"/>
      <c r="G129" s="10"/>
      <c r="O129" s="13" t="s">
        <v>292</v>
      </c>
      <c r="P129" s="16" t="s">
        <v>291</v>
      </c>
    </row>
    <row r="130" spans="5:16">
      <c r="E130" s="9"/>
      <c r="F130" s="9"/>
      <c r="G130" s="10"/>
      <c r="O130" s="13" t="s">
        <v>294</v>
      </c>
      <c r="P130" s="16" t="s">
        <v>293</v>
      </c>
    </row>
    <row r="131" spans="5:16">
      <c r="E131" s="9"/>
      <c r="F131" s="9"/>
      <c r="G131" s="10"/>
      <c r="O131" s="13" t="s">
        <v>296</v>
      </c>
      <c r="P131" s="16" t="s">
        <v>295</v>
      </c>
    </row>
    <row r="132" spans="5:16">
      <c r="E132" s="9"/>
      <c r="F132" s="9"/>
      <c r="G132" s="10"/>
      <c r="O132" s="13" t="s">
        <v>298</v>
      </c>
      <c r="P132" s="16" t="s">
        <v>297</v>
      </c>
    </row>
    <row r="133" spans="5:16">
      <c r="E133" s="9"/>
      <c r="F133" s="9"/>
      <c r="G133" s="10"/>
      <c r="O133" s="13" t="s">
        <v>300</v>
      </c>
      <c r="P133" s="16" t="s">
        <v>299</v>
      </c>
    </row>
    <row r="134" spans="5:16">
      <c r="E134" s="9"/>
      <c r="F134" s="9"/>
      <c r="G134" s="10"/>
      <c r="O134" s="13" t="s">
        <v>302</v>
      </c>
      <c r="P134" s="16" t="s">
        <v>301</v>
      </c>
    </row>
    <row r="135" spans="5:16">
      <c r="E135" s="9"/>
      <c r="F135" s="9"/>
      <c r="G135" s="10"/>
      <c r="O135" s="13" t="s">
        <v>304</v>
      </c>
      <c r="P135" s="16" t="s">
        <v>303</v>
      </c>
    </row>
    <row r="136" spans="5:16" ht="30">
      <c r="E136" s="9"/>
      <c r="F136" s="9"/>
      <c r="G136" s="10"/>
      <c r="O136" s="13" t="s">
        <v>306</v>
      </c>
      <c r="P136" s="16" t="s">
        <v>305</v>
      </c>
    </row>
    <row r="137" spans="5:16">
      <c r="E137" s="9"/>
      <c r="F137" s="9"/>
      <c r="G137" s="10"/>
      <c r="O137" s="13" t="s">
        <v>308</v>
      </c>
      <c r="P137" s="16" t="s">
        <v>307</v>
      </c>
    </row>
    <row r="138" spans="5:16">
      <c r="E138" s="9"/>
      <c r="F138" s="9"/>
      <c r="G138" s="10"/>
      <c r="O138" s="13" t="s">
        <v>310</v>
      </c>
      <c r="P138" s="16" t="s">
        <v>309</v>
      </c>
    </row>
    <row r="139" spans="5:16">
      <c r="E139" s="9"/>
      <c r="F139" s="9"/>
      <c r="G139" s="10"/>
      <c r="O139" s="13" t="s">
        <v>312</v>
      </c>
      <c r="P139" s="16" t="s">
        <v>311</v>
      </c>
    </row>
    <row r="140" spans="5:16">
      <c r="E140" s="9"/>
      <c r="F140" s="9"/>
      <c r="G140" s="10"/>
      <c r="O140" s="13" t="s">
        <v>314</v>
      </c>
      <c r="P140" s="16" t="s">
        <v>313</v>
      </c>
    </row>
    <row r="141" spans="5:16">
      <c r="E141" s="9"/>
      <c r="F141" s="9"/>
      <c r="G141" s="10"/>
      <c r="O141" s="13" t="s">
        <v>316</v>
      </c>
      <c r="P141" s="16" t="s">
        <v>315</v>
      </c>
    </row>
    <row r="142" spans="5:16">
      <c r="E142" s="9"/>
      <c r="F142" s="9"/>
      <c r="G142" s="10"/>
      <c r="O142" s="13" t="s">
        <v>318</v>
      </c>
      <c r="P142" s="16" t="s">
        <v>317</v>
      </c>
    </row>
    <row r="143" spans="5:16">
      <c r="E143" s="9"/>
      <c r="F143" s="9"/>
      <c r="G143" s="10"/>
      <c r="O143" s="13" t="s">
        <v>320</v>
      </c>
      <c r="P143" s="16" t="s">
        <v>319</v>
      </c>
    </row>
    <row r="144" spans="5:16">
      <c r="E144" s="9"/>
      <c r="F144" s="9"/>
      <c r="G144" s="10"/>
      <c r="O144" s="13" t="s">
        <v>442</v>
      </c>
      <c r="P144" s="16" t="s">
        <v>321</v>
      </c>
    </row>
    <row r="145" spans="5:16">
      <c r="E145" s="9"/>
      <c r="F145" s="9"/>
      <c r="G145" s="10"/>
      <c r="O145" s="13" t="s">
        <v>324</v>
      </c>
      <c r="P145" s="16" t="s">
        <v>323</v>
      </c>
    </row>
    <row r="146" spans="5:16" ht="30">
      <c r="E146" s="9"/>
      <c r="F146" s="9"/>
      <c r="G146" s="10"/>
      <c r="O146" s="13" t="s">
        <v>326</v>
      </c>
      <c r="P146" s="16" t="s">
        <v>325</v>
      </c>
    </row>
    <row r="147" spans="5:16">
      <c r="E147" s="9"/>
      <c r="F147" s="9"/>
      <c r="G147" s="10"/>
      <c r="O147" s="13" t="s">
        <v>328</v>
      </c>
      <c r="P147" s="16" t="s">
        <v>327</v>
      </c>
    </row>
    <row r="148" spans="5:16" ht="45">
      <c r="E148" s="9"/>
      <c r="F148" s="9"/>
      <c r="G148" s="10"/>
      <c r="O148" s="13" t="s">
        <v>443</v>
      </c>
      <c r="P148" s="16" t="s">
        <v>329</v>
      </c>
    </row>
    <row r="149" spans="5:16">
      <c r="E149" s="9"/>
      <c r="F149" s="9"/>
      <c r="G149" s="10"/>
      <c r="O149" s="13" t="s">
        <v>332</v>
      </c>
      <c r="P149" s="16" t="s">
        <v>331</v>
      </c>
    </row>
    <row r="150" spans="5:16">
      <c r="E150" s="9"/>
      <c r="F150" s="9"/>
      <c r="G150" s="10"/>
      <c r="O150" s="13" t="s">
        <v>334</v>
      </c>
      <c r="P150" s="16" t="s">
        <v>333</v>
      </c>
    </row>
    <row r="151" spans="5:16" ht="30">
      <c r="E151" s="9"/>
      <c r="F151" s="9"/>
      <c r="G151" s="10"/>
      <c r="O151" s="13" t="s">
        <v>444</v>
      </c>
      <c r="P151" s="16" t="s">
        <v>335</v>
      </c>
    </row>
    <row r="152" spans="5:16" ht="30">
      <c r="E152" s="9"/>
      <c r="F152" s="9"/>
      <c r="G152" s="10"/>
      <c r="O152" s="13" t="s">
        <v>338</v>
      </c>
      <c r="P152" s="16" t="s">
        <v>337</v>
      </c>
    </row>
    <row r="153" spans="5:16">
      <c r="E153" s="9"/>
      <c r="F153" s="9"/>
      <c r="G153" s="10"/>
      <c r="O153" s="13" t="s">
        <v>340</v>
      </c>
      <c r="P153" s="16" t="s">
        <v>339</v>
      </c>
    </row>
    <row r="154" spans="5:16">
      <c r="E154" s="9"/>
      <c r="F154" s="9"/>
      <c r="G154" s="10"/>
      <c r="O154" s="13" t="s">
        <v>342</v>
      </c>
      <c r="P154" s="16" t="s">
        <v>341</v>
      </c>
    </row>
    <row r="155" spans="5:16">
      <c r="E155" s="9"/>
      <c r="F155" s="9"/>
      <c r="G155" s="10"/>
      <c r="O155" s="13" t="s">
        <v>344</v>
      </c>
      <c r="P155" s="16" t="s">
        <v>343</v>
      </c>
    </row>
    <row r="156" spans="5:16" ht="30">
      <c r="E156" s="9"/>
      <c r="F156" s="9"/>
      <c r="G156" s="10"/>
      <c r="O156" s="13" t="s">
        <v>346</v>
      </c>
      <c r="P156" s="16" t="s">
        <v>345</v>
      </c>
    </row>
    <row r="157" spans="5:16">
      <c r="E157" s="9"/>
      <c r="F157" s="9"/>
      <c r="G157" s="10"/>
      <c r="O157" s="13" t="s">
        <v>348</v>
      </c>
      <c r="P157" s="16" t="s">
        <v>347</v>
      </c>
    </row>
    <row r="158" spans="5:16">
      <c r="E158" s="9"/>
      <c r="F158" s="9"/>
      <c r="G158" s="10"/>
      <c r="O158" s="13" t="s">
        <v>350</v>
      </c>
      <c r="P158" s="16" t="s">
        <v>349</v>
      </c>
    </row>
    <row r="159" spans="5:16">
      <c r="E159" s="9"/>
      <c r="F159" s="9"/>
      <c r="G159" s="10"/>
      <c r="O159" s="13" t="s">
        <v>352</v>
      </c>
      <c r="P159" s="16" t="s">
        <v>351</v>
      </c>
    </row>
    <row r="160" spans="5:16" ht="30">
      <c r="E160" s="9"/>
      <c r="F160" s="9"/>
      <c r="G160" s="10"/>
      <c r="O160" s="13" t="s">
        <v>354</v>
      </c>
      <c r="P160" s="16" t="s">
        <v>353</v>
      </c>
    </row>
    <row r="161" spans="5:16">
      <c r="E161" s="9"/>
      <c r="F161" s="9"/>
      <c r="G161" s="10"/>
      <c r="O161" s="13" t="s">
        <v>356</v>
      </c>
      <c r="P161" s="16" t="s">
        <v>355</v>
      </c>
    </row>
    <row r="162" spans="5:16" ht="30">
      <c r="E162" s="9"/>
      <c r="F162" s="9"/>
      <c r="G162" s="10"/>
      <c r="O162" s="13" t="s">
        <v>358</v>
      </c>
      <c r="P162" s="16" t="s">
        <v>357</v>
      </c>
    </row>
    <row r="163" spans="5:16">
      <c r="E163" s="9"/>
      <c r="F163" s="9"/>
      <c r="G163" s="10"/>
      <c r="O163" s="13" t="s">
        <v>360</v>
      </c>
      <c r="P163" s="16" t="s">
        <v>359</v>
      </c>
    </row>
    <row r="164" spans="5:16">
      <c r="E164" s="9"/>
      <c r="F164" s="9"/>
      <c r="G164" s="10"/>
      <c r="O164" s="13" t="s">
        <v>362</v>
      </c>
      <c r="P164" s="16" t="s">
        <v>361</v>
      </c>
    </row>
    <row r="165" spans="5:16">
      <c r="E165" s="9"/>
      <c r="F165" s="9"/>
      <c r="G165" s="10"/>
      <c r="O165" s="13" t="s">
        <v>364</v>
      </c>
      <c r="P165" s="16" t="s">
        <v>363</v>
      </c>
    </row>
    <row r="166" spans="5:16">
      <c r="E166" s="9"/>
      <c r="F166" s="9"/>
      <c r="G166" s="10"/>
      <c r="O166" s="13" t="s">
        <v>366</v>
      </c>
      <c r="P166" s="16" t="s">
        <v>365</v>
      </c>
    </row>
    <row r="167" spans="5:16">
      <c r="E167" s="9"/>
      <c r="F167" s="9"/>
      <c r="G167" s="10"/>
      <c r="O167" s="13" t="s">
        <v>368</v>
      </c>
      <c r="P167" s="16" t="s">
        <v>367</v>
      </c>
    </row>
    <row r="168" spans="5:16">
      <c r="E168" s="9"/>
      <c r="F168" s="9"/>
      <c r="G168" s="10"/>
      <c r="O168" s="13" t="s">
        <v>370</v>
      </c>
      <c r="P168" s="16" t="s">
        <v>369</v>
      </c>
    </row>
    <row r="169" spans="5:16">
      <c r="E169" s="9"/>
      <c r="F169" s="9"/>
      <c r="G169" s="10"/>
      <c r="O169" s="13" t="s">
        <v>372</v>
      </c>
      <c r="P169" s="16" t="s">
        <v>371</v>
      </c>
    </row>
    <row r="170" spans="5:16">
      <c r="E170" s="9"/>
      <c r="F170" s="9"/>
      <c r="G170" s="10"/>
      <c r="O170" s="13" t="s">
        <v>445</v>
      </c>
      <c r="P170" s="16" t="s">
        <v>373</v>
      </c>
    </row>
    <row r="171" spans="5:16">
      <c r="E171" s="9"/>
      <c r="F171" s="9"/>
      <c r="G171" s="10"/>
      <c r="O171" s="13" t="s">
        <v>376</v>
      </c>
      <c r="P171" s="16" t="s">
        <v>375</v>
      </c>
    </row>
    <row r="172" spans="5:16">
      <c r="E172" s="9"/>
      <c r="F172" s="9"/>
      <c r="G172" s="10"/>
      <c r="O172" s="13" t="s">
        <v>446</v>
      </c>
      <c r="P172" s="16" t="s">
        <v>377</v>
      </c>
    </row>
    <row r="173" spans="5:16">
      <c r="E173" s="9"/>
      <c r="F173" s="9"/>
      <c r="G173" s="10"/>
      <c r="O173" s="13" t="s">
        <v>380</v>
      </c>
      <c r="P173" s="16" t="s">
        <v>379</v>
      </c>
    </row>
    <row r="174" spans="5:16" ht="30">
      <c r="E174" s="9"/>
      <c r="F174" s="9"/>
      <c r="G174" s="10"/>
      <c r="O174" s="13" t="s">
        <v>382</v>
      </c>
      <c r="P174" s="16" t="s">
        <v>381</v>
      </c>
    </row>
    <row r="175" spans="5:16">
      <c r="E175" s="9"/>
      <c r="F175" s="9"/>
      <c r="G175" s="10"/>
      <c r="O175" s="13" t="s">
        <v>384</v>
      </c>
      <c r="P175" s="16" t="s">
        <v>383</v>
      </c>
    </row>
    <row r="176" spans="5:16">
      <c r="E176" s="9"/>
      <c r="F176" s="9"/>
      <c r="G176" s="10"/>
      <c r="O176" s="13" t="s">
        <v>386</v>
      </c>
      <c r="P176" s="16" t="s">
        <v>385</v>
      </c>
    </row>
    <row r="177" spans="5:16" ht="30">
      <c r="E177" s="9"/>
      <c r="F177" s="9"/>
      <c r="G177" s="10"/>
      <c r="O177" s="13" t="s">
        <v>447</v>
      </c>
      <c r="P177" s="16" t="s">
        <v>387</v>
      </c>
    </row>
    <row r="178" spans="5:16">
      <c r="E178" s="9"/>
      <c r="F178" s="9"/>
      <c r="G178" s="10"/>
      <c r="O178" s="13" t="s">
        <v>390</v>
      </c>
      <c r="P178" s="16" t="s">
        <v>389</v>
      </c>
    </row>
    <row r="179" spans="5:16">
      <c r="E179" s="9"/>
      <c r="F179" s="9"/>
      <c r="G179" s="10"/>
      <c r="O179" s="13" t="s">
        <v>392</v>
      </c>
      <c r="P179" s="16" t="s">
        <v>391</v>
      </c>
    </row>
    <row r="180" spans="5:16" ht="30">
      <c r="E180" s="9"/>
      <c r="F180" s="9"/>
      <c r="G180" s="10"/>
      <c r="O180" s="13" t="s">
        <v>394</v>
      </c>
      <c r="P180" s="16" t="s">
        <v>393</v>
      </c>
    </row>
    <row r="181" spans="5:16">
      <c r="E181" s="9"/>
      <c r="F181" s="9"/>
      <c r="G181" s="10"/>
      <c r="O181" s="13" t="s">
        <v>396</v>
      </c>
      <c r="P181" s="16" t="s">
        <v>395</v>
      </c>
    </row>
    <row r="182" spans="5:16">
      <c r="E182" s="9"/>
      <c r="F182" s="9"/>
      <c r="G182" s="10"/>
      <c r="O182" s="13" t="s">
        <v>398</v>
      </c>
      <c r="P182" s="16" t="s">
        <v>397</v>
      </c>
    </row>
    <row r="183" spans="5:16">
      <c r="E183" s="9"/>
      <c r="F183" s="9"/>
      <c r="G183" s="10"/>
      <c r="O183" s="13" t="s">
        <v>400</v>
      </c>
      <c r="P183" s="16" t="s">
        <v>399</v>
      </c>
    </row>
    <row r="184" spans="5:16" ht="45">
      <c r="E184" s="9"/>
      <c r="F184" s="9"/>
      <c r="G184" s="10"/>
      <c r="O184" s="13" t="s">
        <v>402</v>
      </c>
      <c r="P184" s="16" t="s">
        <v>401</v>
      </c>
    </row>
    <row r="185" spans="5:16" ht="30">
      <c r="E185" s="9"/>
      <c r="F185" s="9"/>
      <c r="G185" s="10"/>
      <c r="O185" s="13" t="s">
        <v>404</v>
      </c>
      <c r="P185" s="16" t="s">
        <v>403</v>
      </c>
    </row>
    <row r="186" spans="5:16" ht="30">
      <c r="E186" s="9"/>
      <c r="F186" s="9"/>
      <c r="G186" s="10"/>
      <c r="O186" s="13" t="s">
        <v>406</v>
      </c>
      <c r="P186" s="16" t="s">
        <v>405</v>
      </c>
    </row>
    <row r="187" spans="5:16">
      <c r="E187" s="9"/>
      <c r="F187" s="9"/>
      <c r="G187" s="10"/>
      <c r="O187" s="13" t="s">
        <v>408</v>
      </c>
      <c r="P187" s="16" t="s">
        <v>407</v>
      </c>
    </row>
    <row r="188" spans="5:16">
      <c r="E188" s="9"/>
      <c r="F188" s="9"/>
      <c r="G188" s="10"/>
      <c r="O188" s="13" t="s">
        <v>410</v>
      </c>
      <c r="P188" s="16" t="s">
        <v>409</v>
      </c>
    </row>
    <row r="189" spans="5:16">
      <c r="E189" s="9"/>
      <c r="F189" s="9"/>
      <c r="G189" s="10"/>
      <c r="O189" s="13" t="s">
        <v>412</v>
      </c>
      <c r="P189" s="16" t="s">
        <v>411</v>
      </c>
    </row>
    <row r="190" spans="5:16">
      <c r="E190" s="9"/>
      <c r="F190" s="9"/>
      <c r="G190" s="10"/>
      <c r="O190" s="13" t="s">
        <v>448</v>
      </c>
      <c r="P190" s="16" t="s">
        <v>413</v>
      </c>
    </row>
    <row r="191" spans="5:16">
      <c r="E191" s="9"/>
      <c r="F191" s="9"/>
      <c r="G191" s="10"/>
      <c r="O191" s="13" t="s">
        <v>416</v>
      </c>
      <c r="P191" s="16" t="s">
        <v>415</v>
      </c>
    </row>
    <row r="192" spans="5:16">
      <c r="E192" s="9"/>
      <c r="F192" s="9"/>
      <c r="G192" s="10"/>
      <c r="O192" s="13" t="s">
        <v>418</v>
      </c>
      <c r="P192" s="16" t="s">
        <v>417</v>
      </c>
    </row>
    <row r="193" spans="5:16">
      <c r="E193" s="9"/>
      <c r="F193" s="9"/>
      <c r="G193" s="10"/>
      <c r="O193" s="13" t="s">
        <v>420</v>
      </c>
      <c r="P193" s="16" t="s">
        <v>419</v>
      </c>
    </row>
    <row r="194" spans="5:16">
      <c r="E194" s="9"/>
      <c r="F194" s="9"/>
      <c r="G194" s="10"/>
      <c r="O194" s="13" t="s">
        <v>422</v>
      </c>
      <c r="P194" s="16" t="s">
        <v>421</v>
      </c>
    </row>
    <row r="195" spans="5:16">
      <c r="E195" s="9"/>
      <c r="F195" s="9"/>
      <c r="G195" s="10"/>
    </row>
    <row r="196" spans="5:16">
      <c r="E196" s="9"/>
      <c r="F196" s="9"/>
      <c r="G196" s="10"/>
    </row>
    <row r="197" spans="5:16">
      <c r="E197" s="9"/>
      <c r="F197" s="9"/>
      <c r="G197" s="10"/>
    </row>
    <row r="198" spans="5:16">
      <c r="E198" s="9"/>
      <c r="F198" s="9"/>
      <c r="G198" s="10"/>
    </row>
    <row r="199" spans="5:16">
      <c r="E199" s="9"/>
      <c r="F199" s="9"/>
      <c r="G199" s="10"/>
    </row>
    <row r="200" spans="5:16">
      <c r="E200" s="9"/>
      <c r="F200" s="9"/>
      <c r="G200" s="10"/>
    </row>
    <row r="201" spans="5:16">
      <c r="E201" s="9"/>
      <c r="F201" s="9"/>
      <c r="G201" s="10"/>
    </row>
    <row r="202" spans="5:16">
      <c r="E202" s="9"/>
      <c r="F202" s="9"/>
      <c r="G202" s="10"/>
    </row>
    <row r="203" spans="5:16">
      <c r="E203" s="9"/>
      <c r="F203" s="9"/>
      <c r="G203" s="10"/>
    </row>
    <row r="204" spans="5:16">
      <c r="E204" s="9"/>
      <c r="F204" s="9"/>
      <c r="G204" s="10"/>
    </row>
    <row r="205" spans="5:16">
      <c r="E205" s="9"/>
      <c r="F205" s="9"/>
      <c r="G205" s="10"/>
    </row>
    <row r="206" spans="5:16">
      <c r="E206" s="9"/>
      <c r="F206" s="9"/>
      <c r="G206" s="10"/>
    </row>
    <row r="207" spans="5:16">
      <c r="E207" s="9"/>
      <c r="F207" s="9"/>
      <c r="G207" s="10"/>
    </row>
    <row r="208" spans="5:16">
      <c r="E208" s="9"/>
      <c r="F208" s="9"/>
      <c r="G208" s="10"/>
    </row>
    <row r="209" spans="5:7">
      <c r="E209" s="9"/>
      <c r="F209" s="9"/>
      <c r="G209" s="10"/>
    </row>
    <row r="210" spans="5:7">
      <c r="E210" s="9"/>
      <c r="F210" s="9"/>
      <c r="G210" s="10"/>
    </row>
    <row r="211" spans="5:7">
      <c r="E211" s="9"/>
      <c r="F211" s="9"/>
      <c r="G211" s="10"/>
    </row>
    <row r="212" spans="5:7">
      <c r="E212" s="9"/>
      <c r="F212" s="9"/>
      <c r="G212" s="10"/>
    </row>
    <row r="213" spans="5:7">
      <c r="E213" s="9"/>
      <c r="F213" s="9"/>
      <c r="G213" s="10"/>
    </row>
    <row r="214" spans="5:7">
      <c r="E214" s="9"/>
      <c r="F214" s="9"/>
      <c r="G214" s="10"/>
    </row>
    <row r="215" spans="5:7">
      <c r="E215" s="9"/>
      <c r="F215" s="9"/>
      <c r="G215" s="10"/>
    </row>
    <row r="216" spans="5:7">
      <c r="E216" s="9"/>
      <c r="F216" s="9"/>
      <c r="G216" s="10"/>
    </row>
    <row r="217" spans="5:7">
      <c r="E217" s="9"/>
      <c r="F217" s="9"/>
      <c r="G217" s="10"/>
    </row>
    <row r="218" spans="5:7">
      <c r="E218" s="9"/>
      <c r="F218" s="9"/>
      <c r="G218" s="10"/>
    </row>
    <row r="219" spans="5:7">
      <c r="E219" s="9"/>
      <c r="F219" s="9"/>
      <c r="G219" s="10"/>
    </row>
    <row r="220" spans="5:7">
      <c r="E220" s="9"/>
      <c r="F220" s="9"/>
      <c r="G220" s="10"/>
    </row>
    <row r="221" spans="5:7">
      <c r="E221" s="9"/>
      <c r="F221" s="9"/>
      <c r="G221" s="10"/>
    </row>
    <row r="222" spans="5:7">
      <c r="E222" s="9"/>
      <c r="F222" s="9"/>
      <c r="G222" s="10"/>
    </row>
    <row r="223" spans="5:7">
      <c r="E223" s="9"/>
      <c r="F223" s="9"/>
      <c r="G223" s="10"/>
    </row>
    <row r="224" spans="5:7">
      <c r="E224" s="9"/>
      <c r="F224" s="9"/>
      <c r="G224" s="10"/>
    </row>
    <row r="225" spans="5:7">
      <c r="E225" s="9"/>
      <c r="F225" s="9"/>
      <c r="G225" s="10"/>
    </row>
    <row r="226" spans="5:7">
      <c r="E226" s="9"/>
      <c r="F226" s="9"/>
      <c r="G226" s="10"/>
    </row>
    <row r="227" spans="5:7">
      <c r="E227" s="9"/>
      <c r="F227" s="9"/>
      <c r="G227" s="10"/>
    </row>
    <row r="228" spans="5:7">
      <c r="E228" s="9"/>
      <c r="F228" s="9"/>
      <c r="G228" s="10"/>
    </row>
    <row r="229" spans="5:7">
      <c r="E229" s="9"/>
      <c r="F229" s="9"/>
      <c r="G229" s="10"/>
    </row>
    <row r="230" spans="5:7">
      <c r="E230" s="9"/>
      <c r="F230" s="9"/>
      <c r="G230" s="10"/>
    </row>
    <row r="231" spans="5:7">
      <c r="E231" s="9"/>
      <c r="F231" s="9"/>
      <c r="G231" s="10"/>
    </row>
    <row r="232" spans="5:7">
      <c r="E232" s="9"/>
      <c r="F232" s="9"/>
      <c r="G232" s="10"/>
    </row>
    <row r="233" spans="5:7">
      <c r="E233" s="9"/>
      <c r="F233" s="9"/>
      <c r="G233" s="10"/>
    </row>
    <row r="234" spans="5:7">
      <c r="E234" s="9"/>
      <c r="F234" s="9"/>
      <c r="G234" s="10"/>
    </row>
    <row r="235" spans="5:7">
      <c r="E235" s="9"/>
      <c r="F235" s="9"/>
      <c r="G235" s="10"/>
    </row>
    <row r="236" spans="5:7">
      <c r="E236" s="9"/>
      <c r="F236" s="9"/>
      <c r="G236" s="10"/>
    </row>
    <row r="237" spans="5:7">
      <c r="E237" s="9"/>
      <c r="F237" s="9"/>
      <c r="G237" s="10"/>
    </row>
    <row r="238" spans="5:7">
      <c r="E238" s="9"/>
      <c r="F238" s="9"/>
      <c r="G238" s="10"/>
    </row>
    <row r="239" spans="5:7">
      <c r="E239" s="9"/>
      <c r="F239" s="9"/>
      <c r="G239" s="10"/>
    </row>
    <row r="240" spans="5:7">
      <c r="E240" s="9"/>
      <c r="F240" s="9"/>
      <c r="G240" s="10"/>
    </row>
    <row r="241" spans="5:7">
      <c r="E241" s="9"/>
      <c r="F241" s="9"/>
      <c r="G241" s="10"/>
    </row>
    <row r="242" spans="5:7">
      <c r="E242" s="9"/>
      <c r="F242" s="9"/>
      <c r="G242" s="10"/>
    </row>
    <row r="243" spans="5:7">
      <c r="E243" s="9"/>
      <c r="F243" s="9"/>
      <c r="G243" s="10"/>
    </row>
    <row r="244" spans="5:7">
      <c r="E244" s="9"/>
      <c r="F244" s="9"/>
      <c r="G244" s="10"/>
    </row>
    <row r="245" spans="5:7">
      <c r="E245" s="9"/>
      <c r="F245" s="9"/>
      <c r="G245" s="10"/>
    </row>
    <row r="246" spans="5:7">
      <c r="E246" s="9"/>
      <c r="F246" s="9"/>
      <c r="G246" s="10"/>
    </row>
    <row r="247" spans="5:7">
      <c r="E247" s="9"/>
      <c r="F247" s="9"/>
      <c r="G247" s="10"/>
    </row>
    <row r="248" spans="5:7">
      <c r="E248" s="9"/>
      <c r="F248" s="9"/>
      <c r="G248" s="10"/>
    </row>
    <row r="249" spans="5:7">
      <c r="E249" s="9"/>
      <c r="F249" s="9"/>
      <c r="G249" s="10"/>
    </row>
    <row r="250" spans="5:7">
      <c r="E250" s="9"/>
      <c r="F250" s="9"/>
      <c r="G250" s="10"/>
    </row>
    <row r="251" spans="5:7">
      <c r="E251" s="9"/>
      <c r="F251" s="9"/>
      <c r="G251" s="10"/>
    </row>
    <row r="252" spans="5:7">
      <c r="E252" s="9"/>
      <c r="F252" s="9"/>
      <c r="G252" s="10"/>
    </row>
    <row r="253" spans="5:7">
      <c r="E253" s="9"/>
      <c r="F253" s="9"/>
      <c r="G253" s="10"/>
    </row>
    <row r="254" spans="5:7">
      <c r="E254" s="9"/>
      <c r="F254" s="9"/>
      <c r="G254" s="10"/>
    </row>
    <row r="255" spans="5:7">
      <c r="E255" s="9"/>
      <c r="F255" s="9"/>
      <c r="G255" s="10"/>
    </row>
    <row r="256" spans="5:7">
      <c r="E256" s="9"/>
      <c r="F256" s="9"/>
      <c r="G256" s="10"/>
    </row>
    <row r="257" spans="5:7">
      <c r="E257" s="9"/>
      <c r="F257" s="9"/>
      <c r="G257" s="10"/>
    </row>
    <row r="258" spans="5:7">
      <c r="E258" s="9"/>
      <c r="F258" s="9"/>
      <c r="G258" s="10"/>
    </row>
    <row r="259" spans="5:7">
      <c r="E259" s="9"/>
      <c r="F259" s="9"/>
      <c r="G259" s="10"/>
    </row>
    <row r="260" spans="5:7">
      <c r="E260" s="9"/>
      <c r="F260" s="9"/>
      <c r="G260" s="10"/>
    </row>
    <row r="261" spans="5:7">
      <c r="E261" s="9"/>
      <c r="F261" s="9"/>
      <c r="G261" s="10"/>
    </row>
    <row r="262" spans="5:7">
      <c r="E262" s="9"/>
      <c r="F262" s="9"/>
      <c r="G262" s="10"/>
    </row>
    <row r="263" spans="5:7">
      <c r="E263" s="9"/>
      <c r="F263" s="9"/>
      <c r="G263" s="10"/>
    </row>
    <row r="264" spans="5:7">
      <c r="E264" s="9"/>
      <c r="F264" s="9"/>
      <c r="G264" s="10"/>
    </row>
    <row r="265" spans="5:7">
      <c r="E265" s="9"/>
      <c r="F265" s="9"/>
      <c r="G265" s="10"/>
    </row>
    <row r="266" spans="5:7">
      <c r="E266" s="9"/>
      <c r="F266" s="9"/>
      <c r="G266" s="10"/>
    </row>
    <row r="267" spans="5:7">
      <c r="E267" s="9"/>
      <c r="F267" s="9"/>
      <c r="G267" s="10"/>
    </row>
    <row r="268" spans="5:7">
      <c r="E268" s="9"/>
      <c r="F268" s="9"/>
      <c r="G268" s="10"/>
    </row>
    <row r="269" spans="5:7">
      <c r="E269" s="9"/>
      <c r="F269" s="9"/>
      <c r="G269" s="10"/>
    </row>
    <row r="270" spans="5:7">
      <c r="E270" s="9"/>
      <c r="F270" s="9"/>
      <c r="G270" s="10"/>
    </row>
    <row r="271" spans="5:7">
      <c r="E271" s="9"/>
      <c r="F271" s="9"/>
      <c r="G271" s="10"/>
    </row>
    <row r="272" spans="5:7">
      <c r="E272" s="9"/>
      <c r="F272" s="9"/>
      <c r="G272" s="10"/>
    </row>
    <row r="273" spans="5:7">
      <c r="E273" s="9"/>
      <c r="F273" s="9"/>
      <c r="G273" s="10"/>
    </row>
    <row r="274" spans="5:7">
      <c r="E274" s="9"/>
      <c r="F274" s="9"/>
      <c r="G274" s="10"/>
    </row>
    <row r="275" spans="5:7">
      <c r="E275" s="9"/>
      <c r="F275" s="9"/>
      <c r="G275" s="10"/>
    </row>
    <row r="276" spans="5:7">
      <c r="E276" s="9"/>
      <c r="F276" s="9"/>
      <c r="G276" s="10"/>
    </row>
    <row r="277" spans="5:7">
      <c r="E277" s="9"/>
      <c r="F277" s="9"/>
      <c r="G277" s="10"/>
    </row>
    <row r="278" spans="5:7">
      <c r="E278" s="9"/>
      <c r="F278" s="9"/>
      <c r="G278" s="10"/>
    </row>
    <row r="279" spans="5:7">
      <c r="E279" s="9"/>
      <c r="F279" s="9"/>
      <c r="G279" s="10"/>
    </row>
    <row r="280" spans="5:7">
      <c r="E280" s="9"/>
      <c r="F280" s="9"/>
      <c r="G280" s="10"/>
    </row>
    <row r="281" spans="5:7">
      <c r="E281" s="9"/>
      <c r="F281" s="9"/>
      <c r="G281" s="10"/>
    </row>
    <row r="282" spans="5:7">
      <c r="E282" s="9"/>
      <c r="F282" s="9"/>
      <c r="G282" s="10"/>
    </row>
    <row r="283" spans="5:7">
      <c r="E283" s="9"/>
      <c r="F283" s="9"/>
      <c r="G283" s="10"/>
    </row>
    <row r="284" spans="5:7">
      <c r="E284" s="9"/>
      <c r="F284" s="9"/>
      <c r="G284" s="10"/>
    </row>
    <row r="285" spans="5:7">
      <c r="E285" s="9"/>
      <c r="F285" s="9"/>
      <c r="G285" s="10"/>
    </row>
    <row r="286" spans="5:7">
      <c r="E286" s="9"/>
      <c r="F286" s="9"/>
      <c r="G286" s="10"/>
    </row>
    <row r="287" spans="5:7">
      <c r="E287" s="9"/>
      <c r="F287" s="9"/>
      <c r="G287" s="10"/>
    </row>
    <row r="288" spans="5:7">
      <c r="E288" s="9"/>
      <c r="F288" s="9"/>
      <c r="G288" s="10"/>
    </row>
    <row r="289" spans="5:7">
      <c r="E289" s="9"/>
      <c r="F289" s="9"/>
      <c r="G289" s="10"/>
    </row>
    <row r="290" spans="5:7">
      <c r="E290" s="9"/>
      <c r="F290" s="9"/>
      <c r="G290" s="10"/>
    </row>
    <row r="291" spans="5:7">
      <c r="E291" s="9"/>
      <c r="F291" s="9"/>
      <c r="G291" s="10"/>
    </row>
    <row r="292" spans="5:7">
      <c r="E292" s="9"/>
      <c r="F292" s="9"/>
      <c r="G292" s="10"/>
    </row>
    <row r="293" spans="5:7">
      <c r="E293" s="9"/>
      <c r="F293" s="9"/>
      <c r="G293" s="10"/>
    </row>
    <row r="294" spans="5:7">
      <c r="E294" s="9"/>
      <c r="F294" s="9"/>
      <c r="G294" s="10"/>
    </row>
    <row r="295" spans="5:7">
      <c r="E295" s="9"/>
      <c r="F295" s="9"/>
      <c r="G295" s="10"/>
    </row>
    <row r="296" spans="5:7">
      <c r="E296" s="9"/>
      <c r="F296" s="9"/>
      <c r="G296" s="10"/>
    </row>
    <row r="297" spans="5:7">
      <c r="E297" s="9"/>
      <c r="F297" s="9"/>
      <c r="G297" s="10"/>
    </row>
    <row r="298" spans="5:7">
      <c r="E298" s="9"/>
      <c r="F298" s="9"/>
      <c r="G298" s="10"/>
    </row>
    <row r="299" spans="5:7">
      <c r="E299" s="9"/>
      <c r="F299" s="9"/>
      <c r="G299" s="10"/>
    </row>
    <row r="300" spans="5:7">
      <c r="E300" s="9"/>
      <c r="F300" s="9"/>
      <c r="G300" s="10"/>
    </row>
    <row r="301" spans="5:7">
      <c r="E301" s="9"/>
      <c r="F301" s="9"/>
      <c r="G301" s="10"/>
    </row>
    <row r="302" spans="5:7">
      <c r="E302" s="9"/>
      <c r="F302" s="9"/>
      <c r="G302" s="10"/>
    </row>
    <row r="303" spans="5:7">
      <c r="E303" s="9"/>
      <c r="F303" s="9"/>
      <c r="G303" s="10"/>
    </row>
    <row r="304" spans="5:7">
      <c r="E304" s="9"/>
      <c r="F304" s="9"/>
      <c r="G304" s="10"/>
    </row>
    <row r="305" spans="5:7">
      <c r="E305" s="9"/>
      <c r="F305" s="9"/>
      <c r="G305" s="10"/>
    </row>
    <row r="306" spans="5:7">
      <c r="E306" s="9"/>
      <c r="F306" s="9"/>
      <c r="G306" s="10"/>
    </row>
    <row r="307" spans="5:7">
      <c r="E307" s="9"/>
      <c r="F307" s="9"/>
      <c r="G307" s="10"/>
    </row>
    <row r="308" spans="5:7">
      <c r="E308" s="9"/>
      <c r="F308" s="9"/>
      <c r="G308" s="10"/>
    </row>
    <row r="309" spans="5:7">
      <c r="E309" s="9"/>
      <c r="F309" s="9"/>
      <c r="G309" s="10"/>
    </row>
    <row r="310" spans="5:7">
      <c r="E310" s="9"/>
      <c r="F310" s="9"/>
      <c r="G310" s="10"/>
    </row>
    <row r="311" spans="5:7">
      <c r="E311" s="9"/>
      <c r="F311" s="9"/>
      <c r="G311" s="10"/>
    </row>
    <row r="312" spans="5:7">
      <c r="E312" s="9"/>
      <c r="F312" s="9"/>
      <c r="G312" s="10"/>
    </row>
    <row r="313" spans="5:7">
      <c r="E313" s="9"/>
      <c r="F313" s="9"/>
      <c r="G313" s="10"/>
    </row>
    <row r="314" spans="5:7">
      <c r="E314" s="9"/>
      <c r="F314" s="9"/>
      <c r="G314" s="10"/>
    </row>
    <row r="315" spans="5:7">
      <c r="E315" s="9"/>
      <c r="F315" s="9"/>
      <c r="G315" s="10"/>
    </row>
    <row r="316" spans="5:7">
      <c r="E316" s="9"/>
      <c r="F316" s="9"/>
      <c r="G316" s="10"/>
    </row>
    <row r="317" spans="5:7">
      <c r="E317" s="9"/>
      <c r="F317" s="9"/>
      <c r="G317" s="10"/>
    </row>
    <row r="318" spans="5:7">
      <c r="E318" s="9"/>
      <c r="F318" s="9"/>
      <c r="G318" s="10"/>
    </row>
    <row r="319" spans="5:7">
      <c r="E319" s="9"/>
      <c r="F319" s="9"/>
      <c r="G319" s="10"/>
    </row>
    <row r="320" spans="5:7">
      <c r="E320" s="9"/>
      <c r="F320" s="9"/>
      <c r="G320" s="10"/>
    </row>
    <row r="321" spans="5:7">
      <c r="E321" s="9"/>
      <c r="F321" s="9"/>
      <c r="G321" s="10"/>
    </row>
    <row r="322" spans="5:7">
      <c r="E322" s="9"/>
      <c r="F322" s="9"/>
      <c r="G322" s="10"/>
    </row>
    <row r="323" spans="5:7">
      <c r="E323" s="9"/>
      <c r="F323" s="9"/>
      <c r="G323" s="10"/>
    </row>
    <row r="324" spans="5:7">
      <c r="E324" s="9"/>
      <c r="F324" s="9"/>
      <c r="G324" s="10"/>
    </row>
    <row r="325" spans="5:7">
      <c r="E325" s="9"/>
      <c r="F325" s="9"/>
      <c r="G325" s="10"/>
    </row>
    <row r="326" spans="5:7">
      <c r="E326" s="9"/>
      <c r="F326" s="9"/>
      <c r="G326" s="10"/>
    </row>
    <row r="327" spans="5:7">
      <c r="E327" s="9"/>
      <c r="F327" s="9"/>
      <c r="G327" s="10"/>
    </row>
    <row r="328" spans="5:7">
      <c r="E328" s="9"/>
      <c r="F328" s="9"/>
      <c r="G328" s="10"/>
    </row>
    <row r="329" spans="5:7">
      <c r="E329" s="9"/>
      <c r="F329" s="9"/>
      <c r="G329" s="10"/>
    </row>
    <row r="330" spans="5:7">
      <c r="E330" s="9"/>
      <c r="F330" s="9"/>
      <c r="G330" s="10"/>
    </row>
    <row r="331" spans="5:7">
      <c r="E331" s="9"/>
      <c r="F331" s="9"/>
      <c r="G331" s="10"/>
    </row>
    <row r="332" spans="5:7">
      <c r="E332" s="9"/>
      <c r="F332" s="9"/>
      <c r="G332" s="10"/>
    </row>
    <row r="333" spans="5:7">
      <c r="E333" s="9"/>
      <c r="F333" s="9"/>
      <c r="G333" s="10"/>
    </row>
    <row r="334" spans="5:7">
      <c r="E334" s="9"/>
      <c r="F334" s="9"/>
      <c r="G334" s="10"/>
    </row>
    <row r="335" spans="5:7">
      <c r="E335" s="9"/>
      <c r="F335" s="9"/>
      <c r="G335" s="10"/>
    </row>
    <row r="336" spans="5:7">
      <c r="E336" s="9"/>
      <c r="F336" s="9"/>
      <c r="G336" s="10"/>
    </row>
    <row r="337" spans="5:7">
      <c r="E337" s="9"/>
      <c r="F337" s="9"/>
      <c r="G337" s="10"/>
    </row>
    <row r="338" spans="5:7">
      <c r="E338" s="9"/>
      <c r="F338" s="9"/>
      <c r="G338" s="10"/>
    </row>
    <row r="339" spans="5:7">
      <c r="E339" s="9"/>
      <c r="F339" s="9"/>
      <c r="G339" s="10"/>
    </row>
    <row r="340" spans="5:7">
      <c r="E340" s="9"/>
      <c r="F340" s="9"/>
      <c r="G340" s="10"/>
    </row>
    <row r="341" spans="5:7">
      <c r="E341" s="9"/>
      <c r="F341" s="9"/>
      <c r="G341" s="10"/>
    </row>
    <row r="342" spans="5:7">
      <c r="E342" s="9"/>
      <c r="F342" s="9"/>
      <c r="G342" s="10"/>
    </row>
    <row r="343" spans="5:7">
      <c r="E343" s="9"/>
      <c r="F343" s="9"/>
      <c r="G343" s="10"/>
    </row>
    <row r="344" spans="5:7">
      <c r="E344" s="9"/>
      <c r="F344" s="9"/>
      <c r="G344" s="10"/>
    </row>
    <row r="345" spans="5:7">
      <c r="E345" s="9"/>
      <c r="F345" s="9"/>
      <c r="G345" s="10"/>
    </row>
    <row r="346" spans="5:7">
      <c r="E346" s="9"/>
      <c r="F346" s="9"/>
      <c r="G346" s="10"/>
    </row>
    <row r="347" spans="5:7">
      <c r="E347" s="9"/>
      <c r="F347" s="9"/>
      <c r="G347" s="10"/>
    </row>
    <row r="348" spans="5:7">
      <c r="E348" s="9"/>
      <c r="F348" s="9"/>
      <c r="G348" s="10"/>
    </row>
    <row r="349" spans="5:7">
      <c r="E349" s="9"/>
      <c r="F349" s="9"/>
      <c r="G349" s="10"/>
    </row>
    <row r="350" spans="5:7">
      <c r="E350" s="9"/>
      <c r="F350" s="9"/>
      <c r="G350" s="10"/>
    </row>
    <row r="351" spans="5:7">
      <c r="E351" s="9"/>
      <c r="F351" s="9"/>
      <c r="G351" s="10"/>
    </row>
    <row r="352" spans="5:7">
      <c r="E352" s="9"/>
      <c r="F352" s="9"/>
      <c r="G352" s="10"/>
    </row>
    <row r="353" spans="5:7">
      <c r="E353" s="9"/>
      <c r="F353" s="9"/>
      <c r="G353" s="10"/>
    </row>
    <row r="354" spans="5:7">
      <c r="E354" s="9"/>
      <c r="F354" s="9"/>
      <c r="G354" s="10"/>
    </row>
    <row r="355" spans="5:7">
      <c r="E355" s="9"/>
      <c r="F355" s="9"/>
      <c r="G355" s="10"/>
    </row>
    <row r="356" spans="5:7">
      <c r="E356" s="9"/>
      <c r="F356" s="9"/>
      <c r="G356" s="10"/>
    </row>
    <row r="357" spans="5:7">
      <c r="E357" s="9"/>
      <c r="F357" s="9"/>
      <c r="G357" s="10"/>
    </row>
    <row r="358" spans="5:7">
      <c r="E358" s="9"/>
      <c r="F358" s="9"/>
      <c r="G358" s="10"/>
    </row>
    <row r="359" spans="5:7">
      <c r="E359" s="9"/>
      <c r="F359" s="9"/>
      <c r="G359" s="10"/>
    </row>
    <row r="360" spans="5:7">
      <c r="E360" s="9"/>
      <c r="F360" s="9"/>
      <c r="G360" s="10"/>
    </row>
    <row r="361" spans="5:7">
      <c r="E361" s="9"/>
      <c r="F361" s="9"/>
      <c r="G361" s="10"/>
    </row>
    <row r="362" spans="5:7">
      <c r="E362" s="9"/>
      <c r="F362" s="9"/>
      <c r="G362" s="10"/>
    </row>
    <row r="363" spans="5:7">
      <c r="E363" s="9"/>
      <c r="F363" s="9"/>
      <c r="G363" s="10"/>
    </row>
    <row r="364" spans="5:7">
      <c r="E364" s="9"/>
      <c r="F364" s="9"/>
      <c r="G364" s="10"/>
    </row>
    <row r="365" spans="5:7">
      <c r="E365" s="9"/>
      <c r="F365" s="9"/>
      <c r="G365" s="10"/>
    </row>
    <row r="366" spans="5:7">
      <c r="E366" s="9"/>
      <c r="F366" s="9"/>
      <c r="G366" s="10"/>
    </row>
    <row r="367" spans="5:7">
      <c r="E367" s="9"/>
      <c r="F367" s="9"/>
      <c r="G367" s="10"/>
    </row>
    <row r="368" spans="5:7">
      <c r="E368" s="9"/>
      <c r="F368" s="9"/>
      <c r="G368" s="10"/>
    </row>
    <row r="369" spans="5:7">
      <c r="E369" s="9"/>
      <c r="F369" s="9"/>
      <c r="G369" s="10"/>
    </row>
    <row r="370" spans="5:7">
      <c r="E370" s="9"/>
      <c r="F370" s="9"/>
      <c r="G370" s="10"/>
    </row>
    <row r="371" spans="5:7">
      <c r="E371" s="9"/>
      <c r="F371" s="9"/>
      <c r="G371" s="10"/>
    </row>
    <row r="372" spans="5:7">
      <c r="E372" s="9"/>
      <c r="F372" s="9"/>
      <c r="G372" s="10"/>
    </row>
    <row r="373" spans="5:7">
      <c r="E373" s="9"/>
      <c r="F373" s="9"/>
      <c r="G373" s="10"/>
    </row>
    <row r="374" spans="5:7">
      <c r="E374" s="9"/>
      <c r="F374" s="9"/>
      <c r="G374" s="10"/>
    </row>
    <row r="375" spans="5:7">
      <c r="E375" s="9"/>
      <c r="F375" s="9"/>
      <c r="G375" s="10"/>
    </row>
    <row r="376" spans="5:7">
      <c r="E376" s="9"/>
      <c r="F376" s="9"/>
      <c r="G376" s="10"/>
    </row>
    <row r="377" spans="5:7">
      <c r="E377" s="9"/>
      <c r="F377" s="9"/>
      <c r="G377" s="10"/>
    </row>
    <row r="378" spans="5:7">
      <c r="E378" s="9"/>
      <c r="F378" s="9"/>
      <c r="G378" s="10"/>
    </row>
    <row r="379" spans="5:7">
      <c r="E379" s="9"/>
      <c r="F379" s="9"/>
      <c r="G379" s="10"/>
    </row>
    <row r="380" spans="5:7">
      <c r="E380" s="9"/>
      <c r="F380" s="9"/>
      <c r="G380" s="10"/>
    </row>
    <row r="381" spans="5:7">
      <c r="E381" s="9"/>
      <c r="F381" s="9"/>
      <c r="G381" s="10"/>
    </row>
    <row r="382" spans="5:7">
      <c r="E382" s="9"/>
      <c r="F382" s="9"/>
      <c r="G382" s="10"/>
    </row>
    <row r="383" spans="5:7">
      <c r="E383" s="9"/>
      <c r="F383" s="9"/>
      <c r="G383" s="10"/>
    </row>
    <row r="384" spans="5:7">
      <c r="E384" s="9"/>
      <c r="F384" s="9"/>
      <c r="G384" s="10"/>
    </row>
    <row r="385" spans="5:7">
      <c r="E385" s="9"/>
      <c r="F385" s="9"/>
      <c r="G385" s="10"/>
    </row>
    <row r="386" spans="5:7">
      <c r="E386" s="9"/>
      <c r="F386" s="9"/>
      <c r="G386" s="10"/>
    </row>
    <row r="387" spans="5:7">
      <c r="E387" s="9"/>
      <c r="F387" s="9"/>
      <c r="G387" s="10"/>
    </row>
    <row r="388" spans="5:7">
      <c r="E388" s="9"/>
      <c r="F388" s="9"/>
      <c r="G388" s="10"/>
    </row>
    <row r="389" spans="5:7">
      <c r="E389" s="9"/>
      <c r="F389" s="9"/>
      <c r="G389" s="10"/>
    </row>
    <row r="390" spans="5:7">
      <c r="E390" s="9"/>
      <c r="F390" s="9"/>
      <c r="G390" s="10"/>
    </row>
    <row r="391" spans="5:7">
      <c r="E391" s="9"/>
      <c r="F391" s="9"/>
      <c r="G391" s="10"/>
    </row>
    <row r="392" spans="5:7">
      <c r="E392" s="9"/>
      <c r="F392" s="9"/>
      <c r="G392" s="10"/>
    </row>
    <row r="393" spans="5:7">
      <c r="E393" s="9"/>
      <c r="F393" s="9"/>
      <c r="G393" s="10"/>
    </row>
    <row r="394" spans="5:7">
      <c r="E394" s="9"/>
      <c r="F394" s="9"/>
      <c r="G394" s="10"/>
    </row>
    <row r="395" spans="5:7">
      <c r="E395" s="9"/>
      <c r="F395" s="9"/>
      <c r="G395" s="10"/>
    </row>
    <row r="396" spans="5:7">
      <c r="E396" s="9"/>
      <c r="F396" s="9"/>
      <c r="G396" s="10"/>
    </row>
    <row r="397" spans="5:7">
      <c r="E397" s="9"/>
      <c r="F397" s="9"/>
      <c r="G397" s="10"/>
    </row>
    <row r="398" spans="5:7">
      <c r="E398" s="9"/>
      <c r="F398" s="9"/>
      <c r="G398" s="10"/>
    </row>
    <row r="399" spans="5:7">
      <c r="E399" s="9"/>
      <c r="F399" s="9"/>
      <c r="G399" s="10"/>
    </row>
    <row r="400" spans="5:7">
      <c r="E400" s="9"/>
      <c r="F400" s="9"/>
      <c r="G400" s="10"/>
    </row>
    <row r="401" spans="5:7">
      <c r="E401" s="9"/>
      <c r="F401" s="9"/>
      <c r="G401" s="10"/>
    </row>
    <row r="402" spans="5:7">
      <c r="E402" s="9"/>
      <c r="F402" s="9"/>
      <c r="G402" s="10"/>
    </row>
    <row r="403" spans="5:7">
      <c r="E403" s="9"/>
      <c r="F403" s="9"/>
      <c r="G403" s="10"/>
    </row>
    <row r="404" spans="5:7">
      <c r="E404" s="9"/>
      <c r="F404" s="9"/>
      <c r="G404" s="10"/>
    </row>
    <row r="405" spans="5:7">
      <c r="E405" s="9"/>
      <c r="F405" s="9"/>
      <c r="G405" s="10"/>
    </row>
    <row r="406" spans="5:7">
      <c r="E406" s="9"/>
      <c r="F406" s="9"/>
      <c r="G406" s="10"/>
    </row>
    <row r="407" spans="5:7">
      <c r="E407" s="9"/>
      <c r="F407" s="9"/>
      <c r="G407" s="10"/>
    </row>
    <row r="408" spans="5:7">
      <c r="E408" s="9"/>
      <c r="F408" s="9"/>
      <c r="G408" s="10"/>
    </row>
    <row r="409" spans="5:7">
      <c r="E409" s="9"/>
      <c r="F409" s="9"/>
      <c r="G409" s="10"/>
    </row>
    <row r="410" spans="5:7">
      <c r="E410" s="9"/>
      <c r="F410" s="9"/>
      <c r="G410" s="10"/>
    </row>
    <row r="411" spans="5:7">
      <c r="E411" s="9"/>
      <c r="F411" s="9"/>
      <c r="G411" s="10"/>
    </row>
    <row r="412" spans="5:7">
      <c r="E412" s="9"/>
      <c r="F412" s="9"/>
      <c r="G412" s="10"/>
    </row>
    <row r="413" spans="5:7">
      <c r="E413" s="9"/>
      <c r="F413" s="9"/>
      <c r="G413" s="10"/>
    </row>
    <row r="414" spans="5:7">
      <c r="E414" s="9"/>
      <c r="F414" s="9"/>
      <c r="G414" s="10"/>
    </row>
    <row r="415" spans="5:7">
      <c r="E415" s="9"/>
      <c r="F415" s="9"/>
      <c r="G415" s="10"/>
    </row>
    <row r="416" spans="5:7">
      <c r="E416" s="9"/>
      <c r="F416" s="9"/>
      <c r="G416" s="10"/>
    </row>
    <row r="417" spans="5:7">
      <c r="E417" s="9"/>
      <c r="F417" s="9"/>
      <c r="G417" s="10"/>
    </row>
    <row r="418" spans="5:7">
      <c r="E418" s="9"/>
      <c r="F418" s="9"/>
      <c r="G418" s="10"/>
    </row>
    <row r="419" spans="5:7">
      <c r="E419" s="9"/>
      <c r="F419" s="9"/>
      <c r="G419" s="10"/>
    </row>
    <row r="420" spans="5:7">
      <c r="E420" s="9"/>
      <c r="F420" s="9"/>
      <c r="G420" s="10"/>
    </row>
    <row r="421" spans="5:7">
      <c r="E421" s="9"/>
      <c r="F421" s="9"/>
      <c r="G421" s="10"/>
    </row>
    <row r="422" spans="5:7">
      <c r="E422" s="9"/>
      <c r="F422" s="9"/>
      <c r="G422" s="10"/>
    </row>
    <row r="423" spans="5:7">
      <c r="E423" s="9"/>
      <c r="F423" s="9"/>
      <c r="G423" s="10"/>
    </row>
    <row r="424" spans="5:7">
      <c r="E424" s="9"/>
      <c r="F424" s="9"/>
      <c r="G424" s="10"/>
    </row>
    <row r="425" spans="5:7">
      <c r="E425" s="9"/>
      <c r="F425" s="9"/>
      <c r="G425" s="10"/>
    </row>
    <row r="426" spans="5:7">
      <c r="E426" s="9"/>
      <c r="F426" s="9"/>
      <c r="G426" s="10"/>
    </row>
    <row r="427" spans="5:7">
      <c r="E427" s="9"/>
      <c r="F427" s="9"/>
      <c r="G427" s="10"/>
    </row>
    <row r="428" spans="5:7">
      <c r="E428" s="9"/>
      <c r="F428" s="9"/>
      <c r="G428" s="10"/>
    </row>
    <row r="429" spans="5:7">
      <c r="E429" s="9"/>
      <c r="F429" s="9"/>
      <c r="G429" s="10"/>
    </row>
    <row r="430" spans="5:7">
      <c r="E430" s="9"/>
      <c r="F430" s="9"/>
      <c r="G430" s="10"/>
    </row>
    <row r="431" spans="5:7">
      <c r="E431" s="9"/>
      <c r="F431" s="9"/>
      <c r="G431" s="10"/>
    </row>
    <row r="432" spans="5:7">
      <c r="E432" s="9"/>
      <c r="F432" s="9"/>
      <c r="G432" s="10"/>
    </row>
    <row r="433" spans="5:7">
      <c r="E433" s="9"/>
      <c r="F433" s="9"/>
      <c r="G433" s="10"/>
    </row>
    <row r="434" spans="5:7">
      <c r="E434" s="9"/>
      <c r="F434" s="9"/>
      <c r="G434" s="10"/>
    </row>
    <row r="435" spans="5:7">
      <c r="E435" s="9"/>
      <c r="F435" s="9"/>
      <c r="G435" s="10"/>
    </row>
    <row r="436" spans="5:7">
      <c r="E436" s="9"/>
      <c r="F436" s="9"/>
      <c r="G436" s="10"/>
    </row>
    <row r="437" spans="5:7">
      <c r="E437" s="9"/>
      <c r="F437" s="9"/>
      <c r="G437" s="10"/>
    </row>
    <row r="438" spans="5:7">
      <c r="E438" s="9"/>
      <c r="F438" s="9"/>
      <c r="G438" s="10"/>
    </row>
    <row r="439" spans="5:7">
      <c r="E439" s="9"/>
      <c r="F439" s="9"/>
      <c r="G439" s="10"/>
    </row>
    <row r="440" spans="5:7">
      <c r="E440" s="9"/>
      <c r="F440" s="9"/>
      <c r="G440" s="10"/>
    </row>
    <row r="441" spans="5:7">
      <c r="E441" s="9"/>
      <c r="F441" s="9"/>
      <c r="G441" s="10"/>
    </row>
    <row r="442" spans="5:7">
      <c r="E442" s="9"/>
      <c r="F442" s="9"/>
      <c r="G442" s="10"/>
    </row>
    <row r="443" spans="5:7">
      <c r="E443" s="9"/>
      <c r="F443" s="9"/>
      <c r="G443" s="10"/>
    </row>
    <row r="444" spans="5:7">
      <c r="E444" s="9"/>
      <c r="F444" s="9"/>
      <c r="G444" s="10"/>
    </row>
    <row r="445" spans="5:7">
      <c r="E445" s="9"/>
      <c r="F445" s="9"/>
      <c r="G445" s="10"/>
    </row>
    <row r="446" spans="5:7">
      <c r="E446" s="9"/>
      <c r="F446" s="9"/>
      <c r="G446" s="10"/>
    </row>
    <row r="447" spans="5:7">
      <c r="E447" s="9"/>
      <c r="F447" s="9"/>
      <c r="G447" s="10"/>
    </row>
    <row r="448" spans="5:7">
      <c r="E448" s="9"/>
      <c r="F448" s="9"/>
      <c r="G448" s="10"/>
    </row>
    <row r="449" spans="5:7">
      <c r="E449" s="9"/>
      <c r="F449" s="9"/>
      <c r="G449" s="10"/>
    </row>
    <row r="450" spans="5:7">
      <c r="E450" s="9"/>
      <c r="F450" s="9"/>
      <c r="G450" s="10"/>
    </row>
    <row r="451" spans="5:7">
      <c r="E451" s="9"/>
      <c r="F451" s="9"/>
      <c r="G451" s="10"/>
    </row>
    <row r="452" spans="5:7">
      <c r="E452" s="9"/>
      <c r="F452" s="9"/>
      <c r="G452" s="10"/>
    </row>
    <row r="453" spans="5:7">
      <c r="E453" s="9"/>
      <c r="F453" s="9"/>
      <c r="G453" s="10"/>
    </row>
    <row r="454" spans="5:7">
      <c r="E454" s="9"/>
      <c r="F454" s="9"/>
      <c r="G454" s="10"/>
    </row>
    <row r="455" spans="5:7">
      <c r="E455" s="9"/>
      <c r="F455" s="9"/>
      <c r="G455" s="10"/>
    </row>
    <row r="456" spans="5:7">
      <c r="E456" s="9"/>
      <c r="F456" s="9"/>
      <c r="G456" s="10"/>
    </row>
    <row r="457" spans="5:7">
      <c r="E457" s="9"/>
      <c r="F457" s="9"/>
      <c r="G457" s="10"/>
    </row>
    <row r="458" spans="5:7">
      <c r="E458" s="9"/>
      <c r="F458" s="9"/>
      <c r="G458" s="10"/>
    </row>
    <row r="459" spans="5:7">
      <c r="E459" s="9"/>
      <c r="F459" s="9"/>
      <c r="G459" s="10"/>
    </row>
    <row r="460" spans="5:7">
      <c r="E460" s="9"/>
      <c r="F460" s="9"/>
      <c r="G460" s="10"/>
    </row>
    <row r="461" spans="5:7">
      <c r="E461" s="9"/>
      <c r="F461" s="9"/>
      <c r="G461" s="10"/>
    </row>
    <row r="462" spans="5:7">
      <c r="E462" s="9"/>
      <c r="F462" s="9"/>
      <c r="G462" s="10"/>
    </row>
    <row r="463" spans="5:7">
      <c r="E463" s="9"/>
      <c r="F463" s="9"/>
      <c r="G463" s="10"/>
    </row>
    <row r="464" spans="5:7">
      <c r="E464" s="9"/>
      <c r="F464" s="9"/>
      <c r="G464" s="10"/>
    </row>
    <row r="465" spans="5:7">
      <c r="E465" s="9"/>
      <c r="F465" s="9"/>
      <c r="G465" s="10"/>
    </row>
    <row r="466" spans="5:7">
      <c r="E466" s="9"/>
      <c r="F466" s="9"/>
      <c r="G466" s="10"/>
    </row>
    <row r="467" spans="5:7">
      <c r="E467" s="9"/>
      <c r="F467" s="9"/>
      <c r="G467" s="10"/>
    </row>
    <row r="468" spans="5:7">
      <c r="E468" s="9"/>
      <c r="F468" s="9"/>
      <c r="G468" s="10"/>
    </row>
    <row r="469" spans="5:7">
      <c r="E469" s="9"/>
      <c r="F469" s="9"/>
      <c r="G469" s="10"/>
    </row>
    <row r="470" spans="5:7">
      <c r="E470" s="9"/>
      <c r="F470" s="9"/>
      <c r="G470" s="10"/>
    </row>
    <row r="471" spans="5:7">
      <c r="E471" s="9"/>
      <c r="F471" s="9"/>
      <c r="G471" s="10"/>
    </row>
    <row r="472" spans="5:7">
      <c r="E472" s="9"/>
      <c r="F472" s="9"/>
      <c r="G472" s="10"/>
    </row>
    <row r="473" spans="5:7">
      <c r="E473" s="9"/>
      <c r="F473" s="9"/>
      <c r="G473" s="10"/>
    </row>
    <row r="474" spans="5:7">
      <c r="E474" s="9"/>
      <c r="F474" s="9"/>
      <c r="G474" s="10"/>
    </row>
    <row r="475" spans="5:7">
      <c r="E475" s="9"/>
      <c r="F475" s="9"/>
      <c r="G475" s="10"/>
    </row>
    <row r="476" spans="5:7">
      <c r="E476" s="9"/>
      <c r="F476" s="9"/>
      <c r="G476" s="10"/>
    </row>
    <row r="477" spans="5:7">
      <c r="E477" s="9"/>
      <c r="F477" s="9"/>
      <c r="G477" s="10"/>
    </row>
    <row r="478" spans="5:7">
      <c r="E478" s="9"/>
      <c r="F478" s="9"/>
      <c r="G478" s="10"/>
    </row>
    <row r="479" spans="5:7">
      <c r="E479" s="9"/>
      <c r="F479" s="9"/>
      <c r="G479" s="10"/>
    </row>
    <row r="480" spans="5:7">
      <c r="E480" s="9"/>
      <c r="F480" s="9"/>
      <c r="G480" s="10"/>
    </row>
    <row r="481" spans="5:7">
      <c r="E481" s="9"/>
      <c r="F481" s="9"/>
      <c r="G481" s="10"/>
    </row>
    <row r="482" spans="5:7">
      <c r="E482" s="9"/>
      <c r="F482" s="9"/>
      <c r="G482" s="10"/>
    </row>
    <row r="483" spans="5:7">
      <c r="E483" s="9"/>
      <c r="F483" s="9"/>
      <c r="G483" s="10"/>
    </row>
    <row r="484" spans="5:7">
      <c r="E484" s="9"/>
      <c r="F484" s="9"/>
      <c r="G484" s="10"/>
    </row>
    <row r="485" spans="5:7">
      <c r="E485" s="9"/>
      <c r="F485" s="9"/>
      <c r="G485" s="10"/>
    </row>
    <row r="486" spans="5:7">
      <c r="E486" s="9"/>
      <c r="F486" s="9"/>
      <c r="G486" s="10"/>
    </row>
    <row r="487" spans="5:7">
      <c r="E487" s="9"/>
      <c r="F487" s="9"/>
      <c r="G487" s="10"/>
    </row>
    <row r="488" spans="5:7">
      <c r="E488" s="9"/>
      <c r="F488" s="9"/>
      <c r="G488" s="10"/>
    </row>
    <row r="489" spans="5:7">
      <c r="E489" s="9"/>
      <c r="F489" s="9"/>
      <c r="G489" s="10"/>
    </row>
    <row r="490" spans="5:7">
      <c r="E490" s="9"/>
      <c r="F490" s="9"/>
      <c r="G490" s="10"/>
    </row>
    <row r="491" spans="5:7">
      <c r="E491" s="9"/>
      <c r="F491" s="9"/>
      <c r="G491" s="10"/>
    </row>
    <row r="492" spans="5:7">
      <c r="E492" s="9"/>
      <c r="F492" s="9"/>
      <c r="G492" s="10"/>
    </row>
    <row r="493" spans="5:7">
      <c r="E493" s="9"/>
      <c r="F493" s="9"/>
      <c r="G493" s="10"/>
    </row>
    <row r="494" spans="5:7">
      <c r="E494" s="9"/>
      <c r="F494" s="9"/>
      <c r="G494" s="10"/>
    </row>
    <row r="495" spans="5:7">
      <c r="E495" s="9"/>
      <c r="F495" s="9"/>
      <c r="G495" s="10"/>
    </row>
    <row r="496" spans="5:7">
      <c r="E496" s="9"/>
      <c r="F496" s="9"/>
      <c r="G496" s="10"/>
    </row>
    <row r="497" spans="5:7">
      <c r="E497" s="9"/>
      <c r="F497" s="9"/>
      <c r="G497" s="10"/>
    </row>
    <row r="498" spans="5:7">
      <c r="E498" s="9"/>
      <c r="F498" s="9"/>
      <c r="G498" s="10"/>
    </row>
    <row r="499" spans="5:7">
      <c r="E499" s="9"/>
      <c r="F499" s="9"/>
      <c r="G499" s="10"/>
    </row>
    <row r="500" spans="5:7">
      <c r="E500" s="9"/>
      <c r="F500" s="9"/>
      <c r="G500" s="10"/>
    </row>
    <row r="501" spans="5:7">
      <c r="E501" s="9"/>
      <c r="F501" s="9"/>
      <c r="G501" s="10"/>
    </row>
    <row r="502" spans="5:7">
      <c r="E502" s="9"/>
      <c r="F502" s="9"/>
      <c r="G502" s="10"/>
    </row>
    <row r="503" spans="5:7">
      <c r="E503" s="9"/>
      <c r="F503" s="9"/>
      <c r="G503" s="10"/>
    </row>
    <row r="504" spans="5:7">
      <c r="E504" s="9"/>
      <c r="F504" s="9"/>
      <c r="G504" s="10"/>
    </row>
    <row r="505" spans="5:7">
      <c r="E505" s="9"/>
      <c r="F505" s="9"/>
      <c r="G505" s="10"/>
    </row>
    <row r="506" spans="5:7">
      <c r="E506" s="9"/>
      <c r="F506" s="9"/>
      <c r="G506" s="10"/>
    </row>
    <row r="507" spans="5:7">
      <c r="E507" s="9"/>
      <c r="F507" s="9"/>
      <c r="G507" s="10"/>
    </row>
    <row r="508" spans="5:7">
      <c r="E508" s="9"/>
      <c r="F508" s="9"/>
      <c r="G508" s="10"/>
    </row>
    <row r="509" spans="5:7">
      <c r="E509" s="9"/>
      <c r="F509" s="9"/>
      <c r="G509" s="10"/>
    </row>
    <row r="510" spans="5:7">
      <c r="E510" s="9"/>
      <c r="F510" s="9"/>
      <c r="G510" s="10"/>
    </row>
    <row r="511" spans="5:7">
      <c r="E511" s="9"/>
      <c r="F511" s="9"/>
      <c r="G511" s="10"/>
    </row>
    <row r="512" spans="5:7">
      <c r="E512" s="9"/>
      <c r="F512" s="9"/>
      <c r="G512" s="10"/>
    </row>
    <row r="513" spans="5:7">
      <c r="E513" s="9"/>
      <c r="F513" s="9"/>
      <c r="G513" s="10"/>
    </row>
    <row r="514" spans="5:7">
      <c r="E514" s="9"/>
      <c r="F514" s="9"/>
      <c r="G514" s="10"/>
    </row>
    <row r="515" spans="5:7">
      <c r="E515" s="9"/>
      <c r="F515" s="9"/>
      <c r="G515" s="10"/>
    </row>
    <row r="516" spans="5:7">
      <c r="E516" s="9"/>
      <c r="F516" s="9"/>
      <c r="G516" s="10"/>
    </row>
    <row r="517" spans="5:7">
      <c r="E517" s="9"/>
      <c r="F517" s="9"/>
      <c r="G517" s="10"/>
    </row>
    <row r="518" spans="5:7">
      <c r="E518" s="9"/>
      <c r="F518" s="9"/>
      <c r="G518" s="10"/>
    </row>
    <row r="519" spans="5:7">
      <c r="E519" s="9"/>
      <c r="F519" s="9"/>
      <c r="G519" s="10"/>
    </row>
    <row r="520" spans="5:7">
      <c r="E520" s="9"/>
      <c r="F520" s="9"/>
      <c r="G520" s="10"/>
    </row>
    <row r="521" spans="5:7">
      <c r="E521" s="9"/>
      <c r="F521" s="9"/>
      <c r="G521" s="10"/>
    </row>
    <row r="522" spans="5:7">
      <c r="E522" s="9"/>
      <c r="F522" s="9"/>
      <c r="G522" s="10"/>
    </row>
    <row r="523" spans="5:7">
      <c r="E523" s="9"/>
      <c r="F523" s="9"/>
      <c r="G523" s="10"/>
    </row>
    <row r="524" spans="5:7">
      <c r="E524" s="9"/>
      <c r="F524" s="9"/>
      <c r="G524" s="10"/>
    </row>
    <row r="525" spans="5:7">
      <c r="E525" s="9"/>
      <c r="F525" s="9"/>
      <c r="G525" s="10"/>
    </row>
    <row r="526" spans="5:7">
      <c r="E526" s="9"/>
      <c r="F526" s="9"/>
      <c r="G526" s="10"/>
    </row>
    <row r="527" spans="5:7">
      <c r="E527" s="9"/>
      <c r="F527" s="9"/>
      <c r="G527" s="10"/>
    </row>
    <row r="528" spans="5:7">
      <c r="E528" s="9"/>
      <c r="F528" s="9"/>
      <c r="G528" s="10"/>
    </row>
    <row r="529" spans="5:7">
      <c r="E529" s="9"/>
      <c r="F529" s="9"/>
      <c r="G529" s="10"/>
    </row>
    <row r="530" spans="5:7">
      <c r="E530" s="9"/>
      <c r="F530" s="9"/>
      <c r="G530" s="10"/>
    </row>
    <row r="531" spans="5:7">
      <c r="E531" s="9"/>
      <c r="F531" s="9"/>
      <c r="G531" s="10"/>
    </row>
    <row r="532" spans="5:7">
      <c r="E532" s="9"/>
      <c r="F532" s="9"/>
      <c r="G532" s="10"/>
    </row>
    <row r="533" spans="5:7">
      <c r="E533" s="9"/>
      <c r="F533" s="9"/>
      <c r="G533" s="10"/>
    </row>
    <row r="534" spans="5:7">
      <c r="E534" s="9"/>
      <c r="F534" s="9"/>
      <c r="G534" s="10"/>
    </row>
    <row r="535" spans="5:7">
      <c r="E535" s="9"/>
      <c r="F535" s="9"/>
      <c r="G535" s="10"/>
    </row>
    <row r="536" spans="5:7">
      <c r="E536" s="9"/>
      <c r="F536" s="9"/>
      <c r="G536" s="10"/>
    </row>
    <row r="537" spans="5:7">
      <c r="E537" s="9"/>
      <c r="F537" s="9"/>
      <c r="G537" s="10"/>
    </row>
    <row r="538" spans="5:7">
      <c r="E538" s="9"/>
      <c r="F538" s="9"/>
      <c r="G538" s="10"/>
    </row>
    <row r="539" spans="5:7">
      <c r="E539" s="9"/>
      <c r="F539" s="9"/>
      <c r="G539" s="10"/>
    </row>
    <row r="540" spans="5:7">
      <c r="E540" s="9"/>
      <c r="F540" s="9"/>
      <c r="G540" s="10"/>
    </row>
    <row r="541" spans="5:7">
      <c r="E541" s="9"/>
      <c r="F541" s="9"/>
      <c r="G541" s="10"/>
    </row>
    <row r="542" spans="5:7">
      <c r="E542" s="9"/>
      <c r="F542" s="9"/>
      <c r="G542" s="10"/>
    </row>
    <row r="543" spans="5:7">
      <c r="E543" s="9"/>
      <c r="F543" s="9"/>
      <c r="G543" s="10"/>
    </row>
    <row r="544" spans="5:7">
      <c r="E544" s="9"/>
      <c r="F544" s="9"/>
      <c r="G544" s="10"/>
    </row>
    <row r="545" spans="5:7">
      <c r="E545" s="9"/>
      <c r="F545" s="9"/>
      <c r="G545" s="10"/>
    </row>
    <row r="546" spans="5:7">
      <c r="E546" s="9"/>
      <c r="F546" s="9"/>
      <c r="G546" s="10"/>
    </row>
    <row r="547" spans="5:7">
      <c r="E547" s="9"/>
      <c r="F547" s="9"/>
      <c r="G547" s="10"/>
    </row>
    <row r="548" spans="5:7">
      <c r="E548" s="9"/>
      <c r="F548" s="9"/>
      <c r="G548" s="10"/>
    </row>
    <row r="549" spans="5:7">
      <c r="E549" s="9"/>
      <c r="F549" s="9"/>
      <c r="G549" s="10"/>
    </row>
    <row r="550" spans="5:7">
      <c r="E550" s="9"/>
      <c r="F550" s="9"/>
      <c r="G550" s="10"/>
    </row>
    <row r="551" spans="5:7">
      <c r="E551" s="9"/>
      <c r="F551" s="9"/>
      <c r="G551" s="10"/>
    </row>
    <row r="552" spans="5:7">
      <c r="E552" s="9"/>
      <c r="F552" s="9"/>
      <c r="G552" s="10"/>
    </row>
    <row r="553" spans="5:7">
      <c r="E553" s="9"/>
      <c r="F553" s="9"/>
      <c r="G553" s="10"/>
    </row>
    <row r="554" spans="5:7">
      <c r="E554" s="9"/>
      <c r="F554" s="9"/>
      <c r="G554" s="10"/>
    </row>
    <row r="555" spans="5:7">
      <c r="E555" s="9"/>
      <c r="F555" s="9"/>
      <c r="G555" s="10"/>
    </row>
    <row r="556" spans="5:7">
      <c r="E556" s="9"/>
      <c r="F556" s="9"/>
      <c r="G556" s="10"/>
    </row>
    <row r="557" spans="5:7">
      <c r="E557" s="9"/>
      <c r="F557" s="9"/>
      <c r="G557" s="10"/>
    </row>
    <row r="558" spans="5:7">
      <c r="E558" s="9"/>
      <c r="F558" s="9"/>
      <c r="G558" s="10"/>
    </row>
    <row r="559" spans="5:7">
      <c r="E559" s="9"/>
      <c r="F559" s="9"/>
      <c r="G559" s="10"/>
    </row>
    <row r="560" spans="5:7">
      <c r="E560" s="9"/>
      <c r="F560" s="9"/>
      <c r="G560" s="10"/>
    </row>
    <row r="561" spans="5:7">
      <c r="E561" s="9"/>
      <c r="F561" s="9"/>
      <c r="G561" s="10"/>
    </row>
    <row r="562" spans="5:7">
      <c r="E562" s="9"/>
      <c r="F562" s="9"/>
      <c r="G562" s="10"/>
    </row>
    <row r="563" spans="5:7">
      <c r="E563" s="9"/>
      <c r="F563" s="9"/>
      <c r="G563" s="10"/>
    </row>
    <row r="564" spans="5:7">
      <c r="E564" s="9"/>
      <c r="F564" s="9"/>
      <c r="G564" s="10"/>
    </row>
    <row r="565" spans="5:7">
      <c r="E565" s="9"/>
      <c r="F565" s="9"/>
      <c r="G565" s="10"/>
    </row>
    <row r="566" spans="5:7">
      <c r="E566" s="9"/>
      <c r="F566" s="9"/>
      <c r="G566" s="10"/>
    </row>
    <row r="567" spans="5:7">
      <c r="E567" s="9"/>
      <c r="F567" s="9"/>
      <c r="G567" s="10"/>
    </row>
    <row r="568" spans="5:7">
      <c r="E568" s="9"/>
      <c r="F568" s="9"/>
      <c r="G568" s="10"/>
    </row>
    <row r="569" spans="5:7">
      <c r="E569" s="9"/>
      <c r="F569" s="9"/>
      <c r="G569" s="10"/>
    </row>
    <row r="570" spans="5:7">
      <c r="E570" s="9"/>
      <c r="F570" s="9"/>
      <c r="G570" s="10"/>
    </row>
    <row r="571" spans="5:7">
      <c r="E571" s="9"/>
      <c r="F571" s="9"/>
      <c r="G571" s="10"/>
    </row>
    <row r="572" spans="5:7">
      <c r="E572" s="9"/>
      <c r="F572" s="9"/>
      <c r="G572" s="10"/>
    </row>
    <row r="573" spans="5:7">
      <c r="E573" s="9"/>
      <c r="F573" s="9"/>
      <c r="G573" s="10"/>
    </row>
    <row r="574" spans="5:7">
      <c r="E574" s="9"/>
      <c r="F574" s="9"/>
      <c r="G574" s="10"/>
    </row>
    <row r="575" spans="5:7">
      <c r="E575" s="9"/>
      <c r="F575" s="9"/>
      <c r="G575" s="10"/>
    </row>
    <row r="576" spans="5:7">
      <c r="E576" s="9"/>
      <c r="F576" s="9"/>
      <c r="G576" s="10"/>
    </row>
    <row r="577" spans="5:7">
      <c r="E577" s="9"/>
      <c r="F577" s="9"/>
      <c r="G577" s="10"/>
    </row>
    <row r="578" spans="5:7">
      <c r="E578" s="9"/>
      <c r="F578" s="9"/>
      <c r="G578" s="10"/>
    </row>
    <row r="579" spans="5:7">
      <c r="E579" s="9"/>
      <c r="F579" s="9"/>
      <c r="G579" s="10"/>
    </row>
    <row r="580" spans="5:7">
      <c r="E580" s="9"/>
      <c r="F580" s="9"/>
      <c r="G580" s="10"/>
    </row>
    <row r="581" spans="5:7">
      <c r="E581" s="9"/>
      <c r="F581" s="9"/>
      <c r="G581" s="10"/>
    </row>
    <row r="582" spans="5:7">
      <c r="E582" s="9"/>
      <c r="F582" s="9"/>
      <c r="G582" s="10"/>
    </row>
    <row r="583" spans="5:7">
      <c r="E583" s="9"/>
      <c r="F583" s="9"/>
      <c r="G583" s="10"/>
    </row>
    <row r="584" spans="5:7">
      <c r="E584" s="9"/>
      <c r="F584" s="9"/>
      <c r="G584" s="10"/>
    </row>
    <row r="585" spans="5:7">
      <c r="E585" s="9"/>
      <c r="F585" s="9"/>
      <c r="G585" s="10"/>
    </row>
    <row r="586" spans="5:7">
      <c r="E586" s="9"/>
      <c r="F586" s="9"/>
      <c r="G586" s="10"/>
    </row>
    <row r="587" spans="5:7">
      <c r="E587" s="9"/>
      <c r="F587" s="9"/>
      <c r="G587" s="10"/>
    </row>
    <row r="588" spans="5:7">
      <c r="E588" s="9"/>
      <c r="F588" s="9"/>
      <c r="G588" s="10"/>
    </row>
    <row r="589" spans="5:7">
      <c r="E589" s="9"/>
      <c r="F589" s="9"/>
      <c r="G589" s="10"/>
    </row>
    <row r="590" spans="5:7">
      <c r="E590" s="9"/>
      <c r="F590" s="9"/>
      <c r="G590" s="10"/>
    </row>
    <row r="591" spans="5:7">
      <c r="E591" s="9"/>
      <c r="F591" s="9"/>
      <c r="G591" s="10"/>
    </row>
    <row r="592" spans="5:7">
      <c r="E592" s="9"/>
      <c r="F592" s="9"/>
      <c r="G592" s="10"/>
    </row>
    <row r="593" spans="5:7">
      <c r="E593" s="9"/>
      <c r="F593" s="9"/>
      <c r="G593" s="10"/>
    </row>
    <row r="594" spans="5:7">
      <c r="E594" s="9"/>
      <c r="F594" s="9"/>
      <c r="G594" s="10"/>
    </row>
    <row r="595" spans="5:7">
      <c r="E595" s="9"/>
      <c r="F595" s="9"/>
      <c r="G595" s="10"/>
    </row>
    <row r="596" spans="5:7">
      <c r="E596" s="9"/>
      <c r="F596" s="9"/>
      <c r="G596" s="10"/>
    </row>
    <row r="597" spans="5:7">
      <c r="E597" s="9"/>
      <c r="F597" s="9"/>
      <c r="G597" s="10"/>
    </row>
    <row r="598" spans="5:7">
      <c r="E598" s="9"/>
      <c r="F598" s="9"/>
      <c r="G598" s="10"/>
    </row>
    <row r="599" spans="5:7">
      <c r="E599" s="9"/>
      <c r="F599" s="9"/>
      <c r="G599" s="10"/>
    </row>
    <row r="600" spans="5:7">
      <c r="E600" s="9"/>
      <c r="F600" s="9"/>
      <c r="G600" s="10"/>
    </row>
    <row r="601" spans="5:7">
      <c r="E601" s="9"/>
      <c r="F601" s="9"/>
      <c r="G601" s="10"/>
    </row>
    <row r="602" spans="5:7">
      <c r="E602" s="9"/>
      <c r="F602" s="9"/>
      <c r="G602" s="10"/>
    </row>
    <row r="603" spans="5:7">
      <c r="E603" s="9"/>
      <c r="F603" s="9"/>
      <c r="G603" s="10"/>
    </row>
    <row r="604" spans="5:7">
      <c r="E604" s="9"/>
      <c r="F604" s="9"/>
      <c r="G604" s="10"/>
    </row>
    <row r="605" spans="5:7">
      <c r="E605" s="9"/>
      <c r="F605" s="9"/>
      <c r="G605" s="10"/>
    </row>
    <row r="606" spans="5:7">
      <c r="E606" s="9"/>
      <c r="F606" s="9"/>
      <c r="G606" s="10"/>
    </row>
    <row r="607" spans="5:7">
      <c r="E607" s="9"/>
      <c r="F607" s="9"/>
      <c r="G607" s="10"/>
    </row>
    <row r="608" spans="5:7">
      <c r="E608" s="9"/>
      <c r="F608" s="9"/>
      <c r="G608" s="10"/>
    </row>
    <row r="609" spans="5:7">
      <c r="E609" s="9"/>
      <c r="F609" s="9"/>
      <c r="G609" s="10"/>
    </row>
    <row r="610" spans="5:7">
      <c r="E610" s="9"/>
      <c r="F610" s="9"/>
      <c r="G610" s="10"/>
    </row>
    <row r="611" spans="5:7">
      <c r="E611" s="9"/>
      <c r="F611" s="9"/>
      <c r="G611" s="10"/>
    </row>
    <row r="612" spans="5:7">
      <c r="E612" s="9"/>
      <c r="F612" s="9"/>
      <c r="G612" s="10"/>
    </row>
    <row r="613" spans="5:7">
      <c r="E613" s="9"/>
      <c r="F613" s="9"/>
      <c r="G613" s="10"/>
    </row>
    <row r="614" spans="5:7">
      <c r="E614" s="9"/>
      <c r="F614" s="9"/>
      <c r="G614" s="10"/>
    </row>
    <row r="615" spans="5:7">
      <c r="E615" s="9"/>
      <c r="F615" s="9"/>
      <c r="G615" s="10"/>
    </row>
    <row r="616" spans="5:7">
      <c r="E616" s="9"/>
      <c r="F616" s="9"/>
      <c r="G616" s="10"/>
    </row>
    <row r="617" spans="5:7">
      <c r="E617" s="9"/>
      <c r="F617" s="9"/>
      <c r="G617" s="10"/>
    </row>
    <row r="618" spans="5:7">
      <c r="E618" s="9"/>
      <c r="F618" s="9"/>
      <c r="G618" s="10"/>
    </row>
    <row r="619" spans="5:7">
      <c r="E619" s="9"/>
      <c r="F619" s="9"/>
      <c r="G619" s="10"/>
    </row>
    <row r="620" spans="5:7">
      <c r="E620" s="9"/>
      <c r="F620" s="9"/>
      <c r="G620" s="10"/>
    </row>
    <row r="621" spans="5:7">
      <c r="E621" s="9"/>
      <c r="F621" s="9"/>
      <c r="G621" s="10"/>
    </row>
    <row r="622" spans="5:7">
      <c r="E622" s="9"/>
      <c r="F622" s="9"/>
      <c r="G622" s="10"/>
    </row>
    <row r="623" spans="5:7">
      <c r="E623" s="9"/>
      <c r="F623" s="9"/>
      <c r="G623" s="10"/>
    </row>
    <row r="624" spans="5:7">
      <c r="E624" s="9"/>
      <c r="F624" s="9"/>
      <c r="G624" s="10"/>
    </row>
    <row r="625" spans="5:7">
      <c r="E625" s="9"/>
      <c r="F625" s="9"/>
      <c r="G625" s="10"/>
    </row>
    <row r="626" spans="5:7">
      <c r="E626" s="9"/>
      <c r="F626" s="9"/>
      <c r="G626" s="10"/>
    </row>
    <row r="627" spans="5:7">
      <c r="E627" s="9"/>
      <c r="F627" s="9"/>
      <c r="G627" s="10"/>
    </row>
    <row r="628" spans="5:7">
      <c r="E628" s="9"/>
      <c r="F628" s="9"/>
      <c r="G628" s="10"/>
    </row>
    <row r="629" spans="5:7">
      <c r="E629" s="9"/>
      <c r="F629" s="9"/>
      <c r="G629" s="10"/>
    </row>
    <row r="630" spans="5:7">
      <c r="E630" s="9"/>
      <c r="F630" s="9"/>
      <c r="G630" s="10"/>
    </row>
    <row r="631" spans="5:7">
      <c r="E631" s="9"/>
      <c r="F631" s="9"/>
      <c r="G631" s="10"/>
    </row>
    <row r="632" spans="5:7">
      <c r="E632" s="9"/>
      <c r="F632" s="9"/>
      <c r="G632" s="10"/>
    </row>
    <row r="633" spans="5:7">
      <c r="E633" s="9"/>
      <c r="F633" s="9"/>
      <c r="G633" s="10"/>
    </row>
    <row r="634" spans="5:7">
      <c r="E634" s="9"/>
      <c r="F634" s="9"/>
      <c r="G634" s="10"/>
    </row>
    <row r="635" spans="5:7">
      <c r="E635" s="9"/>
      <c r="F635" s="9"/>
      <c r="G635" s="10"/>
    </row>
    <row r="636" spans="5:7">
      <c r="E636" s="9"/>
      <c r="F636" s="9"/>
      <c r="G636" s="10"/>
    </row>
    <row r="637" spans="5:7">
      <c r="E637" s="9"/>
      <c r="F637" s="9"/>
      <c r="G637" s="10"/>
    </row>
    <row r="638" spans="5:7">
      <c r="E638" s="9"/>
      <c r="F638" s="9"/>
      <c r="G638" s="10"/>
    </row>
    <row r="639" spans="5:7">
      <c r="E639" s="9"/>
      <c r="F639" s="9"/>
      <c r="G639" s="10"/>
    </row>
    <row r="640" spans="5:7">
      <c r="E640" s="9"/>
      <c r="F640" s="9"/>
      <c r="G640" s="10"/>
    </row>
    <row r="641" spans="5:7">
      <c r="E641" s="9"/>
      <c r="F641" s="9"/>
      <c r="G641" s="10"/>
    </row>
    <row r="642" spans="5:7">
      <c r="E642" s="9"/>
      <c r="F642" s="9"/>
      <c r="G642" s="10"/>
    </row>
    <row r="643" spans="5:7">
      <c r="E643" s="9"/>
      <c r="F643" s="9"/>
      <c r="G643" s="10"/>
    </row>
    <row r="644" spans="5:7">
      <c r="E644" s="9"/>
      <c r="F644" s="9"/>
      <c r="G644" s="10"/>
    </row>
    <row r="645" spans="5:7">
      <c r="E645" s="9"/>
      <c r="F645" s="9"/>
      <c r="G645" s="10"/>
    </row>
    <row r="646" spans="5:7">
      <c r="E646" s="9"/>
      <c r="F646" s="9"/>
      <c r="G646" s="10"/>
    </row>
    <row r="647" spans="5:7">
      <c r="E647" s="9"/>
      <c r="F647" s="9"/>
      <c r="G647" s="10"/>
    </row>
    <row r="648" spans="5:7">
      <c r="E648" s="9"/>
      <c r="F648" s="9"/>
      <c r="G648" s="10"/>
    </row>
    <row r="649" spans="5:7">
      <c r="E649" s="9"/>
      <c r="F649" s="9"/>
      <c r="G649" s="10"/>
    </row>
    <row r="650" spans="5:7">
      <c r="E650" s="9"/>
      <c r="F650" s="9"/>
      <c r="G650" s="10"/>
    </row>
    <row r="651" spans="5:7">
      <c r="E651" s="9"/>
      <c r="F651" s="9"/>
      <c r="G651" s="10"/>
    </row>
    <row r="652" spans="5:7">
      <c r="E652" s="9"/>
      <c r="F652" s="9"/>
      <c r="G652" s="10"/>
    </row>
    <row r="653" spans="5:7">
      <c r="E653" s="9"/>
      <c r="F653" s="9"/>
      <c r="G653" s="10"/>
    </row>
    <row r="654" spans="5:7">
      <c r="E654" s="9"/>
      <c r="F654" s="9"/>
      <c r="G654" s="10"/>
    </row>
    <row r="655" spans="5:7">
      <c r="E655" s="9"/>
      <c r="F655" s="9"/>
      <c r="G655" s="10"/>
    </row>
    <row r="656" spans="5:7">
      <c r="E656" s="9"/>
      <c r="F656" s="9"/>
      <c r="G656" s="10"/>
    </row>
    <row r="657" spans="5:7">
      <c r="E657" s="9"/>
      <c r="F657" s="9"/>
      <c r="G657" s="10"/>
    </row>
    <row r="658" spans="5:7">
      <c r="E658" s="9"/>
      <c r="F658" s="9"/>
      <c r="G658" s="10"/>
    </row>
    <row r="659" spans="5:7">
      <c r="E659" s="9"/>
      <c r="F659" s="9"/>
      <c r="G659" s="10"/>
    </row>
    <row r="660" spans="5:7">
      <c r="E660" s="9"/>
      <c r="F660" s="9"/>
      <c r="G660" s="10"/>
    </row>
    <row r="661" spans="5:7">
      <c r="E661" s="9"/>
      <c r="F661" s="9"/>
      <c r="G661" s="10"/>
    </row>
    <row r="662" spans="5:7">
      <c r="E662" s="9"/>
      <c r="F662" s="9"/>
      <c r="G662" s="10"/>
    </row>
    <row r="663" spans="5:7">
      <c r="E663" s="9"/>
      <c r="F663" s="9"/>
      <c r="G663" s="10"/>
    </row>
    <row r="664" spans="5:7">
      <c r="E664" s="9"/>
      <c r="F664" s="9"/>
      <c r="G664" s="10"/>
    </row>
    <row r="665" spans="5:7">
      <c r="E665" s="9"/>
      <c r="F665" s="9"/>
      <c r="G665" s="10"/>
    </row>
    <row r="666" spans="5:7">
      <c r="E666" s="9"/>
      <c r="F666" s="9"/>
      <c r="G666" s="10"/>
    </row>
    <row r="667" spans="5:7">
      <c r="E667" s="9"/>
      <c r="F667" s="9"/>
      <c r="G667" s="10"/>
    </row>
    <row r="668" spans="5:7">
      <c r="E668" s="9"/>
      <c r="F668" s="9"/>
      <c r="G668" s="10"/>
    </row>
    <row r="669" spans="5:7">
      <c r="E669" s="9"/>
      <c r="F669" s="9"/>
      <c r="G669" s="10"/>
    </row>
    <row r="670" spans="5:7">
      <c r="E670" s="9"/>
      <c r="F670" s="9"/>
      <c r="G670" s="10"/>
    </row>
    <row r="671" spans="5:7">
      <c r="E671" s="9"/>
      <c r="F671" s="9"/>
      <c r="G671" s="10"/>
    </row>
    <row r="672" spans="5:7">
      <c r="E672" s="9"/>
      <c r="F672" s="9"/>
      <c r="G672" s="10"/>
    </row>
    <row r="673" spans="5:7">
      <c r="E673" s="9"/>
      <c r="F673" s="9"/>
      <c r="G673" s="10"/>
    </row>
    <row r="674" spans="5:7">
      <c r="E674" s="9"/>
      <c r="F674" s="9"/>
      <c r="G674" s="10"/>
    </row>
    <row r="675" spans="5:7">
      <c r="E675" s="9"/>
      <c r="F675" s="9"/>
      <c r="G675" s="10"/>
    </row>
    <row r="676" spans="5:7">
      <c r="E676" s="9"/>
      <c r="F676" s="9"/>
      <c r="G676" s="10"/>
    </row>
    <row r="677" spans="5:7">
      <c r="E677" s="9"/>
      <c r="F677" s="9"/>
      <c r="G677" s="10"/>
    </row>
    <row r="678" spans="5:7">
      <c r="E678" s="9"/>
      <c r="F678" s="9"/>
      <c r="G678" s="10"/>
    </row>
    <row r="679" spans="5:7">
      <c r="E679" s="9"/>
      <c r="F679" s="9"/>
      <c r="G679" s="10"/>
    </row>
    <row r="680" spans="5:7">
      <c r="E680" s="9"/>
      <c r="F680" s="9"/>
      <c r="G680" s="10"/>
    </row>
    <row r="681" spans="5:7">
      <c r="E681" s="9"/>
      <c r="F681" s="9"/>
      <c r="G681" s="10"/>
    </row>
    <row r="682" spans="5:7">
      <c r="E682" s="9"/>
      <c r="F682" s="9"/>
      <c r="G682" s="10"/>
    </row>
    <row r="683" spans="5:7">
      <c r="E683" s="9"/>
      <c r="F683" s="9"/>
      <c r="G683" s="10"/>
    </row>
    <row r="684" spans="5:7">
      <c r="E684" s="9"/>
      <c r="F684" s="9"/>
      <c r="G684" s="10"/>
    </row>
    <row r="685" spans="5:7">
      <c r="E685" s="9"/>
      <c r="F685" s="9"/>
      <c r="G685" s="10"/>
    </row>
    <row r="686" spans="5:7">
      <c r="E686" s="9"/>
      <c r="F686" s="9"/>
      <c r="G686" s="10"/>
    </row>
    <row r="687" spans="5:7">
      <c r="E687" s="9"/>
      <c r="F687" s="9"/>
      <c r="G687" s="10"/>
    </row>
    <row r="688" spans="5:7">
      <c r="E688" s="9"/>
      <c r="F688" s="9"/>
      <c r="G688" s="10"/>
    </row>
    <row r="689" spans="5:7">
      <c r="E689" s="9"/>
      <c r="F689" s="9"/>
      <c r="G689" s="10"/>
    </row>
    <row r="690" spans="5:7">
      <c r="E690" s="9"/>
      <c r="F690" s="9"/>
      <c r="G690" s="10"/>
    </row>
    <row r="691" spans="5:7">
      <c r="E691" s="9"/>
      <c r="F691" s="9"/>
      <c r="G691" s="10"/>
    </row>
    <row r="692" spans="5:7">
      <c r="E692" s="9"/>
      <c r="F692" s="9"/>
      <c r="G692" s="10"/>
    </row>
    <row r="693" spans="5:7">
      <c r="E693" s="9"/>
      <c r="F693" s="9"/>
      <c r="G693" s="10"/>
    </row>
    <row r="694" spans="5:7">
      <c r="E694" s="9"/>
      <c r="F694" s="9"/>
      <c r="G694" s="10"/>
    </row>
    <row r="695" spans="5:7">
      <c r="E695" s="9"/>
      <c r="F695" s="9"/>
      <c r="G695" s="10"/>
    </row>
    <row r="696" spans="5:7">
      <c r="E696" s="9"/>
      <c r="F696" s="9"/>
      <c r="G696" s="10"/>
    </row>
    <row r="697" spans="5:7">
      <c r="E697" s="9"/>
      <c r="F697" s="9"/>
      <c r="G697" s="10"/>
    </row>
    <row r="698" spans="5:7">
      <c r="E698" s="9"/>
      <c r="F698" s="9"/>
      <c r="G698" s="10"/>
    </row>
    <row r="699" spans="5:7">
      <c r="E699" s="9"/>
      <c r="F699" s="9"/>
      <c r="G699" s="10"/>
    </row>
    <row r="700" spans="5:7">
      <c r="E700" s="9"/>
      <c r="F700" s="9"/>
      <c r="G700" s="10"/>
    </row>
    <row r="701" spans="5:7">
      <c r="E701" s="9"/>
      <c r="F701" s="9"/>
      <c r="G701" s="10"/>
    </row>
    <row r="702" spans="5:7">
      <c r="E702" s="9"/>
      <c r="F702" s="9"/>
      <c r="G702" s="10"/>
    </row>
    <row r="703" spans="5:7">
      <c r="E703" s="9"/>
      <c r="F703" s="9"/>
      <c r="G703" s="10"/>
    </row>
    <row r="704" spans="5:7">
      <c r="E704" s="9"/>
      <c r="F704" s="9"/>
      <c r="G704" s="10"/>
    </row>
    <row r="705" spans="5:7">
      <c r="E705" s="9"/>
      <c r="F705" s="9"/>
      <c r="G705" s="10"/>
    </row>
    <row r="706" spans="5:7">
      <c r="E706" s="9"/>
      <c r="F706" s="9"/>
      <c r="G706" s="10"/>
    </row>
    <row r="707" spans="5:7">
      <c r="E707" s="9"/>
      <c r="F707" s="9"/>
      <c r="G707" s="10"/>
    </row>
    <row r="708" spans="5:7">
      <c r="E708" s="9"/>
      <c r="F708" s="9"/>
      <c r="G708" s="10"/>
    </row>
    <row r="709" spans="5:7">
      <c r="E709" s="9"/>
      <c r="F709" s="9"/>
      <c r="G709" s="10"/>
    </row>
    <row r="710" spans="5:7">
      <c r="E710" s="9"/>
      <c r="F710" s="9"/>
      <c r="G710" s="10"/>
    </row>
    <row r="711" spans="5:7">
      <c r="E711" s="9"/>
      <c r="F711" s="9"/>
      <c r="G711" s="10"/>
    </row>
    <row r="712" spans="5:7">
      <c r="E712" s="9"/>
      <c r="F712" s="9"/>
      <c r="G712" s="10"/>
    </row>
    <row r="713" spans="5:7">
      <c r="E713" s="9"/>
      <c r="F713" s="9"/>
      <c r="G713" s="10"/>
    </row>
    <row r="714" spans="5:7">
      <c r="E714" s="9"/>
      <c r="F714" s="9"/>
      <c r="G714" s="10"/>
    </row>
    <row r="715" spans="5:7">
      <c r="E715" s="9"/>
      <c r="F715" s="9"/>
      <c r="G715" s="10"/>
    </row>
    <row r="716" spans="5:7">
      <c r="E716" s="9"/>
      <c r="F716" s="9"/>
      <c r="G716" s="10"/>
    </row>
    <row r="717" spans="5:7">
      <c r="E717" s="9"/>
      <c r="F717" s="9"/>
      <c r="G717" s="10"/>
    </row>
    <row r="718" spans="5:7">
      <c r="E718" s="9"/>
      <c r="F718" s="9"/>
      <c r="G718" s="10"/>
    </row>
    <row r="719" spans="5:7">
      <c r="E719" s="9"/>
      <c r="F719" s="9"/>
      <c r="G719" s="10"/>
    </row>
    <row r="720" spans="5:7">
      <c r="E720" s="9"/>
      <c r="F720" s="9"/>
      <c r="G720" s="10"/>
    </row>
    <row r="721" spans="5:7">
      <c r="E721" s="9"/>
      <c r="F721" s="9"/>
      <c r="G721" s="10"/>
    </row>
    <row r="722" spans="5:7">
      <c r="E722" s="9"/>
      <c r="F722" s="9"/>
      <c r="G722" s="10"/>
    </row>
    <row r="723" spans="5:7">
      <c r="E723" s="9"/>
      <c r="F723" s="9"/>
      <c r="G723" s="10"/>
    </row>
    <row r="724" spans="5:7">
      <c r="E724" s="9"/>
      <c r="F724" s="9"/>
      <c r="G724" s="10"/>
    </row>
    <row r="725" spans="5:7">
      <c r="E725" s="9"/>
      <c r="F725" s="9"/>
      <c r="G725" s="10"/>
    </row>
    <row r="726" spans="5:7">
      <c r="E726" s="9"/>
      <c r="F726" s="9"/>
      <c r="G726" s="10"/>
    </row>
    <row r="727" spans="5:7">
      <c r="E727" s="9"/>
      <c r="F727" s="9"/>
      <c r="G727" s="10"/>
    </row>
    <row r="728" spans="5:7">
      <c r="E728" s="9"/>
      <c r="F728" s="9"/>
      <c r="G728" s="10"/>
    </row>
    <row r="729" spans="5:7">
      <c r="E729" s="9"/>
      <c r="F729" s="9"/>
      <c r="G729" s="10"/>
    </row>
    <row r="730" spans="5:7">
      <c r="E730" s="9"/>
      <c r="F730" s="9"/>
      <c r="G730" s="10"/>
    </row>
    <row r="731" spans="5:7">
      <c r="E731" s="9"/>
      <c r="F731" s="9"/>
      <c r="G731" s="10"/>
    </row>
    <row r="732" spans="5:7">
      <c r="E732" s="9"/>
      <c r="F732" s="9"/>
      <c r="G732" s="10"/>
    </row>
    <row r="733" spans="5:7">
      <c r="E733" s="9"/>
      <c r="F733" s="9"/>
      <c r="G733" s="10"/>
    </row>
    <row r="734" spans="5:7">
      <c r="E734" s="9"/>
      <c r="F734" s="9"/>
      <c r="G734" s="10"/>
    </row>
    <row r="735" spans="5:7">
      <c r="E735" s="9"/>
      <c r="F735" s="9"/>
      <c r="G735" s="10"/>
    </row>
    <row r="736" spans="5:7">
      <c r="E736" s="9"/>
      <c r="F736" s="9"/>
      <c r="G736" s="10"/>
    </row>
    <row r="737" spans="5:7">
      <c r="E737" s="9"/>
      <c r="F737" s="9"/>
      <c r="G737" s="10"/>
    </row>
    <row r="738" spans="5:7">
      <c r="E738" s="9"/>
      <c r="F738" s="9"/>
      <c r="G738" s="10"/>
    </row>
    <row r="739" spans="5:7">
      <c r="E739" s="9"/>
      <c r="F739" s="9"/>
      <c r="G739" s="10"/>
    </row>
    <row r="740" spans="5:7">
      <c r="E740" s="9"/>
      <c r="F740" s="9"/>
      <c r="G740" s="10"/>
    </row>
    <row r="741" spans="5:7">
      <c r="E741" s="9"/>
      <c r="F741" s="9"/>
      <c r="G741" s="10"/>
    </row>
    <row r="742" spans="5:7">
      <c r="E742" s="9"/>
      <c r="F742" s="9"/>
      <c r="G742" s="10"/>
    </row>
    <row r="743" spans="5:7">
      <c r="E743" s="9"/>
      <c r="F743" s="9"/>
      <c r="G743" s="10"/>
    </row>
    <row r="744" spans="5:7">
      <c r="E744" s="9"/>
      <c r="F744" s="9"/>
      <c r="G744" s="10"/>
    </row>
    <row r="745" spans="5:7">
      <c r="E745" s="9"/>
      <c r="F745" s="9"/>
      <c r="G745" s="10"/>
    </row>
    <row r="746" spans="5:7">
      <c r="E746" s="9"/>
      <c r="F746" s="9"/>
      <c r="G746" s="10"/>
    </row>
    <row r="747" spans="5:7">
      <c r="E747" s="9"/>
      <c r="F747" s="9"/>
      <c r="G747" s="10"/>
    </row>
    <row r="748" spans="5:7">
      <c r="E748" s="9"/>
      <c r="F748" s="9"/>
      <c r="G748" s="10"/>
    </row>
    <row r="749" spans="5:7">
      <c r="E749" s="9"/>
      <c r="F749" s="9"/>
      <c r="G749" s="10"/>
    </row>
    <row r="750" spans="5:7">
      <c r="E750" s="9"/>
      <c r="F750" s="9"/>
      <c r="G750" s="10"/>
    </row>
    <row r="751" spans="5:7">
      <c r="E751" s="9"/>
      <c r="F751" s="9"/>
      <c r="G751" s="10"/>
    </row>
    <row r="752" spans="5:7">
      <c r="E752" s="9"/>
      <c r="F752" s="9"/>
      <c r="G752" s="10"/>
    </row>
    <row r="753" spans="5:7">
      <c r="E753" s="9"/>
      <c r="F753" s="9"/>
      <c r="G753" s="10"/>
    </row>
    <row r="754" spans="5:7">
      <c r="E754" s="9"/>
      <c r="F754" s="9"/>
      <c r="G754" s="10"/>
    </row>
    <row r="755" spans="5:7">
      <c r="E755" s="9"/>
      <c r="F755" s="9"/>
      <c r="G755" s="10"/>
    </row>
    <row r="756" spans="5:7">
      <c r="E756" s="9"/>
      <c r="F756" s="9"/>
      <c r="G756" s="10"/>
    </row>
    <row r="757" spans="5:7">
      <c r="E757" s="9"/>
      <c r="F757" s="9"/>
      <c r="G757" s="10"/>
    </row>
    <row r="758" spans="5:7">
      <c r="E758" s="9"/>
      <c r="F758" s="9"/>
      <c r="G758" s="10"/>
    </row>
    <row r="759" spans="5:7">
      <c r="E759" s="9"/>
      <c r="F759" s="9"/>
      <c r="G759" s="10"/>
    </row>
    <row r="760" spans="5:7">
      <c r="E760" s="9"/>
      <c r="F760" s="9"/>
      <c r="G760" s="10"/>
    </row>
    <row r="761" spans="5:7">
      <c r="E761" s="9"/>
      <c r="F761" s="9"/>
      <c r="G761" s="10"/>
    </row>
    <row r="762" spans="5:7">
      <c r="E762" s="9"/>
      <c r="F762" s="9"/>
      <c r="G762" s="10"/>
    </row>
    <row r="763" spans="5:7">
      <c r="E763" s="9"/>
      <c r="F763" s="9"/>
      <c r="G763" s="10"/>
    </row>
    <row r="764" spans="5:7">
      <c r="E764" s="9"/>
      <c r="F764" s="9"/>
      <c r="G764" s="10"/>
    </row>
    <row r="765" spans="5:7">
      <c r="E765" s="9"/>
      <c r="F765" s="9"/>
      <c r="G765" s="10"/>
    </row>
    <row r="766" spans="5:7">
      <c r="E766" s="9"/>
      <c r="F766" s="9"/>
      <c r="G766" s="10"/>
    </row>
    <row r="767" spans="5:7">
      <c r="E767" s="9"/>
      <c r="F767" s="9"/>
      <c r="G767" s="10"/>
    </row>
    <row r="768" spans="5:7">
      <c r="E768" s="9"/>
      <c r="F768" s="9"/>
      <c r="G768" s="10"/>
    </row>
    <row r="769" spans="5:7">
      <c r="E769" s="9"/>
      <c r="F769" s="9"/>
      <c r="G769" s="10"/>
    </row>
    <row r="770" spans="5:7">
      <c r="E770" s="9"/>
      <c r="F770" s="9"/>
      <c r="G770" s="10"/>
    </row>
    <row r="771" spans="5:7">
      <c r="E771" s="9"/>
      <c r="F771" s="9"/>
      <c r="G771" s="10"/>
    </row>
    <row r="772" spans="5:7">
      <c r="E772" s="9"/>
      <c r="F772" s="9"/>
      <c r="G772" s="10"/>
    </row>
    <row r="773" spans="5:7">
      <c r="E773" s="9"/>
      <c r="F773" s="9"/>
      <c r="G773" s="10"/>
    </row>
    <row r="774" spans="5:7">
      <c r="E774" s="9"/>
      <c r="F774" s="9"/>
      <c r="G774" s="10"/>
    </row>
    <row r="775" spans="5:7">
      <c r="E775" s="9"/>
      <c r="F775" s="9"/>
      <c r="G775" s="10"/>
    </row>
    <row r="776" spans="5:7">
      <c r="E776" s="9"/>
      <c r="F776" s="9"/>
      <c r="G776" s="10"/>
    </row>
    <row r="777" spans="5:7">
      <c r="E777" s="9"/>
      <c r="F777" s="9"/>
      <c r="G777" s="10"/>
    </row>
    <row r="778" spans="5:7">
      <c r="E778" s="9"/>
      <c r="F778" s="9"/>
      <c r="G778" s="10"/>
    </row>
    <row r="779" spans="5:7">
      <c r="E779" s="9"/>
      <c r="F779" s="9"/>
      <c r="G779" s="10"/>
    </row>
    <row r="780" spans="5:7">
      <c r="E780" s="9"/>
      <c r="F780" s="9"/>
      <c r="G780" s="10"/>
    </row>
    <row r="781" spans="5:7">
      <c r="E781" s="9"/>
      <c r="F781" s="9"/>
      <c r="G781" s="10"/>
    </row>
    <row r="782" spans="5:7">
      <c r="E782" s="9"/>
      <c r="F782" s="9"/>
      <c r="G782" s="10"/>
    </row>
    <row r="783" spans="5:7">
      <c r="E783" s="9"/>
      <c r="F783" s="9"/>
      <c r="G783" s="10"/>
    </row>
    <row r="784" spans="5:7">
      <c r="E784" s="9"/>
      <c r="F784" s="9"/>
      <c r="G784" s="10"/>
    </row>
    <row r="785" spans="5:7">
      <c r="E785" s="9"/>
      <c r="F785" s="9"/>
      <c r="G785" s="10"/>
    </row>
    <row r="786" spans="5:7">
      <c r="E786" s="9"/>
      <c r="F786" s="9"/>
      <c r="G786" s="10"/>
    </row>
    <row r="787" spans="5:7">
      <c r="E787" s="9"/>
      <c r="F787" s="9"/>
      <c r="G787" s="10"/>
    </row>
    <row r="788" spans="5:7">
      <c r="E788" s="9"/>
      <c r="F788" s="9"/>
      <c r="G788" s="10"/>
    </row>
    <row r="789" spans="5:7">
      <c r="E789" s="9"/>
      <c r="F789" s="9"/>
      <c r="G789" s="10"/>
    </row>
    <row r="790" spans="5:7">
      <c r="E790" s="9"/>
      <c r="F790" s="9"/>
      <c r="G790" s="10"/>
    </row>
    <row r="791" spans="5:7">
      <c r="E791" s="9"/>
      <c r="F791" s="9"/>
      <c r="G791" s="10"/>
    </row>
    <row r="792" spans="5:7">
      <c r="E792" s="9"/>
      <c r="F792" s="9"/>
      <c r="G792" s="10"/>
    </row>
    <row r="793" spans="5:7">
      <c r="E793" s="9"/>
      <c r="F793" s="9"/>
      <c r="G793" s="10"/>
    </row>
    <row r="794" spans="5:7">
      <c r="E794" s="9"/>
      <c r="F794" s="9"/>
      <c r="G794" s="10"/>
    </row>
    <row r="795" spans="5:7">
      <c r="E795" s="9"/>
      <c r="F795" s="9"/>
      <c r="G795" s="10"/>
    </row>
    <row r="796" spans="5:7">
      <c r="E796" s="9"/>
      <c r="F796" s="9"/>
      <c r="G796" s="10"/>
    </row>
    <row r="797" spans="5:7">
      <c r="E797" s="9"/>
      <c r="F797" s="9"/>
      <c r="G797" s="10"/>
    </row>
    <row r="798" spans="5:7">
      <c r="E798" s="9"/>
      <c r="F798" s="9"/>
      <c r="G798" s="10"/>
    </row>
    <row r="799" spans="5:7">
      <c r="E799" s="9"/>
      <c r="F799" s="9"/>
      <c r="G799" s="10"/>
    </row>
    <row r="800" spans="5:7">
      <c r="E800" s="9"/>
      <c r="F800" s="9"/>
      <c r="G800" s="10"/>
    </row>
    <row r="801" spans="5:7">
      <c r="E801" s="9"/>
      <c r="F801" s="9"/>
      <c r="G801" s="10"/>
    </row>
    <row r="802" spans="5:7">
      <c r="E802" s="9"/>
      <c r="F802" s="9"/>
      <c r="G802" s="10"/>
    </row>
    <row r="803" spans="5:7">
      <c r="E803" s="9"/>
      <c r="F803" s="9"/>
      <c r="G803" s="10"/>
    </row>
    <row r="804" spans="5:7">
      <c r="E804" s="9"/>
      <c r="F804" s="9"/>
      <c r="G804" s="10"/>
    </row>
    <row r="805" spans="5:7">
      <c r="E805" s="9"/>
      <c r="F805" s="9"/>
      <c r="G805" s="10"/>
    </row>
    <row r="806" spans="5:7">
      <c r="E806" s="9"/>
      <c r="F806" s="9"/>
      <c r="G806" s="10"/>
    </row>
    <row r="807" spans="5:7">
      <c r="E807" s="9"/>
      <c r="F807" s="9"/>
      <c r="G807" s="10"/>
    </row>
    <row r="808" spans="5:7">
      <c r="E808" s="9"/>
      <c r="F808" s="9"/>
      <c r="G808" s="10"/>
    </row>
    <row r="809" spans="5:7">
      <c r="E809" s="9"/>
      <c r="F809" s="9"/>
      <c r="G809" s="10"/>
    </row>
    <row r="810" spans="5:7">
      <c r="E810" s="9"/>
      <c r="F810" s="9"/>
      <c r="G810" s="10"/>
    </row>
    <row r="811" spans="5:7">
      <c r="E811" s="9"/>
      <c r="F811" s="9"/>
      <c r="G811" s="10"/>
    </row>
    <row r="812" spans="5:7">
      <c r="E812" s="9"/>
      <c r="F812" s="9"/>
      <c r="G812" s="10"/>
    </row>
    <row r="813" spans="5:7">
      <c r="E813" s="9"/>
      <c r="F813" s="9"/>
      <c r="G813" s="10"/>
    </row>
    <row r="814" spans="5:7">
      <c r="E814" s="9"/>
      <c r="F814" s="9"/>
      <c r="G814" s="10"/>
    </row>
    <row r="815" spans="5:7">
      <c r="E815" s="9"/>
      <c r="F815" s="9"/>
      <c r="G815" s="10"/>
    </row>
    <row r="816" spans="5:7">
      <c r="E816" s="9"/>
      <c r="F816" s="9"/>
      <c r="G816" s="10"/>
    </row>
    <row r="817" spans="5:7">
      <c r="E817" s="9"/>
      <c r="F817" s="9"/>
      <c r="G817" s="10"/>
    </row>
    <row r="818" spans="5:7">
      <c r="E818" s="9"/>
      <c r="F818" s="9"/>
      <c r="G818" s="10"/>
    </row>
    <row r="819" spans="5:7">
      <c r="E819" s="9"/>
      <c r="F819" s="9"/>
      <c r="G819" s="10"/>
    </row>
    <row r="820" spans="5:7">
      <c r="E820" s="9"/>
      <c r="F820" s="9"/>
      <c r="G820" s="10"/>
    </row>
    <row r="821" spans="5:7">
      <c r="E821" s="9"/>
      <c r="F821" s="9"/>
      <c r="G821" s="10"/>
    </row>
    <row r="822" spans="5:7">
      <c r="E822" s="9"/>
      <c r="F822" s="9"/>
      <c r="G822" s="10"/>
    </row>
    <row r="823" spans="5:7">
      <c r="E823" s="9"/>
      <c r="F823" s="9"/>
      <c r="G823" s="10"/>
    </row>
    <row r="824" spans="5:7">
      <c r="E824" s="9"/>
      <c r="F824" s="9"/>
      <c r="G824" s="10"/>
    </row>
    <row r="825" spans="5:7">
      <c r="E825" s="9"/>
      <c r="F825" s="9"/>
      <c r="G825" s="10"/>
    </row>
    <row r="826" spans="5:7">
      <c r="E826" s="9"/>
      <c r="F826" s="9"/>
      <c r="G826" s="10"/>
    </row>
    <row r="827" spans="5:7">
      <c r="E827" s="9"/>
      <c r="F827" s="9"/>
      <c r="G827" s="10"/>
    </row>
    <row r="828" spans="5:7">
      <c r="E828" s="9"/>
      <c r="F828" s="9"/>
      <c r="G828" s="10"/>
    </row>
    <row r="829" spans="5:7">
      <c r="E829" s="9"/>
      <c r="F829" s="9"/>
      <c r="G829" s="10"/>
    </row>
    <row r="830" spans="5:7">
      <c r="E830" s="9"/>
      <c r="F830" s="9"/>
      <c r="G830" s="10"/>
    </row>
    <row r="831" spans="5:7">
      <c r="E831" s="9"/>
      <c r="F831" s="9"/>
      <c r="G831" s="10"/>
    </row>
    <row r="832" spans="5:7">
      <c r="E832" s="9"/>
      <c r="F832" s="9"/>
      <c r="G832" s="10"/>
    </row>
    <row r="833" spans="5:7">
      <c r="E833" s="9"/>
      <c r="F833" s="9"/>
      <c r="G833" s="10"/>
    </row>
    <row r="834" spans="5:7">
      <c r="E834" s="9"/>
      <c r="F834" s="9"/>
      <c r="G834" s="10"/>
    </row>
    <row r="835" spans="5:7">
      <c r="E835" s="9"/>
      <c r="F835" s="9"/>
      <c r="G835" s="10"/>
    </row>
    <row r="836" spans="5:7">
      <c r="E836" s="9"/>
      <c r="F836" s="9"/>
      <c r="G836" s="10"/>
    </row>
    <row r="837" spans="5:7">
      <c r="E837" s="9"/>
      <c r="F837" s="9"/>
      <c r="G837" s="10"/>
    </row>
    <row r="838" spans="5:7">
      <c r="E838" s="9"/>
      <c r="F838" s="9"/>
      <c r="G838" s="10"/>
    </row>
    <row r="839" spans="5:7">
      <c r="E839" s="9"/>
      <c r="F839" s="9"/>
      <c r="G839" s="10"/>
    </row>
    <row r="840" spans="5:7">
      <c r="E840" s="9"/>
      <c r="F840" s="9"/>
      <c r="G840" s="10"/>
    </row>
    <row r="841" spans="5:7">
      <c r="E841" s="9"/>
      <c r="F841" s="9"/>
      <c r="G841" s="10"/>
    </row>
    <row r="842" spans="5:7">
      <c r="E842" s="9"/>
      <c r="F842" s="9"/>
      <c r="G842" s="10"/>
    </row>
    <row r="843" spans="5:7">
      <c r="E843" s="9"/>
      <c r="F843" s="9"/>
      <c r="G843" s="10"/>
    </row>
    <row r="844" spans="5:7">
      <c r="E844" s="9"/>
      <c r="F844" s="9"/>
      <c r="G844" s="10"/>
    </row>
    <row r="845" spans="5:7">
      <c r="E845" s="9"/>
      <c r="F845" s="9"/>
      <c r="G845" s="10"/>
    </row>
    <row r="846" spans="5:7">
      <c r="E846" s="9"/>
      <c r="F846" s="9"/>
      <c r="G846" s="10"/>
    </row>
    <row r="847" spans="5:7">
      <c r="E847" s="9"/>
      <c r="F847" s="9"/>
      <c r="G847" s="10"/>
    </row>
    <row r="848" spans="5:7">
      <c r="E848" s="9"/>
      <c r="F848" s="9"/>
      <c r="G848" s="10"/>
    </row>
    <row r="849" spans="5:7">
      <c r="E849" s="9"/>
      <c r="F849" s="9"/>
      <c r="G849" s="10"/>
    </row>
    <row r="850" spans="5:7">
      <c r="E850" s="9"/>
      <c r="F850" s="9"/>
      <c r="G850" s="10"/>
    </row>
    <row r="851" spans="5:7">
      <c r="E851" s="9"/>
      <c r="F851" s="9"/>
      <c r="G851" s="10"/>
    </row>
    <row r="852" spans="5:7">
      <c r="E852" s="9"/>
      <c r="F852" s="9"/>
      <c r="G852" s="10"/>
    </row>
    <row r="853" spans="5:7">
      <c r="E853" s="9"/>
      <c r="F853" s="9"/>
      <c r="G853" s="10"/>
    </row>
    <row r="854" spans="5:7">
      <c r="E854" s="9"/>
      <c r="F854" s="9"/>
      <c r="G854" s="10"/>
    </row>
    <row r="855" spans="5:7">
      <c r="E855" s="9"/>
      <c r="F855" s="9"/>
      <c r="G855" s="10"/>
    </row>
    <row r="856" spans="5:7">
      <c r="E856" s="9"/>
      <c r="F856" s="9"/>
      <c r="G856" s="10"/>
    </row>
    <row r="857" spans="5:7">
      <c r="E857" s="9"/>
      <c r="F857" s="9"/>
      <c r="G857" s="10"/>
    </row>
    <row r="858" spans="5:7">
      <c r="E858" s="9"/>
      <c r="F858" s="9"/>
      <c r="G858" s="10"/>
    </row>
    <row r="859" spans="5:7">
      <c r="E859" s="9"/>
      <c r="F859" s="9"/>
      <c r="G859" s="10"/>
    </row>
    <row r="860" spans="5:7">
      <c r="E860" s="9"/>
      <c r="F860" s="9"/>
      <c r="G860" s="10"/>
    </row>
    <row r="861" spans="5:7">
      <c r="E861" s="9"/>
      <c r="F861" s="9"/>
      <c r="G861" s="10"/>
    </row>
    <row r="862" spans="5:7">
      <c r="E862" s="9"/>
      <c r="F862" s="9"/>
      <c r="G862" s="10"/>
    </row>
    <row r="863" spans="5:7">
      <c r="E863" s="9"/>
      <c r="F863" s="9"/>
      <c r="G863" s="10"/>
    </row>
    <row r="864" spans="5:7">
      <c r="E864" s="9"/>
      <c r="F864" s="9"/>
      <c r="G864" s="10"/>
    </row>
    <row r="865" spans="5:7">
      <c r="E865" s="9"/>
      <c r="F865" s="9"/>
      <c r="G865" s="10"/>
    </row>
    <row r="866" spans="5:7">
      <c r="E866" s="9"/>
      <c r="F866" s="9"/>
      <c r="G866" s="10"/>
    </row>
    <row r="867" spans="5:7">
      <c r="E867" s="9"/>
      <c r="F867" s="9"/>
      <c r="G867" s="10"/>
    </row>
    <row r="868" spans="5:7">
      <c r="E868" s="9"/>
      <c r="F868" s="9"/>
      <c r="G868" s="10"/>
    </row>
    <row r="869" spans="5:7">
      <c r="E869" s="9"/>
      <c r="F869" s="9"/>
      <c r="G869" s="10"/>
    </row>
    <row r="870" spans="5:7">
      <c r="E870" s="9"/>
      <c r="F870" s="9"/>
      <c r="G870" s="10"/>
    </row>
    <row r="871" spans="5:7">
      <c r="E871" s="9"/>
      <c r="F871" s="9"/>
      <c r="G871" s="10"/>
    </row>
    <row r="872" spans="5:7">
      <c r="E872" s="9"/>
      <c r="F872" s="9"/>
      <c r="G872" s="10"/>
    </row>
    <row r="873" spans="5:7">
      <c r="E873" s="9"/>
      <c r="F873" s="9"/>
      <c r="G873" s="10"/>
    </row>
    <row r="874" spans="5:7">
      <c r="E874" s="9"/>
      <c r="F874" s="9"/>
      <c r="G874" s="10"/>
    </row>
    <row r="875" spans="5:7">
      <c r="E875" s="9"/>
      <c r="F875" s="9"/>
      <c r="G875" s="10"/>
    </row>
    <row r="876" spans="5:7">
      <c r="E876" s="9"/>
      <c r="F876" s="9"/>
      <c r="G876" s="10"/>
    </row>
    <row r="877" spans="5:7">
      <c r="E877" s="9"/>
      <c r="F877" s="9"/>
      <c r="G877" s="10"/>
    </row>
    <row r="878" spans="5:7">
      <c r="E878" s="9"/>
      <c r="F878" s="9"/>
      <c r="G878" s="10"/>
    </row>
    <row r="879" spans="5:7">
      <c r="E879" s="9"/>
      <c r="F879" s="9"/>
      <c r="G879" s="10"/>
    </row>
    <row r="880" spans="5:7">
      <c r="E880" s="9"/>
      <c r="F880" s="9"/>
      <c r="G880" s="10"/>
    </row>
    <row r="881" spans="5:7">
      <c r="E881" s="9"/>
      <c r="F881" s="9"/>
      <c r="G881" s="10"/>
    </row>
    <row r="882" spans="5:7">
      <c r="E882" s="9"/>
      <c r="F882" s="9"/>
      <c r="G882" s="10"/>
    </row>
    <row r="883" spans="5:7">
      <c r="E883" s="9"/>
      <c r="F883" s="9"/>
      <c r="G883" s="10"/>
    </row>
    <row r="884" spans="5:7">
      <c r="E884" s="9"/>
      <c r="F884" s="9"/>
      <c r="G884" s="10"/>
    </row>
    <row r="885" spans="5:7">
      <c r="E885" s="9"/>
      <c r="F885" s="9"/>
      <c r="G885" s="10"/>
    </row>
    <row r="886" spans="5:7">
      <c r="E886" s="9"/>
      <c r="F886" s="9"/>
      <c r="G886" s="10"/>
    </row>
    <row r="887" spans="5:7">
      <c r="E887" s="9"/>
      <c r="F887" s="9"/>
      <c r="G887" s="10"/>
    </row>
    <row r="888" spans="5:7">
      <c r="E888" s="9"/>
      <c r="F888" s="9"/>
      <c r="G888" s="10"/>
    </row>
    <row r="889" spans="5:7">
      <c r="E889" s="9"/>
      <c r="F889" s="9"/>
      <c r="G889" s="10"/>
    </row>
    <row r="890" spans="5:7">
      <c r="E890" s="9"/>
      <c r="F890" s="9"/>
      <c r="G890" s="10"/>
    </row>
    <row r="891" spans="5:7">
      <c r="E891" s="9"/>
      <c r="F891" s="9"/>
      <c r="G891" s="10"/>
    </row>
    <row r="892" spans="5:7">
      <c r="E892" s="9"/>
      <c r="F892" s="9"/>
      <c r="G892" s="10"/>
    </row>
    <row r="893" spans="5:7">
      <c r="E893" s="9"/>
      <c r="F893" s="9"/>
      <c r="G893" s="10"/>
    </row>
    <row r="894" spans="5:7">
      <c r="E894" s="9"/>
      <c r="F894" s="9"/>
      <c r="G894" s="10"/>
    </row>
    <row r="895" spans="5:7">
      <c r="E895" s="9"/>
      <c r="F895" s="9"/>
      <c r="G895" s="10"/>
    </row>
    <row r="896" spans="5:7">
      <c r="E896" s="9"/>
      <c r="F896" s="9"/>
      <c r="G896" s="10"/>
    </row>
    <row r="897" spans="5:7">
      <c r="E897" s="9"/>
      <c r="F897" s="9"/>
      <c r="G897" s="10"/>
    </row>
    <row r="898" spans="5:7">
      <c r="E898" s="9"/>
      <c r="F898" s="9"/>
      <c r="G898" s="10"/>
    </row>
    <row r="899" spans="5:7">
      <c r="E899" s="9"/>
      <c r="F899" s="9"/>
      <c r="G899" s="10"/>
    </row>
    <row r="900" spans="5:7">
      <c r="E900" s="9"/>
      <c r="F900" s="9"/>
      <c r="G900" s="10"/>
    </row>
    <row r="901" spans="5:7">
      <c r="E901" s="9"/>
      <c r="F901" s="9"/>
      <c r="G901" s="10"/>
    </row>
    <row r="902" spans="5:7">
      <c r="E902" s="9"/>
      <c r="F902" s="9"/>
      <c r="G902" s="10"/>
    </row>
    <row r="903" spans="5:7">
      <c r="E903" s="9"/>
      <c r="F903" s="9"/>
      <c r="G903" s="10"/>
    </row>
    <row r="904" spans="5:7">
      <c r="E904" s="9"/>
      <c r="F904" s="9"/>
      <c r="G904" s="10"/>
    </row>
    <row r="905" spans="5:7">
      <c r="E905" s="9"/>
      <c r="F905" s="9"/>
      <c r="G905" s="10"/>
    </row>
    <row r="906" spans="5:7">
      <c r="E906" s="9"/>
      <c r="F906" s="9"/>
      <c r="G906" s="10"/>
    </row>
    <row r="907" spans="5:7">
      <c r="E907" s="9"/>
      <c r="F907" s="9"/>
      <c r="G907" s="10"/>
    </row>
    <row r="908" spans="5:7">
      <c r="E908" s="9"/>
      <c r="F908" s="9"/>
      <c r="G908" s="10"/>
    </row>
    <row r="909" spans="5:7">
      <c r="E909" s="9"/>
      <c r="F909" s="9"/>
      <c r="G909" s="10"/>
    </row>
    <row r="910" spans="5:7">
      <c r="E910" s="9"/>
      <c r="F910" s="9"/>
      <c r="G910" s="10"/>
    </row>
    <row r="911" spans="5:7">
      <c r="E911" s="9"/>
      <c r="F911" s="9"/>
      <c r="G911" s="10"/>
    </row>
    <row r="912" spans="5:7">
      <c r="E912" s="9"/>
      <c r="F912" s="9"/>
      <c r="G912" s="10"/>
    </row>
    <row r="913" spans="5:7">
      <c r="E913" s="9"/>
      <c r="F913" s="9"/>
      <c r="G913" s="10"/>
    </row>
    <row r="914" spans="5:7">
      <c r="E914" s="9"/>
      <c r="F914" s="9"/>
      <c r="G914" s="10"/>
    </row>
    <row r="915" spans="5:7">
      <c r="E915" s="9"/>
      <c r="F915" s="9"/>
      <c r="G915" s="10"/>
    </row>
    <row r="916" spans="5:7">
      <c r="E916" s="9"/>
      <c r="F916" s="9"/>
      <c r="G916" s="10"/>
    </row>
    <row r="917" spans="5:7">
      <c r="E917" s="9"/>
      <c r="F917" s="9"/>
      <c r="G917" s="10"/>
    </row>
    <row r="918" spans="5:7">
      <c r="E918" s="9"/>
      <c r="F918" s="9"/>
      <c r="G918" s="10"/>
    </row>
    <row r="919" spans="5:7">
      <c r="E919" s="9"/>
      <c r="F919" s="9"/>
      <c r="G919" s="10"/>
    </row>
    <row r="920" spans="5:7">
      <c r="E920" s="9"/>
      <c r="F920" s="9"/>
      <c r="G920" s="10"/>
    </row>
    <row r="921" spans="5:7">
      <c r="E921" s="9"/>
      <c r="F921" s="9"/>
      <c r="G921" s="10"/>
    </row>
    <row r="922" spans="5:7">
      <c r="E922" s="9"/>
      <c r="F922" s="9"/>
      <c r="G922" s="10"/>
    </row>
    <row r="923" spans="5:7">
      <c r="E923" s="9"/>
      <c r="F923" s="9"/>
      <c r="G923" s="10"/>
    </row>
    <row r="924" spans="5:7">
      <c r="E924" s="9"/>
      <c r="F924" s="9"/>
      <c r="G924" s="10"/>
    </row>
    <row r="925" spans="5:7">
      <c r="E925" s="9"/>
      <c r="F925" s="9"/>
      <c r="G925" s="10"/>
    </row>
    <row r="926" spans="5:7">
      <c r="E926" s="9"/>
      <c r="F926" s="9"/>
      <c r="G926" s="10"/>
    </row>
    <row r="927" spans="5:7">
      <c r="E927" s="9"/>
      <c r="F927" s="9"/>
      <c r="G927" s="10"/>
    </row>
    <row r="928" spans="5:7">
      <c r="E928" s="9"/>
      <c r="F928" s="9"/>
      <c r="G928" s="10"/>
    </row>
    <row r="929" spans="5:7">
      <c r="E929" s="9"/>
      <c r="F929" s="9"/>
      <c r="G929" s="10"/>
    </row>
    <row r="930" spans="5:7">
      <c r="E930" s="9"/>
      <c r="F930" s="9"/>
      <c r="G930" s="10"/>
    </row>
    <row r="931" spans="5:7">
      <c r="E931" s="9"/>
      <c r="F931" s="9"/>
      <c r="G931" s="10"/>
    </row>
    <row r="932" spans="5:7">
      <c r="E932" s="9"/>
      <c r="F932" s="9"/>
      <c r="G932" s="10"/>
    </row>
    <row r="933" spans="5:7">
      <c r="E933" s="9"/>
      <c r="F933" s="9"/>
      <c r="G933" s="10"/>
    </row>
    <row r="934" spans="5:7">
      <c r="E934" s="9"/>
      <c r="F934" s="9"/>
      <c r="G934" s="10"/>
    </row>
    <row r="935" spans="5:7">
      <c r="E935" s="9"/>
      <c r="F935" s="9"/>
      <c r="G935" s="10"/>
    </row>
    <row r="936" spans="5:7">
      <c r="E936" s="9"/>
      <c r="F936" s="9"/>
      <c r="G936" s="10"/>
    </row>
    <row r="937" spans="5:7">
      <c r="E937" s="9"/>
      <c r="F937" s="9"/>
      <c r="G937" s="10"/>
    </row>
    <row r="938" spans="5:7">
      <c r="E938" s="9"/>
      <c r="F938" s="9"/>
      <c r="G938" s="10"/>
    </row>
    <row r="939" spans="5:7">
      <c r="E939" s="9"/>
      <c r="F939" s="9"/>
      <c r="G939" s="10"/>
    </row>
    <row r="940" spans="5:7">
      <c r="E940" s="9"/>
      <c r="F940" s="9"/>
      <c r="G940" s="10"/>
    </row>
    <row r="941" spans="5:7">
      <c r="E941" s="9"/>
      <c r="F941" s="9"/>
      <c r="G941" s="10"/>
    </row>
    <row r="942" spans="5:7">
      <c r="E942" s="9"/>
      <c r="F942" s="9"/>
      <c r="G942" s="10"/>
    </row>
    <row r="943" spans="5:7">
      <c r="E943" s="9"/>
      <c r="F943" s="9"/>
      <c r="G943" s="10"/>
    </row>
    <row r="944" spans="5:7">
      <c r="E944" s="9"/>
      <c r="F944" s="9"/>
      <c r="G944" s="10"/>
    </row>
    <row r="945" spans="5:7">
      <c r="E945" s="9"/>
      <c r="F945" s="9"/>
      <c r="G945" s="10"/>
    </row>
    <row r="946" spans="5:7">
      <c r="E946" s="9"/>
      <c r="F946" s="9"/>
      <c r="G946" s="10"/>
    </row>
    <row r="947" spans="5:7">
      <c r="E947" s="9"/>
      <c r="F947" s="9"/>
      <c r="G947" s="10"/>
    </row>
    <row r="948" spans="5:7">
      <c r="E948" s="9"/>
      <c r="F948" s="9"/>
      <c r="G948" s="10"/>
    </row>
    <row r="949" spans="5:7">
      <c r="E949" s="9"/>
      <c r="F949" s="9"/>
      <c r="G949" s="10"/>
    </row>
    <row r="950" spans="5:7">
      <c r="E950" s="9"/>
      <c r="F950" s="9"/>
      <c r="G950" s="10"/>
    </row>
    <row r="951" spans="5:7">
      <c r="E951" s="9"/>
      <c r="F951" s="9"/>
      <c r="G951" s="10"/>
    </row>
    <row r="952" spans="5:7">
      <c r="E952" s="9"/>
      <c r="F952" s="9"/>
      <c r="G952" s="10"/>
    </row>
    <row r="953" spans="5:7">
      <c r="E953" s="9"/>
      <c r="F953" s="9"/>
      <c r="G953" s="10"/>
    </row>
    <row r="954" spans="5:7">
      <c r="E954" s="9"/>
      <c r="F954" s="9"/>
      <c r="G954" s="10"/>
    </row>
    <row r="955" spans="5:7">
      <c r="E955" s="9"/>
      <c r="F955" s="9"/>
      <c r="G955" s="10"/>
    </row>
    <row r="956" spans="5:7">
      <c r="E956" s="9"/>
      <c r="F956" s="9"/>
      <c r="G956" s="10"/>
    </row>
    <row r="957" spans="5:7">
      <c r="E957" s="9"/>
      <c r="F957" s="9"/>
      <c r="G957" s="10"/>
    </row>
    <row r="958" spans="5:7">
      <c r="E958" s="9"/>
      <c r="F958" s="9"/>
      <c r="G958" s="10"/>
    </row>
    <row r="959" spans="5:7">
      <c r="E959" s="9"/>
      <c r="F959" s="9"/>
      <c r="G959" s="10"/>
    </row>
    <row r="960" spans="5:7">
      <c r="E960" s="9"/>
      <c r="F960" s="9"/>
      <c r="G960" s="10"/>
    </row>
    <row r="961" spans="5:7">
      <c r="E961" s="9"/>
      <c r="F961" s="9"/>
      <c r="G961" s="10"/>
    </row>
    <row r="962" spans="5:7">
      <c r="E962" s="9"/>
      <c r="F962" s="9"/>
      <c r="G962" s="10"/>
    </row>
    <row r="963" spans="5:7">
      <c r="E963" s="9"/>
      <c r="F963" s="9"/>
      <c r="G963" s="10"/>
    </row>
    <row r="964" spans="5:7">
      <c r="E964" s="9"/>
      <c r="F964" s="9"/>
      <c r="G964" s="10"/>
    </row>
    <row r="965" spans="5:7">
      <c r="E965" s="9"/>
      <c r="F965" s="9"/>
      <c r="G965" s="10"/>
    </row>
    <row r="966" spans="5:7">
      <c r="E966" s="9"/>
      <c r="F966" s="9"/>
      <c r="G966" s="10"/>
    </row>
    <row r="967" spans="5:7">
      <c r="E967" s="9"/>
      <c r="F967" s="9"/>
      <c r="G967" s="10"/>
    </row>
    <row r="968" spans="5:7">
      <c r="E968" s="9"/>
      <c r="F968" s="9"/>
      <c r="G968" s="10"/>
    </row>
    <row r="969" spans="5:7">
      <c r="E969" s="9"/>
      <c r="F969" s="9"/>
      <c r="G969" s="10"/>
    </row>
    <row r="970" spans="5:7">
      <c r="E970" s="9"/>
      <c r="F970" s="9"/>
      <c r="G970" s="10"/>
    </row>
    <row r="971" spans="5:7">
      <c r="E971" s="9"/>
      <c r="F971" s="9"/>
      <c r="G971" s="10"/>
    </row>
    <row r="972" spans="5:7">
      <c r="E972" s="9"/>
      <c r="F972" s="9"/>
      <c r="G972" s="10"/>
    </row>
    <row r="973" spans="5:7">
      <c r="E973" s="9"/>
      <c r="F973" s="9"/>
      <c r="G973" s="10"/>
    </row>
    <row r="974" spans="5:7">
      <c r="E974" s="9"/>
      <c r="F974" s="9"/>
      <c r="G974" s="10"/>
    </row>
    <row r="975" spans="5:7">
      <c r="E975" s="9"/>
      <c r="F975" s="9"/>
      <c r="G975" s="10"/>
    </row>
    <row r="976" spans="5:7">
      <c r="E976" s="9"/>
      <c r="F976" s="9"/>
      <c r="G976" s="10"/>
    </row>
    <row r="977" spans="5:7">
      <c r="E977" s="9"/>
      <c r="F977" s="9"/>
      <c r="G977" s="10"/>
    </row>
    <row r="978" spans="5:7">
      <c r="E978" s="9"/>
      <c r="F978" s="9"/>
      <c r="G978" s="10"/>
    </row>
    <row r="979" spans="5:7">
      <c r="E979" s="9"/>
      <c r="F979" s="9"/>
      <c r="G979" s="10"/>
    </row>
    <row r="980" spans="5:7">
      <c r="E980" s="9"/>
      <c r="F980" s="9"/>
      <c r="G980" s="10"/>
    </row>
    <row r="981" spans="5:7">
      <c r="E981" s="9"/>
      <c r="F981" s="9"/>
      <c r="G981" s="10"/>
    </row>
    <row r="982" spans="5:7">
      <c r="E982" s="9"/>
      <c r="F982" s="9"/>
      <c r="G982" s="10"/>
    </row>
    <row r="983" spans="5:7">
      <c r="E983" s="9"/>
      <c r="F983" s="9"/>
      <c r="G983" s="10"/>
    </row>
    <row r="984" spans="5:7">
      <c r="E984" s="9"/>
      <c r="F984" s="9"/>
      <c r="G984" s="10"/>
    </row>
    <row r="985" spans="5:7">
      <c r="E985" s="9"/>
      <c r="F985" s="9"/>
      <c r="G985" s="10"/>
    </row>
    <row r="986" spans="5:7">
      <c r="E986" s="9"/>
      <c r="F986" s="9"/>
      <c r="G986" s="10"/>
    </row>
    <row r="987" spans="5:7">
      <c r="E987" s="9"/>
      <c r="F987" s="9"/>
      <c r="G987" s="10"/>
    </row>
    <row r="988" spans="5:7">
      <c r="E988" s="9"/>
      <c r="F988" s="9"/>
      <c r="G988" s="10"/>
    </row>
    <row r="989" spans="5:7">
      <c r="E989" s="9"/>
      <c r="F989" s="9"/>
      <c r="G989" s="10"/>
    </row>
    <row r="990" spans="5:7">
      <c r="E990" s="9"/>
      <c r="F990" s="9"/>
      <c r="G990" s="10"/>
    </row>
    <row r="991" spans="5:7">
      <c r="E991" s="9"/>
      <c r="F991" s="9"/>
      <c r="G991" s="10"/>
    </row>
    <row r="992" spans="5:7">
      <c r="E992" s="9"/>
      <c r="F992" s="9"/>
      <c r="G992" s="10"/>
    </row>
    <row r="993" spans="5:7">
      <c r="E993" s="9"/>
      <c r="F993" s="9"/>
      <c r="G993" s="10"/>
    </row>
    <row r="994" spans="5:7">
      <c r="E994" s="9"/>
      <c r="F994" s="9"/>
      <c r="G994" s="10"/>
    </row>
    <row r="995" spans="5:7">
      <c r="E995" s="9"/>
      <c r="F995" s="9"/>
      <c r="G995" s="10"/>
    </row>
    <row r="996" spans="5:7">
      <c r="E996" s="9"/>
      <c r="F996" s="9"/>
      <c r="G996" s="10"/>
    </row>
    <row r="997" spans="5:7">
      <c r="E997" s="9"/>
      <c r="F997" s="9"/>
      <c r="G997" s="10"/>
    </row>
    <row r="998" spans="5:7">
      <c r="E998" s="9"/>
      <c r="F998" s="9"/>
      <c r="G998" s="10"/>
    </row>
    <row r="999" spans="5:7">
      <c r="E999" s="9"/>
      <c r="F999" s="9"/>
      <c r="G999" s="10"/>
    </row>
    <row r="1000" spans="5:7">
      <c r="E1000" s="9"/>
      <c r="F1000" s="9"/>
      <c r="G1000" s="10"/>
    </row>
    <row r="1001" spans="5:7">
      <c r="E1001" s="9"/>
      <c r="F1001" s="9"/>
      <c r="G1001" s="10"/>
    </row>
    <row r="1002" spans="5:7">
      <c r="E1002" s="9"/>
      <c r="F1002" s="9"/>
      <c r="G1002" s="10"/>
    </row>
    <row r="1003" spans="5:7">
      <c r="E1003" s="9"/>
      <c r="F1003" s="9"/>
      <c r="G1003" s="10"/>
    </row>
    <row r="1004" spans="5:7">
      <c r="E1004" s="9"/>
      <c r="F1004" s="9"/>
      <c r="G1004" s="10"/>
    </row>
    <row r="1005" spans="5:7">
      <c r="E1005" s="9"/>
      <c r="F1005" s="9"/>
      <c r="G1005" s="10"/>
    </row>
    <row r="1006" spans="5:7">
      <c r="E1006" s="9"/>
      <c r="F1006" s="9"/>
      <c r="G1006" s="10"/>
    </row>
    <row r="1007" spans="5:7">
      <c r="E1007" s="9"/>
      <c r="F1007" s="9"/>
      <c r="G1007" s="10"/>
    </row>
    <row r="1008" spans="5:7">
      <c r="E1008" s="9"/>
      <c r="F1008" s="9"/>
      <c r="G1008" s="10"/>
    </row>
    <row r="1009" spans="5:7">
      <c r="E1009" s="9"/>
      <c r="F1009" s="9"/>
      <c r="G1009" s="10"/>
    </row>
    <row r="1010" spans="5:7">
      <c r="E1010" s="9"/>
      <c r="F1010" s="9"/>
      <c r="G1010" s="10"/>
    </row>
    <row r="1011" spans="5:7">
      <c r="E1011" s="9"/>
      <c r="F1011" s="9"/>
      <c r="G1011" s="10"/>
    </row>
    <row r="1012" spans="5:7">
      <c r="E1012" s="9"/>
      <c r="F1012" s="9"/>
      <c r="G1012" s="10"/>
    </row>
    <row r="1013" spans="5:7">
      <c r="E1013" s="9"/>
      <c r="F1013" s="9"/>
      <c r="G1013" s="10"/>
    </row>
    <row r="1014" spans="5:7">
      <c r="E1014" s="9"/>
      <c r="F1014" s="9"/>
      <c r="G1014" s="10"/>
    </row>
    <row r="1015" spans="5:7">
      <c r="E1015" s="9"/>
      <c r="F1015" s="9"/>
      <c r="G1015" s="10"/>
    </row>
    <row r="1016" spans="5:7">
      <c r="E1016" s="9"/>
      <c r="F1016" s="9"/>
      <c r="G1016" s="10"/>
    </row>
    <row r="1017" spans="5:7">
      <c r="E1017" s="9"/>
      <c r="F1017" s="9"/>
      <c r="G1017" s="10"/>
    </row>
    <row r="1018" spans="5:7">
      <c r="E1018" s="9"/>
      <c r="F1018" s="9"/>
      <c r="G1018" s="10"/>
    </row>
    <row r="1019" spans="5:7">
      <c r="E1019" s="9"/>
      <c r="F1019" s="9"/>
      <c r="G1019" s="10"/>
    </row>
    <row r="1020" spans="5:7">
      <c r="E1020" s="9"/>
      <c r="F1020" s="9"/>
      <c r="G1020" s="10"/>
    </row>
    <row r="1021" spans="5:7">
      <c r="E1021" s="9"/>
      <c r="F1021" s="9"/>
      <c r="G1021" s="10"/>
    </row>
    <row r="1022" spans="5:7">
      <c r="E1022" s="9"/>
      <c r="F1022" s="9"/>
      <c r="G1022" s="10"/>
    </row>
    <row r="1023" spans="5:7">
      <c r="E1023" s="9"/>
      <c r="F1023" s="9"/>
      <c r="G1023" s="10"/>
    </row>
    <row r="1024" spans="5:7">
      <c r="E1024" s="9"/>
      <c r="F1024" s="9"/>
      <c r="G1024" s="10"/>
    </row>
    <row r="1025" spans="5:7">
      <c r="E1025" s="9"/>
      <c r="F1025" s="9"/>
      <c r="G1025" s="10"/>
    </row>
    <row r="1026" spans="5:7">
      <c r="E1026" s="9"/>
      <c r="F1026" s="9"/>
      <c r="G1026" s="10"/>
    </row>
    <row r="1027" spans="5:7">
      <c r="E1027" s="9"/>
      <c r="F1027" s="9"/>
      <c r="G1027" s="10"/>
    </row>
    <row r="1028" spans="5:7">
      <c r="E1028" s="9"/>
      <c r="F1028" s="9"/>
      <c r="G1028" s="10"/>
    </row>
    <row r="1029" spans="5:7">
      <c r="E1029" s="9"/>
      <c r="F1029" s="9"/>
      <c r="G1029" s="10"/>
    </row>
    <row r="1030" spans="5:7">
      <c r="E1030" s="9"/>
      <c r="F1030" s="9"/>
      <c r="G1030" s="10"/>
    </row>
    <row r="1031" spans="5:7">
      <c r="E1031" s="9"/>
      <c r="F1031" s="9"/>
      <c r="G1031" s="10"/>
    </row>
    <row r="1032" spans="5:7">
      <c r="E1032" s="9"/>
      <c r="F1032" s="9"/>
      <c r="G1032" s="10"/>
    </row>
    <row r="1033" spans="5:7">
      <c r="E1033" s="9"/>
      <c r="F1033" s="9"/>
      <c r="G1033" s="10"/>
    </row>
    <row r="1034" spans="5:7">
      <c r="E1034" s="9"/>
      <c r="F1034" s="9"/>
      <c r="G1034" s="10"/>
    </row>
    <row r="1035" spans="5:7">
      <c r="E1035" s="9"/>
      <c r="F1035" s="9"/>
      <c r="G1035" s="10"/>
    </row>
    <row r="1036" spans="5:7">
      <c r="E1036" s="9"/>
      <c r="F1036" s="9"/>
      <c r="G1036" s="10"/>
    </row>
    <row r="1037" spans="5:7">
      <c r="E1037" s="9"/>
      <c r="F1037" s="9"/>
      <c r="G1037" s="10"/>
    </row>
    <row r="1038" spans="5:7">
      <c r="E1038" s="9"/>
      <c r="F1038" s="9"/>
      <c r="G1038" s="10"/>
    </row>
    <row r="1039" spans="5:7">
      <c r="E1039" s="9"/>
      <c r="F1039" s="9"/>
      <c r="G1039" s="10"/>
    </row>
    <row r="1040" spans="5:7">
      <c r="E1040" s="9"/>
      <c r="F1040" s="9"/>
      <c r="G1040" s="10"/>
    </row>
    <row r="1041" spans="5:7">
      <c r="E1041" s="9"/>
      <c r="F1041" s="9"/>
      <c r="G1041" s="10"/>
    </row>
    <row r="1042" spans="5:7">
      <c r="E1042" s="9"/>
      <c r="F1042" s="9"/>
      <c r="G1042" s="10"/>
    </row>
    <row r="1043" spans="5:7">
      <c r="E1043" s="9"/>
      <c r="F1043" s="9"/>
      <c r="G1043" s="10"/>
    </row>
    <row r="1044" spans="5:7">
      <c r="E1044" s="9"/>
      <c r="F1044" s="9"/>
      <c r="G1044" s="10"/>
    </row>
    <row r="1045" spans="5:7">
      <c r="E1045" s="9"/>
      <c r="F1045" s="9"/>
      <c r="G1045" s="10"/>
    </row>
    <row r="1046" spans="5:7">
      <c r="E1046" s="9"/>
      <c r="F1046" s="9"/>
      <c r="G1046" s="10"/>
    </row>
    <row r="1047" spans="5:7">
      <c r="E1047" s="9"/>
      <c r="F1047" s="9"/>
      <c r="G1047" s="10"/>
    </row>
    <row r="1048" spans="5:7">
      <c r="E1048" s="9"/>
      <c r="F1048" s="9"/>
      <c r="G1048" s="10"/>
    </row>
    <row r="1049" spans="5:7">
      <c r="E1049" s="9"/>
      <c r="F1049" s="9"/>
      <c r="G1049" s="10"/>
    </row>
    <row r="1050" spans="5:7">
      <c r="E1050" s="9"/>
      <c r="F1050" s="9"/>
      <c r="G1050" s="10"/>
    </row>
    <row r="1051" spans="5:7">
      <c r="E1051" s="9"/>
      <c r="F1051" s="9"/>
      <c r="G1051" s="10"/>
    </row>
    <row r="1052" spans="5:7">
      <c r="E1052" s="9"/>
      <c r="F1052" s="9"/>
      <c r="G1052" s="10"/>
    </row>
    <row r="1053" spans="5:7">
      <c r="E1053" s="9"/>
      <c r="F1053" s="9"/>
      <c r="G1053" s="10"/>
    </row>
    <row r="1054" spans="5:7">
      <c r="E1054" s="9"/>
      <c r="F1054" s="9"/>
      <c r="G1054" s="10"/>
    </row>
    <row r="1055" spans="5:7">
      <c r="E1055" s="9"/>
      <c r="F1055" s="9"/>
      <c r="G1055" s="10"/>
    </row>
    <row r="1056" spans="5:7">
      <c r="E1056" s="9"/>
      <c r="F1056" s="9"/>
      <c r="G1056" s="10"/>
    </row>
    <row r="1057" spans="5:7">
      <c r="E1057" s="9"/>
      <c r="F1057" s="9"/>
      <c r="G1057" s="10"/>
    </row>
    <row r="1058" spans="5:7">
      <c r="E1058" s="9"/>
      <c r="F1058" s="9"/>
      <c r="G1058" s="10"/>
    </row>
    <row r="1059" spans="5:7">
      <c r="E1059" s="9"/>
      <c r="F1059" s="9"/>
      <c r="G1059" s="10"/>
    </row>
    <row r="1060" spans="5:7">
      <c r="E1060" s="9"/>
      <c r="F1060" s="9"/>
      <c r="G1060" s="10"/>
    </row>
    <row r="1061" spans="5:7">
      <c r="E1061" s="9"/>
      <c r="F1061" s="9"/>
      <c r="G1061" s="10"/>
    </row>
    <row r="1062" spans="5:7">
      <c r="E1062" s="9"/>
      <c r="F1062" s="9"/>
      <c r="G1062" s="10"/>
    </row>
    <row r="1063" spans="5:7">
      <c r="E1063" s="9"/>
      <c r="F1063" s="9"/>
      <c r="G1063" s="10"/>
    </row>
    <row r="1064" spans="5:7">
      <c r="E1064" s="9"/>
      <c r="F1064" s="9"/>
      <c r="G1064" s="10"/>
    </row>
    <row r="1065" spans="5:7">
      <c r="E1065" s="9"/>
      <c r="F1065" s="9"/>
      <c r="G1065" s="10"/>
    </row>
    <row r="1066" spans="5:7">
      <c r="E1066" s="9"/>
      <c r="F1066" s="9"/>
      <c r="G1066" s="10"/>
    </row>
    <row r="1067" spans="5:7">
      <c r="E1067" s="9"/>
      <c r="F1067" s="9"/>
      <c r="G1067" s="10"/>
    </row>
    <row r="1068" spans="5:7">
      <c r="E1068" s="9"/>
      <c r="F1068" s="9"/>
      <c r="G1068" s="10"/>
    </row>
    <row r="1069" spans="5:7">
      <c r="E1069" s="9"/>
      <c r="F1069" s="9"/>
      <c r="G1069" s="10"/>
    </row>
    <row r="1070" spans="5:7">
      <c r="E1070" s="9"/>
      <c r="F1070" s="9"/>
      <c r="G1070" s="10"/>
    </row>
    <row r="1071" spans="5:7">
      <c r="E1071" s="9"/>
      <c r="F1071" s="9"/>
      <c r="G1071" s="10"/>
    </row>
    <row r="1072" spans="5:7">
      <c r="E1072" s="9"/>
      <c r="F1072" s="9"/>
      <c r="G1072" s="10"/>
    </row>
    <row r="1073" spans="5:7">
      <c r="E1073" s="9"/>
      <c r="F1073" s="9"/>
      <c r="G1073" s="10"/>
    </row>
    <row r="1074" spans="5:7">
      <c r="E1074" s="9"/>
      <c r="F1074" s="9"/>
      <c r="G1074" s="10"/>
    </row>
    <row r="1075" spans="5:7">
      <c r="E1075" s="9"/>
      <c r="F1075" s="9"/>
      <c r="G1075" s="10"/>
    </row>
    <row r="1076" spans="5:7">
      <c r="E1076" s="9"/>
      <c r="F1076" s="9"/>
      <c r="G1076" s="10"/>
    </row>
    <row r="1077" spans="5:7">
      <c r="E1077" s="9"/>
      <c r="F1077" s="9"/>
      <c r="G1077" s="10"/>
    </row>
    <row r="1078" spans="5:7">
      <c r="E1078" s="9"/>
      <c r="F1078" s="9"/>
      <c r="G1078" s="10"/>
    </row>
    <row r="1079" spans="5:7">
      <c r="E1079" s="9"/>
      <c r="F1079" s="9"/>
      <c r="G1079" s="10"/>
    </row>
    <row r="1080" spans="5:7">
      <c r="E1080" s="9"/>
      <c r="F1080" s="9"/>
      <c r="G1080" s="10"/>
    </row>
    <row r="1081" spans="5:7">
      <c r="E1081" s="9"/>
      <c r="F1081" s="9"/>
      <c r="G1081" s="10"/>
    </row>
    <row r="1082" spans="5:7">
      <c r="E1082" s="9"/>
      <c r="F1082" s="9"/>
      <c r="G1082" s="10"/>
    </row>
    <row r="1083" spans="5:7">
      <c r="E1083" s="9"/>
      <c r="F1083" s="9"/>
      <c r="G1083" s="10"/>
    </row>
    <row r="1084" spans="5:7">
      <c r="E1084" s="9"/>
      <c r="F1084" s="9"/>
      <c r="G1084" s="10"/>
    </row>
    <row r="1085" spans="5:7">
      <c r="E1085" s="9"/>
      <c r="F1085" s="9"/>
      <c r="G1085" s="10"/>
    </row>
    <row r="1086" spans="5:7">
      <c r="E1086" s="9"/>
      <c r="F1086" s="9"/>
      <c r="G1086" s="10"/>
    </row>
    <row r="1087" spans="5:7">
      <c r="E1087" s="9"/>
      <c r="F1087" s="9"/>
      <c r="G1087" s="10"/>
    </row>
    <row r="1088" spans="5:7">
      <c r="E1088" s="9"/>
      <c r="F1088" s="9"/>
      <c r="G1088" s="10"/>
    </row>
    <row r="1089" spans="5:7">
      <c r="E1089" s="9"/>
      <c r="F1089" s="9"/>
      <c r="G1089" s="10"/>
    </row>
    <row r="1090" spans="5:7">
      <c r="E1090" s="9"/>
      <c r="F1090" s="9"/>
      <c r="G1090" s="10"/>
    </row>
    <row r="1091" spans="5:7">
      <c r="E1091" s="9"/>
      <c r="F1091" s="9"/>
      <c r="G1091" s="10"/>
    </row>
    <row r="1092" spans="5:7">
      <c r="E1092" s="9"/>
      <c r="F1092" s="9"/>
      <c r="G1092" s="10"/>
    </row>
    <row r="1093" spans="5:7">
      <c r="E1093" s="9"/>
      <c r="F1093" s="9"/>
      <c r="G1093" s="10"/>
    </row>
    <row r="1094" spans="5:7">
      <c r="E1094" s="9"/>
      <c r="F1094" s="9"/>
      <c r="G1094" s="10"/>
    </row>
    <row r="1095" spans="5:7">
      <c r="E1095" s="9"/>
      <c r="F1095" s="9"/>
      <c r="G1095" s="10"/>
    </row>
    <row r="1096" spans="5:7">
      <c r="E1096" s="9"/>
      <c r="F1096" s="9"/>
      <c r="G1096" s="10"/>
    </row>
    <row r="1097" spans="5:7">
      <c r="E1097" s="9"/>
      <c r="F1097" s="9"/>
      <c r="G1097" s="10"/>
    </row>
    <row r="1098" spans="5:7">
      <c r="E1098" s="9"/>
      <c r="F1098" s="9"/>
      <c r="G1098" s="10"/>
    </row>
    <row r="1099" spans="5:7">
      <c r="E1099" s="9"/>
      <c r="F1099" s="9"/>
      <c r="G1099" s="10"/>
    </row>
    <row r="1100" spans="5:7">
      <c r="E1100" s="9"/>
      <c r="F1100" s="9"/>
      <c r="G1100" s="10"/>
    </row>
    <row r="1101" spans="5:7">
      <c r="E1101" s="9"/>
      <c r="F1101" s="9"/>
      <c r="G1101" s="10"/>
    </row>
    <row r="1102" spans="5:7">
      <c r="E1102" s="9"/>
      <c r="F1102" s="9"/>
      <c r="G1102" s="10"/>
    </row>
    <row r="1103" spans="5:7">
      <c r="E1103" s="9"/>
      <c r="F1103" s="9"/>
      <c r="G1103" s="10"/>
    </row>
    <row r="1104" spans="5:7">
      <c r="E1104" s="9"/>
      <c r="F1104" s="9"/>
      <c r="G1104" s="10"/>
    </row>
    <row r="1105" spans="5:7">
      <c r="E1105" s="9"/>
      <c r="F1105" s="9"/>
      <c r="G1105" s="10"/>
    </row>
    <row r="1106" spans="5:7">
      <c r="E1106" s="9"/>
      <c r="F1106" s="9"/>
      <c r="G1106" s="10"/>
    </row>
    <row r="1107" spans="5:7">
      <c r="E1107" s="9"/>
      <c r="F1107" s="9"/>
      <c r="G1107" s="10"/>
    </row>
    <row r="1108" spans="5:7">
      <c r="E1108" s="9"/>
      <c r="F1108" s="9"/>
      <c r="G1108" s="10"/>
    </row>
    <row r="1109" spans="5:7">
      <c r="E1109" s="9"/>
      <c r="F1109" s="9"/>
      <c r="G1109" s="10"/>
    </row>
    <row r="1110" spans="5:7">
      <c r="E1110" s="9"/>
      <c r="F1110" s="9"/>
      <c r="G1110" s="10"/>
    </row>
    <row r="1111" spans="5:7">
      <c r="E1111" s="9"/>
      <c r="F1111" s="9"/>
      <c r="G1111" s="10"/>
    </row>
    <row r="1112" spans="5:7">
      <c r="E1112" s="9"/>
      <c r="F1112" s="9"/>
      <c r="G1112" s="10"/>
    </row>
    <row r="1113" spans="5:7">
      <c r="E1113" s="9"/>
      <c r="F1113" s="9"/>
      <c r="G1113" s="10"/>
    </row>
    <row r="1114" spans="5:7">
      <c r="E1114" s="9"/>
      <c r="F1114" s="9"/>
      <c r="G1114" s="10"/>
    </row>
    <row r="1115" spans="5:7">
      <c r="E1115" s="9"/>
      <c r="F1115" s="9"/>
      <c r="G1115" s="10"/>
    </row>
    <row r="1116" spans="5:7">
      <c r="E1116" s="9"/>
      <c r="F1116" s="9"/>
      <c r="G1116" s="10"/>
    </row>
    <row r="1117" spans="5:7">
      <c r="E1117" s="9"/>
      <c r="F1117" s="9"/>
      <c r="G1117" s="10"/>
    </row>
    <row r="1118" spans="5:7">
      <c r="E1118" s="9"/>
      <c r="F1118" s="9"/>
      <c r="G1118" s="10"/>
    </row>
    <row r="1119" spans="5:7">
      <c r="E1119" s="9"/>
      <c r="F1119" s="9"/>
      <c r="G1119" s="10"/>
    </row>
    <row r="1120" spans="5:7">
      <c r="E1120" s="9"/>
      <c r="F1120" s="9"/>
      <c r="G1120" s="10"/>
    </row>
    <row r="1121" spans="5:7">
      <c r="E1121" s="9"/>
      <c r="F1121" s="9"/>
      <c r="G1121" s="10"/>
    </row>
    <row r="1122" spans="5:7">
      <c r="E1122" s="9"/>
      <c r="F1122" s="9"/>
      <c r="G1122" s="10"/>
    </row>
    <row r="1123" spans="5:7">
      <c r="E1123" s="9"/>
      <c r="F1123" s="9"/>
      <c r="G1123" s="10"/>
    </row>
    <row r="1124" spans="5:7">
      <c r="E1124" s="9"/>
      <c r="F1124" s="9"/>
      <c r="G1124" s="10"/>
    </row>
    <row r="1125" spans="5:7">
      <c r="E1125" s="9"/>
      <c r="F1125" s="9"/>
      <c r="G1125" s="10"/>
    </row>
    <row r="1126" spans="5:7">
      <c r="E1126" s="9"/>
      <c r="F1126" s="9"/>
      <c r="G1126" s="10"/>
    </row>
    <row r="1127" spans="5:7">
      <c r="E1127" s="9"/>
      <c r="F1127" s="9"/>
      <c r="G1127" s="10"/>
    </row>
    <row r="1128" spans="5:7">
      <c r="E1128" s="9"/>
      <c r="F1128" s="9"/>
      <c r="G1128" s="10"/>
    </row>
    <row r="1129" spans="5:7">
      <c r="E1129" s="9"/>
      <c r="F1129" s="9"/>
      <c r="G1129" s="10"/>
    </row>
    <row r="1130" spans="5:7">
      <c r="E1130" s="9"/>
      <c r="F1130" s="9"/>
      <c r="G1130" s="10"/>
    </row>
    <row r="1131" spans="5:7">
      <c r="E1131" s="9"/>
      <c r="F1131" s="9"/>
      <c r="G1131" s="10"/>
    </row>
    <row r="1132" spans="5:7">
      <c r="E1132" s="9"/>
      <c r="F1132" s="9"/>
      <c r="G1132" s="10"/>
    </row>
    <row r="1133" spans="5:7">
      <c r="E1133" s="9"/>
      <c r="F1133" s="9"/>
      <c r="G1133" s="10"/>
    </row>
    <row r="1134" spans="5:7">
      <c r="E1134" s="9"/>
      <c r="F1134" s="9"/>
      <c r="G1134" s="10"/>
    </row>
    <row r="1135" spans="5:7">
      <c r="E1135" s="9"/>
      <c r="F1135" s="9"/>
      <c r="G1135" s="10"/>
    </row>
    <row r="1136" spans="5:7">
      <c r="E1136" s="9"/>
      <c r="F1136" s="9"/>
      <c r="G1136" s="10"/>
    </row>
    <row r="1137" spans="5:7">
      <c r="E1137" s="9"/>
      <c r="F1137" s="9"/>
      <c r="G1137" s="10"/>
    </row>
    <row r="1138" spans="5:7">
      <c r="E1138" s="9"/>
      <c r="F1138" s="9"/>
      <c r="G1138" s="10"/>
    </row>
    <row r="1139" spans="5:7">
      <c r="E1139" s="9"/>
      <c r="F1139" s="9"/>
      <c r="G1139" s="10"/>
    </row>
    <row r="1140" spans="5:7">
      <c r="E1140" s="9"/>
      <c r="F1140" s="9"/>
      <c r="G1140" s="10"/>
    </row>
    <row r="1141" spans="5:7">
      <c r="E1141" s="9"/>
      <c r="F1141" s="9"/>
      <c r="G1141" s="10"/>
    </row>
    <row r="1142" spans="5:7">
      <c r="E1142" s="9"/>
      <c r="F1142" s="9"/>
      <c r="G1142" s="10"/>
    </row>
    <row r="1143" spans="5:7">
      <c r="E1143" s="9"/>
      <c r="F1143" s="9"/>
      <c r="G1143" s="10"/>
    </row>
    <row r="1144" spans="5:7">
      <c r="E1144" s="9"/>
      <c r="F1144" s="9"/>
      <c r="G1144" s="10"/>
    </row>
    <row r="1145" spans="5:7">
      <c r="E1145" s="9"/>
      <c r="F1145" s="9"/>
      <c r="G1145" s="10"/>
    </row>
    <row r="1146" spans="5:7">
      <c r="E1146" s="9"/>
      <c r="F1146" s="9"/>
      <c r="G1146" s="10"/>
    </row>
    <row r="1147" spans="5:7">
      <c r="E1147" s="9"/>
      <c r="F1147" s="9"/>
      <c r="G1147" s="10"/>
    </row>
    <row r="1148" spans="5:7">
      <c r="E1148" s="9"/>
      <c r="F1148" s="9"/>
      <c r="G1148" s="10"/>
    </row>
    <row r="1149" spans="5:7">
      <c r="E1149" s="9"/>
      <c r="F1149" s="9"/>
      <c r="G1149" s="10"/>
    </row>
    <row r="1150" spans="5:7">
      <c r="E1150" s="9"/>
      <c r="F1150" s="9"/>
      <c r="G1150" s="10"/>
    </row>
    <row r="1151" spans="5:7">
      <c r="E1151" s="9"/>
      <c r="F1151" s="9"/>
      <c r="G1151" s="10"/>
    </row>
    <row r="1152" spans="5:7">
      <c r="E1152" s="9"/>
      <c r="F1152" s="9"/>
      <c r="G1152" s="10"/>
    </row>
    <row r="1153" spans="5:7">
      <c r="E1153" s="9"/>
      <c r="F1153" s="9"/>
      <c r="G1153" s="10"/>
    </row>
    <row r="1154" spans="5:7">
      <c r="E1154" s="9"/>
      <c r="F1154" s="9"/>
      <c r="G1154" s="10"/>
    </row>
    <row r="1155" spans="5:7">
      <c r="E1155" s="9"/>
      <c r="F1155" s="9"/>
      <c r="G1155" s="10"/>
    </row>
    <row r="1156" spans="5:7">
      <c r="E1156" s="9"/>
      <c r="F1156" s="9"/>
      <c r="G1156" s="10"/>
    </row>
    <row r="1157" spans="5:7">
      <c r="E1157" s="9"/>
      <c r="F1157" s="9"/>
      <c r="G1157" s="10"/>
    </row>
    <row r="1158" spans="5:7">
      <c r="E1158" s="9"/>
      <c r="F1158" s="9"/>
      <c r="G1158" s="10"/>
    </row>
    <row r="1159" spans="5:7">
      <c r="E1159" s="9"/>
      <c r="F1159" s="9"/>
      <c r="G1159" s="10"/>
    </row>
    <row r="1160" spans="5:7">
      <c r="E1160" s="9"/>
      <c r="F1160" s="9"/>
      <c r="G1160" s="10"/>
    </row>
    <row r="1161" spans="5:7">
      <c r="E1161" s="9"/>
      <c r="F1161" s="9"/>
      <c r="G1161" s="10"/>
    </row>
    <row r="1162" spans="5:7">
      <c r="E1162" s="9"/>
      <c r="F1162" s="9"/>
      <c r="G1162" s="10"/>
    </row>
    <row r="1163" spans="5:7">
      <c r="E1163" s="9"/>
      <c r="F1163" s="9"/>
      <c r="G1163" s="10"/>
    </row>
    <row r="1164" spans="5:7">
      <c r="E1164" s="9"/>
      <c r="F1164" s="9"/>
      <c r="G1164" s="10"/>
    </row>
    <row r="1165" spans="5:7">
      <c r="E1165" s="9"/>
      <c r="F1165" s="9"/>
      <c r="G1165" s="10"/>
    </row>
    <row r="1166" spans="5:7">
      <c r="E1166" s="9"/>
      <c r="F1166" s="9"/>
      <c r="G1166" s="10"/>
    </row>
    <row r="1167" spans="5:7">
      <c r="E1167" s="9"/>
      <c r="F1167" s="9"/>
      <c r="G1167" s="10"/>
    </row>
    <row r="1168" spans="5:7">
      <c r="E1168" s="9"/>
      <c r="F1168" s="9"/>
      <c r="G1168" s="10"/>
    </row>
    <row r="1169" spans="5:7">
      <c r="E1169" s="9"/>
      <c r="F1169" s="9"/>
      <c r="G1169" s="10"/>
    </row>
    <row r="1170" spans="5:7">
      <c r="E1170" s="9"/>
      <c r="F1170" s="9"/>
      <c r="G1170" s="10"/>
    </row>
    <row r="1171" spans="5:7">
      <c r="E1171" s="9"/>
      <c r="F1171" s="9"/>
      <c r="G1171" s="10"/>
    </row>
    <row r="1172" spans="5:7">
      <c r="E1172" s="9"/>
      <c r="F1172" s="9"/>
      <c r="G1172" s="10"/>
    </row>
    <row r="1173" spans="5:7">
      <c r="E1173" s="9"/>
      <c r="F1173" s="9"/>
      <c r="G1173" s="10"/>
    </row>
    <row r="1174" spans="5:7">
      <c r="E1174" s="9"/>
      <c r="F1174" s="9"/>
      <c r="G1174" s="10"/>
    </row>
    <row r="1175" spans="5:7">
      <c r="E1175" s="9"/>
      <c r="F1175" s="9"/>
      <c r="G1175" s="10"/>
    </row>
    <row r="1176" spans="5:7">
      <c r="E1176" s="9"/>
      <c r="F1176" s="9"/>
      <c r="G1176" s="10"/>
    </row>
    <row r="1177" spans="5:7">
      <c r="E1177" s="9"/>
      <c r="F1177" s="9"/>
      <c r="G1177" s="10"/>
    </row>
    <row r="1178" spans="5:7">
      <c r="E1178" s="9"/>
      <c r="F1178" s="9"/>
      <c r="G1178" s="10"/>
    </row>
    <row r="1179" spans="5:7">
      <c r="E1179" s="9"/>
      <c r="F1179" s="9"/>
      <c r="G1179" s="10"/>
    </row>
    <row r="1180" spans="5:7">
      <c r="E1180" s="9"/>
      <c r="F1180" s="9"/>
      <c r="G1180" s="10"/>
    </row>
    <row r="1181" spans="5:7">
      <c r="E1181" s="9"/>
      <c r="F1181" s="9"/>
      <c r="G1181" s="10"/>
    </row>
    <row r="1182" spans="5:7">
      <c r="E1182" s="9"/>
      <c r="F1182" s="9"/>
      <c r="G1182" s="10"/>
    </row>
    <row r="1183" spans="5:7">
      <c r="E1183" s="9"/>
      <c r="F1183" s="9"/>
      <c r="G1183" s="10"/>
    </row>
    <row r="1184" spans="5:7">
      <c r="E1184" s="9"/>
      <c r="F1184" s="9"/>
      <c r="G1184" s="10"/>
    </row>
    <row r="1185" spans="5:7">
      <c r="E1185" s="9"/>
      <c r="F1185" s="9"/>
      <c r="G1185" s="10"/>
    </row>
    <row r="1186" spans="5:7">
      <c r="E1186" s="9"/>
      <c r="F1186" s="9"/>
      <c r="G1186" s="10"/>
    </row>
    <row r="1187" spans="5:7">
      <c r="E1187" s="9"/>
      <c r="F1187" s="9"/>
      <c r="G1187" s="10"/>
    </row>
    <row r="1188" spans="5:7">
      <c r="E1188" s="9"/>
      <c r="F1188" s="9"/>
      <c r="G1188" s="10"/>
    </row>
    <row r="1189" spans="5:7">
      <c r="E1189" s="9"/>
      <c r="F1189" s="9"/>
      <c r="G1189" s="10"/>
    </row>
    <row r="1190" spans="5:7">
      <c r="E1190" s="9"/>
      <c r="F1190" s="9"/>
      <c r="G1190" s="10"/>
    </row>
    <row r="1191" spans="5:7">
      <c r="E1191" s="9"/>
      <c r="F1191" s="9"/>
      <c r="G1191" s="10"/>
    </row>
    <row r="1192" spans="5:7">
      <c r="E1192" s="9"/>
      <c r="F1192" s="9"/>
      <c r="G1192" s="10"/>
    </row>
    <row r="1193" spans="5:7">
      <c r="E1193" s="9"/>
      <c r="F1193" s="9"/>
      <c r="G1193" s="10"/>
    </row>
    <row r="1194" spans="5:7">
      <c r="E1194" s="9"/>
      <c r="F1194" s="9"/>
      <c r="G1194" s="10"/>
    </row>
    <row r="1195" spans="5:7">
      <c r="E1195" s="9"/>
      <c r="F1195" s="9"/>
      <c r="G1195" s="10"/>
    </row>
    <row r="1196" spans="5:7">
      <c r="E1196" s="9"/>
      <c r="F1196" s="9"/>
      <c r="G1196" s="10"/>
    </row>
    <row r="1197" spans="5:7">
      <c r="E1197" s="9"/>
      <c r="F1197" s="9"/>
      <c r="G1197" s="10"/>
    </row>
    <row r="1198" spans="5:7">
      <c r="E1198" s="9"/>
      <c r="F1198" s="9"/>
      <c r="G1198" s="10"/>
    </row>
    <row r="1199" spans="5:7">
      <c r="E1199" s="9"/>
      <c r="F1199" s="9"/>
      <c r="G1199" s="10"/>
    </row>
    <row r="1200" spans="5:7">
      <c r="E1200" s="9"/>
      <c r="F1200" s="9"/>
      <c r="G1200" s="10"/>
    </row>
    <row r="1201" spans="5:7">
      <c r="E1201" s="9"/>
      <c r="F1201" s="9"/>
      <c r="G1201" s="10"/>
    </row>
    <row r="1202" spans="5:7">
      <c r="E1202" s="9"/>
      <c r="F1202" s="9"/>
      <c r="G1202" s="10"/>
    </row>
    <row r="1203" spans="5:7">
      <c r="E1203" s="9"/>
      <c r="F1203" s="9"/>
      <c r="G1203" s="10"/>
    </row>
    <row r="1204" spans="5:7">
      <c r="E1204" s="9"/>
      <c r="F1204" s="9"/>
      <c r="G1204" s="10"/>
    </row>
    <row r="1205" spans="5:7">
      <c r="E1205" s="9"/>
      <c r="F1205" s="9"/>
      <c r="G1205" s="10"/>
    </row>
    <row r="1206" spans="5:7">
      <c r="E1206" s="9"/>
      <c r="F1206" s="9"/>
      <c r="G1206" s="10"/>
    </row>
    <row r="1207" spans="5:7">
      <c r="E1207" s="9"/>
      <c r="F1207" s="9"/>
      <c r="G1207" s="10"/>
    </row>
    <row r="1208" spans="5:7">
      <c r="E1208" s="9"/>
      <c r="F1208" s="9"/>
      <c r="G1208" s="10"/>
    </row>
    <row r="1209" spans="5:7">
      <c r="E1209" s="9"/>
      <c r="F1209" s="9"/>
      <c r="G1209" s="10"/>
    </row>
    <row r="1210" spans="5:7">
      <c r="E1210" s="9"/>
      <c r="F1210" s="9"/>
      <c r="G1210" s="10"/>
    </row>
    <row r="1211" spans="5:7">
      <c r="E1211" s="9"/>
      <c r="F1211" s="9"/>
      <c r="G1211" s="10"/>
    </row>
    <row r="1212" spans="5:7">
      <c r="E1212" s="9"/>
      <c r="F1212" s="9"/>
      <c r="G1212" s="10"/>
    </row>
    <row r="1213" spans="5:7">
      <c r="E1213" s="9"/>
      <c r="F1213" s="9"/>
      <c r="G1213" s="10"/>
    </row>
    <row r="1214" spans="5:7">
      <c r="E1214" s="9"/>
      <c r="F1214" s="9"/>
      <c r="G1214" s="10"/>
    </row>
    <row r="1215" spans="5:7">
      <c r="E1215" s="9"/>
      <c r="F1215" s="9"/>
      <c r="G1215" s="10"/>
    </row>
    <row r="1216" spans="5:7">
      <c r="E1216" s="9"/>
      <c r="F1216" s="9"/>
      <c r="G1216" s="10"/>
    </row>
    <row r="1217" spans="5:7">
      <c r="E1217" s="9"/>
      <c r="F1217" s="9"/>
      <c r="G1217" s="10"/>
    </row>
    <row r="1218" spans="5:7">
      <c r="E1218" s="9"/>
      <c r="F1218" s="9"/>
      <c r="G1218" s="10"/>
    </row>
    <row r="1219" spans="5:7">
      <c r="E1219" s="9"/>
      <c r="F1219" s="9"/>
      <c r="G1219" s="10"/>
    </row>
    <row r="1220" spans="5:7">
      <c r="E1220" s="9"/>
      <c r="F1220" s="9"/>
      <c r="G1220" s="10"/>
    </row>
    <row r="1221" spans="5:7">
      <c r="E1221" s="9"/>
      <c r="F1221" s="9"/>
      <c r="G1221" s="10"/>
    </row>
    <row r="1222" spans="5:7">
      <c r="E1222" s="9"/>
      <c r="F1222" s="9"/>
      <c r="G1222" s="10"/>
    </row>
    <row r="1223" spans="5:7">
      <c r="E1223" s="9"/>
      <c r="F1223" s="9"/>
      <c r="G1223" s="10"/>
    </row>
    <row r="1224" spans="5:7">
      <c r="E1224" s="9"/>
      <c r="F1224" s="9"/>
      <c r="G1224" s="10"/>
    </row>
    <row r="1225" spans="5:7">
      <c r="E1225" s="9"/>
      <c r="F1225" s="9"/>
      <c r="G1225" s="10"/>
    </row>
    <row r="1226" spans="5:7">
      <c r="E1226" s="9"/>
      <c r="F1226" s="9"/>
      <c r="G1226" s="10"/>
    </row>
    <row r="1227" spans="5:7">
      <c r="E1227" s="9"/>
      <c r="F1227" s="9"/>
      <c r="G1227" s="10"/>
    </row>
    <row r="1228" spans="5:7">
      <c r="E1228" s="9"/>
      <c r="F1228" s="9"/>
      <c r="G1228" s="10"/>
    </row>
    <row r="1229" spans="5:7">
      <c r="E1229" s="9"/>
      <c r="F1229" s="9"/>
      <c r="G1229" s="10"/>
    </row>
    <row r="1230" spans="5:7">
      <c r="E1230" s="9"/>
      <c r="F1230" s="9"/>
      <c r="G1230" s="10"/>
    </row>
    <row r="1231" spans="5:7">
      <c r="E1231" s="9"/>
      <c r="F1231" s="9"/>
      <c r="G1231" s="10"/>
    </row>
    <row r="1232" spans="5:7">
      <c r="E1232" s="9"/>
      <c r="F1232" s="9"/>
      <c r="G1232" s="10"/>
    </row>
    <row r="1233" spans="5:7">
      <c r="E1233" s="9"/>
      <c r="F1233" s="9"/>
      <c r="G1233" s="10"/>
    </row>
    <row r="1234" spans="5:7">
      <c r="E1234" s="9"/>
      <c r="F1234" s="9"/>
      <c r="G1234" s="10"/>
    </row>
    <row r="1235" spans="5:7">
      <c r="E1235" s="9"/>
      <c r="F1235" s="9"/>
      <c r="G1235" s="10"/>
    </row>
    <row r="1236" spans="5:7">
      <c r="E1236" s="9"/>
      <c r="F1236" s="9"/>
      <c r="G1236" s="10"/>
    </row>
    <row r="1237" spans="5:7">
      <c r="E1237" s="9"/>
      <c r="F1237" s="9"/>
      <c r="G1237" s="10"/>
    </row>
    <row r="1238" spans="5:7">
      <c r="E1238" s="9"/>
      <c r="F1238" s="9"/>
      <c r="G1238" s="10"/>
    </row>
    <row r="1239" spans="5:7">
      <c r="E1239" s="9"/>
      <c r="F1239" s="9"/>
      <c r="G1239" s="10"/>
    </row>
    <row r="1240" spans="5:7">
      <c r="E1240" s="9"/>
      <c r="F1240" s="9"/>
      <c r="G1240" s="10"/>
    </row>
    <row r="1241" spans="5:7">
      <c r="E1241" s="9"/>
      <c r="F1241" s="9"/>
      <c r="G1241" s="10"/>
    </row>
    <row r="1242" spans="5:7">
      <c r="E1242" s="9"/>
      <c r="F1242" s="9"/>
      <c r="G1242" s="10"/>
    </row>
    <row r="1243" spans="5:7">
      <c r="E1243" s="9"/>
      <c r="F1243" s="9"/>
      <c r="G1243" s="10"/>
    </row>
    <row r="1244" spans="5:7">
      <c r="E1244" s="9"/>
      <c r="F1244" s="9"/>
      <c r="G1244" s="10"/>
    </row>
    <row r="1245" spans="5:7">
      <c r="E1245" s="9"/>
      <c r="F1245" s="9"/>
      <c r="G1245" s="10"/>
    </row>
    <row r="1246" spans="5:7">
      <c r="E1246" s="9"/>
      <c r="F1246" s="9"/>
      <c r="G1246" s="10"/>
    </row>
    <row r="1247" spans="5:7">
      <c r="E1247" s="9"/>
      <c r="F1247" s="9"/>
      <c r="G1247" s="10"/>
    </row>
    <row r="1248" spans="5:7">
      <c r="E1248" s="9"/>
      <c r="F1248" s="9"/>
      <c r="G1248" s="10"/>
    </row>
    <row r="1249" spans="5:7">
      <c r="E1249" s="9"/>
      <c r="F1249" s="9"/>
      <c r="G1249" s="10"/>
    </row>
    <row r="1250" spans="5:7">
      <c r="E1250" s="9"/>
      <c r="F1250" s="9"/>
      <c r="G1250" s="10"/>
    </row>
    <row r="1251" spans="5:7">
      <c r="E1251" s="9"/>
      <c r="F1251" s="9"/>
      <c r="G1251" s="10"/>
    </row>
    <row r="1252" spans="5:7">
      <c r="E1252" s="9"/>
      <c r="F1252" s="9"/>
      <c r="G1252" s="10"/>
    </row>
    <row r="1253" spans="5:7">
      <c r="E1253" s="9"/>
      <c r="F1253" s="9"/>
      <c r="G1253" s="10"/>
    </row>
    <row r="1254" spans="5:7">
      <c r="E1254" s="9"/>
      <c r="F1254" s="9"/>
      <c r="G1254" s="10"/>
    </row>
    <row r="1255" spans="5:7">
      <c r="E1255" s="9"/>
      <c r="F1255" s="9"/>
      <c r="G1255" s="10"/>
    </row>
    <row r="1256" spans="5:7">
      <c r="E1256" s="9"/>
      <c r="F1256" s="9"/>
      <c r="G1256" s="10"/>
    </row>
    <row r="1257" spans="5:7">
      <c r="E1257" s="9"/>
      <c r="F1257" s="9"/>
      <c r="G1257" s="10"/>
    </row>
    <row r="1258" spans="5:7">
      <c r="E1258" s="9"/>
      <c r="F1258" s="9"/>
      <c r="G1258" s="10"/>
    </row>
    <row r="1259" spans="5:7">
      <c r="E1259" s="9"/>
      <c r="F1259" s="9"/>
      <c r="G1259" s="10"/>
    </row>
    <row r="1260" spans="5:7">
      <c r="E1260" s="9"/>
      <c r="F1260" s="9"/>
      <c r="G1260" s="10"/>
    </row>
    <row r="1261" spans="5:7">
      <c r="E1261" s="9"/>
      <c r="F1261" s="9"/>
      <c r="G1261" s="10"/>
    </row>
    <row r="1262" spans="5:7">
      <c r="E1262" s="9"/>
      <c r="F1262" s="9"/>
      <c r="G1262" s="10"/>
    </row>
    <row r="1263" spans="5:7">
      <c r="E1263" s="9"/>
      <c r="F1263" s="9"/>
      <c r="G1263" s="10"/>
    </row>
    <row r="1264" spans="5:7">
      <c r="E1264" s="9"/>
      <c r="F1264" s="9"/>
      <c r="G1264" s="10"/>
    </row>
    <row r="1265" spans="5:7">
      <c r="E1265" s="9"/>
      <c r="F1265" s="9"/>
      <c r="G1265" s="10"/>
    </row>
    <row r="1266" spans="5:7">
      <c r="E1266" s="9"/>
      <c r="F1266" s="9"/>
      <c r="G1266" s="10"/>
    </row>
    <row r="1267" spans="5:7">
      <c r="E1267" s="9"/>
      <c r="F1267" s="9"/>
      <c r="G1267" s="10"/>
    </row>
    <row r="1268" spans="5:7">
      <c r="E1268" s="9"/>
      <c r="F1268" s="9"/>
      <c r="G1268" s="10"/>
    </row>
    <row r="1269" spans="5:7">
      <c r="E1269" s="9"/>
      <c r="F1269" s="9"/>
      <c r="G1269" s="10"/>
    </row>
    <row r="1270" spans="5:7">
      <c r="E1270" s="9"/>
      <c r="F1270" s="9"/>
      <c r="G1270" s="10"/>
    </row>
    <row r="1271" spans="5:7">
      <c r="E1271" s="9"/>
      <c r="F1271" s="9"/>
      <c r="G1271" s="10"/>
    </row>
    <row r="1272" spans="5:7">
      <c r="E1272" s="9"/>
      <c r="F1272" s="9"/>
      <c r="G1272" s="10"/>
    </row>
    <row r="1273" spans="5:7">
      <c r="E1273" s="9"/>
      <c r="F1273" s="9"/>
      <c r="G1273" s="10"/>
    </row>
    <row r="1274" spans="5:7">
      <c r="E1274" s="9"/>
      <c r="F1274" s="9"/>
      <c r="G1274" s="10"/>
    </row>
    <row r="1275" spans="5:7">
      <c r="E1275" s="9"/>
      <c r="F1275" s="9"/>
      <c r="G1275" s="10"/>
    </row>
    <row r="1276" spans="5:7">
      <c r="E1276" s="9"/>
      <c r="F1276" s="9"/>
      <c r="G1276" s="10"/>
    </row>
    <row r="1277" spans="5:7">
      <c r="E1277" s="9"/>
      <c r="F1277" s="9"/>
      <c r="G1277" s="10"/>
    </row>
    <row r="1278" spans="5:7">
      <c r="E1278" s="9"/>
      <c r="F1278" s="9"/>
      <c r="G1278" s="10"/>
    </row>
    <row r="1279" spans="5:7">
      <c r="E1279" s="9"/>
      <c r="F1279" s="9"/>
      <c r="G1279" s="10"/>
    </row>
    <row r="1280" spans="5:7">
      <c r="E1280" s="9"/>
      <c r="F1280" s="9"/>
      <c r="G1280" s="10"/>
    </row>
    <row r="1281" spans="5:7">
      <c r="E1281" s="9"/>
      <c r="F1281" s="9"/>
      <c r="G1281" s="10"/>
    </row>
    <row r="1282" spans="5:7">
      <c r="E1282" s="9"/>
      <c r="F1282" s="9"/>
      <c r="G1282" s="10"/>
    </row>
    <row r="1283" spans="5:7">
      <c r="E1283" s="9"/>
      <c r="F1283" s="9"/>
      <c r="G1283" s="10"/>
    </row>
    <row r="1284" spans="5:7">
      <c r="E1284" s="9"/>
      <c r="F1284" s="9"/>
      <c r="G1284" s="10"/>
    </row>
    <row r="1285" spans="5:7">
      <c r="E1285" s="9"/>
      <c r="F1285" s="9"/>
      <c r="G1285" s="10"/>
    </row>
    <row r="1286" spans="5:7">
      <c r="E1286" s="9"/>
      <c r="F1286" s="9"/>
      <c r="G1286" s="10"/>
    </row>
    <row r="1287" spans="5:7">
      <c r="E1287" s="9"/>
      <c r="F1287" s="9"/>
      <c r="G1287" s="10"/>
    </row>
    <row r="1288" spans="5:7">
      <c r="E1288" s="9"/>
      <c r="F1288" s="9"/>
      <c r="G1288" s="10"/>
    </row>
    <row r="1289" spans="5:7">
      <c r="E1289" s="9"/>
      <c r="F1289" s="9"/>
      <c r="G1289" s="10"/>
    </row>
    <row r="1290" spans="5:7">
      <c r="E1290" s="9"/>
      <c r="F1290" s="9"/>
      <c r="G1290" s="10"/>
    </row>
    <row r="1291" spans="5:7">
      <c r="E1291" s="9"/>
      <c r="F1291" s="9"/>
      <c r="G1291" s="10"/>
    </row>
    <row r="1292" spans="5:7">
      <c r="E1292" s="9"/>
      <c r="F1292" s="9"/>
      <c r="G1292" s="10"/>
    </row>
    <row r="1293" spans="5:7">
      <c r="E1293" s="9"/>
      <c r="F1293" s="9"/>
      <c r="G1293" s="10"/>
    </row>
    <row r="1294" spans="5:7">
      <c r="E1294" s="9"/>
      <c r="F1294" s="9"/>
      <c r="G1294" s="10"/>
    </row>
    <row r="1295" spans="5:7">
      <c r="E1295" s="9"/>
      <c r="F1295" s="9"/>
      <c r="G1295" s="10"/>
    </row>
    <row r="1296" spans="5:7">
      <c r="E1296" s="9"/>
      <c r="F1296" s="9"/>
      <c r="G1296" s="10"/>
    </row>
    <row r="1297" spans="5:7">
      <c r="E1297" s="9"/>
      <c r="F1297" s="9"/>
      <c r="G1297" s="10"/>
    </row>
    <row r="1298" spans="5:7">
      <c r="E1298" s="9"/>
      <c r="F1298" s="9"/>
      <c r="G1298" s="10"/>
    </row>
    <row r="1299" spans="5:7">
      <c r="E1299" s="9"/>
      <c r="F1299" s="9"/>
      <c r="G1299" s="10"/>
    </row>
    <row r="1300" spans="5:7">
      <c r="E1300" s="9"/>
      <c r="F1300" s="9"/>
      <c r="G1300" s="10"/>
    </row>
    <row r="1301" spans="5:7">
      <c r="E1301" s="9"/>
      <c r="F1301" s="9"/>
      <c r="G1301" s="10"/>
    </row>
    <row r="1302" spans="5:7">
      <c r="E1302" s="9"/>
      <c r="F1302" s="9"/>
      <c r="G1302" s="10"/>
    </row>
    <row r="1303" spans="5:7">
      <c r="E1303" s="9"/>
      <c r="F1303" s="9"/>
      <c r="G1303" s="10"/>
    </row>
    <row r="1304" spans="5:7">
      <c r="E1304" s="9"/>
      <c r="F1304" s="9"/>
      <c r="G1304" s="10"/>
    </row>
    <row r="1305" spans="5:7">
      <c r="E1305" s="9"/>
      <c r="F1305" s="9"/>
      <c r="G1305" s="10"/>
    </row>
    <row r="1306" spans="5:7">
      <c r="E1306" s="9"/>
      <c r="F1306" s="9"/>
      <c r="G1306" s="10"/>
    </row>
    <row r="1307" spans="5:7">
      <c r="E1307" s="9"/>
      <c r="F1307" s="9"/>
      <c r="G1307" s="10"/>
    </row>
    <row r="1308" spans="5:7">
      <c r="E1308" s="9"/>
      <c r="F1308" s="9"/>
      <c r="G1308" s="10"/>
    </row>
    <row r="1309" spans="5:7">
      <c r="E1309" s="9"/>
      <c r="F1309" s="9"/>
      <c r="G1309" s="10"/>
    </row>
    <row r="1310" spans="5:7">
      <c r="E1310" s="9"/>
      <c r="F1310" s="9"/>
      <c r="G1310" s="10"/>
    </row>
    <row r="1311" spans="5:7">
      <c r="E1311" s="9"/>
      <c r="F1311" s="9"/>
      <c r="G1311" s="10"/>
    </row>
    <row r="1312" spans="5:7">
      <c r="E1312" s="9"/>
      <c r="F1312" s="9"/>
      <c r="G1312" s="10"/>
    </row>
    <row r="1313" spans="5:7">
      <c r="E1313" s="9"/>
      <c r="F1313" s="9"/>
      <c r="G1313" s="10"/>
    </row>
    <row r="1314" spans="5:7">
      <c r="E1314" s="9"/>
      <c r="F1314" s="9"/>
      <c r="G1314" s="10"/>
    </row>
    <row r="1315" spans="5:7">
      <c r="E1315" s="9"/>
      <c r="F1315" s="9"/>
      <c r="G1315" s="10"/>
    </row>
    <row r="1316" spans="5:7">
      <c r="E1316" s="9"/>
      <c r="F1316" s="9"/>
      <c r="G1316" s="10"/>
    </row>
    <row r="1317" spans="5:7">
      <c r="E1317" s="9"/>
      <c r="F1317" s="9"/>
      <c r="G1317" s="10"/>
    </row>
    <row r="1318" spans="5:7">
      <c r="E1318" s="9"/>
      <c r="F1318" s="9"/>
      <c r="G1318" s="10"/>
    </row>
    <row r="1319" spans="5:7">
      <c r="E1319" s="9"/>
      <c r="F1319" s="9"/>
      <c r="G1319" s="10"/>
    </row>
    <row r="1320" spans="5:7">
      <c r="E1320" s="9"/>
      <c r="F1320" s="9"/>
      <c r="G1320" s="10"/>
    </row>
    <row r="1321" spans="5:7">
      <c r="E1321" s="9"/>
      <c r="F1321" s="9"/>
      <c r="G1321" s="10"/>
    </row>
    <row r="1322" spans="5:7">
      <c r="E1322" s="9"/>
      <c r="F1322" s="9"/>
      <c r="G1322" s="10"/>
    </row>
    <row r="1323" spans="5:7">
      <c r="E1323" s="9"/>
      <c r="F1323" s="9"/>
      <c r="G1323" s="10"/>
    </row>
    <row r="1324" spans="5:7">
      <c r="E1324" s="9"/>
      <c r="F1324" s="9"/>
      <c r="G1324" s="10"/>
    </row>
    <row r="1325" spans="5:7">
      <c r="E1325" s="9"/>
      <c r="F1325" s="9"/>
      <c r="G1325" s="10"/>
    </row>
    <row r="1326" spans="5:7">
      <c r="E1326" s="9"/>
      <c r="F1326" s="9"/>
      <c r="G1326" s="10"/>
    </row>
    <row r="1327" spans="5:7">
      <c r="E1327" s="9"/>
      <c r="F1327" s="9"/>
      <c r="G1327" s="10"/>
    </row>
    <row r="1328" spans="5:7">
      <c r="E1328" s="9"/>
      <c r="F1328" s="9"/>
      <c r="G1328" s="10"/>
    </row>
    <row r="1329" spans="5:7">
      <c r="E1329" s="9"/>
      <c r="F1329" s="9"/>
      <c r="G1329" s="10"/>
    </row>
    <row r="1330" spans="5:7">
      <c r="E1330" s="9"/>
      <c r="F1330" s="9"/>
      <c r="G1330" s="10"/>
    </row>
    <row r="1331" spans="5:7">
      <c r="E1331" s="9"/>
      <c r="F1331" s="9"/>
      <c r="G1331" s="10"/>
    </row>
    <row r="1332" spans="5:7">
      <c r="E1332" s="9"/>
      <c r="F1332" s="9"/>
      <c r="G1332" s="10"/>
    </row>
    <row r="1333" spans="5:7">
      <c r="E1333" s="9"/>
      <c r="F1333" s="9"/>
      <c r="G1333" s="10"/>
    </row>
    <row r="1334" spans="5:7">
      <c r="E1334" s="9"/>
      <c r="F1334" s="9"/>
      <c r="G1334" s="10"/>
    </row>
    <row r="1335" spans="5:7">
      <c r="E1335" s="9"/>
      <c r="F1335" s="9"/>
      <c r="G1335" s="10"/>
    </row>
    <row r="1336" spans="5:7">
      <c r="E1336" s="9"/>
      <c r="F1336" s="9"/>
      <c r="G1336" s="10"/>
    </row>
    <row r="1337" spans="5:7">
      <c r="E1337" s="9"/>
      <c r="F1337" s="9"/>
      <c r="G1337" s="10"/>
    </row>
    <row r="1338" spans="5:7">
      <c r="E1338" s="9"/>
      <c r="F1338" s="9"/>
      <c r="G1338" s="10"/>
    </row>
    <row r="1339" spans="5:7">
      <c r="E1339" s="9"/>
      <c r="F1339" s="9"/>
      <c r="G1339" s="10"/>
    </row>
    <row r="1340" spans="5:7">
      <c r="E1340" s="9"/>
      <c r="F1340" s="9"/>
      <c r="G1340" s="10"/>
    </row>
    <row r="1341" spans="5:7">
      <c r="E1341" s="9"/>
      <c r="F1341" s="9"/>
      <c r="G1341" s="10"/>
    </row>
    <row r="1342" spans="5:7">
      <c r="E1342" s="9"/>
      <c r="F1342" s="9"/>
      <c r="G1342" s="10"/>
    </row>
    <row r="1343" spans="5:7">
      <c r="E1343" s="9"/>
      <c r="F1343" s="9"/>
      <c r="G1343" s="10"/>
    </row>
    <row r="1344" spans="5:7">
      <c r="E1344" s="9"/>
      <c r="F1344" s="9"/>
      <c r="G1344" s="10"/>
    </row>
    <row r="1345" spans="5:7">
      <c r="E1345" s="9"/>
      <c r="F1345" s="9"/>
      <c r="G1345" s="10"/>
    </row>
    <row r="1346" spans="5:7">
      <c r="E1346" s="9"/>
      <c r="F1346" s="9"/>
      <c r="G1346" s="10"/>
    </row>
    <row r="1347" spans="5:7">
      <c r="E1347" s="9"/>
      <c r="F1347" s="9"/>
      <c r="G1347" s="10"/>
    </row>
    <row r="1348" spans="5:7">
      <c r="E1348" s="9"/>
      <c r="F1348" s="9"/>
      <c r="G1348" s="10"/>
    </row>
    <row r="1349" spans="5:7">
      <c r="E1349" s="9"/>
      <c r="F1349" s="9"/>
      <c r="G1349" s="10"/>
    </row>
    <row r="1350" spans="5:7">
      <c r="E1350" s="9"/>
      <c r="F1350" s="9"/>
      <c r="G1350" s="10"/>
    </row>
    <row r="1351" spans="5:7">
      <c r="E1351" s="9"/>
      <c r="F1351" s="9"/>
      <c r="G1351" s="10"/>
    </row>
    <row r="1352" spans="5:7">
      <c r="E1352" s="9"/>
      <c r="F1352" s="9"/>
      <c r="G1352" s="10"/>
    </row>
    <row r="1353" spans="5:7">
      <c r="E1353" s="9"/>
      <c r="F1353" s="9"/>
      <c r="G1353" s="10"/>
    </row>
    <row r="1354" spans="5:7">
      <c r="E1354" s="9"/>
      <c r="F1354" s="9"/>
      <c r="G1354" s="10"/>
    </row>
    <row r="1355" spans="5:7">
      <c r="E1355" s="9"/>
      <c r="F1355" s="9"/>
      <c r="G1355" s="10"/>
    </row>
    <row r="1356" spans="5:7">
      <c r="E1356" s="9"/>
      <c r="F1356" s="9"/>
      <c r="G1356" s="10"/>
    </row>
    <row r="1357" spans="5:7">
      <c r="E1357" s="9"/>
      <c r="F1357" s="9"/>
      <c r="G1357" s="10"/>
    </row>
    <row r="1358" spans="5:7">
      <c r="E1358" s="9"/>
      <c r="F1358" s="9"/>
      <c r="G1358" s="10"/>
    </row>
    <row r="1359" spans="5:7">
      <c r="E1359" s="9"/>
      <c r="F1359" s="9"/>
      <c r="G1359" s="10"/>
    </row>
    <row r="1360" spans="5:7">
      <c r="E1360" s="9"/>
      <c r="F1360" s="9"/>
      <c r="G1360" s="10"/>
    </row>
    <row r="1361" spans="5:7">
      <c r="E1361" s="9"/>
      <c r="F1361" s="9"/>
      <c r="G1361" s="10"/>
    </row>
    <row r="1362" spans="5:7">
      <c r="E1362" s="9"/>
      <c r="F1362" s="9"/>
      <c r="G1362" s="10"/>
    </row>
    <row r="1363" spans="5:7">
      <c r="E1363" s="9"/>
      <c r="F1363" s="9"/>
      <c r="G1363" s="10"/>
    </row>
    <row r="1364" spans="5:7">
      <c r="E1364" s="9"/>
      <c r="F1364" s="9"/>
      <c r="G1364" s="10"/>
    </row>
    <row r="1365" spans="5:7">
      <c r="E1365" s="9"/>
      <c r="F1365" s="9"/>
      <c r="G1365" s="10"/>
    </row>
    <row r="1366" spans="5:7">
      <c r="E1366" s="9"/>
      <c r="F1366" s="9"/>
      <c r="G1366" s="10"/>
    </row>
    <row r="1367" spans="5:7">
      <c r="E1367" s="9"/>
      <c r="F1367" s="9"/>
      <c r="G1367" s="10"/>
    </row>
    <row r="1368" spans="5:7">
      <c r="E1368" s="9"/>
      <c r="F1368" s="9"/>
      <c r="G1368" s="10"/>
    </row>
    <row r="1369" spans="5:7">
      <c r="E1369" s="9"/>
      <c r="F1369" s="9"/>
      <c r="G1369" s="10"/>
    </row>
    <row r="1370" spans="5:7">
      <c r="E1370" s="9"/>
      <c r="F1370" s="9"/>
      <c r="G1370" s="10"/>
    </row>
    <row r="1371" spans="5:7">
      <c r="E1371" s="9"/>
      <c r="F1371" s="9"/>
      <c r="G1371" s="10"/>
    </row>
    <row r="1372" spans="5:7">
      <c r="E1372" s="9"/>
      <c r="F1372" s="9"/>
      <c r="G1372" s="10"/>
    </row>
    <row r="1373" spans="5:7">
      <c r="E1373" s="9"/>
      <c r="F1373" s="9"/>
      <c r="G1373" s="10"/>
    </row>
    <row r="1374" spans="5:7">
      <c r="E1374" s="9"/>
      <c r="F1374" s="9"/>
      <c r="G1374" s="10"/>
    </row>
    <row r="1375" spans="5:7">
      <c r="E1375" s="9"/>
      <c r="F1375" s="9"/>
      <c r="G1375" s="10"/>
    </row>
    <row r="1376" spans="5:7">
      <c r="E1376" s="9"/>
      <c r="F1376" s="9"/>
      <c r="G1376" s="10"/>
    </row>
    <row r="1377" spans="5:7">
      <c r="E1377" s="9"/>
      <c r="F1377" s="9"/>
      <c r="G1377" s="10"/>
    </row>
    <row r="1378" spans="5:7">
      <c r="E1378" s="9"/>
      <c r="F1378" s="9"/>
      <c r="G1378" s="10"/>
    </row>
    <row r="1379" spans="5:7">
      <c r="E1379" s="9"/>
      <c r="F1379" s="9"/>
      <c r="G1379" s="10"/>
    </row>
    <row r="1380" spans="5:7">
      <c r="E1380" s="9"/>
      <c r="F1380" s="9"/>
      <c r="G1380" s="10"/>
    </row>
    <row r="1381" spans="5:7">
      <c r="E1381" s="9"/>
      <c r="F1381" s="9"/>
      <c r="G1381" s="10"/>
    </row>
    <row r="1382" spans="5:7">
      <c r="E1382" s="9"/>
      <c r="F1382" s="9"/>
      <c r="G1382" s="10"/>
    </row>
    <row r="1383" spans="5:7">
      <c r="E1383" s="9"/>
      <c r="F1383" s="9"/>
      <c r="G1383" s="10"/>
    </row>
    <row r="1384" spans="5:7">
      <c r="E1384" s="9"/>
      <c r="F1384" s="9"/>
      <c r="G1384" s="10"/>
    </row>
    <row r="1385" spans="5:7">
      <c r="E1385" s="9"/>
      <c r="F1385" s="9"/>
      <c r="G1385" s="10"/>
    </row>
    <row r="1386" spans="5:7">
      <c r="E1386" s="9"/>
      <c r="F1386" s="9"/>
      <c r="G1386" s="10"/>
    </row>
    <row r="1387" spans="5:7">
      <c r="E1387" s="9"/>
      <c r="F1387" s="9"/>
      <c r="G1387" s="10"/>
    </row>
    <row r="1388" spans="5:7">
      <c r="E1388" s="9"/>
      <c r="F1388" s="9"/>
      <c r="G1388" s="10"/>
    </row>
    <row r="1389" spans="5:7">
      <c r="E1389" s="9"/>
      <c r="F1389" s="9"/>
      <c r="G1389" s="10"/>
    </row>
    <row r="1390" spans="5:7">
      <c r="E1390" s="9"/>
      <c r="F1390" s="9"/>
      <c r="G1390" s="10"/>
    </row>
    <row r="1391" spans="5:7">
      <c r="E1391" s="9"/>
      <c r="F1391" s="9"/>
      <c r="G1391" s="10"/>
    </row>
    <row r="1392" spans="5:7">
      <c r="E1392" s="9"/>
      <c r="F1392" s="9"/>
      <c r="G1392" s="10"/>
    </row>
    <row r="1393" spans="5:7">
      <c r="E1393" s="9"/>
      <c r="F1393" s="9"/>
      <c r="G1393" s="10"/>
    </row>
    <row r="1394" spans="5:7">
      <c r="E1394" s="9"/>
      <c r="F1394" s="9"/>
      <c r="G1394" s="10"/>
    </row>
    <row r="1395" spans="5:7">
      <c r="E1395" s="9"/>
      <c r="F1395" s="9"/>
      <c r="G1395" s="10"/>
    </row>
    <row r="1396" spans="5:7">
      <c r="E1396" s="9"/>
      <c r="F1396" s="9"/>
      <c r="G1396" s="10"/>
    </row>
    <row r="1397" spans="5:7">
      <c r="E1397" s="9"/>
      <c r="F1397" s="9"/>
      <c r="G1397" s="10"/>
    </row>
    <row r="1398" spans="5:7">
      <c r="E1398" s="9"/>
      <c r="F1398" s="9"/>
      <c r="G1398" s="10"/>
    </row>
    <row r="1399" spans="5:7">
      <c r="E1399" s="9"/>
      <c r="F1399" s="9"/>
      <c r="G1399" s="10"/>
    </row>
    <row r="1400" spans="5:7">
      <c r="E1400" s="9"/>
      <c r="F1400" s="9"/>
      <c r="G1400" s="10"/>
    </row>
    <row r="1401" spans="5:7">
      <c r="E1401" s="9"/>
      <c r="F1401" s="9"/>
      <c r="G1401" s="10"/>
    </row>
    <row r="1402" spans="5:7">
      <c r="E1402" s="9"/>
      <c r="F1402" s="9"/>
      <c r="G1402" s="10"/>
    </row>
    <row r="1403" spans="5:7">
      <c r="E1403" s="9"/>
      <c r="F1403" s="9"/>
      <c r="G1403" s="10"/>
    </row>
    <row r="1404" spans="5:7">
      <c r="E1404" s="9"/>
      <c r="F1404" s="9"/>
      <c r="G1404" s="10"/>
    </row>
    <row r="1405" spans="5:7">
      <c r="E1405" s="9"/>
      <c r="F1405" s="9"/>
      <c r="G1405" s="10"/>
    </row>
    <row r="1406" spans="5:7">
      <c r="E1406" s="9"/>
      <c r="F1406" s="9"/>
      <c r="G1406" s="10"/>
    </row>
    <row r="1407" spans="5:7">
      <c r="E1407" s="9"/>
      <c r="F1407" s="9"/>
      <c r="G1407" s="10"/>
    </row>
    <row r="1408" spans="5:7">
      <c r="E1408" s="9"/>
      <c r="F1408" s="9"/>
      <c r="G1408" s="10"/>
    </row>
    <row r="1409" spans="5:7">
      <c r="E1409" s="9"/>
      <c r="F1409" s="9"/>
      <c r="G1409" s="10"/>
    </row>
    <row r="1410" spans="5:7">
      <c r="E1410" s="9"/>
      <c r="F1410" s="9"/>
      <c r="G1410" s="10"/>
    </row>
    <row r="1411" spans="5:7">
      <c r="E1411" s="9"/>
      <c r="F1411" s="9"/>
      <c r="G1411" s="10"/>
    </row>
    <row r="1412" spans="5:7">
      <c r="E1412" s="9"/>
      <c r="F1412" s="9"/>
      <c r="G1412" s="10"/>
    </row>
    <row r="1413" spans="5:7">
      <c r="E1413" s="9"/>
      <c r="F1413" s="9"/>
      <c r="G1413" s="10"/>
    </row>
    <row r="1414" spans="5:7">
      <c r="E1414" s="9"/>
      <c r="F1414" s="9"/>
      <c r="G1414" s="10"/>
    </row>
    <row r="1415" spans="5:7">
      <c r="E1415" s="9"/>
      <c r="F1415" s="9"/>
      <c r="G1415" s="10"/>
    </row>
    <row r="1416" spans="5:7">
      <c r="E1416" s="9"/>
      <c r="F1416" s="9"/>
      <c r="G1416" s="10"/>
    </row>
    <row r="1417" spans="5:7">
      <c r="E1417" s="9"/>
      <c r="F1417" s="9"/>
      <c r="G1417" s="10"/>
    </row>
    <row r="1418" spans="5:7">
      <c r="E1418" s="9"/>
      <c r="F1418" s="9"/>
      <c r="G1418" s="10"/>
    </row>
    <row r="1419" spans="5:7">
      <c r="E1419" s="9"/>
      <c r="F1419" s="9"/>
      <c r="G1419" s="10"/>
    </row>
    <row r="1420" spans="5:7">
      <c r="E1420" s="9"/>
      <c r="F1420" s="9"/>
      <c r="G1420" s="10"/>
    </row>
    <row r="1421" spans="5:7">
      <c r="E1421" s="9"/>
      <c r="F1421" s="9"/>
      <c r="G1421" s="10"/>
    </row>
    <row r="1422" spans="5:7">
      <c r="E1422" s="9"/>
      <c r="F1422" s="9"/>
      <c r="G1422" s="10"/>
    </row>
    <row r="1423" spans="5:7">
      <c r="E1423" s="9"/>
      <c r="F1423" s="9"/>
      <c r="G1423" s="10"/>
    </row>
    <row r="1424" spans="5:7">
      <c r="E1424" s="9"/>
      <c r="F1424" s="9"/>
      <c r="G1424" s="10"/>
    </row>
    <row r="1425" spans="5:7">
      <c r="E1425" s="9"/>
      <c r="F1425" s="9"/>
      <c r="G1425" s="10"/>
    </row>
    <row r="1426" spans="5:7">
      <c r="E1426" s="9"/>
      <c r="F1426" s="9"/>
      <c r="G1426" s="10"/>
    </row>
    <row r="1427" spans="5:7">
      <c r="E1427" s="9"/>
      <c r="F1427" s="9"/>
      <c r="G1427" s="10"/>
    </row>
    <row r="1428" spans="5:7">
      <c r="E1428" s="9"/>
      <c r="F1428" s="9"/>
      <c r="G1428" s="10"/>
    </row>
    <row r="1429" spans="5:7">
      <c r="E1429" s="9"/>
      <c r="F1429" s="9"/>
      <c r="G1429" s="10"/>
    </row>
    <row r="1430" spans="5:7">
      <c r="E1430" s="9"/>
      <c r="F1430" s="9"/>
      <c r="G1430" s="10"/>
    </row>
    <row r="1431" spans="5:7">
      <c r="E1431" s="9"/>
      <c r="F1431" s="9"/>
      <c r="G1431" s="10"/>
    </row>
    <row r="1432" spans="5:7">
      <c r="E1432" s="9"/>
      <c r="F1432" s="9"/>
      <c r="G1432" s="10"/>
    </row>
    <row r="1433" spans="5:7">
      <c r="E1433" s="9"/>
      <c r="F1433" s="9"/>
      <c r="G1433" s="10"/>
    </row>
    <row r="1434" spans="5:7">
      <c r="E1434" s="9"/>
      <c r="F1434" s="9"/>
      <c r="G1434" s="10"/>
    </row>
    <row r="1435" spans="5:7">
      <c r="E1435" s="9"/>
      <c r="F1435" s="9"/>
      <c r="G1435" s="10"/>
    </row>
    <row r="1436" spans="5:7">
      <c r="E1436" s="9"/>
      <c r="F1436" s="9"/>
      <c r="G1436" s="10"/>
    </row>
    <row r="1437" spans="5:7">
      <c r="E1437" s="9"/>
      <c r="F1437" s="9"/>
      <c r="G1437" s="10"/>
    </row>
    <row r="1438" spans="5:7">
      <c r="E1438" s="9"/>
      <c r="F1438" s="9"/>
      <c r="G1438" s="10"/>
    </row>
    <row r="1439" spans="5:7">
      <c r="E1439" s="9"/>
      <c r="F1439" s="9"/>
      <c r="G1439" s="10"/>
    </row>
    <row r="1440" spans="5:7">
      <c r="E1440" s="9"/>
      <c r="F1440" s="9"/>
      <c r="G1440" s="10"/>
    </row>
    <row r="1441" spans="5:7">
      <c r="E1441" s="9"/>
      <c r="F1441" s="9"/>
      <c r="G1441" s="10"/>
    </row>
    <row r="1442" spans="5:7">
      <c r="E1442" s="9"/>
      <c r="F1442" s="9"/>
      <c r="G1442" s="10"/>
    </row>
    <row r="1443" spans="5:7">
      <c r="E1443" s="9"/>
      <c r="F1443" s="9"/>
      <c r="G1443" s="10"/>
    </row>
    <row r="1444" spans="5:7">
      <c r="E1444" s="9"/>
      <c r="F1444" s="9"/>
      <c r="G1444" s="10"/>
    </row>
    <row r="1445" spans="5:7">
      <c r="E1445" s="9"/>
      <c r="F1445" s="9"/>
      <c r="G1445" s="10"/>
    </row>
    <row r="1446" spans="5:7">
      <c r="E1446" s="9"/>
      <c r="F1446" s="9"/>
      <c r="G1446" s="10"/>
    </row>
    <row r="1447" spans="5:7">
      <c r="E1447" s="9"/>
      <c r="F1447" s="9"/>
      <c r="G1447" s="10"/>
    </row>
    <row r="1448" spans="5:7">
      <c r="E1448" s="9"/>
      <c r="F1448" s="9"/>
      <c r="G1448" s="10"/>
    </row>
    <row r="1449" spans="5:7">
      <c r="E1449" s="9"/>
      <c r="F1449" s="9"/>
      <c r="G1449" s="10"/>
    </row>
    <row r="1450" spans="5:7">
      <c r="E1450" s="9"/>
      <c r="F1450" s="9"/>
      <c r="G1450" s="10"/>
    </row>
    <row r="1451" spans="5:7">
      <c r="E1451" s="9"/>
      <c r="F1451" s="9"/>
      <c r="G1451" s="10"/>
    </row>
    <row r="1452" spans="5:7">
      <c r="E1452" s="9"/>
      <c r="F1452" s="9"/>
      <c r="G1452" s="10"/>
    </row>
    <row r="1453" spans="5:7">
      <c r="E1453" s="9"/>
      <c r="F1453" s="9"/>
      <c r="G1453" s="10"/>
    </row>
    <row r="1454" spans="5:7">
      <c r="E1454" s="9"/>
      <c r="F1454" s="9"/>
      <c r="G1454" s="10"/>
    </row>
    <row r="1455" spans="5:7">
      <c r="E1455" s="9"/>
      <c r="F1455" s="9"/>
      <c r="G1455" s="10"/>
    </row>
    <row r="1456" spans="5:7">
      <c r="E1456" s="9"/>
      <c r="F1456" s="9"/>
      <c r="G1456" s="10"/>
    </row>
    <row r="1457" spans="5:7">
      <c r="E1457" s="9"/>
      <c r="F1457" s="9"/>
      <c r="G1457" s="10"/>
    </row>
    <row r="1458" spans="5:7">
      <c r="E1458" s="9"/>
      <c r="F1458" s="9"/>
      <c r="G1458" s="10"/>
    </row>
    <row r="1459" spans="5:7">
      <c r="E1459" s="9"/>
      <c r="F1459" s="9"/>
      <c r="G1459" s="10"/>
    </row>
    <row r="1460" spans="5:7">
      <c r="E1460" s="9"/>
      <c r="F1460" s="9"/>
      <c r="G1460" s="10"/>
    </row>
    <row r="1461" spans="5:7">
      <c r="E1461" s="9"/>
      <c r="F1461" s="9"/>
      <c r="G1461" s="10"/>
    </row>
    <row r="1462" spans="5:7">
      <c r="E1462" s="9"/>
      <c r="F1462" s="9"/>
      <c r="G1462" s="10"/>
    </row>
    <row r="1463" spans="5:7">
      <c r="E1463" s="9"/>
      <c r="F1463" s="9"/>
      <c r="G1463" s="10"/>
    </row>
    <row r="1464" spans="5:7">
      <c r="E1464" s="9"/>
      <c r="F1464" s="9"/>
      <c r="G1464" s="10"/>
    </row>
    <row r="1465" spans="5:7">
      <c r="E1465" s="9"/>
      <c r="F1465" s="9"/>
      <c r="G1465" s="10"/>
    </row>
    <row r="1466" spans="5:7">
      <c r="E1466" s="9"/>
      <c r="F1466" s="9"/>
      <c r="G1466" s="10"/>
    </row>
    <row r="1467" spans="5:7">
      <c r="E1467" s="9"/>
      <c r="F1467" s="9"/>
      <c r="G1467" s="10"/>
    </row>
    <row r="1468" spans="5:7">
      <c r="E1468" s="9"/>
      <c r="F1468" s="9"/>
      <c r="G1468" s="10"/>
    </row>
    <row r="1469" spans="5:7">
      <c r="E1469" s="9"/>
      <c r="F1469" s="9"/>
      <c r="G1469" s="10"/>
    </row>
    <row r="1470" spans="5:7">
      <c r="E1470" s="9"/>
      <c r="F1470" s="9"/>
      <c r="G1470" s="10"/>
    </row>
    <row r="1471" spans="5:7">
      <c r="E1471" s="9"/>
      <c r="F1471" s="9"/>
      <c r="G1471" s="10"/>
    </row>
    <row r="1472" spans="5:7">
      <c r="E1472" s="9"/>
      <c r="F1472" s="9"/>
      <c r="G1472" s="10"/>
    </row>
    <row r="1473" spans="5:7">
      <c r="E1473" s="9"/>
      <c r="F1473" s="9"/>
      <c r="G1473" s="10"/>
    </row>
    <row r="1474" spans="5:7">
      <c r="E1474" s="9"/>
      <c r="F1474" s="9"/>
      <c r="G1474" s="10"/>
    </row>
    <row r="1475" spans="5:7">
      <c r="E1475" s="9"/>
      <c r="F1475" s="9"/>
      <c r="G1475" s="10"/>
    </row>
    <row r="1476" spans="5:7">
      <c r="E1476" s="9"/>
      <c r="F1476" s="9"/>
      <c r="G1476" s="10"/>
    </row>
    <row r="1477" spans="5:7">
      <c r="E1477" s="9"/>
      <c r="F1477" s="9"/>
      <c r="G1477" s="10"/>
    </row>
    <row r="1478" spans="5:7">
      <c r="E1478" s="9"/>
      <c r="F1478" s="9"/>
      <c r="G1478" s="10"/>
    </row>
    <row r="1479" spans="5:7">
      <c r="E1479" s="9"/>
      <c r="F1479" s="9"/>
      <c r="G1479" s="10"/>
    </row>
    <row r="1480" spans="5:7">
      <c r="E1480" s="9"/>
      <c r="F1480" s="9"/>
      <c r="G1480" s="10"/>
    </row>
    <row r="1481" spans="5:7">
      <c r="E1481" s="9"/>
      <c r="F1481" s="9"/>
      <c r="G1481" s="10"/>
    </row>
    <row r="1482" spans="5:7">
      <c r="E1482" s="9"/>
      <c r="F1482" s="9"/>
      <c r="G1482" s="10"/>
    </row>
    <row r="1483" spans="5:7">
      <c r="E1483" s="9"/>
      <c r="F1483" s="9"/>
      <c r="G1483" s="10"/>
    </row>
    <row r="1484" spans="5:7">
      <c r="E1484" s="9"/>
      <c r="F1484" s="9"/>
      <c r="G1484" s="10"/>
    </row>
    <row r="1485" spans="5:7">
      <c r="E1485" s="9"/>
      <c r="F1485" s="9"/>
      <c r="G1485" s="10"/>
    </row>
    <row r="1486" spans="5:7">
      <c r="E1486" s="9"/>
      <c r="F1486" s="9"/>
      <c r="G1486" s="10"/>
    </row>
    <row r="1487" spans="5:7">
      <c r="E1487" s="9"/>
      <c r="F1487" s="9"/>
      <c r="G1487" s="10"/>
    </row>
    <row r="1488" spans="5:7">
      <c r="E1488" s="9"/>
      <c r="F1488" s="9"/>
      <c r="G1488" s="10"/>
    </row>
    <row r="1489" spans="5:7">
      <c r="E1489" s="9"/>
      <c r="F1489" s="9"/>
      <c r="G1489" s="10"/>
    </row>
    <row r="1490" spans="5:7">
      <c r="E1490" s="9"/>
      <c r="F1490" s="9"/>
      <c r="G1490" s="10"/>
    </row>
    <row r="1491" spans="5:7">
      <c r="E1491" s="9"/>
      <c r="F1491" s="9"/>
      <c r="G1491" s="10"/>
    </row>
    <row r="1492" spans="5:7">
      <c r="E1492" s="9"/>
      <c r="F1492" s="9"/>
      <c r="G1492" s="10"/>
    </row>
    <row r="1493" spans="5:7">
      <c r="E1493" s="9"/>
      <c r="F1493" s="9"/>
      <c r="G1493" s="10"/>
    </row>
    <row r="1494" spans="5:7">
      <c r="E1494" s="9"/>
      <c r="F1494" s="9"/>
      <c r="G1494" s="10"/>
    </row>
    <row r="1495" spans="5:7">
      <c r="E1495" s="9"/>
      <c r="F1495" s="9"/>
      <c r="G1495" s="10"/>
    </row>
    <row r="1496" spans="5:7">
      <c r="E1496" s="9"/>
      <c r="F1496" s="9"/>
      <c r="G1496" s="10"/>
    </row>
    <row r="1497" spans="5:7">
      <c r="E1497" s="9"/>
      <c r="F1497" s="9"/>
      <c r="G1497" s="10"/>
    </row>
    <row r="1498" spans="5:7">
      <c r="E1498" s="9"/>
      <c r="F1498" s="9"/>
      <c r="G1498" s="10"/>
    </row>
    <row r="1499" spans="5:7">
      <c r="E1499" s="9"/>
      <c r="F1499" s="9"/>
      <c r="G1499" s="10"/>
    </row>
    <row r="1500" spans="5:7">
      <c r="E1500" s="9"/>
      <c r="F1500" s="9"/>
      <c r="G1500" s="10"/>
    </row>
    <row r="1501" spans="5:7">
      <c r="E1501" s="9"/>
      <c r="F1501" s="9"/>
      <c r="G1501" s="10"/>
    </row>
    <row r="1502" spans="5:7">
      <c r="E1502" s="9"/>
      <c r="F1502" s="9"/>
      <c r="G1502" s="10"/>
    </row>
    <row r="1503" spans="5:7">
      <c r="E1503" s="9"/>
      <c r="F1503" s="9"/>
      <c r="G1503" s="10"/>
    </row>
    <row r="1504" spans="5:7">
      <c r="E1504" s="9"/>
      <c r="F1504" s="9"/>
      <c r="G1504" s="10"/>
    </row>
    <row r="1505" spans="5:7">
      <c r="E1505" s="9"/>
      <c r="F1505" s="9"/>
      <c r="G1505" s="10"/>
    </row>
    <row r="1506" spans="5:7">
      <c r="E1506" s="9"/>
      <c r="F1506" s="9"/>
      <c r="G1506" s="10"/>
    </row>
    <row r="1507" spans="5:7">
      <c r="E1507" s="9"/>
      <c r="F1507" s="9"/>
      <c r="G1507" s="10"/>
    </row>
    <row r="1508" spans="5:7">
      <c r="E1508" s="9"/>
      <c r="F1508" s="9"/>
      <c r="G1508" s="10"/>
    </row>
    <row r="1509" spans="5:7">
      <c r="E1509" s="9"/>
      <c r="F1509" s="9"/>
      <c r="G1509" s="10"/>
    </row>
    <row r="1510" spans="5:7">
      <c r="E1510" s="9"/>
      <c r="F1510" s="9"/>
      <c r="G1510" s="10"/>
    </row>
    <row r="1511" spans="5:7">
      <c r="E1511" s="9"/>
      <c r="F1511" s="9"/>
      <c r="G1511" s="10"/>
    </row>
    <row r="1512" spans="5:7">
      <c r="E1512" s="9"/>
      <c r="F1512" s="9"/>
      <c r="G1512" s="10"/>
    </row>
    <row r="1513" spans="5:7">
      <c r="E1513" s="9"/>
      <c r="F1513" s="9"/>
      <c r="G1513" s="10"/>
    </row>
    <row r="1514" spans="5:7">
      <c r="E1514" s="9"/>
      <c r="F1514" s="9"/>
      <c r="G1514" s="10"/>
    </row>
    <row r="1515" spans="5:7">
      <c r="E1515" s="9"/>
      <c r="F1515" s="9"/>
      <c r="G1515" s="10"/>
    </row>
    <row r="1516" spans="5:7">
      <c r="E1516" s="9"/>
      <c r="F1516" s="9"/>
      <c r="G1516" s="10"/>
    </row>
    <row r="1517" spans="5:7">
      <c r="E1517" s="9"/>
      <c r="F1517" s="9"/>
      <c r="G1517" s="10"/>
    </row>
    <row r="1518" spans="5:7">
      <c r="E1518" s="9"/>
      <c r="F1518" s="9"/>
      <c r="G1518" s="10"/>
    </row>
    <row r="1519" spans="5:7">
      <c r="E1519" s="9"/>
      <c r="F1519" s="9"/>
      <c r="G1519" s="10"/>
    </row>
    <row r="1520" spans="5:7">
      <c r="E1520" s="9"/>
      <c r="F1520" s="9"/>
      <c r="G1520" s="10"/>
    </row>
    <row r="1521" spans="5:7">
      <c r="E1521" s="9"/>
      <c r="F1521" s="9"/>
      <c r="G1521" s="10"/>
    </row>
    <row r="1522" spans="5:7">
      <c r="E1522" s="9"/>
      <c r="F1522" s="9"/>
      <c r="G1522" s="10"/>
    </row>
    <row r="1523" spans="5:7">
      <c r="E1523" s="9"/>
      <c r="F1523" s="9"/>
      <c r="G1523" s="10"/>
    </row>
    <row r="1524" spans="5:7">
      <c r="E1524" s="9"/>
      <c r="F1524" s="9"/>
      <c r="G1524" s="10"/>
    </row>
    <row r="1525" spans="5:7">
      <c r="E1525" s="9"/>
      <c r="F1525" s="9"/>
      <c r="G1525" s="10"/>
    </row>
    <row r="1526" spans="5:7">
      <c r="E1526" s="9"/>
      <c r="F1526" s="9"/>
      <c r="G1526" s="10"/>
    </row>
    <row r="1527" spans="5:7">
      <c r="E1527" s="9"/>
      <c r="F1527" s="9"/>
      <c r="G1527" s="10"/>
    </row>
    <row r="1528" spans="5:7">
      <c r="E1528" s="9"/>
      <c r="F1528" s="9"/>
      <c r="G1528" s="10"/>
    </row>
    <row r="1529" spans="5:7">
      <c r="E1529" s="9"/>
      <c r="F1529" s="9"/>
      <c r="G1529" s="10"/>
    </row>
    <row r="1530" spans="5:7">
      <c r="E1530" s="9"/>
      <c r="F1530" s="9"/>
      <c r="G1530" s="10"/>
    </row>
    <row r="1531" spans="5:7">
      <c r="E1531" s="9"/>
      <c r="F1531" s="9"/>
      <c r="G1531" s="10"/>
    </row>
    <row r="1532" spans="5:7">
      <c r="E1532" s="9"/>
      <c r="F1532" s="9"/>
      <c r="G1532" s="10"/>
    </row>
    <row r="1533" spans="5:7">
      <c r="E1533" s="9"/>
      <c r="F1533" s="9"/>
      <c r="G1533" s="10"/>
    </row>
    <row r="1534" spans="5:7">
      <c r="E1534" s="9"/>
      <c r="F1534" s="9"/>
      <c r="G1534" s="10"/>
    </row>
    <row r="1535" spans="5:7">
      <c r="E1535" s="9"/>
      <c r="F1535" s="9"/>
      <c r="G1535" s="10"/>
    </row>
    <row r="1536" spans="5:7">
      <c r="E1536" s="9"/>
      <c r="F1536" s="9"/>
      <c r="G1536" s="10"/>
    </row>
    <row r="1537" spans="5:7">
      <c r="E1537" s="9"/>
      <c r="F1537" s="9"/>
      <c r="G1537" s="10"/>
    </row>
    <row r="1538" spans="5:7">
      <c r="E1538" s="9"/>
      <c r="F1538" s="9"/>
      <c r="G1538" s="10"/>
    </row>
    <row r="1539" spans="5:7">
      <c r="E1539" s="9"/>
      <c r="F1539" s="9"/>
      <c r="G1539" s="10"/>
    </row>
    <row r="1540" spans="5:7">
      <c r="E1540" s="9"/>
      <c r="F1540" s="9"/>
      <c r="G1540" s="10"/>
    </row>
    <row r="1541" spans="5:7">
      <c r="E1541" s="9"/>
      <c r="F1541" s="9"/>
      <c r="G1541" s="10"/>
    </row>
    <row r="1542" spans="5:7">
      <c r="E1542" s="9"/>
      <c r="F1542" s="9"/>
      <c r="G1542" s="10"/>
    </row>
    <row r="1543" spans="5:7">
      <c r="E1543" s="9"/>
      <c r="F1543" s="9"/>
      <c r="G1543" s="10"/>
    </row>
    <row r="1544" spans="5:7">
      <c r="E1544" s="9"/>
      <c r="F1544" s="9"/>
      <c r="G1544" s="10"/>
    </row>
    <row r="1545" spans="5:7">
      <c r="E1545" s="9"/>
      <c r="F1545" s="9"/>
      <c r="G1545" s="10"/>
    </row>
    <row r="1546" spans="5:7">
      <c r="E1546" s="9"/>
      <c r="F1546" s="9"/>
      <c r="G1546" s="10"/>
    </row>
    <row r="1547" spans="5:7">
      <c r="E1547" s="9"/>
      <c r="F1547" s="9"/>
      <c r="G1547" s="10"/>
    </row>
    <row r="1548" spans="5:7">
      <c r="E1548" s="9"/>
      <c r="F1548" s="9"/>
      <c r="G1548" s="10"/>
    </row>
    <row r="1549" spans="5:7">
      <c r="E1549" s="9"/>
      <c r="F1549" s="9"/>
      <c r="G1549" s="10"/>
    </row>
    <row r="1550" spans="5:7">
      <c r="E1550" s="9"/>
      <c r="F1550" s="9"/>
      <c r="G1550" s="10"/>
    </row>
    <row r="1551" spans="5:7">
      <c r="E1551" s="9"/>
      <c r="F1551" s="9"/>
      <c r="G1551" s="10"/>
    </row>
    <row r="1552" spans="5:7">
      <c r="E1552" s="9"/>
      <c r="F1552" s="9"/>
      <c r="G1552" s="10"/>
    </row>
    <row r="1553" spans="5:7">
      <c r="E1553" s="9"/>
      <c r="F1553" s="9"/>
      <c r="G1553" s="10"/>
    </row>
    <row r="1554" spans="5:7">
      <c r="E1554" s="9"/>
      <c r="F1554" s="9"/>
      <c r="G1554" s="10"/>
    </row>
    <row r="1555" spans="5:7">
      <c r="E1555" s="9"/>
      <c r="F1555" s="9"/>
      <c r="G1555" s="10"/>
    </row>
    <row r="1556" spans="5:7">
      <c r="E1556" s="9"/>
      <c r="F1556" s="9"/>
      <c r="G1556" s="10"/>
    </row>
    <row r="1557" spans="5:7">
      <c r="E1557" s="9"/>
      <c r="F1557" s="9"/>
      <c r="G1557" s="10"/>
    </row>
    <row r="1558" spans="5:7">
      <c r="E1558" s="9"/>
      <c r="F1558" s="9"/>
      <c r="G1558" s="10"/>
    </row>
    <row r="1559" spans="5:7">
      <c r="E1559" s="9"/>
      <c r="F1559" s="9"/>
      <c r="G1559" s="10"/>
    </row>
    <row r="1560" spans="5:7">
      <c r="E1560" s="9"/>
      <c r="F1560" s="9"/>
      <c r="G1560" s="10"/>
    </row>
    <row r="1561" spans="5:7">
      <c r="E1561" s="9"/>
      <c r="F1561" s="9"/>
      <c r="G1561" s="10"/>
    </row>
    <row r="1562" spans="5:7">
      <c r="E1562" s="9"/>
      <c r="F1562" s="9"/>
      <c r="G1562" s="10"/>
    </row>
    <row r="1563" spans="5:7">
      <c r="E1563" s="9"/>
      <c r="F1563" s="9"/>
      <c r="G1563" s="10"/>
    </row>
    <row r="1564" spans="5:7">
      <c r="E1564" s="9"/>
      <c r="F1564" s="9"/>
      <c r="G1564" s="10"/>
    </row>
    <row r="1565" spans="5:7">
      <c r="E1565" s="9"/>
      <c r="F1565" s="9"/>
      <c r="G1565" s="10"/>
    </row>
    <row r="1566" spans="5:7">
      <c r="E1566" s="9"/>
      <c r="F1566" s="9"/>
      <c r="G1566" s="10"/>
    </row>
    <row r="1567" spans="5:7">
      <c r="E1567" s="9"/>
      <c r="F1567" s="9"/>
      <c r="G1567" s="10"/>
    </row>
    <row r="1568" spans="5:7">
      <c r="E1568" s="9"/>
      <c r="F1568" s="9"/>
      <c r="G1568" s="10"/>
    </row>
    <row r="1569" spans="5:7">
      <c r="E1569" s="9"/>
      <c r="F1569" s="9"/>
      <c r="G1569" s="10"/>
    </row>
    <row r="1570" spans="5:7">
      <c r="E1570" s="9"/>
      <c r="F1570" s="9"/>
      <c r="G1570" s="10"/>
    </row>
    <row r="1571" spans="5:7">
      <c r="E1571" s="9"/>
      <c r="F1571" s="9"/>
      <c r="G1571" s="10"/>
    </row>
    <row r="1572" spans="5:7">
      <c r="E1572" s="9"/>
      <c r="F1572" s="9"/>
      <c r="G1572" s="10"/>
    </row>
    <row r="1573" spans="5:7">
      <c r="E1573" s="9"/>
      <c r="F1573" s="9"/>
      <c r="G1573" s="10"/>
    </row>
    <row r="1574" spans="5:7">
      <c r="E1574" s="9"/>
      <c r="F1574" s="9"/>
      <c r="G1574" s="10"/>
    </row>
    <row r="1575" spans="5:7">
      <c r="E1575" s="9"/>
      <c r="F1575" s="9"/>
      <c r="G1575" s="10"/>
    </row>
    <row r="1576" spans="5:7">
      <c r="E1576" s="9"/>
      <c r="F1576" s="9"/>
      <c r="G1576" s="10"/>
    </row>
    <row r="1577" spans="5:7">
      <c r="E1577" s="9"/>
      <c r="F1577" s="9"/>
      <c r="G1577" s="10"/>
    </row>
    <row r="1578" spans="5:7">
      <c r="E1578" s="9"/>
      <c r="F1578" s="9"/>
      <c r="G1578" s="10"/>
    </row>
    <row r="1579" spans="5:7">
      <c r="E1579" s="9"/>
      <c r="F1579" s="9"/>
      <c r="G1579" s="10"/>
    </row>
    <row r="1580" spans="5:7">
      <c r="E1580" s="9"/>
      <c r="F1580" s="9"/>
      <c r="G1580" s="10"/>
    </row>
    <row r="1581" spans="5:7">
      <c r="E1581" s="9"/>
      <c r="F1581" s="9"/>
      <c r="G1581" s="10"/>
    </row>
    <row r="1582" spans="5:7">
      <c r="E1582" s="9"/>
      <c r="F1582" s="9"/>
      <c r="G1582" s="10"/>
    </row>
    <row r="1583" spans="5:7">
      <c r="E1583" s="9"/>
      <c r="F1583" s="9"/>
      <c r="G1583" s="10"/>
    </row>
    <row r="1584" spans="5:7">
      <c r="E1584" s="9"/>
      <c r="F1584" s="9"/>
      <c r="G1584" s="10"/>
    </row>
    <row r="1585" spans="5:7">
      <c r="E1585" s="9"/>
      <c r="F1585" s="9"/>
      <c r="G1585" s="10"/>
    </row>
    <row r="1586" spans="5:7">
      <c r="E1586" s="9"/>
      <c r="F1586" s="9"/>
      <c r="G1586" s="10"/>
    </row>
    <row r="1587" spans="5:7">
      <c r="E1587" s="9"/>
      <c r="F1587" s="9"/>
      <c r="G1587" s="10"/>
    </row>
    <row r="1588" spans="5:7">
      <c r="E1588" s="9"/>
      <c r="F1588" s="9"/>
      <c r="G1588" s="10"/>
    </row>
    <row r="1589" spans="5:7">
      <c r="E1589" s="9"/>
      <c r="F1589" s="9"/>
      <c r="G1589" s="10"/>
    </row>
    <row r="1590" spans="5:7">
      <c r="E1590" s="9"/>
      <c r="F1590" s="9"/>
      <c r="G1590" s="10"/>
    </row>
    <row r="1591" spans="5:7">
      <c r="E1591" s="9"/>
      <c r="F1591" s="9"/>
      <c r="G1591" s="10"/>
    </row>
    <row r="1592" spans="5:7">
      <c r="E1592" s="9"/>
      <c r="F1592" s="9"/>
      <c r="G1592" s="10"/>
    </row>
    <row r="1593" spans="5:7">
      <c r="E1593" s="9"/>
      <c r="F1593" s="9"/>
      <c r="G1593" s="10"/>
    </row>
    <row r="1594" spans="5:7">
      <c r="E1594" s="9"/>
      <c r="F1594" s="9"/>
      <c r="G1594" s="10"/>
    </row>
    <row r="1595" spans="5:7">
      <c r="E1595" s="9"/>
      <c r="F1595" s="9"/>
      <c r="G1595" s="10"/>
    </row>
    <row r="1596" spans="5:7">
      <c r="E1596" s="9"/>
      <c r="F1596" s="9"/>
      <c r="G1596" s="10"/>
    </row>
    <row r="1597" spans="5:7">
      <c r="E1597" s="9"/>
      <c r="F1597" s="9"/>
      <c r="G1597" s="10"/>
    </row>
    <row r="1598" spans="5:7">
      <c r="E1598" s="9"/>
      <c r="F1598" s="9"/>
      <c r="G1598" s="10"/>
    </row>
    <row r="1599" spans="5:7">
      <c r="E1599" s="9"/>
      <c r="F1599" s="9"/>
      <c r="G1599" s="10"/>
    </row>
    <row r="1600" spans="5:7">
      <c r="E1600" s="9"/>
      <c r="F1600" s="9"/>
      <c r="G1600" s="10"/>
    </row>
    <row r="1601" spans="5:7">
      <c r="E1601" s="9"/>
      <c r="F1601" s="9"/>
      <c r="G1601" s="10"/>
    </row>
    <row r="1602" spans="5:7">
      <c r="E1602" s="9"/>
      <c r="F1602" s="9"/>
      <c r="G1602" s="10"/>
    </row>
    <row r="1603" spans="5:7">
      <c r="E1603" s="9"/>
      <c r="F1603" s="9"/>
      <c r="G1603" s="10"/>
    </row>
    <row r="1604" spans="5:7">
      <c r="E1604" s="9"/>
      <c r="F1604" s="9"/>
      <c r="G1604" s="10"/>
    </row>
    <row r="1605" spans="5:7">
      <c r="E1605" s="9"/>
      <c r="F1605" s="9"/>
      <c r="G1605" s="10"/>
    </row>
    <row r="1606" spans="5:7">
      <c r="E1606" s="9"/>
      <c r="F1606" s="9"/>
      <c r="G1606" s="10"/>
    </row>
    <row r="1607" spans="5:7">
      <c r="E1607" s="9"/>
      <c r="F1607" s="9"/>
      <c r="G1607" s="10"/>
    </row>
    <row r="1608" spans="5:7">
      <c r="E1608" s="9"/>
      <c r="F1608" s="9"/>
      <c r="G1608" s="10"/>
    </row>
    <row r="1609" spans="5:7">
      <c r="E1609" s="9"/>
      <c r="F1609" s="9"/>
      <c r="G1609" s="10"/>
    </row>
    <row r="1610" spans="5:7">
      <c r="E1610" s="9"/>
      <c r="F1610" s="9"/>
      <c r="G1610" s="10"/>
    </row>
    <row r="1611" spans="5:7">
      <c r="E1611" s="9"/>
      <c r="F1611" s="9"/>
      <c r="G1611" s="10"/>
    </row>
    <row r="1612" spans="5:7">
      <c r="E1612" s="9"/>
      <c r="F1612" s="9"/>
      <c r="G1612" s="10"/>
    </row>
    <row r="1613" spans="5:7">
      <c r="E1613" s="9"/>
      <c r="F1613" s="9"/>
      <c r="G1613" s="10"/>
    </row>
    <row r="1614" spans="5:7">
      <c r="E1614" s="9"/>
      <c r="F1614" s="9"/>
      <c r="G1614" s="10"/>
    </row>
    <row r="1615" spans="5:7">
      <c r="E1615" s="9"/>
      <c r="F1615" s="9"/>
      <c r="G1615" s="10"/>
    </row>
    <row r="1616" spans="5:7">
      <c r="E1616" s="9"/>
      <c r="F1616" s="9"/>
      <c r="G1616" s="10"/>
    </row>
    <row r="1617" spans="5:7">
      <c r="E1617" s="9"/>
      <c r="F1617" s="9"/>
      <c r="G1617" s="10"/>
    </row>
    <row r="1618" spans="5:7">
      <c r="E1618" s="9"/>
      <c r="F1618" s="9"/>
      <c r="G1618" s="10"/>
    </row>
    <row r="1619" spans="5:7">
      <c r="E1619" s="9"/>
      <c r="F1619" s="9"/>
      <c r="G1619" s="10"/>
    </row>
    <row r="1620" spans="5:7">
      <c r="E1620" s="9"/>
      <c r="F1620" s="9"/>
      <c r="G1620" s="10"/>
    </row>
    <row r="1621" spans="5:7">
      <c r="E1621" s="9"/>
      <c r="F1621" s="9"/>
      <c r="G1621" s="10"/>
    </row>
    <row r="1622" spans="5:7">
      <c r="E1622" s="9"/>
      <c r="F1622" s="9"/>
      <c r="G1622" s="10"/>
    </row>
    <row r="1623" spans="5:7">
      <c r="E1623" s="9"/>
      <c r="F1623" s="9"/>
      <c r="G1623" s="10"/>
    </row>
    <row r="1624" spans="5:7">
      <c r="E1624" s="9"/>
      <c r="F1624" s="9"/>
      <c r="G1624" s="10"/>
    </row>
    <row r="1625" spans="5:7">
      <c r="E1625" s="9"/>
      <c r="F1625" s="9"/>
      <c r="G1625" s="10"/>
    </row>
    <row r="1626" spans="5:7">
      <c r="E1626" s="9"/>
      <c r="F1626" s="9"/>
      <c r="G1626" s="10"/>
    </row>
    <row r="1627" spans="5:7">
      <c r="E1627" s="9"/>
      <c r="F1627" s="9"/>
      <c r="G1627" s="10"/>
    </row>
    <row r="1628" spans="5:7">
      <c r="E1628" s="9"/>
      <c r="F1628" s="9"/>
      <c r="G1628" s="10"/>
    </row>
    <row r="1629" spans="5:7">
      <c r="E1629" s="9"/>
      <c r="F1629" s="9"/>
      <c r="G1629" s="10"/>
    </row>
    <row r="1630" spans="5:7">
      <c r="E1630" s="9"/>
      <c r="F1630" s="9"/>
      <c r="G1630" s="10"/>
    </row>
    <row r="1631" spans="5:7">
      <c r="E1631" s="9"/>
      <c r="F1631" s="9"/>
      <c r="G1631" s="10"/>
    </row>
    <row r="1632" spans="5:7">
      <c r="E1632" s="9"/>
      <c r="F1632" s="9"/>
      <c r="G1632" s="10"/>
    </row>
    <row r="1633" spans="5:7">
      <c r="E1633" s="9"/>
      <c r="F1633" s="9"/>
      <c r="G1633" s="10"/>
    </row>
    <row r="1634" spans="5:7">
      <c r="E1634" s="9"/>
      <c r="F1634" s="9"/>
      <c r="G1634" s="10"/>
    </row>
    <row r="1635" spans="5:7">
      <c r="E1635" s="9"/>
      <c r="F1635" s="9"/>
      <c r="G1635" s="10"/>
    </row>
    <row r="1636" spans="5:7">
      <c r="E1636" s="9"/>
      <c r="F1636" s="9"/>
      <c r="G1636" s="10"/>
    </row>
    <row r="1637" spans="5:7">
      <c r="E1637" s="9"/>
      <c r="F1637" s="9"/>
      <c r="G1637" s="10"/>
    </row>
    <row r="1638" spans="5:7">
      <c r="E1638" s="9"/>
      <c r="F1638" s="9"/>
      <c r="G1638" s="10"/>
    </row>
    <row r="1639" spans="5:7">
      <c r="E1639" s="9"/>
      <c r="F1639" s="9"/>
      <c r="G1639" s="10"/>
    </row>
    <row r="1640" spans="5:7">
      <c r="E1640" s="9"/>
      <c r="F1640" s="9"/>
      <c r="G1640" s="10"/>
    </row>
    <row r="1641" spans="5:7">
      <c r="E1641" s="9"/>
      <c r="F1641" s="9"/>
      <c r="G1641" s="10"/>
    </row>
    <row r="1642" spans="5:7">
      <c r="E1642" s="9"/>
      <c r="F1642" s="9"/>
      <c r="G1642" s="10"/>
    </row>
    <row r="1643" spans="5:7">
      <c r="E1643" s="9"/>
      <c r="F1643" s="9"/>
      <c r="G1643" s="10"/>
    </row>
    <row r="1644" spans="5:7">
      <c r="E1644" s="9"/>
      <c r="F1644" s="9"/>
      <c r="G1644" s="10"/>
    </row>
    <row r="1645" spans="5:7">
      <c r="E1645" s="9"/>
      <c r="F1645" s="9"/>
      <c r="G1645" s="10"/>
    </row>
    <row r="1646" spans="5:7">
      <c r="E1646" s="9"/>
      <c r="F1646" s="9"/>
      <c r="G1646" s="10"/>
    </row>
    <row r="1647" spans="5:7">
      <c r="E1647" s="9"/>
      <c r="F1647" s="9"/>
      <c r="G1647" s="10"/>
    </row>
    <row r="1648" spans="5:7">
      <c r="E1648" s="9"/>
      <c r="F1648" s="9"/>
      <c r="G1648" s="10"/>
    </row>
    <row r="1649" spans="5:7">
      <c r="E1649" s="9"/>
      <c r="F1649" s="9"/>
      <c r="G1649" s="10"/>
    </row>
    <row r="1650" spans="5:7">
      <c r="E1650" s="9"/>
      <c r="F1650" s="9"/>
      <c r="G1650" s="10"/>
    </row>
    <row r="1651" spans="5:7">
      <c r="E1651" s="9"/>
      <c r="F1651" s="9"/>
      <c r="G1651" s="10"/>
    </row>
    <row r="1652" spans="5:7">
      <c r="E1652" s="9"/>
      <c r="F1652" s="9"/>
      <c r="G1652" s="10"/>
    </row>
    <row r="1653" spans="5:7">
      <c r="E1653" s="9"/>
      <c r="F1653" s="9"/>
      <c r="G1653" s="10"/>
    </row>
    <row r="1654" spans="5:7">
      <c r="E1654" s="9"/>
      <c r="F1654" s="9"/>
      <c r="G1654" s="10"/>
    </row>
    <row r="1655" spans="5:7">
      <c r="E1655" s="9"/>
      <c r="F1655" s="9"/>
      <c r="G1655" s="10"/>
    </row>
    <row r="1656" spans="5:7">
      <c r="E1656" s="9"/>
      <c r="F1656" s="9"/>
      <c r="G1656" s="10"/>
    </row>
    <row r="1657" spans="5:7">
      <c r="E1657" s="9"/>
      <c r="F1657" s="9"/>
      <c r="G1657" s="10"/>
    </row>
    <row r="1658" spans="5:7">
      <c r="E1658" s="9"/>
      <c r="F1658" s="9"/>
      <c r="G1658" s="10"/>
    </row>
    <row r="1659" spans="5:7">
      <c r="E1659" s="9"/>
      <c r="F1659" s="9"/>
      <c r="G1659" s="10"/>
    </row>
    <row r="1660" spans="5:7">
      <c r="E1660" s="9"/>
      <c r="F1660" s="9"/>
      <c r="G1660" s="10"/>
    </row>
    <row r="1661" spans="5:7">
      <c r="E1661" s="9"/>
      <c r="F1661" s="9"/>
      <c r="G1661" s="10"/>
    </row>
    <row r="1662" spans="5:7">
      <c r="E1662" s="9"/>
      <c r="F1662" s="9"/>
      <c r="G1662" s="10"/>
    </row>
    <row r="1663" spans="5:7">
      <c r="E1663" s="9"/>
      <c r="F1663" s="9"/>
      <c r="G1663" s="10"/>
    </row>
    <row r="1664" spans="5:7">
      <c r="E1664" s="9"/>
      <c r="F1664" s="9"/>
      <c r="G1664" s="10"/>
    </row>
    <row r="1665" spans="5:7">
      <c r="E1665" s="9"/>
      <c r="F1665" s="9"/>
      <c r="G1665" s="10"/>
    </row>
    <row r="1666" spans="5:7">
      <c r="E1666" s="9"/>
      <c r="F1666" s="9"/>
      <c r="G1666" s="10"/>
    </row>
    <row r="1667" spans="5:7">
      <c r="E1667" s="9"/>
      <c r="F1667" s="9"/>
      <c r="G1667" s="10"/>
    </row>
    <row r="1668" spans="5:7">
      <c r="E1668" s="9"/>
      <c r="F1668" s="9"/>
      <c r="G1668" s="10"/>
    </row>
    <row r="1669" spans="5:7">
      <c r="E1669" s="9"/>
      <c r="F1669" s="9"/>
      <c r="G1669" s="10"/>
    </row>
    <row r="1670" spans="5:7">
      <c r="E1670" s="9"/>
      <c r="F1670" s="9"/>
      <c r="G1670" s="10"/>
    </row>
    <row r="1671" spans="5:7">
      <c r="E1671" s="9"/>
      <c r="F1671" s="9"/>
      <c r="G1671" s="10"/>
    </row>
    <row r="1672" spans="5:7">
      <c r="E1672" s="9"/>
      <c r="F1672" s="9"/>
      <c r="G1672" s="10"/>
    </row>
    <row r="1673" spans="5:7">
      <c r="E1673" s="9"/>
      <c r="F1673" s="9"/>
      <c r="G1673" s="10"/>
    </row>
    <row r="1674" spans="5:7">
      <c r="E1674" s="9"/>
      <c r="F1674" s="9"/>
      <c r="G1674" s="10"/>
    </row>
    <row r="1675" spans="5:7">
      <c r="E1675" s="9"/>
      <c r="F1675" s="9"/>
      <c r="G1675" s="10"/>
    </row>
    <row r="1676" spans="5:7">
      <c r="E1676" s="9"/>
      <c r="F1676" s="9"/>
      <c r="G1676" s="10"/>
    </row>
    <row r="1677" spans="5:7">
      <c r="E1677" s="9"/>
      <c r="F1677" s="9"/>
      <c r="G1677" s="10"/>
    </row>
    <row r="1678" spans="5:7">
      <c r="E1678" s="9"/>
      <c r="F1678" s="9"/>
      <c r="G1678" s="10"/>
    </row>
    <row r="1679" spans="5:7">
      <c r="E1679" s="9"/>
      <c r="F1679" s="9"/>
      <c r="G1679" s="10"/>
    </row>
    <row r="1680" spans="5:7">
      <c r="E1680" s="9"/>
      <c r="F1680" s="9"/>
      <c r="G1680" s="10"/>
    </row>
    <row r="1681" spans="5:7">
      <c r="E1681" s="9"/>
      <c r="F1681" s="9"/>
      <c r="G1681" s="10"/>
    </row>
    <row r="1682" spans="5:7">
      <c r="E1682" s="9"/>
      <c r="F1682" s="9"/>
      <c r="G1682" s="10"/>
    </row>
    <row r="1683" spans="5:7">
      <c r="E1683" s="9"/>
      <c r="F1683" s="9"/>
      <c r="G1683" s="10"/>
    </row>
    <row r="1684" spans="5:7">
      <c r="E1684" s="9"/>
      <c r="F1684" s="9"/>
      <c r="G1684" s="10"/>
    </row>
    <row r="1685" spans="5:7">
      <c r="E1685" s="9"/>
      <c r="F1685" s="9"/>
      <c r="G1685" s="10"/>
    </row>
    <row r="1686" spans="5:7">
      <c r="E1686" s="9"/>
      <c r="F1686" s="9"/>
      <c r="G1686" s="10"/>
    </row>
    <row r="1687" spans="5:7">
      <c r="E1687" s="9"/>
      <c r="F1687" s="9"/>
      <c r="G1687" s="10"/>
    </row>
    <row r="1688" spans="5:7">
      <c r="E1688" s="9"/>
      <c r="F1688" s="9"/>
      <c r="G1688" s="10"/>
    </row>
    <row r="1689" spans="5:7">
      <c r="E1689" s="9"/>
      <c r="F1689" s="9"/>
      <c r="G1689" s="10"/>
    </row>
    <row r="1690" spans="5:7">
      <c r="E1690" s="9"/>
      <c r="F1690" s="9"/>
      <c r="G1690" s="10"/>
    </row>
    <row r="1691" spans="5:7">
      <c r="E1691" s="9"/>
      <c r="F1691" s="9"/>
      <c r="G1691" s="10"/>
    </row>
    <row r="1692" spans="5:7">
      <c r="E1692" s="9"/>
      <c r="F1692" s="9"/>
      <c r="G1692" s="10"/>
    </row>
    <row r="1693" spans="5:7">
      <c r="E1693" s="9"/>
      <c r="F1693" s="9"/>
      <c r="G1693" s="10"/>
    </row>
    <row r="1694" spans="5:7">
      <c r="E1694" s="9"/>
      <c r="F1694" s="9"/>
      <c r="G1694" s="10"/>
    </row>
    <row r="1695" spans="5:7">
      <c r="E1695" s="9"/>
      <c r="F1695" s="9"/>
      <c r="G1695" s="10"/>
    </row>
    <row r="1696" spans="5:7">
      <c r="E1696" s="9"/>
      <c r="F1696" s="9"/>
      <c r="G1696" s="10"/>
    </row>
    <row r="1697" spans="5:7">
      <c r="E1697" s="9"/>
      <c r="F1697" s="9"/>
      <c r="G1697" s="10"/>
    </row>
    <row r="1698" spans="5:7">
      <c r="E1698" s="9"/>
      <c r="F1698" s="9"/>
      <c r="G1698" s="10"/>
    </row>
    <row r="1699" spans="5:7">
      <c r="E1699" s="9"/>
      <c r="F1699" s="9"/>
      <c r="G1699" s="10"/>
    </row>
    <row r="1700" spans="5:7">
      <c r="E1700" s="9"/>
      <c r="F1700" s="9"/>
      <c r="G1700" s="10"/>
    </row>
    <row r="1701" spans="5:7">
      <c r="E1701" s="9"/>
      <c r="F1701" s="9"/>
      <c r="G1701" s="10"/>
    </row>
    <row r="1702" spans="5:7">
      <c r="E1702" s="9"/>
      <c r="F1702" s="9"/>
      <c r="G1702" s="10"/>
    </row>
    <row r="1703" spans="5:7">
      <c r="E1703" s="9"/>
      <c r="F1703" s="9"/>
      <c r="G1703" s="10"/>
    </row>
    <row r="1704" spans="5:7">
      <c r="E1704" s="9"/>
      <c r="F1704" s="9"/>
      <c r="G1704" s="10"/>
    </row>
    <row r="1705" spans="5:7">
      <c r="E1705" s="9"/>
      <c r="F1705" s="9"/>
      <c r="G1705" s="10"/>
    </row>
    <row r="1706" spans="5:7">
      <c r="E1706" s="9"/>
      <c r="F1706" s="9"/>
      <c r="G1706" s="10"/>
    </row>
    <row r="1707" spans="5:7">
      <c r="E1707" s="9"/>
      <c r="F1707" s="9"/>
      <c r="G1707" s="10"/>
    </row>
    <row r="1708" spans="5:7">
      <c r="E1708" s="9"/>
      <c r="F1708" s="9"/>
      <c r="G1708" s="10"/>
    </row>
    <row r="1709" spans="5:7">
      <c r="E1709" s="9"/>
      <c r="F1709" s="9"/>
      <c r="G1709" s="10"/>
    </row>
    <row r="1710" spans="5:7">
      <c r="E1710" s="9"/>
      <c r="F1710" s="9"/>
      <c r="G1710" s="10"/>
    </row>
    <row r="1711" spans="5:7">
      <c r="E1711" s="9"/>
      <c r="F1711" s="9"/>
      <c r="G1711" s="10"/>
    </row>
    <row r="1712" spans="5:7">
      <c r="E1712" s="9"/>
      <c r="F1712" s="9"/>
      <c r="G1712" s="10"/>
    </row>
    <row r="1713" spans="5:7">
      <c r="E1713" s="9"/>
      <c r="F1713" s="9"/>
      <c r="G1713" s="10"/>
    </row>
    <row r="1714" spans="5:7">
      <c r="E1714" s="9"/>
      <c r="F1714" s="9"/>
      <c r="G1714" s="10"/>
    </row>
    <row r="1715" spans="5:7">
      <c r="E1715" s="9"/>
      <c r="F1715" s="9"/>
      <c r="G1715" s="10"/>
    </row>
    <row r="1716" spans="5:7">
      <c r="E1716" s="9"/>
      <c r="F1716" s="9"/>
      <c r="G1716" s="10"/>
    </row>
    <row r="1717" spans="5:7">
      <c r="E1717" s="9"/>
      <c r="F1717" s="9"/>
      <c r="G1717" s="10"/>
    </row>
    <row r="1718" spans="5:7">
      <c r="E1718" s="9"/>
      <c r="F1718" s="9"/>
      <c r="G1718" s="10"/>
    </row>
    <row r="1719" spans="5:7">
      <c r="E1719" s="9"/>
      <c r="F1719" s="9"/>
      <c r="G1719" s="10"/>
    </row>
    <row r="1720" spans="5:7">
      <c r="E1720" s="9"/>
      <c r="F1720" s="9"/>
      <c r="G1720" s="10"/>
    </row>
    <row r="1721" spans="5:7">
      <c r="E1721" s="9"/>
      <c r="F1721" s="9"/>
      <c r="G1721" s="10"/>
    </row>
    <row r="1722" spans="5:7">
      <c r="E1722" s="9"/>
      <c r="F1722" s="9"/>
      <c r="G1722" s="10"/>
    </row>
    <row r="1723" spans="5:7">
      <c r="E1723" s="9"/>
      <c r="F1723" s="9"/>
      <c r="G1723" s="10"/>
    </row>
    <row r="1724" spans="5:7">
      <c r="E1724" s="9"/>
      <c r="F1724" s="9"/>
      <c r="G1724" s="10"/>
    </row>
    <row r="1725" spans="5:7">
      <c r="E1725" s="9"/>
      <c r="F1725" s="9"/>
      <c r="G1725" s="10"/>
    </row>
    <row r="1726" spans="5:7">
      <c r="E1726" s="9"/>
      <c r="F1726" s="9"/>
      <c r="G1726" s="10"/>
    </row>
    <row r="1727" spans="5:7">
      <c r="E1727" s="9"/>
      <c r="F1727" s="9"/>
      <c r="G1727" s="10"/>
    </row>
    <row r="1728" spans="5:7">
      <c r="E1728" s="9"/>
      <c r="F1728" s="9"/>
      <c r="G1728" s="10"/>
    </row>
    <row r="1729" spans="5:7">
      <c r="E1729" s="9"/>
      <c r="F1729" s="9"/>
      <c r="G1729" s="10"/>
    </row>
    <row r="1730" spans="5:7">
      <c r="E1730" s="9"/>
      <c r="F1730" s="9"/>
      <c r="G1730" s="10"/>
    </row>
    <row r="1731" spans="5:7">
      <c r="E1731" s="9"/>
      <c r="F1731" s="9"/>
      <c r="G1731" s="10"/>
    </row>
    <row r="1732" spans="5:7">
      <c r="E1732" s="9"/>
      <c r="F1732" s="9"/>
      <c r="G1732" s="10"/>
    </row>
    <row r="1733" spans="5:7">
      <c r="E1733" s="9"/>
      <c r="F1733" s="9"/>
      <c r="G1733" s="10"/>
    </row>
    <row r="1734" spans="5:7">
      <c r="E1734" s="9"/>
      <c r="F1734" s="9"/>
      <c r="G1734" s="10"/>
    </row>
    <row r="1735" spans="5:7">
      <c r="E1735" s="9"/>
      <c r="F1735" s="9"/>
      <c r="G1735" s="10"/>
    </row>
    <row r="1736" spans="5:7">
      <c r="E1736" s="9"/>
      <c r="F1736" s="9"/>
      <c r="G1736" s="10"/>
    </row>
    <row r="1737" spans="5:7">
      <c r="E1737" s="9"/>
      <c r="F1737" s="9"/>
      <c r="G1737" s="10"/>
    </row>
    <row r="1738" spans="5:7">
      <c r="E1738" s="9"/>
      <c r="F1738" s="9"/>
      <c r="G1738" s="10"/>
    </row>
    <row r="1739" spans="5:7">
      <c r="E1739" s="9"/>
      <c r="F1739" s="9"/>
      <c r="G1739" s="10"/>
    </row>
    <row r="1740" spans="5:7">
      <c r="E1740" s="9"/>
      <c r="F1740" s="9"/>
      <c r="G1740" s="10"/>
    </row>
    <row r="1741" spans="5:7">
      <c r="E1741" s="9"/>
      <c r="F1741" s="9"/>
      <c r="G1741" s="10"/>
    </row>
    <row r="1742" spans="5:7">
      <c r="E1742" s="9"/>
      <c r="F1742" s="9"/>
      <c r="G1742" s="10"/>
    </row>
    <row r="1743" spans="5:7">
      <c r="E1743" s="9"/>
      <c r="F1743" s="9"/>
      <c r="G1743" s="10"/>
    </row>
    <row r="1744" spans="5:7">
      <c r="E1744" s="9"/>
      <c r="F1744" s="9"/>
      <c r="G1744" s="10"/>
    </row>
    <row r="1745" spans="5:7">
      <c r="E1745" s="9"/>
      <c r="F1745" s="9"/>
      <c r="G1745" s="10"/>
    </row>
    <row r="1746" spans="5:7">
      <c r="E1746" s="9"/>
      <c r="F1746" s="9"/>
      <c r="G1746" s="10"/>
    </row>
    <row r="1747" spans="5:7">
      <c r="E1747" s="9"/>
      <c r="F1747" s="9"/>
      <c r="G1747" s="10"/>
    </row>
    <row r="1748" spans="5:7">
      <c r="E1748" s="9"/>
      <c r="F1748" s="9"/>
      <c r="G1748" s="10"/>
    </row>
    <row r="1749" spans="5:7">
      <c r="E1749" s="9"/>
      <c r="F1749" s="9"/>
      <c r="G1749" s="10"/>
    </row>
    <row r="1750" spans="5:7">
      <c r="E1750" s="9"/>
      <c r="F1750" s="9"/>
      <c r="G1750" s="10"/>
    </row>
    <row r="1751" spans="5:7">
      <c r="E1751" s="9"/>
      <c r="F1751" s="9"/>
      <c r="G1751" s="10"/>
    </row>
    <row r="1752" spans="5:7">
      <c r="E1752" s="9"/>
      <c r="F1752" s="9"/>
      <c r="G1752" s="10"/>
    </row>
    <row r="1753" spans="5:7">
      <c r="E1753" s="9"/>
      <c r="F1753" s="9"/>
      <c r="G1753" s="10"/>
    </row>
    <row r="1754" spans="5:7">
      <c r="E1754" s="9"/>
      <c r="F1754" s="9"/>
      <c r="G1754" s="10"/>
    </row>
    <row r="1755" spans="5:7">
      <c r="E1755" s="9"/>
      <c r="F1755" s="9"/>
      <c r="G1755" s="10"/>
    </row>
    <row r="1756" spans="5:7">
      <c r="E1756" s="9"/>
      <c r="F1756" s="9"/>
      <c r="G1756" s="10"/>
    </row>
    <row r="1757" spans="5:7">
      <c r="E1757" s="9"/>
      <c r="F1757" s="9"/>
      <c r="G1757" s="10"/>
    </row>
    <row r="1758" spans="5:7">
      <c r="E1758" s="9"/>
      <c r="F1758" s="9"/>
      <c r="G1758" s="10"/>
    </row>
    <row r="1759" spans="5:7">
      <c r="E1759" s="9"/>
      <c r="F1759" s="9"/>
      <c r="G1759" s="10"/>
    </row>
    <row r="1760" spans="5:7">
      <c r="E1760" s="9"/>
      <c r="F1760" s="9"/>
      <c r="G1760" s="10"/>
    </row>
    <row r="1761" spans="5:7">
      <c r="E1761" s="9"/>
      <c r="F1761" s="9"/>
      <c r="G1761" s="10"/>
    </row>
    <row r="1762" spans="5:7">
      <c r="E1762" s="9"/>
      <c r="F1762" s="9"/>
      <c r="G1762" s="10"/>
    </row>
    <row r="1763" spans="5:7">
      <c r="E1763" s="9"/>
      <c r="F1763" s="9"/>
      <c r="G1763" s="10"/>
    </row>
    <row r="1764" spans="5:7">
      <c r="E1764" s="9"/>
      <c r="F1764" s="9"/>
      <c r="G1764" s="10"/>
    </row>
    <row r="1765" spans="5:7">
      <c r="E1765" s="9"/>
      <c r="F1765" s="9"/>
      <c r="G1765" s="10"/>
    </row>
    <row r="1766" spans="5:7">
      <c r="E1766" s="9"/>
      <c r="F1766" s="9"/>
      <c r="G1766" s="10"/>
    </row>
    <row r="1767" spans="5:7">
      <c r="E1767" s="9"/>
      <c r="F1767" s="9"/>
      <c r="G1767" s="10"/>
    </row>
    <row r="1768" spans="5:7">
      <c r="E1768" s="9"/>
      <c r="F1768" s="9"/>
      <c r="G1768" s="10"/>
    </row>
    <row r="1769" spans="5:7">
      <c r="E1769" s="9"/>
      <c r="F1769" s="9"/>
      <c r="G1769" s="10"/>
    </row>
    <row r="1770" spans="5:7">
      <c r="E1770" s="9"/>
      <c r="F1770" s="9"/>
      <c r="G1770" s="10"/>
    </row>
    <row r="1771" spans="5:7">
      <c r="E1771" s="9"/>
      <c r="F1771" s="9"/>
      <c r="G1771" s="10"/>
    </row>
    <row r="1772" spans="5:7">
      <c r="E1772" s="9"/>
      <c r="F1772" s="9"/>
      <c r="G1772" s="10"/>
    </row>
    <row r="1773" spans="5:7">
      <c r="E1773" s="9"/>
      <c r="F1773" s="9"/>
      <c r="G1773" s="10"/>
    </row>
    <row r="1774" spans="5:7">
      <c r="E1774" s="9"/>
      <c r="F1774" s="9"/>
      <c r="G1774" s="10"/>
    </row>
    <row r="1775" spans="5:7">
      <c r="E1775" s="9"/>
      <c r="F1775" s="9"/>
      <c r="G1775" s="10"/>
    </row>
    <row r="1776" spans="5:7">
      <c r="E1776" s="9"/>
      <c r="F1776" s="9"/>
      <c r="G1776" s="10"/>
    </row>
    <row r="1777" spans="5:7">
      <c r="E1777" s="9"/>
      <c r="F1777" s="9"/>
      <c r="G1777" s="10"/>
    </row>
    <row r="1778" spans="5:7">
      <c r="E1778" s="9"/>
      <c r="F1778" s="9"/>
      <c r="G1778" s="10"/>
    </row>
    <row r="1779" spans="5:7">
      <c r="E1779" s="9"/>
      <c r="F1779" s="9"/>
      <c r="G1779" s="10"/>
    </row>
    <row r="1780" spans="5:7">
      <c r="E1780" s="9"/>
      <c r="F1780" s="9"/>
      <c r="G1780" s="10"/>
    </row>
    <row r="1781" spans="5:7">
      <c r="E1781" s="9"/>
      <c r="F1781" s="9"/>
      <c r="G1781" s="10"/>
    </row>
    <row r="1782" spans="5:7">
      <c r="E1782" s="9"/>
      <c r="F1782" s="9"/>
      <c r="G1782" s="10"/>
    </row>
    <row r="1783" spans="5:7">
      <c r="E1783" s="9"/>
      <c r="F1783" s="9"/>
      <c r="G1783" s="10"/>
    </row>
    <row r="1784" spans="5:7">
      <c r="E1784" s="9"/>
      <c r="F1784" s="9"/>
      <c r="G1784" s="10"/>
    </row>
    <row r="1785" spans="5:7">
      <c r="E1785" s="9"/>
      <c r="F1785" s="9"/>
      <c r="G1785" s="10"/>
    </row>
    <row r="1786" spans="5:7">
      <c r="E1786" s="9"/>
      <c r="F1786" s="9"/>
      <c r="G1786" s="10"/>
    </row>
    <row r="1787" spans="5:7">
      <c r="E1787" s="9"/>
      <c r="F1787" s="9"/>
      <c r="G1787" s="10"/>
    </row>
    <row r="1788" spans="5:7">
      <c r="E1788" s="9"/>
      <c r="F1788" s="9"/>
      <c r="G1788" s="10"/>
    </row>
    <row r="1789" spans="5:7">
      <c r="E1789" s="9"/>
      <c r="F1789" s="9"/>
      <c r="G1789" s="10"/>
    </row>
    <row r="1790" spans="5:7">
      <c r="E1790" s="9"/>
      <c r="F1790" s="9"/>
      <c r="G1790" s="10"/>
    </row>
    <row r="1791" spans="5:7">
      <c r="E1791" s="9"/>
      <c r="F1791" s="9"/>
      <c r="G1791" s="10"/>
    </row>
    <row r="1792" spans="5:7">
      <c r="E1792" s="9"/>
      <c r="F1792" s="9"/>
      <c r="G1792" s="10"/>
    </row>
    <row r="1793" spans="5:7">
      <c r="E1793" s="9"/>
      <c r="F1793" s="9"/>
      <c r="G1793" s="10"/>
    </row>
    <row r="1794" spans="5:7">
      <c r="E1794" s="9"/>
      <c r="F1794" s="9"/>
      <c r="G1794" s="10"/>
    </row>
    <row r="1795" spans="5:7">
      <c r="E1795" s="9"/>
      <c r="F1795" s="9"/>
      <c r="G1795" s="10"/>
    </row>
    <row r="1796" spans="5:7">
      <c r="E1796" s="9"/>
      <c r="F1796" s="9"/>
      <c r="G1796" s="10"/>
    </row>
    <row r="1797" spans="5:7">
      <c r="E1797" s="9"/>
      <c r="F1797" s="9"/>
      <c r="G1797" s="10"/>
    </row>
    <row r="1798" spans="5:7">
      <c r="E1798" s="9"/>
      <c r="F1798" s="9"/>
      <c r="G1798" s="10"/>
    </row>
    <row r="1799" spans="5:7">
      <c r="E1799" s="9"/>
      <c r="F1799" s="9"/>
      <c r="G1799" s="10"/>
    </row>
    <row r="1800" spans="5:7">
      <c r="E1800" s="9"/>
      <c r="F1800" s="9"/>
      <c r="G1800" s="10"/>
    </row>
    <row r="1801" spans="5:7">
      <c r="E1801" s="9"/>
      <c r="F1801" s="9"/>
      <c r="G1801" s="10"/>
    </row>
    <row r="1802" spans="5:7">
      <c r="E1802" s="9"/>
      <c r="F1802" s="9"/>
      <c r="G1802" s="10"/>
    </row>
    <row r="1803" spans="5:7">
      <c r="E1803" s="9"/>
      <c r="F1803" s="9"/>
      <c r="G1803" s="10"/>
    </row>
    <row r="1804" spans="5:7">
      <c r="E1804" s="9"/>
      <c r="F1804" s="9"/>
      <c r="G1804" s="10"/>
    </row>
    <row r="1805" spans="5:7">
      <c r="E1805" s="9"/>
      <c r="F1805" s="9"/>
      <c r="G1805" s="10"/>
    </row>
    <row r="1806" spans="5:7">
      <c r="E1806" s="9"/>
      <c r="F1806" s="9"/>
      <c r="G1806" s="10"/>
    </row>
    <row r="1807" spans="5:7">
      <c r="E1807" s="9"/>
      <c r="F1807" s="9"/>
      <c r="G1807" s="10"/>
    </row>
    <row r="1808" spans="5:7">
      <c r="E1808" s="9"/>
      <c r="F1808" s="9"/>
      <c r="G1808" s="10"/>
    </row>
    <row r="1809" spans="5:7">
      <c r="E1809" s="9"/>
      <c r="F1809" s="9"/>
      <c r="G1809" s="10"/>
    </row>
    <row r="1810" spans="5:7">
      <c r="E1810" s="9"/>
      <c r="F1810" s="9"/>
      <c r="G1810" s="10"/>
    </row>
    <row r="1811" spans="5:7">
      <c r="E1811" s="9"/>
      <c r="F1811" s="9"/>
      <c r="G1811" s="10"/>
    </row>
    <row r="1812" spans="5:7">
      <c r="E1812" s="9"/>
      <c r="F1812" s="9"/>
      <c r="G1812" s="10"/>
    </row>
    <row r="1813" spans="5:7">
      <c r="E1813" s="9"/>
      <c r="F1813" s="9"/>
      <c r="G1813" s="10"/>
    </row>
    <row r="1814" spans="5:7">
      <c r="E1814" s="9"/>
      <c r="F1814" s="9"/>
      <c r="G1814" s="10"/>
    </row>
    <row r="1815" spans="5:7">
      <c r="E1815" s="9"/>
      <c r="F1815" s="9"/>
      <c r="G1815" s="10"/>
    </row>
    <row r="1816" spans="5:7">
      <c r="E1816" s="9"/>
      <c r="F1816" s="9"/>
      <c r="G1816" s="10"/>
    </row>
    <row r="1817" spans="5:7">
      <c r="E1817" s="9"/>
      <c r="F1817" s="9"/>
      <c r="G1817" s="10"/>
    </row>
    <row r="1818" spans="5:7">
      <c r="E1818" s="9"/>
      <c r="F1818" s="9"/>
      <c r="G1818" s="10"/>
    </row>
    <row r="1819" spans="5:7">
      <c r="E1819" s="9"/>
      <c r="F1819" s="9"/>
      <c r="G1819" s="10"/>
    </row>
    <row r="1820" spans="5:7">
      <c r="E1820" s="9"/>
      <c r="F1820" s="9"/>
      <c r="G1820" s="10"/>
    </row>
    <row r="1821" spans="5:7">
      <c r="E1821" s="9"/>
      <c r="F1821" s="9"/>
      <c r="G1821" s="10"/>
    </row>
    <row r="1822" spans="5:7">
      <c r="E1822" s="9"/>
      <c r="F1822" s="9"/>
      <c r="G1822" s="10"/>
    </row>
    <row r="1823" spans="5:7">
      <c r="E1823" s="9"/>
      <c r="F1823" s="9"/>
      <c r="G1823" s="10"/>
    </row>
    <row r="1824" spans="5:7">
      <c r="E1824" s="9"/>
      <c r="F1824" s="9"/>
      <c r="G1824" s="10"/>
    </row>
    <row r="1825" spans="5:7">
      <c r="E1825" s="9"/>
      <c r="F1825" s="9"/>
      <c r="G1825" s="10"/>
    </row>
    <row r="1826" spans="5:7">
      <c r="E1826" s="9"/>
      <c r="F1826" s="9"/>
      <c r="G1826" s="10"/>
    </row>
    <row r="1827" spans="5:7">
      <c r="E1827" s="9"/>
      <c r="F1827" s="9"/>
      <c r="G1827" s="10"/>
    </row>
    <row r="1828" spans="5:7">
      <c r="E1828" s="9"/>
      <c r="F1828" s="9"/>
      <c r="G1828" s="10"/>
    </row>
    <row r="1829" spans="5:7">
      <c r="E1829" s="9"/>
      <c r="F1829" s="9"/>
      <c r="G1829" s="10"/>
    </row>
    <row r="1830" spans="5:7">
      <c r="E1830" s="9"/>
      <c r="F1830" s="9"/>
      <c r="G1830" s="10"/>
    </row>
    <row r="1831" spans="5:7">
      <c r="E1831" s="9"/>
      <c r="F1831" s="9"/>
      <c r="G1831" s="10"/>
    </row>
    <row r="1832" spans="5:7">
      <c r="E1832" s="9"/>
      <c r="F1832" s="9"/>
      <c r="G1832" s="10"/>
    </row>
    <row r="1833" spans="5:7">
      <c r="E1833" s="9"/>
      <c r="F1833" s="9"/>
      <c r="G1833" s="10"/>
    </row>
    <row r="1834" spans="5:7">
      <c r="E1834" s="9"/>
      <c r="F1834" s="9"/>
      <c r="G1834" s="10"/>
    </row>
    <row r="1835" spans="5:7">
      <c r="E1835" s="9"/>
      <c r="F1835" s="9"/>
      <c r="G1835" s="10"/>
    </row>
    <row r="1836" spans="5:7">
      <c r="E1836" s="9"/>
      <c r="F1836" s="9"/>
      <c r="G1836" s="10"/>
    </row>
    <row r="1837" spans="5:7">
      <c r="E1837" s="9"/>
      <c r="F1837" s="9"/>
      <c r="G1837" s="10"/>
    </row>
    <row r="1838" spans="5:7">
      <c r="E1838" s="9"/>
      <c r="F1838" s="9"/>
      <c r="G1838" s="10"/>
    </row>
    <row r="1839" spans="5:7">
      <c r="E1839" s="9"/>
      <c r="F1839" s="9"/>
      <c r="G1839" s="10"/>
    </row>
    <row r="1840" spans="5:7">
      <c r="E1840" s="9"/>
      <c r="F1840" s="9"/>
      <c r="G1840" s="10"/>
    </row>
    <row r="1841" spans="5:7">
      <c r="E1841" s="9"/>
      <c r="F1841" s="9"/>
      <c r="G1841" s="10"/>
    </row>
    <row r="1842" spans="5:7">
      <c r="E1842" s="9"/>
      <c r="F1842" s="9"/>
      <c r="G1842" s="10"/>
    </row>
    <row r="1843" spans="5:7">
      <c r="E1843" s="9"/>
      <c r="F1843" s="9"/>
      <c r="G1843" s="10"/>
    </row>
    <row r="1844" spans="5:7">
      <c r="E1844" s="9"/>
      <c r="F1844" s="9"/>
      <c r="G1844" s="10"/>
    </row>
    <row r="1845" spans="5:7">
      <c r="E1845" s="9"/>
      <c r="F1845" s="9"/>
      <c r="G1845" s="10"/>
    </row>
    <row r="1846" spans="5:7">
      <c r="E1846" s="9"/>
      <c r="F1846" s="9"/>
      <c r="G1846" s="10"/>
    </row>
    <row r="1847" spans="5:7">
      <c r="E1847" s="9"/>
      <c r="F1847" s="9"/>
      <c r="G1847" s="10"/>
    </row>
    <row r="1848" spans="5:7">
      <c r="E1848" s="9"/>
      <c r="F1848" s="9"/>
      <c r="G1848" s="10"/>
    </row>
    <row r="1849" spans="5:7">
      <c r="E1849" s="9"/>
      <c r="F1849" s="9"/>
      <c r="G1849" s="10"/>
    </row>
    <row r="1850" spans="5:7">
      <c r="E1850" s="9"/>
      <c r="F1850" s="9"/>
      <c r="G1850" s="10"/>
    </row>
    <row r="1851" spans="5:7">
      <c r="E1851" s="9"/>
      <c r="F1851" s="9"/>
      <c r="G1851" s="10"/>
    </row>
    <row r="1852" spans="5:7">
      <c r="E1852" s="9"/>
      <c r="F1852" s="9"/>
      <c r="G1852" s="10"/>
    </row>
    <row r="1853" spans="5:7">
      <c r="E1853" s="9"/>
      <c r="F1853" s="9"/>
      <c r="G1853" s="10"/>
    </row>
    <row r="1854" spans="5:7">
      <c r="E1854" s="9"/>
      <c r="F1854" s="9"/>
      <c r="G1854" s="10"/>
    </row>
    <row r="1855" spans="5:7">
      <c r="E1855" s="9"/>
      <c r="F1855" s="9"/>
      <c r="G1855" s="10"/>
    </row>
    <row r="1856" spans="5:7">
      <c r="E1856" s="9"/>
      <c r="F1856" s="9"/>
      <c r="G1856" s="10"/>
    </row>
    <row r="1857" spans="5:7">
      <c r="E1857" s="9"/>
      <c r="F1857" s="9"/>
      <c r="G1857" s="10"/>
    </row>
    <row r="1858" spans="5:7">
      <c r="E1858" s="9"/>
      <c r="F1858" s="9"/>
      <c r="G1858" s="10"/>
    </row>
    <row r="1859" spans="5:7">
      <c r="E1859" s="9"/>
      <c r="F1859" s="9"/>
      <c r="G1859" s="10"/>
    </row>
    <row r="1860" spans="5:7">
      <c r="E1860" s="9"/>
      <c r="F1860" s="9"/>
      <c r="G1860" s="10"/>
    </row>
    <row r="1861" spans="5:7">
      <c r="E1861" s="9"/>
      <c r="F1861" s="9"/>
      <c r="G1861" s="10"/>
    </row>
    <row r="1862" spans="5:7">
      <c r="E1862" s="9"/>
      <c r="F1862" s="9"/>
      <c r="G1862" s="10"/>
    </row>
    <row r="1863" spans="5:7">
      <c r="E1863" s="9"/>
      <c r="F1863" s="9"/>
      <c r="G1863" s="10"/>
    </row>
    <row r="1864" spans="5:7">
      <c r="E1864" s="9"/>
      <c r="F1864" s="9"/>
      <c r="G1864" s="10"/>
    </row>
    <row r="1865" spans="5:7">
      <c r="E1865" s="9"/>
      <c r="F1865" s="9"/>
      <c r="G1865" s="10"/>
    </row>
    <row r="1866" spans="5:7">
      <c r="E1866" s="9"/>
      <c r="F1866" s="9"/>
      <c r="G1866" s="10"/>
    </row>
    <row r="1867" spans="5:7">
      <c r="E1867" s="9"/>
      <c r="F1867" s="9"/>
      <c r="G1867" s="10"/>
    </row>
    <row r="1868" spans="5:7">
      <c r="E1868" s="9"/>
      <c r="F1868" s="9"/>
      <c r="G1868" s="10"/>
    </row>
    <row r="1869" spans="5:7">
      <c r="E1869" s="9"/>
      <c r="F1869" s="9"/>
      <c r="G1869" s="10"/>
    </row>
    <row r="1870" spans="5:7">
      <c r="E1870" s="9"/>
      <c r="F1870" s="9"/>
      <c r="G1870" s="10"/>
    </row>
    <row r="1871" spans="5:7">
      <c r="E1871" s="9"/>
      <c r="F1871" s="9"/>
      <c r="G1871" s="10"/>
    </row>
    <row r="1872" spans="5:7">
      <c r="E1872" s="9"/>
      <c r="F1872" s="9"/>
      <c r="G1872" s="10"/>
    </row>
    <row r="1873" spans="5:7">
      <c r="E1873" s="9"/>
      <c r="F1873" s="9"/>
      <c r="G1873" s="10"/>
    </row>
    <row r="1874" spans="5:7">
      <c r="E1874" s="9"/>
      <c r="F1874" s="9"/>
      <c r="G1874" s="10"/>
    </row>
    <row r="1875" spans="5:7">
      <c r="E1875" s="9"/>
      <c r="F1875" s="9"/>
      <c r="G1875" s="10"/>
    </row>
    <row r="1876" spans="5:7">
      <c r="E1876" s="9"/>
      <c r="F1876" s="9"/>
      <c r="G1876" s="10"/>
    </row>
    <row r="1877" spans="5:7">
      <c r="E1877" s="9"/>
      <c r="F1877" s="9"/>
      <c r="G1877" s="10"/>
    </row>
    <row r="1878" spans="5:7">
      <c r="E1878" s="9"/>
      <c r="F1878" s="9"/>
      <c r="G1878" s="10"/>
    </row>
    <row r="1879" spans="5:7">
      <c r="E1879" s="9"/>
      <c r="F1879" s="9"/>
      <c r="G1879" s="10"/>
    </row>
    <row r="1880" spans="5:7">
      <c r="E1880" s="9"/>
      <c r="F1880" s="9"/>
      <c r="G1880" s="10"/>
    </row>
    <row r="1881" spans="5:7">
      <c r="E1881" s="9"/>
      <c r="F1881" s="9"/>
      <c r="G1881" s="10"/>
    </row>
    <row r="1882" spans="5:7">
      <c r="E1882" s="9"/>
      <c r="F1882" s="9"/>
      <c r="G1882" s="10"/>
    </row>
    <row r="1883" spans="5:7">
      <c r="E1883" s="9"/>
      <c r="F1883" s="9"/>
      <c r="G1883" s="10"/>
    </row>
    <row r="1884" spans="5:7">
      <c r="E1884" s="9"/>
      <c r="F1884" s="9"/>
      <c r="G1884" s="10"/>
    </row>
    <row r="1885" spans="5:7">
      <c r="E1885" s="9"/>
      <c r="F1885" s="9"/>
      <c r="G1885" s="10"/>
    </row>
    <row r="1886" spans="5:7">
      <c r="E1886" s="9"/>
      <c r="F1886" s="9"/>
      <c r="G1886" s="10"/>
    </row>
    <row r="1887" spans="5:7">
      <c r="E1887" s="9"/>
      <c r="F1887" s="9"/>
      <c r="G1887" s="10"/>
    </row>
    <row r="1888" spans="5:7">
      <c r="E1888" s="9"/>
      <c r="F1888" s="9"/>
      <c r="G1888" s="10"/>
    </row>
    <row r="1889" spans="5:7">
      <c r="E1889" s="9"/>
      <c r="F1889" s="9"/>
      <c r="G1889" s="10"/>
    </row>
    <row r="1890" spans="5:7">
      <c r="E1890" s="9"/>
      <c r="F1890" s="9"/>
      <c r="G1890" s="10"/>
    </row>
    <row r="1891" spans="5:7">
      <c r="E1891" s="9"/>
      <c r="F1891" s="9"/>
      <c r="G1891" s="10"/>
    </row>
    <row r="1892" spans="5:7">
      <c r="E1892" s="9"/>
      <c r="F1892" s="9"/>
      <c r="G1892" s="10"/>
    </row>
    <row r="1893" spans="5:7">
      <c r="E1893" s="9"/>
      <c r="F1893" s="9"/>
      <c r="G1893" s="10"/>
    </row>
    <row r="1894" spans="5:7">
      <c r="E1894" s="9"/>
      <c r="F1894" s="9"/>
      <c r="G1894" s="10"/>
    </row>
    <row r="1895" spans="5:7">
      <c r="E1895" s="9"/>
      <c r="F1895" s="9"/>
      <c r="G1895" s="10"/>
    </row>
    <row r="1896" spans="5:7">
      <c r="E1896" s="9"/>
      <c r="F1896" s="9"/>
      <c r="G1896" s="10"/>
    </row>
    <row r="1897" spans="5:7">
      <c r="E1897" s="9"/>
      <c r="F1897" s="9"/>
      <c r="G1897" s="10"/>
    </row>
    <row r="1898" spans="5:7">
      <c r="E1898" s="9"/>
      <c r="F1898" s="9"/>
      <c r="G1898" s="10"/>
    </row>
    <row r="1899" spans="5:7">
      <c r="E1899" s="9"/>
      <c r="F1899" s="9"/>
      <c r="G1899" s="10"/>
    </row>
    <row r="1900" spans="5:7">
      <c r="E1900" s="9"/>
      <c r="F1900" s="9"/>
      <c r="G1900" s="10"/>
    </row>
    <row r="1901" spans="5:7">
      <c r="E1901" s="9"/>
      <c r="F1901" s="9"/>
      <c r="G1901" s="10"/>
    </row>
    <row r="1902" spans="5:7">
      <c r="E1902" s="9"/>
      <c r="F1902" s="9"/>
      <c r="G1902" s="10"/>
    </row>
    <row r="1903" spans="5:7">
      <c r="E1903" s="9"/>
      <c r="F1903" s="9"/>
      <c r="G1903" s="10"/>
    </row>
    <row r="1904" spans="5:7">
      <c r="E1904" s="9"/>
      <c r="F1904" s="9"/>
      <c r="G1904" s="10"/>
    </row>
    <row r="1905" spans="5:7">
      <c r="E1905" s="9"/>
      <c r="F1905" s="9"/>
      <c r="G1905" s="10"/>
    </row>
    <row r="1906" spans="5:7">
      <c r="E1906" s="9"/>
      <c r="F1906" s="9"/>
      <c r="G1906" s="10"/>
    </row>
    <row r="1907" spans="5:7">
      <c r="E1907" s="9"/>
      <c r="F1907" s="9"/>
      <c r="G1907" s="10"/>
    </row>
    <row r="1908" spans="5:7">
      <c r="E1908" s="9"/>
      <c r="F1908" s="9"/>
      <c r="G1908" s="10"/>
    </row>
    <row r="1909" spans="5:7">
      <c r="E1909" s="9"/>
      <c r="F1909" s="9"/>
      <c r="G1909" s="10"/>
    </row>
    <row r="1910" spans="5:7">
      <c r="E1910" s="9"/>
      <c r="F1910" s="9"/>
      <c r="G1910" s="10"/>
    </row>
    <row r="1911" spans="5:7">
      <c r="E1911" s="9"/>
      <c r="F1911" s="9"/>
      <c r="G1911" s="10"/>
    </row>
    <row r="1912" spans="5:7">
      <c r="E1912" s="9"/>
      <c r="F1912" s="9"/>
      <c r="G1912" s="10"/>
    </row>
    <row r="1913" spans="5:7">
      <c r="E1913" s="9"/>
      <c r="F1913" s="9"/>
      <c r="G1913" s="10"/>
    </row>
    <row r="1914" spans="5:7">
      <c r="E1914" s="9"/>
      <c r="F1914" s="9"/>
      <c r="G1914" s="10"/>
    </row>
    <row r="1915" spans="5:7">
      <c r="E1915" s="9"/>
      <c r="F1915" s="9"/>
      <c r="G1915" s="10"/>
    </row>
    <row r="1916" spans="5:7">
      <c r="E1916" s="9"/>
      <c r="F1916" s="9"/>
      <c r="G1916" s="10"/>
    </row>
    <row r="1917" spans="5:7">
      <c r="E1917" s="9"/>
      <c r="F1917" s="9"/>
      <c r="G1917" s="10"/>
    </row>
    <row r="1918" spans="5:7">
      <c r="E1918" s="9"/>
      <c r="F1918" s="9"/>
      <c r="G1918" s="10"/>
    </row>
    <row r="1919" spans="5:7">
      <c r="E1919" s="9"/>
      <c r="F1919" s="9"/>
      <c r="G1919" s="10"/>
    </row>
    <row r="1920" spans="5:7">
      <c r="E1920" s="9"/>
      <c r="F1920" s="9"/>
      <c r="G1920" s="10"/>
    </row>
    <row r="1921" spans="5:7">
      <c r="E1921" s="9"/>
      <c r="F1921" s="9"/>
      <c r="G1921" s="10"/>
    </row>
    <row r="1922" spans="5:7">
      <c r="E1922" s="9"/>
      <c r="F1922" s="9"/>
      <c r="G1922" s="10"/>
    </row>
    <row r="1923" spans="5:7">
      <c r="E1923" s="9"/>
      <c r="F1923" s="9"/>
      <c r="G1923" s="10"/>
    </row>
    <row r="1924" spans="5:7">
      <c r="E1924" s="9"/>
      <c r="F1924" s="9"/>
      <c r="G1924" s="10"/>
    </row>
    <row r="1925" spans="5:7">
      <c r="E1925" s="9"/>
      <c r="F1925" s="9"/>
      <c r="G1925" s="10"/>
    </row>
    <row r="1926" spans="5:7">
      <c r="E1926" s="9"/>
      <c r="F1926" s="9"/>
      <c r="G1926" s="10"/>
    </row>
    <row r="1927" spans="5:7">
      <c r="E1927" s="9"/>
      <c r="F1927" s="9"/>
      <c r="G1927" s="10"/>
    </row>
    <row r="1928" spans="5:7">
      <c r="E1928" s="9"/>
      <c r="F1928" s="9"/>
      <c r="G1928" s="10"/>
    </row>
    <row r="1929" spans="5:7">
      <c r="E1929" s="9"/>
      <c r="F1929" s="9"/>
      <c r="G1929" s="10"/>
    </row>
    <row r="1930" spans="5:7">
      <c r="E1930" s="9"/>
      <c r="F1930" s="9"/>
      <c r="G1930" s="10"/>
    </row>
    <row r="1931" spans="5:7">
      <c r="E1931" s="9"/>
      <c r="F1931" s="9"/>
      <c r="G1931" s="10"/>
    </row>
    <row r="1932" spans="5:7">
      <c r="E1932" s="9"/>
      <c r="F1932" s="9"/>
      <c r="G1932" s="10"/>
    </row>
    <row r="1933" spans="5:7">
      <c r="E1933" s="9"/>
      <c r="F1933" s="9"/>
      <c r="G1933" s="10"/>
    </row>
    <row r="1934" spans="5:7">
      <c r="E1934" s="9"/>
      <c r="F1934" s="9"/>
      <c r="G1934" s="10"/>
    </row>
    <row r="1935" spans="5:7">
      <c r="E1935" s="9"/>
      <c r="F1935" s="9"/>
      <c r="G1935" s="10"/>
    </row>
    <row r="1936" spans="5:7">
      <c r="E1936" s="9"/>
      <c r="F1936" s="9"/>
      <c r="G1936" s="10"/>
    </row>
    <row r="1937" spans="5:7">
      <c r="E1937" s="9"/>
      <c r="F1937" s="9"/>
      <c r="G1937" s="10"/>
    </row>
    <row r="1938" spans="5:7">
      <c r="E1938" s="9"/>
      <c r="F1938" s="9"/>
      <c r="G1938" s="10"/>
    </row>
    <row r="1939" spans="5:7">
      <c r="E1939" s="9"/>
      <c r="F1939" s="9"/>
      <c r="G1939" s="10"/>
    </row>
    <row r="1940" spans="5:7">
      <c r="E1940" s="9"/>
      <c r="F1940" s="9"/>
      <c r="G1940" s="10"/>
    </row>
    <row r="1941" spans="5:7">
      <c r="E1941" s="9"/>
      <c r="F1941" s="9"/>
      <c r="G1941" s="10"/>
    </row>
    <row r="1942" spans="5:7">
      <c r="E1942" s="9"/>
      <c r="F1942" s="9"/>
      <c r="G1942" s="10"/>
    </row>
    <row r="1943" spans="5:7">
      <c r="E1943" s="9"/>
      <c r="F1943" s="9"/>
      <c r="G1943" s="10"/>
    </row>
    <row r="1944" spans="5:7">
      <c r="E1944" s="9"/>
      <c r="F1944" s="9"/>
      <c r="G1944" s="10"/>
    </row>
    <row r="1945" spans="5:7">
      <c r="E1945" s="9"/>
      <c r="F1945" s="9"/>
      <c r="G1945" s="10"/>
    </row>
    <row r="1946" spans="5:7">
      <c r="E1946" s="9"/>
      <c r="F1946" s="9"/>
      <c r="G1946" s="10"/>
    </row>
    <row r="1947" spans="5:7">
      <c r="E1947" s="9"/>
      <c r="F1947" s="9"/>
      <c r="G1947" s="10"/>
    </row>
    <row r="1948" spans="5:7">
      <c r="E1948" s="9"/>
      <c r="F1948" s="9"/>
      <c r="G1948" s="10"/>
    </row>
    <row r="1949" spans="5:7">
      <c r="E1949" s="9"/>
      <c r="F1949" s="9"/>
      <c r="G1949" s="10"/>
    </row>
    <row r="1950" spans="5:7">
      <c r="E1950" s="9"/>
      <c r="F1950" s="9"/>
      <c r="G1950" s="10"/>
    </row>
    <row r="1951" spans="5:7">
      <c r="E1951" s="9"/>
      <c r="F1951" s="9"/>
      <c r="G1951" s="10"/>
    </row>
    <row r="1952" spans="5:7">
      <c r="E1952" s="9"/>
      <c r="F1952" s="9"/>
      <c r="G1952" s="10"/>
    </row>
    <row r="1953" spans="5:7">
      <c r="E1953" s="9"/>
      <c r="F1953" s="9"/>
      <c r="G1953" s="10"/>
    </row>
    <row r="1954" spans="5:7">
      <c r="E1954" s="9"/>
      <c r="F1954" s="9"/>
      <c r="G1954" s="10"/>
    </row>
    <row r="1955" spans="5:7">
      <c r="E1955" s="9"/>
      <c r="F1955" s="9"/>
      <c r="G1955" s="10"/>
    </row>
    <row r="1956" spans="5:7">
      <c r="E1956" s="9"/>
      <c r="F1956" s="9"/>
      <c r="G1956" s="10"/>
    </row>
    <row r="1957" spans="5:7">
      <c r="E1957" s="9"/>
      <c r="F1957" s="9"/>
      <c r="G1957" s="10"/>
    </row>
    <row r="1958" spans="5:7">
      <c r="E1958" s="9"/>
      <c r="F1958" s="9"/>
      <c r="G1958" s="10"/>
    </row>
    <row r="1959" spans="5:7">
      <c r="E1959" s="9"/>
      <c r="F1959" s="9"/>
      <c r="G1959" s="10"/>
    </row>
    <row r="1960" spans="5:7">
      <c r="E1960" s="9"/>
      <c r="F1960" s="9"/>
      <c r="G1960" s="10"/>
    </row>
    <row r="1961" spans="5:7">
      <c r="E1961" s="9"/>
      <c r="F1961" s="9"/>
      <c r="G1961" s="10"/>
    </row>
    <row r="1962" spans="5:7">
      <c r="E1962" s="9"/>
      <c r="F1962" s="9"/>
      <c r="G1962" s="10"/>
    </row>
    <row r="1963" spans="5:7">
      <c r="E1963" s="9"/>
      <c r="F1963" s="9"/>
      <c r="G1963" s="10"/>
    </row>
    <row r="1964" spans="5:7">
      <c r="E1964" s="9"/>
      <c r="F1964" s="9"/>
      <c r="G1964" s="10"/>
    </row>
    <row r="1965" spans="5:7">
      <c r="E1965" s="9"/>
      <c r="F1965" s="9"/>
      <c r="G1965" s="10"/>
    </row>
    <row r="1966" spans="5:7">
      <c r="E1966" s="9"/>
      <c r="F1966" s="9"/>
      <c r="G1966" s="10"/>
    </row>
    <row r="1967" spans="5:7">
      <c r="E1967" s="9"/>
      <c r="F1967" s="9"/>
      <c r="G1967" s="10"/>
    </row>
    <row r="1968" spans="5:7">
      <c r="E1968" s="9"/>
      <c r="F1968" s="9"/>
      <c r="G1968" s="10"/>
    </row>
    <row r="1969" spans="5:7">
      <c r="E1969" s="9"/>
      <c r="F1969" s="9"/>
      <c r="G1969" s="10"/>
    </row>
    <row r="1970" spans="5:7">
      <c r="E1970" s="9"/>
      <c r="F1970" s="9"/>
      <c r="G1970" s="10"/>
    </row>
    <row r="1971" spans="5:7">
      <c r="E1971" s="9"/>
      <c r="F1971" s="9"/>
      <c r="G1971" s="10"/>
    </row>
    <row r="1972" spans="5:7">
      <c r="E1972" s="9"/>
      <c r="F1972" s="9"/>
      <c r="G1972" s="10"/>
    </row>
    <row r="1973" spans="5:7">
      <c r="E1973" s="9"/>
      <c r="F1973" s="9"/>
      <c r="G1973" s="10"/>
    </row>
    <row r="1974" spans="5:7">
      <c r="E1974" s="9"/>
      <c r="F1974" s="9"/>
      <c r="G1974" s="10"/>
    </row>
    <row r="1975" spans="5:7">
      <c r="E1975" s="9"/>
      <c r="F1975" s="9"/>
      <c r="G1975" s="10"/>
    </row>
    <row r="1976" spans="5:7">
      <c r="E1976" s="9"/>
      <c r="F1976" s="9"/>
      <c r="G1976" s="10"/>
    </row>
    <row r="1977" spans="5:7">
      <c r="E1977" s="9"/>
      <c r="F1977" s="9"/>
      <c r="G1977" s="10"/>
    </row>
    <row r="1978" spans="5:7">
      <c r="E1978" s="9"/>
      <c r="F1978" s="9"/>
      <c r="G1978" s="10"/>
    </row>
    <row r="1979" spans="5:7">
      <c r="E1979" s="9"/>
      <c r="F1979" s="9"/>
      <c r="G1979" s="10"/>
    </row>
    <row r="1980" spans="5:7">
      <c r="E1980" s="9"/>
      <c r="F1980" s="9"/>
      <c r="G1980" s="10"/>
    </row>
    <row r="1981" spans="5:7">
      <c r="E1981" s="9"/>
      <c r="F1981" s="9"/>
      <c r="G1981" s="10"/>
    </row>
    <row r="1982" spans="5:7">
      <c r="E1982" s="9"/>
      <c r="F1982" s="9"/>
      <c r="G1982" s="10"/>
    </row>
    <row r="1983" spans="5:7">
      <c r="E1983" s="9"/>
      <c r="F1983" s="9"/>
      <c r="G1983" s="10"/>
    </row>
    <row r="1984" spans="5:7">
      <c r="E1984" s="9"/>
      <c r="F1984" s="9"/>
      <c r="G1984" s="10"/>
    </row>
    <row r="1985" spans="5:7">
      <c r="E1985" s="9"/>
      <c r="F1985" s="9"/>
      <c r="G1985" s="10"/>
    </row>
    <row r="1986" spans="5:7">
      <c r="E1986" s="9"/>
      <c r="F1986" s="9"/>
      <c r="G1986" s="10"/>
    </row>
    <row r="1987" spans="5:7">
      <c r="E1987" s="9"/>
      <c r="F1987" s="9"/>
      <c r="G1987" s="10"/>
    </row>
    <row r="1988" spans="5:7">
      <c r="E1988" s="9"/>
      <c r="F1988" s="9"/>
      <c r="G1988" s="10"/>
    </row>
    <row r="1989" spans="5:7">
      <c r="E1989" s="9"/>
      <c r="F1989" s="9"/>
      <c r="G1989" s="10"/>
    </row>
    <row r="1990" spans="5:7">
      <c r="E1990" s="9"/>
      <c r="F1990" s="9"/>
      <c r="G1990" s="10"/>
    </row>
    <row r="1991" spans="5:7">
      <c r="E1991" s="9"/>
      <c r="F1991" s="9"/>
      <c r="G1991" s="10"/>
    </row>
    <row r="1992" spans="5:7">
      <c r="E1992" s="9"/>
      <c r="F1992" s="9"/>
      <c r="G1992" s="10"/>
    </row>
    <row r="1993" spans="5:7">
      <c r="E1993" s="9"/>
      <c r="F1993" s="9"/>
      <c r="G1993" s="10"/>
    </row>
    <row r="1994" spans="5:7">
      <c r="E1994" s="9"/>
      <c r="F1994" s="9"/>
      <c r="G1994" s="10"/>
    </row>
    <row r="1995" spans="5:7">
      <c r="E1995" s="9"/>
      <c r="F1995" s="9"/>
      <c r="G1995" s="10"/>
    </row>
    <row r="1996" spans="5:7">
      <c r="E1996" s="9"/>
      <c r="F1996" s="9"/>
      <c r="G1996" s="10"/>
    </row>
    <row r="1997" spans="5:7">
      <c r="E1997" s="9"/>
      <c r="F1997" s="9"/>
      <c r="G1997" s="10"/>
    </row>
    <row r="1998" spans="5:7">
      <c r="E1998" s="9"/>
      <c r="F1998" s="9"/>
      <c r="G1998" s="10"/>
    </row>
    <row r="1999" spans="5:7">
      <c r="E1999" s="9"/>
      <c r="F1999" s="9"/>
      <c r="G1999" s="10"/>
    </row>
    <row r="2000" spans="5:7">
      <c r="E2000" s="9"/>
      <c r="F2000" s="9"/>
      <c r="G2000" s="10"/>
    </row>
    <row r="2001" spans="5:7">
      <c r="E2001" s="9"/>
      <c r="F2001" s="9"/>
      <c r="G2001" s="10"/>
    </row>
    <row r="2002" spans="5:7">
      <c r="E2002" s="9"/>
      <c r="F2002" s="9"/>
      <c r="G2002" s="10"/>
    </row>
    <row r="2003" spans="5:7">
      <c r="E2003" s="9"/>
      <c r="F2003" s="9"/>
      <c r="G2003" s="10"/>
    </row>
    <row r="2004" spans="5:7">
      <c r="E2004" s="9"/>
      <c r="F2004" s="9"/>
      <c r="G2004" s="10"/>
    </row>
    <row r="2005" spans="5:7">
      <c r="E2005" s="9"/>
      <c r="F2005" s="9"/>
      <c r="G2005" s="10"/>
    </row>
    <row r="2006" spans="5:7">
      <c r="E2006" s="9"/>
      <c r="F2006" s="9"/>
      <c r="G2006" s="10"/>
    </row>
    <row r="2007" spans="5:7">
      <c r="E2007" s="9"/>
      <c r="F2007" s="9"/>
      <c r="G2007" s="10"/>
    </row>
    <row r="2008" spans="5:7">
      <c r="E2008" s="9"/>
      <c r="F2008" s="9"/>
      <c r="G2008" s="10"/>
    </row>
    <row r="2009" spans="5:7">
      <c r="E2009" s="9"/>
      <c r="F2009" s="9"/>
      <c r="G2009" s="10"/>
    </row>
    <row r="2010" spans="5:7">
      <c r="E2010" s="9"/>
      <c r="F2010" s="9"/>
      <c r="G2010" s="10"/>
    </row>
    <row r="2011" spans="5:7">
      <c r="E2011" s="9"/>
      <c r="F2011" s="9"/>
      <c r="G2011" s="10"/>
    </row>
    <row r="2012" spans="5:7">
      <c r="E2012" s="9"/>
      <c r="F2012" s="9"/>
      <c r="G2012" s="10"/>
    </row>
    <row r="2013" spans="5:7">
      <c r="E2013" s="9"/>
      <c r="F2013" s="9"/>
      <c r="G2013" s="10"/>
    </row>
    <row r="2014" spans="5:7">
      <c r="E2014" s="9"/>
      <c r="F2014" s="9"/>
      <c r="G2014" s="10"/>
    </row>
    <row r="2015" spans="5:7">
      <c r="E2015" s="9"/>
      <c r="F2015" s="9"/>
      <c r="G2015" s="10"/>
    </row>
    <row r="2016" spans="5:7">
      <c r="E2016" s="9"/>
      <c r="F2016" s="9"/>
      <c r="G2016" s="10"/>
    </row>
    <row r="2017" spans="5:7">
      <c r="E2017" s="9"/>
      <c r="F2017" s="9"/>
      <c r="G2017" s="10"/>
    </row>
    <row r="2018" spans="5:7">
      <c r="E2018" s="9"/>
      <c r="F2018" s="9"/>
      <c r="G2018" s="10"/>
    </row>
    <row r="2019" spans="5:7">
      <c r="E2019" s="9"/>
      <c r="F2019" s="9"/>
      <c r="G2019" s="10"/>
    </row>
    <row r="2020" spans="5:7">
      <c r="E2020" s="9"/>
      <c r="F2020" s="9"/>
      <c r="G2020" s="10"/>
    </row>
    <row r="2021" spans="5:7">
      <c r="E2021" s="9"/>
      <c r="F2021" s="9"/>
      <c r="G2021" s="10"/>
    </row>
    <row r="2022" spans="5:7">
      <c r="E2022" s="9"/>
      <c r="F2022" s="9"/>
      <c r="G2022" s="10"/>
    </row>
    <row r="2023" spans="5:7">
      <c r="E2023" s="9"/>
      <c r="F2023" s="9"/>
      <c r="G2023" s="10"/>
    </row>
    <row r="2024" spans="5:7">
      <c r="E2024" s="9"/>
      <c r="F2024" s="9"/>
      <c r="G2024" s="10"/>
    </row>
    <row r="2025" spans="5:7">
      <c r="E2025" s="9"/>
      <c r="F2025" s="9"/>
      <c r="G2025" s="10"/>
    </row>
    <row r="2026" spans="5:7">
      <c r="E2026" s="9"/>
      <c r="F2026" s="9"/>
      <c r="G2026" s="10"/>
    </row>
    <row r="2027" spans="5:7">
      <c r="E2027" s="9"/>
      <c r="F2027" s="9"/>
      <c r="G2027" s="10"/>
    </row>
    <row r="2028" spans="5:7">
      <c r="E2028" s="9"/>
      <c r="F2028" s="9"/>
      <c r="G2028" s="10"/>
    </row>
    <row r="2029" spans="5:7">
      <c r="E2029" s="9"/>
      <c r="F2029" s="9"/>
      <c r="G2029" s="10"/>
    </row>
    <row r="2030" spans="5:7">
      <c r="E2030" s="9"/>
      <c r="F2030" s="9"/>
      <c r="G2030" s="10"/>
    </row>
    <row r="2031" spans="5:7">
      <c r="E2031" s="9"/>
      <c r="F2031" s="9"/>
      <c r="G2031" s="10"/>
    </row>
    <row r="2032" spans="5:7">
      <c r="E2032" s="9"/>
      <c r="F2032" s="9"/>
      <c r="G2032" s="10"/>
    </row>
    <row r="2033" spans="5:7">
      <c r="E2033" s="9"/>
      <c r="F2033" s="9"/>
      <c r="G2033" s="10"/>
    </row>
    <row r="2034" spans="5:7">
      <c r="E2034" s="9"/>
      <c r="F2034" s="9"/>
      <c r="G2034" s="10"/>
    </row>
    <row r="2035" spans="5:7">
      <c r="E2035" s="9"/>
      <c r="F2035" s="9"/>
      <c r="G2035" s="10"/>
    </row>
    <row r="2036" spans="5:7">
      <c r="E2036" s="9"/>
      <c r="F2036" s="9"/>
      <c r="G2036" s="10"/>
    </row>
    <row r="2037" spans="5:7">
      <c r="E2037" s="9"/>
      <c r="F2037" s="9"/>
      <c r="G2037" s="10"/>
    </row>
    <row r="2038" spans="5:7">
      <c r="E2038" s="9"/>
      <c r="F2038" s="9"/>
      <c r="G2038" s="10"/>
    </row>
    <row r="2039" spans="5:7">
      <c r="E2039" s="9"/>
      <c r="F2039" s="9"/>
      <c r="G2039" s="10"/>
    </row>
    <row r="2040" spans="5:7">
      <c r="E2040" s="9"/>
      <c r="F2040" s="9"/>
      <c r="G2040" s="10"/>
    </row>
    <row r="2041" spans="5:7">
      <c r="E2041" s="9"/>
      <c r="F2041" s="9"/>
      <c r="G2041" s="10"/>
    </row>
    <row r="2042" spans="5:7">
      <c r="E2042" s="9"/>
      <c r="F2042" s="9"/>
      <c r="G2042" s="10"/>
    </row>
    <row r="2043" spans="5:7">
      <c r="E2043" s="9"/>
      <c r="F2043" s="9"/>
      <c r="G2043" s="10"/>
    </row>
    <row r="2044" spans="5:7">
      <c r="E2044" s="9"/>
      <c r="F2044" s="9"/>
      <c r="G2044" s="10"/>
    </row>
    <row r="2045" spans="5:7">
      <c r="E2045" s="9"/>
      <c r="F2045" s="9"/>
      <c r="G2045" s="10"/>
    </row>
    <row r="2046" spans="5:7">
      <c r="E2046" s="9"/>
      <c r="F2046" s="9"/>
      <c r="G2046" s="10"/>
    </row>
    <row r="2047" spans="5:7">
      <c r="E2047" s="9"/>
      <c r="F2047" s="9"/>
      <c r="G2047" s="10"/>
    </row>
    <row r="2048" spans="5:7">
      <c r="E2048" s="9"/>
      <c r="F2048" s="9"/>
      <c r="G2048" s="10"/>
    </row>
    <row r="2049" spans="5:7">
      <c r="E2049" s="9"/>
      <c r="F2049" s="9"/>
      <c r="G2049" s="10"/>
    </row>
    <row r="2050" spans="5:7">
      <c r="E2050" s="9"/>
      <c r="F2050" s="9"/>
      <c r="G2050" s="10"/>
    </row>
    <row r="2051" spans="5:7">
      <c r="E2051" s="9"/>
      <c r="F2051" s="9"/>
      <c r="G2051" s="10"/>
    </row>
    <row r="2052" spans="5:7">
      <c r="E2052" s="9"/>
      <c r="F2052" s="9"/>
      <c r="G2052" s="10"/>
    </row>
    <row r="2053" spans="5:7">
      <c r="E2053" s="9"/>
      <c r="F2053" s="9"/>
      <c r="G2053" s="10"/>
    </row>
    <row r="2054" spans="5:7">
      <c r="E2054" s="9"/>
      <c r="F2054" s="9"/>
      <c r="G2054" s="10"/>
    </row>
    <row r="2055" spans="5:7">
      <c r="E2055" s="9"/>
      <c r="F2055" s="9"/>
      <c r="G2055" s="10"/>
    </row>
    <row r="2056" spans="5:7">
      <c r="E2056" s="9"/>
      <c r="F2056" s="9"/>
      <c r="G2056" s="10"/>
    </row>
    <row r="2057" spans="5:7">
      <c r="E2057" s="9"/>
      <c r="F2057" s="9"/>
      <c r="G2057" s="10"/>
    </row>
    <row r="2058" spans="5:7">
      <c r="E2058" s="9"/>
      <c r="F2058" s="9"/>
      <c r="G2058" s="10"/>
    </row>
    <row r="2059" spans="5:7">
      <c r="E2059" s="9"/>
      <c r="F2059" s="9"/>
      <c r="G2059" s="10"/>
    </row>
    <row r="2060" spans="5:7">
      <c r="E2060" s="9"/>
      <c r="F2060" s="9"/>
      <c r="G2060" s="10"/>
    </row>
    <row r="2061" spans="5:7">
      <c r="E2061" s="9"/>
      <c r="F2061" s="9"/>
      <c r="G2061" s="10"/>
    </row>
    <row r="2062" spans="5:7">
      <c r="E2062" s="9"/>
      <c r="F2062" s="9"/>
      <c r="G2062" s="10"/>
    </row>
    <row r="2063" spans="5:7">
      <c r="E2063" s="9"/>
      <c r="F2063" s="9"/>
      <c r="G2063" s="10"/>
    </row>
    <row r="2064" spans="5:7">
      <c r="E2064" s="9"/>
      <c r="F2064" s="9"/>
      <c r="G2064" s="10"/>
    </row>
    <row r="2065" spans="5:7">
      <c r="E2065" s="9"/>
      <c r="F2065" s="9"/>
      <c r="G2065" s="10"/>
    </row>
    <row r="2066" spans="5:7">
      <c r="E2066" s="9"/>
      <c r="F2066" s="9"/>
      <c r="G2066" s="10"/>
    </row>
    <row r="2067" spans="5:7">
      <c r="E2067" s="9"/>
      <c r="F2067" s="9"/>
      <c r="G2067" s="10"/>
    </row>
    <row r="2068" spans="5:7">
      <c r="E2068" s="9"/>
      <c r="F2068" s="9"/>
      <c r="G2068" s="10"/>
    </row>
    <row r="2069" spans="5:7">
      <c r="E2069" s="9"/>
      <c r="F2069" s="9"/>
      <c r="G2069" s="10"/>
    </row>
    <row r="2070" spans="5:7">
      <c r="E2070" s="9"/>
      <c r="F2070" s="9"/>
      <c r="G2070" s="10"/>
    </row>
    <row r="2071" spans="5:7">
      <c r="E2071" s="9"/>
      <c r="F2071" s="9"/>
      <c r="G2071" s="10"/>
    </row>
    <row r="2072" spans="5:7">
      <c r="E2072" s="9"/>
      <c r="F2072" s="9"/>
      <c r="G2072" s="10"/>
    </row>
    <row r="2073" spans="5:7">
      <c r="E2073" s="9"/>
      <c r="F2073" s="9"/>
      <c r="G2073" s="10"/>
    </row>
    <row r="2074" spans="5:7">
      <c r="E2074" s="9"/>
      <c r="F2074" s="9"/>
      <c r="G2074" s="10"/>
    </row>
    <row r="2075" spans="5:7">
      <c r="E2075" s="9"/>
      <c r="F2075" s="9"/>
      <c r="G2075" s="10"/>
    </row>
    <row r="2076" spans="5:7">
      <c r="E2076" s="9"/>
      <c r="F2076" s="9"/>
      <c r="G2076" s="10"/>
    </row>
    <row r="2077" spans="5:7">
      <c r="E2077" s="9"/>
      <c r="F2077" s="9"/>
      <c r="G2077" s="10"/>
    </row>
    <row r="2078" spans="5:7">
      <c r="E2078" s="9"/>
      <c r="F2078" s="9"/>
      <c r="G2078" s="10"/>
    </row>
    <row r="2079" spans="5:7">
      <c r="E2079" s="9"/>
      <c r="F2079" s="9"/>
      <c r="G2079" s="10"/>
    </row>
    <row r="2080" spans="5:7">
      <c r="E2080" s="9"/>
      <c r="F2080" s="9"/>
      <c r="G2080" s="10"/>
    </row>
    <row r="2081" spans="5:7">
      <c r="E2081" s="9"/>
      <c r="F2081" s="9"/>
      <c r="G2081" s="10"/>
    </row>
    <row r="2082" spans="5:7">
      <c r="E2082" s="9"/>
      <c r="F2082" s="9"/>
      <c r="G2082" s="10"/>
    </row>
    <row r="2083" spans="5:7">
      <c r="E2083" s="9"/>
      <c r="F2083" s="9"/>
      <c r="G2083" s="10"/>
    </row>
    <row r="2084" spans="5:7">
      <c r="E2084" s="9"/>
      <c r="F2084" s="9"/>
      <c r="G2084" s="10"/>
    </row>
    <row r="2085" spans="5:7">
      <c r="E2085" s="9"/>
      <c r="F2085" s="9"/>
      <c r="G2085" s="10"/>
    </row>
    <row r="2086" spans="5:7">
      <c r="E2086" s="9"/>
      <c r="F2086" s="9"/>
      <c r="G2086" s="10"/>
    </row>
    <row r="2087" spans="5:7">
      <c r="E2087" s="9"/>
      <c r="F2087" s="9"/>
      <c r="G2087" s="10"/>
    </row>
    <row r="2088" spans="5:7">
      <c r="E2088" s="9"/>
      <c r="F2088" s="9"/>
      <c r="G2088" s="10"/>
    </row>
    <row r="2089" spans="5:7">
      <c r="E2089" s="9"/>
      <c r="F2089" s="9"/>
      <c r="G2089" s="10"/>
    </row>
    <row r="2090" spans="5:7">
      <c r="E2090" s="9"/>
      <c r="F2090" s="9"/>
      <c r="G2090" s="10"/>
    </row>
    <row r="2091" spans="5:7">
      <c r="E2091" s="9"/>
      <c r="F2091" s="9"/>
      <c r="G2091" s="10"/>
    </row>
    <row r="2092" spans="5:7">
      <c r="E2092" s="9"/>
      <c r="F2092" s="9"/>
      <c r="G2092" s="10"/>
    </row>
    <row r="2093" spans="5:7">
      <c r="E2093" s="9"/>
      <c r="F2093" s="9"/>
      <c r="G2093" s="10"/>
    </row>
    <row r="2094" spans="5:7">
      <c r="E2094" s="9"/>
      <c r="F2094" s="9"/>
      <c r="G2094" s="10"/>
    </row>
    <row r="2095" spans="5:7">
      <c r="E2095" s="9"/>
      <c r="F2095" s="9"/>
      <c r="G2095" s="10"/>
    </row>
    <row r="2096" spans="5:7">
      <c r="E2096" s="9"/>
      <c r="F2096" s="9"/>
      <c r="G2096" s="10"/>
    </row>
    <row r="2097" spans="5:7">
      <c r="E2097" s="9"/>
      <c r="F2097" s="9"/>
      <c r="G2097" s="10"/>
    </row>
    <row r="2098" spans="5:7">
      <c r="E2098" s="9"/>
      <c r="F2098" s="9"/>
      <c r="G2098" s="10"/>
    </row>
    <row r="2099" spans="5:7">
      <c r="E2099" s="9"/>
      <c r="F2099" s="9"/>
      <c r="G2099" s="10"/>
    </row>
    <row r="2100" spans="5:7">
      <c r="E2100" s="9"/>
      <c r="F2100" s="9"/>
      <c r="G2100" s="10"/>
    </row>
    <row r="2101" spans="5:7">
      <c r="E2101" s="9"/>
      <c r="F2101" s="9"/>
      <c r="G2101" s="10"/>
    </row>
    <row r="2102" spans="5:7">
      <c r="E2102" s="9"/>
      <c r="F2102" s="9"/>
      <c r="G2102" s="10"/>
    </row>
    <row r="2103" spans="5:7">
      <c r="E2103" s="9"/>
      <c r="F2103" s="9"/>
      <c r="G2103" s="10"/>
    </row>
    <row r="2104" spans="5:7">
      <c r="E2104" s="9"/>
      <c r="F2104" s="9"/>
      <c r="G2104" s="10"/>
    </row>
    <row r="2105" spans="5:7">
      <c r="E2105" s="9"/>
      <c r="F2105" s="9"/>
      <c r="G2105" s="10"/>
    </row>
    <row r="2106" spans="5:7">
      <c r="E2106" s="9"/>
      <c r="F2106" s="9"/>
      <c r="G2106" s="10"/>
    </row>
    <row r="2107" spans="5:7">
      <c r="E2107" s="9"/>
      <c r="F2107" s="9"/>
      <c r="G2107" s="10"/>
    </row>
    <row r="2108" spans="5:7">
      <c r="E2108" s="9"/>
      <c r="F2108" s="9"/>
      <c r="G2108" s="10"/>
    </row>
    <row r="2109" spans="5:7">
      <c r="E2109" s="9"/>
      <c r="F2109" s="9"/>
      <c r="G2109" s="10"/>
    </row>
    <row r="2110" spans="5:7">
      <c r="E2110" s="9"/>
      <c r="F2110" s="9"/>
      <c r="G2110" s="10"/>
    </row>
    <row r="2111" spans="5:7">
      <c r="E2111" s="9"/>
      <c r="F2111" s="9"/>
      <c r="G2111" s="10"/>
    </row>
    <row r="2112" spans="5:7">
      <c r="E2112" s="9"/>
      <c r="F2112" s="9"/>
      <c r="G2112" s="10"/>
    </row>
    <row r="2113" spans="5:7">
      <c r="E2113" s="9"/>
      <c r="F2113" s="9"/>
      <c r="G2113" s="10"/>
    </row>
    <row r="2114" spans="5:7">
      <c r="E2114" s="9"/>
      <c r="F2114" s="9"/>
      <c r="G2114" s="10"/>
    </row>
    <row r="2115" spans="5:7">
      <c r="E2115" s="9"/>
      <c r="F2115" s="9"/>
      <c r="G2115" s="10"/>
    </row>
    <row r="2116" spans="5:7">
      <c r="E2116" s="9"/>
      <c r="F2116" s="9"/>
      <c r="G2116" s="10"/>
    </row>
    <row r="2117" spans="5:7">
      <c r="E2117" s="9"/>
      <c r="F2117" s="9"/>
      <c r="G2117" s="10"/>
    </row>
    <row r="2118" spans="5:7">
      <c r="E2118" s="9"/>
      <c r="F2118" s="9"/>
      <c r="G2118" s="10"/>
    </row>
    <row r="2119" spans="5:7">
      <c r="E2119" s="9"/>
      <c r="F2119" s="9"/>
      <c r="G2119" s="10"/>
    </row>
    <row r="2120" spans="5:7">
      <c r="E2120" s="9"/>
      <c r="F2120" s="9"/>
      <c r="G2120" s="10"/>
    </row>
    <row r="2121" spans="5:7">
      <c r="E2121" s="9"/>
      <c r="F2121" s="9"/>
      <c r="G2121" s="10"/>
    </row>
    <row r="2122" spans="5:7">
      <c r="E2122" s="9"/>
      <c r="F2122" s="9"/>
      <c r="G2122" s="10"/>
    </row>
    <row r="2123" spans="5:7">
      <c r="E2123" s="9"/>
      <c r="F2123" s="9"/>
      <c r="G2123" s="10"/>
    </row>
    <row r="2124" spans="5:7">
      <c r="E2124" s="9"/>
      <c r="F2124" s="9"/>
      <c r="G2124" s="10"/>
    </row>
    <row r="2125" spans="5:7">
      <c r="E2125" s="9"/>
      <c r="F2125" s="9"/>
      <c r="G2125" s="10"/>
    </row>
    <row r="2126" spans="5:7">
      <c r="E2126" s="9"/>
      <c r="F2126" s="9"/>
      <c r="G2126" s="10"/>
    </row>
    <row r="2127" spans="5:7">
      <c r="E2127" s="9"/>
      <c r="F2127" s="9"/>
      <c r="G2127" s="10"/>
    </row>
    <row r="2128" spans="5:7">
      <c r="E2128" s="9"/>
      <c r="F2128" s="9"/>
      <c r="G2128" s="10"/>
    </row>
    <row r="2129" spans="5:7">
      <c r="E2129" s="9"/>
      <c r="F2129" s="9"/>
      <c r="G2129" s="10"/>
    </row>
    <row r="2130" spans="5:7">
      <c r="E2130" s="9"/>
      <c r="F2130" s="9"/>
      <c r="G2130" s="10"/>
    </row>
    <row r="2131" spans="5:7">
      <c r="E2131" s="9"/>
      <c r="F2131" s="9"/>
      <c r="G2131" s="10"/>
    </row>
    <row r="2132" spans="5:7">
      <c r="E2132" s="9"/>
      <c r="F2132" s="9"/>
      <c r="G2132" s="10"/>
    </row>
    <row r="2133" spans="5:7">
      <c r="E2133" s="9"/>
      <c r="F2133" s="9"/>
      <c r="G2133" s="10"/>
    </row>
    <row r="2134" spans="5:7">
      <c r="E2134" s="9"/>
      <c r="F2134" s="9"/>
      <c r="G2134" s="10"/>
    </row>
    <row r="2135" spans="5:7">
      <c r="E2135" s="9"/>
      <c r="F2135" s="9"/>
      <c r="G2135" s="10"/>
    </row>
    <row r="2136" spans="5:7">
      <c r="E2136" s="9"/>
      <c r="F2136" s="9"/>
      <c r="G2136" s="10"/>
    </row>
    <row r="2137" spans="5:7">
      <c r="E2137" s="9"/>
      <c r="F2137" s="9"/>
      <c r="G2137" s="10"/>
    </row>
    <row r="2138" spans="5:7">
      <c r="E2138" s="9"/>
      <c r="F2138" s="9"/>
      <c r="G2138" s="10"/>
    </row>
    <row r="2139" spans="5:7">
      <c r="E2139" s="9"/>
      <c r="F2139" s="9"/>
      <c r="G2139" s="10"/>
    </row>
    <row r="2140" spans="5:7">
      <c r="E2140" s="9"/>
      <c r="F2140" s="9"/>
      <c r="G2140" s="10"/>
    </row>
    <row r="2141" spans="5:7">
      <c r="E2141" s="9"/>
      <c r="F2141" s="9"/>
      <c r="G2141" s="10"/>
    </row>
    <row r="2142" spans="5:7">
      <c r="E2142" s="9"/>
      <c r="F2142" s="9"/>
      <c r="G2142" s="10"/>
    </row>
    <row r="2143" spans="5:7">
      <c r="E2143" s="9"/>
      <c r="F2143" s="9"/>
      <c r="G2143" s="10"/>
    </row>
    <row r="2144" spans="5:7">
      <c r="E2144" s="9"/>
      <c r="F2144" s="9"/>
      <c r="G2144" s="10"/>
    </row>
    <row r="2145" spans="5:7">
      <c r="E2145" s="9"/>
      <c r="F2145" s="9"/>
      <c r="G2145" s="10"/>
    </row>
    <row r="2146" spans="5:7">
      <c r="E2146" s="9"/>
      <c r="F2146" s="9"/>
      <c r="G2146" s="10"/>
    </row>
    <row r="2147" spans="5:7">
      <c r="E2147" s="9"/>
      <c r="F2147" s="9"/>
      <c r="G2147" s="10"/>
    </row>
    <row r="2148" spans="5:7">
      <c r="E2148" s="9"/>
      <c r="F2148" s="9"/>
      <c r="G2148" s="10"/>
    </row>
    <row r="2149" spans="5:7">
      <c r="E2149" s="9"/>
      <c r="F2149" s="9"/>
      <c r="G2149" s="10"/>
    </row>
    <row r="2150" spans="5:7">
      <c r="E2150" s="9"/>
      <c r="F2150" s="9"/>
      <c r="G2150" s="10"/>
    </row>
    <row r="2151" spans="5:7">
      <c r="E2151" s="9"/>
      <c r="F2151" s="9"/>
      <c r="G2151" s="10"/>
    </row>
    <row r="2152" spans="5:7">
      <c r="E2152" s="9"/>
      <c r="F2152" s="9"/>
      <c r="G2152" s="10"/>
    </row>
    <row r="2153" spans="5:7">
      <c r="E2153" s="9"/>
      <c r="F2153" s="9"/>
      <c r="G2153" s="10"/>
    </row>
    <row r="2154" spans="5:7">
      <c r="E2154" s="9"/>
      <c r="F2154" s="9"/>
      <c r="G2154" s="10"/>
    </row>
    <row r="2155" spans="5:7">
      <c r="E2155" s="9"/>
      <c r="F2155" s="9"/>
      <c r="G2155" s="10"/>
    </row>
    <row r="2156" spans="5:7">
      <c r="E2156" s="9"/>
      <c r="F2156" s="9"/>
      <c r="G2156" s="10"/>
    </row>
    <row r="2157" spans="5:7">
      <c r="E2157" s="9"/>
      <c r="F2157" s="9"/>
      <c r="G2157" s="10"/>
    </row>
    <row r="2158" spans="5:7">
      <c r="E2158" s="9"/>
      <c r="F2158" s="9"/>
      <c r="G2158" s="10"/>
    </row>
    <row r="2159" spans="5:7">
      <c r="E2159" s="9"/>
      <c r="F2159" s="9"/>
      <c r="G2159" s="10"/>
    </row>
    <row r="2160" spans="5:7">
      <c r="E2160" s="9"/>
      <c r="F2160" s="9"/>
      <c r="G2160" s="10"/>
    </row>
    <row r="2161" spans="5:7">
      <c r="E2161" s="9"/>
      <c r="F2161" s="9"/>
      <c r="G2161" s="10"/>
    </row>
    <row r="2162" spans="5:7">
      <c r="E2162" s="9"/>
      <c r="F2162" s="9"/>
      <c r="G2162" s="10"/>
    </row>
    <row r="2163" spans="5:7">
      <c r="E2163" s="9"/>
      <c r="F2163" s="9"/>
      <c r="G2163" s="10"/>
    </row>
    <row r="2164" spans="5:7">
      <c r="E2164" s="9"/>
      <c r="F2164" s="9"/>
      <c r="G2164" s="10"/>
    </row>
    <row r="2165" spans="5:7">
      <c r="E2165" s="9"/>
      <c r="F2165" s="9"/>
      <c r="G2165" s="10"/>
    </row>
    <row r="2166" spans="5:7">
      <c r="E2166" s="9"/>
      <c r="F2166" s="9"/>
      <c r="G2166" s="10"/>
    </row>
    <row r="2167" spans="5:7">
      <c r="E2167" s="9"/>
      <c r="F2167" s="9"/>
      <c r="G2167" s="10"/>
    </row>
    <row r="2168" spans="5:7">
      <c r="E2168" s="9"/>
      <c r="F2168" s="9"/>
      <c r="G2168" s="10"/>
    </row>
    <row r="2169" spans="5:7">
      <c r="E2169" s="9"/>
      <c r="F2169" s="9"/>
      <c r="G2169" s="10"/>
    </row>
    <row r="2170" spans="5:7">
      <c r="E2170" s="9"/>
      <c r="F2170" s="9"/>
      <c r="G2170" s="10"/>
    </row>
    <row r="2171" spans="5:7">
      <c r="E2171" s="9"/>
      <c r="F2171" s="9"/>
      <c r="G2171" s="10"/>
    </row>
    <row r="2172" spans="5:7">
      <c r="E2172" s="9"/>
      <c r="F2172" s="9"/>
      <c r="G2172" s="10"/>
    </row>
    <row r="2173" spans="5:7">
      <c r="E2173" s="9"/>
      <c r="F2173" s="9"/>
      <c r="G2173" s="10"/>
    </row>
    <row r="2174" spans="5:7">
      <c r="E2174" s="9"/>
      <c r="F2174" s="9"/>
      <c r="G2174" s="10"/>
    </row>
    <row r="2175" spans="5:7">
      <c r="E2175" s="9"/>
      <c r="F2175" s="9"/>
      <c r="G2175" s="10"/>
    </row>
    <row r="2176" spans="5:7">
      <c r="E2176" s="9"/>
      <c r="F2176" s="9"/>
      <c r="G2176" s="10"/>
    </row>
    <row r="2177" spans="5:7">
      <c r="E2177" s="9"/>
      <c r="F2177" s="9"/>
      <c r="G2177" s="10"/>
    </row>
    <row r="2178" spans="5:7">
      <c r="E2178" s="9"/>
      <c r="F2178" s="9"/>
      <c r="G2178" s="10"/>
    </row>
    <row r="2179" spans="5:7">
      <c r="E2179" s="9"/>
      <c r="F2179" s="9"/>
      <c r="G2179" s="10"/>
    </row>
    <row r="2180" spans="5:7">
      <c r="E2180" s="9"/>
      <c r="F2180" s="9"/>
      <c r="G2180" s="10"/>
    </row>
    <row r="2181" spans="5:7">
      <c r="E2181" s="9"/>
      <c r="F2181" s="9"/>
      <c r="G2181" s="10"/>
    </row>
    <row r="2182" spans="5:7">
      <c r="E2182" s="9"/>
      <c r="F2182" s="9"/>
      <c r="G2182" s="10"/>
    </row>
    <row r="2183" spans="5:7">
      <c r="E2183" s="9"/>
      <c r="F2183" s="9"/>
      <c r="G2183" s="10"/>
    </row>
    <row r="2184" spans="5:7">
      <c r="E2184" s="9"/>
      <c r="F2184" s="9"/>
      <c r="G2184" s="10"/>
    </row>
    <row r="2185" spans="5:7">
      <c r="E2185" s="9"/>
      <c r="F2185" s="9"/>
      <c r="G2185" s="10"/>
    </row>
    <row r="2186" spans="5:7">
      <c r="E2186" s="9"/>
      <c r="F2186" s="9"/>
      <c r="G2186" s="10"/>
    </row>
    <row r="2187" spans="5:7">
      <c r="E2187" s="9"/>
      <c r="F2187" s="9"/>
      <c r="G2187" s="10"/>
    </row>
    <row r="2188" spans="5:7">
      <c r="E2188" s="9"/>
      <c r="F2188" s="9"/>
      <c r="G2188" s="10"/>
    </row>
    <row r="2189" spans="5:7">
      <c r="E2189" s="9"/>
      <c r="F2189" s="9"/>
      <c r="G2189" s="10"/>
    </row>
    <row r="2190" spans="5:7">
      <c r="E2190" s="9"/>
      <c r="F2190" s="9"/>
      <c r="G2190" s="10"/>
    </row>
    <row r="2191" spans="5:7">
      <c r="E2191" s="9"/>
      <c r="F2191" s="9"/>
      <c r="G2191" s="10"/>
    </row>
    <row r="2192" spans="5:7">
      <c r="E2192" s="9"/>
      <c r="F2192" s="9"/>
      <c r="G2192" s="10"/>
    </row>
    <row r="2193" spans="5:7">
      <c r="E2193" s="9"/>
      <c r="F2193" s="9"/>
      <c r="G2193" s="10"/>
    </row>
    <row r="2194" spans="5:7">
      <c r="E2194" s="9"/>
      <c r="F2194" s="9"/>
      <c r="G2194" s="10"/>
    </row>
    <row r="2195" spans="5:7">
      <c r="E2195" s="9"/>
      <c r="F2195" s="9"/>
      <c r="G2195" s="10"/>
    </row>
    <row r="2196" spans="5:7">
      <c r="E2196" s="9"/>
      <c r="F2196" s="9"/>
      <c r="G2196" s="10"/>
    </row>
    <row r="2197" spans="5:7">
      <c r="E2197" s="9"/>
      <c r="F2197" s="9"/>
      <c r="G2197" s="10"/>
    </row>
    <row r="2198" spans="5:7">
      <c r="E2198" s="9"/>
      <c r="F2198" s="9"/>
      <c r="G2198" s="10"/>
    </row>
    <row r="2199" spans="5:7">
      <c r="E2199" s="9"/>
      <c r="F2199" s="9"/>
      <c r="G2199" s="10"/>
    </row>
    <row r="2200" spans="5:7">
      <c r="E2200" s="9"/>
      <c r="F2200" s="9"/>
      <c r="G2200" s="10"/>
    </row>
    <row r="2201" spans="5:7">
      <c r="E2201" s="9"/>
      <c r="F2201" s="9"/>
      <c r="G2201" s="10"/>
    </row>
    <row r="2202" spans="5:7">
      <c r="E2202" s="9"/>
      <c r="F2202" s="9"/>
      <c r="G2202" s="10"/>
    </row>
    <row r="2203" spans="5:7">
      <c r="E2203" s="9"/>
      <c r="F2203" s="9"/>
      <c r="G2203" s="10"/>
    </row>
    <row r="2204" spans="5:7">
      <c r="E2204" s="9"/>
      <c r="F2204" s="9"/>
      <c r="G2204" s="10"/>
    </row>
    <row r="2205" spans="5:7">
      <c r="E2205" s="9"/>
      <c r="F2205" s="9"/>
      <c r="G2205" s="10"/>
    </row>
    <row r="2206" spans="5:7">
      <c r="E2206" s="9"/>
      <c r="F2206" s="9"/>
      <c r="G2206" s="10"/>
    </row>
    <row r="2207" spans="5:7">
      <c r="E2207" s="9"/>
      <c r="F2207" s="9"/>
      <c r="G2207" s="10"/>
    </row>
    <row r="2208" spans="5:7">
      <c r="E2208" s="9"/>
      <c r="F2208" s="9"/>
      <c r="G2208" s="10"/>
    </row>
    <row r="2209" spans="5:7">
      <c r="E2209" s="9"/>
      <c r="F2209" s="9"/>
      <c r="G2209" s="10"/>
    </row>
    <row r="2210" spans="5:7">
      <c r="E2210" s="9"/>
      <c r="F2210" s="9"/>
      <c r="G2210" s="10"/>
    </row>
    <row r="2211" spans="5:7">
      <c r="E2211" s="9"/>
      <c r="F2211" s="9"/>
      <c r="G2211" s="10"/>
    </row>
    <row r="2212" spans="5:7">
      <c r="E2212" s="9"/>
      <c r="F2212" s="9"/>
      <c r="G2212" s="10"/>
    </row>
    <row r="2213" spans="5:7">
      <c r="E2213" s="9"/>
      <c r="F2213" s="9"/>
      <c r="G2213" s="10"/>
    </row>
    <row r="2214" spans="5:7">
      <c r="E2214" s="9"/>
      <c r="F2214" s="9"/>
      <c r="G2214" s="10"/>
    </row>
    <row r="2215" spans="5:7">
      <c r="E2215" s="9"/>
      <c r="F2215" s="9"/>
      <c r="G2215" s="10"/>
    </row>
    <row r="2216" spans="5:7">
      <c r="E2216" s="9"/>
      <c r="F2216" s="9"/>
      <c r="G2216" s="10"/>
    </row>
    <row r="2217" spans="5:7">
      <c r="E2217" s="9"/>
      <c r="F2217" s="9"/>
      <c r="G2217" s="10"/>
    </row>
    <row r="2218" spans="5:7">
      <c r="E2218" s="9"/>
      <c r="F2218" s="9"/>
      <c r="G2218" s="10"/>
    </row>
    <row r="2219" spans="5:7">
      <c r="E2219" s="9"/>
      <c r="F2219" s="9"/>
      <c r="G2219" s="10"/>
    </row>
    <row r="2220" spans="5:7">
      <c r="E2220" s="9"/>
      <c r="F2220" s="9"/>
      <c r="G2220" s="10"/>
    </row>
    <row r="2221" spans="5:7">
      <c r="E2221" s="9"/>
      <c r="F2221" s="9"/>
      <c r="G2221" s="10"/>
    </row>
    <row r="2222" spans="5:7">
      <c r="E2222" s="9"/>
      <c r="F2222" s="9"/>
      <c r="G2222" s="10"/>
    </row>
    <row r="2223" spans="5:7">
      <c r="E2223" s="9"/>
      <c r="F2223" s="9"/>
      <c r="G2223" s="10"/>
    </row>
    <row r="2224" spans="5:7">
      <c r="E2224" s="9"/>
      <c r="F2224" s="9"/>
      <c r="G2224" s="10"/>
    </row>
    <row r="2225" spans="5:7">
      <c r="E2225" s="9"/>
      <c r="F2225" s="9"/>
      <c r="G2225" s="10"/>
    </row>
    <row r="2226" spans="5:7">
      <c r="E2226" s="9"/>
      <c r="F2226" s="9"/>
      <c r="G2226" s="10"/>
    </row>
    <row r="2227" spans="5:7">
      <c r="E2227" s="9"/>
      <c r="F2227" s="9"/>
      <c r="G2227" s="10"/>
    </row>
    <row r="2228" spans="5:7">
      <c r="E2228" s="9"/>
      <c r="F2228" s="9"/>
      <c r="G2228" s="10"/>
    </row>
    <row r="2229" spans="5:7">
      <c r="E2229" s="9"/>
      <c r="F2229" s="9"/>
      <c r="G2229" s="10"/>
    </row>
    <row r="2230" spans="5:7">
      <c r="E2230" s="9"/>
      <c r="F2230" s="9"/>
      <c r="G2230" s="10"/>
    </row>
    <row r="2231" spans="5:7">
      <c r="E2231" s="9"/>
      <c r="F2231" s="9"/>
      <c r="G2231" s="10"/>
    </row>
    <row r="2232" spans="5:7">
      <c r="E2232" s="9"/>
      <c r="F2232" s="9"/>
      <c r="G2232" s="10"/>
    </row>
    <row r="2233" spans="5:7">
      <c r="E2233" s="9"/>
      <c r="F2233" s="9"/>
      <c r="G2233" s="10"/>
    </row>
    <row r="2234" spans="5:7">
      <c r="E2234" s="9"/>
      <c r="F2234" s="9"/>
      <c r="G2234" s="10"/>
    </row>
    <row r="2235" spans="5:7">
      <c r="E2235" s="9"/>
      <c r="F2235" s="9"/>
      <c r="G2235" s="10"/>
    </row>
    <row r="2236" spans="5:7">
      <c r="E2236" s="9"/>
      <c r="F2236" s="9"/>
      <c r="G2236" s="10"/>
    </row>
    <row r="2237" spans="5:7">
      <c r="E2237" s="9"/>
      <c r="F2237" s="9"/>
      <c r="G2237" s="10"/>
    </row>
    <row r="2238" spans="5:7">
      <c r="E2238" s="9"/>
      <c r="F2238" s="9"/>
      <c r="G2238" s="10"/>
    </row>
    <row r="2239" spans="5:7">
      <c r="E2239" s="9"/>
      <c r="F2239" s="9"/>
      <c r="G2239" s="10"/>
    </row>
    <row r="2240" spans="5:7">
      <c r="E2240" s="9"/>
      <c r="F2240" s="9"/>
      <c r="G2240" s="10"/>
    </row>
    <row r="2241" spans="5:7">
      <c r="E2241" s="9"/>
      <c r="F2241" s="9"/>
      <c r="G2241" s="10"/>
    </row>
    <row r="2242" spans="5:7">
      <c r="E2242" s="9"/>
      <c r="F2242" s="9"/>
      <c r="G2242" s="10"/>
    </row>
    <row r="2243" spans="5:7">
      <c r="E2243" s="9"/>
      <c r="F2243" s="9"/>
      <c r="G2243" s="10"/>
    </row>
    <row r="2244" spans="5:7">
      <c r="E2244" s="9"/>
      <c r="F2244" s="9"/>
      <c r="G2244" s="10"/>
    </row>
    <row r="2245" spans="5:7">
      <c r="E2245" s="9"/>
      <c r="F2245" s="9"/>
      <c r="G2245" s="10"/>
    </row>
    <row r="2246" spans="5:7">
      <c r="E2246" s="9"/>
      <c r="F2246" s="9"/>
      <c r="G2246" s="10"/>
    </row>
    <row r="2247" spans="5:7">
      <c r="E2247" s="9"/>
      <c r="F2247" s="9"/>
      <c r="G2247" s="10"/>
    </row>
    <row r="2248" spans="5:7">
      <c r="E2248" s="9"/>
      <c r="F2248" s="9"/>
      <c r="G2248" s="10"/>
    </row>
    <row r="2249" spans="5:7">
      <c r="E2249" s="9"/>
      <c r="F2249" s="9"/>
      <c r="G2249" s="10"/>
    </row>
    <row r="2250" spans="5:7">
      <c r="E2250" s="9"/>
      <c r="F2250" s="9"/>
      <c r="G2250" s="10"/>
    </row>
    <row r="2251" spans="5:7">
      <c r="E2251" s="9"/>
      <c r="F2251" s="9"/>
      <c r="G2251" s="10"/>
    </row>
    <row r="2252" spans="5:7">
      <c r="E2252" s="9"/>
      <c r="F2252" s="9"/>
      <c r="G2252" s="10"/>
    </row>
    <row r="2253" spans="5:7">
      <c r="E2253" s="9"/>
      <c r="F2253" s="9"/>
      <c r="G2253" s="10"/>
    </row>
    <row r="2254" spans="5:7">
      <c r="E2254" s="9"/>
      <c r="F2254" s="9"/>
      <c r="G2254" s="10"/>
    </row>
    <row r="2255" spans="5:7">
      <c r="E2255" s="9"/>
      <c r="F2255" s="9"/>
      <c r="G2255" s="10"/>
    </row>
    <row r="2256" spans="5:7">
      <c r="E2256" s="9"/>
      <c r="F2256" s="9"/>
      <c r="G2256" s="10"/>
    </row>
    <row r="2257" spans="5:7">
      <c r="E2257" s="9"/>
      <c r="F2257" s="9"/>
      <c r="G2257" s="10"/>
    </row>
    <row r="2258" spans="5:7">
      <c r="E2258" s="9"/>
      <c r="F2258" s="9"/>
      <c r="G2258" s="10"/>
    </row>
    <row r="2259" spans="5:7">
      <c r="E2259" s="9"/>
      <c r="F2259" s="9"/>
      <c r="G2259" s="10"/>
    </row>
    <row r="2260" spans="5:7">
      <c r="E2260" s="9"/>
      <c r="F2260" s="9"/>
      <c r="G2260" s="10"/>
    </row>
    <row r="2261" spans="5:7">
      <c r="E2261" s="9"/>
      <c r="F2261" s="9"/>
      <c r="G2261" s="10"/>
    </row>
    <row r="2262" spans="5:7">
      <c r="E2262" s="9"/>
      <c r="F2262" s="9"/>
      <c r="G2262" s="10"/>
    </row>
    <row r="2263" spans="5:7">
      <c r="E2263" s="9"/>
      <c r="F2263" s="9"/>
      <c r="G2263" s="10"/>
    </row>
    <row r="2264" spans="5:7">
      <c r="E2264" s="9"/>
      <c r="F2264" s="9"/>
      <c r="G2264" s="10"/>
    </row>
    <row r="2265" spans="5:7">
      <c r="E2265" s="9"/>
      <c r="F2265" s="9"/>
      <c r="G2265" s="10"/>
    </row>
    <row r="2266" spans="5:7">
      <c r="E2266" s="9"/>
      <c r="F2266" s="9"/>
      <c r="G2266" s="10"/>
    </row>
    <row r="2267" spans="5:7">
      <c r="E2267" s="9"/>
      <c r="F2267" s="9"/>
      <c r="G2267" s="10"/>
    </row>
    <row r="2268" spans="5:7">
      <c r="E2268" s="9"/>
      <c r="F2268" s="9"/>
      <c r="G2268" s="10"/>
    </row>
    <row r="2269" spans="5:7">
      <c r="E2269" s="9"/>
      <c r="F2269" s="9"/>
      <c r="G2269" s="10"/>
    </row>
    <row r="2270" spans="5:7">
      <c r="E2270" s="9"/>
      <c r="F2270" s="9"/>
      <c r="G2270" s="10"/>
    </row>
    <row r="2271" spans="5:7">
      <c r="E2271" s="9"/>
      <c r="F2271" s="9"/>
      <c r="G2271" s="10"/>
    </row>
    <row r="2272" spans="5:7">
      <c r="E2272" s="9"/>
      <c r="F2272" s="9"/>
      <c r="G2272" s="10"/>
    </row>
    <row r="2273" spans="5:7">
      <c r="E2273" s="9"/>
      <c r="F2273" s="9"/>
      <c r="G2273" s="10"/>
    </row>
    <row r="2274" spans="5:7">
      <c r="E2274" s="9"/>
      <c r="F2274" s="9"/>
      <c r="G2274" s="10"/>
    </row>
    <row r="2275" spans="5:7">
      <c r="E2275" s="9"/>
      <c r="F2275" s="9"/>
      <c r="G2275" s="10"/>
    </row>
    <row r="2276" spans="5:7">
      <c r="E2276" s="9"/>
      <c r="F2276" s="9"/>
      <c r="G2276" s="10"/>
    </row>
    <row r="2277" spans="5:7">
      <c r="E2277" s="9"/>
      <c r="F2277" s="9"/>
      <c r="G2277" s="10"/>
    </row>
    <row r="2278" spans="5:7">
      <c r="E2278" s="9"/>
      <c r="F2278" s="9"/>
      <c r="G2278" s="10"/>
    </row>
    <row r="2279" spans="5:7">
      <c r="E2279" s="9"/>
      <c r="F2279" s="9"/>
      <c r="G2279" s="10"/>
    </row>
    <row r="2280" spans="5:7">
      <c r="E2280" s="9"/>
      <c r="F2280" s="9"/>
      <c r="G2280" s="10"/>
    </row>
    <row r="2281" spans="5:7">
      <c r="E2281" s="9"/>
      <c r="F2281" s="9"/>
      <c r="G2281" s="10"/>
    </row>
    <row r="2282" spans="5:7">
      <c r="E2282" s="9"/>
      <c r="F2282" s="9"/>
      <c r="G2282" s="10"/>
    </row>
    <row r="2283" spans="5:7">
      <c r="E2283" s="9"/>
      <c r="F2283" s="9"/>
      <c r="G2283" s="10"/>
    </row>
    <row r="2284" spans="5:7">
      <c r="E2284" s="9"/>
      <c r="F2284" s="9"/>
      <c r="G2284" s="10"/>
    </row>
    <row r="2285" spans="5:7">
      <c r="E2285" s="9"/>
      <c r="F2285" s="9"/>
      <c r="G2285" s="10"/>
    </row>
    <row r="2286" spans="5:7">
      <c r="E2286" s="9"/>
      <c r="F2286" s="9"/>
      <c r="G2286" s="10"/>
    </row>
    <row r="2287" spans="5:7">
      <c r="E2287" s="9"/>
      <c r="F2287" s="9"/>
      <c r="G2287" s="10"/>
    </row>
    <row r="2288" spans="5:7">
      <c r="E2288" s="9"/>
      <c r="F2288" s="9"/>
      <c r="G2288" s="10"/>
    </row>
    <row r="2289" spans="5:7">
      <c r="E2289" s="9"/>
      <c r="F2289" s="9"/>
      <c r="G2289" s="10"/>
    </row>
    <row r="2290" spans="5:7">
      <c r="E2290" s="9"/>
      <c r="F2290" s="9"/>
      <c r="G2290" s="10"/>
    </row>
    <row r="2291" spans="5:7">
      <c r="E2291" s="9"/>
      <c r="F2291" s="9"/>
      <c r="G2291" s="10"/>
    </row>
    <row r="2292" spans="5:7">
      <c r="E2292" s="9"/>
      <c r="F2292" s="9"/>
      <c r="G2292" s="10"/>
    </row>
    <row r="2293" spans="5:7">
      <c r="E2293" s="9"/>
      <c r="F2293" s="9"/>
      <c r="G2293" s="10"/>
    </row>
    <row r="2294" spans="5:7">
      <c r="E2294" s="9"/>
      <c r="F2294" s="9"/>
      <c r="G2294" s="10"/>
    </row>
    <row r="2295" spans="5:7">
      <c r="E2295" s="9"/>
      <c r="F2295" s="9"/>
      <c r="G2295" s="10"/>
    </row>
    <row r="2296" spans="5:7">
      <c r="E2296" s="9"/>
      <c r="F2296" s="9"/>
      <c r="G2296" s="10"/>
    </row>
    <row r="2297" spans="5:7">
      <c r="E2297" s="9"/>
      <c r="F2297" s="9"/>
      <c r="G2297" s="10"/>
    </row>
    <row r="2298" spans="5:7">
      <c r="E2298" s="9"/>
      <c r="F2298" s="9"/>
      <c r="G2298" s="10"/>
    </row>
    <row r="2299" spans="5:7">
      <c r="E2299" s="9"/>
      <c r="F2299" s="9"/>
      <c r="G2299" s="10"/>
    </row>
    <row r="2300" spans="5:7">
      <c r="E2300" s="9"/>
      <c r="F2300" s="9"/>
      <c r="G2300" s="10"/>
    </row>
    <row r="2301" spans="5:7">
      <c r="E2301" s="9"/>
      <c r="F2301" s="9"/>
      <c r="G2301" s="10"/>
    </row>
    <row r="2302" spans="5:7">
      <c r="E2302" s="9"/>
      <c r="F2302" s="9"/>
      <c r="G2302" s="10"/>
    </row>
    <row r="2303" spans="5:7">
      <c r="E2303" s="9"/>
      <c r="F2303" s="9"/>
      <c r="G2303" s="10"/>
    </row>
    <row r="2304" spans="5:7">
      <c r="E2304" s="9"/>
      <c r="F2304" s="9"/>
      <c r="G2304" s="10"/>
    </row>
    <row r="2305" spans="5:7">
      <c r="E2305" s="9"/>
      <c r="F2305" s="9"/>
      <c r="G2305" s="10"/>
    </row>
    <row r="2306" spans="5:7">
      <c r="E2306" s="9"/>
      <c r="F2306" s="9"/>
      <c r="G2306" s="10"/>
    </row>
    <row r="2307" spans="5:7">
      <c r="E2307" s="9"/>
      <c r="F2307" s="9"/>
      <c r="G2307" s="10"/>
    </row>
    <row r="2308" spans="5:7">
      <c r="E2308" s="9"/>
      <c r="F2308" s="9"/>
      <c r="G2308" s="10"/>
    </row>
    <row r="2309" spans="5:7">
      <c r="E2309" s="9"/>
      <c r="F2309" s="9"/>
      <c r="G2309" s="10"/>
    </row>
    <row r="2310" spans="5:7">
      <c r="E2310" s="9"/>
      <c r="F2310" s="9"/>
      <c r="G2310" s="10"/>
    </row>
    <row r="2311" spans="5:7">
      <c r="E2311" s="9"/>
      <c r="F2311" s="9"/>
      <c r="G2311" s="10"/>
    </row>
    <row r="2312" spans="5:7">
      <c r="E2312" s="9"/>
      <c r="F2312" s="9"/>
      <c r="G2312" s="10"/>
    </row>
    <row r="2313" spans="5:7">
      <c r="E2313" s="9"/>
      <c r="F2313" s="9"/>
      <c r="G2313" s="10"/>
    </row>
    <row r="2314" spans="5:7">
      <c r="E2314" s="9"/>
      <c r="F2314" s="9"/>
      <c r="G2314" s="10"/>
    </row>
    <row r="2315" spans="5:7">
      <c r="E2315" s="9"/>
      <c r="F2315" s="9"/>
      <c r="G2315" s="10"/>
    </row>
    <row r="2316" spans="5:7">
      <c r="E2316" s="9"/>
      <c r="F2316" s="9"/>
      <c r="G2316" s="10"/>
    </row>
    <row r="2317" spans="5:7">
      <c r="E2317" s="9"/>
      <c r="F2317" s="9"/>
      <c r="G2317" s="10"/>
    </row>
    <row r="2318" spans="5:7">
      <c r="E2318" s="9"/>
      <c r="F2318" s="9"/>
      <c r="G2318" s="10"/>
    </row>
    <row r="2319" spans="5:7">
      <c r="E2319" s="9"/>
      <c r="F2319" s="9"/>
      <c r="G2319" s="10"/>
    </row>
    <row r="2320" spans="5:7">
      <c r="E2320" s="9"/>
      <c r="F2320" s="9"/>
      <c r="G2320" s="10"/>
    </row>
    <row r="2321" spans="5:7">
      <c r="E2321" s="9"/>
      <c r="F2321" s="9"/>
      <c r="G2321" s="10"/>
    </row>
    <row r="2322" spans="5:7">
      <c r="E2322" s="9"/>
      <c r="F2322" s="9"/>
      <c r="G2322" s="10"/>
    </row>
    <row r="2323" spans="5:7">
      <c r="E2323" s="9"/>
      <c r="F2323" s="9"/>
      <c r="G2323" s="10"/>
    </row>
    <row r="2324" spans="5:7">
      <c r="E2324" s="9"/>
      <c r="F2324" s="9"/>
      <c r="G2324" s="10"/>
    </row>
    <row r="2325" spans="5:7">
      <c r="E2325" s="9"/>
      <c r="F2325" s="9"/>
      <c r="G2325" s="10"/>
    </row>
    <row r="2326" spans="5:7">
      <c r="E2326" s="9"/>
      <c r="F2326" s="9"/>
      <c r="G2326" s="10"/>
    </row>
    <row r="2327" spans="5:7">
      <c r="E2327" s="9"/>
      <c r="F2327" s="9"/>
      <c r="G2327" s="10"/>
    </row>
    <row r="2328" spans="5:7">
      <c r="E2328" s="9"/>
      <c r="F2328" s="9"/>
      <c r="G2328" s="10"/>
    </row>
    <row r="2329" spans="5:7">
      <c r="E2329" s="9"/>
      <c r="F2329" s="9"/>
      <c r="G2329" s="10"/>
    </row>
    <row r="2330" spans="5:7">
      <c r="E2330" s="9"/>
      <c r="F2330" s="9"/>
      <c r="G2330" s="10"/>
    </row>
    <row r="2331" spans="5:7">
      <c r="E2331" s="9"/>
      <c r="F2331" s="9"/>
      <c r="G2331" s="10"/>
    </row>
    <row r="2332" spans="5:7">
      <c r="E2332" s="9"/>
      <c r="F2332" s="9"/>
      <c r="G2332" s="10"/>
    </row>
    <row r="2333" spans="5:7">
      <c r="E2333" s="9"/>
      <c r="F2333" s="9"/>
      <c r="G2333" s="10"/>
    </row>
    <row r="2334" spans="5:7">
      <c r="E2334" s="9"/>
      <c r="F2334" s="9"/>
      <c r="G2334" s="10"/>
    </row>
    <row r="2335" spans="5:7">
      <c r="E2335" s="9"/>
      <c r="F2335" s="9"/>
      <c r="G2335" s="10"/>
    </row>
    <row r="2336" spans="5:7">
      <c r="E2336" s="9"/>
      <c r="F2336" s="9"/>
      <c r="G2336" s="10"/>
    </row>
    <row r="2337" spans="5:7">
      <c r="E2337" s="9"/>
      <c r="F2337" s="9"/>
      <c r="G2337" s="10"/>
    </row>
    <row r="2338" spans="5:7">
      <c r="E2338" s="9"/>
      <c r="F2338" s="9"/>
      <c r="G2338" s="10"/>
    </row>
    <row r="2339" spans="5:7">
      <c r="E2339" s="9"/>
      <c r="F2339" s="9"/>
      <c r="G2339" s="10"/>
    </row>
    <row r="2340" spans="5:7">
      <c r="E2340" s="9"/>
      <c r="F2340" s="9"/>
      <c r="G2340" s="10"/>
    </row>
    <row r="2341" spans="5:7">
      <c r="E2341" s="9"/>
      <c r="F2341" s="9"/>
      <c r="G2341" s="10"/>
    </row>
    <row r="2342" spans="5:7">
      <c r="E2342" s="9"/>
      <c r="F2342" s="9"/>
      <c r="G2342" s="10"/>
    </row>
    <row r="2343" spans="5:7">
      <c r="E2343" s="9"/>
      <c r="F2343" s="9"/>
      <c r="G2343" s="10"/>
    </row>
    <row r="2344" spans="5:7">
      <c r="E2344" s="9"/>
      <c r="F2344" s="9"/>
      <c r="G2344" s="10"/>
    </row>
    <row r="2345" spans="5:7">
      <c r="E2345" s="9"/>
      <c r="F2345" s="9"/>
      <c r="G2345" s="10"/>
    </row>
    <row r="2346" spans="5:7">
      <c r="E2346" s="9"/>
      <c r="F2346" s="9"/>
      <c r="G2346" s="10"/>
    </row>
    <row r="2347" spans="5:7">
      <c r="E2347" s="9"/>
      <c r="F2347" s="9"/>
      <c r="G2347" s="10"/>
    </row>
    <row r="2348" spans="5:7">
      <c r="E2348" s="9"/>
      <c r="F2348" s="9"/>
      <c r="G2348" s="10"/>
    </row>
    <row r="2349" spans="5:7">
      <c r="E2349" s="9"/>
      <c r="F2349" s="9"/>
      <c r="G2349" s="10"/>
    </row>
    <row r="2350" spans="5:7">
      <c r="E2350" s="9"/>
      <c r="F2350" s="9"/>
      <c r="G2350" s="10"/>
    </row>
    <row r="2351" spans="5:7">
      <c r="E2351" s="9"/>
      <c r="F2351" s="9"/>
      <c r="G2351" s="10"/>
    </row>
    <row r="2352" spans="5:7">
      <c r="E2352" s="9"/>
      <c r="F2352" s="9"/>
      <c r="G2352" s="10"/>
    </row>
    <row r="2353" spans="5:7">
      <c r="E2353" s="9"/>
      <c r="F2353" s="9"/>
      <c r="G2353" s="10"/>
    </row>
    <row r="2354" spans="5:7">
      <c r="E2354" s="9"/>
      <c r="F2354" s="9"/>
      <c r="G2354" s="10"/>
    </row>
    <row r="2355" spans="5:7">
      <c r="E2355" s="9"/>
      <c r="F2355" s="9"/>
      <c r="G2355" s="10"/>
    </row>
    <row r="2356" spans="5:7">
      <c r="E2356" s="9"/>
      <c r="F2356" s="9"/>
      <c r="G2356" s="10"/>
    </row>
    <row r="2357" spans="5:7">
      <c r="E2357" s="9"/>
      <c r="F2357" s="9"/>
      <c r="G2357" s="10"/>
    </row>
    <row r="2358" spans="5:7">
      <c r="E2358" s="9"/>
      <c r="F2358" s="9"/>
      <c r="G2358" s="10"/>
    </row>
    <row r="2359" spans="5:7">
      <c r="E2359" s="9"/>
      <c r="F2359" s="9"/>
      <c r="G2359" s="10"/>
    </row>
    <row r="2360" spans="5:7">
      <c r="E2360" s="9"/>
      <c r="F2360" s="9"/>
      <c r="G2360" s="10"/>
    </row>
    <row r="2361" spans="5:7">
      <c r="E2361" s="9"/>
      <c r="F2361" s="9"/>
      <c r="G2361" s="10"/>
    </row>
    <row r="2362" spans="5:7">
      <c r="E2362" s="9"/>
      <c r="F2362" s="9"/>
      <c r="G2362" s="10"/>
    </row>
    <row r="2363" spans="5:7">
      <c r="E2363" s="9"/>
      <c r="F2363" s="9"/>
      <c r="G2363" s="10"/>
    </row>
    <row r="2364" spans="5:7">
      <c r="E2364" s="9"/>
      <c r="F2364" s="9"/>
      <c r="G2364" s="10"/>
    </row>
    <row r="2365" spans="5:7">
      <c r="E2365" s="9"/>
      <c r="F2365" s="9"/>
      <c r="G2365" s="10"/>
    </row>
    <row r="2366" spans="5:7">
      <c r="E2366" s="9"/>
      <c r="F2366" s="9"/>
      <c r="G2366" s="10"/>
    </row>
    <row r="2367" spans="5:7">
      <c r="E2367" s="9"/>
      <c r="F2367" s="9"/>
      <c r="G2367" s="10"/>
    </row>
    <row r="2368" spans="5:7">
      <c r="E2368" s="9"/>
      <c r="F2368" s="9"/>
      <c r="G2368" s="10"/>
    </row>
    <row r="2369" spans="5:7">
      <c r="E2369" s="9"/>
      <c r="F2369" s="9"/>
      <c r="G2369" s="10"/>
    </row>
    <row r="2370" spans="5:7">
      <c r="E2370" s="9"/>
      <c r="F2370" s="9"/>
      <c r="G2370" s="10"/>
    </row>
    <row r="2371" spans="5:7">
      <c r="E2371" s="9"/>
      <c r="F2371" s="9"/>
      <c r="G2371" s="10"/>
    </row>
    <row r="2372" spans="5:7">
      <c r="E2372" s="9"/>
      <c r="F2372" s="9"/>
      <c r="G2372" s="10"/>
    </row>
    <row r="2373" spans="5:7">
      <c r="E2373" s="9"/>
      <c r="F2373" s="9"/>
      <c r="G2373" s="10"/>
    </row>
    <row r="2374" spans="5:7">
      <c r="E2374" s="9"/>
      <c r="F2374" s="9"/>
      <c r="G2374" s="10"/>
    </row>
    <row r="2375" spans="5:7">
      <c r="E2375" s="9"/>
      <c r="F2375" s="9"/>
      <c r="G2375" s="10"/>
    </row>
    <row r="2376" spans="5:7">
      <c r="E2376" s="9"/>
      <c r="F2376" s="9"/>
      <c r="G2376" s="10"/>
    </row>
    <row r="2377" spans="5:7">
      <c r="E2377" s="9"/>
      <c r="F2377" s="9"/>
      <c r="G2377" s="10"/>
    </row>
    <row r="2378" spans="5:7">
      <c r="E2378" s="9"/>
      <c r="F2378" s="9"/>
      <c r="G2378" s="10"/>
    </row>
    <row r="2379" spans="5:7">
      <c r="E2379" s="9"/>
      <c r="F2379" s="9"/>
      <c r="G2379" s="10"/>
    </row>
    <row r="2380" spans="5:7">
      <c r="E2380" s="9"/>
      <c r="F2380" s="9"/>
      <c r="G2380" s="10"/>
    </row>
    <row r="2381" spans="5:7">
      <c r="E2381" s="9"/>
      <c r="F2381" s="9"/>
      <c r="G2381" s="10"/>
    </row>
    <row r="2382" spans="5:7">
      <c r="E2382" s="9"/>
      <c r="F2382" s="9"/>
      <c r="G2382" s="10"/>
    </row>
    <row r="2383" spans="5:7">
      <c r="E2383" s="9"/>
      <c r="F2383" s="9"/>
      <c r="G2383" s="10"/>
    </row>
    <row r="2384" spans="5:7">
      <c r="E2384" s="9"/>
      <c r="F2384" s="9"/>
      <c r="G2384" s="10"/>
    </row>
    <row r="2385" spans="5:7">
      <c r="E2385" s="9"/>
      <c r="F2385" s="9"/>
      <c r="G2385" s="10"/>
    </row>
    <row r="2386" spans="5:7">
      <c r="E2386" s="9"/>
      <c r="F2386" s="9"/>
      <c r="G2386" s="10"/>
    </row>
    <row r="2387" spans="5:7">
      <c r="E2387" s="9"/>
      <c r="F2387" s="9"/>
      <c r="G2387" s="10"/>
    </row>
    <row r="2388" spans="5:7">
      <c r="E2388" s="9"/>
      <c r="F2388" s="9"/>
      <c r="G2388" s="10"/>
    </row>
    <row r="2389" spans="5:7">
      <c r="E2389" s="9"/>
      <c r="F2389" s="9"/>
      <c r="G2389" s="10"/>
    </row>
    <row r="2390" spans="5:7">
      <c r="E2390" s="9"/>
      <c r="F2390" s="9"/>
      <c r="G2390" s="10"/>
    </row>
    <row r="2391" spans="5:7">
      <c r="E2391" s="9"/>
      <c r="F2391" s="9"/>
      <c r="G2391" s="10"/>
    </row>
    <row r="2392" spans="5:7">
      <c r="E2392" s="9"/>
      <c r="F2392" s="9"/>
      <c r="G2392" s="10"/>
    </row>
    <row r="2393" spans="5:7">
      <c r="E2393" s="9"/>
      <c r="F2393" s="9"/>
      <c r="G2393" s="10"/>
    </row>
    <row r="2394" spans="5:7">
      <c r="E2394" s="9"/>
      <c r="F2394" s="9"/>
      <c r="G2394" s="10"/>
    </row>
    <row r="2395" spans="5:7">
      <c r="E2395" s="9"/>
      <c r="F2395" s="9"/>
      <c r="G2395" s="10"/>
    </row>
    <row r="2396" spans="5:7">
      <c r="E2396" s="9"/>
      <c r="F2396" s="9"/>
      <c r="G2396" s="10"/>
    </row>
    <row r="2397" spans="5:7">
      <c r="E2397" s="9"/>
      <c r="F2397" s="9"/>
      <c r="G2397" s="10"/>
    </row>
    <row r="2398" spans="5:7">
      <c r="E2398" s="9"/>
      <c r="F2398" s="9"/>
      <c r="G2398" s="10"/>
    </row>
    <row r="2399" spans="5:7">
      <c r="E2399" s="9"/>
      <c r="F2399" s="9"/>
      <c r="G2399" s="10"/>
    </row>
    <row r="2400" spans="5:7">
      <c r="E2400" s="9"/>
      <c r="F2400" s="9"/>
      <c r="G2400" s="10"/>
    </row>
    <row r="2401" spans="5:7">
      <c r="E2401" s="9"/>
      <c r="F2401" s="9"/>
      <c r="G2401" s="10"/>
    </row>
    <row r="2402" spans="5:7">
      <c r="E2402" s="9"/>
      <c r="F2402" s="9"/>
      <c r="G2402" s="10"/>
    </row>
    <row r="2403" spans="5:7">
      <c r="E2403" s="9"/>
      <c r="F2403" s="9"/>
      <c r="G2403" s="10"/>
    </row>
    <row r="2404" spans="5:7">
      <c r="E2404" s="9"/>
      <c r="F2404" s="9"/>
      <c r="G2404" s="10"/>
    </row>
    <row r="2405" spans="5:7">
      <c r="E2405" s="9"/>
      <c r="F2405" s="9"/>
      <c r="G2405" s="10"/>
    </row>
    <row r="2406" spans="5:7">
      <c r="E2406" s="9"/>
      <c r="F2406" s="9"/>
      <c r="G2406" s="10"/>
    </row>
    <row r="2407" spans="5:7">
      <c r="E2407" s="9"/>
      <c r="F2407" s="9"/>
      <c r="G2407" s="10"/>
    </row>
    <row r="2408" spans="5:7">
      <c r="E2408" s="9"/>
      <c r="F2408" s="9"/>
      <c r="G2408" s="10"/>
    </row>
    <row r="2409" spans="5:7">
      <c r="E2409" s="9"/>
      <c r="F2409" s="9"/>
      <c r="G2409" s="10"/>
    </row>
    <row r="2410" spans="5:7">
      <c r="E2410" s="9"/>
      <c r="F2410" s="9"/>
      <c r="G2410" s="10"/>
    </row>
    <row r="2411" spans="5:7">
      <c r="E2411" s="9"/>
      <c r="F2411" s="9"/>
      <c r="G2411" s="10"/>
    </row>
    <row r="2412" spans="5:7">
      <c r="E2412" s="9"/>
      <c r="F2412" s="9"/>
      <c r="G2412" s="10"/>
    </row>
    <row r="2413" spans="5:7">
      <c r="E2413" s="9"/>
      <c r="F2413" s="9"/>
      <c r="G2413" s="10"/>
    </row>
    <row r="2414" spans="5:7">
      <c r="E2414" s="9"/>
      <c r="F2414" s="9"/>
      <c r="G2414" s="10"/>
    </row>
    <row r="2415" spans="5:7">
      <c r="E2415" s="9"/>
      <c r="F2415" s="9"/>
      <c r="G2415" s="10"/>
    </row>
    <row r="2416" spans="5:7">
      <c r="E2416" s="9"/>
      <c r="F2416" s="9"/>
      <c r="G2416" s="10"/>
    </row>
    <row r="2417" spans="5:7">
      <c r="E2417" s="9"/>
      <c r="F2417" s="9"/>
      <c r="G2417" s="10"/>
    </row>
    <row r="2418" spans="5:7">
      <c r="E2418" s="9"/>
      <c r="F2418" s="9"/>
      <c r="G2418" s="10"/>
    </row>
    <row r="2419" spans="5:7">
      <c r="E2419" s="9"/>
      <c r="F2419" s="9"/>
      <c r="G2419" s="10"/>
    </row>
    <row r="2420" spans="5:7">
      <c r="E2420" s="9"/>
      <c r="F2420" s="9"/>
      <c r="G2420" s="10"/>
    </row>
    <row r="2421" spans="5:7">
      <c r="E2421" s="9"/>
      <c r="F2421" s="9"/>
      <c r="G2421" s="10"/>
    </row>
    <row r="2422" spans="5:7">
      <c r="E2422" s="9"/>
      <c r="F2422" s="9"/>
      <c r="G2422" s="10"/>
    </row>
    <row r="2423" spans="5:7">
      <c r="E2423" s="9"/>
      <c r="F2423" s="9"/>
      <c r="G2423" s="10"/>
    </row>
    <row r="2424" spans="5:7">
      <c r="E2424" s="9"/>
      <c r="F2424" s="9"/>
      <c r="G2424" s="10"/>
    </row>
    <row r="2425" spans="5:7">
      <c r="E2425" s="9"/>
      <c r="F2425" s="9"/>
      <c r="G2425" s="10"/>
    </row>
    <row r="2426" spans="5:7">
      <c r="E2426" s="9"/>
      <c r="F2426" s="9"/>
      <c r="G2426" s="10"/>
    </row>
    <row r="2427" spans="5:7">
      <c r="E2427" s="9"/>
      <c r="F2427" s="9"/>
      <c r="G2427" s="10"/>
    </row>
    <row r="2428" spans="5:7">
      <c r="E2428" s="9"/>
      <c r="F2428" s="9"/>
      <c r="G2428" s="10"/>
    </row>
    <row r="2429" spans="5:7">
      <c r="E2429" s="9"/>
      <c r="F2429" s="9"/>
      <c r="G2429" s="10"/>
    </row>
    <row r="2430" spans="5:7">
      <c r="E2430" s="9"/>
      <c r="F2430" s="9"/>
      <c r="G2430" s="10"/>
    </row>
    <row r="2431" spans="5:7">
      <c r="E2431" s="9"/>
      <c r="F2431" s="9"/>
      <c r="G2431" s="10"/>
    </row>
    <row r="2432" spans="5:7">
      <c r="E2432" s="9"/>
      <c r="F2432" s="9"/>
      <c r="G2432" s="10"/>
    </row>
    <row r="2433" spans="5:7">
      <c r="E2433" s="9"/>
      <c r="F2433" s="9"/>
      <c r="G2433" s="10"/>
    </row>
    <row r="2434" spans="5:7">
      <c r="E2434" s="9"/>
      <c r="F2434" s="9"/>
      <c r="G2434" s="10"/>
    </row>
    <row r="2435" spans="5:7">
      <c r="E2435" s="9"/>
      <c r="F2435" s="9"/>
      <c r="G2435" s="10"/>
    </row>
    <row r="2436" spans="5:7">
      <c r="E2436" s="9"/>
      <c r="F2436" s="9"/>
      <c r="G2436" s="10"/>
    </row>
    <row r="2437" spans="5:7">
      <c r="E2437" s="9"/>
      <c r="F2437" s="9"/>
      <c r="G2437" s="10"/>
    </row>
    <row r="2438" spans="5:7">
      <c r="E2438" s="9"/>
      <c r="F2438" s="9"/>
      <c r="G2438" s="10"/>
    </row>
    <row r="2439" spans="5:7">
      <c r="E2439" s="9"/>
      <c r="F2439" s="9"/>
      <c r="G2439" s="10"/>
    </row>
    <row r="2440" spans="5:7">
      <c r="E2440" s="9"/>
      <c r="F2440" s="9"/>
      <c r="G2440" s="10"/>
    </row>
    <row r="2441" spans="5:7">
      <c r="E2441" s="9"/>
      <c r="F2441" s="9"/>
      <c r="G2441" s="10"/>
    </row>
    <row r="2442" spans="5:7">
      <c r="E2442" s="9"/>
      <c r="F2442" s="9"/>
      <c r="G2442" s="10"/>
    </row>
    <row r="2443" spans="5:7">
      <c r="E2443" s="9"/>
      <c r="F2443" s="9"/>
      <c r="G2443" s="10"/>
    </row>
    <row r="2444" spans="5:7">
      <c r="E2444" s="9"/>
      <c r="F2444" s="9"/>
      <c r="G2444" s="10"/>
    </row>
    <row r="2445" spans="5:7">
      <c r="E2445" s="9"/>
      <c r="F2445" s="9"/>
      <c r="G2445" s="10"/>
    </row>
    <row r="2446" spans="5:7">
      <c r="E2446" s="9"/>
      <c r="F2446" s="9"/>
      <c r="G2446" s="10"/>
    </row>
    <row r="2447" spans="5:7">
      <c r="E2447" s="9"/>
      <c r="F2447" s="9"/>
      <c r="G2447" s="10"/>
    </row>
    <row r="2448" spans="5:7">
      <c r="E2448" s="9"/>
      <c r="F2448" s="9"/>
      <c r="G2448" s="10"/>
    </row>
    <row r="2449" spans="5:7">
      <c r="E2449" s="9"/>
      <c r="F2449" s="9"/>
      <c r="G2449" s="10"/>
    </row>
    <row r="2450" spans="5:7">
      <c r="E2450" s="9"/>
      <c r="F2450" s="9"/>
      <c r="G2450" s="10"/>
    </row>
    <row r="2451" spans="5:7">
      <c r="E2451" s="9"/>
      <c r="F2451" s="9"/>
      <c r="G2451" s="10"/>
    </row>
    <row r="2452" spans="5:7">
      <c r="E2452" s="9"/>
      <c r="F2452" s="9"/>
      <c r="G2452" s="10"/>
    </row>
    <row r="2453" spans="5:7">
      <c r="E2453" s="9"/>
      <c r="F2453" s="9"/>
      <c r="G2453" s="10"/>
    </row>
    <row r="2454" spans="5:7">
      <c r="E2454" s="9"/>
      <c r="F2454" s="9"/>
      <c r="G2454" s="10"/>
    </row>
    <row r="2455" spans="5:7">
      <c r="E2455" s="9"/>
      <c r="F2455" s="9"/>
      <c r="G2455" s="10"/>
    </row>
    <row r="2456" spans="5:7">
      <c r="E2456" s="9"/>
      <c r="F2456" s="9"/>
      <c r="G2456" s="10"/>
    </row>
    <row r="2457" spans="5:7">
      <c r="E2457" s="9"/>
      <c r="F2457" s="9"/>
      <c r="G2457" s="10"/>
    </row>
    <row r="2458" spans="5:7">
      <c r="E2458" s="9"/>
      <c r="F2458" s="9"/>
      <c r="G2458" s="10"/>
    </row>
    <row r="2459" spans="5:7">
      <c r="E2459" s="9"/>
      <c r="F2459" s="9"/>
      <c r="G2459" s="10"/>
    </row>
    <row r="2460" spans="5:7">
      <c r="E2460" s="9"/>
      <c r="F2460" s="9"/>
      <c r="G2460" s="10"/>
    </row>
    <row r="2461" spans="5:7">
      <c r="E2461" s="9"/>
      <c r="F2461" s="9"/>
      <c r="G2461" s="10"/>
    </row>
    <row r="2462" spans="5:7">
      <c r="E2462" s="9"/>
      <c r="F2462" s="9"/>
      <c r="G2462" s="10"/>
    </row>
    <row r="2463" spans="5:7">
      <c r="E2463" s="9"/>
      <c r="F2463" s="9"/>
      <c r="G2463" s="10"/>
    </row>
    <row r="2464" spans="5:7">
      <c r="E2464" s="9"/>
      <c r="F2464" s="9"/>
      <c r="G2464" s="10"/>
    </row>
    <row r="2465" spans="5:7">
      <c r="E2465" s="9"/>
      <c r="F2465" s="9"/>
      <c r="G2465" s="10"/>
    </row>
    <row r="2466" spans="5:7">
      <c r="E2466" s="9"/>
      <c r="F2466" s="9"/>
      <c r="G2466" s="10"/>
    </row>
    <row r="2467" spans="5:7">
      <c r="E2467" s="9"/>
      <c r="F2467" s="9"/>
      <c r="G2467" s="10"/>
    </row>
    <row r="2468" spans="5:7">
      <c r="E2468" s="9"/>
      <c r="F2468" s="9"/>
      <c r="G2468" s="10"/>
    </row>
    <row r="2469" spans="5:7">
      <c r="E2469" s="9"/>
      <c r="F2469" s="9"/>
      <c r="G2469" s="10"/>
    </row>
    <row r="2470" spans="5:7">
      <c r="E2470" s="9"/>
      <c r="F2470" s="9"/>
      <c r="G2470" s="10"/>
    </row>
    <row r="2471" spans="5:7">
      <c r="E2471" s="9"/>
      <c r="F2471" s="9"/>
      <c r="G2471" s="10"/>
    </row>
    <row r="2472" spans="5:7">
      <c r="E2472" s="9"/>
      <c r="F2472" s="9"/>
      <c r="G2472" s="10"/>
    </row>
    <row r="2473" spans="5:7">
      <c r="E2473" s="9"/>
      <c r="F2473" s="9"/>
      <c r="G2473" s="10"/>
    </row>
    <row r="2474" spans="5:7">
      <c r="E2474" s="9"/>
      <c r="F2474" s="9"/>
      <c r="G2474" s="10"/>
    </row>
    <row r="2475" spans="5:7">
      <c r="E2475" s="9"/>
      <c r="F2475" s="9"/>
      <c r="G2475" s="10"/>
    </row>
    <row r="2476" spans="5:7">
      <c r="E2476" s="9"/>
      <c r="F2476" s="9"/>
      <c r="G2476" s="10"/>
    </row>
    <row r="2477" spans="5:7">
      <c r="E2477" s="9"/>
      <c r="F2477" s="9"/>
      <c r="G2477" s="10"/>
    </row>
    <row r="2478" spans="5:7">
      <c r="E2478" s="9"/>
      <c r="F2478" s="9"/>
      <c r="G2478" s="10"/>
    </row>
    <row r="2479" spans="5:7">
      <c r="E2479" s="9"/>
      <c r="F2479" s="9"/>
      <c r="G2479" s="10"/>
    </row>
    <row r="2480" spans="5:7">
      <c r="E2480" s="9"/>
      <c r="F2480" s="9"/>
      <c r="G2480" s="10"/>
    </row>
    <row r="2481" spans="5:7">
      <c r="E2481" s="9"/>
      <c r="F2481" s="9"/>
      <c r="G2481" s="10"/>
    </row>
    <row r="2482" spans="5:7">
      <c r="E2482" s="9"/>
      <c r="F2482" s="9"/>
      <c r="G2482" s="10"/>
    </row>
    <row r="2483" spans="5:7">
      <c r="E2483" s="9"/>
      <c r="F2483" s="9"/>
      <c r="G2483" s="10"/>
    </row>
    <row r="2484" spans="5:7">
      <c r="E2484" s="9"/>
      <c r="F2484" s="9"/>
      <c r="G2484" s="10"/>
    </row>
    <row r="2485" spans="5:7">
      <c r="E2485" s="9"/>
      <c r="F2485" s="9"/>
      <c r="G2485" s="10"/>
    </row>
    <row r="2486" spans="5:7">
      <c r="E2486" s="9"/>
      <c r="F2486" s="9"/>
      <c r="G2486" s="10"/>
    </row>
    <row r="2487" spans="5:7">
      <c r="E2487" s="9"/>
      <c r="F2487" s="9"/>
      <c r="G2487" s="10"/>
    </row>
    <row r="2488" spans="5:7">
      <c r="E2488" s="9"/>
      <c r="F2488" s="9"/>
      <c r="G2488" s="10"/>
    </row>
    <row r="2489" spans="5:7">
      <c r="E2489" s="9"/>
      <c r="F2489" s="9"/>
      <c r="G2489" s="10"/>
    </row>
    <row r="2490" spans="5:7">
      <c r="E2490" s="9"/>
      <c r="F2490" s="9"/>
      <c r="G2490" s="10"/>
    </row>
    <row r="2491" spans="5:7">
      <c r="E2491" s="9"/>
      <c r="F2491" s="9"/>
      <c r="G2491" s="10"/>
    </row>
    <row r="2492" spans="5:7">
      <c r="E2492" s="9"/>
      <c r="F2492" s="9"/>
      <c r="G2492" s="10"/>
    </row>
    <row r="2493" spans="5:7">
      <c r="E2493" s="9"/>
      <c r="F2493" s="9"/>
      <c r="G2493" s="10"/>
    </row>
    <row r="2494" spans="5:7">
      <c r="E2494" s="9"/>
      <c r="F2494" s="9"/>
      <c r="G2494" s="10"/>
    </row>
    <row r="2495" spans="5:7">
      <c r="E2495" s="9"/>
      <c r="F2495" s="9"/>
      <c r="G2495" s="10"/>
    </row>
    <row r="2496" spans="5:7">
      <c r="E2496" s="9"/>
      <c r="F2496" s="9"/>
      <c r="G2496" s="10"/>
    </row>
    <row r="2497" spans="5:7">
      <c r="E2497" s="9"/>
      <c r="F2497" s="9"/>
      <c r="G2497" s="10"/>
    </row>
    <row r="2498" spans="5:7">
      <c r="E2498" s="9"/>
      <c r="F2498" s="9"/>
      <c r="G2498" s="10"/>
    </row>
    <row r="2499" spans="5:7">
      <c r="E2499" s="9"/>
      <c r="F2499" s="9"/>
      <c r="G2499" s="10"/>
    </row>
    <row r="2500" spans="5:7">
      <c r="E2500" s="9"/>
      <c r="F2500" s="9"/>
      <c r="G2500" s="10"/>
    </row>
    <row r="2501" spans="5:7">
      <c r="E2501" s="9"/>
      <c r="F2501" s="9"/>
      <c r="G2501" s="10"/>
    </row>
    <row r="2502" spans="5:7">
      <c r="E2502" s="9"/>
      <c r="F2502" s="9"/>
      <c r="G2502" s="10"/>
    </row>
    <row r="2503" spans="5:7">
      <c r="E2503" s="9"/>
      <c r="F2503" s="9"/>
      <c r="G2503" s="10"/>
    </row>
    <row r="2504" spans="5:7">
      <c r="E2504" s="9"/>
      <c r="F2504" s="9"/>
      <c r="G2504" s="10"/>
    </row>
    <row r="2505" spans="5:7">
      <c r="E2505" s="9"/>
      <c r="F2505" s="9"/>
      <c r="G2505" s="10"/>
    </row>
    <row r="2506" spans="5:7">
      <c r="E2506" s="9"/>
      <c r="F2506" s="9"/>
      <c r="G2506" s="10"/>
    </row>
    <row r="2507" spans="5:7">
      <c r="E2507" s="9"/>
      <c r="F2507" s="9"/>
      <c r="G2507" s="10"/>
    </row>
    <row r="2508" spans="5:7">
      <c r="E2508" s="9"/>
      <c r="F2508" s="9"/>
      <c r="G2508" s="10"/>
    </row>
    <row r="2509" spans="5:7">
      <c r="E2509" s="9"/>
      <c r="F2509" s="9"/>
      <c r="G2509" s="10"/>
    </row>
    <row r="2510" spans="5:7">
      <c r="E2510" s="9"/>
      <c r="F2510" s="9"/>
      <c r="G2510" s="10"/>
    </row>
    <row r="2511" spans="5:7">
      <c r="E2511" s="9"/>
      <c r="F2511" s="9"/>
      <c r="G2511" s="10"/>
    </row>
    <row r="2512" spans="5:7">
      <c r="E2512" s="9"/>
      <c r="F2512" s="9"/>
      <c r="G2512" s="10"/>
    </row>
    <row r="2513" spans="5:7">
      <c r="E2513" s="9"/>
      <c r="F2513" s="9"/>
      <c r="G2513" s="10"/>
    </row>
    <row r="2514" spans="5:7">
      <c r="E2514" s="9"/>
      <c r="F2514" s="9"/>
      <c r="G2514" s="10"/>
    </row>
    <row r="2515" spans="5:7">
      <c r="E2515" s="9"/>
      <c r="F2515" s="9"/>
      <c r="G2515" s="10"/>
    </row>
    <row r="2516" spans="5:7">
      <c r="E2516" s="9"/>
      <c r="F2516" s="9"/>
      <c r="G2516" s="10"/>
    </row>
    <row r="2517" spans="5:7">
      <c r="E2517" s="9"/>
      <c r="F2517" s="9"/>
      <c r="G2517" s="10"/>
    </row>
    <row r="2518" spans="5:7">
      <c r="E2518" s="9"/>
      <c r="F2518" s="9"/>
      <c r="G2518" s="10"/>
    </row>
    <row r="2519" spans="5:7">
      <c r="E2519" s="9"/>
      <c r="F2519" s="9"/>
      <c r="G2519" s="10"/>
    </row>
    <row r="2520" spans="5:7">
      <c r="E2520" s="9"/>
      <c r="F2520" s="9"/>
      <c r="G2520" s="10"/>
    </row>
    <row r="2521" spans="5:7">
      <c r="E2521" s="9"/>
      <c r="F2521" s="9"/>
      <c r="G2521" s="10"/>
    </row>
    <row r="2522" spans="5:7">
      <c r="E2522" s="9"/>
      <c r="F2522" s="9"/>
      <c r="G2522" s="10"/>
    </row>
    <row r="2523" spans="5:7">
      <c r="E2523" s="9"/>
      <c r="F2523" s="9"/>
      <c r="G2523" s="10"/>
    </row>
    <row r="2524" spans="5:7">
      <c r="E2524" s="9"/>
      <c r="F2524" s="9"/>
      <c r="G2524" s="10"/>
    </row>
    <row r="2525" spans="5:7">
      <c r="E2525" s="9"/>
      <c r="F2525" s="9"/>
      <c r="G2525" s="10"/>
    </row>
    <row r="2526" spans="5:7">
      <c r="E2526" s="9"/>
      <c r="F2526" s="9"/>
      <c r="G2526" s="10"/>
    </row>
    <row r="2527" spans="5:7">
      <c r="E2527" s="9"/>
      <c r="F2527" s="9"/>
      <c r="G2527" s="10"/>
    </row>
    <row r="2528" spans="5:7">
      <c r="E2528" s="9"/>
      <c r="F2528" s="9"/>
      <c r="G2528" s="10"/>
    </row>
    <row r="2529" spans="5:7">
      <c r="E2529" s="9"/>
      <c r="F2529" s="9"/>
      <c r="G2529" s="10"/>
    </row>
    <row r="2530" spans="5:7">
      <c r="E2530" s="9"/>
      <c r="F2530" s="9"/>
      <c r="G2530" s="10"/>
    </row>
    <row r="2531" spans="5:7">
      <c r="E2531" s="9"/>
      <c r="F2531" s="9"/>
      <c r="G2531" s="10"/>
    </row>
    <row r="2532" spans="5:7">
      <c r="E2532" s="9"/>
      <c r="F2532" s="9"/>
      <c r="G2532" s="10"/>
    </row>
    <row r="2533" spans="5:7">
      <c r="E2533" s="9"/>
      <c r="F2533" s="9"/>
      <c r="G2533" s="10"/>
    </row>
    <row r="2534" spans="5:7">
      <c r="E2534" s="9"/>
      <c r="F2534" s="9"/>
      <c r="G2534" s="10"/>
    </row>
    <row r="2535" spans="5:7">
      <c r="E2535" s="9"/>
      <c r="F2535" s="9"/>
      <c r="G2535" s="10"/>
    </row>
    <row r="2536" spans="5:7">
      <c r="E2536" s="9"/>
      <c r="F2536" s="9"/>
      <c r="G2536" s="10"/>
    </row>
    <row r="2537" spans="5:7">
      <c r="E2537" s="9"/>
      <c r="F2537" s="9"/>
      <c r="G2537" s="10"/>
    </row>
    <row r="2538" spans="5:7">
      <c r="E2538" s="9"/>
      <c r="F2538" s="9"/>
      <c r="G2538" s="10"/>
    </row>
    <row r="2539" spans="5:7">
      <c r="E2539" s="9"/>
      <c r="F2539" s="9"/>
      <c r="G2539" s="10"/>
    </row>
    <row r="2540" spans="5:7">
      <c r="E2540" s="9"/>
      <c r="F2540" s="9"/>
      <c r="G2540" s="10"/>
    </row>
    <row r="2541" spans="5:7">
      <c r="E2541" s="9"/>
      <c r="F2541" s="9"/>
      <c r="G2541" s="10"/>
    </row>
    <row r="2542" spans="5:7">
      <c r="E2542" s="9"/>
      <c r="F2542" s="9"/>
      <c r="G2542" s="10"/>
    </row>
    <row r="2543" spans="5:7">
      <c r="E2543" s="9"/>
      <c r="F2543" s="9"/>
      <c r="G2543" s="10"/>
    </row>
    <row r="2544" spans="5:7">
      <c r="E2544" s="9"/>
      <c r="F2544" s="9"/>
      <c r="G2544" s="10"/>
    </row>
    <row r="2545" spans="5:7">
      <c r="E2545" s="9"/>
      <c r="F2545" s="9"/>
      <c r="G2545" s="10"/>
    </row>
    <row r="2546" spans="5:7">
      <c r="E2546" s="9"/>
      <c r="F2546" s="9"/>
      <c r="G2546" s="10"/>
    </row>
    <row r="2547" spans="5:7">
      <c r="E2547" s="9"/>
      <c r="F2547" s="9"/>
      <c r="G2547" s="10"/>
    </row>
    <row r="2548" spans="5:7">
      <c r="E2548" s="9"/>
      <c r="F2548" s="9"/>
      <c r="G2548" s="10"/>
    </row>
    <row r="2549" spans="5:7">
      <c r="E2549" s="9"/>
      <c r="F2549" s="9"/>
      <c r="G2549" s="10"/>
    </row>
    <row r="2550" spans="5:7">
      <c r="E2550" s="9"/>
      <c r="F2550" s="9"/>
      <c r="G2550" s="10"/>
    </row>
    <row r="2551" spans="5:7">
      <c r="E2551" s="9"/>
      <c r="F2551" s="9"/>
      <c r="G2551" s="10"/>
    </row>
    <row r="2552" spans="5:7">
      <c r="E2552" s="9"/>
      <c r="F2552" s="9"/>
      <c r="G2552" s="10"/>
    </row>
    <row r="2553" spans="5:7">
      <c r="E2553" s="9"/>
      <c r="F2553" s="9"/>
      <c r="G2553" s="10"/>
    </row>
    <row r="2554" spans="5:7">
      <c r="E2554" s="9"/>
      <c r="F2554" s="9"/>
      <c r="G2554" s="10"/>
    </row>
    <row r="2555" spans="5:7">
      <c r="E2555" s="9"/>
      <c r="F2555" s="9"/>
      <c r="G2555" s="10"/>
    </row>
    <row r="2556" spans="5:7">
      <c r="E2556" s="9"/>
      <c r="F2556" s="9"/>
      <c r="G2556" s="10"/>
    </row>
    <row r="2557" spans="5:7">
      <c r="E2557" s="9"/>
      <c r="F2557" s="9"/>
      <c r="G2557" s="10"/>
    </row>
    <row r="2558" spans="5:7">
      <c r="E2558" s="9"/>
      <c r="F2558" s="9"/>
      <c r="G2558" s="10"/>
    </row>
    <row r="2559" spans="5:7">
      <c r="E2559" s="9"/>
      <c r="F2559" s="9"/>
      <c r="G2559" s="10"/>
    </row>
    <row r="2560" spans="5:7">
      <c r="E2560" s="9"/>
      <c r="F2560" s="9"/>
      <c r="G2560" s="10"/>
    </row>
    <row r="2561" spans="5:7">
      <c r="E2561" s="9"/>
      <c r="F2561" s="9"/>
      <c r="G2561" s="10"/>
    </row>
    <row r="2562" spans="5:7">
      <c r="E2562" s="9"/>
      <c r="F2562" s="9"/>
      <c r="G2562" s="10"/>
    </row>
    <row r="2563" spans="5:7">
      <c r="E2563" s="9"/>
      <c r="F2563" s="9"/>
      <c r="G2563" s="10"/>
    </row>
    <row r="2564" spans="5:7">
      <c r="E2564" s="9"/>
      <c r="F2564" s="9"/>
      <c r="G2564" s="10"/>
    </row>
    <row r="2565" spans="5:7">
      <c r="E2565" s="9"/>
      <c r="F2565" s="9"/>
      <c r="G2565" s="10"/>
    </row>
    <row r="2566" spans="5:7">
      <c r="E2566" s="9"/>
      <c r="F2566" s="9"/>
      <c r="G2566" s="10"/>
    </row>
    <row r="2567" spans="5:7">
      <c r="E2567" s="9"/>
      <c r="F2567" s="9"/>
      <c r="G2567" s="10"/>
    </row>
    <row r="2568" spans="5:7">
      <c r="E2568" s="9"/>
      <c r="F2568" s="9"/>
      <c r="G2568" s="10"/>
    </row>
    <row r="2569" spans="5:7">
      <c r="E2569" s="9"/>
      <c r="F2569" s="9"/>
      <c r="G2569" s="10"/>
    </row>
    <row r="2570" spans="5:7">
      <c r="E2570" s="9"/>
      <c r="F2570" s="9"/>
      <c r="G2570" s="10"/>
    </row>
    <row r="2571" spans="5:7">
      <c r="E2571" s="9"/>
      <c r="F2571" s="9"/>
      <c r="G2571" s="10"/>
    </row>
    <row r="2572" spans="5:7">
      <c r="E2572" s="9"/>
      <c r="F2572" s="9"/>
      <c r="G2572" s="10"/>
    </row>
    <row r="2573" spans="5:7">
      <c r="E2573" s="9"/>
      <c r="F2573" s="9"/>
      <c r="G2573" s="10"/>
    </row>
    <row r="2574" spans="5:7">
      <c r="E2574" s="9"/>
      <c r="F2574" s="9"/>
      <c r="G2574" s="10"/>
    </row>
    <row r="2575" spans="5:7">
      <c r="E2575" s="9"/>
      <c r="F2575" s="9"/>
      <c r="G2575" s="10"/>
    </row>
    <row r="2576" spans="5:7">
      <c r="E2576" s="9"/>
      <c r="F2576" s="9"/>
      <c r="G2576" s="10"/>
    </row>
    <row r="2577" spans="5:7">
      <c r="E2577" s="9"/>
      <c r="F2577" s="9"/>
      <c r="G2577" s="10"/>
    </row>
    <row r="2578" spans="5:7">
      <c r="E2578" s="9"/>
      <c r="F2578" s="9"/>
      <c r="G2578" s="10"/>
    </row>
    <row r="2579" spans="5:7">
      <c r="E2579" s="9"/>
      <c r="F2579" s="9"/>
      <c r="G2579" s="10"/>
    </row>
    <row r="2580" spans="5:7">
      <c r="E2580" s="9"/>
      <c r="F2580" s="9"/>
      <c r="G2580" s="10"/>
    </row>
    <row r="2581" spans="5:7">
      <c r="E2581" s="9"/>
      <c r="F2581" s="9"/>
      <c r="G2581" s="10"/>
    </row>
    <row r="2582" spans="5:7">
      <c r="E2582" s="9"/>
      <c r="F2582" s="9"/>
      <c r="G2582" s="10"/>
    </row>
    <row r="2583" spans="5:7">
      <c r="E2583" s="9"/>
      <c r="F2583" s="9"/>
      <c r="G2583" s="10"/>
    </row>
    <row r="2584" spans="5:7">
      <c r="E2584" s="9"/>
      <c r="F2584" s="9"/>
      <c r="G2584" s="10"/>
    </row>
    <row r="2585" spans="5:7">
      <c r="E2585" s="9"/>
      <c r="F2585" s="9"/>
      <c r="G2585" s="10"/>
    </row>
    <row r="2586" spans="5:7">
      <c r="E2586" s="9"/>
      <c r="F2586" s="9"/>
      <c r="G2586" s="10"/>
    </row>
    <row r="2587" spans="5:7">
      <c r="E2587" s="9"/>
      <c r="F2587" s="9"/>
      <c r="G2587" s="10"/>
    </row>
    <row r="2588" spans="5:7">
      <c r="E2588" s="9"/>
      <c r="F2588" s="9"/>
      <c r="G2588" s="10"/>
    </row>
    <row r="2589" spans="5:7">
      <c r="E2589" s="9"/>
      <c r="F2589" s="9"/>
      <c r="G2589" s="10"/>
    </row>
    <row r="2590" spans="5:7">
      <c r="E2590" s="9"/>
      <c r="F2590" s="9"/>
      <c r="G2590" s="10"/>
    </row>
    <row r="2591" spans="5:7">
      <c r="E2591" s="9"/>
      <c r="F2591" s="9"/>
      <c r="G2591" s="10"/>
    </row>
    <row r="2592" spans="5:7">
      <c r="E2592" s="9"/>
      <c r="F2592" s="9"/>
      <c r="G2592" s="10"/>
    </row>
    <row r="2593" spans="5:7">
      <c r="E2593" s="9"/>
      <c r="F2593" s="9"/>
      <c r="G2593" s="10"/>
    </row>
    <row r="2594" spans="5:7">
      <c r="E2594" s="9"/>
      <c r="F2594" s="9"/>
      <c r="G2594" s="10"/>
    </row>
    <row r="2595" spans="5:7">
      <c r="E2595" s="9"/>
      <c r="F2595" s="9"/>
      <c r="G2595" s="10"/>
    </row>
    <row r="2596" spans="5:7">
      <c r="E2596" s="9"/>
      <c r="F2596" s="9"/>
      <c r="G2596" s="10"/>
    </row>
    <row r="2597" spans="5:7">
      <c r="E2597" s="9"/>
      <c r="F2597" s="9"/>
      <c r="G2597" s="10"/>
    </row>
    <row r="2598" spans="5:7">
      <c r="E2598" s="9"/>
      <c r="F2598" s="9"/>
      <c r="G2598" s="10"/>
    </row>
    <row r="2599" spans="5:7">
      <c r="E2599" s="9"/>
      <c r="F2599" s="9"/>
      <c r="G2599" s="10"/>
    </row>
    <row r="2600" spans="5:7">
      <c r="E2600" s="9"/>
      <c r="F2600" s="9"/>
      <c r="G2600" s="10"/>
    </row>
    <row r="2601" spans="5:7">
      <c r="E2601" s="9"/>
      <c r="F2601" s="9"/>
      <c r="G2601" s="10"/>
    </row>
    <row r="2602" spans="5:7">
      <c r="E2602" s="9"/>
      <c r="F2602" s="9"/>
      <c r="G2602" s="10"/>
    </row>
    <row r="2603" spans="5:7">
      <c r="E2603" s="9"/>
      <c r="F2603" s="9"/>
      <c r="G2603" s="10"/>
    </row>
    <row r="2604" spans="5:7">
      <c r="E2604" s="9"/>
      <c r="F2604" s="9"/>
      <c r="G2604" s="10"/>
    </row>
    <row r="2605" spans="5:7">
      <c r="E2605" s="9"/>
      <c r="F2605" s="9"/>
      <c r="G2605" s="10"/>
    </row>
    <row r="2606" spans="5:7">
      <c r="E2606" s="9"/>
      <c r="F2606" s="9"/>
      <c r="G2606" s="10"/>
    </row>
    <row r="2607" spans="5:7">
      <c r="E2607" s="9"/>
      <c r="F2607" s="9"/>
      <c r="G2607" s="10"/>
    </row>
    <row r="2608" spans="5:7">
      <c r="E2608" s="9"/>
      <c r="F2608" s="9"/>
      <c r="G2608" s="10"/>
    </row>
    <row r="2609" spans="5:7">
      <c r="E2609" s="9"/>
      <c r="F2609" s="9"/>
      <c r="G2609" s="10"/>
    </row>
    <row r="2610" spans="5:7">
      <c r="E2610" s="9"/>
      <c r="F2610" s="9"/>
      <c r="G2610" s="10"/>
    </row>
    <row r="2611" spans="5:7">
      <c r="E2611" s="9"/>
      <c r="F2611" s="9"/>
      <c r="G2611" s="10"/>
    </row>
    <row r="2612" spans="5:7">
      <c r="E2612" s="9"/>
      <c r="F2612" s="9"/>
      <c r="G2612" s="10"/>
    </row>
    <row r="2613" spans="5:7">
      <c r="E2613" s="9"/>
      <c r="F2613" s="9"/>
      <c r="G2613" s="10"/>
    </row>
    <row r="2614" spans="5:7">
      <c r="E2614" s="9"/>
      <c r="F2614" s="9"/>
      <c r="G2614" s="10"/>
    </row>
    <row r="2615" spans="5:7">
      <c r="E2615" s="9"/>
      <c r="F2615" s="9"/>
      <c r="G2615" s="10"/>
    </row>
    <row r="2616" spans="5:7">
      <c r="E2616" s="9"/>
      <c r="F2616" s="9"/>
      <c r="G2616" s="10"/>
    </row>
    <row r="2617" spans="5:7">
      <c r="E2617" s="9"/>
      <c r="F2617" s="9"/>
      <c r="G2617" s="10"/>
    </row>
    <row r="2618" spans="5:7">
      <c r="E2618" s="9"/>
      <c r="F2618" s="9"/>
      <c r="G2618" s="10"/>
    </row>
    <row r="2619" spans="5:7">
      <c r="E2619" s="9"/>
      <c r="F2619" s="9"/>
      <c r="G2619" s="10"/>
    </row>
    <row r="2620" spans="5:7">
      <c r="E2620" s="9"/>
      <c r="F2620" s="9"/>
      <c r="G2620" s="10"/>
    </row>
    <row r="2621" spans="5:7">
      <c r="E2621" s="9"/>
      <c r="F2621" s="9"/>
      <c r="G2621" s="10"/>
    </row>
    <row r="2622" spans="5:7">
      <c r="E2622" s="9"/>
      <c r="F2622" s="9"/>
      <c r="G2622" s="10"/>
    </row>
    <row r="2623" spans="5:7">
      <c r="E2623" s="9"/>
      <c r="F2623" s="9"/>
      <c r="G2623" s="10"/>
    </row>
    <row r="2624" spans="5:7">
      <c r="E2624" s="9"/>
      <c r="F2624" s="9"/>
      <c r="G2624" s="10"/>
    </row>
    <row r="2625" spans="5:7">
      <c r="E2625" s="9"/>
      <c r="F2625" s="9"/>
      <c r="G2625" s="10"/>
    </row>
    <row r="2626" spans="5:7">
      <c r="E2626" s="9"/>
      <c r="F2626" s="9"/>
      <c r="G2626" s="10"/>
    </row>
    <row r="2627" spans="5:7">
      <c r="E2627" s="9"/>
      <c r="F2627" s="9"/>
      <c r="G2627" s="10"/>
    </row>
    <row r="2628" spans="5:7">
      <c r="E2628" s="9"/>
      <c r="F2628" s="9"/>
      <c r="G2628" s="10"/>
    </row>
    <row r="2629" spans="5:7">
      <c r="E2629" s="9"/>
      <c r="F2629" s="9"/>
      <c r="G2629" s="10"/>
    </row>
    <row r="2630" spans="5:7">
      <c r="E2630" s="9"/>
      <c r="F2630" s="9"/>
      <c r="G2630" s="10"/>
    </row>
    <row r="2631" spans="5:7">
      <c r="E2631" s="9"/>
      <c r="F2631" s="9"/>
      <c r="G2631" s="10"/>
    </row>
    <row r="2632" spans="5:7">
      <c r="E2632" s="9"/>
      <c r="F2632" s="9"/>
      <c r="G2632" s="10"/>
    </row>
    <row r="2633" spans="5:7">
      <c r="E2633" s="9"/>
      <c r="F2633" s="9"/>
      <c r="G2633" s="10"/>
    </row>
    <row r="2634" spans="5:7">
      <c r="E2634" s="9"/>
      <c r="F2634" s="9"/>
      <c r="G2634" s="10"/>
    </row>
    <row r="2635" spans="5:7">
      <c r="E2635" s="9"/>
      <c r="F2635" s="9"/>
      <c r="G2635" s="10"/>
    </row>
    <row r="2636" spans="5:7">
      <c r="E2636" s="9"/>
      <c r="F2636" s="9"/>
      <c r="G2636" s="10"/>
    </row>
    <row r="2637" spans="5:7">
      <c r="E2637" s="9"/>
      <c r="F2637" s="9"/>
      <c r="G2637" s="10"/>
    </row>
    <row r="2638" spans="5:7">
      <c r="E2638" s="9"/>
      <c r="F2638" s="9"/>
      <c r="G2638" s="10"/>
    </row>
    <row r="2639" spans="5:7">
      <c r="E2639" s="9"/>
      <c r="F2639" s="9"/>
      <c r="G2639" s="10"/>
    </row>
    <row r="2640" spans="5:7">
      <c r="E2640" s="9"/>
      <c r="F2640" s="9"/>
      <c r="G2640" s="10"/>
    </row>
    <row r="2641" spans="5:7">
      <c r="E2641" s="9"/>
      <c r="F2641" s="9"/>
      <c r="G2641" s="10"/>
    </row>
    <row r="2642" spans="5:7">
      <c r="E2642" s="9"/>
      <c r="F2642" s="9"/>
      <c r="G2642" s="10"/>
    </row>
    <row r="2643" spans="5:7">
      <c r="E2643" s="9"/>
      <c r="F2643" s="9"/>
      <c r="G2643" s="10"/>
    </row>
    <row r="2644" spans="5:7">
      <c r="E2644" s="9"/>
      <c r="F2644" s="9"/>
      <c r="G2644" s="10"/>
    </row>
    <row r="2645" spans="5:7">
      <c r="E2645" s="9"/>
      <c r="F2645" s="9"/>
      <c r="G2645" s="10"/>
    </row>
    <row r="2646" spans="5:7">
      <c r="E2646" s="9"/>
      <c r="F2646" s="9"/>
      <c r="G2646" s="10"/>
    </row>
    <row r="2647" spans="5:7">
      <c r="E2647" s="9"/>
      <c r="F2647" s="9"/>
      <c r="G2647" s="10"/>
    </row>
    <row r="2648" spans="5:7">
      <c r="E2648" s="9"/>
      <c r="F2648" s="9"/>
      <c r="G2648" s="10"/>
    </row>
    <row r="2649" spans="5:7">
      <c r="E2649" s="9"/>
      <c r="F2649" s="9"/>
      <c r="G2649" s="10"/>
    </row>
    <row r="2650" spans="5:7">
      <c r="E2650" s="9"/>
      <c r="F2650" s="9"/>
      <c r="G2650" s="10"/>
    </row>
    <row r="2651" spans="5:7">
      <c r="E2651" s="9"/>
      <c r="F2651" s="9"/>
      <c r="G2651" s="10"/>
    </row>
    <row r="2652" spans="5:7">
      <c r="E2652" s="9"/>
      <c r="F2652" s="9"/>
      <c r="G2652" s="10"/>
    </row>
    <row r="2653" spans="5:7">
      <c r="E2653" s="9"/>
      <c r="F2653" s="9"/>
      <c r="G2653" s="10"/>
    </row>
    <row r="2654" spans="5:7">
      <c r="E2654" s="9"/>
      <c r="F2654" s="9"/>
      <c r="G2654" s="10"/>
    </row>
    <row r="2655" spans="5:7">
      <c r="E2655" s="9"/>
      <c r="F2655" s="9"/>
      <c r="G2655" s="10"/>
    </row>
    <row r="2656" spans="5:7">
      <c r="E2656" s="9"/>
      <c r="F2656" s="9"/>
      <c r="G2656" s="10"/>
    </row>
    <row r="2657" spans="5:7">
      <c r="E2657" s="9"/>
      <c r="F2657" s="9"/>
      <c r="G2657" s="10"/>
    </row>
    <row r="2658" spans="5:7">
      <c r="E2658" s="9"/>
      <c r="F2658" s="9"/>
      <c r="G2658" s="10"/>
    </row>
    <row r="2659" spans="5:7">
      <c r="E2659" s="9"/>
      <c r="F2659" s="9"/>
      <c r="G2659" s="10"/>
    </row>
    <row r="2660" spans="5:7">
      <c r="E2660" s="9"/>
      <c r="F2660" s="9"/>
      <c r="G2660" s="10"/>
    </row>
    <row r="2661" spans="5:7">
      <c r="E2661" s="9"/>
      <c r="F2661" s="9"/>
      <c r="G2661" s="10"/>
    </row>
    <row r="2662" spans="5:7">
      <c r="E2662" s="9"/>
      <c r="F2662" s="9"/>
      <c r="G2662" s="10"/>
    </row>
    <row r="2663" spans="5:7">
      <c r="E2663" s="9"/>
      <c r="F2663" s="9"/>
      <c r="G2663" s="10"/>
    </row>
    <row r="2664" spans="5:7">
      <c r="E2664" s="9"/>
      <c r="F2664" s="9"/>
      <c r="G2664" s="10"/>
    </row>
    <row r="2665" spans="5:7">
      <c r="E2665" s="9"/>
      <c r="F2665" s="9"/>
      <c r="G2665" s="10"/>
    </row>
    <row r="2666" spans="5:7">
      <c r="E2666" s="9"/>
      <c r="F2666" s="9"/>
      <c r="G2666" s="10"/>
    </row>
    <row r="2667" spans="5:7">
      <c r="E2667" s="9"/>
      <c r="F2667" s="9"/>
      <c r="G2667" s="10"/>
    </row>
    <row r="2668" spans="5:7">
      <c r="E2668" s="9"/>
      <c r="F2668" s="9"/>
      <c r="G2668" s="10"/>
    </row>
    <row r="2669" spans="5:7">
      <c r="E2669" s="9"/>
      <c r="F2669" s="9"/>
      <c r="G2669" s="10"/>
    </row>
    <row r="2670" spans="5:7">
      <c r="E2670" s="9"/>
      <c r="F2670" s="9"/>
      <c r="G2670" s="10"/>
    </row>
    <row r="2671" spans="5:7">
      <c r="E2671" s="9"/>
      <c r="F2671" s="9"/>
      <c r="G2671" s="10"/>
    </row>
    <row r="2672" spans="5:7">
      <c r="E2672" s="9"/>
      <c r="F2672" s="9"/>
      <c r="G2672" s="10"/>
    </row>
    <row r="2673" spans="5:7">
      <c r="E2673" s="9"/>
      <c r="F2673" s="9"/>
      <c r="G2673" s="10"/>
    </row>
    <row r="2674" spans="5:7">
      <c r="E2674" s="9"/>
      <c r="F2674" s="9"/>
      <c r="G2674" s="10"/>
    </row>
    <row r="2675" spans="5:7">
      <c r="E2675" s="9"/>
      <c r="F2675" s="9"/>
      <c r="G2675" s="10"/>
    </row>
    <row r="2676" spans="5:7">
      <c r="E2676" s="9"/>
      <c r="F2676" s="9"/>
      <c r="G2676" s="10"/>
    </row>
    <row r="2677" spans="5:7">
      <c r="E2677" s="9"/>
      <c r="F2677" s="9"/>
      <c r="G2677" s="10"/>
    </row>
    <row r="2678" spans="5:7">
      <c r="E2678" s="9"/>
      <c r="F2678" s="9"/>
      <c r="G2678" s="10"/>
    </row>
    <row r="2679" spans="5:7">
      <c r="E2679" s="9"/>
      <c r="F2679" s="9"/>
      <c r="G2679" s="10"/>
    </row>
    <row r="2680" spans="5:7">
      <c r="E2680" s="9"/>
      <c r="F2680" s="9"/>
      <c r="G2680" s="10"/>
    </row>
    <row r="2681" spans="5:7">
      <c r="E2681" s="9"/>
      <c r="F2681" s="9"/>
      <c r="G2681" s="10"/>
    </row>
    <row r="2682" spans="5:7">
      <c r="E2682" s="9"/>
      <c r="F2682" s="9"/>
      <c r="G2682" s="10"/>
    </row>
    <row r="2683" spans="5:7">
      <c r="E2683" s="9"/>
      <c r="F2683" s="9"/>
      <c r="G2683" s="10"/>
    </row>
    <row r="2684" spans="5:7">
      <c r="E2684" s="9"/>
      <c r="F2684" s="9"/>
      <c r="G2684" s="10"/>
    </row>
    <row r="2685" spans="5:7">
      <c r="E2685" s="9"/>
      <c r="F2685" s="9"/>
      <c r="G2685" s="10"/>
    </row>
    <row r="2686" spans="5:7">
      <c r="E2686" s="9"/>
      <c r="F2686" s="9"/>
      <c r="G2686" s="10"/>
    </row>
    <row r="2687" spans="5:7">
      <c r="E2687" s="9"/>
      <c r="F2687" s="9"/>
      <c r="G2687" s="10"/>
    </row>
    <row r="2688" spans="5:7">
      <c r="E2688" s="9"/>
      <c r="F2688" s="9"/>
      <c r="G2688" s="10"/>
    </row>
    <row r="2689" spans="5:7">
      <c r="E2689" s="9"/>
      <c r="F2689" s="9"/>
      <c r="G2689" s="10"/>
    </row>
    <row r="2690" spans="5:7">
      <c r="E2690" s="9"/>
      <c r="F2690" s="9"/>
      <c r="G2690" s="10"/>
    </row>
    <row r="2691" spans="5:7">
      <c r="E2691" s="9"/>
      <c r="F2691" s="9"/>
      <c r="G2691" s="10"/>
    </row>
    <row r="2692" spans="5:7">
      <c r="E2692" s="9"/>
      <c r="F2692" s="9"/>
      <c r="G2692" s="10"/>
    </row>
    <row r="2693" spans="5:7">
      <c r="E2693" s="9"/>
      <c r="F2693" s="9"/>
      <c r="G2693" s="10"/>
    </row>
    <row r="2694" spans="5:7">
      <c r="E2694" s="9"/>
      <c r="F2694" s="9"/>
      <c r="G2694" s="10"/>
    </row>
    <row r="2695" spans="5:7">
      <c r="E2695" s="9"/>
      <c r="F2695" s="9"/>
      <c r="G2695" s="10"/>
    </row>
    <row r="2696" spans="5:7">
      <c r="E2696" s="9"/>
      <c r="F2696" s="9"/>
      <c r="G2696" s="10"/>
    </row>
    <row r="2697" spans="5:7">
      <c r="E2697" s="9"/>
      <c r="F2697" s="9"/>
      <c r="G2697" s="10"/>
    </row>
    <row r="2698" spans="5:7">
      <c r="E2698" s="9"/>
      <c r="F2698" s="9"/>
      <c r="G2698" s="10"/>
    </row>
    <row r="2699" spans="5:7">
      <c r="E2699" s="9"/>
      <c r="F2699" s="9"/>
      <c r="G2699" s="10"/>
    </row>
    <row r="2700" spans="5:7">
      <c r="E2700" s="9"/>
      <c r="F2700" s="9"/>
      <c r="G2700" s="10"/>
    </row>
    <row r="2701" spans="5:7">
      <c r="E2701" s="9"/>
      <c r="F2701" s="9"/>
      <c r="G2701" s="10"/>
    </row>
    <row r="2702" spans="5:7">
      <c r="E2702" s="9"/>
      <c r="F2702" s="9"/>
      <c r="G2702" s="10"/>
    </row>
    <row r="2703" spans="5:7">
      <c r="E2703" s="9"/>
      <c r="F2703" s="9"/>
      <c r="G2703" s="10"/>
    </row>
    <row r="2704" spans="5:7">
      <c r="E2704" s="9"/>
      <c r="F2704" s="9"/>
      <c r="G2704" s="10"/>
    </row>
    <row r="2705" spans="5:7">
      <c r="E2705" s="9"/>
      <c r="F2705" s="9"/>
      <c r="G2705" s="10"/>
    </row>
    <row r="2706" spans="5:7">
      <c r="E2706" s="9"/>
      <c r="F2706" s="9"/>
      <c r="G2706" s="10"/>
    </row>
    <row r="2707" spans="5:7">
      <c r="E2707" s="9"/>
      <c r="F2707" s="9"/>
      <c r="G2707" s="10"/>
    </row>
    <row r="2708" spans="5:7">
      <c r="E2708" s="9"/>
      <c r="F2708" s="9"/>
      <c r="G2708" s="10"/>
    </row>
    <row r="2709" spans="5:7">
      <c r="E2709" s="9"/>
      <c r="F2709" s="9"/>
      <c r="G2709" s="10"/>
    </row>
    <row r="2710" spans="5:7">
      <c r="E2710" s="9"/>
      <c r="F2710" s="9"/>
      <c r="G2710" s="10"/>
    </row>
    <row r="2711" spans="5:7">
      <c r="E2711" s="9"/>
      <c r="F2711" s="9"/>
      <c r="G2711" s="10"/>
    </row>
    <row r="2712" spans="5:7">
      <c r="E2712" s="9"/>
      <c r="F2712" s="9"/>
      <c r="G2712" s="10"/>
    </row>
    <row r="2713" spans="5:7">
      <c r="E2713" s="9"/>
      <c r="F2713" s="9"/>
      <c r="G2713" s="10"/>
    </row>
    <row r="2714" spans="5:7">
      <c r="E2714" s="9"/>
      <c r="F2714" s="9"/>
      <c r="G2714" s="10"/>
    </row>
    <row r="2715" spans="5:7">
      <c r="E2715" s="9"/>
      <c r="F2715" s="9"/>
      <c r="G2715" s="10"/>
    </row>
    <row r="2716" spans="5:7">
      <c r="E2716" s="9"/>
      <c r="F2716" s="9"/>
      <c r="G2716" s="10"/>
    </row>
    <row r="2717" spans="5:7">
      <c r="E2717" s="9"/>
      <c r="F2717" s="9"/>
      <c r="G2717" s="10"/>
    </row>
    <row r="2718" spans="5:7">
      <c r="E2718" s="9"/>
      <c r="F2718" s="9"/>
      <c r="G2718" s="10"/>
    </row>
    <row r="2719" spans="5:7">
      <c r="E2719" s="9"/>
      <c r="F2719" s="9"/>
      <c r="G2719" s="10"/>
    </row>
    <row r="2720" spans="5:7">
      <c r="E2720" s="9"/>
      <c r="F2720" s="9"/>
      <c r="G2720" s="10"/>
    </row>
    <row r="2721" spans="5:7">
      <c r="E2721" s="9"/>
      <c r="F2721" s="9"/>
      <c r="G2721" s="10"/>
    </row>
    <row r="2722" spans="5:7">
      <c r="E2722" s="9"/>
      <c r="F2722" s="9"/>
      <c r="G2722" s="10"/>
    </row>
    <row r="2723" spans="5:7">
      <c r="E2723" s="9"/>
      <c r="F2723" s="9"/>
      <c r="G2723" s="10"/>
    </row>
    <row r="2724" spans="5:7">
      <c r="E2724" s="9"/>
      <c r="F2724" s="9"/>
      <c r="G2724" s="10"/>
    </row>
    <row r="2725" spans="5:7">
      <c r="E2725" s="9"/>
      <c r="F2725" s="9"/>
      <c r="G2725" s="10"/>
    </row>
    <row r="2726" spans="5:7">
      <c r="E2726" s="9"/>
      <c r="F2726" s="9"/>
      <c r="G2726" s="10"/>
    </row>
    <row r="2727" spans="5:7">
      <c r="E2727" s="9"/>
      <c r="F2727" s="9"/>
      <c r="G2727" s="10"/>
    </row>
    <row r="2728" spans="5:7">
      <c r="E2728" s="9"/>
      <c r="F2728" s="9"/>
      <c r="G2728" s="10"/>
    </row>
    <row r="2729" spans="5:7">
      <c r="E2729" s="9"/>
      <c r="F2729" s="9"/>
      <c r="G2729" s="10"/>
    </row>
    <row r="2730" spans="5:7">
      <c r="E2730" s="9"/>
      <c r="F2730" s="9"/>
      <c r="G2730" s="10"/>
    </row>
    <row r="2731" spans="5:7">
      <c r="E2731" s="9"/>
      <c r="F2731" s="9"/>
      <c r="G2731" s="10"/>
    </row>
    <row r="2732" spans="5:7">
      <c r="E2732" s="9"/>
      <c r="F2732" s="9"/>
      <c r="G2732" s="10"/>
    </row>
    <row r="2733" spans="5:7">
      <c r="E2733" s="9"/>
      <c r="F2733" s="9"/>
      <c r="G2733" s="10"/>
    </row>
    <row r="2734" spans="5:7">
      <c r="E2734" s="9"/>
      <c r="F2734" s="9"/>
      <c r="G2734" s="10"/>
    </row>
    <row r="2735" spans="5:7">
      <c r="E2735" s="9"/>
      <c r="F2735" s="9"/>
      <c r="G2735" s="10"/>
    </row>
    <row r="2736" spans="5:7">
      <c r="E2736" s="9"/>
      <c r="F2736" s="9"/>
      <c r="G2736" s="10"/>
    </row>
    <row r="2737" spans="5:7">
      <c r="E2737" s="9"/>
      <c r="F2737" s="9"/>
      <c r="G2737" s="10"/>
    </row>
    <row r="2738" spans="5:7">
      <c r="E2738" s="9"/>
      <c r="F2738" s="9"/>
      <c r="G2738" s="10"/>
    </row>
    <row r="2739" spans="5:7">
      <c r="E2739" s="9"/>
      <c r="F2739" s="9"/>
      <c r="G2739" s="10"/>
    </row>
    <row r="2740" spans="5:7">
      <c r="E2740" s="9"/>
      <c r="F2740" s="9"/>
      <c r="G2740" s="10"/>
    </row>
    <row r="2741" spans="5:7">
      <c r="E2741" s="9"/>
      <c r="F2741" s="9"/>
      <c r="G2741" s="10"/>
    </row>
    <row r="2742" spans="5:7">
      <c r="E2742" s="9"/>
      <c r="F2742" s="9"/>
      <c r="G2742" s="10"/>
    </row>
    <row r="2743" spans="5:7">
      <c r="E2743" s="9"/>
      <c r="F2743" s="9"/>
      <c r="G2743" s="10"/>
    </row>
    <row r="2744" spans="5:7">
      <c r="E2744" s="9"/>
      <c r="F2744" s="9"/>
      <c r="G2744" s="10"/>
    </row>
    <row r="2745" spans="5:7">
      <c r="E2745" s="9"/>
      <c r="F2745" s="9"/>
      <c r="G2745" s="10"/>
    </row>
    <row r="2746" spans="5:7">
      <c r="E2746" s="9"/>
      <c r="F2746" s="9"/>
      <c r="G2746" s="10"/>
    </row>
    <row r="2747" spans="5:7">
      <c r="E2747" s="9"/>
      <c r="F2747" s="9"/>
      <c r="G2747" s="10"/>
    </row>
    <row r="2748" spans="5:7">
      <c r="E2748" s="9"/>
      <c r="F2748" s="9"/>
      <c r="G2748" s="10"/>
    </row>
    <row r="2749" spans="5:7">
      <c r="E2749" s="9"/>
      <c r="F2749" s="9"/>
      <c r="G2749" s="10"/>
    </row>
    <row r="2750" spans="5:7">
      <c r="E2750" s="9"/>
      <c r="F2750" s="9"/>
      <c r="G2750" s="10"/>
    </row>
    <row r="2751" spans="5:7">
      <c r="E2751" s="9"/>
      <c r="F2751" s="9"/>
      <c r="G2751" s="10"/>
    </row>
    <row r="2752" spans="5:7">
      <c r="E2752" s="9"/>
      <c r="F2752" s="9"/>
      <c r="G2752" s="10"/>
    </row>
    <row r="2753" spans="5:7">
      <c r="E2753" s="9"/>
      <c r="F2753" s="9"/>
      <c r="G2753" s="10"/>
    </row>
    <row r="2754" spans="5:7">
      <c r="E2754" s="9"/>
      <c r="F2754" s="9"/>
      <c r="G2754" s="10"/>
    </row>
    <row r="2755" spans="5:7">
      <c r="E2755" s="9"/>
      <c r="F2755" s="9"/>
      <c r="G2755" s="10"/>
    </row>
    <row r="2756" spans="5:7">
      <c r="E2756" s="9"/>
      <c r="F2756" s="9"/>
      <c r="G2756" s="10"/>
    </row>
    <row r="2757" spans="5:7">
      <c r="E2757" s="9"/>
      <c r="F2757" s="9"/>
      <c r="G2757" s="10"/>
    </row>
    <row r="2758" spans="5:7">
      <c r="E2758" s="9"/>
      <c r="F2758" s="9"/>
      <c r="G2758" s="10"/>
    </row>
    <row r="2759" spans="5:7">
      <c r="E2759" s="9"/>
      <c r="F2759" s="9"/>
      <c r="G2759" s="10"/>
    </row>
    <row r="2760" spans="5:7">
      <c r="E2760" s="9"/>
      <c r="F2760" s="9"/>
      <c r="G2760" s="10"/>
    </row>
    <row r="2761" spans="5:7">
      <c r="E2761" s="9"/>
      <c r="F2761" s="9"/>
      <c r="G2761" s="10"/>
    </row>
    <row r="2762" spans="5:7">
      <c r="E2762" s="9"/>
      <c r="F2762" s="9"/>
      <c r="G2762" s="10"/>
    </row>
    <row r="2763" spans="5:7">
      <c r="E2763" s="9"/>
      <c r="F2763" s="9"/>
      <c r="G2763" s="10"/>
    </row>
    <row r="2764" spans="5:7">
      <c r="E2764" s="9"/>
      <c r="F2764" s="9"/>
      <c r="G2764" s="10"/>
    </row>
    <row r="2765" spans="5:7">
      <c r="E2765" s="9"/>
      <c r="F2765" s="9"/>
      <c r="G2765" s="10"/>
    </row>
    <row r="2766" spans="5:7">
      <c r="E2766" s="9"/>
      <c r="F2766" s="9"/>
      <c r="G2766" s="10"/>
    </row>
    <row r="2767" spans="5:7">
      <c r="E2767" s="9"/>
      <c r="F2767" s="9"/>
      <c r="G2767" s="10"/>
    </row>
    <row r="2768" spans="5:7">
      <c r="E2768" s="9"/>
      <c r="F2768" s="9"/>
      <c r="G2768" s="10"/>
    </row>
    <row r="2769" spans="5:7">
      <c r="E2769" s="9"/>
      <c r="F2769" s="9"/>
      <c r="G2769" s="10"/>
    </row>
    <row r="2770" spans="5:7">
      <c r="E2770" s="9"/>
      <c r="F2770" s="9"/>
      <c r="G2770" s="10"/>
    </row>
    <row r="2771" spans="5:7">
      <c r="E2771" s="9"/>
      <c r="F2771" s="9"/>
      <c r="G2771" s="10"/>
    </row>
    <row r="2772" spans="5:7">
      <c r="E2772" s="9"/>
      <c r="F2772" s="9"/>
      <c r="G2772" s="10"/>
    </row>
    <row r="2773" spans="5:7">
      <c r="E2773" s="9"/>
      <c r="F2773" s="9"/>
      <c r="G2773" s="10"/>
    </row>
    <row r="2774" spans="5:7">
      <c r="E2774" s="9"/>
      <c r="F2774" s="9"/>
      <c r="G2774" s="10"/>
    </row>
    <row r="2775" spans="5:7">
      <c r="E2775" s="9"/>
      <c r="F2775" s="9"/>
      <c r="G2775" s="10"/>
    </row>
    <row r="2776" spans="5:7">
      <c r="E2776" s="9"/>
      <c r="F2776" s="9"/>
      <c r="G2776" s="10"/>
    </row>
    <row r="2777" spans="5:7">
      <c r="E2777" s="9"/>
      <c r="F2777" s="9"/>
      <c r="G2777" s="10"/>
    </row>
    <row r="2778" spans="5:7">
      <c r="E2778" s="9"/>
      <c r="F2778" s="9"/>
      <c r="G2778" s="10"/>
    </row>
    <row r="2779" spans="5:7">
      <c r="E2779" s="9"/>
      <c r="F2779" s="9"/>
      <c r="G2779" s="10"/>
    </row>
    <row r="2780" spans="5:7">
      <c r="E2780" s="9"/>
      <c r="F2780" s="9"/>
      <c r="G2780" s="10"/>
    </row>
    <row r="2781" spans="5:7">
      <c r="E2781" s="9"/>
      <c r="F2781" s="9"/>
      <c r="G2781" s="10"/>
    </row>
    <row r="2782" spans="5:7">
      <c r="E2782" s="9"/>
      <c r="F2782" s="9"/>
      <c r="G2782" s="10"/>
    </row>
    <row r="2783" spans="5:7">
      <c r="E2783" s="9"/>
      <c r="F2783" s="9"/>
      <c r="G2783" s="10"/>
    </row>
    <row r="2784" spans="5:7">
      <c r="E2784" s="9"/>
      <c r="F2784" s="9"/>
      <c r="G2784" s="10"/>
    </row>
    <row r="2785" spans="5:7">
      <c r="E2785" s="9"/>
      <c r="F2785" s="9"/>
      <c r="G2785" s="10"/>
    </row>
    <row r="2786" spans="5:7">
      <c r="E2786" s="9"/>
      <c r="F2786" s="9"/>
      <c r="G2786" s="10"/>
    </row>
    <row r="2787" spans="5:7">
      <c r="E2787" s="9"/>
      <c r="F2787" s="9"/>
      <c r="G2787" s="10"/>
    </row>
    <row r="2788" spans="5:7">
      <c r="E2788" s="9"/>
      <c r="F2788" s="9"/>
      <c r="G2788" s="10"/>
    </row>
    <row r="2789" spans="5:7">
      <c r="E2789" s="9"/>
      <c r="F2789" s="9"/>
      <c r="G2789" s="10"/>
    </row>
    <row r="2790" spans="5:7">
      <c r="E2790" s="9"/>
      <c r="F2790" s="9"/>
      <c r="G2790" s="10"/>
    </row>
    <row r="2791" spans="5:7">
      <c r="E2791" s="9"/>
      <c r="F2791" s="9"/>
      <c r="G2791" s="10"/>
    </row>
    <row r="2792" spans="5:7">
      <c r="E2792" s="9"/>
      <c r="F2792" s="9"/>
      <c r="G2792" s="10"/>
    </row>
    <row r="2793" spans="5:7">
      <c r="E2793" s="9"/>
      <c r="F2793" s="9"/>
      <c r="G2793" s="10"/>
    </row>
    <row r="2794" spans="5:7">
      <c r="E2794" s="9"/>
      <c r="F2794" s="9"/>
      <c r="G2794" s="10"/>
    </row>
    <row r="2795" spans="5:7">
      <c r="E2795" s="9"/>
      <c r="F2795" s="9"/>
      <c r="G2795" s="10"/>
    </row>
    <row r="2796" spans="5:7">
      <c r="E2796" s="9"/>
      <c r="F2796" s="9"/>
      <c r="G2796" s="10"/>
    </row>
    <row r="2797" spans="5:7">
      <c r="E2797" s="9"/>
      <c r="F2797" s="9"/>
      <c r="G2797" s="10"/>
    </row>
    <row r="2798" spans="5:7">
      <c r="E2798" s="9"/>
      <c r="F2798" s="9"/>
      <c r="G2798" s="10"/>
    </row>
    <row r="2799" spans="5:7">
      <c r="E2799" s="9"/>
      <c r="F2799" s="9"/>
      <c r="G2799" s="10"/>
    </row>
    <row r="2800" spans="5:7">
      <c r="E2800" s="9"/>
      <c r="F2800" s="9"/>
      <c r="G2800" s="10"/>
    </row>
    <row r="2801" spans="5:7">
      <c r="E2801" s="9"/>
      <c r="F2801" s="9"/>
      <c r="G2801" s="10"/>
    </row>
    <row r="2802" spans="5:7">
      <c r="E2802" s="9"/>
      <c r="F2802" s="9"/>
      <c r="G2802" s="10"/>
    </row>
    <row r="2803" spans="5:7">
      <c r="E2803" s="9"/>
      <c r="F2803" s="9"/>
      <c r="G2803" s="10"/>
    </row>
    <row r="2804" spans="5:7">
      <c r="E2804" s="9"/>
      <c r="F2804" s="9"/>
      <c r="G2804" s="10"/>
    </row>
    <row r="2805" spans="5:7">
      <c r="E2805" s="9"/>
      <c r="F2805" s="9"/>
      <c r="G2805" s="10"/>
    </row>
    <row r="2806" spans="5:7">
      <c r="E2806" s="9"/>
      <c r="F2806" s="9"/>
      <c r="G2806" s="10"/>
    </row>
    <row r="2807" spans="5:7">
      <c r="E2807" s="9"/>
      <c r="F2807" s="9"/>
      <c r="G2807" s="10"/>
    </row>
    <row r="2808" spans="5:7">
      <c r="E2808" s="9"/>
      <c r="F2808" s="9"/>
      <c r="G2808" s="10"/>
    </row>
    <row r="2809" spans="5:7">
      <c r="E2809" s="9"/>
      <c r="F2809" s="9"/>
      <c r="G2809" s="10"/>
    </row>
    <row r="2810" spans="5:7">
      <c r="E2810" s="9"/>
      <c r="F2810" s="9"/>
      <c r="G2810" s="10"/>
    </row>
    <row r="2811" spans="5:7">
      <c r="E2811" s="9"/>
      <c r="F2811" s="9"/>
      <c r="G2811" s="10"/>
    </row>
    <row r="2812" spans="5:7">
      <c r="E2812" s="9"/>
      <c r="F2812" s="9"/>
      <c r="G2812" s="10"/>
    </row>
    <row r="2813" spans="5:7">
      <c r="E2813" s="9"/>
      <c r="F2813" s="9"/>
      <c r="G2813" s="10"/>
    </row>
    <row r="2814" spans="5:7">
      <c r="E2814" s="9"/>
      <c r="F2814" s="9"/>
      <c r="G2814" s="10"/>
    </row>
    <row r="2815" spans="5:7">
      <c r="E2815" s="9"/>
      <c r="F2815" s="9"/>
      <c r="G2815" s="10"/>
    </row>
    <row r="2816" spans="5:7">
      <c r="E2816" s="9"/>
      <c r="F2816" s="9"/>
      <c r="G2816" s="10"/>
    </row>
    <row r="2817" spans="5:7">
      <c r="E2817" s="9"/>
      <c r="F2817" s="9"/>
      <c r="G2817" s="10"/>
    </row>
    <row r="2818" spans="5:7">
      <c r="E2818" s="9"/>
      <c r="F2818" s="9"/>
      <c r="G2818" s="10"/>
    </row>
    <row r="2819" spans="5:7">
      <c r="E2819" s="9"/>
      <c r="F2819" s="9"/>
      <c r="G2819" s="10"/>
    </row>
    <row r="2820" spans="5:7">
      <c r="E2820" s="9"/>
      <c r="F2820" s="9"/>
      <c r="G2820" s="10"/>
    </row>
    <row r="2821" spans="5:7">
      <c r="E2821" s="9"/>
      <c r="F2821" s="9"/>
      <c r="G2821" s="10"/>
    </row>
    <row r="2822" spans="5:7">
      <c r="E2822" s="9"/>
      <c r="F2822" s="9"/>
      <c r="G2822" s="10"/>
    </row>
    <row r="2823" spans="5:7">
      <c r="E2823" s="9"/>
      <c r="F2823" s="9"/>
      <c r="G2823" s="10"/>
    </row>
    <row r="2824" spans="5:7">
      <c r="E2824" s="9"/>
      <c r="F2824" s="9"/>
      <c r="G2824" s="10"/>
    </row>
    <row r="2825" spans="5:7">
      <c r="E2825" s="9"/>
      <c r="F2825" s="9"/>
      <c r="G2825" s="10"/>
    </row>
    <row r="2826" spans="5:7">
      <c r="E2826" s="9"/>
      <c r="F2826" s="9"/>
      <c r="G2826" s="10"/>
    </row>
    <row r="2827" spans="5:7">
      <c r="E2827" s="9"/>
      <c r="F2827" s="9"/>
      <c r="G2827" s="10"/>
    </row>
    <row r="2828" spans="5:7">
      <c r="E2828" s="9"/>
      <c r="F2828" s="9"/>
      <c r="G2828" s="10"/>
    </row>
    <row r="2829" spans="5:7">
      <c r="E2829" s="9"/>
      <c r="F2829" s="9"/>
      <c r="G2829" s="10"/>
    </row>
    <row r="2830" spans="5:7">
      <c r="E2830" s="9"/>
      <c r="F2830" s="9"/>
      <c r="G2830" s="10"/>
    </row>
    <row r="2831" spans="5:7">
      <c r="E2831" s="9"/>
      <c r="F2831" s="9"/>
      <c r="G2831" s="10"/>
    </row>
    <row r="2832" spans="5:7">
      <c r="E2832" s="9"/>
      <c r="F2832" s="9"/>
      <c r="G2832" s="10"/>
    </row>
    <row r="2833" spans="5:7">
      <c r="E2833" s="9"/>
      <c r="F2833" s="9"/>
      <c r="G2833" s="10"/>
    </row>
    <row r="2834" spans="5:7">
      <c r="E2834" s="9"/>
      <c r="F2834" s="9"/>
      <c r="G2834" s="10"/>
    </row>
    <row r="2835" spans="5:7">
      <c r="E2835" s="9"/>
      <c r="F2835" s="9"/>
      <c r="G2835" s="10"/>
    </row>
    <row r="2836" spans="5:7">
      <c r="E2836" s="9"/>
      <c r="F2836" s="9"/>
      <c r="G2836" s="10"/>
    </row>
    <row r="2837" spans="5:7">
      <c r="E2837" s="9"/>
      <c r="F2837" s="9"/>
      <c r="G2837" s="10"/>
    </row>
    <row r="2838" spans="5:7">
      <c r="E2838" s="9"/>
      <c r="F2838" s="9"/>
      <c r="G2838" s="10"/>
    </row>
    <row r="2839" spans="5:7">
      <c r="E2839" s="9"/>
      <c r="F2839" s="9"/>
      <c r="G2839" s="10"/>
    </row>
    <row r="2840" spans="5:7">
      <c r="E2840" s="9"/>
      <c r="F2840" s="9"/>
      <c r="G2840" s="10"/>
    </row>
    <row r="2841" spans="5:7">
      <c r="E2841" s="9"/>
      <c r="F2841" s="9"/>
      <c r="G2841" s="10"/>
    </row>
    <row r="2842" spans="5:7">
      <c r="E2842" s="9"/>
      <c r="F2842" s="9"/>
      <c r="G2842" s="10"/>
    </row>
    <row r="2843" spans="5:7">
      <c r="E2843" s="9"/>
      <c r="F2843" s="9"/>
      <c r="G2843" s="10"/>
    </row>
    <row r="2844" spans="5:7">
      <c r="E2844" s="9"/>
      <c r="F2844" s="9"/>
      <c r="G2844" s="10"/>
    </row>
    <row r="2845" spans="5:7">
      <c r="E2845" s="9"/>
      <c r="F2845" s="9"/>
      <c r="G2845" s="10"/>
    </row>
    <row r="2846" spans="5:7">
      <c r="E2846" s="9"/>
      <c r="F2846" s="9"/>
      <c r="G2846" s="10"/>
    </row>
    <row r="2847" spans="5:7">
      <c r="E2847" s="9"/>
      <c r="F2847" s="9"/>
      <c r="G2847" s="10"/>
    </row>
    <row r="2848" spans="5:7">
      <c r="E2848" s="9"/>
      <c r="F2848" s="9"/>
      <c r="G2848" s="10"/>
    </row>
    <row r="2849" spans="5:7">
      <c r="E2849" s="9"/>
      <c r="F2849" s="9"/>
      <c r="G2849" s="10"/>
    </row>
    <row r="2850" spans="5:7">
      <c r="E2850" s="9"/>
      <c r="F2850" s="9"/>
      <c r="G2850" s="10"/>
    </row>
    <row r="2851" spans="5:7">
      <c r="E2851" s="9"/>
      <c r="F2851" s="9"/>
      <c r="G2851" s="10"/>
    </row>
    <row r="2852" spans="5:7">
      <c r="E2852" s="9"/>
      <c r="F2852" s="9"/>
      <c r="G2852" s="10"/>
    </row>
    <row r="2853" spans="5:7">
      <c r="E2853" s="9"/>
      <c r="F2853" s="9"/>
      <c r="G2853" s="10"/>
    </row>
    <row r="2854" spans="5:7">
      <c r="E2854" s="9"/>
      <c r="F2854" s="9"/>
      <c r="G2854" s="10"/>
    </row>
    <row r="2855" spans="5:7">
      <c r="E2855" s="9"/>
      <c r="F2855" s="9"/>
      <c r="G2855" s="10"/>
    </row>
    <row r="2856" spans="5:7">
      <c r="E2856" s="9"/>
      <c r="F2856" s="9"/>
      <c r="G2856" s="10"/>
    </row>
    <row r="2857" spans="5:7">
      <c r="E2857" s="9"/>
      <c r="F2857" s="9"/>
      <c r="G2857" s="10"/>
    </row>
    <row r="2858" spans="5:7">
      <c r="E2858" s="9"/>
      <c r="F2858" s="9"/>
      <c r="G2858" s="10"/>
    </row>
    <row r="2859" spans="5:7">
      <c r="E2859" s="9"/>
      <c r="F2859" s="9"/>
      <c r="G2859" s="10"/>
    </row>
    <row r="2860" spans="5:7">
      <c r="E2860" s="9"/>
      <c r="F2860" s="9"/>
      <c r="G2860" s="10"/>
    </row>
    <row r="2861" spans="5:7">
      <c r="E2861" s="9"/>
      <c r="F2861" s="9"/>
      <c r="G2861" s="10"/>
    </row>
    <row r="2862" spans="5:7">
      <c r="E2862" s="9"/>
      <c r="F2862" s="9"/>
      <c r="G2862" s="10"/>
    </row>
    <row r="2863" spans="5:7">
      <c r="E2863" s="9"/>
      <c r="F2863" s="9"/>
      <c r="G2863" s="10"/>
    </row>
    <row r="2864" spans="5:7">
      <c r="E2864" s="9"/>
      <c r="F2864" s="9"/>
      <c r="G2864" s="10"/>
    </row>
    <row r="2865" spans="5:7">
      <c r="E2865" s="9"/>
      <c r="F2865" s="9"/>
      <c r="G2865" s="10"/>
    </row>
    <row r="2866" spans="5:7">
      <c r="E2866" s="9"/>
      <c r="F2866" s="9"/>
      <c r="G2866" s="10"/>
    </row>
    <row r="2867" spans="5:7">
      <c r="E2867" s="9"/>
      <c r="F2867" s="9"/>
      <c r="G2867" s="10"/>
    </row>
    <row r="2868" spans="5:7">
      <c r="E2868" s="9"/>
      <c r="F2868" s="9"/>
      <c r="G2868" s="10"/>
    </row>
    <row r="2869" spans="5:7">
      <c r="E2869" s="9"/>
      <c r="F2869" s="9"/>
      <c r="G2869" s="10"/>
    </row>
    <row r="2870" spans="5:7">
      <c r="E2870" s="9"/>
      <c r="F2870" s="9"/>
      <c r="G2870" s="10"/>
    </row>
    <row r="2871" spans="5:7">
      <c r="E2871" s="9"/>
      <c r="F2871" s="9"/>
      <c r="G2871" s="10"/>
    </row>
    <row r="2872" spans="5:7">
      <c r="E2872" s="9"/>
      <c r="F2872" s="9"/>
      <c r="G2872" s="10"/>
    </row>
    <row r="2873" spans="5:7">
      <c r="E2873" s="9"/>
      <c r="F2873" s="9"/>
      <c r="G2873" s="10"/>
    </row>
    <row r="2874" spans="5:7">
      <c r="E2874" s="9"/>
      <c r="F2874" s="9"/>
      <c r="G2874" s="10"/>
    </row>
    <row r="2875" spans="5:7">
      <c r="E2875" s="9"/>
      <c r="F2875" s="9"/>
      <c r="G2875" s="10"/>
    </row>
    <row r="2876" spans="5:7">
      <c r="E2876" s="9"/>
      <c r="F2876" s="9"/>
      <c r="G2876" s="10"/>
    </row>
    <row r="2877" spans="5:7">
      <c r="E2877" s="9"/>
      <c r="F2877" s="9"/>
      <c r="G2877" s="10"/>
    </row>
    <row r="2878" spans="5:7">
      <c r="E2878" s="9"/>
      <c r="F2878" s="9"/>
      <c r="G2878" s="10"/>
    </row>
    <row r="2879" spans="5:7">
      <c r="E2879" s="9"/>
      <c r="F2879" s="9"/>
      <c r="G2879" s="10"/>
    </row>
    <row r="2880" spans="5:7">
      <c r="E2880" s="9"/>
      <c r="F2880" s="9"/>
      <c r="G2880" s="10"/>
    </row>
    <row r="2881" spans="5:7">
      <c r="E2881" s="9"/>
      <c r="F2881" s="9"/>
      <c r="G2881" s="10"/>
    </row>
    <row r="2882" spans="5:7">
      <c r="E2882" s="9"/>
      <c r="F2882" s="9"/>
      <c r="G2882" s="10"/>
    </row>
    <row r="2883" spans="5:7">
      <c r="E2883" s="9"/>
      <c r="F2883" s="9"/>
      <c r="G2883" s="10"/>
    </row>
    <row r="2884" spans="5:7">
      <c r="E2884" s="9"/>
      <c r="F2884" s="9"/>
      <c r="G2884" s="10"/>
    </row>
    <row r="2885" spans="5:7">
      <c r="E2885" s="9"/>
      <c r="F2885" s="9"/>
      <c r="G2885" s="10"/>
    </row>
    <row r="2886" spans="5:7">
      <c r="E2886" s="9"/>
      <c r="F2886" s="9"/>
      <c r="G2886" s="10"/>
    </row>
    <row r="2887" spans="5:7">
      <c r="E2887" s="9"/>
      <c r="F2887" s="9"/>
      <c r="G2887" s="10"/>
    </row>
    <row r="2888" spans="5:7">
      <c r="E2888" s="9"/>
      <c r="F2888" s="9"/>
      <c r="G2888" s="10"/>
    </row>
    <row r="2889" spans="5:7">
      <c r="E2889" s="9"/>
      <c r="F2889" s="9"/>
      <c r="G2889" s="10"/>
    </row>
    <row r="2890" spans="5:7">
      <c r="E2890" s="9"/>
      <c r="F2890" s="9"/>
      <c r="G2890" s="10"/>
    </row>
    <row r="2891" spans="5:7">
      <c r="E2891" s="9"/>
      <c r="F2891" s="9"/>
      <c r="G2891" s="10"/>
    </row>
    <row r="2892" spans="5:7">
      <c r="E2892" s="9"/>
      <c r="F2892" s="9"/>
      <c r="G2892" s="10"/>
    </row>
    <row r="2893" spans="5:7">
      <c r="E2893" s="9"/>
      <c r="F2893" s="9"/>
      <c r="G2893" s="10"/>
    </row>
    <row r="2894" spans="5:7">
      <c r="E2894" s="9"/>
      <c r="F2894" s="9"/>
      <c r="G2894" s="10"/>
    </row>
    <row r="2895" spans="5:7">
      <c r="E2895" s="9"/>
      <c r="F2895" s="9"/>
      <c r="G2895" s="10"/>
    </row>
    <row r="2896" spans="5:7">
      <c r="E2896" s="9"/>
      <c r="F2896" s="9"/>
      <c r="G2896" s="10"/>
    </row>
    <row r="2897" spans="5:7">
      <c r="E2897" s="9"/>
      <c r="F2897" s="9"/>
      <c r="G2897" s="10"/>
    </row>
    <row r="2898" spans="5:7">
      <c r="E2898" s="9"/>
      <c r="F2898" s="9"/>
      <c r="G2898" s="10"/>
    </row>
    <row r="2899" spans="5:7">
      <c r="E2899" s="9"/>
      <c r="F2899" s="9"/>
      <c r="G2899" s="10"/>
    </row>
    <row r="2900" spans="5:7">
      <c r="E2900" s="9"/>
      <c r="F2900" s="9"/>
      <c r="G2900" s="10"/>
    </row>
    <row r="2901" spans="5:7">
      <c r="E2901" s="9"/>
      <c r="F2901" s="9"/>
      <c r="G2901" s="10"/>
    </row>
    <row r="2902" spans="5:7">
      <c r="E2902" s="9"/>
      <c r="F2902" s="9"/>
      <c r="G2902" s="10"/>
    </row>
    <row r="2903" spans="5:7">
      <c r="E2903" s="9"/>
      <c r="F2903" s="9"/>
      <c r="G2903" s="10"/>
    </row>
    <row r="2904" spans="5:7">
      <c r="E2904" s="9"/>
      <c r="F2904" s="9"/>
      <c r="G2904" s="10"/>
    </row>
    <row r="2905" spans="5:7">
      <c r="E2905" s="9"/>
      <c r="F2905" s="9"/>
      <c r="G2905" s="10"/>
    </row>
    <row r="2906" spans="5:7">
      <c r="E2906" s="9"/>
      <c r="F2906" s="9"/>
      <c r="G2906" s="10"/>
    </row>
    <row r="2907" spans="5:7">
      <c r="E2907" s="9"/>
      <c r="F2907" s="9"/>
      <c r="G2907" s="10"/>
    </row>
    <row r="2908" spans="5:7">
      <c r="E2908" s="9"/>
      <c r="F2908" s="9"/>
      <c r="G2908" s="10"/>
    </row>
    <row r="2909" spans="5:7">
      <c r="E2909" s="9"/>
      <c r="F2909" s="9"/>
      <c r="G2909" s="10"/>
    </row>
    <row r="2910" spans="5:7">
      <c r="E2910" s="9"/>
      <c r="F2910" s="9"/>
      <c r="G2910" s="10"/>
    </row>
    <row r="2911" spans="5:7">
      <c r="E2911" s="9"/>
      <c r="F2911" s="9"/>
      <c r="G2911" s="10"/>
    </row>
    <row r="2912" spans="5:7">
      <c r="E2912" s="9"/>
      <c r="F2912" s="9"/>
      <c r="G2912" s="10"/>
    </row>
    <row r="2913" spans="5:7">
      <c r="E2913" s="9"/>
      <c r="F2913" s="9"/>
      <c r="G2913" s="10"/>
    </row>
    <row r="2914" spans="5:7">
      <c r="E2914" s="9"/>
      <c r="F2914" s="9"/>
      <c r="G2914" s="10"/>
    </row>
    <row r="2915" spans="5:7">
      <c r="E2915" s="9"/>
      <c r="F2915" s="9"/>
      <c r="G2915" s="10"/>
    </row>
    <row r="2916" spans="5:7">
      <c r="E2916" s="9"/>
      <c r="F2916" s="9"/>
      <c r="G2916" s="10"/>
    </row>
    <row r="2917" spans="5:7">
      <c r="E2917" s="9"/>
      <c r="F2917" s="9"/>
      <c r="G2917" s="10"/>
    </row>
    <row r="2918" spans="5:7">
      <c r="E2918" s="9"/>
      <c r="F2918" s="9"/>
      <c r="G2918" s="10"/>
    </row>
    <row r="2919" spans="5:7">
      <c r="E2919" s="9"/>
      <c r="F2919" s="9"/>
      <c r="G2919" s="10"/>
    </row>
    <row r="2920" spans="5:7">
      <c r="E2920" s="9"/>
      <c r="F2920" s="9"/>
      <c r="G2920" s="10"/>
    </row>
    <row r="2921" spans="5:7">
      <c r="E2921" s="9"/>
      <c r="F2921" s="9"/>
      <c r="G2921" s="10"/>
    </row>
    <row r="2922" spans="5:7">
      <c r="E2922" s="9"/>
      <c r="F2922" s="9"/>
      <c r="G2922" s="10"/>
    </row>
    <row r="2923" spans="5:7">
      <c r="E2923" s="9"/>
      <c r="F2923" s="9"/>
      <c r="G2923" s="10"/>
    </row>
    <row r="2924" spans="5:7">
      <c r="E2924" s="9"/>
      <c r="F2924" s="9"/>
      <c r="G2924" s="10"/>
    </row>
    <row r="2925" spans="5:7">
      <c r="E2925" s="9"/>
      <c r="F2925" s="9"/>
      <c r="G2925" s="10"/>
    </row>
    <row r="2926" spans="5:7">
      <c r="E2926" s="9"/>
      <c r="F2926" s="9"/>
      <c r="G2926" s="10"/>
    </row>
    <row r="2927" spans="5:7">
      <c r="E2927" s="9"/>
      <c r="F2927" s="9"/>
      <c r="G2927" s="10"/>
    </row>
    <row r="2928" spans="5:7">
      <c r="E2928" s="9"/>
      <c r="F2928" s="9"/>
      <c r="G2928" s="10"/>
    </row>
    <row r="2929" spans="5:7">
      <c r="E2929" s="9"/>
      <c r="F2929" s="9"/>
      <c r="G2929" s="10"/>
    </row>
    <row r="2930" spans="5:7">
      <c r="E2930" s="9"/>
      <c r="F2930" s="9"/>
      <c r="G2930" s="10"/>
    </row>
    <row r="2931" spans="5:7">
      <c r="E2931" s="9"/>
      <c r="F2931" s="9"/>
      <c r="G2931" s="10"/>
    </row>
    <row r="2932" spans="5:7">
      <c r="E2932" s="9"/>
      <c r="F2932" s="9"/>
      <c r="G2932" s="10"/>
    </row>
    <row r="2933" spans="5:7">
      <c r="E2933" s="9"/>
      <c r="F2933" s="9"/>
      <c r="G2933" s="10"/>
    </row>
    <row r="2934" spans="5:7">
      <c r="E2934" s="9"/>
      <c r="F2934" s="9"/>
      <c r="G2934" s="10"/>
    </row>
    <row r="2935" spans="5:7">
      <c r="E2935" s="9"/>
      <c r="F2935" s="9"/>
      <c r="G2935" s="10"/>
    </row>
    <row r="2936" spans="5:7">
      <c r="E2936" s="9"/>
      <c r="F2936" s="9"/>
      <c r="G2936" s="10"/>
    </row>
    <row r="2937" spans="5:7">
      <c r="E2937" s="9"/>
      <c r="F2937" s="9"/>
      <c r="G2937" s="10"/>
    </row>
    <row r="2938" spans="5:7">
      <c r="E2938" s="9"/>
      <c r="F2938" s="9"/>
      <c r="G2938" s="10"/>
    </row>
    <row r="2939" spans="5:7">
      <c r="E2939" s="9"/>
      <c r="F2939" s="9"/>
      <c r="G2939" s="10"/>
    </row>
    <row r="2940" spans="5:7">
      <c r="E2940" s="9"/>
      <c r="F2940" s="9"/>
      <c r="G2940" s="10"/>
    </row>
    <row r="2941" spans="5:7">
      <c r="E2941" s="9"/>
      <c r="F2941" s="9"/>
      <c r="G2941" s="10"/>
    </row>
    <row r="2942" spans="5:7">
      <c r="E2942" s="9"/>
      <c r="F2942" s="9"/>
      <c r="G2942" s="10"/>
    </row>
    <row r="2943" spans="5:7">
      <c r="E2943" s="9"/>
      <c r="F2943" s="9"/>
      <c r="G2943" s="10"/>
    </row>
    <row r="2944" spans="5:7">
      <c r="E2944" s="9"/>
      <c r="F2944" s="9"/>
      <c r="G2944" s="10"/>
    </row>
    <row r="2945" spans="5:7">
      <c r="E2945" s="9"/>
      <c r="F2945" s="9"/>
      <c r="G2945" s="10"/>
    </row>
    <row r="2946" spans="5:7">
      <c r="E2946" s="9"/>
      <c r="F2946" s="9"/>
      <c r="G2946" s="10"/>
    </row>
    <row r="2947" spans="5:7">
      <c r="E2947" s="9"/>
      <c r="F2947" s="9"/>
      <c r="G2947" s="10"/>
    </row>
    <row r="2948" spans="5:7">
      <c r="E2948" s="9"/>
      <c r="F2948" s="9"/>
      <c r="G2948" s="10"/>
    </row>
    <row r="2949" spans="5:7">
      <c r="E2949" s="9"/>
      <c r="F2949" s="9"/>
      <c r="G2949" s="10"/>
    </row>
    <row r="2950" spans="5:7">
      <c r="E2950" s="9"/>
      <c r="F2950" s="9"/>
      <c r="G2950" s="10"/>
    </row>
    <row r="2951" spans="5:7">
      <c r="E2951" s="9"/>
      <c r="F2951" s="9"/>
      <c r="G2951" s="10"/>
    </row>
    <row r="2952" spans="5:7">
      <c r="E2952" s="9"/>
      <c r="F2952" s="9"/>
      <c r="G2952" s="10"/>
    </row>
    <row r="2953" spans="5:7">
      <c r="E2953" s="9"/>
      <c r="F2953" s="9"/>
      <c r="G2953" s="10"/>
    </row>
    <row r="2954" spans="5:7">
      <c r="E2954" s="9"/>
      <c r="F2954" s="9"/>
      <c r="G2954" s="10"/>
    </row>
    <row r="2955" spans="5:7">
      <c r="E2955" s="9"/>
      <c r="F2955" s="9"/>
      <c r="G2955" s="10"/>
    </row>
    <row r="2956" spans="5:7">
      <c r="E2956" s="9"/>
      <c r="F2956" s="9"/>
      <c r="G2956" s="10"/>
    </row>
    <row r="2957" spans="5:7">
      <c r="E2957" s="9"/>
      <c r="F2957" s="9"/>
      <c r="G2957" s="10"/>
    </row>
    <row r="2958" spans="5:7">
      <c r="E2958" s="9"/>
      <c r="F2958" s="9"/>
      <c r="G2958" s="10"/>
    </row>
    <row r="2959" spans="5:7">
      <c r="E2959" s="9"/>
      <c r="F2959" s="9"/>
      <c r="G2959" s="10"/>
    </row>
    <row r="2960" spans="5:7">
      <c r="E2960" s="9"/>
      <c r="F2960" s="9"/>
      <c r="G2960" s="10"/>
    </row>
    <row r="2961" spans="5:7">
      <c r="E2961" s="9"/>
      <c r="F2961" s="9"/>
      <c r="G2961" s="10"/>
    </row>
    <row r="2962" spans="5:7">
      <c r="E2962" s="9"/>
      <c r="F2962" s="9"/>
      <c r="G2962" s="10"/>
    </row>
    <row r="2963" spans="5:7">
      <c r="E2963" s="9"/>
      <c r="F2963" s="9"/>
      <c r="G2963" s="10"/>
    </row>
    <row r="2964" spans="5:7">
      <c r="E2964" s="9"/>
      <c r="F2964" s="9"/>
      <c r="G2964" s="10"/>
    </row>
    <row r="2965" spans="5:7">
      <c r="E2965" s="9"/>
      <c r="F2965" s="9"/>
      <c r="G2965" s="10"/>
    </row>
    <row r="2966" spans="5:7">
      <c r="E2966" s="9"/>
      <c r="F2966" s="9"/>
      <c r="G2966" s="10"/>
    </row>
    <row r="2967" spans="5:7">
      <c r="E2967" s="9"/>
      <c r="F2967" s="9"/>
      <c r="G2967" s="10"/>
    </row>
    <row r="2968" spans="5:7">
      <c r="E2968" s="9"/>
      <c r="F2968" s="9"/>
      <c r="G2968" s="10"/>
    </row>
    <row r="2969" spans="5:7">
      <c r="E2969" s="9"/>
      <c r="F2969" s="9"/>
      <c r="G2969" s="10"/>
    </row>
    <row r="2970" spans="5:7">
      <c r="E2970" s="9"/>
      <c r="F2970" s="9"/>
      <c r="G2970" s="10"/>
    </row>
    <row r="2971" spans="5:7">
      <c r="E2971" s="9"/>
      <c r="F2971" s="9"/>
      <c r="G2971" s="10"/>
    </row>
    <row r="2972" spans="5:7">
      <c r="E2972" s="9"/>
      <c r="F2972" s="9"/>
      <c r="G2972" s="10"/>
    </row>
    <row r="2973" spans="5:7">
      <c r="E2973" s="9"/>
      <c r="F2973" s="9"/>
      <c r="G2973" s="10"/>
    </row>
    <row r="2974" spans="5:7">
      <c r="E2974" s="9"/>
      <c r="F2974" s="9"/>
      <c r="G2974" s="10"/>
    </row>
    <row r="2975" spans="5:7">
      <c r="E2975" s="9"/>
      <c r="F2975" s="9"/>
      <c r="G2975" s="10"/>
    </row>
    <row r="2976" spans="5:7">
      <c r="E2976" s="9"/>
      <c r="F2976" s="9"/>
      <c r="G2976" s="10"/>
    </row>
    <row r="2977" spans="5:7">
      <c r="E2977" s="9"/>
      <c r="F2977" s="9"/>
      <c r="G2977" s="10"/>
    </row>
    <row r="2978" spans="5:7">
      <c r="E2978" s="9"/>
      <c r="F2978" s="9"/>
      <c r="G2978" s="10"/>
    </row>
    <row r="2979" spans="5:7">
      <c r="E2979" s="9"/>
      <c r="F2979" s="9"/>
      <c r="G2979" s="10"/>
    </row>
    <row r="2980" spans="5:7">
      <c r="E2980" s="9"/>
      <c r="F2980" s="9"/>
      <c r="G2980" s="10"/>
    </row>
    <row r="2981" spans="5:7">
      <c r="E2981" s="9"/>
      <c r="F2981" s="9"/>
      <c r="G2981" s="10"/>
    </row>
    <row r="2982" spans="5:7">
      <c r="E2982" s="9"/>
      <c r="F2982" s="9"/>
      <c r="G2982" s="10"/>
    </row>
    <row r="2983" spans="5:7">
      <c r="E2983" s="9"/>
      <c r="F2983" s="9"/>
      <c r="G2983" s="10"/>
    </row>
    <row r="2984" spans="5:7">
      <c r="E2984" s="9"/>
      <c r="F2984" s="9"/>
      <c r="G2984" s="10"/>
    </row>
    <row r="2985" spans="5:7">
      <c r="E2985" s="9"/>
      <c r="F2985" s="9"/>
      <c r="G2985" s="10"/>
    </row>
    <row r="2986" spans="5:7">
      <c r="E2986" s="9"/>
      <c r="F2986" s="9"/>
      <c r="G2986" s="10"/>
    </row>
    <row r="2987" spans="5:7">
      <c r="E2987" s="9"/>
      <c r="F2987" s="9"/>
      <c r="G2987" s="10"/>
    </row>
    <row r="2988" spans="5:7">
      <c r="E2988" s="9"/>
      <c r="F2988" s="9"/>
      <c r="G2988" s="10"/>
    </row>
    <row r="2989" spans="5:7">
      <c r="E2989" s="9"/>
      <c r="F2989" s="9"/>
      <c r="G2989" s="10"/>
    </row>
    <row r="2990" spans="5:7">
      <c r="E2990" s="9"/>
      <c r="F2990" s="9"/>
      <c r="G2990" s="10"/>
    </row>
    <row r="2991" spans="5:7">
      <c r="E2991" s="9"/>
      <c r="F2991" s="9"/>
      <c r="G2991" s="10"/>
    </row>
    <row r="2992" spans="5:7">
      <c r="E2992" s="9"/>
      <c r="F2992" s="9"/>
      <c r="G2992" s="10"/>
    </row>
    <row r="2993" spans="5:7">
      <c r="E2993" s="9"/>
      <c r="F2993" s="9"/>
      <c r="G2993" s="10"/>
    </row>
    <row r="2994" spans="5:7">
      <c r="E2994" s="9"/>
      <c r="F2994" s="9"/>
      <c r="G2994" s="10"/>
    </row>
    <row r="2995" spans="5:7">
      <c r="E2995" s="9"/>
      <c r="F2995" s="9"/>
      <c r="G2995" s="10"/>
    </row>
    <row r="2996" spans="5:7">
      <c r="E2996" s="9"/>
      <c r="F2996" s="9"/>
      <c r="G2996" s="10"/>
    </row>
    <row r="2997" spans="5:7">
      <c r="E2997" s="9"/>
      <c r="F2997" s="9"/>
      <c r="G2997" s="10"/>
    </row>
    <row r="2998" spans="5:7">
      <c r="E2998" s="9"/>
      <c r="F2998" s="9"/>
      <c r="G2998" s="10"/>
    </row>
    <row r="2999" spans="5:7">
      <c r="E2999" s="9"/>
      <c r="F2999" s="9"/>
      <c r="G2999" s="10"/>
    </row>
    <row r="3000" spans="5:7">
      <c r="E3000" s="9"/>
      <c r="F3000" s="9"/>
      <c r="G3000" s="10"/>
    </row>
    <row r="3001" spans="5:7">
      <c r="E3001" s="9"/>
      <c r="F3001" s="9"/>
      <c r="G3001" s="10"/>
    </row>
    <row r="3002" spans="5:7">
      <c r="E3002" s="9"/>
      <c r="F3002" s="9"/>
      <c r="G3002" s="10"/>
    </row>
    <row r="3003" spans="5:7">
      <c r="E3003" s="9"/>
      <c r="F3003" s="9"/>
      <c r="G3003" s="10"/>
    </row>
    <row r="3004" spans="5:7">
      <c r="E3004" s="9"/>
      <c r="F3004" s="9"/>
      <c r="G3004" s="10"/>
    </row>
    <row r="3005" spans="5:7">
      <c r="E3005" s="9"/>
      <c r="F3005" s="9"/>
      <c r="G3005" s="10"/>
    </row>
    <row r="3006" spans="5:7">
      <c r="E3006" s="9"/>
      <c r="F3006" s="9"/>
      <c r="G3006" s="10"/>
    </row>
    <row r="3007" spans="5:7">
      <c r="E3007" s="9"/>
      <c r="F3007" s="9"/>
      <c r="G3007" s="10"/>
    </row>
    <row r="3008" spans="5:7">
      <c r="E3008" s="9"/>
      <c r="F3008" s="9"/>
      <c r="G3008" s="10"/>
    </row>
    <row r="3009" spans="5:7">
      <c r="E3009" s="9"/>
      <c r="F3009" s="9"/>
      <c r="G3009" s="10"/>
    </row>
    <row r="3010" spans="5:7">
      <c r="E3010" s="9"/>
      <c r="F3010" s="9"/>
      <c r="G3010" s="10"/>
    </row>
    <row r="3011" spans="5:7">
      <c r="E3011" s="9"/>
      <c r="F3011" s="9"/>
      <c r="G3011" s="10"/>
    </row>
    <row r="3012" spans="5:7">
      <c r="E3012" s="9"/>
      <c r="F3012" s="9"/>
      <c r="G3012" s="10"/>
    </row>
    <row r="3013" spans="5:7">
      <c r="E3013" s="9"/>
      <c r="F3013" s="9"/>
      <c r="G3013" s="10"/>
    </row>
    <row r="3014" spans="5:7">
      <c r="E3014" s="9"/>
      <c r="F3014" s="9"/>
      <c r="G3014" s="10"/>
    </row>
    <row r="3015" spans="5:7">
      <c r="E3015" s="9"/>
      <c r="F3015" s="9"/>
      <c r="G3015" s="10"/>
    </row>
    <row r="3016" spans="5:7">
      <c r="E3016" s="9"/>
      <c r="F3016" s="9"/>
      <c r="G3016" s="10"/>
    </row>
    <row r="3017" spans="5:7">
      <c r="E3017" s="9"/>
      <c r="F3017" s="9"/>
      <c r="G3017" s="10"/>
    </row>
    <row r="3018" spans="5:7">
      <c r="E3018" s="9"/>
      <c r="F3018" s="9"/>
      <c r="G3018" s="10"/>
    </row>
    <row r="3019" spans="5:7">
      <c r="E3019" s="9"/>
      <c r="F3019" s="9"/>
      <c r="G3019" s="10"/>
    </row>
    <row r="3020" spans="5:7">
      <c r="E3020" s="9"/>
      <c r="F3020" s="9"/>
      <c r="G3020" s="10"/>
    </row>
    <row r="3021" spans="5:7">
      <c r="E3021" s="9"/>
      <c r="F3021" s="9"/>
      <c r="G3021" s="10"/>
    </row>
    <row r="3022" spans="5:7">
      <c r="E3022" s="9"/>
      <c r="F3022" s="9"/>
      <c r="G3022" s="10"/>
    </row>
    <row r="3023" spans="5:7">
      <c r="E3023" s="9"/>
      <c r="F3023" s="9"/>
      <c r="G3023" s="10"/>
    </row>
    <row r="3024" spans="5:7">
      <c r="E3024" s="9"/>
      <c r="F3024" s="9"/>
      <c r="G3024" s="10"/>
    </row>
    <row r="3025" spans="5:7">
      <c r="E3025" s="9"/>
      <c r="F3025" s="9"/>
      <c r="G3025" s="10"/>
    </row>
    <row r="3026" spans="5:7">
      <c r="E3026" s="9"/>
      <c r="F3026" s="9"/>
      <c r="G3026" s="10"/>
    </row>
    <row r="3027" spans="5:7">
      <c r="E3027" s="9"/>
      <c r="F3027" s="9"/>
      <c r="G3027" s="10"/>
    </row>
    <row r="3028" spans="5:7">
      <c r="E3028" s="9"/>
      <c r="F3028" s="9"/>
      <c r="G3028" s="10"/>
    </row>
    <row r="3029" spans="5:7">
      <c r="E3029" s="9"/>
      <c r="F3029" s="9"/>
      <c r="G3029" s="10"/>
    </row>
    <row r="3030" spans="5:7">
      <c r="E3030" s="9"/>
      <c r="F3030" s="9"/>
      <c r="G3030" s="10"/>
    </row>
    <row r="3031" spans="5:7">
      <c r="E3031" s="9"/>
      <c r="F3031" s="9"/>
      <c r="G3031" s="10"/>
    </row>
    <row r="3032" spans="5:7">
      <c r="E3032" s="9"/>
      <c r="F3032" s="9"/>
      <c r="G3032" s="10"/>
    </row>
    <row r="3033" spans="5:7">
      <c r="E3033" s="9"/>
      <c r="F3033" s="9"/>
      <c r="G3033" s="10"/>
    </row>
    <row r="3034" spans="5:7">
      <c r="E3034" s="9"/>
      <c r="F3034" s="9"/>
      <c r="G3034" s="10"/>
    </row>
    <row r="3035" spans="5:7">
      <c r="E3035" s="9"/>
      <c r="F3035" s="9"/>
      <c r="G3035" s="10"/>
    </row>
    <row r="3036" spans="5:7">
      <c r="E3036" s="9"/>
      <c r="F3036" s="9"/>
      <c r="G3036" s="10"/>
    </row>
    <row r="3037" spans="5:7">
      <c r="E3037" s="9"/>
      <c r="F3037" s="9"/>
      <c r="G3037" s="10"/>
    </row>
    <row r="3038" spans="5:7">
      <c r="E3038" s="9"/>
      <c r="F3038" s="9"/>
      <c r="G3038" s="10"/>
    </row>
    <row r="3039" spans="5:7">
      <c r="E3039" s="9"/>
      <c r="F3039" s="9"/>
      <c r="G3039" s="10"/>
    </row>
    <row r="3040" spans="5:7">
      <c r="E3040" s="9"/>
      <c r="F3040" s="9"/>
      <c r="G3040" s="10"/>
    </row>
    <row r="3041" spans="5:7">
      <c r="E3041" s="9"/>
      <c r="F3041" s="9"/>
      <c r="G3041" s="10"/>
    </row>
    <row r="3042" spans="5:7">
      <c r="E3042" s="9"/>
      <c r="F3042" s="9"/>
      <c r="G3042" s="10"/>
    </row>
    <row r="3043" spans="5:7">
      <c r="E3043" s="9"/>
      <c r="F3043" s="9"/>
      <c r="G3043" s="10"/>
    </row>
    <row r="3044" spans="5:7">
      <c r="E3044" s="9"/>
      <c r="F3044" s="9"/>
      <c r="G3044" s="10"/>
    </row>
    <row r="3045" spans="5:7">
      <c r="E3045" s="9"/>
      <c r="F3045" s="9"/>
      <c r="G3045" s="10"/>
    </row>
    <row r="3046" spans="5:7">
      <c r="E3046" s="9"/>
      <c r="F3046" s="9"/>
      <c r="G3046" s="10"/>
    </row>
    <row r="3047" spans="5:7">
      <c r="E3047" s="9"/>
      <c r="F3047" s="9"/>
      <c r="G3047" s="10"/>
    </row>
    <row r="3048" spans="5:7">
      <c r="E3048" s="9"/>
      <c r="F3048" s="9"/>
      <c r="G3048" s="10"/>
    </row>
    <row r="3049" spans="5:7">
      <c r="E3049" s="9"/>
      <c r="F3049" s="9"/>
      <c r="G3049" s="10"/>
    </row>
    <row r="3050" spans="5:7">
      <c r="E3050" s="9"/>
      <c r="F3050" s="9"/>
      <c r="G3050" s="10"/>
    </row>
    <row r="3051" spans="5:7">
      <c r="E3051" s="9"/>
      <c r="F3051" s="9"/>
      <c r="G3051" s="10"/>
    </row>
    <row r="3052" spans="5:7">
      <c r="E3052" s="9"/>
      <c r="F3052" s="9"/>
      <c r="G3052" s="10"/>
    </row>
    <row r="3053" spans="5:7">
      <c r="E3053" s="9"/>
      <c r="F3053" s="9"/>
      <c r="G3053" s="10"/>
    </row>
    <row r="3054" spans="5:7">
      <c r="E3054" s="9"/>
      <c r="F3054" s="9"/>
      <c r="G3054" s="10"/>
    </row>
    <row r="3055" spans="5:7">
      <c r="E3055" s="9"/>
      <c r="F3055" s="9"/>
      <c r="G3055" s="10"/>
    </row>
    <row r="3056" spans="5:7">
      <c r="E3056" s="9"/>
      <c r="F3056" s="9"/>
      <c r="G3056" s="10"/>
    </row>
    <row r="3057" spans="5:7">
      <c r="E3057" s="9"/>
      <c r="F3057" s="9"/>
      <c r="G3057" s="10"/>
    </row>
    <row r="3058" spans="5:7">
      <c r="E3058" s="9"/>
      <c r="F3058" s="9"/>
      <c r="G3058" s="10"/>
    </row>
    <row r="3059" spans="5:7">
      <c r="E3059" s="9"/>
      <c r="F3059" s="9"/>
      <c r="G3059" s="10"/>
    </row>
    <row r="3060" spans="5:7">
      <c r="E3060" s="9"/>
      <c r="F3060" s="9"/>
      <c r="G3060" s="10"/>
    </row>
    <row r="3061" spans="5:7">
      <c r="E3061" s="9"/>
      <c r="F3061" s="9"/>
      <c r="G3061" s="10"/>
    </row>
    <row r="3062" spans="5:7">
      <c r="E3062" s="9"/>
      <c r="F3062" s="9"/>
      <c r="G3062" s="10"/>
    </row>
    <row r="3063" spans="5:7">
      <c r="E3063" s="9"/>
      <c r="F3063" s="9"/>
      <c r="G3063" s="10"/>
    </row>
    <row r="3064" spans="5:7">
      <c r="E3064" s="9"/>
      <c r="F3064" s="9"/>
      <c r="G3064" s="10"/>
    </row>
    <row r="3065" spans="5:7">
      <c r="E3065" s="9"/>
      <c r="F3065" s="9"/>
      <c r="G3065" s="10"/>
    </row>
    <row r="3066" spans="5:7">
      <c r="E3066" s="9"/>
      <c r="F3066" s="9"/>
      <c r="G3066" s="10"/>
    </row>
    <row r="3067" spans="5:7">
      <c r="E3067" s="9"/>
      <c r="F3067" s="9"/>
      <c r="G3067" s="10"/>
    </row>
    <row r="3068" spans="5:7">
      <c r="E3068" s="9"/>
      <c r="F3068" s="9"/>
      <c r="G3068" s="10"/>
    </row>
    <row r="3069" spans="5:7">
      <c r="E3069" s="9"/>
      <c r="F3069" s="9"/>
      <c r="G3069" s="10"/>
    </row>
    <row r="3070" spans="5:7">
      <c r="E3070" s="9"/>
      <c r="F3070" s="9"/>
      <c r="G3070" s="10"/>
    </row>
    <row r="3071" spans="5:7">
      <c r="E3071" s="9"/>
      <c r="F3071" s="9"/>
      <c r="G3071" s="10"/>
    </row>
    <row r="3072" spans="5:7">
      <c r="E3072" s="9"/>
      <c r="F3072" s="9"/>
      <c r="G3072" s="10"/>
    </row>
    <row r="3073" spans="5:7">
      <c r="E3073" s="9"/>
      <c r="F3073" s="9"/>
      <c r="G3073" s="10"/>
    </row>
    <row r="3074" spans="5:7">
      <c r="E3074" s="9"/>
      <c r="F3074" s="9"/>
      <c r="G3074" s="10"/>
    </row>
    <row r="3075" spans="5:7">
      <c r="E3075" s="9"/>
      <c r="F3075" s="9"/>
      <c r="G3075" s="10"/>
    </row>
    <row r="3076" spans="5:7">
      <c r="E3076" s="9"/>
      <c r="F3076" s="9"/>
      <c r="G3076" s="10"/>
    </row>
    <row r="3077" spans="5:7">
      <c r="E3077" s="9"/>
      <c r="F3077" s="9"/>
      <c r="G3077" s="10"/>
    </row>
    <row r="3078" spans="5:7">
      <c r="E3078" s="9"/>
      <c r="F3078" s="9"/>
      <c r="G3078" s="10"/>
    </row>
  </sheetData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10</xdr:col>
                    <xdr:colOff>317500</xdr:colOff>
                    <xdr:row>3</xdr:row>
                    <xdr:rowOff>12700</xdr:rowOff>
                  </from>
                  <to>
                    <xdr:col>12</xdr:col>
                    <xdr:colOff>254000</xdr:colOff>
                    <xdr:row>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10</xdr:col>
                    <xdr:colOff>342900</xdr:colOff>
                    <xdr:row>8</xdr:row>
                    <xdr:rowOff>165100</xdr:rowOff>
                  </from>
                  <to>
                    <xdr:col>12</xdr:col>
                    <xdr:colOff>279400</xdr:colOff>
                    <xdr:row>10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10</xdr:col>
                    <xdr:colOff>317500</xdr:colOff>
                    <xdr:row>5</xdr:row>
                    <xdr:rowOff>177800</xdr:rowOff>
                  </from>
                  <to>
                    <xdr:col>12</xdr:col>
                    <xdr:colOff>254000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10</xdr:col>
                    <xdr:colOff>330200</xdr:colOff>
                    <xdr:row>11</xdr:row>
                    <xdr:rowOff>165100</xdr:rowOff>
                  </from>
                  <to>
                    <xdr:col>12</xdr:col>
                    <xdr:colOff>215900</xdr:colOff>
                    <xdr:row>14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AE195"/>
  <sheetViews>
    <sheetView workbookViewId="0">
      <selection activeCell="G36" sqref="G36"/>
    </sheetView>
  </sheetViews>
  <sheetFormatPr baseColWidth="10" defaultRowHeight="15" x14ac:dyDescent="0"/>
  <cols>
    <col min="30" max="30" width="12.83203125" bestFit="1" customWidth="1"/>
    <col min="32" max="32" width="12.83203125" bestFit="1" customWidth="1"/>
  </cols>
  <sheetData>
    <row r="2" spans="1:31">
      <c r="C2" t="s">
        <v>489</v>
      </c>
      <c r="D2" t="s">
        <v>498</v>
      </c>
      <c r="E2" t="s">
        <v>497</v>
      </c>
      <c r="F2" t="s">
        <v>499</v>
      </c>
      <c r="G2" t="s">
        <v>486</v>
      </c>
      <c r="H2" t="s">
        <v>481</v>
      </c>
      <c r="I2" t="s">
        <v>482</v>
      </c>
      <c r="J2" t="s">
        <v>479</v>
      </c>
      <c r="K2" t="s">
        <v>484</v>
      </c>
      <c r="L2" t="s">
        <v>539</v>
      </c>
      <c r="M2" t="s">
        <v>485</v>
      </c>
      <c r="N2" t="s">
        <v>491</v>
      </c>
      <c r="O2" t="s">
        <v>500</v>
      </c>
      <c r="P2" t="s">
        <v>490</v>
      </c>
      <c r="Q2" t="s">
        <v>571</v>
      </c>
      <c r="R2" t="s">
        <v>501</v>
      </c>
      <c r="S2" t="s">
        <v>502</v>
      </c>
      <c r="T2" t="s">
        <v>572</v>
      </c>
      <c r="U2" t="s">
        <v>573</v>
      </c>
      <c r="V2" t="s">
        <v>540</v>
      </c>
      <c r="W2" t="s">
        <v>495</v>
      </c>
      <c r="X2" t="s">
        <v>496</v>
      </c>
      <c r="Y2" t="s">
        <v>494</v>
      </c>
      <c r="Z2" t="s">
        <v>487</v>
      </c>
      <c r="AA2" t="s">
        <v>488</v>
      </c>
      <c r="AB2" t="s">
        <v>483</v>
      </c>
      <c r="AC2" t="s">
        <v>492</v>
      </c>
      <c r="AD2" t="s">
        <v>574</v>
      </c>
      <c r="AE2" t="s">
        <v>493</v>
      </c>
    </row>
    <row r="3" spans="1:31" s="19" customFormat="1" ht="30">
      <c r="C3" s="19" t="s">
        <v>489</v>
      </c>
      <c r="D3" s="19" t="s">
        <v>498</v>
      </c>
      <c r="E3" s="19" t="s">
        <v>497</v>
      </c>
      <c r="F3" s="19" t="s">
        <v>499</v>
      </c>
      <c r="G3" s="19" t="s">
        <v>486</v>
      </c>
      <c r="H3" s="19" t="s">
        <v>481</v>
      </c>
      <c r="I3" s="19" t="s">
        <v>482</v>
      </c>
      <c r="J3" s="19" t="s">
        <v>479</v>
      </c>
      <c r="K3" s="19" t="s">
        <v>484</v>
      </c>
      <c r="L3" s="19" t="s">
        <v>539</v>
      </c>
      <c r="M3" s="19" t="s">
        <v>485</v>
      </c>
      <c r="N3" s="19" t="s">
        <v>491</v>
      </c>
      <c r="O3" s="19" t="s">
        <v>500</v>
      </c>
      <c r="P3" s="19" t="s">
        <v>490</v>
      </c>
      <c r="Q3" s="19" t="s">
        <v>571</v>
      </c>
      <c r="R3" s="19" t="s">
        <v>501</v>
      </c>
      <c r="S3" s="19" t="s">
        <v>502</v>
      </c>
      <c r="T3" s="19" t="s">
        <v>572</v>
      </c>
      <c r="U3" s="19" t="s">
        <v>573</v>
      </c>
      <c r="V3" s="19" t="s">
        <v>540</v>
      </c>
      <c r="W3" s="19" t="s">
        <v>495</v>
      </c>
      <c r="X3" s="19" t="s">
        <v>496</v>
      </c>
      <c r="Y3" s="19" t="s">
        <v>494</v>
      </c>
      <c r="Z3" s="19" t="s">
        <v>487</v>
      </c>
      <c r="AA3" s="19" t="s">
        <v>488</v>
      </c>
      <c r="AB3" s="19" t="s">
        <v>483</v>
      </c>
      <c r="AC3" s="19" t="s">
        <v>492</v>
      </c>
      <c r="AD3" s="19" t="s">
        <v>574</v>
      </c>
      <c r="AE3" s="19" t="s">
        <v>493</v>
      </c>
    </row>
    <row r="4" spans="1:31">
      <c r="A4" s="4" t="s">
        <v>40</v>
      </c>
      <c r="B4" s="4" t="s">
        <v>39</v>
      </c>
      <c r="C4" s="10" t="e">
        <v>#N/A</v>
      </c>
      <c r="D4" s="9">
        <v>12.4</v>
      </c>
      <c r="E4" s="9">
        <v>75.58</v>
      </c>
      <c r="F4" s="10" t="e">
        <v>#N/A</v>
      </c>
      <c r="G4" s="10">
        <v>41.1</v>
      </c>
      <c r="H4" s="9" t="e">
        <v>#N/A</v>
      </c>
      <c r="I4" s="9" t="e">
        <v>#N/A</v>
      </c>
      <c r="J4" s="9">
        <v>14.4</v>
      </c>
      <c r="K4" s="9" t="e">
        <v>#N/A</v>
      </c>
      <c r="L4" s="10">
        <v>0.313</v>
      </c>
      <c r="M4" s="9">
        <v>17.516267190000001</v>
      </c>
      <c r="N4" s="9">
        <v>43.9462195121951</v>
      </c>
      <c r="O4" s="10">
        <v>9.2286500250000003</v>
      </c>
      <c r="P4" s="9">
        <v>1</v>
      </c>
      <c r="Q4" s="9">
        <v>3.6015899999999998</v>
      </c>
      <c r="R4" s="9" t="e">
        <v>#N/A</v>
      </c>
      <c r="S4" s="9">
        <v>40.264775450172998</v>
      </c>
      <c r="T4" s="9">
        <v>1.670506912442396E-2</v>
      </c>
      <c r="U4" s="10">
        <v>-2.7531237225052001</v>
      </c>
      <c r="V4" s="10">
        <v>-1.3859320965445201</v>
      </c>
      <c r="W4" s="10">
        <v>7.3593670944298788</v>
      </c>
      <c r="X4" s="9">
        <v>29.3</v>
      </c>
      <c r="Y4" s="9">
        <v>48</v>
      </c>
      <c r="Z4" s="9">
        <v>7.29</v>
      </c>
      <c r="AA4" s="9">
        <v>1.2</v>
      </c>
      <c r="AB4" s="9">
        <v>1405</v>
      </c>
      <c r="AC4" s="11">
        <v>0.36028297100000001</v>
      </c>
      <c r="AD4" s="9">
        <v>37</v>
      </c>
      <c r="AE4" s="9">
        <v>35.57</v>
      </c>
    </row>
    <row r="5" spans="1:31">
      <c r="A5" s="4" t="s">
        <v>42</v>
      </c>
      <c r="B5" s="4" t="s">
        <v>41</v>
      </c>
      <c r="C5" s="10">
        <v>0.53</v>
      </c>
      <c r="D5" s="9">
        <v>1.2</v>
      </c>
      <c r="E5" s="9">
        <v>52.64</v>
      </c>
      <c r="F5" s="10">
        <v>0.17</v>
      </c>
      <c r="G5" s="10">
        <v>14.31</v>
      </c>
      <c r="H5" s="9">
        <v>4.6399999999999997</v>
      </c>
      <c r="I5" s="9">
        <v>6.5</v>
      </c>
      <c r="J5" s="9">
        <v>100</v>
      </c>
      <c r="K5" s="9">
        <v>44.779693486589998</v>
      </c>
      <c r="L5" s="10">
        <v>0.03</v>
      </c>
      <c r="M5" s="9">
        <v>2.6541994949999999</v>
      </c>
      <c r="N5" s="9">
        <v>76.633707317073103</v>
      </c>
      <c r="O5" s="10">
        <v>5.9192395000000002E-2</v>
      </c>
      <c r="P5" s="9">
        <v>1</v>
      </c>
      <c r="Q5" s="9">
        <v>19.266190000000002</v>
      </c>
      <c r="R5" s="9">
        <v>64</v>
      </c>
      <c r="S5" s="9">
        <v>131.89405917906899</v>
      </c>
      <c r="T5" s="9">
        <v>0.38017429193899804</v>
      </c>
      <c r="U5" s="10">
        <v>-7.0945093866013997E-2</v>
      </c>
      <c r="V5" s="10">
        <v>0.15758185645632</v>
      </c>
      <c r="W5" s="10">
        <v>32.846715328467155</v>
      </c>
      <c r="X5" s="9">
        <v>39</v>
      </c>
      <c r="Y5" s="9">
        <v>97</v>
      </c>
      <c r="Z5" s="9">
        <v>-16.829999999999998</v>
      </c>
      <c r="AA5" s="9">
        <v>1.1000000000000001</v>
      </c>
      <c r="AB5" s="9">
        <v>50</v>
      </c>
      <c r="AC5" s="11">
        <v>5.6930692999999997E-2</v>
      </c>
      <c r="AD5" s="9">
        <v>98</v>
      </c>
      <c r="AE5" s="9">
        <v>4.4080000000000004</v>
      </c>
    </row>
    <row r="6" spans="1:31">
      <c r="A6" s="4" t="s">
        <v>44</v>
      </c>
      <c r="B6" s="4" t="s">
        <v>43</v>
      </c>
      <c r="C6" s="10">
        <v>0.67</v>
      </c>
      <c r="D6" s="9">
        <v>0.6</v>
      </c>
      <c r="E6" s="9">
        <v>34.14</v>
      </c>
      <c r="F6" s="10">
        <v>0.04</v>
      </c>
      <c r="G6" s="10">
        <v>59.9</v>
      </c>
      <c r="H6" s="9">
        <v>0.4325409154651641</v>
      </c>
      <c r="I6" s="9">
        <v>1.9</v>
      </c>
      <c r="J6" s="9">
        <v>99.3</v>
      </c>
      <c r="K6" s="9">
        <v>-337.14154684507298</v>
      </c>
      <c r="L6" s="10">
        <v>8.3000000000000004E-2</v>
      </c>
      <c r="M6" s="9">
        <v>3.6068560999999999E-2</v>
      </c>
      <c r="N6" s="9">
        <v>72.389048780487798</v>
      </c>
      <c r="O6" s="10">
        <v>0.29268070299999999</v>
      </c>
      <c r="P6" s="9">
        <v>1</v>
      </c>
      <c r="Q6" s="9">
        <v>30.617139999999999</v>
      </c>
      <c r="R6" s="9">
        <v>52.4</v>
      </c>
      <c r="S6" s="9">
        <v>93.793905054151693</v>
      </c>
      <c r="T6" s="9">
        <v>1.0105633802816902</v>
      </c>
      <c r="U6" s="10">
        <v>-1.1972149557510701</v>
      </c>
      <c r="V6" s="10">
        <v>-1.0439161856277299</v>
      </c>
      <c r="W6" s="10">
        <v>1.4485208293096643</v>
      </c>
      <c r="X6" s="9">
        <v>73.459999999999994</v>
      </c>
      <c r="Y6" s="9">
        <v>83</v>
      </c>
      <c r="Z6" s="9">
        <v>-8.81</v>
      </c>
      <c r="AA6" s="9">
        <v>2.5</v>
      </c>
      <c r="AB6" s="9">
        <v>101</v>
      </c>
      <c r="AC6" s="11">
        <v>0.26165803100000001</v>
      </c>
      <c r="AD6" s="9">
        <v>95</v>
      </c>
      <c r="AE6" s="9">
        <v>52.65</v>
      </c>
    </row>
    <row r="7" spans="1:31">
      <c r="A7" s="4" t="s">
        <v>46</v>
      </c>
      <c r="B7" s="4" t="s">
        <v>45</v>
      </c>
      <c r="C7" s="10" t="e">
        <v>#N/A</v>
      </c>
      <c r="D7" s="9" t="e">
        <v>#N/A</v>
      </c>
      <c r="E7" s="9">
        <v>11.54</v>
      </c>
      <c r="F7" s="10">
        <v>0.16</v>
      </c>
      <c r="G7" s="10" t="e">
        <v>#N/A</v>
      </c>
      <c r="H7" s="9" t="e">
        <v>#N/A</v>
      </c>
      <c r="I7" s="9" t="e">
        <v>#N/A</v>
      </c>
      <c r="J7" s="9">
        <v>100</v>
      </c>
      <c r="K7" s="9" t="e">
        <v>#N/A</v>
      </c>
      <c r="L7" s="10">
        <v>2.7E-2</v>
      </c>
      <c r="M7" s="9">
        <v>0</v>
      </c>
      <c r="N7" s="9" t="e">
        <v>#N/A</v>
      </c>
      <c r="O7" s="10" t="e">
        <v>#N/A</v>
      </c>
      <c r="P7" s="9">
        <v>1</v>
      </c>
      <c r="Q7" s="9">
        <v>10.33784</v>
      </c>
      <c r="R7" s="9" t="e">
        <v>#N/A</v>
      </c>
      <c r="S7" s="9">
        <v>76.603766831125</v>
      </c>
      <c r="T7" s="9">
        <v>0.28680981595092031</v>
      </c>
      <c r="U7" s="10">
        <v>1.3260110988011</v>
      </c>
      <c r="V7" s="10">
        <v>1.37186626069172</v>
      </c>
      <c r="W7" s="10" t="e">
        <v>#N/A</v>
      </c>
      <c r="X7" s="9" t="e">
        <v>#N/A</v>
      </c>
      <c r="Y7" s="9" t="e">
        <v>#N/A</v>
      </c>
      <c r="Z7" s="9">
        <v>-9.68</v>
      </c>
      <c r="AA7" s="9">
        <v>1.1000000000000001</v>
      </c>
      <c r="AB7" s="9" t="e">
        <v>#N/A</v>
      </c>
      <c r="AC7" s="11">
        <v>4.1994750999999997E-2</v>
      </c>
      <c r="AD7" s="9" t="e">
        <v>#N/A</v>
      </c>
      <c r="AE7" s="9" t="e">
        <v>#N/A</v>
      </c>
    </row>
    <row r="8" spans="1:31">
      <c r="A8" s="4" t="s">
        <v>48</v>
      </c>
      <c r="B8" s="4" t="s">
        <v>47</v>
      </c>
      <c r="C8" s="10">
        <v>0.55000000000000004</v>
      </c>
      <c r="D8" s="9">
        <v>10.920000000000002</v>
      </c>
      <c r="E8" s="9">
        <v>42.4</v>
      </c>
      <c r="F8" s="10">
        <v>0.5</v>
      </c>
      <c r="G8" s="10">
        <v>42.93</v>
      </c>
      <c r="H8" s="9">
        <v>0.22772118392556351</v>
      </c>
      <c r="I8" s="9">
        <v>4.9000000000000004</v>
      </c>
      <c r="J8" s="9">
        <v>26.2</v>
      </c>
      <c r="K8" s="9">
        <v>-864.60991615019998</v>
      </c>
      <c r="L8" s="10">
        <v>8.3000000000000004E-2</v>
      </c>
      <c r="M8" s="9">
        <v>2.7331363639999999</v>
      </c>
      <c r="N8" s="9">
        <v>47.037731707317</v>
      </c>
      <c r="O8" s="10">
        <v>3.4997022370000002</v>
      </c>
      <c r="P8" s="9">
        <v>1</v>
      </c>
      <c r="Q8" s="9">
        <v>2.78803</v>
      </c>
      <c r="R8" s="9">
        <v>46.2</v>
      </c>
      <c r="S8" s="9">
        <v>43.840319669025703</v>
      </c>
      <c r="T8" s="9">
        <v>0.19744318181818205</v>
      </c>
      <c r="U8" s="10">
        <v>-0.24091059735555001</v>
      </c>
      <c r="V8" s="10">
        <v>-1.1417965139189501</v>
      </c>
      <c r="W8" s="10">
        <v>1.8047645784872062</v>
      </c>
      <c r="X8" s="9">
        <v>10.399999619999999</v>
      </c>
      <c r="Y8" s="9">
        <v>50</v>
      </c>
      <c r="Z8" s="9">
        <v>3.94</v>
      </c>
      <c r="AA8" s="9">
        <v>4.0999999999999996</v>
      </c>
      <c r="AB8" s="9">
        <v>1266</v>
      </c>
      <c r="AC8" s="11">
        <v>0.46192893400000001</v>
      </c>
      <c r="AD8" s="9">
        <v>57</v>
      </c>
      <c r="AE8" s="9">
        <v>0.43269999999999997</v>
      </c>
    </row>
    <row r="9" spans="1:31">
      <c r="A9" s="4" t="s">
        <v>50</v>
      </c>
      <c r="B9" s="4" t="s">
        <v>49</v>
      </c>
      <c r="C9" s="10">
        <v>0.93</v>
      </c>
      <c r="D9" s="9" t="e">
        <v>#N/A</v>
      </c>
      <c r="E9" s="9">
        <v>69.62</v>
      </c>
      <c r="F9" s="10">
        <v>0.23</v>
      </c>
      <c r="G9" s="10">
        <v>65.39</v>
      </c>
      <c r="H9" s="9">
        <v>100</v>
      </c>
      <c r="I9" s="9">
        <v>100</v>
      </c>
      <c r="J9" s="9">
        <v>95</v>
      </c>
      <c r="K9" s="9" t="e">
        <v>#N/A</v>
      </c>
      <c r="L9" s="10">
        <v>0.127</v>
      </c>
      <c r="M9" s="9">
        <v>0.98716683100000002</v>
      </c>
      <c r="N9" s="9">
        <v>75.280487804878007</v>
      </c>
      <c r="O9" s="10" t="e">
        <v>#N/A</v>
      </c>
      <c r="P9" s="9">
        <v>1</v>
      </c>
      <c r="Q9" s="9">
        <v>14.71757</v>
      </c>
      <c r="R9" s="9" t="e">
        <v>#N/A</v>
      </c>
      <c r="S9" s="9">
        <v>154.02397260274</v>
      </c>
      <c r="T9" s="9">
        <v>0.40048543689320393</v>
      </c>
      <c r="U9" s="10">
        <v>0.7524295799513</v>
      </c>
      <c r="V9" s="10">
        <v>0.50772638730710995</v>
      </c>
      <c r="W9" s="10" t="e">
        <v>#N/A</v>
      </c>
      <c r="X9" s="9">
        <v>32.959999080000003</v>
      </c>
      <c r="Y9" s="9">
        <v>91</v>
      </c>
      <c r="Z9" s="9">
        <v>-10.199999999999999</v>
      </c>
      <c r="AA9" s="9">
        <v>4.5</v>
      </c>
      <c r="AB9" s="9" t="e">
        <v>#N/A</v>
      </c>
      <c r="AC9" s="11">
        <v>0.12647058799999999</v>
      </c>
      <c r="AD9" s="9">
        <v>95</v>
      </c>
      <c r="AE9" s="9" t="e">
        <v>#N/A</v>
      </c>
    </row>
    <row r="10" spans="1:31">
      <c r="A10" s="4" t="s">
        <v>52</v>
      </c>
      <c r="B10" s="4" t="s">
        <v>51</v>
      </c>
      <c r="C10" s="10">
        <v>0.01</v>
      </c>
      <c r="D10" s="9">
        <v>0.84</v>
      </c>
      <c r="E10" s="9">
        <v>7.8</v>
      </c>
      <c r="F10" s="10">
        <v>0.04</v>
      </c>
      <c r="G10" s="10">
        <v>18.47</v>
      </c>
      <c r="H10" s="9">
        <v>1.2230254639620197</v>
      </c>
      <c r="I10" s="9">
        <v>4.2</v>
      </c>
      <c r="J10" s="9">
        <v>97.2</v>
      </c>
      <c r="K10" s="9">
        <v>-8.5124215875011497</v>
      </c>
      <c r="L10" s="10">
        <v>0.127</v>
      </c>
      <c r="M10" s="9">
        <v>5.0753243000000003E-2</v>
      </c>
      <c r="N10" s="9">
        <v>75.333975609756095</v>
      </c>
      <c r="O10" s="10">
        <v>0.16611179500000001</v>
      </c>
      <c r="P10" s="9">
        <v>1</v>
      </c>
      <c r="Q10" s="9">
        <v>67.733500000000006</v>
      </c>
      <c r="R10" s="9">
        <v>51.7</v>
      </c>
      <c r="S10" s="9">
        <v>128.83731148006001</v>
      </c>
      <c r="T10" s="9">
        <v>0.70454545454545481</v>
      </c>
      <c r="U10" s="10">
        <v>-1.6068055890370001E-2</v>
      </c>
      <c r="V10" s="10">
        <v>0.24999127912314001</v>
      </c>
      <c r="W10" s="10">
        <v>1.1510255089177073</v>
      </c>
      <c r="X10" s="9">
        <v>30</v>
      </c>
      <c r="Y10" s="9">
        <v>97</v>
      </c>
      <c r="Z10" s="9">
        <v>2.69</v>
      </c>
      <c r="AA10" s="9">
        <v>3.8</v>
      </c>
      <c r="AB10" s="9">
        <v>3</v>
      </c>
      <c r="AC10" s="11">
        <v>0.13679245300000001</v>
      </c>
      <c r="AD10" s="9">
        <v>90</v>
      </c>
      <c r="AE10" s="9">
        <v>4.0010000000000003</v>
      </c>
    </row>
    <row r="11" spans="1:31">
      <c r="A11" s="4" t="s">
        <v>54</v>
      </c>
      <c r="B11" s="4" t="s">
        <v>53</v>
      </c>
      <c r="C11" s="10">
        <v>0.82</v>
      </c>
      <c r="D11" s="9">
        <v>0.1</v>
      </c>
      <c r="E11" s="9">
        <v>36.22</v>
      </c>
      <c r="F11" s="10">
        <v>7.0000000000000007E-2</v>
      </c>
      <c r="G11" s="10">
        <v>13.56</v>
      </c>
      <c r="H11" s="9" t="e">
        <v>#N/A</v>
      </c>
      <c r="I11" s="9" t="e">
        <v>#N/A</v>
      </c>
      <c r="J11" s="9">
        <v>100</v>
      </c>
      <c r="K11" s="9">
        <v>73.406740073406695</v>
      </c>
      <c r="L11" s="10">
        <v>0.03</v>
      </c>
      <c r="M11" s="9">
        <v>8.4355135489999995</v>
      </c>
      <c r="N11" s="9">
        <v>73.537390243902394</v>
      </c>
      <c r="O11" s="10">
        <v>5.3520065999999998E-2</v>
      </c>
      <c r="P11" s="9">
        <v>1</v>
      </c>
      <c r="Q11" s="9">
        <v>50.147390000000001</v>
      </c>
      <c r="R11" s="9">
        <v>69.7</v>
      </c>
      <c r="S11" s="9">
        <v>84.983510928328101</v>
      </c>
      <c r="T11" s="9">
        <v>0.97969052224371389</v>
      </c>
      <c r="U11" s="10">
        <v>8.9991101197782003E-2</v>
      </c>
      <c r="V11" s="10">
        <v>-0.82428298517831999</v>
      </c>
      <c r="W11" s="10">
        <v>15.957446808510639</v>
      </c>
      <c r="X11" s="9">
        <v>90.52</v>
      </c>
      <c r="Y11" s="9">
        <v>96</v>
      </c>
      <c r="Z11" s="9">
        <v>-9.57</v>
      </c>
      <c r="AA11" s="9">
        <v>1.9</v>
      </c>
      <c r="AB11" s="9">
        <v>65</v>
      </c>
      <c r="AC11" s="11">
        <v>7.2124755999999998E-2</v>
      </c>
      <c r="AD11" s="9">
        <v>90</v>
      </c>
      <c r="AE11" s="9">
        <v>36.39</v>
      </c>
    </row>
    <row r="12" spans="1:31">
      <c r="A12" s="4" t="s">
        <v>56</v>
      </c>
      <c r="B12" s="4" t="s">
        <v>55</v>
      </c>
      <c r="C12" s="10">
        <v>0.03</v>
      </c>
      <c r="D12" s="9" t="e">
        <v>#N/A</v>
      </c>
      <c r="E12" s="9">
        <v>11.08</v>
      </c>
      <c r="F12" s="10">
        <v>0.16</v>
      </c>
      <c r="G12" s="10">
        <v>38.94</v>
      </c>
      <c r="H12" s="9">
        <v>1.4461673999705473</v>
      </c>
      <c r="I12" s="9">
        <v>15.6</v>
      </c>
      <c r="J12" s="9">
        <v>100</v>
      </c>
      <c r="K12" s="9">
        <v>-136.05748703873101</v>
      </c>
      <c r="L12" s="10">
        <v>0.34</v>
      </c>
      <c r="M12" s="9">
        <v>0</v>
      </c>
      <c r="N12" s="9">
        <v>81.395121951219494</v>
      </c>
      <c r="O12" s="10">
        <v>1.3529815000000001E-2</v>
      </c>
      <c r="P12" s="9">
        <v>1</v>
      </c>
      <c r="Q12" s="9">
        <v>76.996420000000001</v>
      </c>
      <c r="R12" s="9">
        <v>82.5</v>
      </c>
      <c r="S12" s="9">
        <v>110.720506150885</v>
      </c>
      <c r="T12" s="9">
        <v>0.57077326343381407</v>
      </c>
      <c r="U12" s="10">
        <v>0.83482567142467001</v>
      </c>
      <c r="V12" s="10">
        <v>1.39299951745562</v>
      </c>
      <c r="W12" s="10">
        <v>0.46860966116918112</v>
      </c>
      <c r="X12" s="9">
        <v>38.700000760000002</v>
      </c>
      <c r="Y12" s="9">
        <v>100</v>
      </c>
      <c r="Z12" s="9">
        <v>-4.91</v>
      </c>
      <c r="AA12" s="9">
        <v>4.9000000000000004</v>
      </c>
      <c r="AB12" s="9" t="e">
        <v>#N/A</v>
      </c>
      <c r="AC12" s="11">
        <v>4.7619047999999997E-2</v>
      </c>
      <c r="AD12" s="9">
        <v>100</v>
      </c>
      <c r="AE12" s="9">
        <v>4.5830000000000002</v>
      </c>
    </row>
    <row r="13" spans="1:31">
      <c r="A13" s="4" t="s">
        <v>58</v>
      </c>
      <c r="B13" s="4" t="s">
        <v>57</v>
      </c>
      <c r="C13" s="10">
        <v>0.27</v>
      </c>
      <c r="D13" s="9" t="e">
        <v>#N/A</v>
      </c>
      <c r="E13" s="9">
        <v>32.619999999999997</v>
      </c>
      <c r="F13" s="10">
        <v>0.21</v>
      </c>
      <c r="G13" s="10">
        <v>8.32</v>
      </c>
      <c r="H13" s="9" t="e">
        <v>#N/A</v>
      </c>
      <c r="I13" s="9" t="e">
        <v>#N/A</v>
      </c>
      <c r="J13" s="9">
        <v>100</v>
      </c>
      <c r="K13" s="9">
        <v>65.302408783887998</v>
      </c>
      <c r="L13" s="10">
        <v>2.7E-2</v>
      </c>
      <c r="M13" s="9">
        <v>0</v>
      </c>
      <c r="N13" s="9">
        <v>80.447560975609704</v>
      </c>
      <c r="O13" s="10">
        <v>7.0138780000000003E-3</v>
      </c>
      <c r="P13" s="9">
        <v>1</v>
      </c>
      <c r="Q13" s="9">
        <v>54.714680000000001</v>
      </c>
      <c r="R13" s="9">
        <v>71.900000000000006</v>
      </c>
      <c r="S13" s="9">
        <v>140.75641178155001</v>
      </c>
      <c r="T13" s="9">
        <v>1.1131284916201123</v>
      </c>
      <c r="U13" s="10">
        <v>1.1278487020793699</v>
      </c>
      <c r="V13" s="10">
        <v>1.374230638647</v>
      </c>
      <c r="W13" s="10">
        <v>7.2771376591873871</v>
      </c>
      <c r="X13" s="9">
        <v>100</v>
      </c>
      <c r="Y13" s="9">
        <v>100</v>
      </c>
      <c r="Z13" s="9">
        <v>4.05</v>
      </c>
      <c r="AA13" s="9">
        <v>1.7</v>
      </c>
      <c r="AB13" s="9" t="e">
        <v>#N/A</v>
      </c>
      <c r="AC13" s="11">
        <v>3.3254156999999999E-2</v>
      </c>
      <c r="AD13" s="9">
        <v>100</v>
      </c>
      <c r="AE13" s="9">
        <v>4.7039999999999997</v>
      </c>
    </row>
    <row r="14" spans="1:31">
      <c r="A14" s="4" t="s">
        <v>60</v>
      </c>
      <c r="B14" s="4" t="s">
        <v>59</v>
      </c>
      <c r="C14" s="10">
        <v>0.47</v>
      </c>
      <c r="D14" s="9">
        <v>1.5</v>
      </c>
      <c r="E14" s="9">
        <v>47.94</v>
      </c>
      <c r="F14" s="10">
        <v>0.06</v>
      </c>
      <c r="G14" s="10">
        <v>14.98</v>
      </c>
      <c r="H14" s="9">
        <v>19.099307159353348</v>
      </c>
      <c r="I14" s="9">
        <v>22.9</v>
      </c>
      <c r="J14" s="9">
        <v>100</v>
      </c>
      <c r="K14" s="9">
        <v>-338.31824642777002</v>
      </c>
      <c r="L14" s="10">
        <v>0.03</v>
      </c>
      <c r="M14" s="9">
        <v>0.59367515800000004</v>
      </c>
      <c r="N14" s="9">
        <v>70.177682926829206</v>
      </c>
      <c r="O14" s="10">
        <v>8.3435977999999994E-2</v>
      </c>
      <c r="P14" s="9">
        <v>1</v>
      </c>
      <c r="Q14" s="9">
        <v>19.05771</v>
      </c>
      <c r="R14" s="9">
        <v>59.7</v>
      </c>
      <c r="S14" s="9">
        <v>88.3388185990366</v>
      </c>
      <c r="T14" s="9">
        <v>1.0291353383458646</v>
      </c>
      <c r="U14" s="10">
        <v>-0.3907946144883</v>
      </c>
      <c r="V14" s="10">
        <v>-1.20158256600845</v>
      </c>
      <c r="W14" s="10">
        <v>9.0767164070725777</v>
      </c>
      <c r="X14" s="9">
        <v>50.602546179999997</v>
      </c>
      <c r="Y14" s="9">
        <v>80</v>
      </c>
      <c r="Z14" s="9">
        <v>-8.86</v>
      </c>
      <c r="AA14" s="9">
        <v>1.4</v>
      </c>
      <c r="AB14" s="9">
        <v>269</v>
      </c>
      <c r="AC14" s="11">
        <v>9.5060578000000007E-2</v>
      </c>
      <c r="AD14" s="9">
        <v>45</v>
      </c>
      <c r="AE14" s="9">
        <v>35.21</v>
      </c>
    </row>
    <row r="15" spans="1:31">
      <c r="A15" s="4" t="s">
        <v>62</v>
      </c>
      <c r="B15" s="4" t="s">
        <v>61</v>
      </c>
      <c r="C15" s="10">
        <v>1</v>
      </c>
      <c r="D15" s="9" t="e">
        <v>#N/A</v>
      </c>
      <c r="E15" s="9">
        <v>16.100000000000001</v>
      </c>
      <c r="F15" s="10">
        <v>0.12</v>
      </c>
      <c r="G15" s="10">
        <v>65.39</v>
      </c>
      <c r="H15" s="9">
        <v>87.089337175792508</v>
      </c>
      <c r="I15" s="9">
        <v>56.5</v>
      </c>
      <c r="J15" s="9">
        <v>94</v>
      </c>
      <c r="K15" s="9" t="e">
        <v>#N/A</v>
      </c>
      <c r="L15" s="10">
        <v>0.127</v>
      </c>
      <c r="M15" s="9">
        <v>0.19657999900000001</v>
      </c>
      <c r="N15" s="9">
        <v>73.485463414634097</v>
      </c>
      <c r="O15" s="10">
        <v>9.9707270000000001E-2</v>
      </c>
      <c r="P15" s="9">
        <v>1</v>
      </c>
      <c r="Q15" s="9">
        <v>14.968249999999999</v>
      </c>
      <c r="R15" s="9" t="e">
        <v>#N/A</v>
      </c>
      <c r="S15" s="9">
        <v>105.003906787275</v>
      </c>
      <c r="T15" s="9">
        <v>0.51086956521739146</v>
      </c>
      <c r="U15" s="10">
        <v>0.88298828632119997</v>
      </c>
      <c r="V15" s="10">
        <v>0.99217248066800001</v>
      </c>
      <c r="W15" s="10" t="e">
        <v>#N/A</v>
      </c>
      <c r="X15" s="9">
        <v>57.400001529999997</v>
      </c>
      <c r="Y15" s="9">
        <v>97</v>
      </c>
      <c r="Z15" s="9">
        <v>-13.05</v>
      </c>
      <c r="AA15" s="9">
        <v>3.9</v>
      </c>
      <c r="AB15" s="9">
        <v>2</v>
      </c>
      <c r="AC15" s="11">
        <v>0.15116279099999999</v>
      </c>
      <c r="AD15" s="9">
        <v>100</v>
      </c>
      <c r="AE15" s="9" t="e">
        <v>#N/A</v>
      </c>
    </row>
    <row r="16" spans="1:31">
      <c r="A16" s="4" t="s">
        <v>64</v>
      </c>
      <c r="B16" s="4" t="s">
        <v>63</v>
      </c>
      <c r="C16" s="10" t="e">
        <v>#N/A</v>
      </c>
      <c r="D16" s="9">
        <v>2.3400000000000003</v>
      </c>
      <c r="E16" s="9">
        <v>11.44</v>
      </c>
      <c r="F16" s="10">
        <v>0.05</v>
      </c>
      <c r="G16" s="10">
        <v>44.93</v>
      </c>
      <c r="H16" s="9">
        <v>42.394366197183096</v>
      </c>
      <c r="I16" s="9">
        <v>38.4</v>
      </c>
      <c r="J16" s="9">
        <v>99.4</v>
      </c>
      <c r="K16" s="9">
        <v>-89.399523086928198</v>
      </c>
      <c r="L16" s="10">
        <v>0.03</v>
      </c>
      <c r="M16" s="9">
        <v>8.4107769999999995E-3</v>
      </c>
      <c r="N16" s="9">
        <v>75.911487804878007</v>
      </c>
      <c r="O16" s="10">
        <v>4.5130733999999999E-2</v>
      </c>
      <c r="P16" s="9">
        <v>1</v>
      </c>
      <c r="Q16" s="9">
        <v>21.765170000000001</v>
      </c>
      <c r="R16" s="9">
        <v>77.7</v>
      </c>
      <c r="S16" s="9">
        <v>199.37508923235501</v>
      </c>
      <c r="T16" s="9">
        <v>0.83027522935779796</v>
      </c>
      <c r="U16" s="10">
        <v>-8.8821845854143003E-2</v>
      </c>
      <c r="V16" s="10">
        <v>-0.82555303464524998</v>
      </c>
      <c r="W16" s="10" t="e">
        <v>#N/A</v>
      </c>
      <c r="X16" s="9">
        <v>81.481481479999999</v>
      </c>
      <c r="Y16" s="9" t="e">
        <v>#N/A</v>
      </c>
      <c r="Z16" s="9">
        <v>13.04</v>
      </c>
      <c r="AA16" s="9">
        <v>3.2</v>
      </c>
      <c r="AB16" s="9" t="e">
        <v>#N/A</v>
      </c>
      <c r="AC16" s="11">
        <v>9.1836735000000003E-2</v>
      </c>
      <c r="AD16" s="9" t="e">
        <v>#N/A</v>
      </c>
      <c r="AE16" s="9">
        <v>219.8</v>
      </c>
    </row>
    <row r="17" spans="1:31">
      <c r="A17" s="4" t="s">
        <v>66</v>
      </c>
      <c r="B17" s="4" t="s">
        <v>65</v>
      </c>
      <c r="C17" s="10">
        <v>0.11</v>
      </c>
      <c r="D17" s="9">
        <v>10.9</v>
      </c>
      <c r="E17" s="9">
        <v>72.38</v>
      </c>
      <c r="F17" s="10">
        <v>0.5</v>
      </c>
      <c r="G17" s="10">
        <v>36.11</v>
      </c>
      <c r="H17" s="9">
        <v>30.06666666666667</v>
      </c>
      <c r="I17" s="9">
        <v>37</v>
      </c>
      <c r="J17" s="9">
        <v>41</v>
      </c>
      <c r="K17" s="9">
        <v>16.278986544517601</v>
      </c>
      <c r="L17" s="10">
        <v>0.18</v>
      </c>
      <c r="M17" s="9">
        <v>8.0015608090000008</v>
      </c>
      <c r="N17" s="9">
        <v>66.144999999999996</v>
      </c>
      <c r="O17" s="10">
        <v>0.88551846400000001</v>
      </c>
      <c r="P17" s="9">
        <v>1</v>
      </c>
      <c r="Q17" s="9">
        <v>7.8593799999999998</v>
      </c>
      <c r="R17" s="9">
        <v>53</v>
      </c>
      <c r="S17" s="9">
        <v>31.068772812200201</v>
      </c>
      <c r="T17" s="9">
        <v>1.0057736720554273</v>
      </c>
      <c r="U17" s="10">
        <v>-1.54744706351382</v>
      </c>
      <c r="V17" s="10">
        <v>-0.37113224013252</v>
      </c>
      <c r="W17" s="10">
        <v>34.570177460244295</v>
      </c>
      <c r="X17" s="9">
        <v>9.5</v>
      </c>
      <c r="Y17" s="9">
        <v>80</v>
      </c>
      <c r="Z17" s="9">
        <v>7.78</v>
      </c>
      <c r="AA17" s="9">
        <v>3.6</v>
      </c>
      <c r="AB17" s="9">
        <v>334</v>
      </c>
      <c r="AC17" s="11">
        <v>0.30255057200000002</v>
      </c>
      <c r="AD17" s="9">
        <v>53</v>
      </c>
      <c r="AE17" s="9">
        <v>2.923</v>
      </c>
    </row>
    <row r="18" spans="1:31">
      <c r="A18" s="4" t="s">
        <v>68</v>
      </c>
      <c r="B18" s="4" t="s">
        <v>67</v>
      </c>
      <c r="C18" s="10">
        <v>1.17</v>
      </c>
      <c r="D18" s="9" t="e">
        <v>#N/A</v>
      </c>
      <c r="E18" s="9">
        <v>59.68</v>
      </c>
      <c r="F18" s="10">
        <v>0.04</v>
      </c>
      <c r="G18" s="10">
        <v>65.39</v>
      </c>
      <c r="H18" s="9">
        <v>25.116279069767444</v>
      </c>
      <c r="I18" s="9">
        <v>10.5</v>
      </c>
      <c r="J18" s="9">
        <v>100</v>
      </c>
      <c r="K18" s="9" t="e">
        <v>#N/A</v>
      </c>
      <c r="L18" s="10">
        <v>0.127</v>
      </c>
      <c r="M18" s="9">
        <v>1.8763445560000001</v>
      </c>
      <c r="N18" s="9">
        <v>77.008902439024297</v>
      </c>
      <c r="O18" s="10">
        <v>9.1385869999999994E-2</v>
      </c>
      <c r="P18" s="9">
        <v>1</v>
      </c>
      <c r="Q18" s="9" t="e">
        <v>#N/A</v>
      </c>
      <c r="R18" s="9">
        <v>68.5</v>
      </c>
      <c r="S18" s="9">
        <v>131.73031828414199</v>
      </c>
      <c r="T18" s="9">
        <v>0.91285211267605659</v>
      </c>
      <c r="U18" s="10">
        <v>1.09434770383867</v>
      </c>
      <c r="V18" s="10">
        <v>1.13487440856021</v>
      </c>
      <c r="W18" s="10" t="e">
        <v>#N/A</v>
      </c>
      <c r="X18" s="9">
        <v>100</v>
      </c>
      <c r="Y18" s="9">
        <v>100</v>
      </c>
      <c r="Z18" s="9">
        <v>-14.26</v>
      </c>
      <c r="AA18" s="9">
        <v>4.5</v>
      </c>
      <c r="AB18" s="9" t="e">
        <v>#N/A</v>
      </c>
      <c r="AC18" s="11">
        <v>0.14214876000000001</v>
      </c>
      <c r="AD18" s="9">
        <v>100</v>
      </c>
      <c r="AE18" s="9">
        <v>76.12</v>
      </c>
    </row>
    <row r="19" spans="1:31">
      <c r="A19" s="4" t="s">
        <v>70</v>
      </c>
      <c r="B19" s="4" t="s">
        <v>69</v>
      </c>
      <c r="C19" s="10">
        <v>0.1</v>
      </c>
      <c r="D19" s="9">
        <v>0.1</v>
      </c>
      <c r="E19" s="9">
        <v>26.12</v>
      </c>
      <c r="F19" s="10">
        <v>0.02</v>
      </c>
      <c r="G19" s="10">
        <v>13.56</v>
      </c>
      <c r="H19" s="9" t="e">
        <v>#N/A</v>
      </c>
      <c r="I19" s="9" t="e">
        <v>#N/A</v>
      </c>
      <c r="J19" s="9">
        <v>100</v>
      </c>
      <c r="K19" s="9">
        <v>85.674187244625998</v>
      </c>
      <c r="L19" s="10">
        <v>0.35</v>
      </c>
      <c r="M19" s="9">
        <v>0.241881925</v>
      </c>
      <c r="N19" s="9">
        <v>70.632878048780498</v>
      </c>
      <c r="O19" s="10">
        <v>1.9613864000000002E-2</v>
      </c>
      <c r="P19" s="9">
        <v>1</v>
      </c>
      <c r="Q19" s="9">
        <v>76.953280000000007</v>
      </c>
      <c r="R19" s="9">
        <v>47.9</v>
      </c>
      <c r="S19" s="9">
        <v>100.24009106902599</v>
      </c>
      <c r="T19" s="9">
        <v>0.88879736408566712</v>
      </c>
      <c r="U19" s="10">
        <v>0.36647489231410002</v>
      </c>
      <c r="V19" s="10">
        <v>-1.5439384152034901</v>
      </c>
      <c r="W19" s="10">
        <v>2.2178413011335634</v>
      </c>
      <c r="X19" s="9">
        <v>88.63999939</v>
      </c>
      <c r="Y19" s="9">
        <v>100</v>
      </c>
      <c r="Z19" s="9">
        <v>6.73</v>
      </c>
      <c r="AA19" s="9">
        <v>2.8</v>
      </c>
      <c r="AB19" s="9">
        <v>1</v>
      </c>
      <c r="AC19" s="11">
        <v>3.3185841000000001E-2</v>
      </c>
      <c r="AD19" s="9">
        <v>93</v>
      </c>
      <c r="AE19" s="9">
        <v>7.4790000000000001</v>
      </c>
    </row>
    <row r="20" spans="1:31">
      <c r="A20" s="4" t="s">
        <v>72</v>
      </c>
      <c r="B20" s="4" t="s">
        <v>71</v>
      </c>
      <c r="C20" s="10">
        <v>1.27</v>
      </c>
      <c r="D20" s="9" t="e">
        <v>#N/A</v>
      </c>
      <c r="E20" s="9">
        <v>2.62</v>
      </c>
      <c r="F20" s="10">
        <v>0.18</v>
      </c>
      <c r="G20" s="10">
        <v>11.15</v>
      </c>
      <c r="H20" s="9">
        <v>10.216850104821804</v>
      </c>
      <c r="I20" s="9">
        <v>15.1</v>
      </c>
      <c r="J20" s="9">
        <v>100</v>
      </c>
      <c r="K20" s="9">
        <v>72.125972954553603</v>
      </c>
      <c r="L20" s="10">
        <v>2.7E-2</v>
      </c>
      <c r="M20" s="9">
        <v>0</v>
      </c>
      <c r="N20" s="9">
        <v>80.109560975609696</v>
      </c>
      <c r="O20" s="10">
        <v>9.132935E-3</v>
      </c>
      <c r="P20" s="9">
        <v>1</v>
      </c>
      <c r="Q20" s="9">
        <v>62.970750000000002</v>
      </c>
      <c r="R20" s="9">
        <v>70.2</v>
      </c>
      <c r="S20" s="9">
        <v>115.11054097041701</v>
      </c>
      <c r="T20" s="9">
        <v>0.74003067484662599</v>
      </c>
      <c r="U20" s="10">
        <v>0.78562996368337001</v>
      </c>
      <c r="V20" s="10">
        <v>1.39362458387739</v>
      </c>
      <c r="W20" s="10">
        <v>49.537648612945837</v>
      </c>
      <c r="X20" s="9">
        <v>78.2</v>
      </c>
      <c r="Y20" s="9">
        <v>100</v>
      </c>
      <c r="Z20" s="9">
        <v>-3.99</v>
      </c>
      <c r="AA20" s="9">
        <v>1.8</v>
      </c>
      <c r="AB20" s="9" t="e">
        <v>#N/A</v>
      </c>
      <c r="AC20" s="11">
        <v>7.4660633000000004E-2</v>
      </c>
      <c r="AD20" s="9">
        <v>100</v>
      </c>
      <c r="AE20" s="9">
        <v>33.97</v>
      </c>
    </row>
    <row r="21" spans="1:31">
      <c r="A21" s="4" t="s">
        <v>74</v>
      </c>
      <c r="B21" s="4" t="s">
        <v>73</v>
      </c>
      <c r="C21" s="10">
        <v>0.32</v>
      </c>
      <c r="D21" s="9">
        <v>0.7</v>
      </c>
      <c r="E21" s="9">
        <v>47.8</v>
      </c>
      <c r="F21" s="10">
        <v>0.03</v>
      </c>
      <c r="G21" s="10">
        <v>39.43</v>
      </c>
      <c r="H21" s="9">
        <v>13.022648083623695</v>
      </c>
      <c r="I21" s="9">
        <v>23.1</v>
      </c>
      <c r="J21" s="9">
        <v>91.7</v>
      </c>
      <c r="K21" s="9" t="e">
        <v>#N/A</v>
      </c>
      <c r="L21" s="10">
        <v>0.127</v>
      </c>
      <c r="M21" s="9">
        <v>0.75055597500000004</v>
      </c>
      <c r="N21" s="9">
        <v>76.323292682926805</v>
      </c>
      <c r="O21" s="10">
        <v>0.30546430400000002</v>
      </c>
      <c r="P21" s="9">
        <v>1</v>
      </c>
      <c r="Q21" s="9">
        <v>11.21691</v>
      </c>
      <c r="R21" s="9">
        <v>63.8</v>
      </c>
      <c r="S21" s="9">
        <v>48.554321728691498</v>
      </c>
      <c r="T21" s="9">
        <v>0.89534883720930236</v>
      </c>
      <c r="U21" s="10">
        <v>7.7101237704414002E-2</v>
      </c>
      <c r="V21" s="10">
        <v>0.74437858184945005</v>
      </c>
      <c r="W21" s="10">
        <v>6.5760631302060508</v>
      </c>
      <c r="X21" s="9">
        <v>17</v>
      </c>
      <c r="Y21" s="9">
        <v>99</v>
      </c>
      <c r="Z21" s="9">
        <v>-19.63</v>
      </c>
      <c r="AA21" s="9">
        <v>4.2</v>
      </c>
      <c r="AB21" s="9">
        <v>26</v>
      </c>
      <c r="AC21" s="11">
        <v>0.16807909600000001</v>
      </c>
      <c r="AD21" s="9">
        <v>90</v>
      </c>
      <c r="AE21" s="9">
        <v>0.80859999999999999</v>
      </c>
    </row>
    <row r="22" spans="1:31">
      <c r="A22" s="4" t="s">
        <v>76</v>
      </c>
      <c r="B22" s="4" t="s">
        <v>75</v>
      </c>
      <c r="C22" s="10">
        <v>0.18</v>
      </c>
      <c r="D22" s="9">
        <v>4.7</v>
      </c>
      <c r="E22" s="9">
        <v>58.4</v>
      </c>
      <c r="F22" s="10">
        <v>0.13</v>
      </c>
      <c r="G22" s="10">
        <v>54.41</v>
      </c>
      <c r="H22" s="9" t="e">
        <v>#N/A</v>
      </c>
      <c r="I22" s="9" t="e">
        <v>#N/A</v>
      </c>
      <c r="J22" s="9">
        <v>24.8</v>
      </c>
      <c r="K22" s="9">
        <v>39.001663893510802</v>
      </c>
      <c r="L22" s="10">
        <v>8.3000000000000004E-2</v>
      </c>
      <c r="M22" s="9">
        <v>22.634307410000002</v>
      </c>
      <c r="N22" s="9">
        <v>61.377975609756</v>
      </c>
      <c r="O22" s="10">
        <v>2.3049392750000002</v>
      </c>
      <c r="P22" s="9">
        <v>1</v>
      </c>
      <c r="Q22" s="9">
        <v>5.8469600000000002</v>
      </c>
      <c r="R22" s="9">
        <v>56</v>
      </c>
      <c r="S22" s="9">
        <v>56.333043648086701</v>
      </c>
      <c r="T22" s="9">
        <v>0.8758099352051838</v>
      </c>
      <c r="U22" s="10">
        <v>0.44274195617671003</v>
      </c>
      <c r="V22" s="10">
        <v>0.30793128476087001</v>
      </c>
      <c r="W22" s="10">
        <v>8.1359609473874528</v>
      </c>
      <c r="X22" s="9">
        <v>9.5</v>
      </c>
      <c r="Y22" s="9">
        <v>75</v>
      </c>
      <c r="Z22" s="9">
        <v>21.69</v>
      </c>
      <c r="AA22" s="9">
        <v>4.9000000000000004</v>
      </c>
      <c r="AB22" s="9">
        <v>518</v>
      </c>
      <c r="AC22" s="11">
        <v>0.40954274400000001</v>
      </c>
      <c r="AD22" s="9">
        <v>12</v>
      </c>
      <c r="AE22" s="9">
        <v>0.49259999999999998</v>
      </c>
    </row>
    <row r="23" spans="1:31">
      <c r="A23" s="4" t="s">
        <v>78</v>
      </c>
      <c r="B23" s="4" t="s">
        <v>77</v>
      </c>
      <c r="C23" s="10" t="e">
        <v>#N/A</v>
      </c>
      <c r="D23" s="9">
        <v>4.03</v>
      </c>
      <c r="E23" s="9">
        <v>64.36</v>
      </c>
      <c r="F23" s="10">
        <v>7.0000000000000007E-2</v>
      </c>
      <c r="G23" s="10">
        <v>34.78</v>
      </c>
      <c r="H23" s="9" t="e">
        <v>#N/A</v>
      </c>
      <c r="I23" s="9" t="e">
        <v>#N/A</v>
      </c>
      <c r="J23" s="9">
        <v>68.5</v>
      </c>
      <c r="K23" s="9" t="e">
        <v>#N/A</v>
      </c>
      <c r="L23" s="10">
        <v>0.18</v>
      </c>
      <c r="M23" s="9">
        <v>7.5885970489999997</v>
      </c>
      <c r="N23" s="9">
        <v>66.133560975609697</v>
      </c>
      <c r="O23" s="10">
        <v>0.57755074399999995</v>
      </c>
      <c r="P23" s="9">
        <v>1</v>
      </c>
      <c r="Q23" s="9">
        <v>6.5677599999999998</v>
      </c>
      <c r="R23" s="9">
        <v>57.6</v>
      </c>
      <c r="S23" s="9">
        <v>46.900270314841499</v>
      </c>
      <c r="T23" s="9">
        <v>0.63048498845265599</v>
      </c>
      <c r="U23" s="10">
        <v>0.68528623032142999</v>
      </c>
      <c r="V23" s="10">
        <v>-0.63440235456080996</v>
      </c>
      <c r="W23" s="10">
        <v>15.62744178777934</v>
      </c>
      <c r="X23" s="9">
        <v>62</v>
      </c>
      <c r="Y23" s="9">
        <v>92</v>
      </c>
      <c r="Z23" s="9">
        <v>6.52</v>
      </c>
      <c r="AA23" s="9">
        <v>0.7</v>
      </c>
      <c r="AB23" s="9">
        <v>324</v>
      </c>
      <c r="AC23" s="11">
        <v>0.29941617999999998</v>
      </c>
      <c r="AD23" s="9">
        <v>65</v>
      </c>
      <c r="AE23" s="9">
        <v>0.43330000000000002</v>
      </c>
    </row>
    <row r="24" spans="1:31">
      <c r="A24" s="4" t="s">
        <v>80</v>
      </c>
      <c r="B24" s="4" t="s">
        <v>79</v>
      </c>
      <c r="C24" s="10">
        <v>0.25</v>
      </c>
      <c r="D24" s="9">
        <v>0.8</v>
      </c>
      <c r="E24" s="9">
        <v>33.96</v>
      </c>
      <c r="F24" s="10">
        <v>0.19</v>
      </c>
      <c r="G24" s="10">
        <v>71.55</v>
      </c>
      <c r="H24" s="9" t="e">
        <v>#N/A</v>
      </c>
      <c r="I24" s="9" t="e">
        <v>#N/A</v>
      </c>
      <c r="J24" s="9">
        <v>77.5</v>
      </c>
      <c r="K24" s="9">
        <v>-195.100105374078</v>
      </c>
      <c r="L24" s="10">
        <v>0.09</v>
      </c>
      <c r="M24" s="9">
        <v>7.4440441340000003</v>
      </c>
      <c r="N24" s="9">
        <v>65.683780487804796</v>
      </c>
      <c r="O24" s="10">
        <v>0.66596919300000001</v>
      </c>
      <c r="P24" s="9">
        <v>1</v>
      </c>
      <c r="Q24" s="9">
        <v>38.323920000000001</v>
      </c>
      <c r="R24" s="9">
        <v>50</v>
      </c>
      <c r="S24" s="9">
        <v>72.477962781586697</v>
      </c>
      <c r="T24" s="9">
        <v>0.57352941176470595</v>
      </c>
      <c r="U24" s="10">
        <v>-0.82318615734131995</v>
      </c>
      <c r="V24" s="10">
        <v>-8.3406103867124007E-2</v>
      </c>
      <c r="W24" s="10">
        <v>1.3846579894765991</v>
      </c>
      <c r="X24" s="9">
        <v>7</v>
      </c>
      <c r="Y24" s="9">
        <v>86</v>
      </c>
      <c r="Z24" s="9">
        <v>-6.25</v>
      </c>
      <c r="AA24" s="9">
        <v>4.0999999999999996</v>
      </c>
      <c r="AB24" s="9">
        <v>245</v>
      </c>
      <c r="AC24" s="11">
        <v>0.26326743000000002</v>
      </c>
      <c r="AD24" s="9">
        <v>25</v>
      </c>
      <c r="AE24" s="9">
        <v>0.3256</v>
      </c>
    </row>
    <row r="25" spans="1:31">
      <c r="A25" s="4" t="s">
        <v>82</v>
      </c>
      <c r="B25" s="4" t="s">
        <v>81</v>
      </c>
      <c r="C25" s="10">
        <v>0.46</v>
      </c>
      <c r="D25" s="9">
        <v>0.4</v>
      </c>
      <c r="E25" s="9">
        <v>51.98</v>
      </c>
      <c r="F25" s="10">
        <v>0.08</v>
      </c>
      <c r="G25" s="10">
        <v>14.31</v>
      </c>
      <c r="H25" s="9">
        <v>4.296875E-2</v>
      </c>
      <c r="I25" s="9" t="e">
        <v>#N/A</v>
      </c>
      <c r="J25" s="9">
        <v>100</v>
      </c>
      <c r="K25" s="9">
        <v>27.545909849749599</v>
      </c>
      <c r="L25" s="10">
        <v>0.03</v>
      </c>
      <c r="M25" s="9">
        <v>1.028841522</v>
      </c>
      <c r="N25" s="9">
        <v>75.1063170731707</v>
      </c>
      <c r="O25" s="10">
        <v>1.0726675999999999E-2</v>
      </c>
      <c r="P25" s="9">
        <v>1</v>
      </c>
      <c r="Q25" s="9">
        <v>37.003210000000003</v>
      </c>
      <c r="R25" s="9">
        <v>57.5</v>
      </c>
      <c r="S25" s="9">
        <v>86.477384385140994</v>
      </c>
      <c r="T25" s="9">
        <v>0.98905908096280115</v>
      </c>
      <c r="U25" s="10">
        <v>-0.57175019629551005</v>
      </c>
      <c r="V25" s="10">
        <v>-4.8148403639969001E-2</v>
      </c>
      <c r="W25" s="10">
        <v>14.6484375</v>
      </c>
      <c r="X25" s="9">
        <v>52.299999239999998</v>
      </c>
      <c r="Y25" s="9">
        <v>99</v>
      </c>
      <c r="Z25" s="9" t="e">
        <v>#N/A</v>
      </c>
      <c r="AA25" s="9">
        <v>1.6</v>
      </c>
      <c r="AB25" s="9">
        <v>2</v>
      </c>
      <c r="AC25" s="11">
        <v>3.4645668999999997E-2</v>
      </c>
      <c r="AD25" s="9">
        <v>95</v>
      </c>
      <c r="AE25" s="9">
        <v>0.90400000000000003</v>
      </c>
    </row>
    <row r="26" spans="1:31">
      <c r="A26" s="4" t="s">
        <v>84</v>
      </c>
      <c r="B26" s="4" t="s">
        <v>83</v>
      </c>
      <c r="C26" s="10">
        <v>0.82</v>
      </c>
      <c r="D26" s="9">
        <v>2.4</v>
      </c>
      <c r="E26" s="9">
        <v>39.659999999999997</v>
      </c>
      <c r="F26" s="10">
        <v>0.15</v>
      </c>
      <c r="G26" s="10">
        <v>78.040000000000006</v>
      </c>
      <c r="H26" s="9" t="e">
        <v>#N/A</v>
      </c>
      <c r="I26" s="9" t="e">
        <v>#N/A</v>
      </c>
      <c r="J26" s="9">
        <v>45.4</v>
      </c>
      <c r="K26" s="9">
        <v>52.668871043930103</v>
      </c>
      <c r="L26" s="10">
        <v>0.16300000000000001</v>
      </c>
      <c r="M26" s="9">
        <v>18.788994509999998</v>
      </c>
      <c r="N26" s="9">
        <v>54.241024390243901</v>
      </c>
      <c r="O26" s="10">
        <v>0.54830419399999997</v>
      </c>
      <c r="P26" s="9">
        <v>1</v>
      </c>
      <c r="Q26" s="9">
        <v>7.5780099999999999</v>
      </c>
      <c r="R26" s="9">
        <v>68.8</v>
      </c>
      <c r="S26" s="9">
        <v>96.118587738103798</v>
      </c>
      <c r="T26" s="9">
        <v>0.83211143695014667</v>
      </c>
      <c r="U26" s="10">
        <v>0.90664352733991005</v>
      </c>
      <c r="V26" s="10">
        <v>0.40937816594359999</v>
      </c>
      <c r="W26" s="10">
        <v>1.0587052035360753</v>
      </c>
      <c r="X26" s="9">
        <v>32.599998470000003</v>
      </c>
      <c r="Y26" s="9">
        <v>95</v>
      </c>
      <c r="Z26" s="9">
        <v>-21.26</v>
      </c>
      <c r="AA26" s="9">
        <v>4.7</v>
      </c>
      <c r="AB26" s="9">
        <v>341</v>
      </c>
      <c r="AC26" s="11">
        <v>0.50895316800000001</v>
      </c>
      <c r="AD26" s="9">
        <v>60</v>
      </c>
      <c r="AE26" s="9">
        <v>1.585</v>
      </c>
    </row>
    <row r="27" spans="1:31">
      <c r="A27" s="4" t="s">
        <v>86</v>
      </c>
      <c r="B27" s="4" t="s">
        <v>85</v>
      </c>
      <c r="C27" s="10">
        <v>0.16</v>
      </c>
      <c r="D27" s="9">
        <v>0.78</v>
      </c>
      <c r="E27" s="9">
        <v>13.96</v>
      </c>
      <c r="F27" s="10">
        <v>0.63</v>
      </c>
      <c r="G27" s="10">
        <v>32.28</v>
      </c>
      <c r="H27" s="9">
        <v>1.9723190677866955</v>
      </c>
      <c r="I27" s="9">
        <v>6.1</v>
      </c>
      <c r="J27" s="9">
        <v>97.8</v>
      </c>
      <c r="K27" s="9">
        <v>8.2087330200218904</v>
      </c>
      <c r="L27" s="10">
        <v>0.127</v>
      </c>
      <c r="M27" s="9">
        <v>1.4067662999999999E-2</v>
      </c>
      <c r="N27" s="9">
        <v>72.402121951219499</v>
      </c>
      <c r="O27" s="10">
        <v>0.116147235</v>
      </c>
      <c r="P27" s="9">
        <v>1</v>
      </c>
      <c r="Q27" s="9">
        <v>37.568815047000001</v>
      </c>
      <c r="R27" s="9">
        <v>56.3</v>
      </c>
      <c r="S27" s="9">
        <v>89.792986298544406</v>
      </c>
      <c r="T27" s="9">
        <v>0.88934426229508234</v>
      </c>
      <c r="U27" s="10">
        <v>0.28798890250616999</v>
      </c>
      <c r="V27" s="10">
        <v>0.50836527401300002</v>
      </c>
      <c r="W27" s="10">
        <v>0.56741478730220274</v>
      </c>
      <c r="X27" s="9">
        <v>5.5</v>
      </c>
      <c r="Y27" s="9">
        <v>97</v>
      </c>
      <c r="Z27" s="9">
        <v>-2.99</v>
      </c>
      <c r="AA27" s="9">
        <v>4.5999999999999996</v>
      </c>
      <c r="AB27" s="9">
        <v>123</v>
      </c>
      <c r="AC27" s="11">
        <v>0.13719943400000001</v>
      </c>
      <c r="AD27" s="9">
        <v>80</v>
      </c>
      <c r="AE27" s="9">
        <v>0.70530000000000004</v>
      </c>
    </row>
    <row r="28" spans="1:31">
      <c r="A28" s="4" t="s">
        <v>88</v>
      </c>
      <c r="B28" s="4" t="s">
        <v>87</v>
      </c>
      <c r="C28" s="10">
        <v>0.96</v>
      </c>
      <c r="D28" s="9" t="e">
        <v>#N/A</v>
      </c>
      <c r="E28" s="9">
        <v>24.74</v>
      </c>
      <c r="F28" s="10">
        <v>0.06</v>
      </c>
      <c r="G28" s="10">
        <v>38.94</v>
      </c>
      <c r="H28" s="9">
        <v>22.357019064124785</v>
      </c>
      <c r="I28" s="9">
        <v>55.3</v>
      </c>
      <c r="J28" s="9">
        <v>99.7</v>
      </c>
      <c r="K28" s="9">
        <v>-482.14384127858898</v>
      </c>
      <c r="L28" s="10">
        <v>0.34</v>
      </c>
      <c r="M28" s="9">
        <v>0</v>
      </c>
      <c r="N28" s="9">
        <v>77.364097560975594</v>
      </c>
      <c r="O28" s="10">
        <v>4.9612905999999998E-2</v>
      </c>
      <c r="P28" s="9">
        <v>1</v>
      </c>
      <c r="Q28" s="9">
        <v>17.147269999999999</v>
      </c>
      <c r="R28" s="9" t="e">
        <v>#N/A</v>
      </c>
      <c r="S28" s="9">
        <v>106.66421474804</v>
      </c>
      <c r="T28" s="9">
        <v>0.66237942122186499</v>
      </c>
      <c r="U28" s="10">
        <v>1.34959625595852</v>
      </c>
      <c r="V28" s="10">
        <v>-0.79065178704353001</v>
      </c>
      <c r="W28" s="10" t="e">
        <v>#N/A</v>
      </c>
      <c r="X28" s="9">
        <v>77.230003359999998</v>
      </c>
      <c r="Y28" s="9">
        <v>99</v>
      </c>
      <c r="Z28" s="9">
        <v>1.88</v>
      </c>
      <c r="AA28" s="9">
        <v>4.7</v>
      </c>
      <c r="AB28" s="9" t="e">
        <v>#N/A</v>
      </c>
      <c r="AC28" s="11">
        <v>9.1819699000000005E-2</v>
      </c>
      <c r="AD28" s="9" t="e">
        <v>#N/A</v>
      </c>
      <c r="AE28" s="9">
        <v>1.0820000000000001</v>
      </c>
    </row>
    <row r="29" spans="1:31">
      <c r="A29" s="4" t="s">
        <v>90</v>
      </c>
      <c r="B29" s="4" t="s">
        <v>89</v>
      </c>
      <c r="C29" s="10">
        <v>0.11</v>
      </c>
      <c r="D29" s="9" t="e">
        <v>#N/A</v>
      </c>
      <c r="E29" s="9">
        <v>28.6</v>
      </c>
      <c r="F29" s="10">
        <v>0.34</v>
      </c>
      <c r="G29" s="10">
        <v>14.31</v>
      </c>
      <c r="H29" s="9">
        <v>0.3299972951041385</v>
      </c>
      <c r="I29" s="9">
        <v>0.3</v>
      </c>
      <c r="J29" s="9">
        <v>100</v>
      </c>
      <c r="K29" s="9">
        <v>48.207695030082398</v>
      </c>
      <c r="L29" s="10">
        <v>0.03</v>
      </c>
      <c r="M29" s="9">
        <v>0.155660453</v>
      </c>
      <c r="N29" s="9">
        <v>73.316585365853598</v>
      </c>
      <c r="O29" s="10">
        <v>1.7379531E-2</v>
      </c>
      <c r="P29" s="9">
        <v>1</v>
      </c>
      <c r="Q29" s="9">
        <v>51.02843</v>
      </c>
      <c r="R29" s="9">
        <v>64.900000000000006</v>
      </c>
      <c r="S29" s="9">
        <v>139.973165921591</v>
      </c>
      <c r="T29" s="9">
        <v>0.92974238875878235</v>
      </c>
      <c r="U29" s="10">
        <v>0.47081560171740999</v>
      </c>
      <c r="V29" s="10">
        <v>0.53739913459144995</v>
      </c>
      <c r="W29" s="10">
        <v>9.6676180830494438</v>
      </c>
      <c r="X29" s="9">
        <v>98.400001529999997</v>
      </c>
      <c r="Y29" s="9">
        <v>100</v>
      </c>
      <c r="Z29" s="9">
        <v>-14.39</v>
      </c>
      <c r="AA29" s="9">
        <v>1.3</v>
      </c>
      <c r="AB29" s="9">
        <v>2</v>
      </c>
      <c r="AC29" s="11">
        <v>4.0469973999999999E-2</v>
      </c>
      <c r="AD29" s="9">
        <v>100</v>
      </c>
      <c r="AE29" s="9">
        <v>28.73</v>
      </c>
    </row>
    <row r="30" spans="1:31">
      <c r="A30" s="4" t="s">
        <v>92</v>
      </c>
      <c r="B30" s="4" t="s">
        <v>91</v>
      </c>
      <c r="C30" s="10">
        <v>7.0000000000000007E-2</v>
      </c>
      <c r="D30" s="9">
        <v>14.1</v>
      </c>
      <c r="E30" s="9">
        <v>80.02</v>
      </c>
      <c r="F30" s="10">
        <v>0.19</v>
      </c>
      <c r="G30" s="10">
        <v>40.43</v>
      </c>
      <c r="H30" s="9" t="e">
        <v>#N/A</v>
      </c>
      <c r="I30" s="9" t="e">
        <v>#N/A</v>
      </c>
      <c r="J30" s="9">
        <v>10</v>
      </c>
      <c r="K30" s="9" t="e">
        <v>#N/A</v>
      </c>
      <c r="L30" s="10">
        <v>8.3000000000000004E-2</v>
      </c>
      <c r="M30" s="9">
        <v>21.924247699999999</v>
      </c>
      <c r="N30" s="9">
        <v>52.987682926829201</v>
      </c>
      <c r="O30" s="10">
        <v>3.5602894470000002</v>
      </c>
      <c r="P30" s="9">
        <v>1</v>
      </c>
      <c r="Q30" s="9">
        <v>3.40638</v>
      </c>
      <c r="R30" s="9">
        <v>60.6</v>
      </c>
      <c r="S30" s="9">
        <v>20.936823531644201</v>
      </c>
      <c r="T30" s="9">
        <v>0.61695447409733128</v>
      </c>
      <c r="U30" s="10">
        <v>-0.11515922060127</v>
      </c>
      <c r="V30" s="10">
        <v>-0.25034406227881001</v>
      </c>
      <c r="W30" s="10">
        <v>1.6447368421052631</v>
      </c>
      <c r="X30" s="9">
        <v>4.170000076</v>
      </c>
      <c r="Y30" s="9">
        <v>76</v>
      </c>
      <c r="Z30" s="9">
        <v>1.33</v>
      </c>
      <c r="AA30" s="9">
        <v>4.7</v>
      </c>
      <c r="AB30" s="9">
        <v>786</v>
      </c>
      <c r="AC30" s="11">
        <v>0.46596858600000002</v>
      </c>
      <c r="AD30" s="9">
        <v>11</v>
      </c>
      <c r="AE30" s="9">
        <v>7.88</v>
      </c>
    </row>
    <row r="31" spans="1:31">
      <c r="A31" s="4" t="s">
        <v>94</v>
      </c>
      <c r="B31" s="4" t="s">
        <v>93</v>
      </c>
      <c r="C31" s="10">
        <v>0.32</v>
      </c>
      <c r="D31" s="9">
        <v>13.7</v>
      </c>
      <c r="E31" s="9">
        <v>89.3</v>
      </c>
      <c r="F31" s="10">
        <v>0.09</v>
      </c>
      <c r="G31" s="10">
        <v>65.89</v>
      </c>
      <c r="H31" s="9" t="e">
        <v>#N/A</v>
      </c>
      <c r="I31" s="9" t="e">
        <v>#N/A</v>
      </c>
      <c r="J31" s="9">
        <v>2.8</v>
      </c>
      <c r="K31" s="9" t="e">
        <v>#N/A</v>
      </c>
      <c r="L31" s="10">
        <v>0.16300000000000001</v>
      </c>
      <c r="M31" s="9">
        <v>45.221925650000003</v>
      </c>
      <c r="N31" s="9">
        <v>50.433658536585298</v>
      </c>
      <c r="O31" s="10">
        <v>4.0175046270000001</v>
      </c>
      <c r="P31" s="9">
        <v>1</v>
      </c>
      <c r="Q31" s="9">
        <v>2.6808100000000001</v>
      </c>
      <c r="R31" s="9">
        <v>49.6</v>
      </c>
      <c r="S31" s="9">
        <v>10.0973223995674</v>
      </c>
      <c r="T31" s="9">
        <v>1.1535087719298247</v>
      </c>
      <c r="U31" s="10">
        <v>-1.42465810098482</v>
      </c>
      <c r="V31" s="10">
        <v>-0.72614165991513002</v>
      </c>
      <c r="W31" s="10">
        <v>35.046728971962615</v>
      </c>
      <c r="X31" s="9">
        <v>10.43999958</v>
      </c>
      <c r="Y31" s="9">
        <v>72</v>
      </c>
      <c r="Z31" s="9">
        <v>13.06</v>
      </c>
      <c r="AA31" s="9">
        <v>3.6</v>
      </c>
      <c r="AB31" s="9">
        <v>1088</v>
      </c>
      <c r="AC31" s="11">
        <v>0.49475341</v>
      </c>
      <c r="AD31" s="9">
        <v>46</v>
      </c>
      <c r="AE31" s="9">
        <v>2.2970000000000002</v>
      </c>
    </row>
    <row r="32" spans="1:31">
      <c r="A32" s="4" t="s">
        <v>96</v>
      </c>
      <c r="B32" s="4" t="s">
        <v>95</v>
      </c>
      <c r="C32" s="10">
        <v>0.02</v>
      </c>
      <c r="D32" s="9">
        <v>6.9</v>
      </c>
      <c r="E32" s="9">
        <v>77.819999999999993</v>
      </c>
      <c r="F32" s="10">
        <v>0.04</v>
      </c>
      <c r="G32" s="10">
        <v>45.09</v>
      </c>
      <c r="H32" s="9">
        <v>4.8707467962881132</v>
      </c>
      <c r="I32" s="9">
        <v>14.8</v>
      </c>
      <c r="J32" s="9">
        <v>24</v>
      </c>
      <c r="K32" s="9">
        <v>30.306513409961699</v>
      </c>
      <c r="L32" s="10">
        <v>0.307</v>
      </c>
      <c r="M32" s="9">
        <v>9.0910351049999996</v>
      </c>
      <c r="N32" s="9">
        <v>60.968512195121903</v>
      </c>
      <c r="O32" s="10">
        <v>0.88722564800000003</v>
      </c>
      <c r="P32" s="9">
        <v>1</v>
      </c>
      <c r="Q32" s="9">
        <v>10</v>
      </c>
      <c r="R32" s="9">
        <v>57.9</v>
      </c>
      <c r="S32" s="9">
        <v>37.776864294669501</v>
      </c>
      <c r="T32" s="9">
        <v>0.95155393053016457</v>
      </c>
      <c r="U32" s="10">
        <v>-0.62570489911961003</v>
      </c>
      <c r="V32" s="10">
        <v>-0.88149574583564005</v>
      </c>
      <c r="W32" s="10">
        <v>7.647858599592114</v>
      </c>
      <c r="X32" s="9">
        <v>6.2899999619999996</v>
      </c>
      <c r="Y32" s="9">
        <v>61</v>
      </c>
      <c r="Z32" s="9">
        <v>-6.53</v>
      </c>
      <c r="AA32" s="9">
        <v>4.5999999999999996</v>
      </c>
      <c r="AB32" s="9">
        <v>596</v>
      </c>
      <c r="AC32" s="11">
        <v>0.37025561600000001</v>
      </c>
      <c r="AD32" s="9">
        <v>29</v>
      </c>
      <c r="AE32" s="9">
        <v>0.4587</v>
      </c>
    </row>
    <row r="33" spans="1:31">
      <c r="A33" s="4" t="s">
        <v>98</v>
      </c>
      <c r="B33" s="4" t="s">
        <v>97</v>
      </c>
      <c r="C33" s="10">
        <v>0.27</v>
      </c>
      <c r="D33" s="9">
        <v>5.2</v>
      </c>
      <c r="E33" s="9">
        <v>42.42</v>
      </c>
      <c r="F33" s="10">
        <v>7.0000000000000007E-2</v>
      </c>
      <c r="G33" s="10">
        <v>33.28</v>
      </c>
      <c r="H33" s="9">
        <v>1.1898451960289416</v>
      </c>
      <c r="I33" s="9">
        <v>11.3</v>
      </c>
      <c r="J33" s="9">
        <v>29.4</v>
      </c>
      <c r="K33" s="9">
        <v>-42.480991270064798</v>
      </c>
      <c r="L33" s="10">
        <v>8.3000000000000004E-2</v>
      </c>
      <c r="M33" s="9">
        <v>8.1253048079999992</v>
      </c>
      <c r="N33" s="9">
        <v>51.064365853658501</v>
      </c>
      <c r="O33" s="10">
        <v>2.8520915379999998</v>
      </c>
      <c r="P33" s="9">
        <v>1</v>
      </c>
      <c r="Q33" s="9">
        <v>9.0248600000000003</v>
      </c>
      <c r="R33" s="9">
        <v>51.8</v>
      </c>
      <c r="S33" s="9">
        <v>37.892088499713999</v>
      </c>
      <c r="T33" s="9">
        <v>0.84170854271356765</v>
      </c>
      <c r="U33" s="10">
        <v>-0.40915433568395998</v>
      </c>
      <c r="V33" s="10">
        <v>-1.02754895849606</v>
      </c>
      <c r="W33" s="10">
        <v>1.5865964333312177</v>
      </c>
      <c r="X33" s="9">
        <v>8.3699998860000004</v>
      </c>
      <c r="Y33" s="9">
        <v>74</v>
      </c>
      <c r="Z33" s="9">
        <v>10.23</v>
      </c>
      <c r="AA33" s="9">
        <v>4.4000000000000004</v>
      </c>
      <c r="AB33" s="9">
        <v>497</v>
      </c>
      <c r="AC33" s="11">
        <v>0.465153971</v>
      </c>
      <c r="AD33" s="9">
        <v>47</v>
      </c>
      <c r="AE33" s="9">
        <v>0.33600000000000002</v>
      </c>
    </row>
    <row r="34" spans="1:31">
      <c r="A34" s="4" t="s">
        <v>100</v>
      </c>
      <c r="B34" s="4" t="s">
        <v>99</v>
      </c>
      <c r="C34" s="10">
        <v>0.13</v>
      </c>
      <c r="D34" s="9" t="e">
        <v>#N/A</v>
      </c>
      <c r="E34" s="9">
        <v>19.5</v>
      </c>
      <c r="F34" s="10">
        <v>0.18</v>
      </c>
      <c r="G34" s="10">
        <v>3.49</v>
      </c>
      <c r="H34" s="9">
        <v>2.1532885149454244</v>
      </c>
      <c r="I34" s="9">
        <v>3.2</v>
      </c>
      <c r="J34" s="9">
        <v>100</v>
      </c>
      <c r="K34" s="9">
        <v>-53.163205317400298</v>
      </c>
      <c r="L34" s="10">
        <v>0.37</v>
      </c>
      <c r="M34" s="9">
        <v>0</v>
      </c>
      <c r="N34" s="9">
        <v>80.964878048780506</v>
      </c>
      <c r="O34" s="10">
        <v>1.7800638000000001E-2</v>
      </c>
      <c r="P34" s="9">
        <v>1</v>
      </c>
      <c r="Q34" s="9">
        <v>62.269069999999999</v>
      </c>
      <c r="R34" s="9">
        <v>80.8</v>
      </c>
      <c r="S34" s="9">
        <v>68.408620061114604</v>
      </c>
      <c r="T34" s="9">
        <v>0.80769230769230782</v>
      </c>
      <c r="U34" s="10">
        <v>1.01546106806007</v>
      </c>
      <c r="V34" s="10">
        <v>1.4400813246489499</v>
      </c>
      <c r="W34" s="10">
        <v>0.23093392980268346</v>
      </c>
      <c r="X34" s="9">
        <v>39.869998930000001</v>
      </c>
      <c r="Y34" s="9">
        <v>100</v>
      </c>
      <c r="Z34" s="9">
        <v>13.63</v>
      </c>
      <c r="AA34" s="9">
        <v>4</v>
      </c>
      <c r="AB34" s="9" t="e">
        <v>#N/A</v>
      </c>
      <c r="AC34" s="11">
        <v>5.7356608000000003E-2</v>
      </c>
      <c r="AD34" s="9">
        <v>100</v>
      </c>
      <c r="AE34" s="9">
        <v>1.5840000000000001</v>
      </c>
    </row>
    <row r="35" spans="1:31">
      <c r="A35" s="4" t="s">
        <v>102</v>
      </c>
      <c r="B35" s="4" t="s">
        <v>101</v>
      </c>
      <c r="C35" s="10">
        <v>0.82</v>
      </c>
      <c r="D35" s="9">
        <v>1.6</v>
      </c>
      <c r="E35" s="9">
        <v>39.64</v>
      </c>
      <c r="F35" s="10">
        <v>0.08</v>
      </c>
      <c r="G35" s="10">
        <v>54.41</v>
      </c>
      <c r="H35" s="9">
        <v>11.215880893300248</v>
      </c>
      <c r="I35" s="9">
        <v>4</v>
      </c>
      <c r="J35" s="9">
        <v>70.400000000000006</v>
      </c>
      <c r="K35" s="9" t="e">
        <v>#N/A</v>
      </c>
      <c r="L35" s="10">
        <v>8.3000000000000004E-2</v>
      </c>
      <c r="M35" s="9">
        <v>7.3502882410000003</v>
      </c>
      <c r="N35" s="9">
        <v>71.0403658536585</v>
      </c>
      <c r="O35" s="10">
        <v>0.28853594799999999</v>
      </c>
      <c r="P35" s="9">
        <v>1</v>
      </c>
      <c r="Q35" s="9">
        <v>14.913930000000001</v>
      </c>
      <c r="R35" s="9">
        <v>64.599999999999994</v>
      </c>
      <c r="S35" s="9">
        <v>77.530725505630897</v>
      </c>
      <c r="T35" s="9">
        <v>0.93129770992366379</v>
      </c>
      <c r="U35" s="10">
        <v>0.81620838121924999</v>
      </c>
      <c r="V35" s="10">
        <v>0.84732990669663</v>
      </c>
      <c r="W35" s="10" t="e">
        <v>#N/A</v>
      </c>
      <c r="X35" s="9">
        <v>69.040000919999997</v>
      </c>
      <c r="Y35" s="9">
        <v>84</v>
      </c>
      <c r="Z35" s="9">
        <v>-2.23</v>
      </c>
      <c r="AA35" s="9">
        <v>3.9</v>
      </c>
      <c r="AB35" s="9">
        <v>93</v>
      </c>
      <c r="AC35" s="11">
        <v>0.25912408799999997</v>
      </c>
      <c r="AD35" s="9">
        <v>54</v>
      </c>
      <c r="AE35" s="9">
        <v>6.7670000000000003</v>
      </c>
    </row>
    <row r="36" spans="1:31">
      <c r="A36" s="4" t="s">
        <v>104</v>
      </c>
      <c r="B36" s="4" t="s">
        <v>103</v>
      </c>
      <c r="C36" s="10">
        <v>0.22</v>
      </c>
      <c r="D36" s="9">
        <v>8.3000000000000007</v>
      </c>
      <c r="E36" s="9">
        <v>61.26</v>
      </c>
      <c r="F36" s="10">
        <v>0.76</v>
      </c>
      <c r="G36" s="10">
        <v>100</v>
      </c>
      <c r="H36" s="9" t="e">
        <v>#N/A</v>
      </c>
      <c r="I36" s="9" t="e">
        <v>#N/A</v>
      </c>
      <c r="J36" s="9">
        <v>5.0999999999999996</v>
      </c>
      <c r="K36" s="9" t="e">
        <v>#N/A</v>
      </c>
      <c r="L36" s="10">
        <v>0.16300000000000001</v>
      </c>
      <c r="M36" s="9">
        <v>40.430739410000001</v>
      </c>
      <c r="N36" s="9">
        <v>46.958609756097502</v>
      </c>
      <c r="O36" s="10">
        <v>3.7279343759999999</v>
      </c>
      <c r="P36" s="9">
        <v>1</v>
      </c>
      <c r="Q36" s="9">
        <v>2.4582600000000001</v>
      </c>
      <c r="R36" s="9">
        <v>49.3</v>
      </c>
      <c r="S36" s="9">
        <v>3.7988448345998802</v>
      </c>
      <c r="T36" s="9">
        <v>0.97014925373134253</v>
      </c>
      <c r="U36" s="10">
        <v>-2.03094600460537</v>
      </c>
      <c r="V36" s="10">
        <v>-0.98271373504520998</v>
      </c>
      <c r="W36" s="10">
        <v>1.4446227929373996</v>
      </c>
      <c r="X36" s="9">
        <v>2.7000000480000002</v>
      </c>
      <c r="Y36" s="9">
        <v>67</v>
      </c>
      <c r="Z36" s="9">
        <v>11.11</v>
      </c>
      <c r="AA36" s="9">
        <v>4.4000000000000004</v>
      </c>
      <c r="AB36" s="9">
        <v>511</v>
      </c>
      <c r="AC36" s="11">
        <v>0.50937049499999998</v>
      </c>
      <c r="AD36" s="9">
        <v>34</v>
      </c>
      <c r="AE36" s="9">
        <v>4.6300000000000001E-2</v>
      </c>
    </row>
    <row r="37" spans="1:31">
      <c r="A37" s="4" t="s">
        <v>106</v>
      </c>
      <c r="B37" s="4" t="s">
        <v>105</v>
      </c>
      <c r="C37" s="10">
        <v>0.08</v>
      </c>
      <c r="D37" s="9">
        <v>14</v>
      </c>
      <c r="E37" s="9">
        <v>72.86</v>
      </c>
      <c r="F37" s="10">
        <v>0.04</v>
      </c>
      <c r="G37" s="10">
        <v>56.74</v>
      </c>
      <c r="H37" s="9" t="e">
        <v>#N/A</v>
      </c>
      <c r="I37" s="9" t="e">
        <v>#N/A</v>
      </c>
      <c r="J37" s="9">
        <v>3.5</v>
      </c>
      <c r="K37" s="9" t="e">
        <v>#N/A</v>
      </c>
      <c r="L37" s="10">
        <v>8.3000000000000004E-2</v>
      </c>
      <c r="M37" s="9">
        <v>6.8806703819999999</v>
      </c>
      <c r="N37" s="9">
        <v>48.7306097560975</v>
      </c>
      <c r="O37" s="10">
        <v>7.3327987329999997</v>
      </c>
      <c r="P37" s="9">
        <v>1</v>
      </c>
      <c r="Q37" s="9">
        <v>2.0012400000000001</v>
      </c>
      <c r="R37" s="9">
        <v>45.3</v>
      </c>
      <c r="S37" s="9">
        <v>23.968977040468499</v>
      </c>
      <c r="T37" s="9">
        <v>0.9833333333333335</v>
      </c>
      <c r="U37" s="10">
        <v>-1.7515304265735601</v>
      </c>
      <c r="V37" s="10">
        <v>-1.4025877260408599</v>
      </c>
      <c r="W37" s="10">
        <v>0.47649301143583234</v>
      </c>
      <c r="X37" s="9">
        <v>0.80000001200000004</v>
      </c>
      <c r="Y37" s="9">
        <v>50</v>
      </c>
      <c r="Z37" s="9">
        <v>22.22</v>
      </c>
      <c r="AA37" s="9">
        <v>3.9</v>
      </c>
      <c r="AB37" s="9">
        <v>618</v>
      </c>
      <c r="AC37" s="11">
        <v>0.50601805399999999</v>
      </c>
      <c r="AD37" s="9">
        <v>9</v>
      </c>
      <c r="AE37" s="9">
        <v>0.85350000000000004</v>
      </c>
    </row>
    <row r="38" spans="1:31">
      <c r="A38" s="4" t="s">
        <v>108</v>
      </c>
      <c r="B38" s="4" t="s">
        <v>107</v>
      </c>
      <c r="C38" s="10">
        <v>0.57999999999999996</v>
      </c>
      <c r="D38" s="9" t="e">
        <v>#N/A</v>
      </c>
      <c r="E38" s="9">
        <v>11.28</v>
      </c>
      <c r="F38" s="10">
        <v>0.11</v>
      </c>
      <c r="G38" s="10">
        <v>40.6</v>
      </c>
      <c r="H38" s="9">
        <v>3.6556837556004917</v>
      </c>
      <c r="I38" s="9">
        <v>2.1</v>
      </c>
      <c r="J38" s="9">
        <v>98.5</v>
      </c>
      <c r="K38" s="9">
        <v>71.344527125866605</v>
      </c>
      <c r="L38" s="10">
        <v>0.127</v>
      </c>
      <c r="M38" s="9">
        <v>2.3156610000000001E-2</v>
      </c>
      <c r="N38" s="9">
        <v>78.613951219512202</v>
      </c>
      <c r="O38" s="10">
        <v>4.9728798999999997E-2</v>
      </c>
      <c r="P38" s="9">
        <v>1</v>
      </c>
      <c r="Q38" s="9">
        <v>54.794379999999997</v>
      </c>
      <c r="R38" s="9">
        <v>77.400000000000006</v>
      </c>
      <c r="S38" s="9">
        <v>96.935569362057706</v>
      </c>
      <c r="T38" s="9">
        <v>0.79532163742690043</v>
      </c>
      <c r="U38" s="10">
        <v>0.62827519581517</v>
      </c>
      <c r="V38" s="10">
        <v>0.96272223327383999</v>
      </c>
      <c r="W38" s="10">
        <v>3.0250067222371606</v>
      </c>
      <c r="X38" s="9">
        <v>20.200000760000002</v>
      </c>
      <c r="Y38" s="9">
        <v>96</v>
      </c>
      <c r="Z38" s="9">
        <v>-1.92</v>
      </c>
      <c r="AA38" s="9">
        <v>2.2000000000000002</v>
      </c>
      <c r="AB38" s="9">
        <v>1</v>
      </c>
      <c r="AC38" s="11">
        <v>8.4812623000000004E-2</v>
      </c>
      <c r="AD38" s="9">
        <v>96</v>
      </c>
      <c r="AE38" s="9">
        <v>1.23</v>
      </c>
    </row>
    <row r="39" spans="1:31">
      <c r="A39" s="4" t="s">
        <v>110</v>
      </c>
      <c r="B39" s="4" t="s">
        <v>109</v>
      </c>
      <c r="C39" s="10">
        <v>0.02</v>
      </c>
      <c r="D39" s="9">
        <v>1.56</v>
      </c>
      <c r="E39" s="9">
        <v>56</v>
      </c>
      <c r="F39" s="10">
        <v>0.06</v>
      </c>
      <c r="G39" s="10">
        <v>4.99</v>
      </c>
      <c r="H39" s="9">
        <v>1.1352097561483843</v>
      </c>
      <c r="I39" s="9">
        <v>4.9000000000000004</v>
      </c>
      <c r="J39" s="9">
        <v>99.4</v>
      </c>
      <c r="K39" s="9">
        <v>5.8173988519330004</v>
      </c>
      <c r="L39" s="10">
        <v>0.307</v>
      </c>
      <c r="M39" s="9">
        <v>0.16009357299999999</v>
      </c>
      <c r="N39" s="9">
        <v>73.124560975609697</v>
      </c>
      <c r="O39" s="10">
        <v>6.5393677999999997E-2</v>
      </c>
      <c r="P39" s="9">
        <v>1</v>
      </c>
      <c r="Q39" s="9">
        <v>24.532260000000001</v>
      </c>
      <c r="R39" s="9">
        <v>52</v>
      </c>
      <c r="S39" s="9">
        <v>56.1038258753549</v>
      </c>
      <c r="T39" s="9">
        <v>0.99076212471131642</v>
      </c>
      <c r="U39" s="10">
        <v>-0.43927756253575001</v>
      </c>
      <c r="V39" s="10">
        <v>-1.6532243182922399</v>
      </c>
      <c r="W39" s="10">
        <v>1.2865198768929131</v>
      </c>
      <c r="X39" s="9">
        <v>53.5</v>
      </c>
      <c r="Y39" s="9">
        <v>89</v>
      </c>
      <c r="Z39" s="9">
        <v>9.0500000000000007</v>
      </c>
      <c r="AA39" s="9">
        <v>1.3</v>
      </c>
      <c r="AB39" s="9">
        <v>56</v>
      </c>
      <c r="AC39" s="11">
        <v>7.9234973E-2</v>
      </c>
      <c r="AD39" s="9">
        <v>55</v>
      </c>
      <c r="AE39" s="9">
        <v>19.510000000000002</v>
      </c>
    </row>
    <row r="40" spans="1:31">
      <c r="A40" s="4" t="s">
        <v>112</v>
      </c>
      <c r="B40" s="4" t="s">
        <v>111</v>
      </c>
      <c r="C40" s="10">
        <v>0.61</v>
      </c>
      <c r="D40" s="9">
        <v>0.6</v>
      </c>
      <c r="E40" s="9">
        <v>25.2</v>
      </c>
      <c r="F40" s="10">
        <v>0.03</v>
      </c>
      <c r="G40" s="10">
        <v>38.6</v>
      </c>
      <c r="H40" s="9">
        <v>1.3068635800897348</v>
      </c>
      <c r="I40" s="9">
        <v>1.6</v>
      </c>
      <c r="J40" s="9">
        <v>93.6</v>
      </c>
      <c r="K40" s="9">
        <v>-204.17939551511199</v>
      </c>
      <c r="L40" s="10">
        <v>0.127</v>
      </c>
      <c r="M40" s="9">
        <v>5.3121256999999998E-2</v>
      </c>
      <c r="N40" s="9">
        <v>72.980487804877995</v>
      </c>
      <c r="O40" s="10">
        <v>0.21966455900000001</v>
      </c>
      <c r="P40" s="9">
        <v>1</v>
      </c>
      <c r="Q40" s="9">
        <v>36.981850000000001</v>
      </c>
      <c r="R40" s="9">
        <v>68</v>
      </c>
      <c r="S40" s="9">
        <v>92.334386099569798</v>
      </c>
      <c r="T40" s="9">
        <v>0.87771739130434823</v>
      </c>
      <c r="U40" s="10">
        <v>-1.6698280721415</v>
      </c>
      <c r="V40" s="10">
        <v>-0.21228806274445</v>
      </c>
      <c r="W40" s="10">
        <v>3.7854889589905363</v>
      </c>
      <c r="X40" s="9">
        <v>14.399999619999999</v>
      </c>
      <c r="Y40" s="9">
        <v>92</v>
      </c>
      <c r="Z40" s="9">
        <v>8.08</v>
      </c>
      <c r="AA40" s="9">
        <v>4.5</v>
      </c>
      <c r="AB40" s="9">
        <v>33</v>
      </c>
      <c r="AC40" s="11">
        <v>0.113274336</v>
      </c>
      <c r="AD40" s="9">
        <v>74</v>
      </c>
      <c r="AE40" s="9">
        <v>0.59330000000000005</v>
      </c>
    </row>
    <row r="41" spans="1:31">
      <c r="A41" s="4" t="s">
        <v>114</v>
      </c>
      <c r="B41" s="4" t="s">
        <v>113</v>
      </c>
      <c r="C41" s="10">
        <v>0.75</v>
      </c>
      <c r="D41" s="9">
        <v>8.5</v>
      </c>
      <c r="E41" s="9">
        <v>71.86</v>
      </c>
      <c r="F41" s="10">
        <v>0.03</v>
      </c>
      <c r="G41" s="10">
        <v>33.36</v>
      </c>
      <c r="H41" s="9">
        <v>4.8430493273542607</v>
      </c>
      <c r="I41" s="9">
        <v>2.9</v>
      </c>
      <c r="J41" s="9">
        <v>40.1</v>
      </c>
      <c r="K41" s="9" t="e">
        <v>#N/A</v>
      </c>
      <c r="L41" s="10">
        <v>8.3000000000000004E-2</v>
      </c>
      <c r="M41" s="9">
        <v>15.306062880000001</v>
      </c>
      <c r="N41" s="9">
        <v>65.345731707317</v>
      </c>
      <c r="O41" s="10">
        <v>1.412112869</v>
      </c>
      <c r="P41" s="9">
        <v>1</v>
      </c>
      <c r="Q41" s="9">
        <v>5.1837600000000004</v>
      </c>
      <c r="R41" s="9">
        <v>43.8</v>
      </c>
      <c r="S41" s="9">
        <v>15.172242482878501</v>
      </c>
      <c r="T41" s="9">
        <v>0.73969072164948424</v>
      </c>
      <c r="U41" s="10">
        <v>-1.0119181829512001</v>
      </c>
      <c r="V41" s="10">
        <v>-0.29387986513502001</v>
      </c>
      <c r="W41" s="10">
        <v>80.645161290322577</v>
      </c>
      <c r="X41" s="9">
        <v>76.5</v>
      </c>
      <c r="Y41" s="9">
        <v>95</v>
      </c>
      <c r="Z41" s="9">
        <v>-2.88</v>
      </c>
      <c r="AA41" s="9">
        <v>4.8</v>
      </c>
      <c r="AB41" s="9">
        <v>177</v>
      </c>
      <c r="AC41" s="11">
        <v>0.35302917</v>
      </c>
      <c r="AD41" s="9">
        <v>36</v>
      </c>
      <c r="AE41" s="9">
        <v>0.83330000000000004</v>
      </c>
    </row>
    <row r="42" spans="1:31">
      <c r="A42" s="4" t="s">
        <v>116</v>
      </c>
      <c r="B42" s="4" t="s">
        <v>115</v>
      </c>
      <c r="C42" s="10">
        <v>0.84</v>
      </c>
      <c r="D42" s="9">
        <v>2.7</v>
      </c>
      <c r="E42" s="9">
        <v>38.28</v>
      </c>
      <c r="F42" s="10">
        <v>0.01</v>
      </c>
      <c r="G42" s="10">
        <v>100</v>
      </c>
      <c r="H42" s="9">
        <v>0.47807017543859653</v>
      </c>
      <c r="I42" s="9">
        <v>6.2</v>
      </c>
      <c r="J42" s="9">
        <v>30</v>
      </c>
      <c r="K42" s="9">
        <v>-868.20175438596505</v>
      </c>
      <c r="L42" s="10">
        <v>0.16300000000000001</v>
      </c>
      <c r="M42" s="9">
        <v>7.161517184</v>
      </c>
      <c r="N42" s="9">
        <v>53.551878048780402</v>
      </c>
      <c r="O42" s="10">
        <v>2.586808349</v>
      </c>
      <c r="P42" s="9">
        <v>1</v>
      </c>
      <c r="Q42" s="9">
        <v>6.4446000000000003</v>
      </c>
      <c r="R42" s="9">
        <v>43.6</v>
      </c>
      <c r="S42" s="9">
        <v>58.943598225664701</v>
      </c>
      <c r="T42" s="9">
        <v>0.9434389140271493</v>
      </c>
      <c r="U42" s="10">
        <v>-0.41106232791943997</v>
      </c>
      <c r="V42" s="10">
        <v>-1.03669623352395</v>
      </c>
      <c r="W42" s="10">
        <v>1.7569546120058563</v>
      </c>
      <c r="X42" s="9">
        <v>7.1294117650000004</v>
      </c>
      <c r="Y42" s="9">
        <v>71</v>
      </c>
      <c r="Z42" s="9">
        <v>1.86</v>
      </c>
      <c r="AA42" s="9">
        <v>4.5</v>
      </c>
      <c r="AB42" s="9">
        <v>220</v>
      </c>
      <c r="AC42" s="11">
        <v>0.42118076700000001</v>
      </c>
      <c r="AD42" s="9">
        <v>30</v>
      </c>
      <c r="AE42" s="9">
        <v>5.4999999999999997E-3</v>
      </c>
    </row>
    <row r="43" spans="1:31">
      <c r="A43" s="4" t="s">
        <v>118</v>
      </c>
      <c r="B43" s="4" t="s">
        <v>117</v>
      </c>
      <c r="C43" s="10">
        <v>0.28000000000000003</v>
      </c>
      <c r="D43" s="9">
        <v>8.1</v>
      </c>
      <c r="E43" s="9">
        <v>65.42</v>
      </c>
      <c r="F43" s="10">
        <v>0.05</v>
      </c>
      <c r="G43" s="10" t="e">
        <v>#N/A</v>
      </c>
      <c r="H43" s="9">
        <v>3.1174569057427732E-2</v>
      </c>
      <c r="I43" s="9">
        <v>0.1</v>
      </c>
      <c r="J43" s="9" t="e">
        <v>#N/A</v>
      </c>
      <c r="K43" s="9">
        <v>-1.86067415730337</v>
      </c>
      <c r="L43" s="10">
        <v>0.16300000000000001</v>
      </c>
      <c r="M43" s="9">
        <v>35.796614580000004</v>
      </c>
      <c r="N43" s="9" t="e">
        <v>#N/A</v>
      </c>
      <c r="O43" s="10">
        <v>4.1900346300000004</v>
      </c>
      <c r="P43" s="9">
        <v>1</v>
      </c>
      <c r="Q43" s="9">
        <v>6.0372199999999996</v>
      </c>
      <c r="R43" s="9">
        <v>40.700000000000003</v>
      </c>
      <c r="S43" s="9">
        <v>15.3943271897997</v>
      </c>
      <c r="T43" s="9">
        <v>0.4417989417989418</v>
      </c>
      <c r="U43" s="10">
        <v>-2.1302397415163901</v>
      </c>
      <c r="V43" s="10">
        <v>-1.4450752731156999</v>
      </c>
      <c r="W43" s="10" t="e">
        <v>#N/A</v>
      </c>
      <c r="X43" s="9">
        <v>1.8200000519999999</v>
      </c>
      <c r="Y43" s="9" t="e">
        <v>#N/A</v>
      </c>
      <c r="Z43" s="9">
        <v>3.02</v>
      </c>
      <c r="AA43" s="9">
        <v>4.3</v>
      </c>
      <c r="AB43" s="9">
        <v>786</v>
      </c>
      <c r="AC43" s="11">
        <v>0.484407484</v>
      </c>
      <c r="AD43" s="9" t="e">
        <v>#N/A</v>
      </c>
      <c r="AE43" s="9">
        <v>4.8500000000000001E-2</v>
      </c>
    </row>
    <row r="44" spans="1:31">
      <c r="A44" s="4" t="s">
        <v>120</v>
      </c>
      <c r="B44" s="4" t="s">
        <v>119</v>
      </c>
      <c r="C44" s="10">
        <v>0.97</v>
      </c>
      <c r="D44" s="9">
        <v>0.52</v>
      </c>
      <c r="E44" s="9">
        <v>36.22</v>
      </c>
      <c r="F44" s="10">
        <v>0.5</v>
      </c>
      <c r="G44" s="10">
        <v>39.43</v>
      </c>
      <c r="H44" s="9">
        <v>3.3679060665362033</v>
      </c>
      <c r="I44" s="9">
        <v>1.2</v>
      </c>
      <c r="J44" s="9">
        <v>99.1</v>
      </c>
      <c r="K44" s="9">
        <v>45.476822544414901</v>
      </c>
      <c r="L44" s="10">
        <v>0.127</v>
      </c>
      <c r="M44" s="9">
        <v>0.155855622</v>
      </c>
      <c r="N44" s="9">
        <v>78.9180243902439</v>
      </c>
      <c r="O44" s="10">
        <v>9.4189101999999997E-2</v>
      </c>
      <c r="P44" s="9">
        <v>1</v>
      </c>
      <c r="Q44" s="9">
        <v>25.337730000000001</v>
      </c>
      <c r="R44" s="9">
        <v>67.3</v>
      </c>
      <c r="S44" s="9">
        <v>42.5931737550899</v>
      </c>
      <c r="T44" s="9">
        <v>1.374331550802139</v>
      </c>
      <c r="U44" s="10">
        <v>0.65104064930584005</v>
      </c>
      <c r="V44" s="10">
        <v>0.96986281303366995</v>
      </c>
      <c r="W44" s="10">
        <v>41.128084606345482</v>
      </c>
      <c r="X44" s="9">
        <v>25.28</v>
      </c>
      <c r="Y44" s="9">
        <v>97</v>
      </c>
      <c r="Z44" s="9">
        <v>-4.17</v>
      </c>
      <c r="AA44" s="9">
        <v>4.4000000000000004</v>
      </c>
      <c r="AB44" s="9">
        <v>4</v>
      </c>
      <c r="AC44" s="11">
        <v>6.4386317999999998E-2</v>
      </c>
      <c r="AD44" s="9">
        <v>95</v>
      </c>
      <c r="AE44" s="9">
        <v>2.3839999999999999</v>
      </c>
    </row>
    <row r="45" spans="1:31">
      <c r="A45" s="4" t="s">
        <v>122</v>
      </c>
      <c r="B45" s="4" t="s">
        <v>121</v>
      </c>
      <c r="C45" s="10">
        <v>0.53</v>
      </c>
      <c r="D45" s="9">
        <v>4.3</v>
      </c>
      <c r="E45" s="9">
        <v>50.56</v>
      </c>
      <c r="F45" s="10">
        <v>0.08</v>
      </c>
      <c r="G45" s="10">
        <v>23.79</v>
      </c>
      <c r="H45" s="9" t="e">
        <v>#N/A</v>
      </c>
      <c r="I45" s="9" t="e">
        <v>#N/A</v>
      </c>
      <c r="J45" s="9">
        <v>47.3</v>
      </c>
      <c r="K45" s="9">
        <v>-11.062463514302401</v>
      </c>
      <c r="L45" s="10">
        <v>0.16300000000000001</v>
      </c>
      <c r="M45" s="9">
        <v>10.631809609999999</v>
      </c>
      <c r="N45" s="9">
        <v>57.442439024390197</v>
      </c>
      <c r="O45" s="10">
        <v>2.2486619069999998</v>
      </c>
      <c r="P45" s="9">
        <v>1</v>
      </c>
      <c r="Q45" s="9">
        <v>8.3718000000000004</v>
      </c>
      <c r="R45" s="9">
        <v>55.4</v>
      </c>
      <c r="S45" s="9">
        <v>63.325663902413297</v>
      </c>
      <c r="T45" s="9">
        <v>0.91102514506769816</v>
      </c>
      <c r="U45" s="10">
        <v>-1.52873425974777</v>
      </c>
      <c r="V45" s="10">
        <v>-1.1609768067480299</v>
      </c>
      <c r="W45" s="10">
        <v>0.47169811320754712</v>
      </c>
      <c r="X45" s="9">
        <v>7.9296551050000001</v>
      </c>
      <c r="Y45" s="9">
        <v>80</v>
      </c>
      <c r="Z45" s="9">
        <v>9.82</v>
      </c>
      <c r="AA45" s="9">
        <v>4.8</v>
      </c>
      <c r="AB45" s="9">
        <v>561</v>
      </c>
      <c r="AC45" s="11">
        <v>0.44796828500000002</v>
      </c>
      <c r="AD45" s="9">
        <v>23</v>
      </c>
      <c r="AE45" s="9">
        <v>1.7370000000000001</v>
      </c>
    </row>
    <row r="46" spans="1:31">
      <c r="A46" s="4" t="s">
        <v>124</v>
      </c>
      <c r="B46" s="4" t="s">
        <v>123</v>
      </c>
      <c r="C46" s="10">
        <v>0.11</v>
      </c>
      <c r="D46" s="9" t="e">
        <v>#N/A</v>
      </c>
      <c r="E46" s="9">
        <v>42.46</v>
      </c>
      <c r="F46" s="10">
        <v>0.16</v>
      </c>
      <c r="G46" s="10">
        <v>14.31</v>
      </c>
      <c r="H46" s="9">
        <v>1.3689423417049877</v>
      </c>
      <c r="I46" s="9">
        <v>0.7</v>
      </c>
      <c r="J46" s="9">
        <v>100</v>
      </c>
      <c r="K46" s="9">
        <v>56.517906336088203</v>
      </c>
      <c r="L46" s="10">
        <v>2.7E-2</v>
      </c>
      <c r="M46" s="9">
        <v>1.4932358999999999E-2</v>
      </c>
      <c r="N46" s="9">
        <v>75.9121951219512</v>
      </c>
      <c r="O46" s="10">
        <v>1.9230833999999999E-2</v>
      </c>
      <c r="P46" s="9">
        <v>1</v>
      </c>
      <c r="Q46" s="9">
        <v>50.598066125099997</v>
      </c>
      <c r="R46" s="9">
        <v>61.1</v>
      </c>
      <c r="S46" s="9">
        <v>136.17032428100501</v>
      </c>
      <c r="T46" s="9">
        <v>0.77409638554216886</v>
      </c>
      <c r="U46" s="10">
        <v>0.59897858361967005</v>
      </c>
      <c r="V46" s="10">
        <v>0.55881969031530998</v>
      </c>
      <c r="W46" s="10">
        <v>8.3472454090150254</v>
      </c>
      <c r="X46" s="9">
        <v>86.88</v>
      </c>
      <c r="Y46" s="9">
        <v>99</v>
      </c>
      <c r="Z46" s="9">
        <v>-6.06</v>
      </c>
      <c r="AA46" s="9">
        <v>1.5</v>
      </c>
      <c r="AB46" s="9" t="e">
        <v>#N/A</v>
      </c>
      <c r="AC46" s="11">
        <v>3.1847133999999999E-2</v>
      </c>
      <c r="AD46" s="9">
        <v>99</v>
      </c>
      <c r="AE46" s="9">
        <v>0.59809999999999997</v>
      </c>
    </row>
    <row r="47" spans="1:31">
      <c r="A47" s="4" t="s">
        <v>126</v>
      </c>
      <c r="B47" s="4" t="s">
        <v>125</v>
      </c>
      <c r="C47" s="10">
        <v>0.75</v>
      </c>
      <c r="D47" s="9">
        <v>0.52</v>
      </c>
      <c r="E47" s="9">
        <v>24.32</v>
      </c>
      <c r="F47" s="10">
        <v>0.13</v>
      </c>
      <c r="G47" s="10">
        <v>65.39</v>
      </c>
      <c r="H47" s="9">
        <v>19.963918455709901</v>
      </c>
      <c r="I47" s="9">
        <v>11.1</v>
      </c>
      <c r="J47" s="9">
        <v>97</v>
      </c>
      <c r="K47" s="9">
        <v>57.556403450563998</v>
      </c>
      <c r="L47" s="10">
        <v>0.37</v>
      </c>
      <c r="M47" s="9">
        <v>0.113553206</v>
      </c>
      <c r="N47" s="9">
        <v>78.721341463414603</v>
      </c>
      <c r="O47" s="10">
        <v>7.2425623999999994E-2</v>
      </c>
      <c r="P47" s="9">
        <v>1</v>
      </c>
      <c r="Q47" s="9">
        <v>117.79104</v>
      </c>
      <c r="R47" s="9">
        <v>27.7</v>
      </c>
      <c r="S47" s="9">
        <v>3.95388149779814</v>
      </c>
      <c r="T47" s="9">
        <v>1.0309278350515465</v>
      </c>
      <c r="U47" s="10">
        <v>2.5755890988219E-2</v>
      </c>
      <c r="V47" s="10">
        <v>-1.7139486135313799</v>
      </c>
      <c r="W47" s="10">
        <v>13.658714259697687</v>
      </c>
      <c r="X47" s="9">
        <v>49</v>
      </c>
      <c r="Y47" s="9">
        <v>94</v>
      </c>
      <c r="Z47" s="9">
        <v>-8.26</v>
      </c>
      <c r="AA47" s="9">
        <v>4.0999999999999996</v>
      </c>
      <c r="AB47" s="9">
        <v>1</v>
      </c>
      <c r="AC47" s="11">
        <v>8.3481349999999996E-2</v>
      </c>
      <c r="AD47" s="9">
        <v>91</v>
      </c>
      <c r="AE47" s="9">
        <v>19.8</v>
      </c>
    </row>
    <row r="48" spans="1:31">
      <c r="A48" s="4" t="s">
        <v>128</v>
      </c>
      <c r="B48" s="4" t="s">
        <v>127</v>
      </c>
      <c r="C48" s="10">
        <v>1.52</v>
      </c>
      <c r="D48" s="9" t="e">
        <v>#N/A</v>
      </c>
      <c r="E48" s="9">
        <v>29.9</v>
      </c>
      <c r="F48" s="10">
        <v>0.15</v>
      </c>
      <c r="G48" s="10">
        <v>8.32</v>
      </c>
      <c r="H48" s="9">
        <v>3.9567567567567568</v>
      </c>
      <c r="I48" s="9">
        <v>2.4</v>
      </c>
      <c r="J48" s="9">
        <v>100</v>
      </c>
      <c r="K48" s="9">
        <v>96.790409899458595</v>
      </c>
      <c r="L48" s="10">
        <v>2.7E-2</v>
      </c>
      <c r="M48" s="9">
        <v>1.2858775650000001</v>
      </c>
      <c r="N48" s="9">
        <v>79.661487804878007</v>
      </c>
      <c r="O48" s="10">
        <v>1.5095895E-2</v>
      </c>
      <c r="P48" s="9">
        <v>1</v>
      </c>
      <c r="Q48" s="9">
        <v>42.618000000000002</v>
      </c>
      <c r="R48" s="9">
        <v>73.3</v>
      </c>
      <c r="S48" s="9">
        <v>112.225097470139</v>
      </c>
      <c r="T48" s="9">
        <v>0.9392523364485984</v>
      </c>
      <c r="U48" s="10">
        <v>0.37054272307424002</v>
      </c>
      <c r="V48" s="10">
        <v>1.06202858860366</v>
      </c>
      <c r="W48" s="10">
        <v>16.233766233766232</v>
      </c>
      <c r="X48" s="9">
        <v>64.61</v>
      </c>
      <c r="Y48" s="9">
        <v>100</v>
      </c>
      <c r="Z48" s="9">
        <v>-15.03</v>
      </c>
      <c r="AA48" s="9">
        <v>2.2000000000000002</v>
      </c>
      <c r="AB48" s="9">
        <v>14</v>
      </c>
      <c r="AC48" s="11">
        <v>4.0572792000000003E-2</v>
      </c>
      <c r="AD48" s="9">
        <v>100</v>
      </c>
      <c r="AE48" s="9">
        <v>19.29</v>
      </c>
    </row>
    <row r="49" spans="1:31">
      <c r="A49" s="4" t="s">
        <v>130</v>
      </c>
      <c r="B49" s="4" t="s">
        <v>129</v>
      </c>
      <c r="C49" s="10">
        <v>0.12</v>
      </c>
      <c r="D49" s="9" t="e">
        <v>#N/A</v>
      </c>
      <c r="E49" s="9">
        <v>26.5</v>
      </c>
      <c r="F49" s="10">
        <v>0.28000000000000003</v>
      </c>
      <c r="G49" s="10">
        <v>8.32</v>
      </c>
      <c r="H49" s="9" t="e">
        <v>#N/A</v>
      </c>
      <c r="I49" s="9" t="e">
        <v>#N/A</v>
      </c>
      <c r="J49" s="9">
        <v>100</v>
      </c>
      <c r="K49" s="9">
        <v>27.484976169095798</v>
      </c>
      <c r="L49" s="10">
        <v>2.7E-2</v>
      </c>
      <c r="M49" s="9">
        <v>0</v>
      </c>
      <c r="N49" s="9">
        <v>77.2112195121951</v>
      </c>
      <c r="O49" s="10">
        <v>1.1761301E-2</v>
      </c>
      <c r="P49" s="9">
        <v>1</v>
      </c>
      <c r="Q49" s="9">
        <v>58.267850000000003</v>
      </c>
      <c r="R49" s="9">
        <v>70.400000000000006</v>
      </c>
      <c r="S49" s="9">
        <v>135.9241637488</v>
      </c>
      <c r="T49" s="9">
        <v>0.86250000000000016</v>
      </c>
      <c r="U49" s="10">
        <v>0.91932673989338998</v>
      </c>
      <c r="V49" s="10">
        <v>1.0583217338753901</v>
      </c>
      <c r="W49" s="10">
        <v>3.883495145631068</v>
      </c>
      <c r="X49" s="9">
        <v>100</v>
      </c>
      <c r="Y49" s="9">
        <v>100</v>
      </c>
      <c r="Z49" s="9">
        <v>5.05</v>
      </c>
      <c r="AA49" s="9">
        <v>2.1</v>
      </c>
      <c r="AB49" s="9">
        <v>1</v>
      </c>
      <c r="AC49" s="11">
        <v>4.4326241000000002E-2</v>
      </c>
      <c r="AD49" s="9">
        <v>98</v>
      </c>
      <c r="AE49" s="9">
        <v>14.81</v>
      </c>
    </row>
    <row r="50" spans="1:31">
      <c r="A50" s="4" t="s">
        <v>132</v>
      </c>
      <c r="B50" s="4" t="s">
        <v>131</v>
      </c>
      <c r="C50" s="10">
        <v>0.14000000000000001</v>
      </c>
      <c r="D50" s="9" t="e">
        <v>#N/A</v>
      </c>
      <c r="E50" s="9">
        <v>13.06</v>
      </c>
      <c r="F50" s="10">
        <v>0.08</v>
      </c>
      <c r="G50" s="10">
        <v>-18.14</v>
      </c>
      <c r="H50" s="9">
        <v>21.364585750754237</v>
      </c>
      <c r="I50" s="9">
        <v>16.899999999999999</v>
      </c>
      <c r="J50" s="9">
        <v>100</v>
      </c>
      <c r="K50" s="9">
        <v>-34.013452914798201</v>
      </c>
      <c r="L50" s="10">
        <v>2.7E-2</v>
      </c>
      <c r="M50" s="9">
        <v>0</v>
      </c>
      <c r="N50" s="9">
        <v>78.700487804877994</v>
      </c>
      <c r="O50" s="10">
        <v>9.1492110000000008E-3</v>
      </c>
      <c r="P50" s="9">
        <v>1</v>
      </c>
      <c r="Q50" s="9">
        <v>78.051249999999996</v>
      </c>
      <c r="R50" s="9">
        <v>78.599999999999994</v>
      </c>
      <c r="S50" s="9">
        <v>133.941731910361</v>
      </c>
      <c r="T50" s="9">
        <v>0.99096385542168686</v>
      </c>
      <c r="U50" s="10">
        <v>1.0356220758557699</v>
      </c>
      <c r="V50" s="10">
        <v>1.56015250820866</v>
      </c>
      <c r="W50" s="10" t="e">
        <v>#N/A</v>
      </c>
      <c r="X50" s="9">
        <v>100</v>
      </c>
      <c r="Y50" s="9">
        <v>100</v>
      </c>
      <c r="Z50" s="9">
        <v>8.84</v>
      </c>
      <c r="AA50" s="9">
        <v>2.2000000000000002</v>
      </c>
      <c r="AB50" s="9">
        <v>1</v>
      </c>
      <c r="AC50" s="11">
        <v>5.3999999999999999E-2</v>
      </c>
      <c r="AD50" s="9">
        <v>100</v>
      </c>
      <c r="AE50" s="9">
        <v>10.75</v>
      </c>
    </row>
    <row r="51" spans="1:31">
      <c r="A51" s="4" t="s">
        <v>134</v>
      </c>
      <c r="B51" s="4" t="s">
        <v>133</v>
      </c>
      <c r="C51" s="10">
        <v>1.08</v>
      </c>
      <c r="D51" s="9">
        <v>8.1</v>
      </c>
      <c r="E51" s="9">
        <v>12.3</v>
      </c>
      <c r="F51" s="10">
        <v>7.0000000000000007E-2</v>
      </c>
      <c r="G51" s="10">
        <v>27.62</v>
      </c>
      <c r="H51" s="9">
        <v>2.9655172413793105</v>
      </c>
      <c r="I51" s="9">
        <v>7.1</v>
      </c>
      <c r="J51" s="9">
        <v>49.7</v>
      </c>
      <c r="K51" s="9" t="e">
        <v>#N/A</v>
      </c>
      <c r="L51" s="10">
        <v>0.313</v>
      </c>
      <c r="M51" s="9">
        <v>30.229725680000001</v>
      </c>
      <c r="N51" s="9">
        <v>55.389243902438999</v>
      </c>
      <c r="O51" s="10">
        <v>1.0751784660000001</v>
      </c>
      <c r="P51" s="9">
        <v>1</v>
      </c>
      <c r="Q51" s="9">
        <v>3.4681899999999999</v>
      </c>
      <c r="R51" s="9">
        <v>54.5</v>
      </c>
      <c r="S51" s="9">
        <v>14.901145796931701</v>
      </c>
      <c r="T51" s="9">
        <v>0.87301587301587313</v>
      </c>
      <c r="U51" s="10">
        <v>0.47512842397802002</v>
      </c>
      <c r="V51" s="10">
        <v>-1.1054629156073701</v>
      </c>
      <c r="W51" s="10">
        <v>25.884383088869715</v>
      </c>
      <c r="X51" s="9">
        <v>45</v>
      </c>
      <c r="Y51" s="9">
        <v>92</v>
      </c>
      <c r="Z51" s="9">
        <v>7.27</v>
      </c>
      <c r="AA51" s="9">
        <v>4.4000000000000004</v>
      </c>
      <c r="AB51" s="9">
        <v>454</v>
      </c>
      <c r="AC51" s="11">
        <v>0.34584253100000001</v>
      </c>
      <c r="AD51" s="9">
        <v>56</v>
      </c>
      <c r="AE51" s="9">
        <v>6.3</v>
      </c>
    </row>
    <row r="52" spans="1:31">
      <c r="A52" s="4" t="s">
        <v>136</v>
      </c>
      <c r="B52" s="4" t="s">
        <v>135</v>
      </c>
      <c r="C52" s="10">
        <v>0.98</v>
      </c>
      <c r="D52" s="9" t="e">
        <v>#N/A</v>
      </c>
      <c r="E52" s="9">
        <v>25.74</v>
      </c>
      <c r="F52" s="10">
        <v>0.04</v>
      </c>
      <c r="G52" s="10">
        <v>65.39</v>
      </c>
      <c r="H52" s="9">
        <v>100</v>
      </c>
      <c r="I52" s="9">
        <v>100</v>
      </c>
      <c r="J52" s="9">
        <v>99</v>
      </c>
      <c r="K52" s="9" t="e">
        <v>#N/A</v>
      </c>
      <c r="L52" s="10">
        <v>0.127</v>
      </c>
      <c r="M52" s="9">
        <v>0.461533686</v>
      </c>
      <c r="N52" s="9">
        <v>76.597560975609696</v>
      </c>
      <c r="O52" s="10" t="e">
        <v>#N/A</v>
      </c>
      <c r="P52" s="9">
        <v>1</v>
      </c>
      <c r="Q52" s="9">
        <v>3.4634</v>
      </c>
      <c r="R52" s="9">
        <v>63.3</v>
      </c>
      <c r="S52" s="9">
        <v>144.030341426782</v>
      </c>
      <c r="T52" s="9">
        <v>0.48947368421052623</v>
      </c>
      <c r="U52" s="10">
        <v>0.75065513181249999</v>
      </c>
      <c r="V52" s="10">
        <v>0.98564475240782001</v>
      </c>
      <c r="W52" s="10">
        <v>600</v>
      </c>
      <c r="X52" s="9">
        <v>50.400001529999997</v>
      </c>
      <c r="Y52" s="9">
        <v>95</v>
      </c>
      <c r="Z52" s="9">
        <v>-13.32</v>
      </c>
      <c r="AA52" s="9">
        <v>3.8</v>
      </c>
      <c r="AB52" s="9" t="e">
        <v>#N/A</v>
      </c>
      <c r="AC52" s="11">
        <v>0.10497981200000001</v>
      </c>
      <c r="AD52" s="9">
        <v>81</v>
      </c>
      <c r="AE52" s="9" t="e">
        <v>#N/A</v>
      </c>
    </row>
    <row r="53" spans="1:31">
      <c r="A53" s="4" t="s">
        <v>138</v>
      </c>
      <c r="B53" s="4" t="s">
        <v>137</v>
      </c>
      <c r="C53" s="10">
        <v>0.81</v>
      </c>
      <c r="D53" s="9">
        <v>0.3</v>
      </c>
      <c r="E53" s="9">
        <v>30.24</v>
      </c>
      <c r="F53" s="10">
        <v>0.03</v>
      </c>
      <c r="G53" s="10">
        <v>65.39</v>
      </c>
      <c r="H53" s="9">
        <v>4.1042478965729527</v>
      </c>
      <c r="I53" s="9">
        <v>2.1</v>
      </c>
      <c r="J53" s="9">
        <v>95.9</v>
      </c>
      <c r="K53" s="9">
        <v>79.233031119823593</v>
      </c>
      <c r="L53" s="10">
        <v>0.127</v>
      </c>
      <c r="M53" s="9">
        <v>1.3802960280000001</v>
      </c>
      <c r="N53" s="9">
        <v>72.570756097560903</v>
      </c>
      <c r="O53" s="10">
        <v>0.30920166700000001</v>
      </c>
      <c r="P53" s="9">
        <v>1</v>
      </c>
      <c r="Q53" s="9">
        <v>33.25159</v>
      </c>
      <c r="R53" s="9">
        <v>60</v>
      </c>
      <c r="S53" s="9">
        <v>85.527114509981104</v>
      </c>
      <c r="T53" s="9">
        <v>0.94148936170212749</v>
      </c>
      <c r="U53" s="10">
        <v>0.12362641883838001</v>
      </c>
      <c r="V53" s="10">
        <v>0.11538297726799999</v>
      </c>
      <c r="W53" s="10">
        <v>18.625827814569536</v>
      </c>
      <c r="X53" s="9">
        <v>49.400001529999997</v>
      </c>
      <c r="Y53" s="9">
        <v>86</v>
      </c>
      <c r="Z53" s="9">
        <v>-2.21</v>
      </c>
      <c r="AA53" s="9">
        <v>4.0999999999999996</v>
      </c>
      <c r="AB53" s="9">
        <v>73</v>
      </c>
      <c r="AC53" s="11">
        <v>0.18654822300000001</v>
      </c>
      <c r="AD53" s="9">
        <v>83</v>
      </c>
      <c r="AE53" s="9">
        <v>16.600000000000001</v>
      </c>
    </row>
    <row r="54" spans="1:31">
      <c r="A54" s="4" t="s">
        <v>140</v>
      </c>
      <c r="B54" s="4" t="s">
        <v>139</v>
      </c>
      <c r="C54" s="10">
        <v>0.37</v>
      </c>
      <c r="D54" s="9">
        <v>1.3</v>
      </c>
      <c r="E54" s="9">
        <v>33.76</v>
      </c>
      <c r="F54" s="10">
        <v>0.06</v>
      </c>
      <c r="G54" s="10">
        <v>47.92</v>
      </c>
      <c r="H54" s="9">
        <v>1.5474679080265199</v>
      </c>
      <c r="I54" s="9">
        <v>5.8</v>
      </c>
      <c r="J54" s="9">
        <v>92.2</v>
      </c>
      <c r="K54" s="9">
        <v>-175.923062052967</v>
      </c>
      <c r="L54" s="10">
        <v>0.09</v>
      </c>
      <c r="M54" s="9">
        <v>0.89049693200000002</v>
      </c>
      <c r="N54" s="9">
        <v>75.134634146341398</v>
      </c>
      <c r="O54" s="10">
        <v>0.37604055199999997</v>
      </c>
      <c r="P54" s="9">
        <v>1</v>
      </c>
      <c r="Q54" s="9">
        <v>42.411369999999998</v>
      </c>
      <c r="R54" s="9">
        <v>47.1</v>
      </c>
      <c r="S54" s="9">
        <v>100.071184960605</v>
      </c>
      <c r="T54" s="9">
        <v>0.83208395802098933</v>
      </c>
      <c r="U54" s="10">
        <v>-0.74877213493465</v>
      </c>
      <c r="V54" s="10">
        <v>-0.26254014842423001</v>
      </c>
      <c r="W54" s="10">
        <v>4.3346337234503682</v>
      </c>
      <c r="X54" s="9">
        <v>14.81566293</v>
      </c>
      <c r="Y54" s="9">
        <v>94</v>
      </c>
      <c r="Z54" s="9">
        <v>3.34</v>
      </c>
      <c r="AA54" s="9">
        <v>4</v>
      </c>
      <c r="AB54" s="9">
        <v>63</v>
      </c>
      <c r="AC54" s="11">
        <v>0.17918088700000001</v>
      </c>
      <c r="AD54" s="9">
        <v>92</v>
      </c>
      <c r="AE54" s="9">
        <v>3.593</v>
      </c>
    </row>
    <row r="55" spans="1:31">
      <c r="A55" s="4" t="s">
        <v>142</v>
      </c>
      <c r="B55" s="4" t="s">
        <v>141</v>
      </c>
      <c r="C55" s="10">
        <v>0.37</v>
      </c>
      <c r="D55" s="9">
        <v>1.3</v>
      </c>
      <c r="E55" s="9">
        <v>57.24</v>
      </c>
      <c r="F55" s="10">
        <v>0.08</v>
      </c>
      <c r="G55" s="10">
        <v>-18.8</v>
      </c>
      <c r="H55" s="9">
        <v>3.3955764141994109</v>
      </c>
      <c r="I55" s="9">
        <v>9.4</v>
      </c>
      <c r="J55" s="9">
        <v>99.4</v>
      </c>
      <c r="K55" s="9">
        <v>-23.726488474048899</v>
      </c>
      <c r="L55" s="10">
        <v>0.313</v>
      </c>
      <c r="M55" s="9">
        <v>1.459568083</v>
      </c>
      <c r="N55" s="9">
        <v>70.138243902439001</v>
      </c>
      <c r="O55" s="10">
        <v>0.261915289</v>
      </c>
      <c r="P55" s="9">
        <v>1</v>
      </c>
      <c r="Q55" s="9">
        <v>28.452680000000001</v>
      </c>
      <c r="R55" s="9">
        <v>59.1</v>
      </c>
      <c r="S55" s="9">
        <v>66.689923864864895</v>
      </c>
      <c r="T55" s="9">
        <v>0.94117647058823539</v>
      </c>
      <c r="U55" s="10">
        <v>-0.62886947585538999</v>
      </c>
      <c r="V55" s="10">
        <v>-1.1177418736565701</v>
      </c>
      <c r="W55" s="10">
        <v>0.60274247827615657</v>
      </c>
      <c r="X55" s="9">
        <v>86.89</v>
      </c>
      <c r="Y55" s="9">
        <v>99</v>
      </c>
      <c r="Z55" s="9">
        <v>0.13</v>
      </c>
      <c r="AA55" s="9">
        <v>2.6</v>
      </c>
      <c r="AB55" s="9">
        <v>86</v>
      </c>
      <c r="AC55" s="11">
        <v>8.8474970999999999E-2</v>
      </c>
      <c r="AD55" s="9">
        <v>94</v>
      </c>
      <c r="AE55" s="9">
        <v>119</v>
      </c>
    </row>
    <row r="56" spans="1:31">
      <c r="A56" s="4" t="s">
        <v>144</v>
      </c>
      <c r="B56" s="4" t="s">
        <v>143</v>
      </c>
      <c r="C56" s="10">
        <v>0.57999999999999996</v>
      </c>
      <c r="D56" s="9">
        <v>0.6</v>
      </c>
      <c r="E56" s="9">
        <v>39</v>
      </c>
      <c r="F56" s="10">
        <v>0.04</v>
      </c>
      <c r="G56" s="10">
        <v>39.43</v>
      </c>
      <c r="H56" s="9">
        <v>3.6787072243346008</v>
      </c>
      <c r="I56" s="9">
        <v>1.6</v>
      </c>
      <c r="J56" s="9">
        <v>86.4</v>
      </c>
      <c r="K56" s="9">
        <v>38.426874231872198</v>
      </c>
      <c r="L56" s="10">
        <v>0.127</v>
      </c>
      <c r="M56" s="9">
        <v>7.9434940020000004</v>
      </c>
      <c r="N56" s="9">
        <v>71.260512195121905</v>
      </c>
      <c r="O56" s="10">
        <v>0.28615102799999997</v>
      </c>
      <c r="P56" s="9">
        <v>1</v>
      </c>
      <c r="Q56" s="9">
        <v>24.563369999999999</v>
      </c>
      <c r="R56" s="9">
        <v>68.8</v>
      </c>
      <c r="S56" s="9">
        <v>122.767866559577</v>
      </c>
      <c r="T56" s="9">
        <v>0.81103678929765888</v>
      </c>
      <c r="U56" s="10">
        <v>3.0036886210186999E-2</v>
      </c>
      <c r="V56" s="10">
        <v>7.8175569904957998E-2</v>
      </c>
      <c r="W56" s="10">
        <v>36.196911196911195</v>
      </c>
      <c r="X56" s="9">
        <v>19.799999239999998</v>
      </c>
      <c r="Y56" s="9">
        <v>87</v>
      </c>
      <c r="Z56" s="9">
        <v>-8.57</v>
      </c>
      <c r="AA56" s="9">
        <v>4.2</v>
      </c>
      <c r="AB56" s="9">
        <v>82</v>
      </c>
      <c r="AC56" s="11">
        <v>0.16472114099999999</v>
      </c>
      <c r="AD56" s="9">
        <v>87</v>
      </c>
      <c r="AE56" s="9">
        <v>5.4539999999999997</v>
      </c>
    </row>
    <row r="57" spans="1:31">
      <c r="A57" s="4" t="s">
        <v>146</v>
      </c>
      <c r="B57" s="4" t="s">
        <v>145</v>
      </c>
      <c r="C57" s="10" t="e">
        <v>#N/A</v>
      </c>
      <c r="D57" s="9">
        <v>5.59</v>
      </c>
      <c r="E57" s="9">
        <v>60.46</v>
      </c>
      <c r="F57" s="10">
        <v>0.09</v>
      </c>
      <c r="G57" s="10">
        <v>100</v>
      </c>
      <c r="H57" s="9" t="e">
        <v>#N/A</v>
      </c>
      <c r="I57" s="9" t="e">
        <v>#N/A</v>
      </c>
      <c r="J57" s="9">
        <v>27</v>
      </c>
      <c r="K57" s="9" t="e">
        <v>#N/A</v>
      </c>
      <c r="L57" s="10">
        <v>8.3000000000000004E-2</v>
      </c>
      <c r="M57" s="9">
        <v>3.2392522339999998</v>
      </c>
      <c r="N57" s="9">
        <v>50.227487804878002</v>
      </c>
      <c r="O57" s="10">
        <v>1.3724058589999999</v>
      </c>
      <c r="P57" s="9">
        <v>1</v>
      </c>
      <c r="Q57" s="9">
        <v>3.2589299999999999</v>
      </c>
      <c r="R57" s="9">
        <v>47.5</v>
      </c>
      <c r="S57" s="9">
        <v>65.801828551487404</v>
      </c>
      <c r="T57" s="9">
        <v>0.75</v>
      </c>
      <c r="U57" s="10">
        <v>-2.4322780548709001E-2</v>
      </c>
      <c r="V57" s="10">
        <v>-1.8239192033499501</v>
      </c>
      <c r="W57" s="10" t="e">
        <v>#N/A</v>
      </c>
      <c r="X57" s="9" t="e">
        <v>#N/A</v>
      </c>
      <c r="Y57" s="9">
        <v>43</v>
      </c>
      <c r="Z57" s="9">
        <v>4.1100000000000003</v>
      </c>
      <c r="AA57" s="9">
        <v>4.5</v>
      </c>
      <c r="AB57" s="9">
        <v>506</v>
      </c>
      <c r="AC57" s="11">
        <v>0.42578356000000001</v>
      </c>
      <c r="AD57" s="9">
        <v>51</v>
      </c>
      <c r="AE57" s="9">
        <v>6.6900000000000001E-2</v>
      </c>
    </row>
    <row r="58" spans="1:31">
      <c r="A58" s="4" t="s">
        <v>148</v>
      </c>
      <c r="B58" s="4" t="s">
        <v>147</v>
      </c>
      <c r="C58" s="10">
        <v>0.28000000000000003</v>
      </c>
      <c r="D58" s="9">
        <v>11.5</v>
      </c>
      <c r="E58" s="9">
        <v>78.84</v>
      </c>
      <c r="F58" s="10">
        <v>0.16</v>
      </c>
      <c r="G58" s="10">
        <v>34.11</v>
      </c>
      <c r="H58" s="9">
        <v>3.7125850340136055</v>
      </c>
      <c r="I58" s="9">
        <v>1.1000000000000001</v>
      </c>
      <c r="J58" s="9">
        <v>32</v>
      </c>
      <c r="K58" s="9">
        <v>19.8237885462555</v>
      </c>
      <c r="L58" s="10">
        <v>0.16300000000000001</v>
      </c>
      <c r="M58" s="9">
        <v>65.612808889999997</v>
      </c>
      <c r="N58" s="9">
        <v>59.4522195121951</v>
      </c>
      <c r="O58" s="10">
        <v>1.3856079459999999</v>
      </c>
      <c r="P58" s="9">
        <v>1</v>
      </c>
      <c r="Q58" s="9">
        <v>1.99194</v>
      </c>
      <c r="R58" s="9">
        <v>36.700000000000003</v>
      </c>
      <c r="S58" s="9">
        <v>2.78183005507878</v>
      </c>
      <c r="T58" s="9">
        <v>0.88013698630137016</v>
      </c>
      <c r="U58" s="10">
        <v>-0.79848934392434001</v>
      </c>
      <c r="V58" s="10">
        <v>-2.1594956817655202</v>
      </c>
      <c r="W58" s="10">
        <v>1.4851485148514851</v>
      </c>
      <c r="X58" s="9">
        <v>21.799999239999998</v>
      </c>
      <c r="Y58" s="9">
        <v>61</v>
      </c>
      <c r="Z58" s="9">
        <v>2.2200000000000002</v>
      </c>
      <c r="AA58" s="9">
        <v>4.0999999999999996</v>
      </c>
      <c r="AB58" s="9">
        <v>379</v>
      </c>
      <c r="AC58" s="11">
        <v>0.28450704199999999</v>
      </c>
      <c r="AD58" s="9">
        <v>14</v>
      </c>
      <c r="AE58" s="9">
        <v>9.2379999999999995</v>
      </c>
    </row>
    <row r="59" spans="1:31">
      <c r="A59" s="4" t="s">
        <v>150</v>
      </c>
      <c r="B59" s="4" t="s">
        <v>149</v>
      </c>
      <c r="C59" s="10">
        <v>0.15</v>
      </c>
      <c r="D59" s="9" t="e">
        <v>#N/A</v>
      </c>
      <c r="E59" s="9">
        <v>30.52</v>
      </c>
      <c r="F59" s="10">
        <v>0.45</v>
      </c>
      <c r="G59" s="10">
        <v>13.56</v>
      </c>
      <c r="H59" s="9">
        <v>2.6696230598669621</v>
      </c>
      <c r="I59" s="9">
        <v>1.7</v>
      </c>
      <c r="J59" s="9">
        <v>100</v>
      </c>
      <c r="K59" s="9">
        <v>21.8784735087069</v>
      </c>
      <c r="L59" s="10">
        <v>0.35</v>
      </c>
      <c r="M59" s="9">
        <v>3.886093255</v>
      </c>
      <c r="N59" s="9">
        <v>73.973170731707299</v>
      </c>
      <c r="O59" s="10">
        <v>1.8945529999999999E-2</v>
      </c>
      <c r="P59" s="9">
        <v>1</v>
      </c>
      <c r="Q59" s="9">
        <v>63.706629999999997</v>
      </c>
      <c r="R59" s="9">
        <v>75.2</v>
      </c>
      <c r="S59" s="9">
        <v>202.97296591549201</v>
      </c>
      <c r="T59" s="9">
        <v>1.0859375000000002</v>
      </c>
      <c r="U59" s="10">
        <v>0.58525155222533998</v>
      </c>
      <c r="V59" s="10">
        <v>1.10846604086444</v>
      </c>
      <c r="W59" s="10" t="e">
        <v>#N/A</v>
      </c>
      <c r="X59" s="9">
        <v>28.774511489999998</v>
      </c>
      <c r="Y59" s="9">
        <v>98</v>
      </c>
      <c r="Z59" s="9">
        <v>8.36</v>
      </c>
      <c r="AA59" s="9">
        <v>2.9</v>
      </c>
      <c r="AB59" s="9" t="e">
        <v>#N/A</v>
      </c>
      <c r="AC59" s="11">
        <v>3.0434783E-2</v>
      </c>
      <c r="AD59" s="9">
        <v>95</v>
      </c>
      <c r="AE59" s="9">
        <v>14.02</v>
      </c>
    </row>
    <row r="60" spans="1:31">
      <c r="A60" s="4" t="s">
        <v>152</v>
      </c>
      <c r="B60" s="4" t="s">
        <v>151</v>
      </c>
      <c r="C60" s="10">
        <v>0.06</v>
      </c>
      <c r="D60" s="9">
        <v>11.1</v>
      </c>
      <c r="E60" s="9">
        <v>82.7</v>
      </c>
      <c r="F60" s="10">
        <v>0.16</v>
      </c>
      <c r="G60" s="10">
        <v>52.08</v>
      </c>
      <c r="H60" s="9">
        <v>0.72063750792357151</v>
      </c>
      <c r="I60" s="9">
        <v>0.4</v>
      </c>
      <c r="J60" s="9">
        <v>15.3</v>
      </c>
      <c r="K60" s="9">
        <v>6.6963159222810997</v>
      </c>
      <c r="L60" s="10">
        <v>0.16300000000000001</v>
      </c>
      <c r="M60" s="9">
        <v>39.474224540000002</v>
      </c>
      <c r="N60" s="9">
        <v>55.195</v>
      </c>
      <c r="O60" s="10">
        <v>2.5060254739999999</v>
      </c>
      <c r="P60" s="9">
        <v>1</v>
      </c>
      <c r="Q60" s="9">
        <v>3.5981299999999998</v>
      </c>
      <c r="R60" s="9">
        <v>50.5</v>
      </c>
      <c r="S60" s="9">
        <v>4.8918999218735797</v>
      </c>
      <c r="T60" s="9">
        <v>0.97660311958405577</v>
      </c>
      <c r="U60" s="10">
        <v>-1.7339721849276499</v>
      </c>
      <c r="V60" s="10">
        <v>-1.26195467904777</v>
      </c>
      <c r="W60" s="10">
        <v>3</v>
      </c>
      <c r="X60" s="9">
        <v>13.674789779999999</v>
      </c>
      <c r="Y60" s="9">
        <v>38</v>
      </c>
      <c r="Z60" s="9">
        <v>14.39</v>
      </c>
      <c r="AA60" s="9">
        <v>3.8</v>
      </c>
      <c r="AB60" s="9">
        <v>705</v>
      </c>
      <c r="AC60" s="11">
        <v>0.40896199700000002</v>
      </c>
      <c r="AD60" s="9">
        <v>12</v>
      </c>
      <c r="AE60" s="9">
        <v>4.556</v>
      </c>
    </row>
    <row r="61" spans="1:31">
      <c r="A61" s="4" t="s">
        <v>154</v>
      </c>
      <c r="B61" s="4" t="s">
        <v>153</v>
      </c>
      <c r="C61" s="10">
        <v>1.18</v>
      </c>
      <c r="D61" s="9" t="e">
        <v>#N/A</v>
      </c>
      <c r="E61" s="9">
        <v>47.12</v>
      </c>
      <c r="F61" s="10">
        <v>0.1</v>
      </c>
      <c r="G61" s="10">
        <v>33.36</v>
      </c>
      <c r="H61" s="9">
        <v>11.773399014778326</v>
      </c>
      <c r="I61" s="9">
        <v>8.5</v>
      </c>
      <c r="J61" s="9">
        <v>60</v>
      </c>
      <c r="K61" s="9" t="e">
        <v>#N/A</v>
      </c>
      <c r="L61" s="10">
        <v>0.307</v>
      </c>
      <c r="M61" s="9">
        <v>3.3305655500000002</v>
      </c>
      <c r="N61" s="9">
        <v>68.865731707316996</v>
      </c>
      <c r="O61" s="10">
        <v>7.4914282999999998E-2</v>
      </c>
      <c r="P61" s="9">
        <v>1</v>
      </c>
      <c r="Q61" s="9">
        <v>15.41212</v>
      </c>
      <c r="R61" s="9">
        <v>60.4</v>
      </c>
      <c r="S61" s="9">
        <v>75.363452022919901</v>
      </c>
      <c r="T61" s="9">
        <v>0.47822706065318826</v>
      </c>
      <c r="U61" s="10">
        <v>-0.22032694106421</v>
      </c>
      <c r="V61" s="10">
        <v>-0.71891968211601998</v>
      </c>
      <c r="W61" s="10">
        <v>16.420361247947454</v>
      </c>
      <c r="X61" s="9">
        <v>49.200000760000002</v>
      </c>
      <c r="Y61" s="9" t="e">
        <v>#N/A</v>
      </c>
      <c r="Z61" s="9">
        <v>5.2</v>
      </c>
      <c r="AA61" s="9">
        <v>4.5999999999999996</v>
      </c>
      <c r="AB61" s="9">
        <v>11</v>
      </c>
      <c r="AC61" s="11">
        <v>0.17418677900000001</v>
      </c>
      <c r="AD61" s="9" t="e">
        <v>#N/A</v>
      </c>
      <c r="AE61" s="9">
        <v>0.28620000000000001</v>
      </c>
    </row>
    <row r="62" spans="1:31">
      <c r="A62" s="4" t="s">
        <v>156</v>
      </c>
      <c r="B62" s="4" t="s">
        <v>155</v>
      </c>
      <c r="C62" s="10">
        <v>0.08</v>
      </c>
      <c r="D62" s="9" t="e">
        <v>#N/A</v>
      </c>
      <c r="E62" s="9">
        <v>36.4</v>
      </c>
      <c r="F62" s="10">
        <v>0.19</v>
      </c>
      <c r="G62" s="10">
        <v>-18.14</v>
      </c>
      <c r="H62" s="9">
        <v>0.88422297796835725</v>
      </c>
      <c r="I62" s="9">
        <v>2.7</v>
      </c>
      <c r="J62" s="9">
        <v>100</v>
      </c>
      <c r="K62" s="9">
        <v>50.143935032271798</v>
      </c>
      <c r="L62" s="10">
        <v>2.7E-2</v>
      </c>
      <c r="M62" s="9">
        <v>0</v>
      </c>
      <c r="N62" s="9">
        <v>79.7919512195122</v>
      </c>
      <c r="O62" s="10">
        <v>1.323972E-2</v>
      </c>
      <c r="P62" s="9">
        <v>1</v>
      </c>
      <c r="Q62" s="9">
        <v>94.441730000000007</v>
      </c>
      <c r="R62" s="9">
        <v>74</v>
      </c>
      <c r="S62" s="9">
        <v>144.238109019658</v>
      </c>
      <c r="T62" s="9">
        <v>1.2692307692307692</v>
      </c>
      <c r="U62" s="10">
        <v>1.35715285193413</v>
      </c>
      <c r="V62" s="10">
        <v>1.5297586687042499</v>
      </c>
      <c r="W62" s="10" t="e">
        <v>#N/A</v>
      </c>
      <c r="X62" s="9">
        <v>65.47</v>
      </c>
      <c r="Y62" s="9">
        <v>100</v>
      </c>
      <c r="Z62" s="9">
        <v>13.6</v>
      </c>
      <c r="AA62" s="9">
        <v>3.4</v>
      </c>
      <c r="AB62" s="9" t="e">
        <v>#N/A</v>
      </c>
      <c r="AC62" s="11">
        <v>2.4663676999999998E-2</v>
      </c>
      <c r="AD62" s="9">
        <v>100</v>
      </c>
      <c r="AE62" s="9">
        <v>1.4850000000000001</v>
      </c>
    </row>
    <row r="63" spans="1:31">
      <c r="A63" s="4" t="s">
        <v>158</v>
      </c>
      <c r="B63" s="4" t="s">
        <v>157</v>
      </c>
      <c r="C63" s="10">
        <v>0.11</v>
      </c>
      <c r="D63" s="9" t="e">
        <v>#N/A</v>
      </c>
      <c r="E63" s="9">
        <v>22.42</v>
      </c>
      <c r="F63" s="10">
        <v>0.11</v>
      </c>
      <c r="G63" s="10">
        <v>11.15</v>
      </c>
      <c r="H63" s="9">
        <v>1.8915684496826835</v>
      </c>
      <c r="I63" s="9">
        <v>3</v>
      </c>
      <c r="J63" s="9">
        <v>100</v>
      </c>
      <c r="K63" s="9">
        <v>49.079885539025803</v>
      </c>
      <c r="L63" s="10">
        <v>2.7E-2</v>
      </c>
      <c r="M63" s="9">
        <v>0</v>
      </c>
      <c r="N63" s="9">
        <v>81.520487804878002</v>
      </c>
      <c r="O63" s="10">
        <v>1.5258703E-2</v>
      </c>
      <c r="P63" s="9">
        <v>1</v>
      </c>
      <c r="Q63" s="9">
        <v>54.578389999999999</v>
      </c>
      <c r="R63" s="9">
        <v>64.599999999999994</v>
      </c>
      <c r="S63" s="9">
        <v>95.091567575620005</v>
      </c>
      <c r="T63" s="9">
        <v>1.0455508474576272</v>
      </c>
      <c r="U63" s="10">
        <v>0.54655068089105996</v>
      </c>
      <c r="V63" s="10">
        <v>1.2604742241023399</v>
      </c>
      <c r="W63" s="10">
        <v>6.847314026951028</v>
      </c>
      <c r="X63" s="9">
        <v>100</v>
      </c>
      <c r="Y63" s="9">
        <v>100</v>
      </c>
      <c r="Z63" s="9">
        <v>-3.29</v>
      </c>
      <c r="AA63" s="9">
        <v>1.5</v>
      </c>
      <c r="AB63" s="9" t="e">
        <v>#N/A</v>
      </c>
      <c r="AC63" s="11">
        <v>5.7934509000000002E-2</v>
      </c>
      <c r="AD63" s="9">
        <v>100</v>
      </c>
      <c r="AE63" s="9">
        <v>14.98</v>
      </c>
    </row>
    <row r="64" spans="1:31">
      <c r="A64" s="4" t="s">
        <v>160</v>
      </c>
      <c r="B64" s="4" t="s">
        <v>159</v>
      </c>
      <c r="C64" s="10">
        <v>0.73</v>
      </c>
      <c r="D64" s="9">
        <v>2.7300000000000004</v>
      </c>
      <c r="E64" s="9">
        <v>14.48</v>
      </c>
      <c r="F64" s="10">
        <v>0.06</v>
      </c>
      <c r="G64" s="10">
        <v>100</v>
      </c>
      <c r="H64" s="9">
        <v>3.4393095976388834</v>
      </c>
      <c r="I64" s="9">
        <v>5</v>
      </c>
      <c r="J64" s="9">
        <v>36.700000000000003</v>
      </c>
      <c r="K64" s="9">
        <v>-552.14664737095995</v>
      </c>
      <c r="L64" s="10">
        <v>8.3000000000000004E-2</v>
      </c>
      <c r="M64" s="9">
        <v>1.7125654699999999</v>
      </c>
      <c r="N64" s="9">
        <v>60.4439268292683</v>
      </c>
      <c r="O64" s="10">
        <v>0.89488207900000005</v>
      </c>
      <c r="P64" s="9">
        <v>1</v>
      </c>
      <c r="Q64" s="9">
        <v>7.05579</v>
      </c>
      <c r="R64" s="9">
        <v>56.7</v>
      </c>
      <c r="S64" s="9">
        <v>93.110879935113999</v>
      </c>
      <c r="T64" s="9">
        <v>0.85215053763440862</v>
      </c>
      <c r="U64" s="10">
        <v>0.11536367285387</v>
      </c>
      <c r="V64" s="10">
        <v>-1.0538406247976799</v>
      </c>
      <c r="W64" s="10" t="e">
        <v>#N/A</v>
      </c>
      <c r="X64" s="9">
        <v>10.210000040000001</v>
      </c>
      <c r="Y64" s="9">
        <v>87</v>
      </c>
      <c r="Z64" s="9">
        <v>1.1499999999999999</v>
      </c>
      <c r="AA64" s="9">
        <v>4.5999999999999996</v>
      </c>
      <c r="AB64" s="9">
        <v>102</v>
      </c>
      <c r="AC64" s="11">
        <v>0.42346542300000001</v>
      </c>
      <c r="AD64" s="9">
        <v>33</v>
      </c>
      <c r="AE64" s="9">
        <v>7.9299999999999995E-2</v>
      </c>
    </row>
    <row r="65" spans="1:31">
      <c r="A65" s="4" t="s">
        <v>162</v>
      </c>
      <c r="B65" s="4" t="s">
        <v>161</v>
      </c>
      <c r="C65" s="10">
        <v>0.48</v>
      </c>
      <c r="D65" s="9">
        <v>3.9</v>
      </c>
      <c r="E65" s="9">
        <v>42.74</v>
      </c>
      <c r="F65" s="10">
        <v>0.09</v>
      </c>
      <c r="G65" s="10">
        <v>54.41</v>
      </c>
      <c r="H65" s="9">
        <v>19.982300884955752</v>
      </c>
      <c r="I65" s="9">
        <v>30.2</v>
      </c>
      <c r="J65" s="9">
        <v>8.3000000000000007</v>
      </c>
      <c r="K65" s="9" t="e">
        <v>#N/A</v>
      </c>
      <c r="L65" s="10">
        <v>8.3000000000000004E-2</v>
      </c>
      <c r="M65" s="9">
        <v>26.27900043</v>
      </c>
      <c r="N65" s="9">
        <v>55.932390243902397</v>
      </c>
      <c r="O65" s="10">
        <v>2.0615164319999999</v>
      </c>
      <c r="P65" s="9">
        <v>1</v>
      </c>
      <c r="Q65" s="9">
        <v>4.6030100000000003</v>
      </c>
      <c r="R65" s="9">
        <v>57.4</v>
      </c>
      <c r="S65" s="9">
        <v>84.036471711435297</v>
      </c>
      <c r="T65" s="9">
        <v>0.81826401446654629</v>
      </c>
      <c r="U65" s="10">
        <v>0.26298522215864001</v>
      </c>
      <c r="V65" s="10">
        <v>-1.0514746353939299</v>
      </c>
      <c r="W65" s="10">
        <v>45</v>
      </c>
      <c r="X65" s="9">
        <v>19.31999969</v>
      </c>
      <c r="Y65" s="9">
        <v>92</v>
      </c>
      <c r="Z65" s="9">
        <v>-7.03</v>
      </c>
      <c r="AA65" s="9">
        <v>4.5</v>
      </c>
      <c r="AB65" s="9">
        <v>286</v>
      </c>
      <c r="AC65" s="11">
        <v>0.39414414399999997</v>
      </c>
      <c r="AD65" s="9">
        <v>67</v>
      </c>
      <c r="AE65" s="9">
        <v>0.89119999999999999</v>
      </c>
    </row>
    <row r="66" spans="1:31">
      <c r="A66" s="4" t="s">
        <v>164</v>
      </c>
      <c r="B66" s="4" t="s">
        <v>163</v>
      </c>
      <c r="C66" s="10">
        <v>0.74</v>
      </c>
      <c r="D66" s="9">
        <v>0.3</v>
      </c>
      <c r="E66" s="9">
        <v>47.18</v>
      </c>
      <c r="F66" s="10">
        <v>0.12</v>
      </c>
      <c r="G66" s="10">
        <v>13.56</v>
      </c>
      <c r="H66" s="9">
        <v>0.64849354375896695</v>
      </c>
      <c r="I66" s="9">
        <v>1.3</v>
      </c>
      <c r="J66" s="9">
        <v>100</v>
      </c>
      <c r="K66" s="9">
        <v>63.955823293172699</v>
      </c>
      <c r="L66" s="10">
        <v>0.03</v>
      </c>
      <c r="M66" s="9">
        <v>5.7715774550000001</v>
      </c>
      <c r="N66" s="9">
        <v>71.5481219512195</v>
      </c>
      <c r="O66" s="10">
        <v>7.5368034E-2</v>
      </c>
      <c r="P66" s="9">
        <v>1</v>
      </c>
      <c r="Q66" s="9">
        <v>25.499890000000001</v>
      </c>
      <c r="R66" s="9">
        <v>70.400000000000006</v>
      </c>
      <c r="S66" s="9">
        <v>66.591038775607402</v>
      </c>
      <c r="T66" s="9">
        <v>0.82105263157894703</v>
      </c>
      <c r="U66" s="10">
        <v>-0.99117757771062998</v>
      </c>
      <c r="V66" s="10">
        <v>-0.17530376679731</v>
      </c>
      <c r="W66" s="10">
        <v>4.3171679378327816</v>
      </c>
      <c r="X66" s="9">
        <v>94.067588169999993</v>
      </c>
      <c r="Y66" s="9">
        <v>98</v>
      </c>
      <c r="Z66" s="9">
        <v>-10.67</v>
      </c>
      <c r="AA66" s="9">
        <v>1.8</v>
      </c>
      <c r="AB66" s="9">
        <v>169</v>
      </c>
      <c r="AC66" s="11">
        <v>9.1370558000000004E-2</v>
      </c>
      <c r="AD66" s="9">
        <v>95</v>
      </c>
      <c r="AE66" s="9">
        <v>2.56</v>
      </c>
    </row>
    <row r="67" spans="1:31">
      <c r="A67" s="4" t="s">
        <v>166</v>
      </c>
      <c r="B67" s="4" t="s">
        <v>165</v>
      </c>
      <c r="C67" s="10">
        <v>0.22</v>
      </c>
      <c r="D67" s="9" t="e">
        <v>#N/A</v>
      </c>
      <c r="E67" s="9">
        <v>26.28</v>
      </c>
      <c r="F67" s="10">
        <v>0.14000000000000001</v>
      </c>
      <c r="G67" s="10">
        <v>4.83</v>
      </c>
      <c r="H67" s="9">
        <v>4.283113463854578</v>
      </c>
      <c r="I67" s="9">
        <v>3.6</v>
      </c>
      <c r="J67" s="9">
        <v>100</v>
      </c>
      <c r="K67" s="9">
        <v>59.772667394331698</v>
      </c>
      <c r="L67" s="10">
        <v>2.7E-2</v>
      </c>
      <c r="M67" s="9">
        <v>0</v>
      </c>
      <c r="N67" s="9">
        <v>80.088536585365802</v>
      </c>
      <c r="O67" s="10">
        <v>9.0177699999999996E-3</v>
      </c>
      <c r="P67" s="9">
        <v>1</v>
      </c>
      <c r="Q67" s="9">
        <v>47.167969999999997</v>
      </c>
      <c r="R67" s="9">
        <v>71.8</v>
      </c>
      <c r="S67" s="9">
        <v>128.23648116359999</v>
      </c>
      <c r="T67" s="9">
        <v>0.81284916201117352</v>
      </c>
      <c r="U67" s="10">
        <v>0.85493202775091004</v>
      </c>
      <c r="V67" s="10">
        <v>1.3872643983302499</v>
      </c>
      <c r="W67" s="10">
        <v>3.0105800384207355</v>
      </c>
      <c r="X67" s="9">
        <v>100</v>
      </c>
      <c r="Y67" s="9">
        <v>100</v>
      </c>
      <c r="Z67" s="9">
        <v>5.25</v>
      </c>
      <c r="AA67" s="9">
        <v>2</v>
      </c>
      <c r="AB67" s="9" t="e">
        <v>#N/A</v>
      </c>
      <c r="AC67" s="11">
        <v>4.7727273000000001E-2</v>
      </c>
      <c r="AD67" s="9">
        <v>100</v>
      </c>
      <c r="AE67" s="9">
        <v>20.97</v>
      </c>
    </row>
    <row r="68" spans="1:31">
      <c r="A68" s="4" t="s">
        <v>168</v>
      </c>
      <c r="B68" s="4" t="s">
        <v>167</v>
      </c>
      <c r="C68" s="10">
        <v>0.33</v>
      </c>
      <c r="D68" s="9">
        <v>3.2</v>
      </c>
      <c r="E68" s="9">
        <v>49.24</v>
      </c>
      <c r="F68" s="10">
        <v>7.0000000000000007E-2</v>
      </c>
      <c r="G68" s="10">
        <v>23.29</v>
      </c>
      <c r="H68" s="9" t="e">
        <v>#N/A</v>
      </c>
      <c r="I68" s="9" t="e">
        <v>#N/A</v>
      </c>
      <c r="J68" s="9">
        <v>54</v>
      </c>
      <c r="K68" s="9">
        <v>27.4976213130352</v>
      </c>
      <c r="L68" s="10">
        <v>8.3000000000000004E-2</v>
      </c>
      <c r="M68" s="9">
        <v>16.788410979999998</v>
      </c>
      <c r="N68" s="9">
        <v>56.616951219512202</v>
      </c>
      <c r="O68" s="10">
        <v>1.509773969</v>
      </c>
      <c r="P68" s="9">
        <v>1</v>
      </c>
      <c r="Q68" s="9">
        <v>8.6294599999999999</v>
      </c>
      <c r="R68" s="9">
        <v>59.4</v>
      </c>
      <c r="S68" s="9">
        <v>63.383607705600099</v>
      </c>
      <c r="T68" s="9">
        <v>0.8761301989150091</v>
      </c>
      <c r="U68" s="10">
        <v>0.16228765284092</v>
      </c>
      <c r="V68" s="10">
        <v>0.49526542706032001</v>
      </c>
      <c r="W68" s="10">
        <v>3.2961237584600513</v>
      </c>
      <c r="X68" s="9">
        <v>14.93029308</v>
      </c>
      <c r="Y68" s="9">
        <v>82</v>
      </c>
      <c r="Z68" s="9">
        <v>14</v>
      </c>
      <c r="AA68" s="9">
        <v>4.9000000000000004</v>
      </c>
      <c r="AB68" s="9">
        <v>226</v>
      </c>
      <c r="AC68" s="11">
        <v>0.43120567399999998</v>
      </c>
      <c r="AD68" s="9">
        <v>13</v>
      </c>
      <c r="AE68" s="9">
        <v>1.8460000000000001</v>
      </c>
    </row>
    <row r="69" spans="1:31">
      <c r="A69" s="4" t="s">
        <v>170</v>
      </c>
      <c r="B69" s="4" t="s">
        <v>169</v>
      </c>
      <c r="C69" s="10">
        <v>0.37</v>
      </c>
      <c r="D69" s="9" t="e">
        <v>#N/A</v>
      </c>
      <c r="E69" s="9">
        <v>38.799999999999997</v>
      </c>
      <c r="F69" s="10">
        <v>0.06</v>
      </c>
      <c r="G69" s="10">
        <v>12.98</v>
      </c>
      <c r="H69" s="9">
        <v>4.6127614428614727</v>
      </c>
      <c r="I69" s="9">
        <v>5</v>
      </c>
      <c r="J69" s="9">
        <v>100</v>
      </c>
      <c r="K69" s="9">
        <v>66.380913034496999</v>
      </c>
      <c r="L69" s="10">
        <v>2.7E-2</v>
      </c>
      <c r="M69" s="9">
        <v>0</v>
      </c>
      <c r="N69" s="9">
        <v>79.963170731707294</v>
      </c>
      <c r="O69" s="10">
        <v>3.1433849999999998E-3</v>
      </c>
      <c r="P69" s="9">
        <v>1</v>
      </c>
      <c r="Q69" s="9">
        <v>90.830439999999996</v>
      </c>
      <c r="R69" s="9">
        <v>60.3</v>
      </c>
      <c r="S69" s="9">
        <v>117.829901253118</v>
      </c>
      <c r="T69" s="9">
        <v>1.0641025641025641</v>
      </c>
      <c r="U69" s="10">
        <v>-6.4750278851420998E-2</v>
      </c>
      <c r="V69" s="10">
        <v>0.88162820794458996</v>
      </c>
      <c r="W69" s="10">
        <v>15.128006206361521</v>
      </c>
      <c r="X69" s="9">
        <v>91.800003050000001</v>
      </c>
      <c r="Y69" s="9">
        <v>100</v>
      </c>
      <c r="Z69" s="9">
        <v>-22.56</v>
      </c>
      <c r="AA69" s="9">
        <v>1.5</v>
      </c>
      <c r="AB69" s="9" t="e">
        <v>#N/A</v>
      </c>
      <c r="AC69" s="11">
        <v>5.6561085999999997E-2</v>
      </c>
      <c r="AD69" s="9">
        <v>98</v>
      </c>
      <c r="AE69" s="9">
        <v>12.74</v>
      </c>
    </row>
    <row r="70" spans="1:31">
      <c r="A70" s="4" t="s">
        <v>172</v>
      </c>
      <c r="B70" s="4" t="s">
        <v>171</v>
      </c>
      <c r="C70" s="10">
        <v>1.45</v>
      </c>
      <c r="D70" s="9" t="e">
        <v>#N/A</v>
      </c>
      <c r="E70" s="9">
        <v>69.08</v>
      </c>
      <c r="F70" s="10">
        <v>0.04</v>
      </c>
      <c r="G70" s="10">
        <v>65.39</v>
      </c>
      <c r="H70" s="9">
        <v>6.4705882352941186</v>
      </c>
      <c r="I70" s="9">
        <v>4.9000000000000004</v>
      </c>
      <c r="J70" s="9">
        <v>99.5</v>
      </c>
      <c r="K70" s="9" t="e">
        <v>#N/A</v>
      </c>
      <c r="L70" s="10">
        <v>0.127</v>
      </c>
      <c r="M70" s="9">
        <v>0.79808278300000002</v>
      </c>
      <c r="N70" s="9">
        <v>75.321780487804801</v>
      </c>
      <c r="O70" s="10" t="e">
        <v>#N/A</v>
      </c>
      <c r="P70" s="9">
        <v>1</v>
      </c>
      <c r="Q70" s="9">
        <v>53.494880000000002</v>
      </c>
      <c r="R70" s="9" t="e">
        <v>#N/A</v>
      </c>
      <c r="S70" s="9">
        <v>61.5799095545078</v>
      </c>
      <c r="T70" s="9">
        <v>0.42091836734693866</v>
      </c>
      <c r="U70" s="10">
        <v>0.46043966205406001</v>
      </c>
      <c r="V70" s="10">
        <v>0.87087769254435998</v>
      </c>
      <c r="W70" s="10" t="e">
        <v>#N/A</v>
      </c>
      <c r="X70" s="9">
        <v>60.959999080000003</v>
      </c>
      <c r="Y70" s="9">
        <v>95</v>
      </c>
      <c r="Z70" s="9">
        <v>-12.51</v>
      </c>
      <c r="AA70" s="9">
        <v>4.5999999999999996</v>
      </c>
      <c r="AB70" s="9">
        <v>5</v>
      </c>
      <c r="AC70" s="11">
        <v>0.121297602</v>
      </c>
      <c r="AD70" s="9">
        <v>97</v>
      </c>
      <c r="AE70" s="9" t="e">
        <v>#N/A</v>
      </c>
    </row>
    <row r="71" spans="1:31">
      <c r="A71" s="4" t="s">
        <v>174</v>
      </c>
      <c r="B71" s="4" t="s">
        <v>173</v>
      </c>
      <c r="C71" s="10">
        <v>0.56000000000000005</v>
      </c>
      <c r="D71" s="9">
        <v>3.7</v>
      </c>
      <c r="E71" s="9">
        <v>50.96</v>
      </c>
      <c r="F71" s="10">
        <v>0.01</v>
      </c>
      <c r="G71" s="10">
        <v>39.43</v>
      </c>
      <c r="H71" s="9">
        <v>2.0341629167049313</v>
      </c>
      <c r="I71" s="9">
        <v>0.9</v>
      </c>
      <c r="J71" s="9">
        <v>80.5</v>
      </c>
      <c r="K71" s="9">
        <v>33.102081268582801</v>
      </c>
      <c r="L71" s="10">
        <v>0.09</v>
      </c>
      <c r="M71" s="9">
        <v>2.3137170459999998</v>
      </c>
      <c r="N71" s="9">
        <v>70.335024390243902</v>
      </c>
      <c r="O71" s="10">
        <v>0.485373944</v>
      </c>
      <c r="P71" s="9">
        <v>1</v>
      </c>
      <c r="Q71" s="9">
        <v>17.713059999999999</v>
      </c>
      <c r="R71" s="9">
        <v>61.9</v>
      </c>
      <c r="S71" s="9">
        <v>123.387220326704</v>
      </c>
      <c r="T71" s="9">
        <v>0.98113207547169756</v>
      </c>
      <c r="U71" s="10">
        <v>-0.73481332511990005</v>
      </c>
      <c r="V71" s="10">
        <v>-0.32770632559766999</v>
      </c>
      <c r="W71" s="10">
        <v>8.3986562150055981</v>
      </c>
      <c r="X71" s="9">
        <v>34.5</v>
      </c>
      <c r="Y71" s="9">
        <v>94</v>
      </c>
      <c r="Z71" s="9">
        <v>-12.99</v>
      </c>
      <c r="AA71" s="9">
        <v>3.9</v>
      </c>
      <c r="AB71" s="9">
        <v>126</v>
      </c>
      <c r="AC71" s="11">
        <v>0.27239709400000001</v>
      </c>
      <c r="AD71" s="9">
        <v>81</v>
      </c>
      <c r="AE71" s="9">
        <v>2.6349999999999998</v>
      </c>
    </row>
    <row r="72" spans="1:31">
      <c r="A72" s="4" t="s">
        <v>176</v>
      </c>
      <c r="B72" s="4" t="s">
        <v>175</v>
      </c>
      <c r="C72" s="10">
        <v>0.19</v>
      </c>
      <c r="D72" s="9">
        <v>7.3</v>
      </c>
      <c r="E72" s="9">
        <v>65.08</v>
      </c>
      <c r="F72" s="10">
        <v>7.0000000000000007E-2</v>
      </c>
      <c r="G72" s="10">
        <v>54.41</v>
      </c>
      <c r="H72" s="9">
        <v>0.19238591068087529</v>
      </c>
      <c r="I72" s="9">
        <v>0.1</v>
      </c>
      <c r="J72" s="9">
        <v>20.2</v>
      </c>
      <c r="K72" s="9" t="e">
        <v>#N/A</v>
      </c>
      <c r="L72" s="10">
        <v>8.3000000000000004E-2</v>
      </c>
      <c r="M72" s="9">
        <v>15.594906569999999</v>
      </c>
      <c r="N72" s="9">
        <v>57.821243902439001</v>
      </c>
      <c r="O72" s="10">
        <v>3.7793131450000002</v>
      </c>
      <c r="P72" s="9">
        <v>1</v>
      </c>
      <c r="Q72" s="9">
        <v>9.21814</v>
      </c>
      <c r="R72" s="9">
        <v>51.7</v>
      </c>
      <c r="S72" s="9">
        <v>55.6872946363412</v>
      </c>
      <c r="T72" s="9">
        <v>0.97191011235955072</v>
      </c>
      <c r="U72" s="10">
        <v>-1.8974040134088499</v>
      </c>
      <c r="V72" s="10">
        <v>-1.42605782522749</v>
      </c>
      <c r="W72" s="10">
        <v>1.2209018394921047</v>
      </c>
      <c r="X72" s="9">
        <v>9.7899999619999996</v>
      </c>
      <c r="Y72" s="9">
        <v>71</v>
      </c>
      <c r="Z72" s="9">
        <v>18.190000000000001</v>
      </c>
      <c r="AA72" s="9">
        <v>4.5</v>
      </c>
      <c r="AB72" s="9">
        <v>480</v>
      </c>
      <c r="AC72" s="11">
        <v>0.41887417199999999</v>
      </c>
      <c r="AD72" s="9">
        <v>19</v>
      </c>
      <c r="AE72" s="9">
        <v>0.71679999999999999</v>
      </c>
    </row>
    <row r="73" spans="1:31">
      <c r="A73" s="4" t="s">
        <v>178</v>
      </c>
      <c r="B73" s="4" t="s">
        <v>177</v>
      </c>
      <c r="C73" s="10">
        <v>0.19</v>
      </c>
      <c r="D73" s="9">
        <v>4</v>
      </c>
      <c r="E73" s="9">
        <v>70.08</v>
      </c>
      <c r="F73" s="10">
        <v>0.03</v>
      </c>
      <c r="G73" s="10">
        <v>54.41</v>
      </c>
      <c r="H73" s="9">
        <v>12.267441860465116</v>
      </c>
      <c r="I73" s="9">
        <v>11</v>
      </c>
      <c r="J73" s="9">
        <v>11.5</v>
      </c>
      <c r="K73" s="9" t="e">
        <v>#N/A</v>
      </c>
      <c r="L73" s="10">
        <v>8.3000000000000004E-2</v>
      </c>
      <c r="M73" s="9">
        <v>41.967844599999999</v>
      </c>
      <c r="N73" s="9">
        <v>47.823439024390197</v>
      </c>
      <c r="O73" s="10">
        <v>5.5859322269999998</v>
      </c>
      <c r="P73" s="9">
        <v>1</v>
      </c>
      <c r="Q73" s="9">
        <v>2.85067</v>
      </c>
      <c r="R73" s="9">
        <v>46.5</v>
      </c>
      <c r="S73" s="9">
        <v>34.787918144760297</v>
      </c>
      <c r="T73" s="9">
        <v>0.84816247582204984</v>
      </c>
      <c r="U73" s="10">
        <v>-0.48845726579558002</v>
      </c>
      <c r="V73" s="10">
        <v>-0.75771712301982996</v>
      </c>
      <c r="W73" s="10">
        <v>5.3342816500711239</v>
      </c>
      <c r="X73" s="9">
        <v>27.940000529999999</v>
      </c>
      <c r="Y73" s="9">
        <v>61</v>
      </c>
      <c r="Z73" s="9">
        <v>-3.62</v>
      </c>
      <c r="AA73" s="9">
        <v>4.5</v>
      </c>
      <c r="AB73" s="9">
        <v>873</v>
      </c>
      <c r="AC73" s="11">
        <v>0.47492323400000003</v>
      </c>
      <c r="AD73" s="9">
        <v>21</v>
      </c>
      <c r="AE73" s="9">
        <v>0.5645</v>
      </c>
    </row>
    <row r="74" spans="1:31">
      <c r="A74" s="4" t="s">
        <v>180</v>
      </c>
      <c r="B74" s="4" t="s">
        <v>179</v>
      </c>
      <c r="C74" s="10">
        <v>0.35</v>
      </c>
      <c r="D74" s="9">
        <v>2.2999999999999998</v>
      </c>
      <c r="E74" s="9">
        <v>71.56</v>
      </c>
      <c r="F74" s="10">
        <v>0.15</v>
      </c>
      <c r="G74" s="10">
        <v>42.68</v>
      </c>
      <c r="H74" s="9">
        <v>4.4122435688700747</v>
      </c>
      <c r="I74" s="9">
        <v>32.4</v>
      </c>
      <c r="J74" s="9">
        <v>77.5</v>
      </c>
      <c r="K74" s="9" t="e">
        <v>#N/A</v>
      </c>
      <c r="L74" s="10">
        <v>0.127</v>
      </c>
      <c r="M74" s="9">
        <v>30.839607860000001</v>
      </c>
      <c r="N74" s="9">
        <v>67.1050731707317</v>
      </c>
      <c r="O74" s="10">
        <v>0.64974970899999995</v>
      </c>
      <c r="P74" s="9">
        <v>1</v>
      </c>
      <c r="Q74" s="9">
        <v>11.217309999999999</v>
      </c>
      <c r="R74" s="9">
        <v>49.4</v>
      </c>
      <c r="S74" s="9">
        <v>36.836275944773298</v>
      </c>
      <c r="T74" s="9">
        <v>0.83843212237093712</v>
      </c>
      <c r="U74" s="10">
        <v>-0.52596557082213002</v>
      </c>
      <c r="V74" s="10">
        <v>0.10992142676301001</v>
      </c>
      <c r="W74" s="10">
        <v>0.76200152400304799</v>
      </c>
      <c r="X74" s="9">
        <v>7.4000000950000002</v>
      </c>
      <c r="Y74" s="9">
        <v>94</v>
      </c>
      <c r="Z74" s="9">
        <v>-15.53</v>
      </c>
      <c r="AA74" s="9">
        <v>4.5999999999999996</v>
      </c>
      <c r="AB74" s="9">
        <v>132</v>
      </c>
      <c r="AC74" s="11">
        <v>0.19695431499999999</v>
      </c>
      <c r="AD74" s="9">
        <v>81</v>
      </c>
      <c r="AE74" s="9">
        <v>0.68049999999999999</v>
      </c>
    </row>
    <row r="75" spans="1:31">
      <c r="A75" s="4" t="s">
        <v>182</v>
      </c>
      <c r="B75" s="4" t="s">
        <v>181</v>
      </c>
      <c r="C75" s="10">
        <v>0.55000000000000004</v>
      </c>
      <c r="D75" s="9">
        <v>6</v>
      </c>
      <c r="E75" s="9">
        <v>51.78</v>
      </c>
      <c r="F75" s="10">
        <v>0.04</v>
      </c>
      <c r="G75" s="10">
        <v>65.39</v>
      </c>
      <c r="H75" s="9">
        <v>3.9531531531531527</v>
      </c>
      <c r="I75" s="9">
        <v>2.7</v>
      </c>
      <c r="J75" s="9">
        <v>38.5</v>
      </c>
      <c r="K75" s="9">
        <v>28.272628921745401</v>
      </c>
      <c r="L75" s="10">
        <v>0.09</v>
      </c>
      <c r="M75" s="9">
        <v>37.456105360000002</v>
      </c>
      <c r="N75" s="9">
        <v>61.214658536585297</v>
      </c>
      <c r="O75" s="10">
        <v>1.0711239880000001</v>
      </c>
      <c r="P75" s="9">
        <v>1</v>
      </c>
      <c r="Q75" s="9" t="e">
        <v>#N/A</v>
      </c>
      <c r="R75" s="9">
        <v>52.1</v>
      </c>
      <c r="S75" s="9">
        <v>36.361392772914002</v>
      </c>
      <c r="T75" s="9">
        <v>0.842443729903537</v>
      </c>
      <c r="U75" s="10">
        <v>-0.87407066120846999</v>
      </c>
      <c r="V75" s="10">
        <v>-0.59785582301467999</v>
      </c>
      <c r="W75" s="10">
        <v>59.86937590711176</v>
      </c>
      <c r="X75" s="9">
        <v>24.299999239999998</v>
      </c>
      <c r="Y75" s="9">
        <v>63</v>
      </c>
      <c r="Z75" s="9">
        <v>-4.43</v>
      </c>
      <c r="AA75" s="9">
        <v>4.2</v>
      </c>
      <c r="AB75" s="9">
        <v>428</v>
      </c>
      <c r="AC75" s="11">
        <v>0.42117465199999998</v>
      </c>
      <c r="AD75" s="9">
        <v>17</v>
      </c>
      <c r="AE75" s="9">
        <v>8.5530000000000008</v>
      </c>
    </row>
    <row r="76" spans="1:31">
      <c r="A76" s="4" t="s">
        <v>184</v>
      </c>
      <c r="B76" s="4" t="s">
        <v>183</v>
      </c>
      <c r="C76" s="10">
        <v>0.47</v>
      </c>
      <c r="D76" s="9">
        <v>1.4</v>
      </c>
      <c r="E76" s="9">
        <v>51.66</v>
      </c>
      <c r="F76" s="10">
        <v>0.05</v>
      </c>
      <c r="G76" s="10">
        <v>39.43</v>
      </c>
      <c r="H76" s="9">
        <v>4.4901418502988673</v>
      </c>
      <c r="I76" s="9">
        <v>2.2000000000000002</v>
      </c>
      <c r="J76" s="9">
        <v>70.3</v>
      </c>
      <c r="K76" s="9">
        <v>55.060553633217999</v>
      </c>
      <c r="L76" s="10">
        <v>0.127</v>
      </c>
      <c r="M76" s="9">
        <v>7.8802885319999998</v>
      </c>
      <c r="N76" s="9">
        <v>72.1960487804878</v>
      </c>
      <c r="O76" s="10">
        <v>0.41855852500000001</v>
      </c>
      <c r="P76" s="9">
        <v>1</v>
      </c>
      <c r="Q76" s="9">
        <v>18.653289999999998</v>
      </c>
      <c r="R76" s="9">
        <v>58.6</v>
      </c>
      <c r="S76" s="9">
        <v>103.32175283197201</v>
      </c>
      <c r="T76" s="9">
        <v>0.91229656419529814</v>
      </c>
      <c r="U76" s="10">
        <v>-0.27409745898156002</v>
      </c>
      <c r="V76" s="10">
        <v>-0.46405612450827999</v>
      </c>
      <c r="W76" s="10">
        <v>14.746626150683706</v>
      </c>
      <c r="X76" s="9">
        <v>20.399999619999999</v>
      </c>
      <c r="Y76" s="9">
        <v>86</v>
      </c>
      <c r="Z76" s="9">
        <v>-6.96</v>
      </c>
      <c r="AA76" s="9">
        <v>3.9</v>
      </c>
      <c r="AB76" s="9">
        <v>106</v>
      </c>
      <c r="AC76" s="11">
        <v>0.16135881099999999</v>
      </c>
      <c r="AD76" s="9">
        <v>71</v>
      </c>
      <c r="AE76" s="9">
        <v>1.2450000000000001</v>
      </c>
    </row>
    <row r="77" spans="1:31">
      <c r="A77" s="4" t="s">
        <v>186</v>
      </c>
      <c r="B77" s="4" t="s">
        <v>185</v>
      </c>
      <c r="C77" s="10">
        <v>0.05</v>
      </c>
      <c r="D77" s="9" t="e">
        <v>#N/A</v>
      </c>
      <c r="E77" s="9">
        <v>32.1</v>
      </c>
      <c r="F77" s="10">
        <v>0.1</v>
      </c>
      <c r="G77" s="10">
        <v>8.32</v>
      </c>
      <c r="H77" s="9" t="e">
        <v>#N/A</v>
      </c>
      <c r="I77" s="9" t="e">
        <v>#N/A</v>
      </c>
      <c r="J77" s="9">
        <v>100</v>
      </c>
      <c r="K77" s="9">
        <v>56.626166720309001</v>
      </c>
      <c r="L77" s="10">
        <v>0.35</v>
      </c>
      <c r="M77" s="9">
        <v>1.0309754000000001E-2</v>
      </c>
      <c r="N77" s="9">
        <v>74.009024390243894</v>
      </c>
      <c r="O77" s="10">
        <v>1.8305831000000002E-2</v>
      </c>
      <c r="P77" s="9">
        <v>1</v>
      </c>
      <c r="Q77" s="9">
        <v>65.017219999999995</v>
      </c>
      <c r="R77" s="9">
        <v>66.599999999999994</v>
      </c>
      <c r="S77" s="9">
        <v>117.662339450557</v>
      </c>
      <c r="T77" s="9">
        <v>0.80413385826771699</v>
      </c>
      <c r="U77" s="10">
        <v>0.59944261903285001</v>
      </c>
      <c r="V77" s="10">
        <v>1.00700340234569</v>
      </c>
      <c r="W77" s="10">
        <v>11.717442249748911</v>
      </c>
      <c r="X77" s="9">
        <v>37.65</v>
      </c>
      <c r="Y77" s="9">
        <v>100</v>
      </c>
      <c r="Z77" s="9">
        <v>-1.28</v>
      </c>
      <c r="AA77" s="9">
        <v>1.8</v>
      </c>
      <c r="AB77" s="9" t="e">
        <v>#N/A</v>
      </c>
      <c r="AC77" s="11">
        <v>2.2377622E-2</v>
      </c>
      <c r="AD77" s="9">
        <v>100</v>
      </c>
      <c r="AE77" s="9">
        <v>5.375</v>
      </c>
    </row>
    <row r="78" spans="1:31">
      <c r="A78" s="4" t="s">
        <v>188</v>
      </c>
      <c r="B78" s="4" t="s">
        <v>187</v>
      </c>
      <c r="C78" s="10">
        <v>1</v>
      </c>
      <c r="D78" s="9" t="e">
        <v>#N/A</v>
      </c>
      <c r="E78" s="9">
        <v>7.72</v>
      </c>
      <c r="F78" s="10">
        <v>0.15</v>
      </c>
      <c r="G78" s="10">
        <v>33.36</v>
      </c>
      <c r="H78" s="9">
        <v>1.9417475728155338</v>
      </c>
      <c r="I78" s="9">
        <v>5.2</v>
      </c>
      <c r="J78" s="9">
        <v>100</v>
      </c>
      <c r="K78" s="9">
        <v>16.570083303151002</v>
      </c>
      <c r="L78" s="10">
        <v>2.7E-2</v>
      </c>
      <c r="M78" s="9">
        <v>0</v>
      </c>
      <c r="N78" s="9">
        <v>81.575121951219501</v>
      </c>
      <c r="O78" s="10">
        <v>1.0658658999999999E-2</v>
      </c>
      <c r="P78" s="9">
        <v>1</v>
      </c>
      <c r="Q78" s="9">
        <v>74.601889999999997</v>
      </c>
      <c r="R78" s="9">
        <v>68.2</v>
      </c>
      <c r="S78" s="9">
        <v>109.378114598417</v>
      </c>
      <c r="T78" s="9">
        <v>0.92729083665338652</v>
      </c>
      <c r="U78" s="10">
        <v>1.2069552999795301</v>
      </c>
      <c r="V78" s="10">
        <v>1.47002890799856</v>
      </c>
      <c r="W78" s="10" t="e">
        <v>#N/A</v>
      </c>
      <c r="X78" s="9">
        <v>36.641630900000003</v>
      </c>
      <c r="Y78" s="9">
        <v>100</v>
      </c>
      <c r="Z78" s="9">
        <v>8.3000000000000007</v>
      </c>
      <c r="AA78" s="9">
        <v>1.2</v>
      </c>
      <c r="AB78" s="9" t="e">
        <v>#N/A</v>
      </c>
      <c r="AC78" s="11">
        <v>4.6997389000000001E-2</v>
      </c>
      <c r="AD78" s="9">
        <v>100</v>
      </c>
      <c r="AE78" s="9">
        <v>9.7100000000000006E-2</v>
      </c>
    </row>
    <row r="79" spans="1:31">
      <c r="A79" s="4" t="s">
        <v>190</v>
      </c>
      <c r="B79" s="4" t="s">
        <v>189</v>
      </c>
      <c r="C79" s="10">
        <v>0.01</v>
      </c>
      <c r="D79" s="9">
        <v>15.2</v>
      </c>
      <c r="E79" s="9">
        <v>70.180000000000007</v>
      </c>
      <c r="F79" s="10">
        <v>0.5</v>
      </c>
      <c r="G79" s="10">
        <v>61.9</v>
      </c>
      <c r="H79" s="9">
        <v>1.9255854419790341</v>
      </c>
      <c r="I79" s="9">
        <v>3.4</v>
      </c>
      <c r="J79" s="9">
        <v>64.5</v>
      </c>
      <c r="K79" s="9">
        <v>24.584965851977501</v>
      </c>
      <c r="L79" s="10">
        <v>0.18</v>
      </c>
      <c r="M79" s="9">
        <v>1.1344494190000001</v>
      </c>
      <c r="N79" s="9">
        <v>63.717658536585297</v>
      </c>
      <c r="O79" s="10">
        <v>0.70374011400000003</v>
      </c>
      <c r="P79" s="9">
        <v>1</v>
      </c>
      <c r="Q79" s="9">
        <v>13.48063</v>
      </c>
      <c r="R79" s="9">
        <v>54.6</v>
      </c>
      <c r="S79" s="9">
        <v>45.4486553256259</v>
      </c>
      <c r="T79" s="9">
        <v>1.0338645418326691</v>
      </c>
      <c r="U79" s="10">
        <v>-1.1879276317644301</v>
      </c>
      <c r="V79" s="10">
        <v>0.46746696087189998</v>
      </c>
      <c r="W79" s="10">
        <v>2.572993989620576</v>
      </c>
      <c r="X79" s="9">
        <v>49.340659309999999</v>
      </c>
      <c r="Y79" s="9">
        <v>88</v>
      </c>
      <c r="Z79" s="9">
        <v>11.34</v>
      </c>
      <c r="AA79" s="9">
        <v>3.2</v>
      </c>
      <c r="AB79" s="9">
        <v>316</v>
      </c>
      <c r="AC79" s="11">
        <v>0.31647776799999999</v>
      </c>
      <c r="AD79" s="9">
        <v>31</v>
      </c>
      <c r="AE79" s="9">
        <v>39.82</v>
      </c>
    </row>
    <row r="80" spans="1:31">
      <c r="A80" s="4" t="s">
        <v>192</v>
      </c>
      <c r="B80" s="4" t="s">
        <v>191</v>
      </c>
      <c r="C80" s="10">
        <v>0.14000000000000001</v>
      </c>
      <c r="D80" s="9">
        <v>8.6</v>
      </c>
      <c r="E80" s="9">
        <v>47.42</v>
      </c>
      <c r="F80" s="10">
        <v>0.03</v>
      </c>
      <c r="G80" s="10">
        <v>29.78</v>
      </c>
      <c r="H80" s="9">
        <v>14.387289519419081</v>
      </c>
      <c r="I80" s="9">
        <v>10.8</v>
      </c>
      <c r="J80" s="9">
        <v>64.5</v>
      </c>
      <c r="K80" s="9">
        <v>-74.646037074879601</v>
      </c>
      <c r="L80" s="10">
        <v>0.03</v>
      </c>
      <c r="M80" s="9">
        <v>1.8161297510000001</v>
      </c>
      <c r="N80" s="9">
        <v>70.793292682926804</v>
      </c>
      <c r="O80" s="10">
        <v>0.53618642100000002</v>
      </c>
      <c r="P80" s="9">
        <v>1</v>
      </c>
      <c r="Q80" s="9">
        <v>23.50048</v>
      </c>
      <c r="R80" s="9">
        <v>56</v>
      </c>
      <c r="S80" s="9">
        <v>69.248722118131099</v>
      </c>
      <c r="T80" s="9">
        <v>0.84183673469387743</v>
      </c>
      <c r="U80" s="10">
        <v>-0.64207339483130998</v>
      </c>
      <c r="V80" s="10">
        <v>-5.2526229682291002E-2</v>
      </c>
      <c r="W80" s="10">
        <v>3.3120442489111652</v>
      </c>
      <c r="X80" s="9">
        <v>59.106494669999996</v>
      </c>
      <c r="Y80" s="9">
        <v>80</v>
      </c>
      <c r="Z80" s="9">
        <v>0.15</v>
      </c>
      <c r="AA80" s="9">
        <v>4.5999999999999996</v>
      </c>
      <c r="AB80" s="9">
        <v>130</v>
      </c>
      <c r="AC80" s="11">
        <v>0.253902185</v>
      </c>
      <c r="AD80" s="9">
        <v>52</v>
      </c>
      <c r="AE80" s="9">
        <v>5.6120000000000001</v>
      </c>
    </row>
    <row r="81" spans="1:31">
      <c r="A81" s="4" t="s">
        <v>194</v>
      </c>
      <c r="B81" s="4" t="s">
        <v>193</v>
      </c>
      <c r="C81" s="10">
        <v>0.19</v>
      </c>
      <c r="D81" s="9">
        <v>1.5</v>
      </c>
      <c r="E81" s="9">
        <v>31.02</v>
      </c>
      <c r="F81" s="10">
        <v>0.02</v>
      </c>
      <c r="G81" s="10">
        <v>48.09</v>
      </c>
      <c r="H81" s="9">
        <v>1.2227278242931683</v>
      </c>
      <c r="I81" s="9">
        <v>2</v>
      </c>
      <c r="J81" s="9">
        <v>98.4</v>
      </c>
      <c r="K81" s="9">
        <v>-61.766962133697596</v>
      </c>
      <c r="L81" s="10">
        <v>0.03</v>
      </c>
      <c r="M81" s="9">
        <v>4.6719696999999998E-2</v>
      </c>
      <c r="N81" s="9">
        <v>71.440975609756094</v>
      </c>
      <c r="O81" s="10">
        <v>6.5816320999999997E-2</v>
      </c>
      <c r="P81" s="9">
        <v>1</v>
      </c>
      <c r="Q81" s="9">
        <v>36.48659</v>
      </c>
      <c r="R81" s="9">
        <v>42.1</v>
      </c>
      <c r="S81" s="9">
        <v>72.088029068964005</v>
      </c>
      <c r="T81" s="9">
        <v>0.96938775510204112</v>
      </c>
      <c r="U81" s="10">
        <v>-1.51820165805054</v>
      </c>
      <c r="V81" s="10">
        <v>-1.48624738232417</v>
      </c>
      <c r="W81" s="10">
        <v>2.6710877774707562</v>
      </c>
      <c r="X81" s="9">
        <v>73.297341950000003</v>
      </c>
      <c r="Y81" s="9">
        <v>93</v>
      </c>
      <c r="Z81" s="9">
        <v>-4.93</v>
      </c>
      <c r="AA81" s="9">
        <v>1.7</v>
      </c>
      <c r="AB81" s="9" t="e">
        <v>#N/A</v>
      </c>
      <c r="AC81" s="11">
        <v>0.106355383</v>
      </c>
      <c r="AD81" s="9">
        <v>83</v>
      </c>
      <c r="AE81" s="9">
        <v>67.709999999999994</v>
      </c>
    </row>
    <row r="82" spans="1:31">
      <c r="A82" s="4" t="s">
        <v>196</v>
      </c>
      <c r="B82" s="4" t="s">
        <v>195</v>
      </c>
      <c r="C82" s="10" t="e">
        <v>#N/A</v>
      </c>
      <c r="D82" s="9">
        <v>1.4</v>
      </c>
      <c r="E82" s="9">
        <v>33.5</v>
      </c>
      <c r="F82" s="10">
        <v>0.06</v>
      </c>
      <c r="G82" s="10">
        <v>68.39</v>
      </c>
      <c r="H82" s="9">
        <v>3.5722759627669283</v>
      </c>
      <c r="I82" s="9">
        <v>4.5</v>
      </c>
      <c r="J82" s="9">
        <v>85</v>
      </c>
      <c r="K82" s="9">
        <v>-246.29324546952199</v>
      </c>
      <c r="L82" s="10">
        <v>0.313</v>
      </c>
      <c r="M82" s="9">
        <v>3.1055818080000002</v>
      </c>
      <c r="N82" s="9">
        <v>67.929658536585293</v>
      </c>
      <c r="O82" s="10">
        <v>0.33391330800000002</v>
      </c>
      <c r="P82" s="9">
        <v>1</v>
      </c>
      <c r="Q82" s="9">
        <v>15.524330000000001</v>
      </c>
      <c r="R82" s="9">
        <v>15.6</v>
      </c>
      <c r="S82" s="9">
        <v>62.620881694389603</v>
      </c>
      <c r="T82" s="9">
        <v>0.64864864864864835</v>
      </c>
      <c r="U82" s="10">
        <v>-2.3304256402839698</v>
      </c>
      <c r="V82" s="10">
        <v>-1.1709031204545901</v>
      </c>
      <c r="W82" s="10">
        <v>0.34295905068934768</v>
      </c>
      <c r="X82" s="9">
        <v>84.300003050000001</v>
      </c>
      <c r="Y82" s="9">
        <v>79</v>
      </c>
      <c r="Z82" s="9">
        <v>-23.72</v>
      </c>
      <c r="AA82" s="9">
        <v>2.2999999999999998</v>
      </c>
      <c r="AB82" s="9">
        <v>383</v>
      </c>
      <c r="AC82" s="11">
        <v>0.14749780500000001</v>
      </c>
      <c r="AD82" s="9">
        <v>73</v>
      </c>
      <c r="AE82" s="9">
        <v>87.28</v>
      </c>
    </row>
    <row r="83" spans="1:31">
      <c r="A83" s="4" t="s">
        <v>198</v>
      </c>
      <c r="B83" s="4" t="s">
        <v>197</v>
      </c>
      <c r="C83" s="10">
        <v>0.45</v>
      </c>
      <c r="D83" s="9" t="e">
        <v>#N/A</v>
      </c>
      <c r="E83" s="9">
        <v>38.380000000000003</v>
      </c>
      <c r="F83" s="10">
        <v>0.33</v>
      </c>
      <c r="G83" s="10">
        <v>8.32</v>
      </c>
      <c r="H83" s="9">
        <v>3.8266685641098621</v>
      </c>
      <c r="I83" s="9">
        <v>6</v>
      </c>
      <c r="J83" s="9">
        <v>100</v>
      </c>
      <c r="K83" s="9">
        <v>89.623180131316005</v>
      </c>
      <c r="L83" s="10">
        <v>2.7E-2</v>
      </c>
      <c r="M83" s="9">
        <v>0</v>
      </c>
      <c r="N83" s="9">
        <v>79.8568292682926</v>
      </c>
      <c r="O83" s="10">
        <v>5.6272800000000001E-3</v>
      </c>
      <c r="P83" s="9">
        <v>1</v>
      </c>
      <c r="Q83" s="9">
        <v>58.307969999999997</v>
      </c>
      <c r="R83" s="9">
        <v>78.7</v>
      </c>
      <c r="S83" s="9">
        <v>109.451906617899</v>
      </c>
      <c r="T83" s="9">
        <v>0.66193181818181823</v>
      </c>
      <c r="U83" s="10">
        <v>0.97605396127890998</v>
      </c>
      <c r="V83" s="10">
        <v>1.3703903495238601</v>
      </c>
      <c r="W83" s="10">
        <v>4.3547684714762669</v>
      </c>
      <c r="X83" s="9">
        <v>100</v>
      </c>
      <c r="Y83" s="9">
        <v>100</v>
      </c>
      <c r="Z83" s="9">
        <v>1.88</v>
      </c>
      <c r="AA83" s="9">
        <v>1.3</v>
      </c>
      <c r="AB83" s="9" t="e">
        <v>#N/A</v>
      </c>
      <c r="AC83" s="11">
        <v>6.4876956999999999E-2</v>
      </c>
      <c r="AD83" s="9">
        <v>99</v>
      </c>
      <c r="AE83" s="9" t="e">
        <v>#N/A</v>
      </c>
    </row>
    <row r="84" spans="1:31">
      <c r="A84" s="4" t="s">
        <v>200</v>
      </c>
      <c r="B84" s="4" t="s">
        <v>199</v>
      </c>
      <c r="C84" s="10">
        <v>0.78</v>
      </c>
      <c r="D84" s="9" t="e">
        <v>#N/A</v>
      </c>
      <c r="E84" s="9">
        <v>8.3199999999999896</v>
      </c>
      <c r="F84" s="10">
        <v>7.0000000000000007E-2</v>
      </c>
      <c r="G84" s="10">
        <v>44.93</v>
      </c>
      <c r="H84" s="9">
        <v>8.3760683760683747</v>
      </c>
      <c r="I84" s="9">
        <v>3.4</v>
      </c>
      <c r="J84" s="9">
        <v>100</v>
      </c>
      <c r="K84" s="9">
        <v>85.142441728383801</v>
      </c>
      <c r="L84" s="10">
        <v>2.7E-2</v>
      </c>
      <c r="M84" s="9">
        <v>2.366035825</v>
      </c>
      <c r="N84" s="9">
        <v>81.002439024390199</v>
      </c>
      <c r="O84" s="10">
        <v>1.9527295E-2</v>
      </c>
      <c r="P84" s="9">
        <v>1</v>
      </c>
      <c r="Q84" s="9">
        <v>59.729680000000002</v>
      </c>
      <c r="R84" s="9">
        <v>68.5</v>
      </c>
      <c r="S84" s="9">
        <v>121.235739145625</v>
      </c>
      <c r="T84" s="9">
        <v>1.2882882882882889</v>
      </c>
      <c r="U84" s="10">
        <v>-1.4505107725425099</v>
      </c>
      <c r="V84" s="10">
        <v>0.57952679502552995</v>
      </c>
      <c r="W84" s="10">
        <v>13.863216266173753</v>
      </c>
      <c r="X84" s="9">
        <v>100</v>
      </c>
      <c r="Y84" s="9">
        <v>100</v>
      </c>
      <c r="Z84" s="9">
        <v>-12.64</v>
      </c>
      <c r="AA84" s="9">
        <v>2.2999999999999998</v>
      </c>
      <c r="AB84" s="9" t="e">
        <v>#N/A</v>
      </c>
      <c r="AC84" s="11">
        <v>7.9081632999999998E-2</v>
      </c>
      <c r="AD84" s="9">
        <v>100</v>
      </c>
      <c r="AE84" s="9">
        <v>101.9</v>
      </c>
    </row>
    <row r="85" spans="1:31">
      <c r="A85" s="4" t="s">
        <v>202</v>
      </c>
      <c r="B85" s="4" t="s">
        <v>201</v>
      </c>
      <c r="C85" s="10">
        <v>0.4</v>
      </c>
      <c r="D85" s="9" t="e">
        <v>#N/A</v>
      </c>
      <c r="E85" s="9">
        <v>31.76</v>
      </c>
      <c r="F85" s="10">
        <v>0.18</v>
      </c>
      <c r="G85" s="10">
        <v>12.31</v>
      </c>
      <c r="H85" s="9">
        <v>3.9543372934227121</v>
      </c>
      <c r="I85" s="9">
        <v>3.7</v>
      </c>
      <c r="J85" s="9">
        <v>100</v>
      </c>
      <c r="K85" s="9">
        <v>84.139558609330507</v>
      </c>
      <c r="L85" s="10">
        <v>2.7E-2</v>
      </c>
      <c r="M85" s="9">
        <v>0</v>
      </c>
      <c r="N85" s="9">
        <v>81.945209756097498</v>
      </c>
      <c r="O85" s="10">
        <v>6.5661089999999997E-3</v>
      </c>
      <c r="P85" s="9">
        <v>1</v>
      </c>
      <c r="Q85" s="9">
        <v>67.197029999999998</v>
      </c>
      <c r="R85" s="9">
        <v>60.3</v>
      </c>
      <c r="S85" s="9">
        <v>150.46691771110301</v>
      </c>
      <c r="T85" s="9">
        <v>0.64273648648648607</v>
      </c>
      <c r="U85" s="10">
        <v>0.52961869236831005</v>
      </c>
      <c r="V85" s="10">
        <v>1.0402627408545599</v>
      </c>
      <c r="W85" s="10">
        <v>7.6494186441830418</v>
      </c>
      <c r="X85" s="9">
        <v>100</v>
      </c>
      <c r="Y85" s="9">
        <v>100</v>
      </c>
      <c r="Z85" s="9">
        <v>-8.02</v>
      </c>
      <c r="AA85" s="9">
        <v>1.4</v>
      </c>
      <c r="AB85" s="9" t="e">
        <v>#N/A</v>
      </c>
      <c r="AC85" s="11">
        <v>4.1775457000000002E-2</v>
      </c>
      <c r="AD85" s="9" t="e">
        <v>#N/A</v>
      </c>
      <c r="AE85" s="9">
        <v>23.69</v>
      </c>
    </row>
    <row r="86" spans="1:31">
      <c r="A86" s="4" t="s">
        <v>204</v>
      </c>
      <c r="B86" s="4" t="s">
        <v>203</v>
      </c>
      <c r="C86" s="10">
        <v>1</v>
      </c>
      <c r="D86" s="9" t="e">
        <v>#N/A</v>
      </c>
      <c r="E86" s="9">
        <v>46.5</v>
      </c>
      <c r="F86" s="10">
        <v>0.05</v>
      </c>
      <c r="G86" s="10">
        <v>65.39</v>
      </c>
      <c r="H86" s="9">
        <v>3.9126478616924478</v>
      </c>
      <c r="I86" s="9">
        <v>2.1</v>
      </c>
      <c r="J86" s="9">
        <v>92</v>
      </c>
      <c r="K86" s="9">
        <v>88.488716662867603</v>
      </c>
      <c r="L86" s="10">
        <v>0.127</v>
      </c>
      <c r="M86" s="9">
        <v>1.827235054</v>
      </c>
      <c r="N86" s="9">
        <v>71.843146341463395</v>
      </c>
      <c r="O86" s="10">
        <v>0.22170204499999999</v>
      </c>
      <c r="P86" s="9">
        <v>1</v>
      </c>
      <c r="Q86" s="9">
        <v>24.202349999999999</v>
      </c>
      <c r="R86" s="9">
        <v>65.7</v>
      </c>
      <c r="S86" s="9">
        <v>110.062073656324</v>
      </c>
      <c r="T86" s="9">
        <v>1.2979452054794525</v>
      </c>
      <c r="U86" s="10">
        <v>-0.33428650312317998</v>
      </c>
      <c r="V86" s="10">
        <v>0.53069771170694002</v>
      </c>
      <c r="W86" s="10">
        <v>27.700831024930746</v>
      </c>
      <c r="X86" s="9">
        <v>73.27999878</v>
      </c>
      <c r="Y86" s="9">
        <v>94</v>
      </c>
      <c r="Z86" s="9">
        <v>-7.19</v>
      </c>
      <c r="AA86" s="9">
        <v>4.3</v>
      </c>
      <c r="AB86" s="9">
        <v>47</v>
      </c>
      <c r="AC86" s="11">
        <v>0.20811518300000001</v>
      </c>
      <c r="AD86" s="9">
        <v>83</v>
      </c>
      <c r="AE86" s="9">
        <v>6.2119999999999997</v>
      </c>
    </row>
    <row r="87" spans="1:31">
      <c r="A87" s="4" t="s">
        <v>206</v>
      </c>
      <c r="B87" s="4" t="s">
        <v>205</v>
      </c>
      <c r="C87" s="10">
        <v>0.78</v>
      </c>
      <c r="D87" s="9" t="e">
        <v>#N/A</v>
      </c>
      <c r="E87" s="9">
        <v>33.36</v>
      </c>
      <c r="F87" s="10">
        <v>7.0000000000000007E-2</v>
      </c>
      <c r="G87" s="10">
        <v>9.48</v>
      </c>
      <c r="H87" s="9">
        <v>4.4634727368978302</v>
      </c>
      <c r="I87" s="9">
        <v>7.5</v>
      </c>
      <c r="J87" s="9">
        <v>100</v>
      </c>
      <c r="K87" s="9">
        <v>80.313921699019403</v>
      </c>
      <c r="L87" s="10">
        <v>0.34</v>
      </c>
      <c r="M87" s="9">
        <v>0</v>
      </c>
      <c r="N87" s="9">
        <v>82.587560975609705</v>
      </c>
      <c r="O87" s="10">
        <v>8.1690700000000005E-3</v>
      </c>
      <c r="P87" s="9">
        <v>1</v>
      </c>
      <c r="Q87" s="9">
        <v>58.03051</v>
      </c>
      <c r="R87" s="9">
        <v>72.8</v>
      </c>
      <c r="S87" s="9">
        <v>90.088585763562193</v>
      </c>
      <c r="T87" s="9">
        <v>0.85429936305732501</v>
      </c>
      <c r="U87" s="10">
        <v>0.95398267034952999</v>
      </c>
      <c r="V87" s="10">
        <v>1.0317753595842301</v>
      </c>
      <c r="W87" s="10">
        <v>3.2921810699588474</v>
      </c>
      <c r="X87" s="9">
        <v>79.600333059999997</v>
      </c>
      <c r="Y87" s="9">
        <v>100</v>
      </c>
      <c r="Z87" s="9">
        <v>3.7</v>
      </c>
      <c r="AA87" s="9">
        <v>0.9</v>
      </c>
      <c r="AB87" s="9" t="e">
        <v>#N/A</v>
      </c>
      <c r="AC87" s="11">
        <v>0.11461318099999999</v>
      </c>
      <c r="AD87" s="9">
        <v>100</v>
      </c>
      <c r="AE87" s="9">
        <v>20.93</v>
      </c>
    </row>
    <row r="88" spans="1:31">
      <c r="A88" s="4" t="s">
        <v>208</v>
      </c>
      <c r="B88" s="4" t="s">
        <v>207</v>
      </c>
      <c r="C88" s="10">
        <v>1.1100000000000001</v>
      </c>
      <c r="D88" s="9">
        <v>0.5</v>
      </c>
      <c r="E88" s="9">
        <v>21.54</v>
      </c>
      <c r="F88" s="10">
        <v>7.0000000000000007E-2</v>
      </c>
      <c r="G88" s="10">
        <v>44.93</v>
      </c>
      <c r="H88" s="9">
        <v>2.7485707880282479</v>
      </c>
      <c r="I88" s="9">
        <v>6.8</v>
      </c>
      <c r="J88" s="9">
        <v>99.9</v>
      </c>
      <c r="K88" s="9">
        <v>96.091205211726404</v>
      </c>
      <c r="L88" s="10">
        <v>0.03</v>
      </c>
      <c r="M88" s="9">
        <v>1.726404313</v>
      </c>
      <c r="N88" s="9">
        <v>72.713560975609695</v>
      </c>
      <c r="O88" s="10">
        <v>0.19739795299999999</v>
      </c>
      <c r="P88" s="9">
        <v>1</v>
      </c>
      <c r="Q88" s="9">
        <v>40.654359999999997</v>
      </c>
      <c r="R88" s="9">
        <v>68.900000000000006</v>
      </c>
      <c r="S88" s="9">
        <v>101.064795832633</v>
      </c>
      <c r="T88" s="9">
        <v>0.90836653386454191</v>
      </c>
      <c r="U88" s="10">
        <v>-0.22655995070893001</v>
      </c>
      <c r="V88" s="10">
        <v>-0.84908780454787003</v>
      </c>
      <c r="W88" s="10" t="e">
        <v>#N/A</v>
      </c>
      <c r="X88" s="9">
        <v>100</v>
      </c>
      <c r="Y88" s="9">
        <v>96</v>
      </c>
      <c r="Z88" s="9">
        <v>-15.71</v>
      </c>
      <c r="AA88" s="9">
        <v>2</v>
      </c>
      <c r="AB88" s="9">
        <v>59</v>
      </c>
      <c r="AC88" s="11">
        <v>9.6219930999999995E-2</v>
      </c>
      <c r="AD88" s="9">
        <v>98</v>
      </c>
      <c r="AE88" s="9">
        <v>99.37</v>
      </c>
    </row>
    <row r="89" spans="1:31">
      <c r="A89" s="4" t="s">
        <v>210</v>
      </c>
      <c r="B89" s="4" t="s">
        <v>209</v>
      </c>
      <c r="C89" s="10">
        <v>0.03</v>
      </c>
      <c r="D89" s="9">
        <v>0.8</v>
      </c>
      <c r="E89" s="9">
        <v>41.78</v>
      </c>
      <c r="F89" s="10">
        <v>0.36</v>
      </c>
      <c r="G89" s="10">
        <v>-18.97</v>
      </c>
      <c r="H89" s="9">
        <v>6.9673749495394333</v>
      </c>
      <c r="I89" s="9">
        <v>3.7</v>
      </c>
      <c r="J89" s="9">
        <v>100</v>
      </c>
      <c r="K89" s="9">
        <v>-108.950804416181</v>
      </c>
      <c r="L89" s="10">
        <v>0.35</v>
      </c>
      <c r="M89" s="9">
        <v>0.33190098600000001</v>
      </c>
      <c r="N89" s="9">
        <v>66.442146341463399</v>
      </c>
      <c r="O89" s="10">
        <v>0.105367979</v>
      </c>
      <c r="P89" s="9">
        <v>1</v>
      </c>
      <c r="Q89" s="9">
        <v>41.118319999999997</v>
      </c>
      <c r="R89" s="9">
        <v>62.1</v>
      </c>
      <c r="S89" s="9">
        <v>94.381451409869101</v>
      </c>
      <c r="T89" s="9">
        <v>0.96894409937888204</v>
      </c>
      <c r="U89" s="10">
        <v>0.64236205674096003</v>
      </c>
      <c r="V89" s="10">
        <v>-1.0363284759965301</v>
      </c>
      <c r="W89" s="10">
        <v>0.166685187243027</v>
      </c>
      <c r="X89" s="9">
        <v>89.88</v>
      </c>
      <c r="Y89" s="9">
        <v>95</v>
      </c>
      <c r="Z89" s="9">
        <v>1.83</v>
      </c>
      <c r="AA89" s="9">
        <v>3</v>
      </c>
      <c r="AB89" s="9">
        <v>249</v>
      </c>
      <c r="AC89" s="11">
        <v>7.6923077000000006E-2</v>
      </c>
      <c r="AD89" s="9">
        <v>97</v>
      </c>
      <c r="AE89" s="9">
        <v>28.94</v>
      </c>
    </row>
    <row r="90" spans="1:31">
      <c r="A90" s="4" t="s">
        <v>212</v>
      </c>
      <c r="B90" s="4" t="s">
        <v>211</v>
      </c>
      <c r="C90" s="10">
        <v>0.25</v>
      </c>
      <c r="D90" s="9">
        <v>4.2</v>
      </c>
      <c r="E90" s="9">
        <v>78.099999999999994</v>
      </c>
      <c r="F90" s="10">
        <v>0.23</v>
      </c>
      <c r="G90" s="10">
        <v>8.99</v>
      </c>
      <c r="H90" s="9">
        <v>0.44850698692213586</v>
      </c>
      <c r="I90" s="9">
        <v>1.2</v>
      </c>
      <c r="J90" s="9">
        <v>15</v>
      </c>
      <c r="K90" s="9">
        <v>16.164474779424001</v>
      </c>
      <c r="L90" s="10">
        <v>0.16300000000000001</v>
      </c>
      <c r="M90" s="9">
        <v>36.066477720000002</v>
      </c>
      <c r="N90" s="9">
        <v>54.237439024390198</v>
      </c>
      <c r="O90" s="10">
        <v>2.6444530300000002</v>
      </c>
      <c r="P90" s="9">
        <v>1</v>
      </c>
      <c r="Q90" s="9">
        <v>4.05206</v>
      </c>
      <c r="R90" s="9">
        <v>57.4</v>
      </c>
      <c r="S90" s="9">
        <v>48.652210195890802</v>
      </c>
      <c r="T90" s="9">
        <v>0.84293193717277515</v>
      </c>
      <c r="U90" s="10">
        <v>-1.29728534926089</v>
      </c>
      <c r="V90" s="10">
        <v>-0.32377116952807</v>
      </c>
      <c r="W90" s="10">
        <v>2.8991109393119445</v>
      </c>
      <c r="X90" s="9">
        <v>14.119999890000001</v>
      </c>
      <c r="Y90" s="9">
        <v>59</v>
      </c>
      <c r="Z90" s="9">
        <v>21.14</v>
      </c>
      <c r="AA90" s="9">
        <v>4.5999999999999996</v>
      </c>
      <c r="AB90" s="9">
        <v>362</v>
      </c>
      <c r="AC90" s="11">
        <v>0.43912737499999999</v>
      </c>
      <c r="AD90" s="9">
        <v>31</v>
      </c>
      <c r="AE90" s="9">
        <v>8.9090000000000007</v>
      </c>
    </row>
    <row r="91" spans="1:31">
      <c r="A91" s="4" t="s">
        <v>214</v>
      </c>
      <c r="B91" s="4" t="s">
        <v>213</v>
      </c>
      <c r="C91" s="10">
        <v>0.82</v>
      </c>
      <c r="D91" s="9" t="e">
        <v>#N/A</v>
      </c>
      <c r="E91" s="9">
        <v>56.08</v>
      </c>
      <c r="F91" s="10">
        <v>0.1</v>
      </c>
      <c r="G91" s="10">
        <v>33.36</v>
      </c>
      <c r="H91" s="9">
        <v>67.808219178082197</v>
      </c>
      <c r="I91" s="9">
        <v>100</v>
      </c>
      <c r="J91" s="9">
        <v>60</v>
      </c>
      <c r="K91" s="9" t="e">
        <v>#N/A</v>
      </c>
      <c r="L91" s="10">
        <v>0.307</v>
      </c>
      <c r="M91" s="9">
        <v>27.01754386</v>
      </c>
      <c r="N91" s="9">
        <v>60.948780487804797</v>
      </c>
      <c r="O91" s="10" t="e">
        <v>#N/A</v>
      </c>
      <c r="P91" s="9">
        <v>1</v>
      </c>
      <c r="Q91" s="9" t="e">
        <v>#N/A</v>
      </c>
      <c r="R91" s="9">
        <v>44.8</v>
      </c>
      <c r="S91" s="9">
        <v>1.01993982355041</v>
      </c>
      <c r="T91" s="9">
        <v>0.48011363636363635</v>
      </c>
      <c r="U91" s="10">
        <v>1.44989250791112</v>
      </c>
      <c r="V91" s="10">
        <v>0.73290971969019003</v>
      </c>
      <c r="W91" s="10" t="e">
        <v>#N/A</v>
      </c>
      <c r="X91" s="9" t="e">
        <v>#N/A</v>
      </c>
      <c r="Y91" s="9">
        <v>61</v>
      </c>
      <c r="Z91" s="9">
        <v>15.62</v>
      </c>
      <c r="AA91" s="9">
        <v>5.0999999999999996</v>
      </c>
      <c r="AB91" s="9">
        <v>206</v>
      </c>
      <c r="AC91" s="11">
        <v>0.26592517700000001</v>
      </c>
      <c r="AD91" s="9">
        <v>31</v>
      </c>
      <c r="AE91" s="9" t="e">
        <v>#N/A</v>
      </c>
    </row>
    <row r="92" spans="1:31">
      <c r="A92" s="4" t="s">
        <v>216</v>
      </c>
      <c r="B92" s="4" t="s">
        <v>215</v>
      </c>
      <c r="C92" s="10">
        <v>0.23</v>
      </c>
      <c r="D92" s="9">
        <v>8.1</v>
      </c>
      <c r="E92" s="9">
        <v>36.96</v>
      </c>
      <c r="F92" s="10">
        <v>0.32</v>
      </c>
      <c r="G92" s="10">
        <v>12.15</v>
      </c>
      <c r="H92" s="9">
        <v>4.3894143023062879</v>
      </c>
      <c r="I92" s="9">
        <v>5.9</v>
      </c>
      <c r="J92" s="9" t="e">
        <v>#N/A</v>
      </c>
      <c r="K92" s="9">
        <v>-2.72951628825271</v>
      </c>
      <c r="L92" s="10" t="e">
        <v>#N/A</v>
      </c>
      <c r="M92" s="9">
        <v>0</v>
      </c>
      <c r="N92" s="9">
        <v>67.156341463414606</v>
      </c>
      <c r="O92" s="10">
        <v>0.42960063300000001</v>
      </c>
      <c r="P92" s="9">
        <v>1</v>
      </c>
      <c r="Q92" s="9" t="e">
        <v>#N/A</v>
      </c>
      <c r="R92" s="9">
        <v>1</v>
      </c>
      <c r="S92" s="9">
        <v>0.28972139711797001</v>
      </c>
      <c r="T92" s="9">
        <v>0.91071428571428503</v>
      </c>
      <c r="U92" s="10">
        <v>-0.24460245686651</v>
      </c>
      <c r="V92" s="10">
        <v>-2.24005836558936</v>
      </c>
      <c r="W92" s="10">
        <v>9.9659496719541565</v>
      </c>
      <c r="X92" s="9">
        <v>2.8332159520000002</v>
      </c>
      <c r="Y92" s="9">
        <v>100</v>
      </c>
      <c r="Z92" s="9">
        <v>11.97</v>
      </c>
      <c r="AA92" s="9">
        <v>2.2000000000000002</v>
      </c>
      <c r="AB92" s="9" t="e">
        <v>#N/A</v>
      </c>
      <c r="AC92" s="11">
        <v>0.30769230800000003</v>
      </c>
      <c r="AD92" s="9">
        <v>59</v>
      </c>
      <c r="AE92" s="9">
        <v>8.9510000000000005</v>
      </c>
    </row>
    <row r="93" spans="1:31">
      <c r="A93" s="4" t="s">
        <v>218</v>
      </c>
      <c r="B93" s="4" t="s">
        <v>217</v>
      </c>
      <c r="C93" s="10">
        <v>0.77</v>
      </c>
      <c r="D93" s="9" t="e">
        <v>#N/A</v>
      </c>
      <c r="E93" s="9">
        <v>18.32</v>
      </c>
      <c r="F93" s="10">
        <v>0.32</v>
      </c>
      <c r="G93" s="10">
        <v>15.47</v>
      </c>
      <c r="H93" s="9">
        <v>5.1571630062462219</v>
      </c>
      <c r="I93" s="9">
        <v>3.2</v>
      </c>
      <c r="J93" s="9">
        <v>26</v>
      </c>
      <c r="K93" s="9">
        <v>80.562368031056096</v>
      </c>
      <c r="L93" s="10">
        <v>0.307</v>
      </c>
      <c r="M93" s="9">
        <v>0</v>
      </c>
      <c r="N93" s="9">
        <v>79.832682926829193</v>
      </c>
      <c r="O93" s="10">
        <v>2.1395605000000002E-2</v>
      </c>
      <c r="P93" s="9">
        <v>1</v>
      </c>
      <c r="Q93" s="9">
        <v>98.091710000000006</v>
      </c>
      <c r="R93" s="9">
        <v>69.8</v>
      </c>
      <c r="S93" s="9">
        <v>98.353178657148106</v>
      </c>
      <c r="T93" s="9">
        <v>0.91275167785234945</v>
      </c>
      <c r="U93" s="10">
        <v>0.21282693032002001</v>
      </c>
      <c r="V93" s="10">
        <v>0.69139013682799999</v>
      </c>
      <c r="W93" s="10">
        <v>17.024349979364423</v>
      </c>
      <c r="X93" s="9">
        <v>78.5</v>
      </c>
      <c r="Y93" s="9">
        <v>98</v>
      </c>
      <c r="Z93" s="9">
        <v>6.79</v>
      </c>
      <c r="AA93" s="9">
        <v>1.2</v>
      </c>
      <c r="AB93" s="9" t="e">
        <v>#N/A</v>
      </c>
      <c r="AC93" s="11">
        <v>6.6513761000000005E-2</v>
      </c>
      <c r="AD93" s="9">
        <v>100</v>
      </c>
      <c r="AE93" s="9">
        <v>36.54</v>
      </c>
    </row>
    <row r="94" spans="1:31">
      <c r="A94" s="4" t="s">
        <v>220</v>
      </c>
      <c r="B94" s="4" t="s">
        <v>219</v>
      </c>
      <c r="C94" s="10">
        <v>1.07</v>
      </c>
      <c r="D94" s="9">
        <v>3.77</v>
      </c>
      <c r="E94" s="9">
        <v>1.62</v>
      </c>
      <c r="F94" s="10">
        <v>0.05</v>
      </c>
      <c r="G94" s="10">
        <v>44.93</v>
      </c>
      <c r="H94" s="9">
        <v>6.156004489337823</v>
      </c>
      <c r="I94" s="9">
        <v>4.9000000000000004</v>
      </c>
      <c r="J94" s="9">
        <v>100</v>
      </c>
      <c r="K94" s="9">
        <v>-481.19888935377099</v>
      </c>
      <c r="L94" s="10">
        <v>0.03</v>
      </c>
      <c r="M94" s="9">
        <v>0</v>
      </c>
      <c r="N94" s="9">
        <v>77.969634146341406</v>
      </c>
      <c r="O94" s="10">
        <v>2.2179603999999999E-2</v>
      </c>
      <c r="P94" s="9">
        <v>1</v>
      </c>
      <c r="Q94" s="9">
        <v>18.90409</v>
      </c>
      <c r="R94" s="9">
        <v>64.900000000000006</v>
      </c>
      <c r="S94" s="9">
        <v>106.559988323108</v>
      </c>
      <c r="T94" s="9">
        <v>0.88624338624338594</v>
      </c>
      <c r="U94" s="10">
        <v>0.41751978518059002</v>
      </c>
      <c r="V94" s="10">
        <v>-0.54293447174049003</v>
      </c>
      <c r="W94" s="10">
        <v>8.4175084175084169</v>
      </c>
      <c r="X94" s="9">
        <v>85</v>
      </c>
      <c r="Y94" s="9">
        <v>99</v>
      </c>
      <c r="Z94" s="9">
        <v>-22.44</v>
      </c>
      <c r="AA94" s="9">
        <v>2.8</v>
      </c>
      <c r="AB94" s="9" t="e">
        <v>#N/A</v>
      </c>
      <c r="AC94" s="11">
        <v>0.110416667</v>
      </c>
      <c r="AD94" s="9">
        <v>100</v>
      </c>
      <c r="AE94" s="9">
        <v>2465</v>
      </c>
    </row>
    <row r="95" spans="1:31">
      <c r="A95" s="4" t="s">
        <v>222</v>
      </c>
      <c r="B95" s="4" t="s">
        <v>221</v>
      </c>
      <c r="C95" s="10">
        <v>0.28999999999999998</v>
      </c>
      <c r="D95" s="9">
        <v>0.3</v>
      </c>
      <c r="E95" s="9">
        <v>63.56</v>
      </c>
      <c r="F95" s="10">
        <v>0.3</v>
      </c>
      <c r="G95" s="10">
        <v>9.82</v>
      </c>
      <c r="H95" s="9" t="e">
        <v>#N/A</v>
      </c>
      <c r="I95" s="9" t="e">
        <v>#N/A</v>
      </c>
      <c r="J95" s="9">
        <v>100</v>
      </c>
      <c r="K95" s="9">
        <v>58.391608391608401</v>
      </c>
      <c r="L95" s="10">
        <v>0.03</v>
      </c>
      <c r="M95" s="9">
        <v>12.115630899999999</v>
      </c>
      <c r="N95" s="9">
        <v>67.369756097560895</v>
      </c>
      <c r="O95" s="10">
        <v>0.221034799</v>
      </c>
      <c r="P95" s="9">
        <v>1</v>
      </c>
      <c r="Q95" s="9">
        <v>50.821849999999998</v>
      </c>
      <c r="R95" s="9">
        <v>61.1</v>
      </c>
      <c r="S95" s="9">
        <v>84.3229425558835</v>
      </c>
      <c r="T95" s="9">
        <v>0.71785714285714275</v>
      </c>
      <c r="U95" s="10">
        <v>-0.54143947964704997</v>
      </c>
      <c r="V95" s="10">
        <v>-0.95579540969091004</v>
      </c>
      <c r="W95" s="10">
        <v>0.78206465067778941</v>
      </c>
      <c r="X95" s="9">
        <v>91.099998470000003</v>
      </c>
      <c r="Y95" s="9">
        <v>90</v>
      </c>
      <c r="Z95" s="9">
        <v>-1.52</v>
      </c>
      <c r="AA95" s="9">
        <v>2.9</v>
      </c>
      <c r="AB95" s="9">
        <v>244</v>
      </c>
      <c r="AC95" s="11">
        <v>0.100810081</v>
      </c>
      <c r="AD95" s="9">
        <v>93</v>
      </c>
      <c r="AE95" s="9">
        <v>43.67</v>
      </c>
    </row>
    <row r="96" spans="1:31">
      <c r="A96" s="4" t="s">
        <v>224</v>
      </c>
      <c r="B96" s="4" t="s">
        <v>223</v>
      </c>
      <c r="C96" s="10">
        <v>0.03</v>
      </c>
      <c r="D96" s="9">
        <v>9</v>
      </c>
      <c r="E96" s="9">
        <v>67.959999999999994</v>
      </c>
      <c r="F96" s="10">
        <v>0.13</v>
      </c>
      <c r="G96" s="10">
        <v>38.94</v>
      </c>
      <c r="H96" s="9" t="e">
        <v>#N/A</v>
      </c>
      <c r="I96" s="9" t="e">
        <v>#N/A</v>
      </c>
      <c r="J96" s="9">
        <v>55</v>
      </c>
      <c r="K96" s="9" t="e">
        <v>#N/A</v>
      </c>
      <c r="L96" s="10">
        <v>0.307</v>
      </c>
      <c r="M96" s="9">
        <v>16.064457740000002</v>
      </c>
      <c r="N96" s="9">
        <v>64.972951219512098</v>
      </c>
      <c r="O96" s="10">
        <v>2.0307149450000002</v>
      </c>
      <c r="P96" s="9">
        <v>1</v>
      </c>
      <c r="Q96" s="9">
        <v>13.3651</v>
      </c>
      <c r="R96" s="9">
        <v>51.3</v>
      </c>
      <c r="S96" s="9">
        <v>51.177570383276198</v>
      </c>
      <c r="T96" s="9">
        <v>0.95549738219895297</v>
      </c>
      <c r="U96" s="10">
        <v>-4.074070387081E-3</v>
      </c>
      <c r="V96" s="10">
        <v>-1.7104788959921999</v>
      </c>
      <c r="W96" s="10">
        <v>4.5493934142114387</v>
      </c>
      <c r="X96" s="9">
        <v>13.54</v>
      </c>
      <c r="Y96" s="9">
        <v>57</v>
      </c>
      <c r="Z96" s="9">
        <v>-1.02</v>
      </c>
      <c r="AA96" s="9">
        <v>3.5</v>
      </c>
      <c r="AB96" s="9">
        <v>242</v>
      </c>
      <c r="AC96" s="11">
        <v>0.29984051</v>
      </c>
      <c r="AD96" s="9">
        <v>53</v>
      </c>
      <c r="AE96" s="9">
        <v>0.89959999999999996</v>
      </c>
    </row>
    <row r="97" spans="1:31">
      <c r="A97" s="4" t="s">
        <v>226</v>
      </c>
      <c r="B97" s="4" t="s">
        <v>225</v>
      </c>
      <c r="C97" s="10">
        <v>0.15</v>
      </c>
      <c r="D97" s="9" t="e">
        <v>#N/A</v>
      </c>
      <c r="E97" s="9">
        <v>31.84</v>
      </c>
      <c r="F97" s="10">
        <v>0.04</v>
      </c>
      <c r="G97" s="10">
        <v>13.56</v>
      </c>
      <c r="H97" s="9">
        <v>1.4984520123839009</v>
      </c>
      <c r="I97" s="9">
        <v>5</v>
      </c>
      <c r="J97" s="9">
        <v>100</v>
      </c>
      <c r="K97" s="9">
        <v>60.102586975914399</v>
      </c>
      <c r="L97" s="10">
        <v>0.35</v>
      </c>
      <c r="M97" s="9">
        <v>0.17478111099999999</v>
      </c>
      <c r="N97" s="9">
        <v>72.238292682926797</v>
      </c>
      <c r="O97" s="10">
        <v>2.8047619999999999E-2</v>
      </c>
      <c r="P97" s="9">
        <v>1</v>
      </c>
      <c r="Q97" s="9">
        <v>69.203100000000006</v>
      </c>
      <c r="R97" s="9">
        <v>65.8</v>
      </c>
      <c r="S97" s="9">
        <v>99.462203475811606</v>
      </c>
      <c r="T97" s="9">
        <v>0.89224137931034486</v>
      </c>
      <c r="U97" s="10">
        <v>0.44069103838536</v>
      </c>
      <c r="V97" s="10">
        <v>0.79211104506573005</v>
      </c>
      <c r="W97" s="10" t="e">
        <v>#N/A</v>
      </c>
      <c r="X97" s="9">
        <v>100</v>
      </c>
      <c r="Y97" s="9">
        <v>99</v>
      </c>
      <c r="Z97" s="9">
        <v>6.72</v>
      </c>
      <c r="AA97" s="9">
        <v>2.8</v>
      </c>
      <c r="AB97" s="9" t="e">
        <v>#N/A</v>
      </c>
      <c r="AC97" s="11">
        <v>3.8314175999999998E-2</v>
      </c>
      <c r="AD97" s="9">
        <v>78</v>
      </c>
      <c r="AE97" s="9">
        <v>1.165</v>
      </c>
    </row>
    <row r="98" spans="1:31">
      <c r="A98" s="4" t="s">
        <v>228</v>
      </c>
      <c r="B98" s="4" t="s">
        <v>227</v>
      </c>
      <c r="C98" s="10">
        <v>0.89</v>
      </c>
      <c r="D98" s="9">
        <v>0.39</v>
      </c>
      <c r="E98" s="9">
        <v>12.92</v>
      </c>
      <c r="F98" s="10">
        <v>0.08</v>
      </c>
      <c r="G98" s="10">
        <v>44.93</v>
      </c>
      <c r="H98" s="9">
        <v>0.21153846153846154</v>
      </c>
      <c r="I98" s="9">
        <v>1.1000000000000001</v>
      </c>
      <c r="J98" s="9">
        <v>99.9</v>
      </c>
      <c r="K98" s="9">
        <v>96.299122472338794</v>
      </c>
      <c r="L98" s="10">
        <v>0.03</v>
      </c>
      <c r="M98" s="9">
        <v>1.3465805870000001</v>
      </c>
      <c r="N98" s="9">
        <v>72.047317073170703</v>
      </c>
      <c r="O98" s="10">
        <v>4.9783940999999998E-2</v>
      </c>
      <c r="P98" s="9">
        <v>1</v>
      </c>
      <c r="Q98" s="9">
        <v>52.518659999999997</v>
      </c>
      <c r="R98" s="9">
        <v>60.1</v>
      </c>
      <c r="S98" s="9">
        <v>36.130717431508501</v>
      </c>
      <c r="T98" s="9">
        <v>0.76923076923076961</v>
      </c>
      <c r="U98" s="10">
        <v>-1.5064939062554801</v>
      </c>
      <c r="V98" s="10">
        <v>-0.33426174703453998</v>
      </c>
      <c r="W98" s="10">
        <v>14.66275659824047</v>
      </c>
      <c r="X98" s="9">
        <v>84.900001529999997</v>
      </c>
      <c r="Y98" s="9">
        <v>100</v>
      </c>
      <c r="Z98" s="9">
        <v>-16.2</v>
      </c>
      <c r="AA98" s="9">
        <v>1.9</v>
      </c>
      <c r="AB98" s="9">
        <v>40</v>
      </c>
      <c r="AC98" s="11">
        <v>6.6666666999999999E-2</v>
      </c>
      <c r="AD98" s="9">
        <v>98</v>
      </c>
      <c r="AE98" s="9">
        <v>28.05</v>
      </c>
    </row>
    <row r="99" spans="1:31">
      <c r="A99" s="4" t="s">
        <v>230</v>
      </c>
      <c r="B99" s="4" t="s">
        <v>229</v>
      </c>
      <c r="C99" s="10">
        <v>0.54</v>
      </c>
      <c r="D99" s="9">
        <v>3.6</v>
      </c>
      <c r="E99" s="9">
        <v>73.819999999999993</v>
      </c>
      <c r="F99" s="10">
        <v>0.14000000000000001</v>
      </c>
      <c r="G99" s="10">
        <v>63.06</v>
      </c>
      <c r="H99" s="9" t="e">
        <v>#N/A</v>
      </c>
      <c r="I99" s="9" t="e">
        <v>#N/A</v>
      </c>
      <c r="J99" s="9">
        <v>16</v>
      </c>
      <c r="K99" s="9" t="e">
        <v>#N/A</v>
      </c>
      <c r="L99" s="10">
        <v>0.16300000000000001</v>
      </c>
      <c r="M99" s="9">
        <v>30.402279490000002</v>
      </c>
      <c r="N99" s="9">
        <v>44.994926829268202</v>
      </c>
      <c r="O99" s="10">
        <v>1.617955289</v>
      </c>
      <c r="P99" s="9">
        <v>1</v>
      </c>
      <c r="Q99" s="9">
        <v>3.6317499999999998</v>
      </c>
      <c r="R99" s="9">
        <v>47.5</v>
      </c>
      <c r="S99" s="9">
        <v>31.979966317015801</v>
      </c>
      <c r="T99" s="9">
        <v>0.8265306122448981</v>
      </c>
      <c r="U99" s="10">
        <v>0.35554576980386998</v>
      </c>
      <c r="V99" s="10">
        <v>-0.13556285839113999</v>
      </c>
      <c r="W99" s="10" t="e">
        <v>#N/A</v>
      </c>
      <c r="X99" s="9">
        <v>18.299999239999998</v>
      </c>
      <c r="Y99" s="9">
        <v>85</v>
      </c>
      <c r="Z99" s="9">
        <v>-7.4</v>
      </c>
      <c r="AA99" s="9">
        <v>3</v>
      </c>
      <c r="AB99" s="9">
        <v>44</v>
      </c>
      <c r="AC99" s="11">
        <v>0.57834101400000004</v>
      </c>
      <c r="AD99" s="9">
        <v>29</v>
      </c>
      <c r="AE99" s="9">
        <v>1.655</v>
      </c>
    </row>
    <row r="100" spans="1:31">
      <c r="A100" s="5" t="s">
        <v>232</v>
      </c>
      <c r="B100" s="5" t="s">
        <v>231</v>
      </c>
      <c r="C100" s="10">
        <v>0.61</v>
      </c>
      <c r="D100" s="9">
        <v>5.9</v>
      </c>
      <c r="E100" s="9">
        <v>39.18</v>
      </c>
      <c r="F100" s="10">
        <v>0.26</v>
      </c>
      <c r="G100" s="10">
        <v>54.41</v>
      </c>
      <c r="H100" s="9" t="e">
        <v>#N/A</v>
      </c>
      <c r="I100" s="9" t="e">
        <v>#N/A</v>
      </c>
      <c r="J100" s="9">
        <v>3.3</v>
      </c>
      <c r="K100" s="9" t="e">
        <v>#N/A</v>
      </c>
      <c r="L100" s="10">
        <v>8.3000000000000004E-2</v>
      </c>
      <c r="M100" s="9">
        <v>47</v>
      </c>
      <c r="N100" s="9">
        <v>58.263121951219503</v>
      </c>
      <c r="O100" s="10">
        <v>5.0952514730000003</v>
      </c>
      <c r="P100" s="9">
        <v>1</v>
      </c>
      <c r="Q100" s="9">
        <v>17.388100000000001</v>
      </c>
      <c r="R100" s="9">
        <v>46.5</v>
      </c>
      <c r="S100" s="9">
        <v>21.289619995453801</v>
      </c>
      <c r="T100" s="9">
        <v>0.91946308724832215</v>
      </c>
      <c r="U100" s="10">
        <v>-0.99325990639489004</v>
      </c>
      <c r="V100" s="10">
        <v>-0.32090781714557998</v>
      </c>
      <c r="W100" s="10">
        <v>1.5573089700996678</v>
      </c>
      <c r="X100" s="9">
        <v>6.1999998090000004</v>
      </c>
      <c r="Y100" s="9">
        <v>68</v>
      </c>
      <c r="Z100" s="9">
        <v>6.67</v>
      </c>
      <c r="AA100" s="9">
        <v>4.5999999999999996</v>
      </c>
      <c r="AB100" s="9">
        <v>885</v>
      </c>
      <c r="AC100" s="11">
        <v>0.48541278700000001</v>
      </c>
      <c r="AD100" s="9">
        <v>17</v>
      </c>
      <c r="AE100" s="9">
        <v>7.6899999999999996E-2</v>
      </c>
    </row>
    <row r="101" spans="1:31" ht="30">
      <c r="A101" s="5" t="s">
        <v>234</v>
      </c>
      <c r="B101" s="5" t="s">
        <v>233</v>
      </c>
      <c r="C101" s="10">
        <v>0.84</v>
      </c>
      <c r="D101" s="9">
        <v>0.78</v>
      </c>
      <c r="E101" s="9">
        <v>22.28</v>
      </c>
      <c r="F101" s="10">
        <v>0.16</v>
      </c>
      <c r="G101" s="10">
        <v>59.9</v>
      </c>
      <c r="H101" s="9">
        <v>0.77378178387533114</v>
      </c>
      <c r="I101" s="9">
        <v>2</v>
      </c>
      <c r="J101" s="9">
        <v>99.8</v>
      </c>
      <c r="K101" s="9">
        <v>-469.35953021239197</v>
      </c>
      <c r="L101" s="10">
        <v>0.03</v>
      </c>
      <c r="M101" s="9">
        <v>1.0435967269999999</v>
      </c>
      <c r="N101" s="9">
        <v>74.328999999999994</v>
      </c>
      <c r="O101" s="10">
        <v>0.18627924100000001</v>
      </c>
      <c r="P101" s="9">
        <v>1</v>
      </c>
      <c r="Q101" s="9">
        <v>55.74295</v>
      </c>
      <c r="R101" s="9">
        <v>38.6</v>
      </c>
      <c r="S101" s="9">
        <v>77.944835804156597</v>
      </c>
      <c r="T101" s="9">
        <v>0.84358047016274862</v>
      </c>
      <c r="U101" s="10">
        <v>0.62027893828172997</v>
      </c>
      <c r="V101" s="10">
        <v>-1.8893431467033801</v>
      </c>
      <c r="W101" s="10">
        <v>8.5249553860668126E-2</v>
      </c>
      <c r="X101" s="9">
        <v>57.200000760000002</v>
      </c>
      <c r="Y101" s="9">
        <v>54</v>
      </c>
      <c r="Z101" s="9">
        <v>-14.76</v>
      </c>
      <c r="AA101" s="9">
        <v>2.5</v>
      </c>
      <c r="AB101" s="9" t="e">
        <v>#N/A</v>
      </c>
      <c r="AC101" s="11">
        <v>8.8010203999999995E-2</v>
      </c>
      <c r="AD101" s="9">
        <v>97</v>
      </c>
      <c r="AE101" s="9">
        <v>718</v>
      </c>
    </row>
    <row r="102" spans="1:31" ht="30">
      <c r="A102" s="5" t="s">
        <v>236</v>
      </c>
      <c r="B102" s="5" t="s">
        <v>235</v>
      </c>
      <c r="C102" s="10" t="e">
        <v>#N/A</v>
      </c>
      <c r="D102" s="9" t="e">
        <v>#N/A</v>
      </c>
      <c r="E102" s="9">
        <v>85.74</v>
      </c>
      <c r="F102" s="10">
        <v>7.0000000000000007E-2</v>
      </c>
      <c r="G102" s="10">
        <v>8.32</v>
      </c>
      <c r="H102" s="9" t="e">
        <v>#N/A</v>
      </c>
      <c r="I102" s="9" t="e">
        <v>#N/A</v>
      </c>
      <c r="J102" s="9">
        <v>100</v>
      </c>
      <c r="K102" s="9" t="e">
        <v>#N/A</v>
      </c>
      <c r="L102" s="10" t="e">
        <v>#N/A</v>
      </c>
      <c r="M102" s="9">
        <v>0</v>
      </c>
      <c r="N102" s="9">
        <v>82.634146341463406</v>
      </c>
      <c r="O102" s="10" t="e">
        <v>#N/A</v>
      </c>
      <c r="P102" s="9" t="e">
        <v>#N/A</v>
      </c>
      <c r="Q102" s="9">
        <v>36.815460000000002</v>
      </c>
      <c r="R102" s="9" t="e">
        <v>#N/A</v>
      </c>
      <c r="S102" s="9">
        <v>97.4631728439754</v>
      </c>
      <c r="T102" s="9">
        <v>0.40584415584415567</v>
      </c>
      <c r="U102" s="10">
        <v>1.5963953530494901</v>
      </c>
      <c r="V102" s="10">
        <v>1.4583858515031101</v>
      </c>
      <c r="W102" s="10" t="e">
        <v>#N/A</v>
      </c>
      <c r="X102" s="9" t="e">
        <v>#N/A</v>
      </c>
      <c r="Y102" s="9" t="e">
        <v>#N/A</v>
      </c>
      <c r="Z102" s="9">
        <v>4.55</v>
      </c>
      <c r="AA102" s="9">
        <v>1.6</v>
      </c>
      <c r="AB102" s="9" t="e">
        <v>#N/A</v>
      </c>
      <c r="AC102" s="11" t="e">
        <v>#N/A</v>
      </c>
      <c r="AD102" s="9" t="e">
        <v>#N/A</v>
      </c>
      <c r="AE102" s="9" t="e">
        <v>#N/A</v>
      </c>
    </row>
    <row r="103" spans="1:31">
      <c r="A103" s="5" t="s">
        <v>238</v>
      </c>
      <c r="B103" s="5" t="s">
        <v>237</v>
      </c>
      <c r="C103" s="10">
        <v>0.13</v>
      </c>
      <c r="D103" s="9" t="e">
        <v>#N/A</v>
      </c>
      <c r="E103" s="9">
        <v>32.92</v>
      </c>
      <c r="F103" s="10">
        <v>0.2</v>
      </c>
      <c r="G103" s="10">
        <v>13.56</v>
      </c>
      <c r="H103" s="9">
        <v>0.16564417177914109</v>
      </c>
      <c r="I103" s="9">
        <v>1</v>
      </c>
      <c r="J103" s="9">
        <v>100</v>
      </c>
      <c r="K103" s="9">
        <v>58.014601721695598</v>
      </c>
      <c r="L103" s="10">
        <v>0.35</v>
      </c>
      <c r="M103" s="9">
        <v>1.126771725</v>
      </c>
      <c r="N103" s="9">
        <v>71.821707317073106</v>
      </c>
      <c r="O103" s="10">
        <v>1.7195459999999999E-2</v>
      </c>
      <c r="P103" s="9">
        <v>1</v>
      </c>
      <c r="Q103" s="9">
        <v>77.30265</v>
      </c>
      <c r="R103" s="9">
        <v>71.3</v>
      </c>
      <c r="S103" s="9">
        <v>148.567890883502</v>
      </c>
      <c r="T103" s="9">
        <v>1.1341463414634143</v>
      </c>
      <c r="U103" s="10">
        <v>0.66064765158879002</v>
      </c>
      <c r="V103" s="10">
        <v>0.87964419997139998</v>
      </c>
      <c r="W103" s="10" t="e">
        <v>#N/A</v>
      </c>
      <c r="X103" s="9">
        <v>28.6</v>
      </c>
      <c r="Y103" s="9" t="e">
        <v>#N/A</v>
      </c>
      <c r="Z103" s="9">
        <v>6.18</v>
      </c>
      <c r="AA103" s="9">
        <v>2.8</v>
      </c>
      <c r="AB103" s="9" t="e">
        <v>#N/A</v>
      </c>
      <c r="AC103" s="11">
        <v>4.2983565000000001E-2</v>
      </c>
      <c r="AD103" s="9" t="e">
        <v>#N/A</v>
      </c>
      <c r="AE103" s="9">
        <v>9.5500000000000007</v>
      </c>
    </row>
    <row r="104" spans="1:31" ht="30">
      <c r="A104" s="5" t="s">
        <v>240</v>
      </c>
      <c r="B104" s="5" t="s">
        <v>239</v>
      </c>
      <c r="C104" s="10">
        <v>0.93</v>
      </c>
      <c r="D104" s="9" t="e">
        <v>#N/A</v>
      </c>
      <c r="E104" s="9">
        <v>17.68</v>
      </c>
      <c r="F104" s="10">
        <v>0.14000000000000001</v>
      </c>
      <c r="G104" s="10">
        <v>8.32</v>
      </c>
      <c r="H104" s="9" t="e">
        <v>#N/A</v>
      </c>
      <c r="I104" s="9" t="e">
        <v>#N/A</v>
      </c>
      <c r="J104" s="9">
        <v>100</v>
      </c>
      <c r="K104" s="9">
        <v>97.947665469471502</v>
      </c>
      <c r="L104" s="10">
        <v>2.7E-2</v>
      </c>
      <c r="M104" s="9">
        <v>3.430061883</v>
      </c>
      <c r="N104" s="9">
        <v>80.524634146341398</v>
      </c>
      <c r="O104" s="10">
        <v>2.6553753999999999E-2</v>
      </c>
      <c r="P104" s="9">
        <v>1</v>
      </c>
      <c r="Q104" s="9">
        <v>9.9537800000000001</v>
      </c>
      <c r="R104" s="9">
        <v>76.2</v>
      </c>
      <c r="S104" s="9">
        <v>144.41984999618401</v>
      </c>
      <c r="T104" s="9">
        <v>0.84042553191489366</v>
      </c>
      <c r="U104" s="10">
        <v>1.44359779580795</v>
      </c>
      <c r="V104" s="10">
        <v>1.54943490873928</v>
      </c>
      <c r="W104" s="10" t="e">
        <v>#N/A</v>
      </c>
      <c r="X104" s="9">
        <v>100</v>
      </c>
      <c r="Y104" s="9">
        <v>100</v>
      </c>
      <c r="Z104" s="9">
        <v>-5.18</v>
      </c>
      <c r="AA104" s="9">
        <v>1.8</v>
      </c>
      <c r="AB104" s="9">
        <v>2</v>
      </c>
      <c r="AC104" s="11">
        <v>5.8962264E-2</v>
      </c>
      <c r="AD104" s="9">
        <v>100</v>
      </c>
      <c r="AE104" s="9">
        <v>1.9419999999999999</v>
      </c>
    </row>
    <row r="105" spans="1:31" ht="30">
      <c r="A105" s="5" t="s">
        <v>242</v>
      </c>
      <c r="B105" s="5" t="s">
        <v>241</v>
      </c>
      <c r="C105" s="10">
        <v>0.13</v>
      </c>
      <c r="D105" s="9">
        <v>11.3</v>
      </c>
      <c r="E105" s="9">
        <v>70.14</v>
      </c>
      <c r="F105" s="10">
        <v>0.05</v>
      </c>
      <c r="G105" s="10">
        <v>43.59</v>
      </c>
      <c r="H105" s="9">
        <v>1.1028209321340965</v>
      </c>
      <c r="I105" s="9">
        <v>1.2</v>
      </c>
      <c r="J105" s="9">
        <v>19</v>
      </c>
      <c r="K105" s="9" t="e">
        <v>#N/A</v>
      </c>
      <c r="L105" s="10">
        <v>8.3000000000000004E-2</v>
      </c>
      <c r="M105" s="9">
        <v>28.311670230000001</v>
      </c>
      <c r="N105" s="9">
        <v>60.341487804878</v>
      </c>
      <c r="O105" s="10">
        <v>2.2207030219999999</v>
      </c>
      <c r="P105" s="9">
        <v>1</v>
      </c>
      <c r="Q105" s="9">
        <v>3.58263</v>
      </c>
      <c r="R105" s="9">
        <v>61.2</v>
      </c>
      <c r="S105" s="9">
        <v>30.5601367233579</v>
      </c>
      <c r="T105" s="9">
        <v>0.97175732217573196</v>
      </c>
      <c r="U105" s="10">
        <v>-0.66998077839514003</v>
      </c>
      <c r="V105" s="10">
        <v>-0.62108053137317998</v>
      </c>
      <c r="W105" s="10">
        <v>0.51587165113319811</v>
      </c>
      <c r="X105" s="9">
        <v>11.600000380000001</v>
      </c>
      <c r="Y105" s="9">
        <v>41</v>
      </c>
      <c r="Z105" s="9">
        <v>-6.85</v>
      </c>
      <c r="AA105" s="9">
        <v>4.4000000000000004</v>
      </c>
      <c r="AB105" s="9">
        <v>540</v>
      </c>
      <c r="AC105" s="11">
        <v>0.349016253</v>
      </c>
      <c r="AD105" s="9">
        <v>11</v>
      </c>
      <c r="AE105" s="9">
        <v>4.3559999999999999</v>
      </c>
    </row>
    <row r="106" spans="1:31">
      <c r="A106" s="5" t="s">
        <v>244</v>
      </c>
      <c r="B106" s="5" t="s">
        <v>243</v>
      </c>
      <c r="C106" s="10">
        <v>0.05</v>
      </c>
      <c r="D106" s="9">
        <v>3.6</v>
      </c>
      <c r="E106" s="9">
        <v>80.7</v>
      </c>
      <c r="F106" s="10">
        <v>0.06</v>
      </c>
      <c r="G106" s="10">
        <v>52.08</v>
      </c>
      <c r="H106" s="9" t="e">
        <v>#N/A</v>
      </c>
      <c r="I106" s="9" t="e">
        <v>#N/A</v>
      </c>
      <c r="J106" s="9">
        <v>9</v>
      </c>
      <c r="K106" s="9" t="e">
        <v>#N/A</v>
      </c>
      <c r="L106" s="10">
        <v>0.16300000000000001</v>
      </c>
      <c r="M106" s="9">
        <v>99.142224510000005</v>
      </c>
      <c r="N106" s="9">
        <v>53.059097560975601</v>
      </c>
      <c r="O106" s="10">
        <v>2.7398511700000001</v>
      </c>
      <c r="P106" s="9">
        <v>1</v>
      </c>
      <c r="Q106" s="9">
        <v>0.49319000000000002</v>
      </c>
      <c r="R106" s="9">
        <v>55.8</v>
      </c>
      <c r="S106" s="9">
        <v>15.7238710047691</v>
      </c>
      <c r="T106" s="9">
        <v>0.92913385826771655</v>
      </c>
      <c r="U106" s="10">
        <v>-5.8973646220602E-2</v>
      </c>
      <c r="V106" s="10">
        <v>-0.21670360986496001</v>
      </c>
      <c r="W106" s="10">
        <v>19.132653061224492</v>
      </c>
      <c r="X106" s="9">
        <v>45.020000459999999</v>
      </c>
      <c r="Y106" s="9">
        <v>80</v>
      </c>
      <c r="Z106" s="9">
        <v>-0.45</v>
      </c>
      <c r="AA106" s="9">
        <v>4.2</v>
      </c>
      <c r="AB106" s="9">
        <v>617</v>
      </c>
      <c r="AC106" s="11">
        <v>0.493174061</v>
      </c>
      <c r="AD106" s="9">
        <v>56</v>
      </c>
      <c r="AE106" s="9">
        <v>5.6109999999999998</v>
      </c>
    </row>
    <row r="107" spans="1:31">
      <c r="A107" s="5" t="s">
        <v>246</v>
      </c>
      <c r="B107" s="5" t="s">
        <v>245</v>
      </c>
      <c r="C107" s="10">
        <v>0.83</v>
      </c>
      <c r="D107" s="9">
        <v>0.6</v>
      </c>
      <c r="E107" s="9">
        <v>28.72</v>
      </c>
      <c r="F107" s="10">
        <v>0.32</v>
      </c>
      <c r="G107" s="10">
        <v>37.44</v>
      </c>
      <c r="H107" s="9">
        <v>7.2139499620924949</v>
      </c>
      <c r="I107" s="9">
        <v>15.4</v>
      </c>
      <c r="J107" s="9">
        <v>99.4</v>
      </c>
      <c r="K107" s="9">
        <v>-27.9980205641392</v>
      </c>
      <c r="L107" s="10">
        <v>0.307</v>
      </c>
      <c r="M107" s="9">
        <v>1.3555599E-2</v>
      </c>
      <c r="N107" s="9">
        <v>74.379707317073098</v>
      </c>
      <c r="O107" s="10">
        <v>8.2329578E-2</v>
      </c>
      <c r="P107" s="9">
        <v>1</v>
      </c>
      <c r="Q107" s="9">
        <v>36.456150000000001</v>
      </c>
      <c r="R107" s="9">
        <v>66.3</v>
      </c>
      <c r="S107" s="9">
        <v>110.598442826059</v>
      </c>
      <c r="T107" s="9">
        <v>0.88336713995943184</v>
      </c>
      <c r="U107" s="10">
        <v>6.5159487210418005E-2</v>
      </c>
      <c r="V107" s="10">
        <v>-0.5306719825524</v>
      </c>
      <c r="W107" s="10">
        <v>6.3917211992086447</v>
      </c>
      <c r="X107" s="9">
        <v>82.772813330000005</v>
      </c>
      <c r="Y107" s="9">
        <v>100</v>
      </c>
      <c r="Z107" s="9">
        <v>0.21</v>
      </c>
      <c r="AA107" s="9">
        <v>4.5</v>
      </c>
      <c r="AB107" s="9">
        <v>33</v>
      </c>
      <c r="AC107" s="11">
        <v>0.242782152</v>
      </c>
      <c r="AD107" s="9">
        <v>96</v>
      </c>
      <c r="AE107" s="9">
        <v>2.1379999999999999</v>
      </c>
    </row>
    <row r="108" spans="1:31">
      <c r="A108" s="5" t="s">
        <v>248</v>
      </c>
      <c r="B108" s="5" t="s">
        <v>247</v>
      </c>
      <c r="C108" s="10">
        <v>1.1599999999999999</v>
      </c>
      <c r="D108" s="9">
        <v>7.2</v>
      </c>
      <c r="E108" s="9">
        <v>60.82</v>
      </c>
      <c r="F108" s="10">
        <v>0.04</v>
      </c>
      <c r="G108" s="10">
        <v>33.36</v>
      </c>
      <c r="H108" s="9">
        <v>71.666666666666671</v>
      </c>
      <c r="I108" s="9">
        <v>100</v>
      </c>
      <c r="J108" s="9">
        <v>100</v>
      </c>
      <c r="K108" s="9" t="e">
        <v>#N/A</v>
      </c>
      <c r="L108" s="10">
        <v>0.18</v>
      </c>
      <c r="M108" s="9">
        <v>1.219117915</v>
      </c>
      <c r="N108" s="9">
        <v>71.582121951219506</v>
      </c>
      <c r="O108" s="10">
        <v>8.1389592999999996E-2</v>
      </c>
      <c r="P108" s="9">
        <v>1</v>
      </c>
      <c r="Q108" s="9">
        <v>0.20498</v>
      </c>
      <c r="R108" s="9">
        <v>48.3</v>
      </c>
      <c r="S108" s="9">
        <v>147.93976020424699</v>
      </c>
      <c r="T108" s="9">
        <v>0.66631799163179906</v>
      </c>
      <c r="U108" s="10">
        <v>-0.14644384736959001</v>
      </c>
      <c r="V108" s="10">
        <v>-0.14030669218937999</v>
      </c>
      <c r="W108" s="10" t="e">
        <v>#N/A</v>
      </c>
      <c r="X108" s="9">
        <v>100</v>
      </c>
      <c r="Y108" s="9">
        <v>91</v>
      </c>
      <c r="Z108" s="9">
        <v>0.56999999999999995</v>
      </c>
      <c r="AA108" s="9">
        <v>4.9000000000000004</v>
      </c>
      <c r="AB108" s="9">
        <v>167</v>
      </c>
      <c r="AC108" s="11">
        <v>8.3098591999999999E-2</v>
      </c>
      <c r="AD108" s="9">
        <v>98</v>
      </c>
      <c r="AE108" s="9">
        <v>15.67</v>
      </c>
    </row>
    <row r="109" spans="1:31">
      <c r="A109" s="5" t="s">
        <v>250</v>
      </c>
      <c r="B109" s="5" t="s">
        <v>249</v>
      </c>
      <c r="C109" s="10">
        <v>0.09</v>
      </c>
      <c r="D109" s="9">
        <v>9.9</v>
      </c>
      <c r="E109" s="9">
        <v>67.260000000000005</v>
      </c>
      <c r="F109" s="10">
        <v>0.44</v>
      </c>
      <c r="G109" s="10">
        <v>59.23</v>
      </c>
      <c r="H109" s="9" t="e">
        <v>#N/A</v>
      </c>
      <c r="I109" s="9" t="e">
        <v>#N/A</v>
      </c>
      <c r="J109" s="9">
        <v>17.399999999999999</v>
      </c>
      <c r="K109" s="9" t="e">
        <v>#N/A</v>
      </c>
      <c r="L109" s="10">
        <v>8.3000000000000004E-2</v>
      </c>
      <c r="M109" s="9">
        <v>25.598154579999999</v>
      </c>
      <c r="N109" s="9">
        <v>48.429024390243903</v>
      </c>
      <c r="O109" s="10">
        <v>4.5525913569999998</v>
      </c>
      <c r="P109" s="9">
        <v>1</v>
      </c>
      <c r="Q109" s="9">
        <v>6.0063899999999997</v>
      </c>
      <c r="R109" s="9">
        <v>56.3</v>
      </c>
      <c r="S109" s="9">
        <v>28.762028342511599</v>
      </c>
      <c r="T109" s="9">
        <v>1.0879478827361564</v>
      </c>
      <c r="U109" s="10">
        <v>-0.26580278005211</v>
      </c>
      <c r="V109" s="10">
        <v>0.15153960712271</v>
      </c>
      <c r="W109" s="10">
        <v>0.86052172202689736</v>
      </c>
      <c r="X109" s="9">
        <v>19.03553299</v>
      </c>
      <c r="Y109" s="9">
        <v>56</v>
      </c>
      <c r="Z109" s="9">
        <v>4.95</v>
      </c>
      <c r="AA109" s="9">
        <v>4.0999999999999996</v>
      </c>
      <c r="AB109" s="9">
        <v>880</v>
      </c>
      <c r="AC109" s="11">
        <v>0.50674019599999998</v>
      </c>
      <c r="AD109" s="9">
        <v>36</v>
      </c>
      <c r="AE109" s="9">
        <v>6.5460000000000003</v>
      </c>
    </row>
    <row r="110" spans="1:31">
      <c r="A110" s="5" t="s">
        <v>252</v>
      </c>
      <c r="B110" s="5" t="s">
        <v>251</v>
      </c>
      <c r="C110" s="10">
        <v>1.01</v>
      </c>
      <c r="D110" s="9" t="e">
        <v>#N/A</v>
      </c>
      <c r="E110" s="9">
        <v>5.52</v>
      </c>
      <c r="F110" s="10">
        <v>0.14000000000000001</v>
      </c>
      <c r="G110" s="10">
        <v>8.32</v>
      </c>
      <c r="H110" s="9" t="e">
        <v>#N/A</v>
      </c>
      <c r="I110" s="9">
        <v>3.7</v>
      </c>
      <c r="J110" s="9">
        <v>100</v>
      </c>
      <c r="K110" s="9">
        <v>99.877899877899907</v>
      </c>
      <c r="L110" s="10">
        <v>2.7E-2</v>
      </c>
      <c r="M110" s="9">
        <v>0</v>
      </c>
      <c r="N110" s="9">
        <v>79.640975609756097</v>
      </c>
      <c r="O110" s="10">
        <v>1.0888745E-2</v>
      </c>
      <c r="P110" s="9">
        <v>1</v>
      </c>
      <c r="Q110" s="9">
        <v>32.190309999999997</v>
      </c>
      <c r="R110" s="9">
        <v>65.7</v>
      </c>
      <c r="S110" s="9">
        <v>101.7138547031</v>
      </c>
      <c r="T110" s="9">
        <v>0.91339491916859139</v>
      </c>
      <c r="U110" s="10">
        <v>1.0625310602112901</v>
      </c>
      <c r="V110" s="10">
        <v>1.2051322280518599</v>
      </c>
      <c r="W110" s="10" t="e">
        <v>#N/A</v>
      </c>
      <c r="X110" s="9">
        <v>87.53</v>
      </c>
      <c r="Y110" s="9">
        <v>100</v>
      </c>
      <c r="Z110" s="9">
        <v>-16.62</v>
      </c>
      <c r="AA110" s="9">
        <v>2.4</v>
      </c>
      <c r="AB110" s="9" t="e">
        <v>#N/A</v>
      </c>
      <c r="AC110" s="11">
        <v>5.9090908999999997E-2</v>
      </c>
      <c r="AD110" s="9">
        <v>100</v>
      </c>
      <c r="AE110" s="9">
        <v>71.290000000000006</v>
      </c>
    </row>
    <row r="111" spans="1:31" ht="30">
      <c r="A111" s="5" t="s">
        <v>254</v>
      </c>
      <c r="B111" s="5" t="s">
        <v>253</v>
      </c>
      <c r="C111" s="10" t="e">
        <v>#N/A</v>
      </c>
      <c r="D111" s="9" t="e">
        <v>#N/A</v>
      </c>
      <c r="E111" s="9">
        <v>28.56</v>
      </c>
      <c r="F111" s="10">
        <v>0.1</v>
      </c>
      <c r="G111" s="10">
        <v>33.36</v>
      </c>
      <c r="H111" s="9" t="e">
        <v>#N/A</v>
      </c>
      <c r="I111" s="9" t="e">
        <v>#N/A</v>
      </c>
      <c r="J111" s="9">
        <v>74.5</v>
      </c>
      <c r="K111" s="9" t="e">
        <v>#N/A</v>
      </c>
      <c r="L111" s="10">
        <v>0.307</v>
      </c>
      <c r="M111" s="9">
        <v>57.675864750000002</v>
      </c>
      <c r="N111" s="9">
        <v>65.239024390243898</v>
      </c>
      <c r="O111" s="10" t="e">
        <v>#N/A</v>
      </c>
      <c r="P111" s="9">
        <v>1</v>
      </c>
      <c r="Q111" s="9">
        <v>15.87494</v>
      </c>
      <c r="R111" s="9" t="e">
        <v>#N/A</v>
      </c>
      <c r="S111" s="9">
        <v>1.6386572514278801</v>
      </c>
      <c r="T111" s="9">
        <v>0.5669745958429564</v>
      </c>
      <c r="U111" s="10">
        <v>1.4604498785144699</v>
      </c>
      <c r="V111" s="10">
        <v>1.1129127716030001</v>
      </c>
      <c r="W111" s="10" t="e">
        <v>#N/A</v>
      </c>
      <c r="X111" s="9" t="e">
        <v>#N/A</v>
      </c>
      <c r="Y111" s="9">
        <v>94</v>
      </c>
      <c r="Z111" s="9">
        <v>10.29</v>
      </c>
      <c r="AA111" s="9">
        <v>4.9000000000000004</v>
      </c>
      <c r="AB111" s="9">
        <v>202</v>
      </c>
      <c r="AC111" s="11">
        <v>0.20200235599999999</v>
      </c>
      <c r="AD111" s="9">
        <v>73</v>
      </c>
      <c r="AE111" s="9" t="e">
        <v>#N/A</v>
      </c>
    </row>
    <row r="112" spans="1:31">
      <c r="A112" s="5" t="s">
        <v>256</v>
      </c>
      <c r="B112" s="5" t="s">
        <v>255</v>
      </c>
      <c r="C112" s="10">
        <v>0.64</v>
      </c>
      <c r="D112" s="9">
        <v>7.3</v>
      </c>
      <c r="E112" s="9">
        <v>58.8</v>
      </c>
      <c r="F112" s="10" t="e">
        <v>#N/A</v>
      </c>
      <c r="G112" s="10">
        <v>56.74</v>
      </c>
      <c r="H112" s="9">
        <v>0.11321085888134799</v>
      </c>
      <c r="I112" s="9">
        <v>7.2</v>
      </c>
      <c r="J112" s="9">
        <v>30.1</v>
      </c>
      <c r="K112" s="9" t="e">
        <v>#N/A</v>
      </c>
      <c r="L112" s="10">
        <v>8.3000000000000004E-2</v>
      </c>
      <c r="M112" s="9">
        <v>25.56491097</v>
      </c>
      <c r="N112" s="9">
        <v>56.7288292682926</v>
      </c>
      <c r="O112" s="10">
        <v>2.4292074029999999</v>
      </c>
      <c r="P112" s="9">
        <v>1</v>
      </c>
      <c r="Q112" s="9">
        <v>3.8105799999999999</v>
      </c>
      <c r="R112" s="9">
        <v>52.1</v>
      </c>
      <c r="S112" s="9">
        <v>66.3170578278324</v>
      </c>
      <c r="T112" s="9">
        <v>1.2959641255605383</v>
      </c>
      <c r="U112" s="10">
        <v>-1.1685960332387799</v>
      </c>
      <c r="V112" s="10">
        <v>-1.0107171211332899</v>
      </c>
      <c r="W112" s="10">
        <v>0.87319297564761811</v>
      </c>
      <c r="X112" s="9">
        <v>26.847999999999999</v>
      </c>
      <c r="Y112" s="9">
        <v>49</v>
      </c>
      <c r="Z112" s="9">
        <v>-19.079999999999998</v>
      </c>
      <c r="AA112" s="9">
        <v>3.9</v>
      </c>
      <c r="AB112" s="9">
        <v>390</v>
      </c>
      <c r="AC112" s="11">
        <v>0.40809084499999998</v>
      </c>
      <c r="AD112" s="9">
        <v>26</v>
      </c>
      <c r="AE112" s="9">
        <v>14.03</v>
      </c>
    </row>
    <row r="113" spans="1:31">
      <c r="A113" s="5" t="s">
        <v>258</v>
      </c>
      <c r="B113" s="5" t="s">
        <v>257</v>
      </c>
      <c r="C113" s="10">
        <v>1.04</v>
      </c>
      <c r="D113" s="9">
        <v>2.6</v>
      </c>
      <c r="E113" s="9">
        <v>57.46</v>
      </c>
      <c r="F113" s="10">
        <v>0.17</v>
      </c>
      <c r="G113" s="10">
        <v>33.36</v>
      </c>
      <c r="H113" s="9" t="e">
        <v>#N/A</v>
      </c>
      <c r="I113" s="9" t="e">
        <v>#N/A</v>
      </c>
      <c r="J113" s="9">
        <v>99.4</v>
      </c>
      <c r="K113" s="9" t="e">
        <v>#N/A</v>
      </c>
      <c r="L113" s="10">
        <v>8.3000000000000004E-2</v>
      </c>
      <c r="M113" s="9">
        <v>1.642279112</v>
      </c>
      <c r="N113" s="9">
        <v>72.570731707316995</v>
      </c>
      <c r="O113" s="10">
        <v>6.4405748999999998E-2</v>
      </c>
      <c r="P113" s="9">
        <v>1</v>
      </c>
      <c r="Q113" s="9">
        <v>25.904129999999999</v>
      </c>
      <c r="R113" s="9">
        <v>76.2</v>
      </c>
      <c r="S113" s="9">
        <v>85.213549822280299</v>
      </c>
      <c r="T113" s="9">
        <v>0.85299806576402315</v>
      </c>
      <c r="U113" s="10">
        <v>0.61020449633495999</v>
      </c>
      <c r="V113" s="10">
        <v>0.79192288121320997</v>
      </c>
      <c r="W113" s="10" t="e">
        <v>#N/A</v>
      </c>
      <c r="X113" s="9">
        <v>98.03</v>
      </c>
      <c r="Y113" s="9">
        <v>99</v>
      </c>
      <c r="Z113" s="9">
        <v>-8.98</v>
      </c>
      <c r="AA113" s="9">
        <v>4.4000000000000004</v>
      </c>
      <c r="AB113" s="9">
        <v>7</v>
      </c>
      <c r="AC113" s="11">
        <v>6.8601582999999994E-2</v>
      </c>
      <c r="AD113" s="9">
        <v>91</v>
      </c>
      <c r="AE113" s="9">
        <v>26.35</v>
      </c>
    </row>
    <row r="114" spans="1:31">
      <c r="A114" s="5" t="s">
        <v>260</v>
      </c>
      <c r="B114" s="5" t="s">
        <v>259</v>
      </c>
      <c r="C114" s="10">
        <v>0.39</v>
      </c>
      <c r="D114" s="9">
        <v>1.56</v>
      </c>
      <c r="E114" s="9">
        <v>22.5</v>
      </c>
      <c r="F114" s="10">
        <v>0.16</v>
      </c>
      <c r="G114" s="10">
        <v>58.9</v>
      </c>
      <c r="H114" s="9">
        <v>2.8568583392911857</v>
      </c>
      <c r="I114" s="9">
        <v>3.1</v>
      </c>
      <c r="J114" s="9">
        <v>98.5</v>
      </c>
      <c r="K114" s="9">
        <v>-25.651062289295702</v>
      </c>
      <c r="L114" s="10">
        <v>0.127</v>
      </c>
      <c r="M114" s="9">
        <v>1.2199361000000001E-2</v>
      </c>
      <c r="N114" s="9">
        <v>75.065452584390201</v>
      </c>
      <c r="O114" s="10">
        <v>0.20191603899999999</v>
      </c>
      <c r="P114" s="9">
        <v>1</v>
      </c>
      <c r="Q114" s="9">
        <v>27.189679999999999</v>
      </c>
      <c r="R114" s="9">
        <v>67.8</v>
      </c>
      <c r="S114" s="9">
        <v>77.750087988970705</v>
      </c>
      <c r="T114" s="9">
        <v>1.0138121546961325</v>
      </c>
      <c r="U114" s="10">
        <v>-0.68342025724934996</v>
      </c>
      <c r="V114" s="10">
        <v>0.13099198169164</v>
      </c>
      <c r="W114" s="10">
        <v>1.4660870907173538</v>
      </c>
      <c r="X114" s="9">
        <v>35.28</v>
      </c>
      <c r="Y114" s="9">
        <v>94</v>
      </c>
      <c r="Z114" s="9">
        <v>-12.9</v>
      </c>
      <c r="AA114" s="9">
        <v>2.9</v>
      </c>
      <c r="AB114" s="9">
        <v>23</v>
      </c>
      <c r="AC114" s="11">
        <v>0.11003236199999999</v>
      </c>
      <c r="AD114" s="9">
        <v>85</v>
      </c>
      <c r="AE114" s="9">
        <v>17.45</v>
      </c>
    </row>
    <row r="115" spans="1:31" ht="45">
      <c r="A115" s="5" t="s">
        <v>262</v>
      </c>
      <c r="B115" s="5" t="s">
        <v>261</v>
      </c>
      <c r="C115" s="10" t="e">
        <v>#N/A</v>
      </c>
      <c r="D115" s="9" t="e">
        <v>#N/A</v>
      </c>
      <c r="E115" s="9">
        <v>77.38</v>
      </c>
      <c r="F115" s="10">
        <v>0.04</v>
      </c>
      <c r="G115" s="10">
        <v>33.36</v>
      </c>
      <c r="H115" s="9" t="e">
        <v>#N/A</v>
      </c>
      <c r="I115" s="9" t="e">
        <v>#N/A</v>
      </c>
      <c r="J115" s="9">
        <v>54</v>
      </c>
      <c r="K115" s="9" t="e">
        <v>#N/A</v>
      </c>
      <c r="L115" s="10">
        <v>0.307</v>
      </c>
      <c r="M115" s="9">
        <v>68.713136730000002</v>
      </c>
      <c r="N115" s="9">
        <v>68.583024390243907</v>
      </c>
      <c r="O115" s="10" t="e">
        <v>#N/A</v>
      </c>
      <c r="P115" s="9">
        <v>1</v>
      </c>
      <c r="Q115" s="9">
        <v>14.09599</v>
      </c>
      <c r="R115" s="9">
        <v>50.3</v>
      </c>
      <c r="S115" s="9">
        <v>34.318329600462398</v>
      </c>
      <c r="T115" s="9">
        <v>0.45256609642301709</v>
      </c>
      <c r="U115" s="10">
        <v>1.3021263214084799</v>
      </c>
      <c r="V115" s="10">
        <v>1.05110152699488</v>
      </c>
      <c r="W115" s="10" t="e">
        <v>#N/A</v>
      </c>
      <c r="X115" s="9">
        <v>17.5</v>
      </c>
      <c r="Y115" s="9">
        <v>94</v>
      </c>
      <c r="Z115" s="9" t="e">
        <v>#N/A</v>
      </c>
      <c r="AA115" s="9" t="e">
        <v>#N/A</v>
      </c>
      <c r="AB115" s="9">
        <v>83</v>
      </c>
      <c r="AC115" s="11">
        <v>0.215498938</v>
      </c>
      <c r="AD115" s="9">
        <v>27</v>
      </c>
      <c r="AE115" s="9" t="e">
        <v>#N/A</v>
      </c>
    </row>
    <row r="116" spans="1:31" ht="30">
      <c r="A116" s="5" t="s">
        <v>264</v>
      </c>
      <c r="B116" s="5" t="s">
        <v>263</v>
      </c>
      <c r="C116" s="10">
        <v>0.15</v>
      </c>
      <c r="D116" s="9">
        <v>0.5</v>
      </c>
      <c r="E116" s="9">
        <v>58.52</v>
      </c>
      <c r="F116" s="10" t="e">
        <v>#N/A</v>
      </c>
      <c r="G116" s="10">
        <v>13.56</v>
      </c>
      <c r="H116" s="9">
        <v>1.2703101920236337</v>
      </c>
      <c r="I116" s="9">
        <v>1</v>
      </c>
      <c r="J116" s="9">
        <v>100</v>
      </c>
      <c r="K116" s="9">
        <v>96.761904761904802</v>
      </c>
      <c r="L116" s="10">
        <v>0.35</v>
      </c>
      <c r="M116" s="9">
        <v>3.9211112049999999</v>
      </c>
      <c r="N116" s="9">
        <v>68.437146341463404</v>
      </c>
      <c r="O116" s="10">
        <v>4.9218460999999998E-2</v>
      </c>
      <c r="P116" s="9">
        <v>1</v>
      </c>
      <c r="Q116" s="9">
        <v>38.292859999999997</v>
      </c>
      <c r="R116" s="9">
        <v>55.7</v>
      </c>
      <c r="S116" s="9">
        <v>77.281181160791803</v>
      </c>
      <c r="T116" s="9">
        <v>1.4843750000000002</v>
      </c>
      <c r="U116" s="10">
        <v>-0.50491867194768003</v>
      </c>
      <c r="V116" s="10">
        <v>-0.30956337499703002</v>
      </c>
      <c r="W116" s="10">
        <v>18.242626938279113</v>
      </c>
      <c r="X116" s="9">
        <v>85.8</v>
      </c>
      <c r="Y116" s="9">
        <v>90</v>
      </c>
      <c r="Z116" s="9">
        <v>-1.1000000000000001</v>
      </c>
      <c r="AA116" s="9">
        <v>2.1</v>
      </c>
      <c r="AB116" s="9">
        <v>15</v>
      </c>
      <c r="AC116" s="11">
        <v>6.0204081999999999E-2</v>
      </c>
      <c r="AD116" s="9">
        <v>79</v>
      </c>
      <c r="AE116" s="9">
        <v>16.440000000000001</v>
      </c>
    </row>
    <row r="117" spans="1:31">
      <c r="A117" s="5" t="s">
        <v>266</v>
      </c>
      <c r="B117" s="5" t="s">
        <v>265</v>
      </c>
      <c r="C117" s="10" t="e">
        <v>#N/A</v>
      </c>
      <c r="D117" s="9" t="e">
        <v>#N/A</v>
      </c>
      <c r="E117" s="9">
        <v>0</v>
      </c>
      <c r="F117" s="10">
        <v>0.23</v>
      </c>
      <c r="G117" s="10">
        <v>8.32</v>
      </c>
      <c r="H117" s="9" t="e">
        <v>#N/A</v>
      </c>
      <c r="I117" s="9" t="e">
        <v>#N/A</v>
      </c>
      <c r="J117" s="9">
        <v>100</v>
      </c>
      <c r="K117" s="9" t="e">
        <v>#N/A</v>
      </c>
      <c r="L117" s="10">
        <v>2.7E-2</v>
      </c>
      <c r="M117" s="9">
        <v>0</v>
      </c>
      <c r="N117" s="9" t="e">
        <v>#N/A</v>
      </c>
      <c r="O117" s="10" t="e">
        <v>#N/A</v>
      </c>
      <c r="P117" s="9">
        <v>1</v>
      </c>
      <c r="Q117" s="9" t="e">
        <v>#N/A</v>
      </c>
      <c r="R117" s="9" t="e">
        <v>#N/A</v>
      </c>
      <c r="S117" s="9" t="e">
        <v>#N/A</v>
      </c>
      <c r="T117" s="9">
        <v>0.34246575342465757</v>
      </c>
      <c r="U117" s="10">
        <v>1.0895475628057301</v>
      </c>
      <c r="V117" s="10">
        <v>0.91103867598406996</v>
      </c>
      <c r="W117" s="10" t="e">
        <v>#N/A</v>
      </c>
      <c r="X117" s="9">
        <v>100</v>
      </c>
      <c r="Y117" s="9">
        <v>100</v>
      </c>
      <c r="Z117" s="9">
        <v>-3.17</v>
      </c>
      <c r="AA117" s="9">
        <v>1.5</v>
      </c>
      <c r="AB117" s="9">
        <v>2</v>
      </c>
      <c r="AC117" s="11">
        <v>5.7291666999999998E-2</v>
      </c>
      <c r="AD117" s="9">
        <v>100</v>
      </c>
      <c r="AE117" s="9" t="e">
        <v>#N/A</v>
      </c>
    </row>
    <row r="118" spans="1:31">
      <c r="A118" s="5" t="s">
        <v>268</v>
      </c>
      <c r="B118" s="5" t="s">
        <v>267</v>
      </c>
      <c r="C118" s="10">
        <v>0.28000000000000003</v>
      </c>
      <c r="D118" s="9">
        <v>0.3</v>
      </c>
      <c r="E118" s="9">
        <v>32.6</v>
      </c>
      <c r="F118" s="10">
        <v>0.16</v>
      </c>
      <c r="G118" s="10">
        <v>14.31</v>
      </c>
      <c r="H118" s="9" t="e">
        <v>#N/A</v>
      </c>
      <c r="I118" s="9" t="e">
        <v>#N/A</v>
      </c>
      <c r="J118" s="9">
        <v>100</v>
      </c>
      <c r="K118" s="9">
        <v>44.666451820818601</v>
      </c>
      <c r="L118" s="10" t="e">
        <v>#N/A</v>
      </c>
      <c r="M118" s="9">
        <v>1.012437845</v>
      </c>
      <c r="N118" s="9">
        <v>74.211317073170704</v>
      </c>
      <c r="O118" s="10">
        <v>1.3657311E-2</v>
      </c>
      <c r="P118" s="9">
        <v>1</v>
      </c>
      <c r="Q118" s="9">
        <v>40.381720000000001</v>
      </c>
      <c r="R118" s="9">
        <v>66</v>
      </c>
      <c r="S118" s="9">
        <v>95.139839528730704</v>
      </c>
      <c r="T118" s="9">
        <v>1.4531249999999998</v>
      </c>
      <c r="U118" s="10">
        <v>-0.21642341459348</v>
      </c>
      <c r="V118" s="10">
        <v>0.12878097762633001</v>
      </c>
      <c r="W118" s="10">
        <v>29.492725127801808</v>
      </c>
      <c r="X118" s="9">
        <v>56.54</v>
      </c>
      <c r="Y118" s="9">
        <v>100</v>
      </c>
      <c r="Z118" s="9" t="e">
        <v>#N/A</v>
      </c>
      <c r="AA118" s="9">
        <v>1.1000000000000001</v>
      </c>
      <c r="AB118" s="9" t="e">
        <v>#N/A</v>
      </c>
      <c r="AC118" s="11">
        <v>3.2608696E-2</v>
      </c>
      <c r="AD118" s="9">
        <v>89</v>
      </c>
      <c r="AE118" s="9">
        <v>16.059999999999999</v>
      </c>
    </row>
    <row r="119" spans="1:31">
      <c r="A119" s="5" t="s">
        <v>270</v>
      </c>
      <c r="B119" s="5" t="s">
        <v>269</v>
      </c>
      <c r="C119" s="10">
        <v>0.7</v>
      </c>
      <c r="D119" s="9">
        <v>1.1000000000000001</v>
      </c>
      <c r="E119" s="9">
        <v>42.66</v>
      </c>
      <c r="F119" s="10">
        <v>0.13</v>
      </c>
      <c r="G119" s="10">
        <v>12.15</v>
      </c>
      <c r="H119" s="9" t="e">
        <v>#N/A</v>
      </c>
      <c r="I119" s="9" t="e">
        <v>#N/A</v>
      </c>
      <c r="J119" s="9">
        <v>67</v>
      </c>
      <c r="K119" s="9">
        <v>-23.4137055837563</v>
      </c>
      <c r="L119" s="10">
        <v>0.307</v>
      </c>
      <c r="M119" s="9">
        <v>7.4755094460000002</v>
      </c>
      <c r="N119" s="9">
        <v>66.569414634146298</v>
      </c>
      <c r="O119" s="10">
        <v>0.13623299</v>
      </c>
      <c r="P119" s="9">
        <v>1</v>
      </c>
      <c r="Q119" s="9">
        <v>52.742179999999998</v>
      </c>
      <c r="R119" s="9">
        <v>59.5</v>
      </c>
      <c r="S119" s="9">
        <v>84.202606847110701</v>
      </c>
      <c r="T119" s="9">
        <v>0.71323529411764719</v>
      </c>
      <c r="U119" s="10">
        <v>0.32541331675917001</v>
      </c>
      <c r="V119" s="10">
        <v>-4.9576992861965E-2</v>
      </c>
      <c r="W119" s="10">
        <v>0.38620973763485156</v>
      </c>
      <c r="X119" s="9">
        <v>3.5</v>
      </c>
      <c r="Y119" s="9">
        <v>76</v>
      </c>
      <c r="Z119" s="9">
        <v>15.61</v>
      </c>
      <c r="AA119" s="9">
        <v>3.8</v>
      </c>
      <c r="AB119" s="9">
        <v>195</v>
      </c>
      <c r="AC119" s="11">
        <v>0.10113636400000001</v>
      </c>
      <c r="AD119" s="9">
        <v>50</v>
      </c>
      <c r="AE119" s="9">
        <v>1.4370000000000001</v>
      </c>
    </row>
    <row r="120" spans="1:31" ht="30">
      <c r="A120" s="5" t="s">
        <v>272</v>
      </c>
      <c r="B120" s="5" t="s">
        <v>271</v>
      </c>
      <c r="C120" s="10">
        <v>0.44</v>
      </c>
      <c r="D120" s="9">
        <v>0.7</v>
      </c>
      <c r="E120" s="9">
        <v>40.159999999999997</v>
      </c>
      <c r="F120" s="10">
        <v>0.25</v>
      </c>
      <c r="G120" s="10">
        <v>14</v>
      </c>
      <c r="H120" s="9" t="e">
        <v>#N/A</v>
      </c>
      <c r="I120" s="9" t="e">
        <v>#N/A</v>
      </c>
      <c r="J120" s="9">
        <v>100</v>
      </c>
      <c r="K120" s="9" t="e">
        <v>#N/A</v>
      </c>
      <c r="L120" s="10" t="e">
        <v>#N/A</v>
      </c>
      <c r="M120" s="9">
        <v>1.0866755109999999</v>
      </c>
      <c r="N120" s="9">
        <v>74.097536585365802</v>
      </c>
      <c r="O120" s="10">
        <v>2.5193450999999999E-2</v>
      </c>
      <c r="P120" s="9">
        <v>1</v>
      </c>
      <c r="Q120" s="9" t="e">
        <v>#N/A</v>
      </c>
      <c r="R120" s="9">
        <v>62.5</v>
      </c>
      <c r="S120" s="9">
        <v>120.471697962074</v>
      </c>
      <c r="T120" s="9">
        <v>0.33769633507853369</v>
      </c>
      <c r="U120" s="10">
        <v>0.54861296975995999</v>
      </c>
      <c r="V120" s="10">
        <v>0.29913378497941001</v>
      </c>
      <c r="W120" s="10" t="e">
        <v>#N/A</v>
      </c>
      <c r="X120" s="9" t="e">
        <v>#N/A</v>
      </c>
      <c r="Y120" s="9">
        <v>98</v>
      </c>
      <c r="Z120" s="9" t="e">
        <v>#N/A</v>
      </c>
      <c r="AA120" s="9" t="e">
        <v>#N/A</v>
      </c>
      <c r="AB120" s="9" t="e">
        <v>#N/A</v>
      </c>
      <c r="AC120" s="11">
        <v>2.4637681000000002E-2</v>
      </c>
      <c r="AD120" s="9">
        <v>92</v>
      </c>
      <c r="AE120" s="9" t="e">
        <v>#N/A</v>
      </c>
    </row>
    <row r="121" spans="1:31">
      <c r="A121" s="5" t="s">
        <v>274</v>
      </c>
      <c r="B121" s="5" t="s">
        <v>273</v>
      </c>
      <c r="C121" s="10">
        <v>0.63</v>
      </c>
      <c r="D121" s="9">
        <v>2</v>
      </c>
      <c r="E121" s="9">
        <v>43.64</v>
      </c>
      <c r="F121" s="10" t="e">
        <v>#N/A</v>
      </c>
      <c r="G121" s="10">
        <v>64.89</v>
      </c>
      <c r="H121" s="9">
        <v>0.41899003471055873</v>
      </c>
      <c r="I121" s="9">
        <v>5</v>
      </c>
      <c r="J121" s="9">
        <v>97</v>
      </c>
      <c r="K121" s="9">
        <v>95.746811778059694</v>
      </c>
      <c r="L121" s="10">
        <v>0.313</v>
      </c>
      <c r="M121" s="9">
        <v>0.196354997</v>
      </c>
      <c r="N121" s="9">
        <v>71.2917804878048</v>
      </c>
      <c r="O121" s="10">
        <v>0.27784189599999998</v>
      </c>
      <c r="P121" s="9">
        <v>1</v>
      </c>
      <c r="Q121" s="9">
        <v>12.883010000000001</v>
      </c>
      <c r="R121" s="9">
        <v>59.6</v>
      </c>
      <c r="S121" s="9">
        <v>79.114439992858294</v>
      </c>
      <c r="T121" s="9">
        <v>0.24051407588739299</v>
      </c>
      <c r="U121" s="10">
        <v>-0.42732639926244997</v>
      </c>
      <c r="V121" s="10">
        <v>-0.79127833414324</v>
      </c>
      <c r="W121" s="10">
        <v>3.3609679587721262</v>
      </c>
      <c r="X121" s="9">
        <v>67.77</v>
      </c>
      <c r="Y121" s="9">
        <v>81</v>
      </c>
      <c r="Z121" s="9">
        <v>-19.190000000000001</v>
      </c>
      <c r="AA121" s="9">
        <v>2</v>
      </c>
      <c r="AB121" s="9">
        <v>114</v>
      </c>
      <c r="AC121" s="11">
        <v>0.140921409</v>
      </c>
      <c r="AD121" s="9">
        <v>69</v>
      </c>
      <c r="AE121" s="9">
        <v>43.41</v>
      </c>
    </row>
    <row r="122" spans="1:31" ht="30">
      <c r="A122" s="5" t="s">
        <v>276</v>
      </c>
      <c r="B122" s="5" t="s">
        <v>275</v>
      </c>
      <c r="C122" s="10">
        <v>0.33</v>
      </c>
      <c r="D122" s="9">
        <v>4.3</v>
      </c>
      <c r="E122" s="9">
        <v>62.38</v>
      </c>
      <c r="F122" s="10">
        <v>0.45</v>
      </c>
      <c r="G122" s="10">
        <v>36.11</v>
      </c>
      <c r="H122" s="9">
        <v>2.0043912723462123</v>
      </c>
      <c r="I122" s="9">
        <v>6.2</v>
      </c>
      <c r="J122" s="9">
        <v>11.7</v>
      </c>
      <c r="K122" s="9">
        <v>-23.040584066995901</v>
      </c>
      <c r="L122" s="10">
        <v>0.16300000000000001</v>
      </c>
      <c r="M122" s="9">
        <v>71.952460360000003</v>
      </c>
      <c r="N122" s="9">
        <v>47.894463414634103</v>
      </c>
      <c r="O122" s="10">
        <v>2.6861560099999999</v>
      </c>
      <c r="P122" s="9">
        <v>1</v>
      </c>
      <c r="Q122" s="9">
        <v>1.4542600000000001</v>
      </c>
      <c r="R122" s="9">
        <v>56.8</v>
      </c>
      <c r="S122" s="9">
        <v>26.0797777821845</v>
      </c>
      <c r="T122" s="9">
        <v>0.95547945205479423</v>
      </c>
      <c r="U122" s="10">
        <v>0.47899839652140003</v>
      </c>
      <c r="V122" s="10">
        <v>-6.7670918013848003E-2</v>
      </c>
      <c r="W122" s="10">
        <v>1.9074747577507059</v>
      </c>
      <c r="X122" s="9">
        <v>20.78</v>
      </c>
      <c r="Y122" s="9">
        <v>47</v>
      </c>
      <c r="Z122" s="9">
        <v>-1.9</v>
      </c>
      <c r="AA122" s="9">
        <v>4.7</v>
      </c>
      <c r="AB122" s="9">
        <v>388</v>
      </c>
      <c r="AC122" s="11">
        <v>0.474231913</v>
      </c>
      <c r="AD122" s="9">
        <v>17</v>
      </c>
      <c r="AE122" s="9">
        <v>0.34279999999999999</v>
      </c>
    </row>
    <row r="123" spans="1:31">
      <c r="A123" s="5" t="s">
        <v>278</v>
      </c>
      <c r="B123" s="5" t="s">
        <v>277</v>
      </c>
      <c r="C123" s="10">
        <v>0.01</v>
      </c>
      <c r="D123" s="9">
        <v>7.4</v>
      </c>
      <c r="E123" s="9">
        <v>66.760000000000005</v>
      </c>
      <c r="F123" s="10">
        <v>0.25</v>
      </c>
      <c r="G123" s="10">
        <v>65.39</v>
      </c>
      <c r="H123" s="9">
        <v>2.6131425699843329</v>
      </c>
      <c r="I123" s="9">
        <v>9.1</v>
      </c>
      <c r="J123" s="9">
        <v>13</v>
      </c>
      <c r="K123" s="9">
        <v>-47.450379730678399</v>
      </c>
      <c r="L123" s="10">
        <v>0.18</v>
      </c>
      <c r="M123" s="9">
        <v>10.16135381</v>
      </c>
      <c r="N123" s="9">
        <v>61.554853658536501</v>
      </c>
      <c r="O123" s="10">
        <v>0.56959703800000006</v>
      </c>
      <c r="P123" s="9">
        <v>1</v>
      </c>
      <c r="Q123" s="9">
        <v>10.737019999999999</v>
      </c>
      <c r="R123" s="9" t="e">
        <v>#N/A</v>
      </c>
      <c r="S123" s="9">
        <v>0.89564577209714002</v>
      </c>
      <c r="T123" s="9">
        <v>1.1859956236323854</v>
      </c>
      <c r="U123" s="10">
        <v>-1.7154739554671301</v>
      </c>
      <c r="V123" s="10">
        <v>-2.16963373081163</v>
      </c>
      <c r="W123" s="10">
        <v>1.147631289019464</v>
      </c>
      <c r="X123" s="9">
        <v>11.850000380000001</v>
      </c>
      <c r="Y123" s="9">
        <v>71</v>
      </c>
      <c r="Z123" s="9">
        <v>-1.52</v>
      </c>
      <c r="AA123" s="9">
        <v>3.5</v>
      </c>
      <c r="AB123" s="9">
        <v>378</v>
      </c>
      <c r="AC123" s="11">
        <v>0.31254237299999998</v>
      </c>
      <c r="AD123" s="9">
        <v>81</v>
      </c>
      <c r="AE123" s="9">
        <v>2.8450000000000002</v>
      </c>
    </row>
    <row r="124" spans="1:31">
      <c r="A124" s="5" t="s">
        <v>280</v>
      </c>
      <c r="B124" s="5" t="s">
        <v>279</v>
      </c>
      <c r="C124" s="10">
        <v>0.6</v>
      </c>
      <c r="D124" s="9">
        <v>3.3</v>
      </c>
      <c r="E124" s="9">
        <v>62.58</v>
      </c>
      <c r="F124" s="10">
        <v>0.03</v>
      </c>
      <c r="G124" s="10">
        <v>78.040000000000006</v>
      </c>
      <c r="H124" s="9">
        <v>0.13830084072353177</v>
      </c>
      <c r="I124" s="9" t="e">
        <v>#N/A</v>
      </c>
      <c r="J124" s="9">
        <v>34</v>
      </c>
      <c r="K124" s="9">
        <v>81.906392694063896</v>
      </c>
      <c r="L124" s="10">
        <v>0.16300000000000001</v>
      </c>
      <c r="M124" s="9">
        <v>14.91795864</v>
      </c>
      <c r="N124" s="9">
        <v>61.013585365853601</v>
      </c>
      <c r="O124" s="10">
        <v>0.61208820600000002</v>
      </c>
      <c r="P124" s="9">
        <v>1</v>
      </c>
      <c r="Q124" s="9">
        <v>8.9353499999999997</v>
      </c>
      <c r="R124" s="9">
        <v>62.7</v>
      </c>
      <c r="S124" s="9">
        <v>56.0535792996941</v>
      </c>
      <c r="T124" s="9">
        <v>0.72787318361955111</v>
      </c>
      <c r="U124" s="10">
        <v>0.80447411724561002</v>
      </c>
      <c r="V124" s="10">
        <v>0.30404664017913002</v>
      </c>
      <c r="W124" s="10">
        <v>0.72878329628684912</v>
      </c>
      <c r="X124" s="9">
        <v>12.80000019</v>
      </c>
      <c r="Y124" s="9">
        <v>92</v>
      </c>
      <c r="Z124" s="9">
        <v>-22.08</v>
      </c>
      <c r="AA124" s="9">
        <v>4.3</v>
      </c>
      <c r="AB124" s="9">
        <v>21</v>
      </c>
      <c r="AC124" s="11">
        <v>0.413325108</v>
      </c>
      <c r="AD124" s="9">
        <v>33</v>
      </c>
      <c r="AE124" s="9">
        <v>1.6910000000000001</v>
      </c>
    </row>
    <row r="125" spans="1:31">
      <c r="A125" s="5" t="s">
        <v>282</v>
      </c>
      <c r="B125" s="5" t="s">
        <v>281</v>
      </c>
      <c r="C125" s="10" t="e">
        <v>#N/A</v>
      </c>
      <c r="D125" s="9" t="e">
        <v>#N/A</v>
      </c>
      <c r="E125" s="9" t="e">
        <v>#N/A</v>
      </c>
      <c r="F125" s="10">
        <v>0.23</v>
      </c>
      <c r="G125" s="10">
        <v>33.36</v>
      </c>
      <c r="H125" s="9">
        <v>105</v>
      </c>
      <c r="I125" s="9">
        <v>100</v>
      </c>
      <c r="J125" s="9">
        <v>99.9</v>
      </c>
      <c r="K125" s="9" t="e">
        <v>#N/A</v>
      </c>
      <c r="L125" s="10">
        <v>0.307</v>
      </c>
      <c r="M125" s="9">
        <v>0</v>
      </c>
      <c r="N125" s="9" t="e">
        <v>#N/A</v>
      </c>
      <c r="O125" s="10" t="e">
        <v>#N/A</v>
      </c>
      <c r="P125" s="9" t="e">
        <v>#N/A</v>
      </c>
      <c r="Q125" s="9" t="e">
        <v>#N/A</v>
      </c>
      <c r="R125" s="9" t="e">
        <v>#N/A</v>
      </c>
      <c r="S125" s="9" t="e">
        <v>#N/A</v>
      </c>
      <c r="T125" s="9">
        <v>5.5075593952483966E-2</v>
      </c>
      <c r="U125" s="10">
        <v>1.4604498785144699</v>
      </c>
      <c r="V125" s="10">
        <v>1.0608784355305201</v>
      </c>
      <c r="W125" s="10" t="e">
        <v>#N/A</v>
      </c>
      <c r="X125" s="9" t="e">
        <v>#N/A</v>
      </c>
      <c r="Y125" s="9" t="e">
        <v>#N/A</v>
      </c>
      <c r="Z125" s="9">
        <v>14.96</v>
      </c>
      <c r="AA125" s="9">
        <v>5</v>
      </c>
      <c r="AB125" s="9" t="e">
        <v>#N/A</v>
      </c>
      <c r="AC125" s="11">
        <v>0.16205266700000001</v>
      </c>
      <c r="AD125" s="9" t="e">
        <v>#N/A</v>
      </c>
      <c r="AE125" s="9" t="e">
        <v>#N/A</v>
      </c>
    </row>
    <row r="126" spans="1:31">
      <c r="A126" s="5" t="s">
        <v>284</v>
      </c>
      <c r="B126" s="5" t="s">
        <v>283</v>
      </c>
      <c r="C126" s="10">
        <v>0.05</v>
      </c>
      <c r="D126" s="9">
        <v>10</v>
      </c>
      <c r="E126" s="9">
        <v>82.28</v>
      </c>
      <c r="F126" s="10" t="e">
        <v>#N/A</v>
      </c>
      <c r="G126" s="10">
        <v>28.79</v>
      </c>
      <c r="H126" s="9" t="e">
        <v>#N/A</v>
      </c>
      <c r="I126" s="9" t="e">
        <v>#N/A</v>
      </c>
      <c r="J126" s="9">
        <v>43.6</v>
      </c>
      <c r="K126" s="9">
        <v>10.878661087866099</v>
      </c>
      <c r="L126" s="10">
        <v>0.18</v>
      </c>
      <c r="M126" s="9">
        <v>13.742478500000001</v>
      </c>
      <c r="N126" s="9">
        <v>66.690073170731694</v>
      </c>
      <c r="O126" s="10">
        <v>1.24247251</v>
      </c>
      <c r="P126" s="9">
        <v>1</v>
      </c>
      <c r="Q126" s="9">
        <v>5.5510799999999998</v>
      </c>
      <c r="R126" s="9">
        <v>50.1</v>
      </c>
      <c r="S126" s="9">
        <v>25.972171294016199</v>
      </c>
      <c r="T126" s="9">
        <v>1.3846153846153848</v>
      </c>
      <c r="U126" s="10">
        <v>-1.8082192340070999</v>
      </c>
      <c r="V126" s="10">
        <v>-0.57542415852422002</v>
      </c>
      <c r="W126" s="10">
        <v>9.4175095919079173</v>
      </c>
      <c r="X126" s="9">
        <v>55.85</v>
      </c>
      <c r="Y126" s="9">
        <v>88</v>
      </c>
      <c r="Z126" s="9">
        <v>6.57</v>
      </c>
      <c r="AA126" s="9">
        <v>0.6</v>
      </c>
      <c r="AB126" s="9">
        <v>337</v>
      </c>
      <c r="AC126" s="11">
        <v>0.332677165</v>
      </c>
      <c r="AD126" s="9">
        <v>31</v>
      </c>
      <c r="AE126" s="9">
        <v>4.7859999999999996</v>
      </c>
    </row>
    <row r="127" spans="1:31" ht="30">
      <c r="A127" s="5" t="s">
        <v>286</v>
      </c>
      <c r="B127" s="5" t="s">
        <v>285</v>
      </c>
      <c r="C127" s="10">
        <v>1.22</v>
      </c>
      <c r="D127" s="9" t="e">
        <v>#N/A</v>
      </c>
      <c r="E127" s="9">
        <v>17.64</v>
      </c>
      <c r="F127" s="10">
        <v>0.03</v>
      </c>
      <c r="G127" s="10">
        <v>11.65</v>
      </c>
      <c r="H127" s="9">
        <v>48.993498675656149</v>
      </c>
      <c r="I127" s="9">
        <v>63</v>
      </c>
      <c r="J127" s="9">
        <v>100</v>
      </c>
      <c r="K127" s="9">
        <v>18.5336734561747</v>
      </c>
      <c r="L127" s="10">
        <v>2.7E-2</v>
      </c>
      <c r="M127" s="9">
        <v>0</v>
      </c>
      <c r="N127" s="9">
        <v>80.400731707316993</v>
      </c>
      <c r="O127" s="10">
        <v>1.417801E-2</v>
      </c>
      <c r="P127" s="9">
        <v>1</v>
      </c>
      <c r="Q127" s="9">
        <v>60.601790000000001</v>
      </c>
      <c r="R127" s="9">
        <v>74.7</v>
      </c>
      <c r="S127" s="9">
        <v>128.13274024404899</v>
      </c>
      <c r="T127" s="9">
        <v>0.6456166419019318</v>
      </c>
      <c r="U127" s="10">
        <v>0.94677761564711005</v>
      </c>
      <c r="V127" s="10">
        <v>1.5514139921858701</v>
      </c>
      <c r="W127" s="10">
        <v>13.329383886255924</v>
      </c>
      <c r="X127" s="9">
        <v>90</v>
      </c>
      <c r="Y127" s="9">
        <v>100</v>
      </c>
      <c r="Z127" s="9">
        <v>0.16</v>
      </c>
      <c r="AA127" s="9">
        <v>2</v>
      </c>
      <c r="AB127" s="9" t="e">
        <v>#N/A</v>
      </c>
      <c r="AC127" s="11">
        <v>6.5573770000000003E-2</v>
      </c>
      <c r="AD127" s="9">
        <v>100</v>
      </c>
      <c r="AE127" s="9">
        <v>11.66</v>
      </c>
    </row>
    <row r="128" spans="1:31" ht="30">
      <c r="A128" s="5" t="s">
        <v>288</v>
      </c>
      <c r="B128" s="5" t="s">
        <v>287</v>
      </c>
      <c r="C128" s="10">
        <v>0.42</v>
      </c>
      <c r="D128" s="9" t="e">
        <v>#N/A</v>
      </c>
      <c r="E128" s="9">
        <v>13.32</v>
      </c>
      <c r="F128" s="10">
        <v>0.06</v>
      </c>
      <c r="G128" s="10">
        <v>-3.66</v>
      </c>
      <c r="H128" s="9">
        <v>2.5283702362030089</v>
      </c>
      <c r="I128" s="9">
        <v>12.5</v>
      </c>
      <c r="J128" s="9">
        <v>100</v>
      </c>
      <c r="K128" s="9">
        <v>14.2572724256166</v>
      </c>
      <c r="L128" s="10">
        <v>0.34</v>
      </c>
      <c r="M128" s="9">
        <v>0</v>
      </c>
      <c r="N128" s="9">
        <v>80.151219512195098</v>
      </c>
      <c r="O128" s="10">
        <v>2.6419607000000001E-2</v>
      </c>
      <c r="P128" s="9">
        <v>1</v>
      </c>
      <c r="Q128" s="9">
        <v>78.452430000000007</v>
      </c>
      <c r="R128" s="9">
        <v>82.3</v>
      </c>
      <c r="S128" s="9">
        <v>108.902173409333</v>
      </c>
      <c r="T128" s="9">
        <v>0.74249422632794471</v>
      </c>
      <c r="U128" s="10">
        <v>0.99190616337860005</v>
      </c>
      <c r="V128" s="10">
        <v>1.49166054814112</v>
      </c>
      <c r="W128" s="10">
        <v>3.9221545702439209</v>
      </c>
      <c r="X128" s="9">
        <v>65.89</v>
      </c>
      <c r="Y128" s="9">
        <v>100</v>
      </c>
      <c r="Z128" s="9">
        <v>7.89</v>
      </c>
      <c r="AA128" s="9">
        <v>2.7</v>
      </c>
      <c r="AB128" s="9" t="e">
        <v>#N/A</v>
      </c>
      <c r="AC128" s="11">
        <v>3.5629453999999998E-2</v>
      </c>
      <c r="AD128" s="9" t="e">
        <v>#N/A</v>
      </c>
      <c r="AE128" s="9">
        <v>1.454</v>
      </c>
    </row>
    <row r="129" spans="1:31">
      <c r="A129" s="5" t="s">
        <v>290</v>
      </c>
      <c r="B129" s="5" t="s">
        <v>289</v>
      </c>
      <c r="C129" s="10">
        <v>0.4</v>
      </c>
      <c r="D129" s="9">
        <v>0.6</v>
      </c>
      <c r="E129" s="9">
        <v>42.98</v>
      </c>
      <c r="F129" s="10">
        <v>0.04</v>
      </c>
      <c r="G129" s="10">
        <v>39.43</v>
      </c>
      <c r="H129" s="9">
        <v>5.4930769230769227</v>
      </c>
      <c r="I129" s="9">
        <v>1.8</v>
      </c>
      <c r="J129" s="9">
        <v>72.099999999999994</v>
      </c>
      <c r="K129" s="9">
        <v>38.522727272727302</v>
      </c>
      <c r="L129" s="10">
        <v>0.09</v>
      </c>
      <c r="M129" s="9">
        <v>11.775330569999999</v>
      </c>
      <c r="N129" s="9">
        <v>73.141999999999996</v>
      </c>
      <c r="O129" s="10">
        <v>0.33240775500000003</v>
      </c>
      <c r="P129" s="9">
        <v>1</v>
      </c>
      <c r="Q129" s="9">
        <v>18.04729</v>
      </c>
      <c r="R129" s="9">
        <v>58.8</v>
      </c>
      <c r="S129" s="9">
        <v>55.797990527268901</v>
      </c>
      <c r="T129" s="9">
        <v>1.1849315068493151</v>
      </c>
      <c r="U129" s="10">
        <v>-0.50993055301533996</v>
      </c>
      <c r="V129" s="10">
        <v>-0.49198153908918002</v>
      </c>
      <c r="W129" s="10">
        <v>5.0004167013917824</v>
      </c>
      <c r="X129" s="9">
        <v>12</v>
      </c>
      <c r="Y129" s="9">
        <v>85</v>
      </c>
      <c r="Z129" s="9">
        <v>-4</v>
      </c>
      <c r="AA129" s="9">
        <v>4.3</v>
      </c>
      <c r="AB129" s="9">
        <v>102</v>
      </c>
      <c r="AC129" s="11">
        <v>0.13530326600000001</v>
      </c>
      <c r="AD129" s="9">
        <v>52</v>
      </c>
      <c r="AE129" s="9">
        <v>0.65510000000000002</v>
      </c>
    </row>
    <row r="130" spans="1:31">
      <c r="A130" s="5" t="s">
        <v>292</v>
      </c>
      <c r="B130" s="5" t="s">
        <v>291</v>
      </c>
      <c r="C130" s="10">
        <v>0.08</v>
      </c>
      <c r="D130" s="9">
        <v>12</v>
      </c>
      <c r="E130" s="9">
        <v>83.38</v>
      </c>
      <c r="F130" s="10">
        <v>0.03</v>
      </c>
      <c r="G130" s="10">
        <v>56.74</v>
      </c>
      <c r="H130" s="9" t="e">
        <v>#N/A</v>
      </c>
      <c r="I130" s="9" t="e">
        <v>#N/A</v>
      </c>
      <c r="J130" s="9">
        <v>9.3000000000000007</v>
      </c>
      <c r="K130" s="9" t="e">
        <v>#N/A</v>
      </c>
      <c r="L130" s="10">
        <v>8.3000000000000004E-2</v>
      </c>
      <c r="M130" s="9">
        <v>32.64258701</v>
      </c>
      <c r="N130" s="9">
        <v>51.401463414634101</v>
      </c>
      <c r="O130" s="10">
        <v>6.4391069090000004</v>
      </c>
      <c r="P130" s="9">
        <v>1</v>
      </c>
      <c r="Q130" s="9">
        <v>1.3901399999999999</v>
      </c>
      <c r="R130" s="9">
        <v>54.3</v>
      </c>
      <c r="S130" s="9">
        <v>16.9979245396793</v>
      </c>
      <c r="T130" s="9">
        <v>0.96757322175732241</v>
      </c>
      <c r="U130" s="10">
        <v>-1.16674311765006</v>
      </c>
      <c r="V130" s="10">
        <v>-0.69809379299594998</v>
      </c>
      <c r="W130" s="10">
        <v>0.82892555459066863</v>
      </c>
      <c r="X130" s="9">
        <v>20.65</v>
      </c>
      <c r="Y130" s="9">
        <v>48</v>
      </c>
      <c r="Z130" s="9">
        <v>-5.68</v>
      </c>
      <c r="AA130" s="9">
        <v>3.7</v>
      </c>
      <c r="AB130" s="9">
        <v>1229</v>
      </c>
      <c r="AC130" s="11">
        <v>0.51372273000000002</v>
      </c>
      <c r="AD130" s="9">
        <v>9</v>
      </c>
      <c r="AE130" s="9">
        <v>7.0250000000000004</v>
      </c>
    </row>
    <row r="131" spans="1:31">
      <c r="A131" s="5" t="s">
        <v>294</v>
      </c>
      <c r="B131" s="5" t="s">
        <v>293</v>
      </c>
      <c r="C131" s="10">
        <v>0.12</v>
      </c>
      <c r="D131" s="9">
        <v>9</v>
      </c>
      <c r="E131" s="9">
        <v>50.92</v>
      </c>
      <c r="F131" s="10">
        <v>0.11</v>
      </c>
      <c r="G131" s="10">
        <v>30.78</v>
      </c>
      <c r="H131" s="9">
        <v>0.48193814477629709</v>
      </c>
      <c r="I131" s="9">
        <v>0.4</v>
      </c>
      <c r="J131" s="9">
        <v>46.8</v>
      </c>
      <c r="K131" s="9">
        <v>-104.031271366368</v>
      </c>
      <c r="L131" s="10">
        <v>8.3000000000000004E-2</v>
      </c>
      <c r="M131" s="9">
        <v>4.8588455069999998</v>
      </c>
      <c r="N131" s="9">
        <v>47.908585365853597</v>
      </c>
      <c r="O131" s="10">
        <v>4.3612940089999999</v>
      </c>
      <c r="P131" s="9">
        <v>1</v>
      </c>
      <c r="Q131" s="9">
        <v>10.07273</v>
      </c>
      <c r="R131" s="9">
        <v>56.7</v>
      </c>
      <c r="S131" s="9">
        <v>47.243479259193599</v>
      </c>
      <c r="T131" s="9">
        <v>0.78244274809160319</v>
      </c>
      <c r="U131" s="10">
        <v>-1.9529387608915301</v>
      </c>
      <c r="V131" s="10">
        <v>-0.85256629768026004</v>
      </c>
      <c r="W131" s="10">
        <v>2.9645245232056392</v>
      </c>
      <c r="X131" s="9">
        <v>15</v>
      </c>
      <c r="Y131" s="9">
        <v>58</v>
      </c>
      <c r="Z131" s="9">
        <v>14.59</v>
      </c>
      <c r="AA131" s="9">
        <v>4.5999999999999996</v>
      </c>
      <c r="AB131" s="9">
        <v>560</v>
      </c>
      <c r="AC131" s="11">
        <v>0.484566104</v>
      </c>
      <c r="AD131" s="9">
        <v>32</v>
      </c>
      <c r="AE131" s="9">
        <v>3.6019999999999999</v>
      </c>
    </row>
    <row r="132" spans="1:31">
      <c r="A132" s="5" t="s">
        <v>296</v>
      </c>
      <c r="B132" s="5" t="s">
        <v>295</v>
      </c>
      <c r="C132" s="10">
        <v>0.44</v>
      </c>
      <c r="D132" s="9" t="e">
        <v>#N/A</v>
      </c>
      <c r="E132" s="9">
        <v>22.46</v>
      </c>
      <c r="F132" s="10">
        <v>0.05</v>
      </c>
      <c r="G132" s="10">
        <v>-18.14</v>
      </c>
      <c r="H132" s="9">
        <v>2.1251698159812276</v>
      </c>
      <c r="I132" s="9">
        <v>3.7</v>
      </c>
      <c r="J132" s="9">
        <v>100</v>
      </c>
      <c r="K132" s="9">
        <v>-731.29880417971196</v>
      </c>
      <c r="L132" s="10">
        <v>2.7E-2</v>
      </c>
      <c r="M132" s="9">
        <v>0</v>
      </c>
      <c r="N132" s="9">
        <v>80.741463414634097</v>
      </c>
      <c r="O132" s="10">
        <v>1.3221180000000001E-2</v>
      </c>
      <c r="P132" s="9">
        <v>1</v>
      </c>
      <c r="Q132" s="9">
        <v>73.192819999999998</v>
      </c>
      <c r="R132" s="9">
        <v>70.3</v>
      </c>
      <c r="S132" s="9">
        <v>110.54398163014299</v>
      </c>
      <c r="T132" s="9">
        <v>0.8107569721115544</v>
      </c>
      <c r="U132" s="10">
        <v>1.18800917918787</v>
      </c>
      <c r="V132" s="10">
        <v>1.5679934233973301</v>
      </c>
      <c r="W132" s="10">
        <v>1.4789010122255817</v>
      </c>
      <c r="X132" s="9">
        <v>80.45</v>
      </c>
      <c r="Y132" s="9">
        <v>100</v>
      </c>
      <c r="Z132" s="9">
        <v>12.65</v>
      </c>
      <c r="AA132" s="9">
        <v>2.4</v>
      </c>
      <c r="AB132" s="9" t="e">
        <v>#N/A</v>
      </c>
      <c r="AC132" s="11">
        <v>6.3380281999999996E-2</v>
      </c>
      <c r="AD132" s="9">
        <v>100</v>
      </c>
      <c r="AE132" s="9">
        <v>0.76939999999999997</v>
      </c>
    </row>
    <row r="133" spans="1:31">
      <c r="A133" s="5" t="s">
        <v>298</v>
      </c>
      <c r="B133" s="5" t="s">
        <v>297</v>
      </c>
      <c r="C133" s="10" t="e">
        <v>#N/A</v>
      </c>
      <c r="D133" s="9">
        <v>1.3</v>
      </c>
      <c r="E133" s="9">
        <v>28.34</v>
      </c>
      <c r="F133" s="10">
        <v>0.09</v>
      </c>
      <c r="G133" s="10">
        <v>44.93</v>
      </c>
      <c r="H133" s="9">
        <v>0.81292407108239095</v>
      </c>
      <c r="I133" s="9">
        <v>1</v>
      </c>
      <c r="J133" s="9">
        <v>98</v>
      </c>
      <c r="K133" s="9">
        <v>-286.11567232256903</v>
      </c>
      <c r="L133" s="10">
        <v>0.03</v>
      </c>
      <c r="M133" s="9">
        <v>3.8250447999999999E-2</v>
      </c>
      <c r="N133" s="9">
        <v>75.913219512195099</v>
      </c>
      <c r="O133" s="10">
        <v>6.4254625999999995E-2</v>
      </c>
      <c r="P133" s="9">
        <v>1</v>
      </c>
      <c r="Q133" s="9">
        <v>26.43665</v>
      </c>
      <c r="R133" s="9">
        <v>69.8</v>
      </c>
      <c r="S133" s="9">
        <v>139.54249204421799</v>
      </c>
      <c r="T133" s="9">
        <v>1.1405152224824351</v>
      </c>
      <c r="U133" s="10">
        <v>0.81220612941148995</v>
      </c>
      <c r="V133" s="10">
        <v>-1.0753301107539599</v>
      </c>
      <c r="W133" s="10" t="e">
        <v>#N/A</v>
      </c>
      <c r="X133" s="9">
        <v>43.46</v>
      </c>
      <c r="Y133" s="9">
        <v>88</v>
      </c>
      <c r="Z133" s="9">
        <v>12.37</v>
      </c>
      <c r="AA133" s="9">
        <v>3.7</v>
      </c>
      <c r="AB133" s="9" t="e">
        <v>#N/A</v>
      </c>
      <c r="AC133" s="11">
        <v>3.1029619000000001E-2</v>
      </c>
      <c r="AD133" s="9">
        <v>87</v>
      </c>
      <c r="AE133" s="9">
        <v>86.57</v>
      </c>
    </row>
    <row r="134" spans="1:31">
      <c r="A134" s="5" t="s">
        <v>300</v>
      </c>
      <c r="B134" s="5" t="s">
        <v>299</v>
      </c>
      <c r="C134" s="10">
        <v>0.01</v>
      </c>
      <c r="D134" s="9">
        <v>12.6</v>
      </c>
      <c r="E134" s="9">
        <v>63.42</v>
      </c>
      <c r="F134" s="10">
        <v>0.05</v>
      </c>
      <c r="G134" s="10">
        <v>50.58</v>
      </c>
      <c r="H134" s="9">
        <v>2.1910563999497552</v>
      </c>
      <c r="I134" s="9">
        <v>1.1000000000000001</v>
      </c>
      <c r="J134" s="9">
        <v>57.6</v>
      </c>
      <c r="K134" s="9">
        <v>23.555330218858298</v>
      </c>
      <c r="L134" s="10">
        <v>0.313</v>
      </c>
      <c r="M134" s="9">
        <v>3.6969235650000001</v>
      </c>
      <c r="N134" s="9">
        <v>66.5290975609756</v>
      </c>
      <c r="O134" s="10">
        <v>1.0709803609999999</v>
      </c>
      <c r="P134" s="9">
        <v>1</v>
      </c>
      <c r="Q134" s="9">
        <v>6.41113</v>
      </c>
      <c r="R134" s="9">
        <v>55.1</v>
      </c>
      <c r="S134" s="9">
        <v>60.680590414800697</v>
      </c>
      <c r="T134" s="9">
        <v>0.77886056971514239</v>
      </c>
      <c r="U134" s="10">
        <v>-2.7563992178563201</v>
      </c>
      <c r="V134" s="10">
        <v>-0.99731803679108999</v>
      </c>
      <c r="W134" s="10">
        <v>3.6970734744707348</v>
      </c>
      <c r="X134" s="9">
        <v>65.360183719999995</v>
      </c>
      <c r="Y134" s="9">
        <v>90</v>
      </c>
      <c r="Z134" s="9">
        <v>23.89</v>
      </c>
      <c r="AA134" s="9">
        <v>1.9</v>
      </c>
      <c r="AB134" s="9">
        <v>205</v>
      </c>
      <c r="AC134" s="11">
        <v>0.32521008400000001</v>
      </c>
      <c r="AD134" s="9">
        <v>45</v>
      </c>
      <c r="AE134" s="9">
        <v>79.510000000000005</v>
      </c>
    </row>
    <row r="135" spans="1:31">
      <c r="A135" s="5" t="s">
        <v>302</v>
      </c>
      <c r="B135" s="5" t="s">
        <v>301</v>
      </c>
      <c r="C135" s="10" t="e">
        <v>#N/A</v>
      </c>
      <c r="D135" s="9" t="e">
        <v>#N/A</v>
      </c>
      <c r="E135" s="9">
        <v>18.420000000000002</v>
      </c>
      <c r="F135" s="10">
        <v>0.03</v>
      </c>
      <c r="G135" s="10">
        <v>33.36</v>
      </c>
      <c r="H135" s="9">
        <v>37.472766884531588</v>
      </c>
      <c r="I135" s="9">
        <v>14.6</v>
      </c>
      <c r="J135" s="9">
        <v>99.5</v>
      </c>
      <c r="K135" s="9" t="e">
        <v>#N/A</v>
      </c>
      <c r="L135" s="10">
        <v>0.307</v>
      </c>
      <c r="M135" s="9">
        <v>46</v>
      </c>
      <c r="N135" s="9">
        <v>69.129268292682895</v>
      </c>
      <c r="O135" s="10" t="e">
        <v>#N/A</v>
      </c>
      <c r="P135" s="9">
        <v>1</v>
      </c>
      <c r="Q135" s="9">
        <v>37.871670000000002</v>
      </c>
      <c r="R135" s="9" t="e">
        <v>#N/A</v>
      </c>
      <c r="S135" s="9">
        <v>64.497585764497899</v>
      </c>
      <c r="T135" s="9">
        <v>0.57768924302788849</v>
      </c>
      <c r="U135" s="10">
        <v>1.4604498785144699</v>
      </c>
      <c r="V135" s="10">
        <v>1.2706535128155301</v>
      </c>
      <c r="W135" s="10" t="e">
        <v>#N/A</v>
      </c>
      <c r="X135" s="9" t="e">
        <v>#N/A</v>
      </c>
      <c r="Y135" s="9">
        <v>84</v>
      </c>
      <c r="Z135" s="9">
        <v>4.09</v>
      </c>
      <c r="AA135" s="9">
        <v>4.9000000000000004</v>
      </c>
      <c r="AB135" s="9">
        <v>40</v>
      </c>
      <c r="AC135" s="11">
        <v>0.18848167499999999</v>
      </c>
      <c r="AD135" s="9">
        <v>83</v>
      </c>
      <c r="AE135" s="9" t="e">
        <v>#N/A</v>
      </c>
    </row>
    <row r="136" spans="1:31">
      <c r="A136" s="5" t="s">
        <v>304</v>
      </c>
      <c r="B136" s="5" t="s">
        <v>303</v>
      </c>
      <c r="C136" s="10">
        <v>0.76</v>
      </c>
      <c r="D136" s="9" t="e">
        <v>#N/A</v>
      </c>
      <c r="E136" s="9">
        <v>26</v>
      </c>
      <c r="F136" s="10">
        <v>0.04</v>
      </c>
      <c r="G136" s="10">
        <v>39.43</v>
      </c>
      <c r="H136" s="9">
        <v>6.4075741525423719</v>
      </c>
      <c r="I136" s="9">
        <v>6.4</v>
      </c>
      <c r="J136" s="9">
        <v>88.1</v>
      </c>
      <c r="K136" s="9">
        <v>75.922731976543602</v>
      </c>
      <c r="L136" s="10">
        <v>0.127</v>
      </c>
      <c r="M136" s="9">
        <v>9.8024799999999995E-2</v>
      </c>
      <c r="N136" s="9">
        <v>75.660756097560906</v>
      </c>
      <c r="O136" s="10">
        <v>0.19252135300000001</v>
      </c>
      <c r="P136" s="9">
        <v>1</v>
      </c>
      <c r="Q136" s="9">
        <v>45.106749999999998</v>
      </c>
      <c r="R136" s="9">
        <v>64.900000000000006</v>
      </c>
      <c r="S136" s="9">
        <v>164.36811393967</v>
      </c>
      <c r="T136" s="9">
        <v>0.75</v>
      </c>
      <c r="U136" s="10">
        <v>0.14583965181287001</v>
      </c>
      <c r="V136" s="10">
        <v>0.56464159269630998</v>
      </c>
      <c r="W136" s="10">
        <v>14.124293785310735</v>
      </c>
      <c r="X136" s="9">
        <v>38.14</v>
      </c>
      <c r="Y136" s="9">
        <v>93</v>
      </c>
      <c r="Z136" s="9">
        <v>4.84</v>
      </c>
      <c r="AA136" s="9">
        <v>4.5</v>
      </c>
      <c r="AB136" s="9">
        <v>55</v>
      </c>
      <c r="AC136" s="11">
        <v>0.168807339</v>
      </c>
      <c r="AD136" s="9">
        <v>69</v>
      </c>
      <c r="AE136" s="9">
        <v>0.30520000000000003</v>
      </c>
    </row>
    <row r="137" spans="1:31" ht="30">
      <c r="A137" s="5" t="s">
        <v>306</v>
      </c>
      <c r="B137" s="5" t="s">
        <v>305</v>
      </c>
      <c r="C137" s="10" t="e">
        <v>#N/A</v>
      </c>
      <c r="D137" s="9">
        <v>5.4</v>
      </c>
      <c r="E137" s="9">
        <v>87.48</v>
      </c>
      <c r="F137" s="10">
        <v>7.0000000000000007E-2</v>
      </c>
      <c r="G137" s="10">
        <v>38.94</v>
      </c>
      <c r="H137" s="9">
        <v>7.7465214761040526</v>
      </c>
      <c r="I137" s="9">
        <v>3.7</v>
      </c>
      <c r="J137" s="9">
        <v>10</v>
      </c>
      <c r="K137" s="9" t="e">
        <v>#N/A</v>
      </c>
      <c r="L137" s="10">
        <v>0.307</v>
      </c>
      <c r="M137" s="9">
        <v>19.99940896</v>
      </c>
      <c r="N137" s="9">
        <v>61.1010243902439</v>
      </c>
      <c r="O137" s="10">
        <v>1.0671747680000001</v>
      </c>
      <c r="P137" s="9">
        <v>1</v>
      </c>
      <c r="Q137" s="9">
        <v>2.02081</v>
      </c>
      <c r="R137" s="9">
        <v>52.6</v>
      </c>
      <c r="S137" s="9">
        <v>13.3686682088168</v>
      </c>
      <c r="T137" s="9">
        <v>0.86094674556213002</v>
      </c>
      <c r="U137" s="10">
        <v>-0.61151892141201003</v>
      </c>
      <c r="V137" s="10">
        <v>0.11219831625230001</v>
      </c>
      <c r="W137" s="10">
        <v>0.99368458243165658</v>
      </c>
      <c r="X137" s="9">
        <v>3.5</v>
      </c>
      <c r="Y137" s="9">
        <v>40</v>
      </c>
      <c r="Z137" s="9">
        <v>8.25</v>
      </c>
      <c r="AA137" s="9">
        <v>4.5999999999999996</v>
      </c>
      <c r="AB137" s="9">
        <v>288</v>
      </c>
      <c r="AC137" s="11">
        <v>0.308774834</v>
      </c>
      <c r="AD137" s="9">
        <v>45</v>
      </c>
      <c r="AE137" s="9">
        <v>3.39E-2</v>
      </c>
    </row>
    <row r="138" spans="1:31">
      <c r="A138" s="5" t="s">
        <v>308</v>
      </c>
      <c r="B138" s="5" t="s">
        <v>307</v>
      </c>
      <c r="C138" s="10">
        <v>0.09</v>
      </c>
      <c r="D138" s="9" t="e">
        <v>#N/A</v>
      </c>
      <c r="E138" s="9">
        <v>39.1</v>
      </c>
      <c r="F138" s="10">
        <v>0.12</v>
      </c>
      <c r="G138" s="10">
        <v>71.55</v>
      </c>
      <c r="H138" s="9" t="e">
        <v>#N/A</v>
      </c>
      <c r="I138" s="9" t="e">
        <v>#N/A</v>
      </c>
      <c r="J138" s="9">
        <v>94.5</v>
      </c>
      <c r="K138" s="9">
        <v>-69.495412844036693</v>
      </c>
      <c r="L138" s="10">
        <v>0.127</v>
      </c>
      <c r="M138" s="9">
        <v>1.7194397850000001</v>
      </c>
      <c r="N138" s="9">
        <v>71.884780487804804</v>
      </c>
      <c r="O138" s="10">
        <v>0.31872144800000002</v>
      </c>
      <c r="P138" s="9">
        <v>1</v>
      </c>
      <c r="Q138" s="9">
        <v>28.55181</v>
      </c>
      <c r="R138" s="9">
        <v>62.3</v>
      </c>
      <c r="S138" s="9">
        <v>88.497597306753306</v>
      </c>
      <c r="T138" s="9">
        <v>0.84294871794871784</v>
      </c>
      <c r="U138" s="10">
        <v>-0.98757672602737001</v>
      </c>
      <c r="V138" s="10">
        <v>-0.24061102909320001</v>
      </c>
      <c r="W138" s="10">
        <v>1.5101938082053863</v>
      </c>
      <c r="X138" s="9">
        <v>50.799999239999998</v>
      </c>
      <c r="Y138" s="9">
        <v>86</v>
      </c>
      <c r="Z138" s="9">
        <v>0.75</v>
      </c>
      <c r="AA138" s="9">
        <v>4.9000000000000004</v>
      </c>
      <c r="AB138" s="9">
        <v>56</v>
      </c>
      <c r="AC138" s="11">
        <v>0.14927768899999999</v>
      </c>
      <c r="AD138" s="9">
        <v>70</v>
      </c>
      <c r="AE138" s="9">
        <v>0.14580000000000001</v>
      </c>
    </row>
    <row r="139" spans="1:31">
      <c r="A139" s="5" t="s">
        <v>310</v>
      </c>
      <c r="B139" s="5" t="s">
        <v>309</v>
      </c>
      <c r="C139" s="10">
        <v>0.51</v>
      </c>
      <c r="D139" s="9">
        <v>0.5</v>
      </c>
      <c r="E139" s="9">
        <v>28.5</v>
      </c>
      <c r="F139" s="10">
        <v>0.18</v>
      </c>
      <c r="G139" s="10">
        <v>50.92</v>
      </c>
      <c r="H139" s="9">
        <v>0.45354102799520701</v>
      </c>
      <c r="I139" s="9">
        <v>1.9</v>
      </c>
      <c r="J139" s="9">
        <v>76.900000000000006</v>
      </c>
      <c r="K139" s="9">
        <v>16.295037389530901</v>
      </c>
      <c r="L139" s="10">
        <v>0.09</v>
      </c>
      <c r="M139" s="9">
        <v>0.958299385</v>
      </c>
      <c r="N139" s="9">
        <v>73.261902439024297</v>
      </c>
      <c r="O139" s="10">
        <v>0.269250451</v>
      </c>
      <c r="P139" s="9">
        <v>1</v>
      </c>
      <c r="Q139" s="9">
        <v>34.475189999999998</v>
      </c>
      <c r="R139" s="9">
        <v>68.599999999999994</v>
      </c>
      <c r="S139" s="9">
        <v>84.692127858013393</v>
      </c>
      <c r="T139" s="9">
        <v>0.90496760259179265</v>
      </c>
      <c r="U139" s="10">
        <v>-0.92911983420005995</v>
      </c>
      <c r="V139" s="10">
        <v>4.4033039985451002E-2</v>
      </c>
      <c r="W139" s="10">
        <v>1.875</v>
      </c>
      <c r="X139" s="9">
        <v>13.88094093</v>
      </c>
      <c r="Y139" s="9">
        <v>82</v>
      </c>
      <c r="Z139" s="9">
        <v>6.3</v>
      </c>
      <c r="AA139" s="9">
        <v>3.7</v>
      </c>
      <c r="AB139" s="9">
        <v>69</v>
      </c>
      <c r="AC139" s="11">
        <v>0.28267973899999999</v>
      </c>
      <c r="AD139" s="9">
        <v>68</v>
      </c>
      <c r="AE139" s="9">
        <v>1.01</v>
      </c>
    </row>
    <row r="140" spans="1:31">
      <c r="A140" s="5" t="s">
        <v>312</v>
      </c>
      <c r="B140" s="5" t="s">
        <v>311</v>
      </c>
      <c r="C140" s="10">
        <v>0.25</v>
      </c>
      <c r="D140" s="9" t="e">
        <v>#N/A</v>
      </c>
      <c r="E140" s="9">
        <v>34.340000000000003</v>
      </c>
      <c r="F140" s="10">
        <v>0.04</v>
      </c>
      <c r="G140" s="10">
        <v>38.94</v>
      </c>
      <c r="H140" s="9">
        <v>5.8503333333333334</v>
      </c>
      <c r="I140" s="9">
        <v>8.1999999999999993</v>
      </c>
      <c r="J140" s="9">
        <v>86</v>
      </c>
      <c r="K140" s="9">
        <v>43.375459614775799</v>
      </c>
      <c r="L140" s="10">
        <v>0.307</v>
      </c>
      <c r="M140" s="9">
        <v>4.3000002420000003</v>
      </c>
      <c r="N140" s="9">
        <v>71.834463414634101</v>
      </c>
      <c r="O140" s="10">
        <v>0.30776228799999999</v>
      </c>
      <c r="P140" s="9">
        <v>1</v>
      </c>
      <c r="Q140" s="9">
        <v>28.691880000000001</v>
      </c>
      <c r="R140" s="9">
        <v>56.2</v>
      </c>
      <c r="S140" s="9">
        <v>80.981178477759997</v>
      </c>
      <c r="T140" s="9">
        <v>0.83936651583710398</v>
      </c>
      <c r="U140" s="10">
        <v>-1.4172264399563099</v>
      </c>
      <c r="V140" s="10">
        <v>-0.11687231978374001</v>
      </c>
      <c r="W140" s="10">
        <v>13.582855418050105</v>
      </c>
      <c r="X140" s="9">
        <v>9.8999996190000008</v>
      </c>
      <c r="Y140" s="9">
        <v>91</v>
      </c>
      <c r="Z140" s="9">
        <v>2.42</v>
      </c>
      <c r="AA140" s="9">
        <v>4.5</v>
      </c>
      <c r="AB140" s="9">
        <v>96</v>
      </c>
      <c r="AC140" s="11">
        <v>0.261016949</v>
      </c>
      <c r="AD140" s="9">
        <v>76</v>
      </c>
      <c r="AE140" s="9">
        <v>17.03</v>
      </c>
    </row>
    <row r="141" spans="1:31">
      <c r="A141" s="5" t="s">
        <v>314</v>
      </c>
      <c r="B141" s="5" t="s">
        <v>313</v>
      </c>
      <c r="C141" s="10">
        <v>0.11</v>
      </c>
      <c r="D141" s="9" t="e">
        <v>#N/A</v>
      </c>
      <c r="E141" s="9">
        <v>38.74</v>
      </c>
      <c r="F141" s="10">
        <v>0.03</v>
      </c>
      <c r="G141" s="10">
        <v>7.82</v>
      </c>
      <c r="H141" s="9">
        <v>0.86667306277783107</v>
      </c>
      <c r="I141" s="9">
        <v>0.6</v>
      </c>
      <c r="J141" s="9">
        <v>100</v>
      </c>
      <c r="K141" s="9">
        <v>28.640595107040198</v>
      </c>
      <c r="L141" s="10">
        <v>0.03</v>
      </c>
      <c r="M141" s="9">
        <v>3.6979757000000002E-2</v>
      </c>
      <c r="N141" s="9">
        <v>75.533170731707301</v>
      </c>
      <c r="O141" s="10">
        <v>7.5379490000000004E-3</v>
      </c>
      <c r="P141" s="9">
        <v>1</v>
      </c>
      <c r="Q141" s="9">
        <v>69.429490000000001</v>
      </c>
      <c r="R141" s="9">
        <v>64.099999999999994</v>
      </c>
      <c r="S141" s="9">
        <v>116.78445382510399</v>
      </c>
      <c r="T141" s="9">
        <v>1.0657894736842108</v>
      </c>
      <c r="U141" s="10">
        <v>0.90664529422697004</v>
      </c>
      <c r="V141" s="10">
        <v>1.02558151930852</v>
      </c>
      <c r="W141" s="10">
        <v>1.4790468364831553</v>
      </c>
      <c r="X141" s="9">
        <v>68.151292470000001</v>
      </c>
      <c r="Y141" s="9">
        <v>100</v>
      </c>
      <c r="Z141" s="9">
        <v>5.53</v>
      </c>
      <c r="AA141" s="9">
        <v>2.8</v>
      </c>
      <c r="AB141" s="9" t="e">
        <v>#N/A</v>
      </c>
      <c r="AC141" s="11">
        <v>4.4585987000000001E-2</v>
      </c>
      <c r="AD141" s="9">
        <v>90</v>
      </c>
      <c r="AE141" s="9">
        <v>19.399999999999999</v>
      </c>
    </row>
    <row r="142" spans="1:31">
      <c r="A142" s="5" t="s">
        <v>316</v>
      </c>
      <c r="B142" s="5" t="s">
        <v>315</v>
      </c>
      <c r="C142" s="10">
        <v>0.81</v>
      </c>
      <c r="D142" s="9" t="e">
        <v>#N/A</v>
      </c>
      <c r="E142" s="9">
        <v>39.92</v>
      </c>
      <c r="F142" s="10">
        <v>0.09</v>
      </c>
      <c r="G142" s="10">
        <v>15.97</v>
      </c>
      <c r="H142" s="9">
        <v>1.8710589258534465</v>
      </c>
      <c r="I142" s="9">
        <v>4.5999999999999996</v>
      </c>
      <c r="J142" s="9">
        <v>100</v>
      </c>
      <c r="K142" s="9">
        <v>78.810112783531096</v>
      </c>
      <c r="L142" s="10">
        <v>2.7E-2</v>
      </c>
      <c r="M142" s="9">
        <v>0</v>
      </c>
      <c r="N142" s="9">
        <v>79.249756097560905</v>
      </c>
      <c r="O142" s="10">
        <v>1.0207535E-2</v>
      </c>
      <c r="P142" s="9">
        <v>1</v>
      </c>
      <c r="Q142" s="9">
        <v>60.188459999999999</v>
      </c>
      <c r="R142" s="9">
        <v>64</v>
      </c>
      <c r="S142" s="9">
        <v>142.756786096855</v>
      </c>
      <c r="T142" s="9">
        <v>0.86342592592592604</v>
      </c>
      <c r="U142" s="10">
        <v>0.79080088525452996</v>
      </c>
      <c r="V142" s="10">
        <v>1.2111197854986699</v>
      </c>
      <c r="W142" s="10">
        <v>8.1967213114754092</v>
      </c>
      <c r="X142" s="9">
        <v>86</v>
      </c>
      <c r="Y142" s="9">
        <v>99</v>
      </c>
      <c r="Z142" s="9">
        <v>-19.420000000000002</v>
      </c>
      <c r="AA142" s="9">
        <v>1.8</v>
      </c>
      <c r="AB142" s="9" t="e">
        <v>#N/A</v>
      </c>
      <c r="AC142" s="11">
        <v>9.8290598000000007E-2</v>
      </c>
      <c r="AD142" s="9">
        <v>100</v>
      </c>
      <c r="AE142" s="9">
        <v>12.32</v>
      </c>
    </row>
    <row r="143" spans="1:31">
      <c r="A143" s="5" t="s">
        <v>318</v>
      </c>
      <c r="B143" s="5" t="s">
        <v>317</v>
      </c>
      <c r="C143" s="10" t="e">
        <v>#N/A</v>
      </c>
      <c r="D143" s="9" t="e">
        <v>#N/A</v>
      </c>
      <c r="E143" s="9">
        <v>4.28</v>
      </c>
      <c r="F143" s="10">
        <v>0.14000000000000001</v>
      </c>
      <c r="G143" s="10">
        <v>44.93</v>
      </c>
      <c r="H143" s="9">
        <v>19.163636363636364</v>
      </c>
      <c r="I143" s="9">
        <v>13.7</v>
      </c>
      <c r="J143" s="9">
        <v>98.7</v>
      </c>
      <c r="K143" s="9">
        <v>-417.57608425242603</v>
      </c>
      <c r="L143" s="10">
        <v>0.03</v>
      </c>
      <c r="M143" s="9">
        <v>0</v>
      </c>
      <c r="N143" s="9">
        <v>75.942097560975597</v>
      </c>
      <c r="O143" s="10">
        <v>2.2561482000000001E-2</v>
      </c>
      <c r="P143" s="9">
        <v>1</v>
      </c>
      <c r="Q143" s="9">
        <v>10.2392</v>
      </c>
      <c r="R143" s="9">
        <v>70.5</v>
      </c>
      <c r="S143" s="9">
        <v>175.4001460172</v>
      </c>
      <c r="T143" s="9">
        <v>1.0604089219330852</v>
      </c>
      <c r="U143" s="10">
        <v>1.11757468348357</v>
      </c>
      <c r="V143" s="10">
        <v>-0.88991361621618004</v>
      </c>
      <c r="W143" s="10" t="e">
        <v>#N/A</v>
      </c>
      <c r="X143" s="9">
        <v>90</v>
      </c>
      <c r="Y143" s="9">
        <v>100</v>
      </c>
      <c r="Z143" s="9">
        <v>29.9</v>
      </c>
      <c r="AA143" s="9">
        <v>3.4</v>
      </c>
      <c r="AB143" s="9">
        <v>6</v>
      </c>
      <c r="AC143" s="11">
        <v>6.7538126000000004E-2</v>
      </c>
      <c r="AD143" s="9">
        <v>100</v>
      </c>
      <c r="AE143" s="9">
        <v>455.2</v>
      </c>
    </row>
    <row r="144" spans="1:31">
      <c r="A144" s="5" t="s">
        <v>320</v>
      </c>
      <c r="B144" s="5" t="s">
        <v>319</v>
      </c>
      <c r="C144" s="10">
        <v>0.13</v>
      </c>
      <c r="D144" s="9">
        <v>0.3</v>
      </c>
      <c r="E144" s="9">
        <v>45.58</v>
      </c>
      <c r="F144" s="10">
        <v>0.08</v>
      </c>
      <c r="G144" s="10" t="e">
        <v>#N/A</v>
      </c>
      <c r="H144" s="9">
        <v>2.7517932799194598</v>
      </c>
      <c r="I144" s="9">
        <v>1.6</v>
      </c>
      <c r="J144" s="9">
        <v>100</v>
      </c>
      <c r="K144" s="9">
        <v>26.9121381411884</v>
      </c>
      <c r="L144" s="10">
        <v>0.03</v>
      </c>
      <c r="M144" s="9">
        <v>0.80570540099999999</v>
      </c>
      <c r="N144" s="9" t="e">
        <v>#N/A</v>
      </c>
      <c r="O144" s="10">
        <v>3.6676074000000003E-2</v>
      </c>
      <c r="P144" s="9">
        <v>1</v>
      </c>
      <c r="Q144" s="9">
        <v>65.556709999999995</v>
      </c>
      <c r="R144" s="9">
        <v>64.7</v>
      </c>
      <c r="S144" s="9">
        <v>118.129286795071</v>
      </c>
      <c r="T144" s="9">
        <v>0.45621019108280247</v>
      </c>
      <c r="U144" s="10">
        <v>0.40080158591467002</v>
      </c>
      <c r="V144" s="10">
        <v>0.46209167516053001</v>
      </c>
      <c r="W144" s="10" t="e">
        <v>#N/A</v>
      </c>
      <c r="X144" s="9">
        <v>30.200000760000002</v>
      </c>
      <c r="Y144" s="9" t="e">
        <v>#N/A</v>
      </c>
      <c r="Z144" s="9">
        <v>-4.9000000000000004</v>
      </c>
      <c r="AA144" s="9">
        <v>1.6</v>
      </c>
      <c r="AB144" s="9" t="e">
        <v>#N/A</v>
      </c>
      <c r="AC144" s="11">
        <v>5.1841746000000001E-2</v>
      </c>
      <c r="AD144" s="9" t="e">
        <v>#N/A</v>
      </c>
      <c r="AE144" s="9">
        <v>3.2450000000000001</v>
      </c>
    </row>
    <row r="145" spans="1:31" ht="30">
      <c r="A145" s="5" t="s">
        <v>322</v>
      </c>
      <c r="B145" s="5" t="s">
        <v>321</v>
      </c>
      <c r="C145" s="10">
        <v>0.03</v>
      </c>
      <c r="D145" s="9">
        <v>0.65</v>
      </c>
      <c r="E145" s="9">
        <v>27.18</v>
      </c>
      <c r="F145" s="10">
        <v>0.5</v>
      </c>
      <c r="G145" s="10">
        <v>12.81</v>
      </c>
      <c r="H145" s="9">
        <v>1.873918034130972</v>
      </c>
      <c r="I145" s="9">
        <v>2.6</v>
      </c>
      <c r="J145" s="9">
        <v>100</v>
      </c>
      <c r="K145" s="9">
        <v>-82.585980193867698</v>
      </c>
      <c r="L145" s="10">
        <v>0.35</v>
      </c>
      <c r="M145" s="9">
        <v>9.9021780000000004E-2</v>
      </c>
      <c r="N145" s="9">
        <v>67.844634146341406</v>
      </c>
      <c r="O145" s="10">
        <v>5.3838497999999999E-2</v>
      </c>
      <c r="P145" s="9">
        <v>1</v>
      </c>
      <c r="Q145" s="9">
        <v>77.193790000000007</v>
      </c>
      <c r="R145" s="9">
        <v>50.5</v>
      </c>
      <c r="S145" s="9">
        <v>162.49559393725801</v>
      </c>
      <c r="T145" s="9">
        <v>1.2619047619047623</v>
      </c>
      <c r="U145" s="10">
        <v>-0.72489022191081998</v>
      </c>
      <c r="V145" s="10">
        <v>-0.94827056144976996</v>
      </c>
      <c r="W145" s="10">
        <v>0.2564456390197915</v>
      </c>
      <c r="X145" s="9">
        <v>80.06</v>
      </c>
      <c r="Y145" s="9">
        <v>96</v>
      </c>
      <c r="Z145" s="9">
        <v>16.96</v>
      </c>
      <c r="AA145" s="9">
        <v>4.5999999999999996</v>
      </c>
      <c r="AB145" s="9">
        <v>5</v>
      </c>
      <c r="AC145" s="11">
        <v>6.9133397999999999E-2</v>
      </c>
      <c r="AD145" s="9">
        <v>87</v>
      </c>
      <c r="AE145" s="9">
        <v>1.4690000000000001</v>
      </c>
    </row>
    <row r="146" spans="1:31">
      <c r="A146" s="5" t="s">
        <v>324</v>
      </c>
      <c r="B146" s="5" t="s">
        <v>323</v>
      </c>
      <c r="C146" s="10">
        <v>0.27</v>
      </c>
      <c r="D146" s="9">
        <v>4.4000000000000004</v>
      </c>
      <c r="E146" s="9">
        <v>81.38</v>
      </c>
      <c r="F146" s="10">
        <v>0.12</v>
      </c>
      <c r="G146" s="10">
        <v>65.89</v>
      </c>
      <c r="H146" s="9" t="e">
        <v>#N/A</v>
      </c>
      <c r="I146" s="9" t="e">
        <v>#N/A</v>
      </c>
      <c r="J146" s="9">
        <v>4.8</v>
      </c>
      <c r="K146" s="9" t="e">
        <v>#N/A</v>
      </c>
      <c r="L146" s="10">
        <v>0.16300000000000001</v>
      </c>
      <c r="M146" s="9">
        <v>53.190784039999997</v>
      </c>
      <c r="N146" s="9">
        <v>50.130926829268198</v>
      </c>
      <c r="O146" s="10">
        <v>2.8674297979999999</v>
      </c>
      <c r="P146" s="9">
        <v>1</v>
      </c>
      <c r="Q146" s="9">
        <v>4.8184800000000001</v>
      </c>
      <c r="R146" s="9">
        <v>62.7</v>
      </c>
      <c r="S146" s="9">
        <v>24.298317578574199</v>
      </c>
      <c r="T146" s="9">
        <v>0.85771704180064312</v>
      </c>
      <c r="U146" s="10">
        <v>-0.32578836814649997</v>
      </c>
      <c r="V146" s="10">
        <v>-1.2853375146949799</v>
      </c>
      <c r="W146" s="10">
        <v>24.321037697608428</v>
      </c>
      <c r="X146" s="9">
        <v>19</v>
      </c>
      <c r="Y146" s="9">
        <v>65</v>
      </c>
      <c r="Z146" s="9">
        <v>5.22</v>
      </c>
      <c r="AA146" s="9">
        <v>3.3</v>
      </c>
      <c r="AB146" s="9">
        <v>970</v>
      </c>
      <c r="AC146" s="11">
        <v>0.41695865500000001</v>
      </c>
      <c r="AD146" s="9">
        <v>54</v>
      </c>
      <c r="AE146" s="9">
        <v>1.579</v>
      </c>
    </row>
    <row r="147" spans="1:31" ht="30">
      <c r="A147" s="5" t="s">
        <v>326</v>
      </c>
      <c r="B147" s="5" t="s">
        <v>325</v>
      </c>
      <c r="C147" s="10">
        <v>0.79</v>
      </c>
      <c r="D147" s="9" t="e">
        <v>#N/A</v>
      </c>
      <c r="E147" s="9">
        <v>67.64</v>
      </c>
      <c r="F147" s="10">
        <v>0.15</v>
      </c>
      <c r="G147" s="10">
        <v>65.39</v>
      </c>
      <c r="H147" s="9">
        <v>73.611111111111114</v>
      </c>
      <c r="I147" s="9">
        <v>100</v>
      </c>
      <c r="J147" s="9">
        <v>87</v>
      </c>
      <c r="K147" s="9" t="e">
        <v>#N/A</v>
      </c>
      <c r="L147" s="10">
        <v>0.127</v>
      </c>
      <c r="M147" s="9">
        <v>2.1380845999999998E-2</v>
      </c>
      <c r="N147" s="9">
        <v>71.336585365853594</v>
      </c>
      <c r="O147" s="10" t="e">
        <v>#N/A</v>
      </c>
      <c r="P147" s="9">
        <v>1</v>
      </c>
      <c r="Q147" s="9">
        <v>18.409770000000002</v>
      </c>
      <c r="R147" s="9" t="e">
        <v>#N/A</v>
      </c>
      <c r="S147" s="9">
        <v>167.36126609090101</v>
      </c>
      <c r="T147" s="9">
        <v>0.56199021207177835</v>
      </c>
      <c r="U147" s="10">
        <v>1.17415691311312</v>
      </c>
      <c r="V147" s="10">
        <v>1.02532729549406</v>
      </c>
      <c r="W147" s="10" t="e">
        <v>#N/A</v>
      </c>
      <c r="X147" s="9">
        <v>42.5</v>
      </c>
      <c r="Y147" s="9">
        <v>99</v>
      </c>
      <c r="Z147" s="9">
        <v>-10.69</v>
      </c>
      <c r="AA147" s="9">
        <v>4.2</v>
      </c>
      <c r="AB147" s="9">
        <v>28</v>
      </c>
      <c r="AC147" s="11">
        <v>7.8811370000000006E-2</v>
      </c>
      <c r="AD147" s="9">
        <v>96</v>
      </c>
      <c r="AE147" s="9" t="e">
        <v>#N/A</v>
      </c>
    </row>
    <row r="148" spans="1:31">
      <c r="A148" s="5" t="s">
        <v>328</v>
      </c>
      <c r="B148" s="5" t="s">
        <v>327</v>
      </c>
      <c r="C148" s="10">
        <v>1.01</v>
      </c>
      <c r="D148" s="9" t="e">
        <v>#N/A</v>
      </c>
      <c r="E148" s="9">
        <v>72.08</v>
      </c>
      <c r="F148" s="10" t="e">
        <v>#N/A</v>
      </c>
      <c r="G148" s="10">
        <v>65.39</v>
      </c>
      <c r="H148" s="9">
        <v>20.806451612903228</v>
      </c>
      <c r="I148" s="9">
        <v>7.7</v>
      </c>
      <c r="J148" s="9">
        <v>99</v>
      </c>
      <c r="K148" s="9" t="e">
        <v>#N/A</v>
      </c>
      <c r="L148" s="10">
        <v>0.127</v>
      </c>
      <c r="M148" s="9">
        <v>1.944041812</v>
      </c>
      <c r="N148" s="9">
        <v>72.739268292682894</v>
      </c>
      <c r="O148" s="10" t="e">
        <v>#N/A</v>
      </c>
      <c r="P148" s="9">
        <v>1</v>
      </c>
      <c r="Q148" s="9">
        <v>16.040389999999999</v>
      </c>
      <c r="R148" s="9">
        <v>70.8</v>
      </c>
      <c r="S148" s="9">
        <v>102.27098715573401</v>
      </c>
      <c r="T148" s="9">
        <v>0.7885375494071144</v>
      </c>
      <c r="U148" s="10">
        <v>0.74977112921447997</v>
      </c>
      <c r="V148" s="10">
        <v>1.2668277181694101</v>
      </c>
      <c r="W148" s="10" t="e">
        <v>#N/A</v>
      </c>
      <c r="X148" s="9" t="e">
        <v>#N/A</v>
      </c>
      <c r="Y148" s="9">
        <v>98</v>
      </c>
      <c r="Z148" s="9">
        <v>-14.2</v>
      </c>
      <c r="AA148" s="9">
        <v>4.4000000000000004</v>
      </c>
      <c r="AB148" s="9">
        <v>2</v>
      </c>
      <c r="AC148" s="11">
        <v>0.124423963</v>
      </c>
      <c r="AD148" s="9">
        <v>89</v>
      </c>
      <c r="AE148" s="9" t="e">
        <v>#N/A</v>
      </c>
    </row>
    <row r="149" spans="1:31" ht="60">
      <c r="A149" s="5" t="s">
        <v>330</v>
      </c>
      <c r="B149" s="5" t="s">
        <v>329</v>
      </c>
      <c r="C149" s="10">
        <v>2.04</v>
      </c>
      <c r="D149" s="9" t="e">
        <v>#N/A</v>
      </c>
      <c r="E149" s="9">
        <v>52.58</v>
      </c>
      <c r="F149" s="10" t="e">
        <v>#N/A</v>
      </c>
      <c r="G149" s="10">
        <v>65.39</v>
      </c>
      <c r="H149" s="9">
        <v>55.128205128205131</v>
      </c>
      <c r="I149" s="9">
        <v>12.4</v>
      </c>
      <c r="J149" s="9">
        <v>99</v>
      </c>
      <c r="K149" s="9" t="e">
        <v>#N/A</v>
      </c>
      <c r="L149" s="10">
        <v>0.127</v>
      </c>
      <c r="M149" s="9">
        <v>2.2509432550000001</v>
      </c>
      <c r="N149" s="9">
        <v>71.6576097560975</v>
      </c>
      <c r="O149" s="10" t="e">
        <v>#N/A</v>
      </c>
      <c r="P149" s="9">
        <v>1</v>
      </c>
      <c r="Q149" s="9" t="e">
        <v>#N/A</v>
      </c>
      <c r="R149" s="9">
        <v>66.900000000000006</v>
      </c>
      <c r="S149" s="9">
        <v>110.90111620837099</v>
      </c>
      <c r="T149" s="9">
        <v>0.57692307692307732</v>
      </c>
      <c r="U149" s="10">
        <v>0.89753731571711004</v>
      </c>
      <c r="V149" s="10">
        <v>1.0935584150040201</v>
      </c>
      <c r="W149" s="10" t="e">
        <v>#N/A</v>
      </c>
      <c r="X149" s="9">
        <v>70</v>
      </c>
      <c r="Y149" s="9" t="e">
        <v>#N/A</v>
      </c>
      <c r="Z149" s="9">
        <v>-11.62</v>
      </c>
      <c r="AA149" s="9">
        <v>4.5999999999999996</v>
      </c>
      <c r="AB149" s="9" t="e">
        <v>#N/A</v>
      </c>
      <c r="AC149" s="11">
        <v>0.149544863</v>
      </c>
      <c r="AD149" s="9" t="e">
        <v>#N/A</v>
      </c>
      <c r="AE149" s="9" t="e">
        <v>#N/A</v>
      </c>
    </row>
    <row r="150" spans="1:31">
      <c r="A150" s="5" t="s">
        <v>332</v>
      </c>
      <c r="B150" s="5" t="s">
        <v>331</v>
      </c>
      <c r="C150" s="10">
        <v>1.01</v>
      </c>
      <c r="D150" s="9" t="e">
        <v>#N/A</v>
      </c>
      <c r="E150" s="9">
        <v>76.8</v>
      </c>
      <c r="F150" s="10">
        <v>0.04</v>
      </c>
      <c r="G150" s="10">
        <v>33.36</v>
      </c>
      <c r="H150" s="9">
        <v>12.887323943661972</v>
      </c>
      <c r="I150" s="9">
        <v>8.3000000000000007</v>
      </c>
      <c r="J150" s="9">
        <v>97</v>
      </c>
      <c r="K150" s="9" t="e">
        <v>#N/A</v>
      </c>
      <c r="L150" s="10">
        <v>0.307</v>
      </c>
      <c r="M150" s="9">
        <v>12.58567597</v>
      </c>
      <c r="N150" s="9">
        <v>71.753195121951194</v>
      </c>
      <c r="O150" s="10" t="e">
        <v>#N/A</v>
      </c>
      <c r="P150" s="9">
        <v>1</v>
      </c>
      <c r="Q150" s="9">
        <v>7.4478799999999996</v>
      </c>
      <c r="R150" s="9">
        <v>60.6</v>
      </c>
      <c r="S150" s="9">
        <v>84.430180154993707</v>
      </c>
      <c r="T150" s="9">
        <v>0.84285714285714219</v>
      </c>
      <c r="U150" s="10">
        <v>1.08401949631926</v>
      </c>
      <c r="V150" s="10">
        <v>0.54089914078904999</v>
      </c>
      <c r="W150" s="10">
        <v>53.003533568904594</v>
      </c>
      <c r="X150" s="9">
        <v>14.210000040000001</v>
      </c>
      <c r="Y150" s="9">
        <v>88</v>
      </c>
      <c r="Z150" s="9">
        <v>-5.73</v>
      </c>
      <c r="AA150" s="9">
        <v>4.9000000000000004</v>
      </c>
      <c r="AB150" s="9">
        <v>63</v>
      </c>
      <c r="AC150" s="11">
        <v>0.212719298</v>
      </c>
      <c r="AD150" s="9">
        <v>100</v>
      </c>
      <c r="AE150" s="9" t="e">
        <v>#N/A</v>
      </c>
    </row>
    <row r="151" spans="1:31">
      <c r="A151" s="5" t="s">
        <v>334</v>
      </c>
      <c r="B151" s="5" t="s">
        <v>333</v>
      </c>
      <c r="C151" s="10" t="e">
        <v>#N/A</v>
      </c>
      <c r="D151" s="9" t="e">
        <v>#N/A</v>
      </c>
      <c r="E151" s="9">
        <v>5.74</v>
      </c>
      <c r="F151" s="10" t="e">
        <v>#N/A</v>
      </c>
      <c r="G151" s="10">
        <v>8.32</v>
      </c>
      <c r="H151" s="9" t="e">
        <v>#N/A</v>
      </c>
      <c r="I151" s="9" t="e">
        <v>#N/A</v>
      </c>
      <c r="J151" s="9">
        <v>100</v>
      </c>
      <c r="K151" s="9" t="e">
        <v>#N/A</v>
      </c>
      <c r="L151" s="10">
        <v>2.7E-2</v>
      </c>
      <c r="M151" s="9">
        <v>0</v>
      </c>
      <c r="N151" s="9">
        <v>82.186341463414607</v>
      </c>
      <c r="O151" s="10" t="e">
        <v>#N/A</v>
      </c>
      <c r="P151" s="9" t="e">
        <v>#N/A</v>
      </c>
      <c r="Q151" s="9" t="e">
        <v>#N/A</v>
      </c>
      <c r="R151" s="9" t="e">
        <v>#N/A</v>
      </c>
      <c r="S151" s="9">
        <v>76.309179358367004</v>
      </c>
      <c r="T151" s="9">
        <v>0.18509615384615383</v>
      </c>
      <c r="U151" s="10">
        <v>1.4604498785144699</v>
      </c>
      <c r="V151" s="10">
        <v>1.22570171054017</v>
      </c>
      <c r="W151" s="10" t="e">
        <v>#N/A</v>
      </c>
      <c r="X151" s="9" t="e">
        <v>#N/A</v>
      </c>
      <c r="Y151" s="9" t="e">
        <v>#N/A</v>
      </c>
      <c r="Z151" s="9">
        <v>-5.1100000000000003</v>
      </c>
      <c r="AA151" s="9">
        <v>1.2</v>
      </c>
      <c r="AB151" s="9" t="e">
        <v>#N/A</v>
      </c>
      <c r="AC151" s="11">
        <v>5.5072464000000002E-2</v>
      </c>
      <c r="AD151" s="9" t="e">
        <v>#N/A</v>
      </c>
      <c r="AE151" s="9" t="e">
        <v>#N/A</v>
      </c>
    </row>
    <row r="152" spans="1:31" ht="45">
      <c r="A152" s="5" t="s">
        <v>336</v>
      </c>
      <c r="B152" s="5" t="s">
        <v>335</v>
      </c>
      <c r="C152" s="10">
        <v>1.01</v>
      </c>
      <c r="D152" s="9">
        <v>1.2</v>
      </c>
      <c r="E152" s="9">
        <v>38.619999999999997</v>
      </c>
      <c r="F152" s="10" t="e">
        <v>#N/A</v>
      </c>
      <c r="G152" s="10">
        <v>54.41</v>
      </c>
      <c r="H152" s="9" t="e">
        <v>#N/A</v>
      </c>
      <c r="I152" s="9" t="e">
        <v>#N/A</v>
      </c>
      <c r="J152" s="9">
        <v>48.5</v>
      </c>
      <c r="K152" s="9" t="e">
        <v>#N/A</v>
      </c>
      <c r="L152" s="10">
        <v>8.3000000000000004E-2</v>
      </c>
      <c r="M152" s="9">
        <v>38.711440600000003</v>
      </c>
      <c r="N152" s="9">
        <v>65.531073170731702</v>
      </c>
      <c r="O152" s="10" t="e">
        <v>#N/A</v>
      </c>
      <c r="P152" s="9">
        <v>1</v>
      </c>
      <c r="Q152" s="9">
        <v>4.0705400000000003</v>
      </c>
      <c r="R152" s="9">
        <v>49.5</v>
      </c>
      <c r="S152" s="9">
        <v>39.322908666400402</v>
      </c>
      <c r="T152" s="9">
        <v>0.74378881987577627</v>
      </c>
      <c r="U152" s="10">
        <v>0.21597458930501001</v>
      </c>
      <c r="V152" s="10">
        <v>0.17089112932680001</v>
      </c>
      <c r="W152" s="10" t="e">
        <v>#N/A</v>
      </c>
      <c r="X152" s="9">
        <v>68.099998470000003</v>
      </c>
      <c r="Y152" s="9">
        <v>89</v>
      </c>
      <c r="Z152" s="9">
        <v>9.7899999999999991</v>
      </c>
      <c r="AA152" s="9">
        <v>4.4000000000000004</v>
      </c>
      <c r="AB152" s="9">
        <v>428</v>
      </c>
      <c r="AC152" s="11">
        <v>0.30032292799999999</v>
      </c>
      <c r="AD152" s="9">
        <v>26</v>
      </c>
      <c r="AE152" s="9">
        <v>0.3211</v>
      </c>
    </row>
    <row r="153" spans="1:31" ht="30">
      <c r="A153" s="5" t="s">
        <v>338</v>
      </c>
      <c r="B153" s="5" t="s">
        <v>337</v>
      </c>
      <c r="C153" s="10">
        <v>0.88</v>
      </c>
      <c r="D153" s="9">
        <v>3.6399999999999997</v>
      </c>
      <c r="E153" s="9">
        <v>17.739999999999998</v>
      </c>
      <c r="F153" s="10">
        <v>0.05</v>
      </c>
      <c r="G153" s="10">
        <v>36.44</v>
      </c>
      <c r="H153" s="9">
        <v>0.39819694932757743</v>
      </c>
      <c r="I153" s="9">
        <v>0.6</v>
      </c>
      <c r="J153" s="9">
        <v>99</v>
      </c>
      <c r="K153" s="9">
        <v>-258.30569306930698</v>
      </c>
      <c r="L153" s="10">
        <v>0.03</v>
      </c>
      <c r="M153" s="9">
        <v>0</v>
      </c>
      <c r="N153" s="9">
        <v>73.119048780487802</v>
      </c>
      <c r="O153" s="10">
        <v>7.9354750000000002E-2</v>
      </c>
      <c r="P153" s="9">
        <v>1</v>
      </c>
      <c r="Q153" s="9">
        <v>32.775730000000003</v>
      </c>
      <c r="R153" s="9">
        <v>66.2</v>
      </c>
      <c r="S153" s="9">
        <v>176.69323503117201</v>
      </c>
      <c r="T153" s="9">
        <v>0.54302670623145399</v>
      </c>
      <c r="U153" s="10">
        <v>-0.36734902118430002</v>
      </c>
      <c r="V153" s="10">
        <v>-1.7737439679459901</v>
      </c>
      <c r="W153" s="10">
        <v>0.3</v>
      </c>
      <c r="X153" s="9">
        <v>21.469999309999999</v>
      </c>
      <c r="Y153" s="9" t="s">
        <v>425</v>
      </c>
      <c r="Z153" s="9">
        <v>2.48</v>
      </c>
      <c r="AA153" s="9">
        <v>3</v>
      </c>
      <c r="AB153" s="9" t="e">
        <v>#N/A</v>
      </c>
      <c r="AC153" s="11">
        <v>0.107769424</v>
      </c>
      <c r="AD153" s="9" t="s">
        <v>424</v>
      </c>
      <c r="AE153" s="9">
        <v>943.3</v>
      </c>
    </row>
    <row r="154" spans="1:31">
      <c r="A154" s="5" t="s">
        <v>340</v>
      </c>
      <c r="B154" s="5" t="s">
        <v>339</v>
      </c>
      <c r="C154" s="10">
        <v>0.71</v>
      </c>
      <c r="D154" s="9">
        <v>3</v>
      </c>
      <c r="E154" s="9">
        <v>57.36</v>
      </c>
      <c r="F154" s="10">
        <v>0.11</v>
      </c>
      <c r="G154" s="10">
        <v>86.36</v>
      </c>
      <c r="H154" s="9">
        <v>3.3128304188694591</v>
      </c>
      <c r="I154" s="9">
        <v>9.3000000000000007</v>
      </c>
      <c r="J154" s="9">
        <v>42</v>
      </c>
      <c r="K154" s="9">
        <v>56.977964323189902</v>
      </c>
      <c r="L154" s="10">
        <v>8.3000000000000004E-2</v>
      </c>
      <c r="M154" s="9">
        <v>13.99622244</v>
      </c>
      <c r="N154" s="9">
        <v>55.595292682926797</v>
      </c>
      <c r="O154" s="10">
        <v>2.1526367560000002</v>
      </c>
      <c r="P154" s="9">
        <v>1</v>
      </c>
      <c r="Q154" s="9">
        <v>8.0458400000000001</v>
      </c>
      <c r="R154" s="9">
        <v>55.7</v>
      </c>
      <c r="S154" s="9">
        <v>55.061165314688701</v>
      </c>
      <c r="T154" s="9">
        <v>1.0961538461538465</v>
      </c>
      <c r="U154" s="10">
        <v>-0.14666736148501</v>
      </c>
      <c r="V154" s="10">
        <v>-0.31164742071604001</v>
      </c>
      <c r="W154" s="10">
        <v>4.6745961668311429</v>
      </c>
      <c r="X154" s="9">
        <v>29.260000229999999</v>
      </c>
      <c r="Y154" s="9">
        <v>69</v>
      </c>
      <c r="Z154" s="9">
        <v>-9.34</v>
      </c>
      <c r="AA154" s="9">
        <v>4.5</v>
      </c>
      <c r="AB154" s="9">
        <v>530</v>
      </c>
      <c r="AC154" s="11">
        <v>0.413149351</v>
      </c>
      <c r="AD154" s="9">
        <v>51</v>
      </c>
      <c r="AE154" s="9">
        <v>5.7240000000000002</v>
      </c>
    </row>
    <row r="155" spans="1:31">
      <c r="A155" s="5" t="s">
        <v>342</v>
      </c>
      <c r="B155" s="5" t="s">
        <v>341</v>
      </c>
      <c r="C155" s="10">
        <v>0.01</v>
      </c>
      <c r="D155" s="9">
        <v>0.1</v>
      </c>
      <c r="E155" s="9">
        <v>47.78</v>
      </c>
      <c r="F155" s="10">
        <v>0.16</v>
      </c>
      <c r="G155" s="10">
        <v>14.4</v>
      </c>
      <c r="H155" s="9" t="e">
        <v>#N/A</v>
      </c>
      <c r="I155" s="9" t="e">
        <v>#N/A</v>
      </c>
      <c r="J155" s="9">
        <v>100</v>
      </c>
      <c r="K155" s="9">
        <v>38.111277445109799</v>
      </c>
      <c r="L155" s="10">
        <v>0.03</v>
      </c>
      <c r="M155" s="9">
        <v>0.43414821300000001</v>
      </c>
      <c r="N155" s="9">
        <v>73.636585365853605</v>
      </c>
      <c r="O155" s="10">
        <v>1.3276774999999999E-2</v>
      </c>
      <c r="P155" s="9">
        <v>1</v>
      </c>
      <c r="Q155" s="9">
        <v>49.849670000000003</v>
      </c>
      <c r="R155" s="9">
        <v>58</v>
      </c>
      <c r="S155" s="9">
        <v>135.41978692452099</v>
      </c>
      <c r="T155" s="9">
        <v>0.82866556836902794</v>
      </c>
      <c r="U155" s="10">
        <v>-0.50047687910020999</v>
      </c>
      <c r="V155" s="10">
        <v>0.31816682226380999</v>
      </c>
      <c r="W155" s="10" t="e">
        <v>#N/A</v>
      </c>
      <c r="X155" s="9">
        <v>47.74</v>
      </c>
      <c r="Y155" s="9">
        <v>99</v>
      </c>
      <c r="Z155" s="9" t="e">
        <v>#N/A</v>
      </c>
      <c r="AA155" s="9" t="e">
        <v>#N/A</v>
      </c>
      <c r="AB155" s="9" t="e">
        <v>#N/A</v>
      </c>
      <c r="AC155" s="11">
        <v>2.2222222E-2</v>
      </c>
      <c r="AD155" s="9">
        <v>92</v>
      </c>
      <c r="AE155" s="9" t="e">
        <v>#N/A</v>
      </c>
    </row>
    <row r="156" spans="1:31">
      <c r="A156" s="5" t="s">
        <v>344</v>
      </c>
      <c r="B156" s="5" t="s">
        <v>343</v>
      </c>
      <c r="C156" s="10">
        <v>1.04</v>
      </c>
      <c r="D156" s="9" t="e">
        <v>#N/A</v>
      </c>
      <c r="E156" s="9">
        <v>45.18</v>
      </c>
      <c r="F156" s="10" t="e">
        <v>#N/A</v>
      </c>
      <c r="G156" s="10">
        <v>33.36</v>
      </c>
      <c r="H156" s="9">
        <v>14.444444444444443</v>
      </c>
      <c r="I156" s="9">
        <v>26</v>
      </c>
      <c r="J156" s="9">
        <v>96</v>
      </c>
      <c r="K156" s="9" t="e">
        <v>#N/A</v>
      </c>
      <c r="L156" s="10">
        <v>8.3000000000000004E-2</v>
      </c>
      <c r="M156" s="9">
        <v>1.4308117709999999</v>
      </c>
      <c r="N156" s="9">
        <v>73.163414634146307</v>
      </c>
      <c r="O156" s="10" t="e">
        <v>#N/A</v>
      </c>
      <c r="P156" s="9">
        <v>1</v>
      </c>
      <c r="Q156" s="9" t="e">
        <v>#N/A</v>
      </c>
      <c r="R156" s="9">
        <v>51.2</v>
      </c>
      <c r="S156" s="9">
        <v>104.924218061883</v>
      </c>
      <c r="T156" s="9">
        <v>0.31670822942643384</v>
      </c>
      <c r="U156" s="10">
        <v>0.71142541870688003</v>
      </c>
      <c r="V156" s="10">
        <v>3.8639991687271003E-2</v>
      </c>
      <c r="W156" s="10">
        <v>326.08695652173913</v>
      </c>
      <c r="X156" s="9">
        <v>96.456692910000001</v>
      </c>
      <c r="Y156" s="9" t="e">
        <v>#N/A</v>
      </c>
      <c r="Z156" s="9">
        <v>0.43</v>
      </c>
      <c r="AA156" s="9">
        <v>4.9000000000000004</v>
      </c>
      <c r="AB156" s="9" t="e">
        <v>#N/A</v>
      </c>
      <c r="AC156" s="11">
        <v>0.18908629399999999</v>
      </c>
      <c r="AD156" s="9" t="e">
        <v>#N/A</v>
      </c>
      <c r="AE156" s="9" t="e">
        <v>#N/A</v>
      </c>
    </row>
    <row r="157" spans="1:31" ht="30">
      <c r="A157" s="5" t="s">
        <v>346</v>
      </c>
      <c r="B157" s="5" t="s">
        <v>345</v>
      </c>
      <c r="C157" s="10">
        <v>0.21</v>
      </c>
      <c r="D157" s="9">
        <v>8.4</v>
      </c>
      <c r="E157" s="9">
        <v>61.92</v>
      </c>
      <c r="F157" s="10">
        <v>0.12</v>
      </c>
      <c r="G157" s="10">
        <v>54.41</v>
      </c>
      <c r="H157" s="9">
        <v>4.6473376080289936</v>
      </c>
      <c r="I157" s="9">
        <v>7.5</v>
      </c>
      <c r="J157" s="9">
        <v>5.0999999999999996</v>
      </c>
      <c r="K157" s="9" t="e">
        <v>#N/A</v>
      </c>
      <c r="L157" s="10">
        <v>8.3000000000000004E-2</v>
      </c>
      <c r="M157" s="9">
        <v>20.381543189999999</v>
      </c>
      <c r="N157" s="9">
        <v>47.5999756097561</v>
      </c>
      <c r="O157" s="10">
        <v>4.8644382679999998</v>
      </c>
      <c r="P157" s="9">
        <v>1</v>
      </c>
      <c r="Q157" s="9">
        <v>2.04996</v>
      </c>
      <c r="R157" s="9">
        <v>49.6</v>
      </c>
      <c r="S157" s="9">
        <v>20.363484690784901</v>
      </c>
      <c r="T157" s="9">
        <v>0.81009615384615352</v>
      </c>
      <c r="U157" s="10">
        <v>-0.39949118294656999</v>
      </c>
      <c r="V157" s="10">
        <v>-0.25979977480563998</v>
      </c>
      <c r="W157" s="10">
        <v>2.0943870427254958</v>
      </c>
      <c r="X157" s="9">
        <v>8</v>
      </c>
      <c r="Y157" s="9">
        <v>49</v>
      </c>
      <c r="Z157" s="9">
        <v>14.08</v>
      </c>
      <c r="AA157" s="9">
        <v>4.5999999999999996</v>
      </c>
      <c r="AB157" s="9">
        <v>1473</v>
      </c>
      <c r="AC157" s="11">
        <v>0.54928834999999998</v>
      </c>
      <c r="AD157" s="9">
        <v>13</v>
      </c>
      <c r="AE157" s="9">
        <v>0.30830000000000002</v>
      </c>
    </row>
    <row r="158" spans="1:31">
      <c r="A158" s="5" t="s">
        <v>348</v>
      </c>
      <c r="B158" s="5" t="s">
        <v>347</v>
      </c>
      <c r="C158" s="10" t="e">
        <v>#N/A</v>
      </c>
      <c r="D158" s="9">
        <v>0.26</v>
      </c>
      <c r="E158" s="9">
        <v>0</v>
      </c>
      <c r="F158" s="10">
        <v>0.04</v>
      </c>
      <c r="G158" s="10">
        <v>38.94</v>
      </c>
      <c r="H158" s="9">
        <v>20.806451612903228</v>
      </c>
      <c r="I158" s="9">
        <v>10.4</v>
      </c>
      <c r="J158" s="9">
        <v>100</v>
      </c>
      <c r="K158" s="9">
        <v>100</v>
      </c>
      <c r="L158" s="10">
        <v>0.34</v>
      </c>
      <c r="M158" s="9">
        <v>0</v>
      </c>
      <c r="N158" s="9">
        <v>80.741463414634097</v>
      </c>
      <c r="O158" s="10">
        <v>1.0035221E-2</v>
      </c>
      <c r="P158" s="9">
        <v>1</v>
      </c>
      <c r="Q158" s="9" t="e">
        <v>#N/A</v>
      </c>
      <c r="R158" s="9">
        <v>87.2</v>
      </c>
      <c r="S158" s="9">
        <v>133.37075948351901</v>
      </c>
      <c r="T158" s="9">
        <v>0.79202772963604873</v>
      </c>
      <c r="U158" s="10">
        <v>1.1493828666322901</v>
      </c>
      <c r="V158" s="10">
        <v>-0.40499531681984002</v>
      </c>
      <c r="W158" s="10" t="e">
        <v>#N/A</v>
      </c>
      <c r="X158" s="9">
        <v>100</v>
      </c>
      <c r="Y158" s="9">
        <v>100</v>
      </c>
      <c r="Z158" s="9">
        <v>-4.76</v>
      </c>
      <c r="AA158" s="9">
        <v>4.7</v>
      </c>
      <c r="AB158" s="9" t="e">
        <v>#N/A</v>
      </c>
      <c r="AC158" s="11">
        <v>0.16500000000000001</v>
      </c>
      <c r="AD158" s="9">
        <v>100</v>
      </c>
      <c r="AE158" s="9" t="e">
        <v>#N/A</v>
      </c>
    </row>
    <row r="159" spans="1:31">
      <c r="A159" s="5" t="s">
        <v>350</v>
      </c>
      <c r="B159" s="5" t="s">
        <v>349</v>
      </c>
      <c r="C159" s="10">
        <v>0.18</v>
      </c>
      <c r="D159" s="9" t="e">
        <v>#N/A</v>
      </c>
      <c r="E159" s="9">
        <v>43.32</v>
      </c>
      <c r="F159" s="10">
        <v>0.28000000000000003</v>
      </c>
      <c r="G159" s="10">
        <v>8.32</v>
      </c>
      <c r="H159" s="9" t="e">
        <v>#N/A</v>
      </c>
      <c r="I159" s="9" t="e">
        <v>#N/A</v>
      </c>
      <c r="J159" s="9">
        <v>100</v>
      </c>
      <c r="K159" s="9">
        <v>65.524926686217</v>
      </c>
      <c r="L159" s="10">
        <v>0.03</v>
      </c>
      <c r="M159" s="9">
        <v>0.36843721200000001</v>
      </c>
      <c r="N159" s="9">
        <v>74.810731707317004</v>
      </c>
      <c r="O159" s="10">
        <v>7.4943070000000004E-3</v>
      </c>
      <c r="P159" s="9" t="e">
        <v>#N/A</v>
      </c>
      <c r="Q159" s="9">
        <v>53.618749999999999</v>
      </c>
      <c r="R159" s="9">
        <v>69.5</v>
      </c>
      <c r="S159" s="9">
        <v>101.468451628192</v>
      </c>
      <c r="T159" s="9">
        <v>1.1284634760705288</v>
      </c>
      <c r="U159" s="10">
        <v>0.88636347792611003</v>
      </c>
      <c r="V159" s="10">
        <v>0.87151373432126999</v>
      </c>
      <c r="W159" s="10">
        <v>9.3555093555093567</v>
      </c>
      <c r="X159" s="9">
        <v>87.02999878</v>
      </c>
      <c r="Y159" s="9">
        <v>100</v>
      </c>
      <c r="Z159" s="9">
        <v>1.62</v>
      </c>
      <c r="AA159" s="9">
        <v>2.2000000000000002</v>
      </c>
      <c r="AB159" s="9" t="e">
        <v>#N/A</v>
      </c>
      <c r="AC159" s="11">
        <v>5.1698671000000002E-2</v>
      </c>
      <c r="AD159" s="9">
        <v>100</v>
      </c>
      <c r="AE159" s="9">
        <v>1.373</v>
      </c>
    </row>
    <row r="160" spans="1:31">
      <c r="A160" s="5" t="s">
        <v>352</v>
      </c>
      <c r="B160" s="5" t="s">
        <v>351</v>
      </c>
      <c r="C160" s="10">
        <v>0.54</v>
      </c>
      <c r="D160" s="9" t="e">
        <v>#N/A</v>
      </c>
      <c r="E160" s="9">
        <v>51.7</v>
      </c>
      <c r="F160" s="10">
        <v>0.14000000000000001</v>
      </c>
      <c r="G160" s="10">
        <v>14.31</v>
      </c>
      <c r="H160" s="9" t="e">
        <v>#N/A</v>
      </c>
      <c r="I160" s="9" t="e">
        <v>#N/A</v>
      </c>
      <c r="J160" s="9">
        <v>100</v>
      </c>
      <c r="K160" s="9">
        <v>52.527472527472497</v>
      </c>
      <c r="L160" s="10">
        <v>2.7E-2</v>
      </c>
      <c r="M160" s="9">
        <v>3.6668230000000003E-2</v>
      </c>
      <c r="N160" s="9">
        <v>78.9739024390244</v>
      </c>
      <c r="O160" s="10">
        <v>2.4143048E-2</v>
      </c>
      <c r="P160" s="9">
        <v>1</v>
      </c>
      <c r="Q160" s="9">
        <v>86.712739999999997</v>
      </c>
      <c r="R160" s="9">
        <v>64.599999999999994</v>
      </c>
      <c r="S160" s="9">
        <v>102.799180321851</v>
      </c>
      <c r="T160" s="9">
        <v>0.89780405405405428</v>
      </c>
      <c r="U160" s="10">
        <v>0.86899948244172998</v>
      </c>
      <c r="V160" s="10">
        <v>0.98683932525382001</v>
      </c>
      <c r="W160" s="10" t="e">
        <v>#N/A</v>
      </c>
      <c r="X160" s="9">
        <v>100</v>
      </c>
      <c r="Y160" s="9">
        <v>99</v>
      </c>
      <c r="Z160" s="9">
        <v>-1.34</v>
      </c>
      <c r="AA160" s="9">
        <v>1.7</v>
      </c>
      <c r="AB160" s="9" t="e">
        <v>#N/A</v>
      </c>
      <c r="AC160" s="11">
        <v>4.4117647000000003E-2</v>
      </c>
      <c r="AD160" s="9">
        <v>100</v>
      </c>
      <c r="AE160" s="9">
        <v>2.956</v>
      </c>
    </row>
    <row r="161" spans="1:31" ht="30">
      <c r="A161" s="5" t="s">
        <v>354</v>
      </c>
      <c r="B161" s="5" t="s">
        <v>353</v>
      </c>
      <c r="C161" s="10">
        <v>1.1200000000000001</v>
      </c>
      <c r="D161" s="9" t="e">
        <v>#N/A</v>
      </c>
      <c r="E161" s="9">
        <v>81.72</v>
      </c>
      <c r="F161" s="10">
        <v>0.13</v>
      </c>
      <c r="G161" s="10">
        <v>33.36</v>
      </c>
      <c r="H161" s="9">
        <v>24.782006920415224</v>
      </c>
      <c r="I161" s="9">
        <v>13.4</v>
      </c>
      <c r="J161" s="9">
        <v>14.4</v>
      </c>
      <c r="K161" s="9" t="e">
        <v>#N/A</v>
      </c>
      <c r="L161" s="10">
        <v>0.307</v>
      </c>
      <c r="M161" s="9">
        <v>29.38083344</v>
      </c>
      <c r="N161" s="9">
        <v>66.255024390243904</v>
      </c>
      <c r="O161" s="10">
        <v>0.42920237700000002</v>
      </c>
      <c r="P161" s="9">
        <v>1</v>
      </c>
      <c r="Q161" s="9" t="e">
        <v>#N/A</v>
      </c>
      <c r="R161" s="9">
        <v>45.9</v>
      </c>
      <c r="S161" s="9">
        <v>5.7342737542290303</v>
      </c>
      <c r="T161" s="9">
        <v>0.54739776951672847</v>
      </c>
      <c r="U161" s="10">
        <v>0.34872457685795</v>
      </c>
      <c r="V161" s="10">
        <v>0.18657069103671001</v>
      </c>
      <c r="W161" s="10" t="e">
        <v>#N/A</v>
      </c>
      <c r="X161" s="9">
        <v>2.4400000570000002</v>
      </c>
      <c r="Y161" s="9">
        <v>69</v>
      </c>
      <c r="Z161" s="9">
        <v>8.2899999999999991</v>
      </c>
      <c r="AA161" s="9">
        <v>4.7</v>
      </c>
      <c r="AB161" s="9">
        <v>84</v>
      </c>
      <c r="AC161" s="11">
        <v>0.23167848699999999</v>
      </c>
      <c r="AD161" s="9">
        <v>29</v>
      </c>
      <c r="AE161" s="9" t="e">
        <v>#N/A</v>
      </c>
    </row>
    <row r="162" spans="1:31">
      <c r="A162" s="5" t="s">
        <v>356</v>
      </c>
      <c r="B162" s="5" t="s">
        <v>355</v>
      </c>
      <c r="C162" s="10" t="e">
        <v>#N/A</v>
      </c>
      <c r="D162" s="9">
        <v>11.6</v>
      </c>
      <c r="E162" s="9">
        <v>63.04</v>
      </c>
      <c r="F162" s="10">
        <v>0.01</v>
      </c>
      <c r="G162" s="10">
        <v>27.62</v>
      </c>
      <c r="H162" s="9" t="e">
        <v>#N/A</v>
      </c>
      <c r="I162" s="9" t="e">
        <v>#N/A</v>
      </c>
      <c r="J162" s="9">
        <v>100</v>
      </c>
      <c r="K162" s="9" t="e">
        <v>#N/A</v>
      </c>
      <c r="L162" s="10">
        <v>0.313</v>
      </c>
      <c r="M162" s="9">
        <v>0</v>
      </c>
      <c r="N162" s="9">
        <v>49.835439024390197</v>
      </c>
      <c r="O162" s="10">
        <v>7.2981192080000001</v>
      </c>
      <c r="P162" s="9">
        <v>1</v>
      </c>
      <c r="Q162" s="9" t="e">
        <v>#N/A</v>
      </c>
      <c r="R162" s="9" t="e">
        <v>#N/A</v>
      </c>
      <c r="S162" s="9">
        <v>7.0184090350683999</v>
      </c>
      <c r="T162" s="9">
        <v>0.85365853658536639</v>
      </c>
      <c r="U162" s="10">
        <v>-3.3117127091785701</v>
      </c>
      <c r="V162" s="10">
        <v>-1.9923707261949399</v>
      </c>
      <c r="W162" s="10">
        <v>2.6301527082602734</v>
      </c>
      <c r="X162" s="9">
        <v>11.80000019</v>
      </c>
      <c r="Y162" s="9">
        <v>30</v>
      </c>
      <c r="Z162" s="9">
        <v>7.44</v>
      </c>
      <c r="AA162" s="9">
        <v>4.5999999999999996</v>
      </c>
      <c r="AB162" s="9">
        <v>885</v>
      </c>
      <c r="AC162" s="11">
        <v>0.38696109400000001</v>
      </c>
      <c r="AD162" s="9">
        <v>23</v>
      </c>
      <c r="AE162" s="9">
        <v>22.44</v>
      </c>
    </row>
    <row r="163" spans="1:31" ht="30">
      <c r="A163" s="5" t="s">
        <v>358</v>
      </c>
      <c r="B163" s="5" t="s">
        <v>357</v>
      </c>
      <c r="C163" s="10">
        <v>0.25</v>
      </c>
      <c r="D163" s="9">
        <v>2.9</v>
      </c>
      <c r="E163" s="9">
        <v>38.78</v>
      </c>
      <c r="F163" s="10">
        <v>0.25</v>
      </c>
      <c r="G163" s="10">
        <v>55.57</v>
      </c>
      <c r="H163" s="9">
        <v>0.1990106794208216</v>
      </c>
      <c r="I163" s="9">
        <v>0.5</v>
      </c>
      <c r="J163" s="9">
        <v>75</v>
      </c>
      <c r="K163" s="9">
        <v>-21.163069098588</v>
      </c>
      <c r="L163" s="10">
        <v>0.16300000000000001</v>
      </c>
      <c r="M163" s="9">
        <v>1.9032421390000001</v>
      </c>
      <c r="N163" s="9">
        <v>51.477243902439</v>
      </c>
      <c r="O163" s="10">
        <v>0.99106281200000002</v>
      </c>
      <c r="P163" s="9">
        <v>1</v>
      </c>
      <c r="Q163" s="9" t="e">
        <v>#N/A</v>
      </c>
      <c r="R163" s="9">
        <v>62.7</v>
      </c>
      <c r="S163" s="9">
        <v>94.152187290590206</v>
      </c>
      <c r="T163" s="9">
        <v>0.89864864864864857</v>
      </c>
      <c r="U163" s="10">
        <v>1.9270835370655E-2</v>
      </c>
      <c r="V163" s="10">
        <v>0.56474314969132999</v>
      </c>
      <c r="W163" s="10">
        <v>1.8526600080693636</v>
      </c>
      <c r="X163" s="9">
        <v>17.299999239999998</v>
      </c>
      <c r="Y163" s="9">
        <v>91</v>
      </c>
      <c r="Z163" s="9">
        <v>-9.49</v>
      </c>
      <c r="AA163" s="9">
        <v>4.0999999999999996</v>
      </c>
      <c r="AB163" s="9">
        <v>104</v>
      </c>
      <c r="AC163" s="11">
        <v>0.58165680500000005</v>
      </c>
      <c r="AD163" s="9">
        <v>77</v>
      </c>
      <c r="AE163" s="9">
        <v>24.96</v>
      </c>
    </row>
    <row r="164" spans="1:31">
      <c r="A164" s="5" t="s">
        <v>360</v>
      </c>
      <c r="B164" s="5" t="s">
        <v>359</v>
      </c>
      <c r="C164" s="10">
        <v>0.37</v>
      </c>
      <c r="D164" s="9" t="e">
        <v>#N/A</v>
      </c>
      <c r="E164" s="9">
        <v>22.74</v>
      </c>
      <c r="F164" s="10">
        <v>0.16</v>
      </c>
      <c r="G164" s="10">
        <v>14.81</v>
      </c>
      <c r="H164" s="9">
        <v>0.8587126227791062</v>
      </c>
      <c r="I164" s="9" t="e">
        <v>#N/A</v>
      </c>
      <c r="J164" s="9">
        <v>100</v>
      </c>
      <c r="K164" s="9">
        <v>76.662532275553303</v>
      </c>
      <c r="L164" s="10">
        <v>2.7E-2</v>
      </c>
      <c r="M164" s="9">
        <v>0</v>
      </c>
      <c r="N164" s="9">
        <v>81.088048780487796</v>
      </c>
      <c r="O164" s="10">
        <v>8.7587840000000004E-3</v>
      </c>
      <c r="P164" s="9">
        <v>1</v>
      </c>
      <c r="Q164" s="9">
        <v>70.581670000000003</v>
      </c>
      <c r="R164" s="9">
        <v>70.2</v>
      </c>
      <c r="S164" s="9">
        <v>110.952219489103</v>
      </c>
      <c r="T164" s="9">
        <v>0.86516853932584303</v>
      </c>
      <c r="U164" s="10">
        <v>-0.17980094616264</v>
      </c>
      <c r="V164" s="10">
        <v>1.18726762197584</v>
      </c>
      <c r="W164" s="10">
        <v>1.803679506192633</v>
      </c>
      <c r="X164" s="9">
        <v>99</v>
      </c>
      <c r="Y164" s="9">
        <v>100</v>
      </c>
      <c r="Z164" s="9">
        <v>-15.11</v>
      </c>
      <c r="AA164" s="9">
        <v>1.4</v>
      </c>
      <c r="AB164" s="9" t="e">
        <v>#N/A</v>
      </c>
      <c r="AC164" s="11">
        <v>6.0301507999999997E-2</v>
      </c>
      <c r="AD164" s="9">
        <v>100</v>
      </c>
      <c r="AE164" s="9">
        <v>29.02</v>
      </c>
    </row>
    <row r="165" spans="1:31">
      <c r="A165" s="5" t="s">
        <v>362</v>
      </c>
      <c r="B165" s="5" t="s">
        <v>361</v>
      </c>
      <c r="C165" s="10">
        <v>0.38</v>
      </c>
      <c r="D165" s="9" t="e">
        <v>#N/A</v>
      </c>
      <c r="E165" s="9">
        <v>84.9</v>
      </c>
      <c r="F165" s="10">
        <v>0.18</v>
      </c>
      <c r="G165" s="10">
        <v>33.44</v>
      </c>
      <c r="H165" s="9">
        <v>8.1298582533150441</v>
      </c>
      <c r="I165" s="9">
        <v>7.7</v>
      </c>
      <c r="J165" s="9">
        <v>76.599999999999994</v>
      </c>
      <c r="K165" s="9">
        <v>43.2344711807499</v>
      </c>
      <c r="L165" s="10">
        <v>0.03</v>
      </c>
      <c r="M165" s="9">
        <v>1.952401651</v>
      </c>
      <c r="N165" s="9">
        <v>74.127121951219493</v>
      </c>
      <c r="O165" s="10">
        <v>9.0558250000000007E-2</v>
      </c>
      <c r="P165" s="9">
        <v>1</v>
      </c>
      <c r="Q165" s="9" t="e">
        <v>#N/A</v>
      </c>
      <c r="R165" s="9">
        <v>57.1</v>
      </c>
      <c r="S165" s="9">
        <v>69.423311339078893</v>
      </c>
      <c r="T165" s="9">
        <v>1.0521844660194177</v>
      </c>
      <c r="U165" s="10">
        <v>-1.3282769424133301</v>
      </c>
      <c r="V165" s="10">
        <v>-0.50086185359100999</v>
      </c>
      <c r="W165" s="10">
        <v>37.134457682190934</v>
      </c>
      <c r="X165" s="9">
        <v>81</v>
      </c>
      <c r="Y165" s="9">
        <v>90</v>
      </c>
      <c r="Z165" s="9">
        <v>5.35</v>
      </c>
      <c r="AA165" s="9">
        <v>4.5999999999999996</v>
      </c>
      <c r="AB165" s="9">
        <v>42</v>
      </c>
      <c r="AC165" s="11">
        <v>8.4491978999999995E-2</v>
      </c>
      <c r="AD165" s="9">
        <v>91</v>
      </c>
      <c r="AE165" s="9">
        <v>24.53</v>
      </c>
    </row>
    <row r="166" spans="1:31">
      <c r="A166" s="5" t="s">
        <v>364</v>
      </c>
      <c r="B166" s="5" t="s">
        <v>363</v>
      </c>
      <c r="C166" s="10">
        <v>0.23</v>
      </c>
      <c r="D166" s="9">
        <v>9.4</v>
      </c>
      <c r="E166" s="9">
        <v>55.68</v>
      </c>
      <c r="F166" s="10">
        <v>0.03</v>
      </c>
      <c r="G166" s="10">
        <v>93.34</v>
      </c>
      <c r="H166" s="9">
        <v>2.3186115467653173E-2</v>
      </c>
      <c r="I166" s="9" t="e">
        <v>#N/A</v>
      </c>
      <c r="J166" s="9">
        <v>31.4</v>
      </c>
      <c r="K166" s="9">
        <v>-126.867030965392</v>
      </c>
      <c r="L166" s="10">
        <v>0.313</v>
      </c>
      <c r="M166" s="9">
        <v>3.1510926279999998</v>
      </c>
      <c r="N166" s="9">
        <v>58.147853658536498</v>
      </c>
      <c r="O166" s="10">
        <v>3.126546753</v>
      </c>
      <c r="P166" s="9">
        <v>1</v>
      </c>
      <c r="Q166" s="9">
        <v>5.9290700000000003</v>
      </c>
      <c r="R166" s="9">
        <v>47.2</v>
      </c>
      <c r="S166" s="9">
        <v>36.288174551572403</v>
      </c>
      <c r="T166" s="9">
        <v>1.0186335403726712</v>
      </c>
      <c r="U166" s="10">
        <v>-2.6469856564904299</v>
      </c>
      <c r="V166" s="10">
        <v>-1.58593000728639</v>
      </c>
      <c r="W166" s="10">
        <v>0.75757575757575757</v>
      </c>
      <c r="X166" s="9">
        <v>36.299999239999998</v>
      </c>
      <c r="Y166" s="9">
        <v>57</v>
      </c>
      <c r="Z166" s="9">
        <v>19.64</v>
      </c>
      <c r="AA166" s="9">
        <v>4.0999999999999996</v>
      </c>
      <c r="AB166" s="9">
        <v>255</v>
      </c>
      <c r="AC166" s="11">
        <v>0.26511954999999998</v>
      </c>
      <c r="AD166" s="9">
        <v>34</v>
      </c>
      <c r="AE166" s="9">
        <v>57.58</v>
      </c>
    </row>
    <row r="167" spans="1:31">
      <c r="A167" s="5" t="s">
        <v>366</v>
      </c>
      <c r="B167" s="5" t="s">
        <v>365</v>
      </c>
      <c r="C167" s="10">
        <v>0.26</v>
      </c>
      <c r="D167" s="9">
        <v>0.8</v>
      </c>
      <c r="E167" s="9">
        <v>24.74</v>
      </c>
      <c r="F167" s="10">
        <v>0.14000000000000001</v>
      </c>
      <c r="G167" s="10">
        <v>42.68</v>
      </c>
      <c r="H167" s="9">
        <v>5.177313652232499</v>
      </c>
      <c r="I167" s="9">
        <v>34.6</v>
      </c>
      <c r="J167" s="9">
        <v>78.599999999999994</v>
      </c>
      <c r="K167" s="9" t="e">
        <v>#N/A</v>
      </c>
      <c r="L167" s="10">
        <v>0.127</v>
      </c>
      <c r="M167" s="9">
        <v>3.266753654</v>
      </c>
      <c r="N167" s="9">
        <v>69.0215121951219</v>
      </c>
      <c r="O167" s="10">
        <v>0.24829711199999999</v>
      </c>
      <c r="P167" s="9">
        <v>1</v>
      </c>
      <c r="Q167" s="9">
        <v>12.317410000000001</v>
      </c>
      <c r="R167" s="9">
        <v>53.1</v>
      </c>
      <c r="S167" s="9">
        <v>146.979643667988</v>
      </c>
      <c r="T167" s="9">
        <v>0.91033434650455913</v>
      </c>
      <c r="U167" s="10">
        <v>0.17754059449352999</v>
      </c>
      <c r="V167" s="10">
        <v>0.41115333891986</v>
      </c>
      <c r="W167" s="10" t="e">
        <v>#N/A</v>
      </c>
      <c r="X167" s="9">
        <v>26.25</v>
      </c>
      <c r="Y167" s="9">
        <v>93</v>
      </c>
      <c r="Z167" s="9">
        <v>-14.12</v>
      </c>
      <c r="AA167" s="9">
        <v>4.5</v>
      </c>
      <c r="AB167" s="9">
        <v>43</v>
      </c>
      <c r="AC167" s="11">
        <v>0.16321243499999999</v>
      </c>
      <c r="AD167" s="9">
        <v>84</v>
      </c>
      <c r="AE167" s="9">
        <v>0.54920000000000002</v>
      </c>
    </row>
    <row r="168" spans="1:31">
      <c r="A168" s="5" t="s">
        <v>368</v>
      </c>
      <c r="B168" s="5" t="s">
        <v>367</v>
      </c>
      <c r="C168" s="10">
        <v>0.82</v>
      </c>
      <c r="D168" s="9">
        <v>2.8600000000000003</v>
      </c>
      <c r="E168" s="9">
        <v>74.78</v>
      </c>
      <c r="F168" s="10">
        <v>0.05</v>
      </c>
      <c r="G168" s="10">
        <v>63.06</v>
      </c>
      <c r="H168" s="9" t="e">
        <v>#N/A</v>
      </c>
      <c r="I168" s="9" t="e">
        <v>#N/A</v>
      </c>
      <c r="J168" s="9">
        <v>29.7</v>
      </c>
      <c r="K168" s="9" t="e">
        <v>#N/A</v>
      </c>
      <c r="L168" s="10">
        <v>0.16300000000000001</v>
      </c>
      <c r="M168" s="9">
        <v>12.211082230000001</v>
      </c>
      <c r="N168" s="9">
        <v>45.765195121951201</v>
      </c>
      <c r="O168" s="10">
        <v>1.3250768429999999</v>
      </c>
      <c r="P168" s="9">
        <v>1</v>
      </c>
      <c r="Q168" s="9">
        <v>4.3871700000000002</v>
      </c>
      <c r="R168" s="9">
        <v>59.1</v>
      </c>
      <c r="S168" s="9">
        <v>55.361639784764797</v>
      </c>
      <c r="T168" s="9">
        <v>0.74797843665768171</v>
      </c>
      <c r="U168" s="10">
        <v>2.3618274250890001E-2</v>
      </c>
      <c r="V168" s="10">
        <v>-1.2120816820020299</v>
      </c>
      <c r="W168" s="10">
        <v>8.720930232558139</v>
      </c>
      <c r="X168" s="9">
        <v>29.989999770000001</v>
      </c>
      <c r="Y168" s="9">
        <v>69</v>
      </c>
      <c r="Z168" s="9">
        <v>-2.7</v>
      </c>
      <c r="AA168" s="9">
        <v>4.5</v>
      </c>
      <c r="AB168" s="9">
        <v>252</v>
      </c>
      <c r="AC168" s="11">
        <v>0.52747252700000002</v>
      </c>
      <c r="AD168" s="9">
        <v>55</v>
      </c>
      <c r="AE168" s="9">
        <v>23.1</v>
      </c>
    </row>
    <row r="169" spans="1:31">
      <c r="A169" s="5" t="s">
        <v>370</v>
      </c>
      <c r="B169" s="5" t="s">
        <v>369</v>
      </c>
      <c r="C169" s="10">
        <v>0.14000000000000001</v>
      </c>
      <c r="D169" s="9" t="e">
        <v>#N/A</v>
      </c>
      <c r="E169" s="9">
        <v>15.38</v>
      </c>
      <c r="F169" s="10">
        <v>0.26</v>
      </c>
      <c r="G169" s="10">
        <v>-18.14</v>
      </c>
      <c r="H169" s="9">
        <v>1.5774735532047293</v>
      </c>
      <c r="I169" s="9">
        <v>3.5</v>
      </c>
      <c r="J169" s="9">
        <v>100</v>
      </c>
      <c r="K169" s="9">
        <v>33.740286016462001</v>
      </c>
      <c r="L169" s="10">
        <v>2.7E-2</v>
      </c>
      <c r="M169" s="9">
        <v>0</v>
      </c>
      <c r="N169" s="9">
        <v>81.237170731707295</v>
      </c>
      <c r="O169" s="10">
        <v>8.7515370000000002E-3</v>
      </c>
      <c r="P169" s="9">
        <v>1</v>
      </c>
      <c r="Q169" s="9">
        <v>71.053319999999999</v>
      </c>
      <c r="R169" s="9">
        <v>71.900000000000006</v>
      </c>
      <c r="S169" s="9">
        <v>122.832174977691</v>
      </c>
      <c r="T169" s="9">
        <v>0.96875000000000011</v>
      </c>
      <c r="U169" s="10">
        <v>1.1003004298527901</v>
      </c>
      <c r="V169" s="10">
        <v>1.5556668702647301</v>
      </c>
      <c r="W169" s="10" t="e">
        <v>#N/A</v>
      </c>
      <c r="X169" s="9">
        <v>23.57</v>
      </c>
      <c r="Y169" s="9">
        <v>100</v>
      </c>
      <c r="Z169" s="9">
        <v>12.93</v>
      </c>
      <c r="AA169" s="9">
        <v>3.1</v>
      </c>
      <c r="AB169" s="9" t="e">
        <v>#N/A</v>
      </c>
      <c r="AC169" s="11">
        <v>4.8780487999999997E-2</v>
      </c>
      <c r="AD169" s="9">
        <v>100</v>
      </c>
      <c r="AE169" s="9">
        <v>1.5029999999999999</v>
      </c>
    </row>
    <row r="170" spans="1:31">
      <c r="A170" s="5" t="s">
        <v>372</v>
      </c>
      <c r="B170" s="5" t="s">
        <v>371</v>
      </c>
      <c r="C170" s="10">
        <v>0.54</v>
      </c>
      <c r="D170" s="9" t="e">
        <v>#N/A</v>
      </c>
      <c r="E170" s="9">
        <v>26.46</v>
      </c>
      <c r="F170" s="10">
        <v>0.08</v>
      </c>
      <c r="G170" s="10">
        <v>8.32</v>
      </c>
      <c r="H170" s="9" t="e">
        <v>#N/A</v>
      </c>
      <c r="I170" s="9" t="e">
        <v>#N/A</v>
      </c>
      <c r="J170" s="9">
        <v>100</v>
      </c>
      <c r="K170" s="9">
        <v>52.699037782813797</v>
      </c>
      <c r="L170" s="10">
        <v>2.7E-2</v>
      </c>
      <c r="M170" s="9">
        <v>0</v>
      </c>
      <c r="N170" s="9">
        <v>82.161707317073095</v>
      </c>
      <c r="O170" s="10">
        <v>1.3149104E-2</v>
      </c>
      <c r="P170" s="9">
        <v>1</v>
      </c>
      <c r="Q170" s="9">
        <v>49.397469999999998</v>
      </c>
      <c r="R170" s="9">
        <v>81.900000000000006</v>
      </c>
      <c r="S170" s="9">
        <v>119.71025849008301</v>
      </c>
      <c r="T170" s="9">
        <v>0.92528735632183912</v>
      </c>
      <c r="U170" s="10">
        <v>1.2136482849827901</v>
      </c>
      <c r="V170" s="10">
        <v>1.5596921600867</v>
      </c>
      <c r="W170" s="10">
        <v>11.25</v>
      </c>
      <c r="X170" s="9">
        <v>100</v>
      </c>
      <c r="Y170" s="9">
        <v>100</v>
      </c>
      <c r="Z170" s="9">
        <v>3.67</v>
      </c>
      <c r="AA170" s="9">
        <v>1.5</v>
      </c>
      <c r="AB170" s="9" t="e">
        <v>#N/A</v>
      </c>
      <c r="AC170" s="11">
        <v>4.5945946000000001E-2</v>
      </c>
      <c r="AD170" s="9">
        <v>100</v>
      </c>
      <c r="AE170" s="9">
        <v>4.8860000000000001</v>
      </c>
    </row>
    <row r="171" spans="1:31" ht="30">
      <c r="A171" s="5" t="s">
        <v>374</v>
      </c>
      <c r="B171" s="5" t="s">
        <v>373</v>
      </c>
      <c r="C171" s="10">
        <v>0.27</v>
      </c>
      <c r="D171" s="9">
        <v>1.8</v>
      </c>
      <c r="E171" s="9">
        <v>45.44</v>
      </c>
      <c r="F171" s="10">
        <v>7.0000000000000007E-2</v>
      </c>
      <c r="G171" s="10">
        <v>44.93</v>
      </c>
      <c r="H171" s="9">
        <v>3.5100982827519167E-2</v>
      </c>
      <c r="I171" s="9">
        <v>0.1</v>
      </c>
      <c r="J171" s="9">
        <v>92.7</v>
      </c>
      <c r="K171" s="9">
        <v>-19.191919191919201</v>
      </c>
      <c r="L171" s="10">
        <v>0.03</v>
      </c>
      <c r="M171" s="9">
        <v>1.0152496470000001</v>
      </c>
      <c r="N171" s="9">
        <v>74.2253170731707</v>
      </c>
      <c r="O171" s="10">
        <v>0.16356458600000001</v>
      </c>
      <c r="P171" s="9">
        <v>1</v>
      </c>
      <c r="Q171" s="9">
        <v>14.772550000000001</v>
      </c>
      <c r="R171" s="9">
        <v>51.3</v>
      </c>
      <c r="S171" s="9">
        <v>45.974496264731002</v>
      </c>
      <c r="T171" s="9">
        <v>1.3647798742138362</v>
      </c>
      <c r="U171" s="10">
        <v>-0.68316897659222997</v>
      </c>
      <c r="V171" s="10">
        <v>-1.6325221850188101</v>
      </c>
      <c r="W171" s="10" t="e">
        <v>#N/A</v>
      </c>
      <c r="X171" s="9">
        <v>91.03</v>
      </c>
      <c r="Y171" s="9">
        <v>89</v>
      </c>
      <c r="Z171" s="9">
        <v>-19.77</v>
      </c>
      <c r="AA171" s="9">
        <v>1.8</v>
      </c>
      <c r="AB171" s="9">
        <v>54</v>
      </c>
      <c r="AC171" s="11">
        <v>7.7777778000000006E-2</v>
      </c>
      <c r="AD171" s="9">
        <v>96</v>
      </c>
      <c r="AE171" s="9">
        <v>99.76</v>
      </c>
    </row>
    <row r="172" spans="1:31">
      <c r="A172" s="5" t="s">
        <v>376</v>
      </c>
      <c r="B172" s="5" t="s">
        <v>375</v>
      </c>
      <c r="C172" s="10">
        <v>0.57999999999999996</v>
      </c>
      <c r="D172" s="9">
        <v>5.3</v>
      </c>
      <c r="E172" s="9">
        <v>73.52</v>
      </c>
      <c r="F172" s="10">
        <v>0.19</v>
      </c>
      <c r="G172" s="10">
        <v>9.82</v>
      </c>
      <c r="H172" s="9" t="e">
        <v>#N/A</v>
      </c>
      <c r="I172" s="9" t="e">
        <v>#N/A</v>
      </c>
      <c r="J172" s="9">
        <v>100</v>
      </c>
      <c r="K172" s="9">
        <v>40.3529883674288</v>
      </c>
      <c r="L172" s="10">
        <v>0.03</v>
      </c>
      <c r="M172" s="9">
        <v>11.695573</v>
      </c>
      <c r="N172" s="9">
        <v>66.747024390243894</v>
      </c>
      <c r="O172" s="10">
        <v>0.23464374199999999</v>
      </c>
      <c r="P172" s="9">
        <v>1</v>
      </c>
      <c r="Q172" s="9">
        <v>19.75338</v>
      </c>
      <c r="R172" s="9">
        <v>53.5</v>
      </c>
      <c r="S172" s="9">
        <v>70.481053326396506</v>
      </c>
      <c r="T172" s="9">
        <v>0.79701952723535452</v>
      </c>
      <c r="U172" s="10">
        <v>-1.00185548777069</v>
      </c>
      <c r="V172" s="10">
        <v>-1.3250184185371101</v>
      </c>
      <c r="W172" s="10">
        <v>12.860817376393255</v>
      </c>
      <c r="X172" s="9">
        <v>82.699996949999999</v>
      </c>
      <c r="Y172" s="9">
        <v>70</v>
      </c>
      <c r="Z172" s="9">
        <v>-5.71</v>
      </c>
      <c r="AA172" s="9">
        <v>2.2000000000000002</v>
      </c>
      <c r="AB172" s="9">
        <v>551</v>
      </c>
      <c r="AC172" s="11">
        <v>0.23178137700000001</v>
      </c>
      <c r="AD172" s="9">
        <v>94</v>
      </c>
      <c r="AE172" s="9">
        <v>74.84</v>
      </c>
    </row>
    <row r="173" spans="1:31" ht="45">
      <c r="A173" s="5" t="s">
        <v>378</v>
      </c>
      <c r="B173" s="5" t="s">
        <v>377</v>
      </c>
      <c r="C173" s="10">
        <v>0.15</v>
      </c>
      <c r="D173" s="9">
        <v>3.7</v>
      </c>
      <c r="E173" s="9">
        <v>74.040000000000006</v>
      </c>
      <c r="F173" s="10">
        <v>0.12</v>
      </c>
      <c r="G173" s="10">
        <v>40.270000000000003</v>
      </c>
      <c r="H173" s="9">
        <v>0.76923890846374421</v>
      </c>
      <c r="I173" s="9">
        <v>3.8</v>
      </c>
      <c r="J173" s="9">
        <v>11.5</v>
      </c>
      <c r="K173" s="9">
        <v>7.8440681542438204</v>
      </c>
      <c r="L173" s="10">
        <v>0.16300000000000001</v>
      </c>
      <c r="M173" s="9">
        <v>56.46941649</v>
      </c>
      <c r="N173" s="9">
        <v>55.646804878048698</v>
      </c>
      <c r="O173" s="10">
        <v>4.3752475950000003</v>
      </c>
      <c r="P173" s="9">
        <v>1</v>
      </c>
      <c r="Q173" s="9">
        <v>1.4476500000000001</v>
      </c>
      <c r="R173" s="9">
        <v>57</v>
      </c>
      <c r="S173" s="9">
        <v>39.9402492751843</v>
      </c>
      <c r="T173" s="9">
        <v>0.69469026548672586</v>
      </c>
      <c r="U173" s="10">
        <v>8.2915830833137999E-2</v>
      </c>
      <c r="V173" s="10">
        <v>-0.14092505886834999</v>
      </c>
      <c r="W173" s="10">
        <v>2.2013998645292392</v>
      </c>
      <c r="X173" s="9">
        <v>7.38</v>
      </c>
      <c r="Y173" s="9">
        <v>54</v>
      </c>
      <c r="Z173" s="9">
        <v>3.35</v>
      </c>
      <c r="AA173" s="9">
        <v>4.2</v>
      </c>
      <c r="AB173" s="9">
        <v>322</v>
      </c>
      <c r="AC173" s="11">
        <v>0.47480267199999998</v>
      </c>
      <c r="AD173" s="9">
        <v>24</v>
      </c>
      <c r="AE173" s="9">
        <v>5.3849999999999998</v>
      </c>
    </row>
    <row r="174" spans="1:31">
      <c r="A174" s="5" t="s">
        <v>380</v>
      </c>
      <c r="B174" s="5" t="s">
        <v>379</v>
      </c>
      <c r="C174" s="10">
        <v>0.12</v>
      </c>
      <c r="D174" s="9">
        <v>0.4</v>
      </c>
      <c r="E174" s="9">
        <v>66.34</v>
      </c>
      <c r="F174" s="10">
        <v>0.25</v>
      </c>
      <c r="G174" s="10">
        <v>43.59</v>
      </c>
      <c r="H174" s="9">
        <v>3.7934596195821637</v>
      </c>
      <c r="I174" s="9">
        <v>18.600000000000001</v>
      </c>
      <c r="J174" s="9">
        <v>99.3</v>
      </c>
      <c r="K174" s="9">
        <v>40.414556105933798</v>
      </c>
      <c r="L174" s="10">
        <v>0.03</v>
      </c>
      <c r="M174" s="9">
        <v>0.53641322899999999</v>
      </c>
      <c r="N174" s="9">
        <v>68.860121951219497</v>
      </c>
      <c r="O174" s="10">
        <v>8.4209901000000004E-2</v>
      </c>
      <c r="P174" s="9">
        <v>1</v>
      </c>
      <c r="Q174" s="9">
        <v>44.603729999999999</v>
      </c>
      <c r="R174" s="9">
        <v>64.7</v>
      </c>
      <c r="S174" s="9">
        <v>122.567970533867</v>
      </c>
      <c r="T174" s="9">
        <v>1.0763888888888891</v>
      </c>
      <c r="U174" s="10">
        <v>-1.1051803195088601</v>
      </c>
      <c r="V174" s="10">
        <v>-0.40332736930951002</v>
      </c>
      <c r="W174" s="10">
        <v>8.8081583119653928</v>
      </c>
      <c r="X174" s="9">
        <v>98.5</v>
      </c>
      <c r="Y174" s="9">
        <v>98</v>
      </c>
      <c r="Z174" s="9">
        <v>-1.97</v>
      </c>
      <c r="AA174" s="9">
        <v>4.3</v>
      </c>
      <c r="AB174" s="9">
        <v>59</v>
      </c>
      <c r="AC174" s="11">
        <v>0.16381156299999999</v>
      </c>
      <c r="AD174" s="9">
        <v>96</v>
      </c>
      <c r="AE174" s="9">
        <v>13.07</v>
      </c>
    </row>
    <row r="175" spans="1:31" ht="30">
      <c r="A175" s="5" t="s">
        <v>382</v>
      </c>
      <c r="B175" s="5" t="s">
        <v>381</v>
      </c>
      <c r="C175" s="10">
        <v>0.33</v>
      </c>
      <c r="D175" s="9">
        <v>14.6</v>
      </c>
      <c r="E175" s="9">
        <v>72.3</v>
      </c>
      <c r="F175" s="10">
        <v>0.02</v>
      </c>
      <c r="G175" s="10" t="e">
        <v>#N/A</v>
      </c>
      <c r="H175" s="9" t="e">
        <v>#N/A</v>
      </c>
      <c r="I175" s="9" t="e">
        <v>#N/A</v>
      </c>
      <c r="J175" s="9">
        <v>22</v>
      </c>
      <c r="K175" s="9" t="e">
        <v>#N/A</v>
      </c>
      <c r="L175" s="10">
        <v>0.18</v>
      </c>
      <c r="M175" s="9">
        <v>21.83268923</v>
      </c>
      <c r="N175" s="9" t="e">
        <v>#N/A</v>
      </c>
      <c r="O175" s="10">
        <v>2.2584445990000002</v>
      </c>
      <c r="P175" s="9">
        <v>1</v>
      </c>
      <c r="Q175" s="9" t="e">
        <v>#N/A</v>
      </c>
      <c r="R175" s="9">
        <v>42.8</v>
      </c>
      <c r="S175" s="9" t="e">
        <v>#N/A</v>
      </c>
      <c r="T175" s="9">
        <v>0.28571428571428548</v>
      </c>
      <c r="U175" s="10">
        <v>-0.48324644204243</v>
      </c>
      <c r="V175" s="10">
        <v>8.8410065788199002E-2</v>
      </c>
      <c r="W175" s="10" t="e">
        <v>#N/A</v>
      </c>
      <c r="X175" s="9" t="e">
        <v>#N/A</v>
      </c>
      <c r="Y175" s="9" t="e">
        <v>#N/A</v>
      </c>
      <c r="Z175" s="9" t="e">
        <v>#N/A</v>
      </c>
      <c r="AA175" s="9" t="e">
        <v>#N/A</v>
      </c>
      <c r="AB175" s="9">
        <v>149</v>
      </c>
      <c r="AC175" s="11">
        <v>0.42085308100000002</v>
      </c>
      <c r="AD175" s="9" t="e">
        <v>#N/A</v>
      </c>
      <c r="AE175" s="9" t="e">
        <v>#N/A</v>
      </c>
    </row>
    <row r="176" spans="1:31">
      <c r="A176" s="5" t="s">
        <v>384</v>
      </c>
      <c r="B176" s="5" t="s">
        <v>383</v>
      </c>
      <c r="C176" s="10">
        <v>0.17</v>
      </c>
      <c r="D176" s="9">
        <v>3.2</v>
      </c>
      <c r="E176" s="9">
        <v>57.3</v>
      </c>
      <c r="F176" s="10">
        <v>0.8</v>
      </c>
      <c r="G176" s="10">
        <v>54.41</v>
      </c>
      <c r="H176" s="9" t="e">
        <v>#N/A</v>
      </c>
      <c r="I176" s="9" t="e">
        <v>#N/A</v>
      </c>
      <c r="J176" s="9">
        <v>20</v>
      </c>
      <c r="K176" s="9">
        <v>16.582130316035901</v>
      </c>
      <c r="L176" s="10">
        <v>8.3000000000000004E-2</v>
      </c>
      <c r="M176" s="9">
        <v>17.411077410000001</v>
      </c>
      <c r="N176" s="9">
        <v>62.507463414634103</v>
      </c>
      <c r="O176" s="10">
        <v>1.5009436380000001</v>
      </c>
      <c r="P176" s="9">
        <v>1</v>
      </c>
      <c r="Q176" s="9">
        <v>5.29434</v>
      </c>
      <c r="R176" s="9">
        <v>49.1</v>
      </c>
      <c r="S176" s="9">
        <v>33.048223245565197</v>
      </c>
      <c r="T176" s="9">
        <v>0.51696832579185514</v>
      </c>
      <c r="U176" s="10">
        <v>-0.21337430611569999</v>
      </c>
      <c r="V176" s="10">
        <v>-1.03644964641468</v>
      </c>
      <c r="W176" s="10">
        <v>11.031439602868176</v>
      </c>
      <c r="X176" s="9">
        <v>21</v>
      </c>
      <c r="Y176" s="9">
        <v>60</v>
      </c>
      <c r="Z176" s="9">
        <v>18.149999999999999</v>
      </c>
      <c r="AA176" s="9">
        <v>5</v>
      </c>
      <c r="AB176" s="9">
        <v>419</v>
      </c>
      <c r="AC176" s="11">
        <v>0.44908062199999998</v>
      </c>
      <c r="AD176" s="9">
        <v>12</v>
      </c>
      <c r="AE176" s="9">
        <v>1.1499999999999999</v>
      </c>
    </row>
    <row r="177" spans="1:31">
      <c r="A177" s="5" t="s">
        <v>386</v>
      </c>
      <c r="B177" s="5" t="s">
        <v>385</v>
      </c>
      <c r="C177" s="10" t="e">
        <v>#N/A</v>
      </c>
      <c r="D177" s="9" t="e">
        <v>#N/A</v>
      </c>
      <c r="E177" s="9">
        <v>74.959999999999994</v>
      </c>
      <c r="F177" s="10">
        <v>0.08</v>
      </c>
      <c r="G177" s="10">
        <v>33.36</v>
      </c>
      <c r="H177" s="9">
        <v>40.133333333333333</v>
      </c>
      <c r="I177" s="9">
        <v>85.3</v>
      </c>
      <c r="J177" s="9">
        <v>92.3</v>
      </c>
      <c r="K177" s="9" t="e">
        <v>#N/A</v>
      </c>
      <c r="L177" s="10">
        <v>0.307</v>
      </c>
      <c r="M177" s="9">
        <v>4.1825095059999997</v>
      </c>
      <c r="N177" s="9">
        <v>71.876487804877996</v>
      </c>
      <c r="O177" s="10" t="e">
        <v>#N/A</v>
      </c>
      <c r="P177" s="9">
        <v>1</v>
      </c>
      <c r="Q177" s="9">
        <v>6.37988</v>
      </c>
      <c r="R177" s="9">
        <v>55.8</v>
      </c>
      <c r="S177" s="9">
        <v>50.977714082353003</v>
      </c>
      <c r="T177" s="9">
        <v>0.39655172413793088</v>
      </c>
      <c r="U177" s="10">
        <v>0.20095839035530999</v>
      </c>
      <c r="V177" s="10">
        <v>-5.3967707143057E-2</v>
      </c>
      <c r="W177" s="10" t="e">
        <v>#N/A</v>
      </c>
      <c r="X177" s="9">
        <v>27</v>
      </c>
      <c r="Y177" s="9">
        <v>100</v>
      </c>
      <c r="Z177" s="9">
        <v>2.5099999999999998</v>
      </c>
      <c r="AA177" s="9">
        <v>4.8</v>
      </c>
      <c r="AB177" s="9">
        <v>55</v>
      </c>
      <c r="AC177" s="11">
        <v>0.198394495</v>
      </c>
      <c r="AD177" s="9">
        <v>96</v>
      </c>
      <c r="AE177" s="9" t="e">
        <v>#N/A</v>
      </c>
    </row>
    <row r="178" spans="1:31" ht="30">
      <c r="A178" s="5" t="s">
        <v>388</v>
      </c>
      <c r="B178" s="5" t="s">
        <v>387</v>
      </c>
      <c r="C178" s="10">
        <v>1.2</v>
      </c>
      <c r="D178" s="9">
        <v>0.65</v>
      </c>
      <c r="E178" s="9">
        <v>86.44</v>
      </c>
      <c r="F178" s="10" t="e">
        <v>#N/A</v>
      </c>
      <c r="G178" s="10">
        <v>65.39</v>
      </c>
      <c r="H178" s="9">
        <v>7.9727095516569202</v>
      </c>
      <c r="I178" s="9">
        <v>3.9</v>
      </c>
      <c r="J178" s="9">
        <v>99</v>
      </c>
      <c r="K178" s="9">
        <v>-105.955692941783</v>
      </c>
      <c r="L178" s="10">
        <v>0.127</v>
      </c>
      <c r="M178" s="9">
        <v>0.231982258</v>
      </c>
      <c r="N178" s="9">
        <v>69.339268292682902</v>
      </c>
      <c r="O178" s="10">
        <v>9.4373174000000004E-2</v>
      </c>
      <c r="P178" s="9">
        <v>1</v>
      </c>
      <c r="Q178" s="9">
        <v>11.57311</v>
      </c>
      <c r="R178" s="9">
        <v>66.5</v>
      </c>
      <c r="S178" s="9">
        <v>147.17033285148099</v>
      </c>
      <c r="T178" s="9">
        <v>1.8300970873786422</v>
      </c>
      <c r="U178" s="10">
        <v>2.1533900426466999E-2</v>
      </c>
      <c r="V178" s="10">
        <v>0.49838388757926</v>
      </c>
      <c r="W178" s="10">
        <v>58.479532163742689</v>
      </c>
      <c r="X178" s="9">
        <v>51.099998470000003</v>
      </c>
      <c r="Y178" s="9">
        <v>94</v>
      </c>
      <c r="Z178" s="9">
        <v>-12.19</v>
      </c>
      <c r="AA178" s="9">
        <v>4.5</v>
      </c>
      <c r="AB178" s="9">
        <v>5</v>
      </c>
      <c r="AC178" s="11">
        <v>0.122641509</v>
      </c>
      <c r="AD178" s="9">
        <v>92</v>
      </c>
      <c r="AE178" s="9">
        <v>6.0309999999999997</v>
      </c>
    </row>
    <row r="179" spans="1:31">
      <c r="A179" s="5" t="s">
        <v>390</v>
      </c>
      <c r="B179" s="5" t="s">
        <v>389</v>
      </c>
      <c r="C179" s="10">
        <v>0.71</v>
      </c>
      <c r="D179" s="9">
        <v>0.2</v>
      </c>
      <c r="E179" s="9">
        <v>33.1</v>
      </c>
      <c r="F179" s="10">
        <v>0.14000000000000001</v>
      </c>
      <c r="G179" s="10">
        <v>59.9</v>
      </c>
      <c r="H179" s="9">
        <v>2.3659922987592443</v>
      </c>
      <c r="I179" s="9">
        <v>5.3</v>
      </c>
      <c r="J179" s="9">
        <v>99.5</v>
      </c>
      <c r="K179" s="9">
        <v>17.9123992155154</v>
      </c>
      <c r="L179" s="10">
        <v>0.03</v>
      </c>
      <c r="M179" s="9">
        <v>1.201888812</v>
      </c>
      <c r="N179" s="9">
        <v>74.302439024390196</v>
      </c>
      <c r="O179" s="10">
        <v>0.116225727</v>
      </c>
      <c r="P179" s="9">
        <v>1</v>
      </c>
      <c r="Q179" s="9">
        <v>33.699890000000003</v>
      </c>
      <c r="R179" s="9">
        <v>58.5</v>
      </c>
      <c r="S179" s="9">
        <v>93.495576323987507</v>
      </c>
      <c r="T179" s="9">
        <v>0.92199248120300747</v>
      </c>
      <c r="U179" s="10">
        <v>0.22745201602861001</v>
      </c>
      <c r="V179" s="10">
        <v>-1.2687009877191999</v>
      </c>
      <c r="W179" s="10">
        <v>1.9309989701338826</v>
      </c>
      <c r="X179" s="9">
        <v>75.180000000000007</v>
      </c>
      <c r="Y179" s="9">
        <v>94</v>
      </c>
      <c r="Z179" s="9">
        <v>-20.79</v>
      </c>
      <c r="AA179" s="9">
        <v>2.2000000000000002</v>
      </c>
      <c r="AB179" s="9">
        <v>64</v>
      </c>
      <c r="AC179" s="11">
        <v>0.21102362199999999</v>
      </c>
      <c r="AD179" s="9">
        <v>85</v>
      </c>
      <c r="AE179" s="9">
        <v>61.74</v>
      </c>
    </row>
    <row r="180" spans="1:31">
      <c r="A180" s="5" t="s">
        <v>392</v>
      </c>
      <c r="B180" s="5" t="s">
        <v>391</v>
      </c>
      <c r="C180" s="10">
        <v>0.11</v>
      </c>
      <c r="D180" s="9">
        <v>0.3</v>
      </c>
      <c r="E180" s="9">
        <v>30.86</v>
      </c>
      <c r="F180" s="10">
        <v>0.19</v>
      </c>
      <c r="G180" s="10">
        <v>26.96</v>
      </c>
      <c r="H180" s="9">
        <v>0.60233344518726928</v>
      </c>
      <c r="I180" s="9">
        <v>1.5</v>
      </c>
      <c r="J180" s="9">
        <v>100</v>
      </c>
      <c r="K180" s="9">
        <v>69.775921002658606</v>
      </c>
      <c r="L180" s="10">
        <v>0.03</v>
      </c>
      <c r="M180" s="9">
        <v>2.5538267999999999E-2</v>
      </c>
      <c r="N180" s="9">
        <v>71.891536585365799</v>
      </c>
      <c r="O180" s="10">
        <v>5.3243403000000002E-2</v>
      </c>
      <c r="P180" s="9">
        <v>1</v>
      </c>
      <c r="Q180" s="9">
        <v>38.365639999999999</v>
      </c>
      <c r="R180" s="9">
        <v>64.2</v>
      </c>
      <c r="S180" s="9">
        <v>83.912266386108797</v>
      </c>
      <c r="T180" s="9">
        <v>0.92528735632183923</v>
      </c>
      <c r="U180" s="10">
        <v>-0.88240768854424001</v>
      </c>
      <c r="V180" s="10">
        <v>-0.11855080580076</v>
      </c>
      <c r="W180" s="10">
        <v>2.5336850174759298</v>
      </c>
      <c r="X180" s="9">
        <v>34</v>
      </c>
      <c r="Y180" s="9">
        <v>99</v>
      </c>
      <c r="Z180" s="9">
        <v>-21.34</v>
      </c>
      <c r="AA180" s="9">
        <v>1.6</v>
      </c>
      <c r="AB180" s="9">
        <v>85</v>
      </c>
      <c r="AC180" s="11">
        <v>7.8635015000000003E-2</v>
      </c>
      <c r="AD180" s="9">
        <v>90</v>
      </c>
      <c r="AE180" s="9">
        <v>18.77</v>
      </c>
    </row>
    <row r="181" spans="1:31" ht="30">
      <c r="A181" s="5" t="s">
        <v>394</v>
      </c>
      <c r="B181" s="5" t="s">
        <v>393</v>
      </c>
      <c r="C181" s="10">
        <v>0.06</v>
      </c>
      <c r="D181" s="9">
        <v>1.6</v>
      </c>
      <c r="E181" s="9">
        <v>50.94</v>
      </c>
      <c r="F181" s="10">
        <v>0.06</v>
      </c>
      <c r="G181" s="10">
        <v>9.82</v>
      </c>
      <c r="H181" s="9">
        <v>8.332718705183364</v>
      </c>
      <c r="I181" s="9">
        <v>4.8</v>
      </c>
      <c r="J181" s="9">
        <v>100</v>
      </c>
      <c r="K181" s="9">
        <v>-264.76028489422799</v>
      </c>
      <c r="L181" s="10">
        <v>0.03</v>
      </c>
      <c r="M181" s="9">
        <v>0.62367676500000002</v>
      </c>
      <c r="N181" s="9">
        <v>64.8212195121951</v>
      </c>
      <c r="O181" s="10">
        <v>0.20011405800000001</v>
      </c>
      <c r="P181" s="9">
        <v>1</v>
      </c>
      <c r="Q181" s="9" t="e">
        <v>#N/A</v>
      </c>
      <c r="R181" s="9">
        <v>43.6</v>
      </c>
      <c r="S181" s="9">
        <v>29.354891043450898</v>
      </c>
      <c r="T181" s="9">
        <v>0.7714808043875685</v>
      </c>
      <c r="U181" s="10">
        <v>0.18115643437649001</v>
      </c>
      <c r="V181" s="10">
        <v>-2.0582494420164998</v>
      </c>
      <c r="W181" s="10">
        <v>0.31919647607090418</v>
      </c>
      <c r="X181" s="9">
        <v>81.199996949999999</v>
      </c>
      <c r="Y181" s="9">
        <v>83</v>
      </c>
      <c r="Z181" s="9">
        <v>-7.35</v>
      </c>
      <c r="AA181" s="9">
        <v>2.2999999999999998</v>
      </c>
      <c r="AB181" s="9">
        <v>449</v>
      </c>
      <c r="AC181" s="11">
        <v>0.13216560499999999</v>
      </c>
      <c r="AD181" s="9">
        <v>98</v>
      </c>
      <c r="AE181" s="9">
        <v>100.8</v>
      </c>
    </row>
    <row r="182" spans="1:31">
      <c r="A182" s="5" t="s">
        <v>396</v>
      </c>
      <c r="B182" s="5" t="s">
        <v>395</v>
      </c>
      <c r="C182" s="10" t="e">
        <v>#N/A</v>
      </c>
      <c r="D182" s="9" t="e">
        <v>#N/A</v>
      </c>
      <c r="E182" s="9">
        <v>50.06</v>
      </c>
      <c r="F182" s="10">
        <v>0.21</v>
      </c>
      <c r="G182" s="10">
        <v>33.36</v>
      </c>
      <c r="H182" s="9" t="e">
        <v>#N/A</v>
      </c>
      <c r="I182" s="9" t="e">
        <v>#N/A</v>
      </c>
      <c r="J182" s="9">
        <v>98</v>
      </c>
      <c r="K182" s="9" t="e">
        <v>#N/A</v>
      </c>
      <c r="L182" s="10">
        <v>0.307</v>
      </c>
      <c r="M182" s="9">
        <v>15.98915989</v>
      </c>
      <c r="N182" s="9" t="e">
        <v>#N/A</v>
      </c>
      <c r="O182" s="10" t="e">
        <v>#N/A</v>
      </c>
      <c r="P182" s="9">
        <v>1</v>
      </c>
      <c r="Q182" s="9" t="e">
        <v>#N/A</v>
      </c>
      <c r="R182" s="9" t="e">
        <v>#N/A</v>
      </c>
      <c r="S182" s="9">
        <v>12.450914663346399</v>
      </c>
      <c r="T182" s="9">
        <v>0.42905405405405406</v>
      </c>
      <c r="U182" s="10">
        <v>1.44989250791112</v>
      </c>
      <c r="V182" s="10">
        <v>0.80873107121098997</v>
      </c>
      <c r="W182" s="10" t="e">
        <v>#N/A</v>
      </c>
      <c r="X182" s="9" t="e">
        <v>#N/A</v>
      </c>
      <c r="Y182" s="9">
        <v>97</v>
      </c>
      <c r="Z182" s="9">
        <v>9.2200000000000006</v>
      </c>
      <c r="AA182" s="9">
        <v>5</v>
      </c>
      <c r="AB182" s="9">
        <v>148</v>
      </c>
      <c r="AC182" s="11">
        <v>0.199101796</v>
      </c>
      <c r="AD182" s="9">
        <v>84</v>
      </c>
      <c r="AE182" s="9" t="e">
        <v>#N/A</v>
      </c>
    </row>
    <row r="183" spans="1:31">
      <c r="A183" s="5" t="s">
        <v>398</v>
      </c>
      <c r="B183" s="5" t="s">
        <v>397</v>
      </c>
      <c r="C183" s="10">
        <v>0.19</v>
      </c>
      <c r="D183" s="9">
        <v>4.5999999999999996</v>
      </c>
      <c r="E183" s="9">
        <v>86.86</v>
      </c>
      <c r="F183" s="10">
        <v>0.12</v>
      </c>
      <c r="G183" s="10">
        <v>27.95</v>
      </c>
      <c r="H183" s="9" t="e">
        <v>#N/A</v>
      </c>
      <c r="I183" s="9" t="e">
        <v>#N/A</v>
      </c>
      <c r="J183" s="9">
        <v>9</v>
      </c>
      <c r="K183" s="9" t="e">
        <v>#N/A</v>
      </c>
      <c r="L183" s="10">
        <v>0.16300000000000001</v>
      </c>
      <c r="M183" s="9">
        <v>20.898043739999999</v>
      </c>
      <c r="N183" s="9">
        <v>52.6667804878048</v>
      </c>
      <c r="O183" s="10">
        <v>2.829816809</v>
      </c>
      <c r="P183" s="9">
        <v>1</v>
      </c>
      <c r="Q183" s="9">
        <v>4.0956999999999999</v>
      </c>
      <c r="R183" s="9">
        <v>61.7</v>
      </c>
      <c r="S183" s="9">
        <v>28.687779665247799</v>
      </c>
      <c r="T183" s="9">
        <v>0.97526501766784446</v>
      </c>
      <c r="U183" s="10">
        <v>-1.0607014025183501</v>
      </c>
      <c r="V183" s="10">
        <v>-0.48640791481827</v>
      </c>
      <c r="W183" s="10">
        <v>6.8493150684931505</v>
      </c>
      <c r="X183" s="9">
        <v>23</v>
      </c>
      <c r="Y183" s="9">
        <v>67</v>
      </c>
      <c r="Z183" s="9">
        <v>11.55</v>
      </c>
      <c r="AA183" s="9">
        <v>4.2</v>
      </c>
      <c r="AB183" s="9">
        <v>427</v>
      </c>
      <c r="AC183" s="11">
        <v>0.431539691</v>
      </c>
      <c r="AD183" s="9">
        <v>48</v>
      </c>
      <c r="AE183" s="9">
        <v>0.49940000000000001</v>
      </c>
    </row>
    <row r="184" spans="1:31">
      <c r="A184" s="5" t="s">
        <v>400</v>
      </c>
      <c r="B184" s="5" t="s">
        <v>399</v>
      </c>
      <c r="C184" s="10">
        <v>0.03</v>
      </c>
      <c r="D184" s="9">
        <v>0.2</v>
      </c>
      <c r="E184" s="9">
        <v>31.96</v>
      </c>
      <c r="F184" s="10">
        <v>0.8</v>
      </c>
      <c r="G184" s="10">
        <v>8.65</v>
      </c>
      <c r="H184" s="9">
        <v>2.0450554911379824</v>
      </c>
      <c r="I184" s="9">
        <v>1.1000000000000001</v>
      </c>
      <c r="J184" s="9">
        <v>100</v>
      </c>
      <c r="K184" s="9">
        <v>40.291458246108903</v>
      </c>
      <c r="L184" s="10">
        <v>0.35</v>
      </c>
      <c r="M184" s="9">
        <v>0.52073768399999998</v>
      </c>
      <c r="N184" s="9">
        <v>68.251463414634102</v>
      </c>
      <c r="O184" s="10">
        <v>3.3873710000000001E-2</v>
      </c>
      <c r="P184" s="9">
        <v>1</v>
      </c>
      <c r="Q184" s="9">
        <v>79.444659999999999</v>
      </c>
      <c r="R184" s="9">
        <v>45.8</v>
      </c>
      <c r="S184" s="9">
        <v>120.267622399263</v>
      </c>
      <c r="T184" s="9">
        <v>1.1043165467625897</v>
      </c>
      <c r="U184" s="10">
        <v>-0.27011626390169002</v>
      </c>
      <c r="V184" s="10">
        <v>-6.2980186913627001E-2</v>
      </c>
      <c r="W184" s="10">
        <v>1.5535187199005747</v>
      </c>
      <c r="X184" s="9">
        <v>97.81</v>
      </c>
      <c r="Y184" s="9">
        <v>98</v>
      </c>
      <c r="Z184" s="9">
        <v>0.99</v>
      </c>
      <c r="AA184" s="9">
        <v>2.2000000000000002</v>
      </c>
      <c r="AB184" s="9">
        <v>3</v>
      </c>
      <c r="AC184" s="11">
        <v>9.1350825999999996E-2</v>
      </c>
      <c r="AD184" s="9">
        <v>95</v>
      </c>
      <c r="AE184" s="9">
        <v>27.56</v>
      </c>
    </row>
    <row r="185" spans="1:31" ht="45">
      <c r="A185" s="5" t="s">
        <v>402</v>
      </c>
      <c r="B185" s="5" t="s">
        <v>401</v>
      </c>
      <c r="C185" s="10">
        <v>2.2000000000000002</v>
      </c>
      <c r="D185" s="9">
        <v>4.16</v>
      </c>
      <c r="E185" s="9">
        <v>22.06</v>
      </c>
      <c r="F185" s="10">
        <v>0.18</v>
      </c>
      <c r="G185" s="10">
        <v>44.93</v>
      </c>
      <c r="H185" s="9">
        <v>2.2380382775119618</v>
      </c>
      <c r="I185" s="9">
        <v>1.3</v>
      </c>
      <c r="J185" s="9">
        <v>100</v>
      </c>
      <c r="K185" s="9">
        <v>-208.95292527250601</v>
      </c>
      <c r="L185" s="10">
        <v>0.03</v>
      </c>
      <c r="M185" s="9">
        <v>0</v>
      </c>
      <c r="N185" s="9">
        <v>77.748073170731701</v>
      </c>
      <c r="O185" s="10">
        <v>2.3932878000000001E-2</v>
      </c>
      <c r="P185" s="9">
        <v>1</v>
      </c>
      <c r="Q185" s="9">
        <v>30.403079999999999</v>
      </c>
      <c r="R185" s="9">
        <v>67.8</v>
      </c>
      <c r="S185" s="9">
        <v>232.06797721045501</v>
      </c>
      <c r="T185" s="9">
        <v>0.83937397034596395</v>
      </c>
      <c r="U185" s="10">
        <v>0.90739818401466998</v>
      </c>
      <c r="V185" s="10">
        <v>-0.87144450668720996</v>
      </c>
      <c r="W185" s="10" t="e">
        <v>#N/A</v>
      </c>
      <c r="X185" s="9">
        <v>100</v>
      </c>
      <c r="Y185" s="9">
        <v>100</v>
      </c>
      <c r="Z185" s="9">
        <v>21.13</v>
      </c>
      <c r="AA185" s="9">
        <v>3.5</v>
      </c>
      <c r="AB185" s="9">
        <v>10</v>
      </c>
      <c r="AC185" s="11">
        <v>0.14119922600000001</v>
      </c>
      <c r="AD185" s="9">
        <v>97</v>
      </c>
      <c r="AE185" s="9">
        <v>2032</v>
      </c>
    </row>
    <row r="186" spans="1:31" ht="30">
      <c r="A186" s="5" t="s">
        <v>404</v>
      </c>
      <c r="B186" s="5" t="s">
        <v>403</v>
      </c>
      <c r="C186" s="10">
        <v>0.23</v>
      </c>
      <c r="D186" s="9" t="e">
        <v>#N/A</v>
      </c>
      <c r="E186" s="9">
        <v>9.98</v>
      </c>
      <c r="F186" s="10">
        <v>0.61</v>
      </c>
      <c r="G186" s="10">
        <v>6.49</v>
      </c>
      <c r="H186" s="9">
        <v>5.0203779177473136</v>
      </c>
      <c r="I186" s="9">
        <v>6.5</v>
      </c>
      <c r="J186" s="9">
        <v>100</v>
      </c>
      <c r="K186" s="9">
        <v>19.3275269611688</v>
      </c>
      <c r="L186" s="10">
        <v>2.7E-2</v>
      </c>
      <c r="M186" s="9">
        <v>0</v>
      </c>
      <c r="N186" s="9">
        <v>79.903365853658499</v>
      </c>
      <c r="O186" s="10">
        <v>2.1318474E-2</v>
      </c>
      <c r="P186" s="9">
        <v>1</v>
      </c>
      <c r="Q186" s="9">
        <v>57.415190000000003</v>
      </c>
      <c r="R186" s="9">
        <v>74.5</v>
      </c>
      <c r="S186" s="9">
        <v>129.97698475927999</v>
      </c>
      <c r="T186" s="9">
        <v>0.76603119584055457</v>
      </c>
      <c r="U186" s="10">
        <v>0.30386817261711002</v>
      </c>
      <c r="V186" s="10">
        <v>1.30553906098433</v>
      </c>
      <c r="W186" s="10">
        <v>8.680196751126358</v>
      </c>
      <c r="X186" s="9">
        <v>100</v>
      </c>
      <c r="Y186" s="9">
        <v>100</v>
      </c>
      <c r="Z186" s="9">
        <v>3.12</v>
      </c>
      <c r="AA186" s="9">
        <v>1.2</v>
      </c>
      <c r="AB186" s="9" t="e">
        <v>#N/A</v>
      </c>
      <c r="AC186" s="11">
        <v>7.7922078000000006E-2</v>
      </c>
      <c r="AD186" s="9">
        <v>100</v>
      </c>
      <c r="AE186" s="9">
        <v>8.8160000000000007</v>
      </c>
    </row>
    <row r="187" spans="1:31" ht="30">
      <c r="A187" s="5" t="s">
        <v>406</v>
      </c>
      <c r="B187" s="5" t="s">
        <v>405</v>
      </c>
      <c r="C187" s="10">
        <v>0.03</v>
      </c>
      <c r="D187" s="9" t="e">
        <v>#N/A</v>
      </c>
      <c r="E187" s="9">
        <v>18</v>
      </c>
      <c r="F187" s="10">
        <v>0.04</v>
      </c>
      <c r="G187" s="10">
        <v>7.49</v>
      </c>
      <c r="H187" s="9">
        <v>2.2410528928486491</v>
      </c>
      <c r="I187" s="9">
        <v>6.2</v>
      </c>
      <c r="J187" s="9">
        <v>100</v>
      </c>
      <c r="K187" s="9">
        <v>22.249594518133801</v>
      </c>
      <c r="L187" s="10">
        <v>0.37</v>
      </c>
      <c r="M187" s="9">
        <v>0</v>
      </c>
      <c r="N187" s="9">
        <v>78.439024390200004</v>
      </c>
      <c r="O187" s="10">
        <v>4.7451056999999998E-2</v>
      </c>
      <c r="P187" s="9">
        <v>1</v>
      </c>
      <c r="Q187" s="9">
        <v>82.915199999999999</v>
      </c>
      <c r="R187" s="9">
        <v>77.8</v>
      </c>
      <c r="S187" s="9">
        <v>97.197783763888097</v>
      </c>
      <c r="T187" s="9">
        <v>1.162621359223301</v>
      </c>
      <c r="U187" s="10">
        <v>0.40989339001266001</v>
      </c>
      <c r="V187" s="10">
        <v>1.11499702644716</v>
      </c>
      <c r="W187" s="10">
        <v>0.81860570710069502</v>
      </c>
      <c r="X187" s="9">
        <v>67.37</v>
      </c>
      <c r="Y187" s="9">
        <v>99</v>
      </c>
      <c r="Z187" s="9">
        <v>3.01</v>
      </c>
      <c r="AA187" s="9">
        <v>1</v>
      </c>
      <c r="AB187" s="9" t="e">
        <v>#N/A</v>
      </c>
      <c r="AC187" s="11">
        <v>6.7326733E-2</v>
      </c>
      <c r="AD187" s="9">
        <v>100</v>
      </c>
      <c r="AE187" s="9">
        <v>15.57</v>
      </c>
    </row>
    <row r="188" spans="1:31">
      <c r="A188" s="5" t="s">
        <v>408</v>
      </c>
      <c r="B188" s="5" t="s">
        <v>407</v>
      </c>
      <c r="C188" s="10">
        <v>0.12</v>
      </c>
      <c r="D188" s="9">
        <v>0.8</v>
      </c>
      <c r="E188" s="9">
        <v>7.5999999999999899</v>
      </c>
      <c r="F188" s="10">
        <v>0.06</v>
      </c>
      <c r="G188" s="10">
        <v>40.6</v>
      </c>
      <c r="H188" s="9">
        <v>3.0393825899443878</v>
      </c>
      <c r="I188" s="9">
        <v>3.8</v>
      </c>
      <c r="J188" s="9">
        <v>99.5</v>
      </c>
      <c r="K188" s="9">
        <v>66.873953599617295</v>
      </c>
      <c r="L188" s="10">
        <v>0.127</v>
      </c>
      <c r="M188" s="9">
        <v>3.5880119000000002E-2</v>
      </c>
      <c r="N188" s="9">
        <v>75.980731707317005</v>
      </c>
      <c r="O188" s="10">
        <v>5.8464541000000002E-2</v>
      </c>
      <c r="P188" s="9">
        <v>1</v>
      </c>
      <c r="Q188" s="9">
        <v>64.911709999999999</v>
      </c>
      <c r="R188" s="9">
        <v>70</v>
      </c>
      <c r="S188" s="9">
        <v>113.66428914377499</v>
      </c>
      <c r="T188" s="9">
        <v>0.85934819897084058</v>
      </c>
      <c r="U188" s="10">
        <v>0.88313790038450002</v>
      </c>
      <c r="V188" s="10">
        <v>1.0980483420245699</v>
      </c>
      <c r="W188" s="10">
        <v>4.2852245457661979</v>
      </c>
      <c r="X188" s="9" t="e">
        <v>#N/A</v>
      </c>
      <c r="Y188" s="9">
        <v>100</v>
      </c>
      <c r="Z188" s="9">
        <v>12.69</v>
      </c>
      <c r="AA188" s="9">
        <v>4.2</v>
      </c>
      <c r="AB188" s="9">
        <v>3</v>
      </c>
      <c r="AC188" s="11">
        <v>8.7579617999999998E-2</v>
      </c>
      <c r="AD188" s="9">
        <v>100</v>
      </c>
      <c r="AE188" s="9">
        <v>2.633</v>
      </c>
    </row>
    <row r="189" spans="1:31">
      <c r="A189" s="5" t="s">
        <v>410</v>
      </c>
      <c r="B189" s="5" t="s">
        <v>409</v>
      </c>
      <c r="C189" s="10">
        <v>0.15</v>
      </c>
      <c r="D189" s="9">
        <v>0.8</v>
      </c>
      <c r="E189" s="9">
        <v>63.14</v>
      </c>
      <c r="F189" s="10">
        <v>0.09</v>
      </c>
      <c r="G189" s="10">
        <v>20.13</v>
      </c>
      <c r="H189" s="9">
        <v>0.22105498435404558</v>
      </c>
      <c r="I189" s="9" t="e">
        <v>#N/A</v>
      </c>
      <c r="J189" s="9">
        <v>100</v>
      </c>
      <c r="K189" s="9">
        <v>-22.809449317835298</v>
      </c>
      <c r="L189" s="10">
        <v>0.03</v>
      </c>
      <c r="M189" s="9">
        <v>1.8181242419999999</v>
      </c>
      <c r="N189" s="9">
        <v>67.756121951219498</v>
      </c>
      <c r="O189" s="10">
        <v>7.3613139999999994E-2</v>
      </c>
      <c r="P189" s="9">
        <v>1</v>
      </c>
      <c r="Q189" s="9">
        <v>9.7755399999999995</v>
      </c>
      <c r="R189" s="9">
        <v>45.8</v>
      </c>
      <c r="S189" s="9">
        <v>59.127218902946296</v>
      </c>
      <c r="T189" s="9">
        <v>0.94540229885057481</v>
      </c>
      <c r="U189" s="10">
        <v>-0.90741376706496002</v>
      </c>
      <c r="V189" s="10">
        <v>-1.9294317282558799</v>
      </c>
      <c r="W189" s="10" t="e">
        <v>#N/A</v>
      </c>
      <c r="X189" s="9">
        <v>87.300003050000001</v>
      </c>
      <c r="Y189" s="9">
        <v>87</v>
      </c>
      <c r="Z189" s="9">
        <v>-0.11</v>
      </c>
      <c r="AA189" s="9">
        <v>2.5</v>
      </c>
      <c r="AB189" s="9">
        <v>325</v>
      </c>
      <c r="AC189" s="11">
        <v>0.10547667300000001</v>
      </c>
      <c r="AD189" s="9">
        <v>100</v>
      </c>
      <c r="AE189" s="9">
        <v>118.3</v>
      </c>
    </row>
    <row r="190" spans="1:31">
      <c r="A190" s="5" t="s">
        <v>412</v>
      </c>
      <c r="B190" s="5" t="s">
        <v>411</v>
      </c>
      <c r="C190" s="10">
        <v>0.94</v>
      </c>
      <c r="D190" s="9">
        <v>2.2000000000000002</v>
      </c>
      <c r="E190" s="9">
        <v>74.819999999999993</v>
      </c>
      <c r="F190" s="10">
        <v>7.0000000000000007E-2</v>
      </c>
      <c r="G190" s="10">
        <v>33.36</v>
      </c>
      <c r="H190" s="9">
        <v>15.529122231337162</v>
      </c>
      <c r="I190" s="9">
        <v>10.1</v>
      </c>
      <c r="J190" s="9">
        <v>19</v>
      </c>
      <c r="K190" s="9" t="e">
        <v>#N/A</v>
      </c>
      <c r="L190" s="10">
        <v>0.307</v>
      </c>
      <c r="M190" s="9">
        <v>13.99997771</v>
      </c>
      <c r="N190" s="9">
        <v>70.292121951219499</v>
      </c>
      <c r="O190" s="10" t="e">
        <v>#N/A</v>
      </c>
      <c r="P190" s="9">
        <v>1</v>
      </c>
      <c r="Q190" s="9">
        <v>4.7664200000000001</v>
      </c>
      <c r="R190" s="9">
        <v>56.7</v>
      </c>
      <c r="S190" s="9">
        <v>52.734915842327403</v>
      </c>
      <c r="T190" s="9">
        <v>0.52622061482820981</v>
      </c>
      <c r="U190" s="10">
        <v>1.2651847754477701</v>
      </c>
      <c r="V190" s="10">
        <v>0.58069483231020003</v>
      </c>
      <c r="W190" s="10">
        <v>12.305168170631665</v>
      </c>
      <c r="X190" s="9">
        <v>23.899999619999999</v>
      </c>
      <c r="Y190" s="9">
        <v>83</v>
      </c>
      <c r="Z190" s="9">
        <v>2.8</v>
      </c>
      <c r="AA190" s="9">
        <v>4.5</v>
      </c>
      <c r="AB190" s="9">
        <v>41</v>
      </c>
      <c r="AC190" s="11">
        <v>0.19618834099999999</v>
      </c>
      <c r="AD190" s="9">
        <v>52</v>
      </c>
      <c r="AE190" s="9" t="e">
        <v>#N/A</v>
      </c>
    </row>
    <row r="191" spans="1:31" ht="45">
      <c r="A191" s="5" t="s">
        <v>414</v>
      </c>
      <c r="B191" s="5" t="s">
        <v>413</v>
      </c>
      <c r="C191" s="10">
        <v>0.39</v>
      </c>
      <c r="D191" s="9">
        <v>0.8</v>
      </c>
      <c r="E191" s="9">
        <v>6.34</v>
      </c>
      <c r="F191" s="10">
        <v>0.01</v>
      </c>
      <c r="G191" s="10">
        <v>53.08</v>
      </c>
      <c r="H191" s="9">
        <v>4.6032564004166439</v>
      </c>
      <c r="I191" s="9">
        <v>3.4</v>
      </c>
      <c r="J191" s="9">
        <v>99</v>
      </c>
      <c r="K191" s="9">
        <v>-181.946112922602</v>
      </c>
      <c r="L191" s="10">
        <v>0.127</v>
      </c>
      <c r="M191" s="9">
        <v>1.1870807000000001E-2</v>
      </c>
      <c r="N191" s="9">
        <v>73.549073170731702</v>
      </c>
      <c r="O191" s="10">
        <v>0.186524457</v>
      </c>
      <c r="P191" s="9">
        <v>1</v>
      </c>
      <c r="Q191" s="9">
        <v>78.644400000000005</v>
      </c>
      <c r="R191" s="9">
        <v>37.6</v>
      </c>
      <c r="S191" s="9">
        <v>99.082476042840995</v>
      </c>
      <c r="T191" s="9">
        <v>1.4491525423728813</v>
      </c>
      <c r="U191" s="10">
        <v>-1.41053911125811</v>
      </c>
      <c r="V191" s="10">
        <v>-0.79267117188776004</v>
      </c>
      <c r="W191" s="10">
        <v>2.0407006405532564</v>
      </c>
      <c r="X191" s="9">
        <v>33.599998470000003</v>
      </c>
      <c r="Y191" s="9">
        <v>93</v>
      </c>
      <c r="Z191" s="9">
        <v>4.38</v>
      </c>
      <c r="AA191" s="9">
        <v>4.5</v>
      </c>
      <c r="AB191" s="9">
        <v>30</v>
      </c>
      <c r="AC191" s="11">
        <v>0.117355372</v>
      </c>
      <c r="AD191" s="9">
        <v>91</v>
      </c>
      <c r="AE191" s="9">
        <v>0.73470000000000002</v>
      </c>
    </row>
    <row r="192" spans="1:31">
      <c r="A192" s="5" t="s">
        <v>416</v>
      </c>
      <c r="B192" s="5" t="s">
        <v>415</v>
      </c>
      <c r="C192" s="10">
        <v>0.09</v>
      </c>
      <c r="D192" s="9">
        <v>5</v>
      </c>
      <c r="E192" s="9">
        <v>71.680000000000007</v>
      </c>
      <c r="F192" s="10">
        <v>0.03</v>
      </c>
      <c r="G192" s="10">
        <v>25.12</v>
      </c>
      <c r="H192" s="9">
        <v>15.277518164551237</v>
      </c>
      <c r="I192" s="9">
        <v>36.9</v>
      </c>
      <c r="J192" s="9">
        <v>89</v>
      </c>
      <c r="K192" s="9">
        <v>-20.1413784397879</v>
      </c>
      <c r="L192" s="10">
        <v>0.307</v>
      </c>
      <c r="M192" s="9">
        <v>1.700000001</v>
      </c>
      <c r="N192" s="9">
        <v>74.371463414634107</v>
      </c>
      <c r="O192" s="10">
        <v>0.117443882</v>
      </c>
      <c r="P192" s="9">
        <v>1</v>
      </c>
      <c r="Q192" s="9">
        <v>9.6837099999999996</v>
      </c>
      <c r="R192" s="9">
        <v>51.6</v>
      </c>
      <c r="S192" s="9">
        <v>101.473704385381</v>
      </c>
      <c r="T192" s="9">
        <v>0.78124999999999978</v>
      </c>
      <c r="U192" s="10">
        <v>0.19259017501414</v>
      </c>
      <c r="V192" s="10">
        <v>-1.5234217438559501</v>
      </c>
      <c r="W192" s="10">
        <v>10.158996355661625</v>
      </c>
      <c r="X192" s="9">
        <v>47.624134079999997</v>
      </c>
      <c r="Y192" s="9">
        <v>94</v>
      </c>
      <c r="Z192" s="9">
        <v>0.09</v>
      </c>
      <c r="AA192" s="9">
        <v>3.8</v>
      </c>
      <c r="AB192" s="9">
        <v>65</v>
      </c>
      <c r="AC192" s="11">
        <v>0.153459119</v>
      </c>
      <c r="AD192" s="9">
        <v>75</v>
      </c>
      <c r="AE192" s="9">
        <v>9.2780000000000005</v>
      </c>
    </row>
    <row r="193" spans="1:31">
      <c r="A193" s="5" t="s">
        <v>418</v>
      </c>
      <c r="B193" s="5" t="s">
        <v>417</v>
      </c>
      <c r="C193" s="10">
        <v>0.81</v>
      </c>
      <c r="D193" s="9">
        <v>15.2</v>
      </c>
      <c r="E193" s="9">
        <v>68.78</v>
      </c>
      <c r="F193" s="10">
        <v>0.02</v>
      </c>
      <c r="G193" s="10">
        <v>46.92</v>
      </c>
      <c r="H193" s="9">
        <v>0.36668750118377935</v>
      </c>
      <c r="I193" s="9">
        <v>0.4</v>
      </c>
      <c r="J193" s="9">
        <v>38.200000000000003</v>
      </c>
      <c r="K193" s="9">
        <v>-103.93153249532</v>
      </c>
      <c r="L193" s="10">
        <v>0.313</v>
      </c>
      <c r="M193" s="9">
        <v>5.2502450569999999</v>
      </c>
      <c r="N193" s="9">
        <v>62.916439024390201</v>
      </c>
      <c r="O193" s="10">
        <v>1.1028864169999999</v>
      </c>
      <c r="P193" s="9">
        <v>1</v>
      </c>
      <c r="Q193" s="9">
        <v>10.226610000000001</v>
      </c>
      <c r="R193" s="9">
        <v>54.2</v>
      </c>
      <c r="S193" s="9">
        <v>16.293317025880199</v>
      </c>
      <c r="T193" s="9">
        <v>0.93243243243243268</v>
      </c>
      <c r="U193" s="10">
        <v>-2.3062270960521198</v>
      </c>
      <c r="V193" s="10">
        <v>-1.2678403844217501</v>
      </c>
      <c r="W193" s="10">
        <v>3.1251775669072104</v>
      </c>
      <c r="X193" s="9">
        <v>8.6999998089999995</v>
      </c>
      <c r="Y193" s="9">
        <v>62</v>
      </c>
      <c r="Z193" s="9">
        <v>7.23</v>
      </c>
      <c r="AA193" s="9">
        <v>3.5</v>
      </c>
      <c r="AB193" s="9">
        <v>377</v>
      </c>
      <c r="AC193" s="11">
        <v>0.20530973499999999</v>
      </c>
      <c r="AD193" s="9">
        <v>52</v>
      </c>
      <c r="AE193" s="9">
        <v>168.6</v>
      </c>
    </row>
    <row r="194" spans="1:31">
      <c r="A194" s="5" t="s">
        <v>420</v>
      </c>
      <c r="B194" s="5" t="s">
        <v>419</v>
      </c>
      <c r="C194" s="10">
        <v>0.19</v>
      </c>
      <c r="D194" s="9">
        <v>2.9</v>
      </c>
      <c r="E194" s="9">
        <v>64.44</v>
      </c>
      <c r="F194" s="10">
        <v>0.11</v>
      </c>
      <c r="G194" s="10">
        <v>65.89</v>
      </c>
      <c r="H194" s="9" t="e">
        <v>#N/A</v>
      </c>
      <c r="I194" s="9" t="e">
        <v>#N/A</v>
      </c>
      <c r="J194" s="9">
        <v>18.8</v>
      </c>
      <c r="K194" s="9">
        <v>7.6818490822569698</v>
      </c>
      <c r="L194" s="10">
        <v>0.16300000000000001</v>
      </c>
      <c r="M194" s="9">
        <v>50.302094650000001</v>
      </c>
      <c r="N194" s="9">
        <v>45.395756097560898</v>
      </c>
      <c r="O194" s="10">
        <v>2.6597440560000001</v>
      </c>
      <c r="P194" s="9">
        <v>1</v>
      </c>
      <c r="Q194" s="9">
        <v>2.4039000000000001</v>
      </c>
      <c r="R194" s="9">
        <v>59.7</v>
      </c>
      <c r="S194" s="9">
        <v>34.066924110701798</v>
      </c>
      <c r="T194" s="9">
        <v>0.83725135623869829</v>
      </c>
      <c r="U194" s="10">
        <v>0.50801311119431003</v>
      </c>
      <c r="V194" s="10">
        <v>-0.26969602029460998</v>
      </c>
      <c r="W194" s="10">
        <v>1029.4117647058824</v>
      </c>
      <c r="X194" s="9">
        <v>22</v>
      </c>
      <c r="Y194" s="9">
        <v>60</v>
      </c>
      <c r="Z194" s="9">
        <v>-9.06</v>
      </c>
      <c r="AA194" s="9">
        <v>4.0999999999999996</v>
      </c>
      <c r="AB194" s="9">
        <v>503</v>
      </c>
      <c r="AC194" s="11">
        <v>0.46313252999999999</v>
      </c>
      <c r="AD194" s="9">
        <v>49</v>
      </c>
      <c r="AE194" s="9">
        <v>1.6539999999999999</v>
      </c>
    </row>
    <row r="195" spans="1:31">
      <c r="A195" s="5" t="s">
        <v>422</v>
      </c>
      <c r="B195" s="5" t="s">
        <v>421</v>
      </c>
      <c r="C195" s="10">
        <v>0.28000000000000003</v>
      </c>
      <c r="D195" s="9">
        <v>3.2</v>
      </c>
      <c r="E195" s="9">
        <v>62.18</v>
      </c>
      <c r="F195" s="10">
        <v>0.22</v>
      </c>
      <c r="G195" s="10">
        <v>63.06</v>
      </c>
      <c r="H195" s="9" t="e">
        <v>#N/A</v>
      </c>
      <c r="I195" s="9" t="e">
        <v>#N/A</v>
      </c>
      <c r="J195" s="9">
        <v>41.5</v>
      </c>
      <c r="K195" s="9">
        <v>10.235640648011801</v>
      </c>
      <c r="L195" s="10">
        <v>0.16300000000000001</v>
      </c>
      <c r="M195" s="9">
        <v>5.4838874129999997</v>
      </c>
      <c r="N195" s="9">
        <v>44.214414634146301</v>
      </c>
      <c r="O195" s="10">
        <v>2.3664276950000001</v>
      </c>
      <c r="P195" s="9">
        <v>1</v>
      </c>
      <c r="Q195" s="9">
        <v>3.2066954017234601</v>
      </c>
      <c r="R195" s="9">
        <v>22.1</v>
      </c>
      <c r="S195" s="9">
        <v>23.884465307394901</v>
      </c>
      <c r="T195" s="9">
        <v>0.81749460043196553</v>
      </c>
      <c r="U195" s="10">
        <v>-1.4361875507235999</v>
      </c>
      <c r="V195" s="10">
        <v>-1.5536636493844</v>
      </c>
      <c r="W195" s="10">
        <v>1.5509887553315238</v>
      </c>
      <c r="X195" s="9">
        <v>19</v>
      </c>
      <c r="Y195" s="9">
        <v>82</v>
      </c>
      <c r="Z195" s="9">
        <v>-7.29</v>
      </c>
      <c r="AA195" s="9">
        <v>4.3</v>
      </c>
      <c r="AB195" s="9">
        <v>256</v>
      </c>
      <c r="AC195" s="11">
        <v>0.69069870899999997</v>
      </c>
      <c r="AD195" s="9">
        <v>44</v>
      </c>
      <c r="AE195" s="9">
        <v>21.02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AE195"/>
  <sheetViews>
    <sheetView workbookViewId="0">
      <selection activeCell="A3" sqref="A3:XFD3"/>
    </sheetView>
  </sheetViews>
  <sheetFormatPr baseColWidth="10" defaultRowHeight="15" x14ac:dyDescent="0"/>
  <sheetData>
    <row r="2" spans="1:31">
      <c r="C2" t="s">
        <v>489</v>
      </c>
      <c r="D2" t="s">
        <v>498</v>
      </c>
      <c r="E2" s="8" t="s">
        <v>423</v>
      </c>
      <c r="F2" t="s">
        <v>499</v>
      </c>
      <c r="G2" t="s">
        <v>486</v>
      </c>
      <c r="H2" t="s">
        <v>481</v>
      </c>
      <c r="I2" t="s">
        <v>482</v>
      </c>
      <c r="J2" t="s">
        <v>479</v>
      </c>
      <c r="K2" t="s">
        <v>484</v>
      </c>
      <c r="L2" t="s">
        <v>539</v>
      </c>
      <c r="M2" t="s">
        <v>485</v>
      </c>
      <c r="N2" t="s">
        <v>491</v>
      </c>
      <c r="O2" t="s">
        <v>500</v>
      </c>
      <c r="P2" t="s">
        <v>490</v>
      </c>
      <c r="Q2" t="s">
        <v>571</v>
      </c>
      <c r="R2" t="s">
        <v>501</v>
      </c>
      <c r="S2" t="s">
        <v>502</v>
      </c>
      <c r="T2" t="s">
        <v>572</v>
      </c>
      <c r="U2" t="s">
        <v>573</v>
      </c>
      <c r="V2" t="s">
        <v>540</v>
      </c>
      <c r="W2" t="s">
        <v>495</v>
      </c>
      <c r="X2" t="s">
        <v>496</v>
      </c>
      <c r="Y2" t="s">
        <v>494</v>
      </c>
      <c r="Z2" t="s">
        <v>487</v>
      </c>
      <c r="AA2" t="s">
        <v>488</v>
      </c>
      <c r="AB2" t="s">
        <v>483</v>
      </c>
      <c r="AC2" t="s">
        <v>492</v>
      </c>
      <c r="AD2" t="s">
        <v>574</v>
      </c>
      <c r="AE2" t="s">
        <v>493</v>
      </c>
    </row>
    <row r="3" spans="1:31" s="19" customFormat="1" ht="30">
      <c r="C3" s="19" t="s">
        <v>489</v>
      </c>
      <c r="D3" s="19" t="s">
        <v>498</v>
      </c>
      <c r="E3" s="19" t="s">
        <v>497</v>
      </c>
      <c r="F3" s="19" t="s">
        <v>499</v>
      </c>
      <c r="G3" s="19" t="s">
        <v>486</v>
      </c>
      <c r="H3" s="19" t="s">
        <v>481</v>
      </c>
      <c r="I3" s="19" t="s">
        <v>482</v>
      </c>
      <c r="J3" s="19" t="s">
        <v>479</v>
      </c>
      <c r="K3" s="19" t="s">
        <v>484</v>
      </c>
      <c r="L3" s="19" t="s">
        <v>539</v>
      </c>
      <c r="M3" s="19" t="s">
        <v>485</v>
      </c>
      <c r="N3" s="19" t="s">
        <v>491</v>
      </c>
      <c r="O3" s="19" t="s">
        <v>500</v>
      </c>
      <c r="P3" s="19" t="s">
        <v>490</v>
      </c>
      <c r="Q3" s="19" t="s">
        <v>571</v>
      </c>
      <c r="R3" s="19" t="s">
        <v>501</v>
      </c>
      <c r="S3" s="19" t="s">
        <v>502</v>
      </c>
      <c r="T3" s="19" t="s">
        <v>572</v>
      </c>
      <c r="U3" s="19" t="s">
        <v>573</v>
      </c>
      <c r="V3" s="19" t="s">
        <v>540</v>
      </c>
      <c r="W3" s="19" t="s">
        <v>495</v>
      </c>
      <c r="X3" s="19" t="s">
        <v>496</v>
      </c>
      <c r="Y3" s="19" t="s">
        <v>494</v>
      </c>
      <c r="Z3" s="19" t="s">
        <v>487</v>
      </c>
      <c r="AA3" s="19" t="s">
        <v>488</v>
      </c>
      <c r="AB3" s="19" t="s">
        <v>483</v>
      </c>
      <c r="AC3" s="19" t="s">
        <v>492</v>
      </c>
      <c r="AD3" s="19" t="s">
        <v>574</v>
      </c>
      <c r="AE3" s="19" t="s">
        <v>493</v>
      </c>
    </row>
    <row r="4" spans="1:31">
      <c r="A4" s="4" t="s">
        <v>40</v>
      </c>
      <c r="B4" s="4" t="s">
        <v>39</v>
      </c>
      <c r="C4" s="7"/>
      <c r="D4" s="7">
        <v>2004</v>
      </c>
      <c r="E4" s="7">
        <v>2009</v>
      </c>
      <c r="F4" s="7"/>
      <c r="G4" s="7">
        <v>2011</v>
      </c>
      <c r="H4" s="7"/>
      <c r="I4" s="7"/>
      <c r="J4" s="7">
        <v>2011</v>
      </c>
      <c r="K4" s="7"/>
      <c r="L4" s="7">
        <v>2011</v>
      </c>
      <c r="M4" s="7">
        <v>2009</v>
      </c>
      <c r="N4" s="7">
        <v>2008</v>
      </c>
      <c r="O4" s="7">
        <v>2008</v>
      </c>
      <c r="P4" s="7">
        <v>2009</v>
      </c>
      <c r="Q4" s="7">
        <v>2009</v>
      </c>
      <c r="R4" s="7"/>
      <c r="S4" s="7">
        <v>2009</v>
      </c>
      <c r="T4" s="7" t="s">
        <v>577</v>
      </c>
      <c r="U4" s="7">
        <v>2009</v>
      </c>
      <c r="V4" s="7">
        <v>2009</v>
      </c>
      <c r="W4" s="7">
        <v>2011</v>
      </c>
      <c r="X4" s="7">
        <v>2006</v>
      </c>
      <c r="Y4" s="7">
        <v>2008</v>
      </c>
      <c r="Z4" s="7">
        <v>2011</v>
      </c>
      <c r="AA4" s="7">
        <v>2011</v>
      </c>
      <c r="AB4" s="7">
        <v>2011</v>
      </c>
      <c r="AC4" s="7">
        <v>2011</v>
      </c>
      <c r="AD4" s="7">
        <v>2008</v>
      </c>
      <c r="AE4" s="7">
        <v>2000</v>
      </c>
    </row>
    <row r="5" spans="1:31">
      <c r="A5" s="4" t="s">
        <v>42</v>
      </c>
      <c r="B5" s="4" t="s">
        <v>41</v>
      </c>
      <c r="C5" s="7">
        <v>2007</v>
      </c>
      <c r="D5" s="7">
        <v>2005</v>
      </c>
      <c r="E5" s="7">
        <v>2009</v>
      </c>
      <c r="F5" s="7">
        <v>2011</v>
      </c>
      <c r="G5" s="7">
        <v>2011</v>
      </c>
      <c r="H5" s="7">
        <v>2011</v>
      </c>
      <c r="I5" s="7">
        <v>2011</v>
      </c>
      <c r="J5" s="7">
        <v>2011</v>
      </c>
      <c r="K5" s="7">
        <v>2008</v>
      </c>
      <c r="L5" s="7">
        <v>2011</v>
      </c>
      <c r="M5" s="7">
        <v>2009</v>
      </c>
      <c r="N5" s="7">
        <v>2008</v>
      </c>
      <c r="O5" s="7">
        <v>2008</v>
      </c>
      <c r="P5" s="7">
        <v>2007</v>
      </c>
      <c r="Q5" s="7">
        <v>2004</v>
      </c>
      <c r="R5" s="7">
        <v>2011</v>
      </c>
      <c r="S5" s="7">
        <v>2009</v>
      </c>
      <c r="T5" s="7" t="s">
        <v>577</v>
      </c>
      <c r="U5" s="7">
        <v>2009</v>
      </c>
      <c r="V5" s="7">
        <v>2009</v>
      </c>
      <c r="W5" s="7">
        <v>2011</v>
      </c>
      <c r="X5" s="7">
        <v>2002</v>
      </c>
      <c r="Y5" s="7">
        <v>2008</v>
      </c>
      <c r="Z5" s="7">
        <v>2011</v>
      </c>
      <c r="AA5" s="7">
        <v>2011</v>
      </c>
      <c r="AB5" s="7">
        <v>2011</v>
      </c>
      <c r="AC5" s="7">
        <v>2011</v>
      </c>
      <c r="AD5" s="7">
        <v>2008</v>
      </c>
      <c r="AE5" s="7">
        <v>2000</v>
      </c>
    </row>
    <row r="6" spans="1:31">
      <c r="A6" s="4" t="s">
        <v>44</v>
      </c>
      <c r="B6" s="4" t="s">
        <v>43</v>
      </c>
      <c r="C6" s="7">
        <v>2007</v>
      </c>
      <c r="D6" s="7">
        <v>2006</v>
      </c>
      <c r="E6" s="7">
        <v>2009</v>
      </c>
      <c r="F6" s="7">
        <v>2011</v>
      </c>
      <c r="G6" s="7">
        <v>2011</v>
      </c>
      <c r="H6" s="7">
        <v>2011</v>
      </c>
      <c r="I6" s="7">
        <v>2011</v>
      </c>
      <c r="J6" s="7">
        <v>2011</v>
      </c>
      <c r="K6" s="7">
        <v>2008</v>
      </c>
      <c r="L6" s="7">
        <v>2011</v>
      </c>
      <c r="M6" s="7">
        <v>2009</v>
      </c>
      <c r="N6" s="7">
        <v>2008</v>
      </c>
      <c r="O6" s="7">
        <v>2008</v>
      </c>
      <c r="P6" s="7">
        <v>2007</v>
      </c>
      <c r="Q6" s="7">
        <v>2009</v>
      </c>
      <c r="R6" s="7">
        <v>2011</v>
      </c>
      <c r="S6" s="7">
        <v>2009</v>
      </c>
      <c r="T6" s="7" t="s">
        <v>577</v>
      </c>
      <c r="U6" s="7">
        <v>2009</v>
      </c>
      <c r="V6" s="7">
        <v>2009</v>
      </c>
      <c r="W6" s="7">
        <v>2011</v>
      </c>
      <c r="X6" s="7">
        <v>2008</v>
      </c>
      <c r="Y6" s="7">
        <v>2008</v>
      </c>
      <c r="Z6" s="7">
        <v>2011</v>
      </c>
      <c r="AA6" s="7">
        <v>2011</v>
      </c>
      <c r="AB6" s="7">
        <v>2011</v>
      </c>
      <c r="AC6" s="7">
        <v>2011</v>
      </c>
      <c r="AD6" s="7">
        <v>2008</v>
      </c>
      <c r="AE6" s="7">
        <v>2000</v>
      </c>
    </row>
    <row r="7" spans="1:31">
      <c r="A7" s="4" t="s">
        <v>46</v>
      </c>
      <c r="B7" s="4" t="s">
        <v>45</v>
      </c>
      <c r="C7" s="7"/>
      <c r="D7" s="7"/>
      <c r="E7" s="7">
        <v>2009</v>
      </c>
      <c r="F7" s="7">
        <v>2011</v>
      </c>
      <c r="G7" s="7"/>
      <c r="H7" s="7"/>
      <c r="I7" s="7"/>
      <c r="J7" s="7">
        <v>2011</v>
      </c>
      <c r="K7" s="7"/>
      <c r="L7" s="7">
        <v>2011</v>
      </c>
      <c r="M7" s="7">
        <v>2009</v>
      </c>
      <c r="N7" s="7"/>
      <c r="O7" s="7"/>
      <c r="P7" s="7">
        <v>2007</v>
      </c>
      <c r="Q7" s="7">
        <v>2008</v>
      </c>
      <c r="R7" s="7"/>
      <c r="S7" s="7">
        <v>2008</v>
      </c>
      <c r="T7" s="7" t="s">
        <v>577</v>
      </c>
      <c r="U7" s="7">
        <v>2009</v>
      </c>
      <c r="V7" s="7">
        <v>2009</v>
      </c>
      <c r="W7" s="7"/>
      <c r="X7" s="7"/>
      <c r="Y7" s="7"/>
      <c r="Z7" s="7">
        <v>2011</v>
      </c>
      <c r="AA7" s="7">
        <v>2011</v>
      </c>
      <c r="AB7" s="7"/>
      <c r="AC7" s="7">
        <v>2011</v>
      </c>
      <c r="AD7" s="7"/>
      <c r="AE7" s="7"/>
    </row>
    <row r="8" spans="1:31">
      <c r="A8" s="4" t="s">
        <v>48</v>
      </c>
      <c r="B8" s="4" t="s">
        <v>47</v>
      </c>
      <c r="C8" s="7">
        <v>2007</v>
      </c>
      <c r="D8" s="7">
        <v>2011</v>
      </c>
      <c r="E8" s="7">
        <v>2009</v>
      </c>
      <c r="F8" s="7">
        <v>2011</v>
      </c>
      <c r="G8" s="7">
        <v>2011</v>
      </c>
      <c r="H8" s="7">
        <v>2011</v>
      </c>
      <c r="I8" s="7">
        <v>2011</v>
      </c>
      <c r="J8" s="7">
        <v>2011</v>
      </c>
      <c r="K8" s="7">
        <v>2008</v>
      </c>
      <c r="L8" s="7">
        <v>2011</v>
      </c>
      <c r="M8" s="7">
        <v>2009</v>
      </c>
      <c r="N8" s="7">
        <v>2008</v>
      </c>
      <c r="O8" s="7">
        <v>2008</v>
      </c>
      <c r="P8" s="7">
        <v>2004</v>
      </c>
      <c r="Q8" s="7">
        <v>2006</v>
      </c>
      <c r="R8" s="7">
        <v>2011</v>
      </c>
      <c r="S8" s="7">
        <v>2009</v>
      </c>
      <c r="T8" s="7" t="s">
        <v>577</v>
      </c>
      <c r="U8" s="7">
        <v>2009</v>
      </c>
      <c r="V8" s="7">
        <v>2009</v>
      </c>
      <c r="W8" s="7">
        <v>2011</v>
      </c>
      <c r="X8" s="7">
        <v>2001</v>
      </c>
      <c r="Y8" s="7">
        <v>2008</v>
      </c>
      <c r="Z8" s="7">
        <v>2011</v>
      </c>
      <c r="AA8" s="7">
        <v>2011</v>
      </c>
      <c r="AB8" s="7">
        <v>2011</v>
      </c>
      <c r="AC8" s="7">
        <v>2011</v>
      </c>
      <c r="AD8" s="7">
        <v>2008</v>
      </c>
      <c r="AE8" s="7">
        <v>2000</v>
      </c>
    </row>
    <row r="9" spans="1:31">
      <c r="A9" s="4" t="s">
        <v>50</v>
      </c>
      <c r="B9" s="4" t="s">
        <v>49</v>
      </c>
      <c r="C9" s="7">
        <v>2007</v>
      </c>
      <c r="D9" s="7"/>
      <c r="E9" s="7">
        <v>2009</v>
      </c>
      <c r="F9" s="7">
        <v>2011</v>
      </c>
      <c r="G9" s="7">
        <v>2011</v>
      </c>
      <c r="H9" s="7">
        <v>2011</v>
      </c>
      <c r="I9" s="7">
        <v>2011</v>
      </c>
      <c r="J9" s="7">
        <v>2011</v>
      </c>
      <c r="K9" s="7"/>
      <c r="L9" s="7">
        <v>2011</v>
      </c>
      <c r="M9" s="7">
        <v>2003</v>
      </c>
      <c r="N9" s="7">
        <v>2002</v>
      </c>
      <c r="O9" s="7"/>
      <c r="P9" s="7">
        <v>1999</v>
      </c>
      <c r="Q9" s="7">
        <v>2009</v>
      </c>
      <c r="R9" s="7"/>
      <c r="S9" s="7">
        <v>2009</v>
      </c>
      <c r="T9" s="7" t="s">
        <v>577</v>
      </c>
      <c r="U9" s="7">
        <v>2009</v>
      </c>
      <c r="V9" s="7">
        <v>2009</v>
      </c>
      <c r="W9" s="7"/>
      <c r="X9" s="7">
        <v>2002</v>
      </c>
      <c r="Y9" s="7">
        <v>2004</v>
      </c>
      <c r="Z9" s="7">
        <v>2011</v>
      </c>
      <c r="AA9" s="7">
        <v>2011</v>
      </c>
      <c r="AB9" s="7"/>
      <c r="AC9" s="7">
        <v>2011</v>
      </c>
      <c r="AD9" s="7">
        <v>2004</v>
      </c>
      <c r="AE9" s="7"/>
    </row>
    <row r="10" spans="1:31">
      <c r="A10" s="4" t="s">
        <v>52</v>
      </c>
      <c r="B10" s="4" t="s">
        <v>51</v>
      </c>
      <c r="C10" s="7">
        <v>2001</v>
      </c>
      <c r="D10" s="7">
        <v>2006</v>
      </c>
      <c r="E10" s="7">
        <v>2009</v>
      </c>
      <c r="F10" s="7">
        <v>2011</v>
      </c>
      <c r="G10" s="7">
        <v>2011</v>
      </c>
      <c r="H10" s="7">
        <v>2011</v>
      </c>
      <c r="I10" s="7">
        <v>2011</v>
      </c>
      <c r="J10" s="7">
        <v>2011</v>
      </c>
      <c r="K10" s="7">
        <v>2008</v>
      </c>
      <c r="L10" s="7">
        <v>2011</v>
      </c>
      <c r="M10" s="7">
        <v>1998</v>
      </c>
      <c r="N10" s="7">
        <v>2008</v>
      </c>
      <c r="O10" s="7">
        <v>2008</v>
      </c>
      <c r="P10" s="7">
        <v>2004</v>
      </c>
      <c r="Q10" s="7">
        <v>2007</v>
      </c>
      <c r="R10" s="7">
        <v>2011</v>
      </c>
      <c r="S10" s="7">
        <v>2009</v>
      </c>
      <c r="T10" s="7" t="s">
        <v>577</v>
      </c>
      <c r="U10" s="7">
        <v>2009</v>
      </c>
      <c r="V10" s="7">
        <v>2009</v>
      </c>
      <c r="W10" s="7">
        <v>2011</v>
      </c>
      <c r="X10" s="7">
        <v>2003</v>
      </c>
      <c r="Y10" s="7">
        <v>2008</v>
      </c>
      <c r="Z10" s="7">
        <v>2011</v>
      </c>
      <c r="AA10" s="7">
        <v>2011</v>
      </c>
      <c r="AB10" s="7">
        <v>2011</v>
      </c>
      <c r="AC10" s="7">
        <v>2011</v>
      </c>
      <c r="AD10" s="7">
        <v>2008</v>
      </c>
      <c r="AE10" s="7">
        <v>2000</v>
      </c>
    </row>
    <row r="11" spans="1:31">
      <c r="A11" s="4" t="s">
        <v>54</v>
      </c>
      <c r="B11" s="4" t="s">
        <v>53</v>
      </c>
      <c r="C11" s="7">
        <v>2007</v>
      </c>
      <c r="D11" s="7">
        <v>2005</v>
      </c>
      <c r="E11" s="7">
        <v>2009</v>
      </c>
      <c r="F11" s="7">
        <v>2011</v>
      </c>
      <c r="G11" s="7">
        <v>2011</v>
      </c>
      <c r="H11" s="7"/>
      <c r="I11" s="7"/>
      <c r="J11" s="7">
        <v>2011</v>
      </c>
      <c r="K11" s="7">
        <v>2008</v>
      </c>
      <c r="L11" s="7">
        <v>2011</v>
      </c>
      <c r="M11" s="7">
        <v>2009</v>
      </c>
      <c r="N11" s="7">
        <v>2008</v>
      </c>
      <c r="O11" s="7">
        <v>2008</v>
      </c>
      <c r="P11" s="7">
        <v>2007</v>
      </c>
      <c r="Q11" s="7">
        <v>2009</v>
      </c>
      <c r="R11" s="7">
        <v>2011</v>
      </c>
      <c r="S11" s="7">
        <v>2009</v>
      </c>
      <c r="T11" s="7" t="s">
        <v>577</v>
      </c>
      <c r="U11" s="7">
        <v>2009</v>
      </c>
      <c r="V11" s="7">
        <v>2009</v>
      </c>
      <c r="W11" s="7">
        <v>2011</v>
      </c>
      <c r="X11" s="7">
        <v>2008</v>
      </c>
      <c r="Y11" s="7">
        <v>2008</v>
      </c>
      <c r="Z11" s="7">
        <v>2011</v>
      </c>
      <c r="AA11" s="7">
        <v>2011</v>
      </c>
      <c r="AB11" s="7">
        <v>2011</v>
      </c>
      <c r="AC11" s="7">
        <v>2011</v>
      </c>
      <c r="AD11" s="7">
        <v>2008</v>
      </c>
      <c r="AE11" s="7">
        <v>2005</v>
      </c>
    </row>
    <row r="12" spans="1:31">
      <c r="A12" s="4" t="s">
        <v>56</v>
      </c>
      <c r="B12" s="4" t="s">
        <v>55</v>
      </c>
      <c r="C12" s="7">
        <v>2007</v>
      </c>
      <c r="D12" s="7"/>
      <c r="E12" s="7">
        <v>2009</v>
      </c>
      <c r="F12" s="7">
        <v>2011</v>
      </c>
      <c r="G12" s="7">
        <v>2011</v>
      </c>
      <c r="H12" s="7">
        <v>2011</v>
      </c>
      <c r="I12" s="7">
        <v>2011</v>
      </c>
      <c r="J12" s="7">
        <v>2011</v>
      </c>
      <c r="K12" s="7">
        <v>2009</v>
      </c>
      <c r="L12" s="7">
        <v>2011</v>
      </c>
      <c r="M12" s="7">
        <v>2009</v>
      </c>
      <c r="N12" s="7">
        <v>2008</v>
      </c>
      <c r="O12" s="7">
        <v>2008</v>
      </c>
      <c r="P12" s="7">
        <v>2009</v>
      </c>
      <c r="Q12" s="7">
        <v>2008</v>
      </c>
      <c r="R12" s="7">
        <v>2011</v>
      </c>
      <c r="S12" s="7">
        <v>2009</v>
      </c>
      <c r="T12" s="7" t="s">
        <v>577</v>
      </c>
      <c r="U12" s="7">
        <v>2009</v>
      </c>
      <c r="V12" s="7">
        <v>2009</v>
      </c>
      <c r="W12" s="7">
        <v>2011</v>
      </c>
      <c r="X12" s="7">
        <v>1998</v>
      </c>
      <c r="Y12" s="7">
        <v>2008</v>
      </c>
      <c r="Z12" s="7">
        <v>2011</v>
      </c>
      <c r="AA12" s="7">
        <v>2011</v>
      </c>
      <c r="AB12" s="7"/>
      <c r="AC12" s="7">
        <v>2011</v>
      </c>
      <c r="AD12" s="7">
        <v>2008</v>
      </c>
      <c r="AE12" s="7">
        <v>2000</v>
      </c>
    </row>
    <row r="13" spans="1:31">
      <c r="A13" s="4" t="s">
        <v>58</v>
      </c>
      <c r="B13" s="4" t="s">
        <v>57</v>
      </c>
      <c r="C13" s="7">
        <v>2007</v>
      </c>
      <c r="D13" s="7"/>
      <c r="E13" s="7">
        <v>2009</v>
      </c>
      <c r="F13" s="7">
        <v>2011</v>
      </c>
      <c r="G13" s="7">
        <v>2011</v>
      </c>
      <c r="H13" s="7"/>
      <c r="I13" s="7"/>
      <c r="J13" s="7">
        <v>2011</v>
      </c>
      <c r="K13" s="7">
        <v>2009</v>
      </c>
      <c r="L13" s="7">
        <v>2011</v>
      </c>
      <c r="M13" s="7">
        <v>2009</v>
      </c>
      <c r="N13" s="7">
        <v>2008</v>
      </c>
      <c r="O13" s="7">
        <v>2008</v>
      </c>
      <c r="P13" s="7">
        <v>2008</v>
      </c>
      <c r="Q13" s="7">
        <v>2008</v>
      </c>
      <c r="R13" s="7">
        <v>2011</v>
      </c>
      <c r="S13" s="7">
        <v>2009</v>
      </c>
      <c r="T13" s="7" t="s">
        <v>577</v>
      </c>
      <c r="U13" s="7">
        <v>2009</v>
      </c>
      <c r="V13" s="7">
        <v>2009</v>
      </c>
      <c r="W13" s="7">
        <v>2011</v>
      </c>
      <c r="X13" s="7">
        <v>2008</v>
      </c>
      <c r="Y13" s="7">
        <v>2008</v>
      </c>
      <c r="Z13" s="7">
        <v>2011</v>
      </c>
      <c r="AA13" s="7">
        <v>2011</v>
      </c>
      <c r="AB13" s="7"/>
      <c r="AC13" s="7">
        <v>2011</v>
      </c>
      <c r="AD13" s="7">
        <v>2008</v>
      </c>
      <c r="AE13" s="7">
        <v>2000</v>
      </c>
    </row>
    <row r="14" spans="1:31">
      <c r="A14" s="4" t="s">
        <v>60</v>
      </c>
      <c r="B14" s="4" t="s">
        <v>59</v>
      </c>
      <c r="C14" s="7">
        <v>2007</v>
      </c>
      <c r="D14" s="7">
        <v>2006</v>
      </c>
      <c r="E14" s="7">
        <v>2009</v>
      </c>
      <c r="F14" s="7">
        <v>2011</v>
      </c>
      <c r="G14" s="7">
        <v>2011</v>
      </c>
      <c r="H14" s="7">
        <v>2011</v>
      </c>
      <c r="I14" s="7">
        <v>2011</v>
      </c>
      <c r="J14" s="7">
        <v>2011</v>
      </c>
      <c r="K14" s="7">
        <v>2008</v>
      </c>
      <c r="L14" s="7">
        <v>2011</v>
      </c>
      <c r="M14" s="7">
        <v>2009</v>
      </c>
      <c r="N14" s="7">
        <v>2008</v>
      </c>
      <c r="O14" s="7">
        <v>2008</v>
      </c>
      <c r="P14" s="7">
        <v>2007</v>
      </c>
      <c r="Q14" s="7">
        <v>2009</v>
      </c>
      <c r="R14" s="7">
        <v>2011</v>
      </c>
      <c r="S14" s="7">
        <v>2009</v>
      </c>
      <c r="T14" s="7" t="s">
        <v>577</v>
      </c>
      <c r="U14" s="7">
        <v>2009</v>
      </c>
      <c r="V14" s="7">
        <v>2009</v>
      </c>
      <c r="W14" s="7">
        <v>2011</v>
      </c>
      <c r="X14" s="7">
        <v>2006</v>
      </c>
      <c r="Y14" s="7">
        <v>2008</v>
      </c>
      <c r="Z14" s="7">
        <v>2011</v>
      </c>
      <c r="AA14" s="7">
        <v>2011</v>
      </c>
      <c r="AB14" s="7">
        <v>2011</v>
      </c>
      <c r="AC14" s="7">
        <v>2011</v>
      </c>
      <c r="AD14" s="7">
        <v>2008</v>
      </c>
      <c r="AE14" s="7">
        <v>2005</v>
      </c>
    </row>
    <row r="15" spans="1:31">
      <c r="A15" s="4" t="s">
        <v>62</v>
      </c>
      <c r="B15" s="4" t="s">
        <v>61</v>
      </c>
      <c r="C15" s="7">
        <v>2007</v>
      </c>
      <c r="D15" s="7"/>
      <c r="E15" s="7">
        <v>2009</v>
      </c>
      <c r="F15" s="7">
        <v>2011</v>
      </c>
      <c r="G15" s="7">
        <v>2011</v>
      </c>
      <c r="H15" s="7">
        <v>2011</v>
      </c>
      <c r="I15" s="7">
        <v>2011</v>
      </c>
      <c r="J15" s="7">
        <v>2011</v>
      </c>
      <c r="K15" s="7"/>
      <c r="L15" s="7">
        <v>2011</v>
      </c>
      <c r="M15" s="7">
        <v>2005</v>
      </c>
      <c r="N15" s="7">
        <v>2008</v>
      </c>
      <c r="O15" s="7">
        <v>2008</v>
      </c>
      <c r="P15" s="7">
        <v>1998</v>
      </c>
      <c r="Q15" s="7">
        <v>1995</v>
      </c>
      <c r="R15" s="7"/>
      <c r="S15" s="7">
        <v>2009</v>
      </c>
      <c r="T15" s="7" t="s">
        <v>577</v>
      </c>
      <c r="U15" s="7">
        <v>2009</v>
      </c>
      <c r="V15" s="7">
        <v>2009</v>
      </c>
      <c r="W15" s="7"/>
      <c r="X15" s="7">
        <v>2001</v>
      </c>
      <c r="Y15" s="7">
        <v>2004</v>
      </c>
      <c r="Z15" s="7">
        <v>2011</v>
      </c>
      <c r="AA15" s="7">
        <v>2011</v>
      </c>
      <c r="AB15" s="7">
        <v>2011</v>
      </c>
      <c r="AC15" s="7">
        <v>2011</v>
      </c>
      <c r="AD15" s="7">
        <v>2008</v>
      </c>
      <c r="AE15" s="7"/>
    </row>
    <row r="16" spans="1:31">
      <c r="A16" s="4" t="s">
        <v>64</v>
      </c>
      <c r="B16" s="4" t="s">
        <v>63</v>
      </c>
      <c r="C16" s="7"/>
      <c r="D16" s="7">
        <v>2005</v>
      </c>
      <c r="E16" s="7">
        <v>2009</v>
      </c>
      <c r="F16" s="7">
        <v>2011</v>
      </c>
      <c r="G16" s="7">
        <v>2011</v>
      </c>
      <c r="H16" s="7">
        <v>2011</v>
      </c>
      <c r="I16" s="7">
        <v>2011</v>
      </c>
      <c r="J16" s="7">
        <v>2011</v>
      </c>
      <c r="K16" s="7">
        <v>2008</v>
      </c>
      <c r="L16" s="7">
        <v>2011</v>
      </c>
      <c r="M16" s="7">
        <v>2002</v>
      </c>
      <c r="N16" s="7">
        <v>2008</v>
      </c>
      <c r="O16" s="7">
        <v>2008</v>
      </c>
      <c r="P16" s="7">
        <v>2008</v>
      </c>
      <c r="Q16" s="7">
        <v>1999</v>
      </c>
      <c r="R16" s="7">
        <v>2011</v>
      </c>
      <c r="S16" s="7">
        <v>2009</v>
      </c>
      <c r="T16" s="7" t="s">
        <v>577</v>
      </c>
      <c r="U16" s="7">
        <v>2009</v>
      </c>
      <c r="V16" s="7">
        <v>2009</v>
      </c>
      <c r="W16" s="7"/>
      <c r="X16" s="7">
        <v>2008</v>
      </c>
      <c r="Y16" s="7"/>
      <c r="Z16" s="7">
        <v>2011</v>
      </c>
      <c r="AA16" s="7">
        <v>2011</v>
      </c>
      <c r="AB16" s="7"/>
      <c r="AC16" s="7">
        <v>2011</v>
      </c>
      <c r="AD16" s="7"/>
      <c r="AE16" s="7">
        <v>2005</v>
      </c>
    </row>
    <row r="17" spans="1:31">
      <c r="A17" s="4" t="s">
        <v>66</v>
      </c>
      <c r="B17" s="4" t="s">
        <v>65</v>
      </c>
      <c r="C17" s="7">
        <v>2007</v>
      </c>
      <c r="D17" s="7">
        <v>2007</v>
      </c>
      <c r="E17" s="7">
        <v>2009</v>
      </c>
      <c r="F17" s="7">
        <v>2011</v>
      </c>
      <c r="G17" s="7">
        <v>2011</v>
      </c>
      <c r="H17" s="7">
        <v>2011</v>
      </c>
      <c r="I17" s="7">
        <v>2011</v>
      </c>
      <c r="J17" s="7">
        <v>2011</v>
      </c>
      <c r="K17" s="7">
        <v>2008</v>
      </c>
      <c r="L17" s="7">
        <v>2011</v>
      </c>
      <c r="M17" s="7">
        <v>2009</v>
      </c>
      <c r="N17" s="7">
        <v>2008</v>
      </c>
      <c r="O17" s="7">
        <v>2008</v>
      </c>
      <c r="P17" s="7">
        <v>2007</v>
      </c>
      <c r="Q17" s="7">
        <v>2009</v>
      </c>
      <c r="R17" s="7">
        <v>2011</v>
      </c>
      <c r="S17" s="7">
        <v>2009</v>
      </c>
      <c r="T17" s="7" t="s">
        <v>577</v>
      </c>
      <c r="U17" s="7">
        <v>2009</v>
      </c>
      <c r="V17" s="7">
        <v>2009</v>
      </c>
      <c r="W17" s="7">
        <v>2011</v>
      </c>
      <c r="X17" s="7">
        <v>2003</v>
      </c>
      <c r="Y17" s="7">
        <v>2008</v>
      </c>
      <c r="Z17" s="7">
        <v>2011</v>
      </c>
      <c r="AA17" s="7">
        <v>2011</v>
      </c>
      <c r="AB17" s="7">
        <v>2011</v>
      </c>
      <c r="AC17" s="7">
        <v>2011</v>
      </c>
      <c r="AD17" s="7">
        <v>2008</v>
      </c>
      <c r="AE17" s="7">
        <v>2010</v>
      </c>
    </row>
    <row r="18" spans="1:31">
      <c r="A18" s="4" t="s">
        <v>68</v>
      </c>
      <c r="B18" s="4" t="s">
        <v>67</v>
      </c>
      <c r="C18" s="7">
        <v>2007</v>
      </c>
      <c r="D18" s="7"/>
      <c r="E18" s="7">
        <v>2009</v>
      </c>
      <c r="F18" s="7">
        <v>2011</v>
      </c>
      <c r="G18" s="7">
        <v>2011</v>
      </c>
      <c r="H18" s="7">
        <v>2011</v>
      </c>
      <c r="I18" s="7">
        <v>2011</v>
      </c>
      <c r="J18" s="7">
        <v>2011</v>
      </c>
      <c r="K18" s="7"/>
      <c r="L18" s="7">
        <v>2011</v>
      </c>
      <c r="M18" s="7">
        <v>2009</v>
      </c>
      <c r="N18" s="7">
        <v>2008</v>
      </c>
      <c r="O18" s="7">
        <v>2008</v>
      </c>
      <c r="P18" s="7">
        <v>2005</v>
      </c>
      <c r="Q18" s="7"/>
      <c r="R18" s="7">
        <v>2011</v>
      </c>
      <c r="S18" s="7">
        <v>2009</v>
      </c>
      <c r="T18" s="7" t="s">
        <v>577</v>
      </c>
      <c r="U18" s="7">
        <v>2009</v>
      </c>
      <c r="V18" s="7">
        <v>2009</v>
      </c>
      <c r="W18" s="7"/>
      <c r="X18" s="7">
        <v>2004</v>
      </c>
      <c r="Y18" s="7">
        <v>2008</v>
      </c>
      <c r="Z18" s="7">
        <v>2011</v>
      </c>
      <c r="AA18" s="7">
        <v>2011</v>
      </c>
      <c r="AB18" s="7"/>
      <c r="AC18" s="7">
        <v>2011</v>
      </c>
      <c r="AD18" s="7">
        <v>2008</v>
      </c>
      <c r="AE18" s="7">
        <v>2000</v>
      </c>
    </row>
    <row r="19" spans="1:31">
      <c r="A19" s="4" t="s">
        <v>70</v>
      </c>
      <c r="B19" s="4" t="s">
        <v>69</v>
      </c>
      <c r="C19" s="7">
        <v>2007</v>
      </c>
      <c r="D19" s="7">
        <v>2005</v>
      </c>
      <c r="E19" s="7">
        <v>2009</v>
      </c>
      <c r="F19" s="7">
        <v>2011</v>
      </c>
      <c r="G19" s="7">
        <v>2011</v>
      </c>
      <c r="H19" s="7"/>
      <c r="I19" s="7"/>
      <c r="J19" s="7">
        <v>2011</v>
      </c>
      <c r="K19" s="7">
        <v>2008</v>
      </c>
      <c r="L19" s="7">
        <v>2011</v>
      </c>
      <c r="M19" s="7">
        <v>2009</v>
      </c>
      <c r="N19" s="7">
        <v>2008</v>
      </c>
      <c r="O19" s="7">
        <v>2008</v>
      </c>
      <c r="P19" s="7">
        <v>2007</v>
      </c>
      <c r="Q19" s="7">
        <v>2009</v>
      </c>
      <c r="R19" s="7">
        <v>2011</v>
      </c>
      <c r="S19" s="7">
        <v>2009</v>
      </c>
      <c r="T19" s="7" t="s">
        <v>577</v>
      </c>
      <c r="U19" s="7">
        <v>2009</v>
      </c>
      <c r="V19" s="7">
        <v>2009</v>
      </c>
      <c r="W19" s="7">
        <v>2011</v>
      </c>
      <c r="X19" s="7">
        <v>2005</v>
      </c>
      <c r="Y19" s="7">
        <v>2008</v>
      </c>
      <c r="Z19" s="7">
        <v>2011</v>
      </c>
      <c r="AA19" s="7">
        <v>2011</v>
      </c>
      <c r="AB19" s="7">
        <v>2011</v>
      </c>
      <c r="AC19" s="7">
        <v>2011</v>
      </c>
      <c r="AD19" s="7">
        <v>2008</v>
      </c>
      <c r="AE19" s="7">
        <v>2000</v>
      </c>
    </row>
    <row r="20" spans="1:31">
      <c r="A20" s="4" t="s">
        <v>72</v>
      </c>
      <c r="B20" s="4" t="s">
        <v>71</v>
      </c>
      <c r="C20" s="7">
        <v>1999</v>
      </c>
      <c r="D20" s="7"/>
      <c r="E20" s="7">
        <v>2009</v>
      </c>
      <c r="F20" s="7">
        <v>2011</v>
      </c>
      <c r="G20" s="7">
        <v>2011</v>
      </c>
      <c r="H20" s="7">
        <v>2011</v>
      </c>
      <c r="I20" s="7">
        <v>2011</v>
      </c>
      <c r="J20" s="7">
        <v>2011</v>
      </c>
      <c r="K20" s="7">
        <v>2009</v>
      </c>
      <c r="L20" s="7">
        <v>2011</v>
      </c>
      <c r="M20" s="7">
        <v>2009</v>
      </c>
      <c r="N20" s="7">
        <v>2008</v>
      </c>
      <c r="O20" s="7">
        <v>2008</v>
      </c>
      <c r="P20" s="7">
        <v>2008</v>
      </c>
      <c r="Q20" s="7">
        <v>2008</v>
      </c>
      <c r="R20" s="7">
        <v>2011</v>
      </c>
      <c r="S20" s="7">
        <v>2009</v>
      </c>
      <c r="T20" s="7" t="s">
        <v>577</v>
      </c>
      <c r="U20" s="7">
        <v>2009</v>
      </c>
      <c r="V20" s="7">
        <v>2009</v>
      </c>
      <c r="W20" s="7">
        <v>2011</v>
      </c>
      <c r="X20" s="7">
        <v>2008</v>
      </c>
      <c r="Y20" s="7">
        <v>2008</v>
      </c>
      <c r="Z20" s="7">
        <v>2011</v>
      </c>
      <c r="AA20" s="7">
        <v>2011</v>
      </c>
      <c r="AB20" s="7"/>
      <c r="AC20" s="7">
        <v>2011</v>
      </c>
      <c r="AD20" s="7">
        <v>2008</v>
      </c>
      <c r="AE20" s="7">
        <v>2005</v>
      </c>
    </row>
    <row r="21" spans="1:31">
      <c r="A21" s="4" t="s">
        <v>74</v>
      </c>
      <c r="B21" s="4" t="s">
        <v>73</v>
      </c>
      <c r="C21" s="7">
        <v>2007</v>
      </c>
      <c r="D21" s="7">
        <v>2006</v>
      </c>
      <c r="E21" s="7">
        <v>2009</v>
      </c>
      <c r="F21" s="7">
        <v>2011</v>
      </c>
      <c r="G21" s="7">
        <v>2011</v>
      </c>
      <c r="H21" s="7">
        <v>2011</v>
      </c>
      <c r="I21" s="7">
        <v>2011</v>
      </c>
      <c r="J21" s="7">
        <v>2011</v>
      </c>
      <c r="K21" s="7"/>
      <c r="L21" s="7">
        <v>2011</v>
      </c>
      <c r="M21" s="7">
        <v>2009</v>
      </c>
      <c r="N21" s="7">
        <v>2008</v>
      </c>
      <c r="O21" s="7">
        <v>2008</v>
      </c>
      <c r="P21" s="7">
        <v>2009</v>
      </c>
      <c r="Q21" s="7">
        <v>2009</v>
      </c>
      <c r="R21" s="7">
        <v>2011</v>
      </c>
      <c r="S21" s="7">
        <v>2009</v>
      </c>
      <c r="T21" s="7" t="s">
        <v>577</v>
      </c>
      <c r="U21" s="7">
        <v>2009</v>
      </c>
      <c r="V21" s="7">
        <v>2009</v>
      </c>
      <c r="W21" s="7">
        <v>2011</v>
      </c>
      <c r="X21" s="7">
        <v>2001</v>
      </c>
      <c r="Y21" s="7">
        <v>2008</v>
      </c>
      <c r="Z21" s="7">
        <v>2011</v>
      </c>
      <c r="AA21" s="7">
        <v>2011</v>
      </c>
      <c r="AB21" s="7">
        <v>2011</v>
      </c>
      <c r="AC21" s="7">
        <v>2011</v>
      </c>
      <c r="AD21" s="7">
        <v>2008</v>
      </c>
      <c r="AE21" s="7">
        <v>2000</v>
      </c>
    </row>
    <row r="22" spans="1:31">
      <c r="A22" s="4" t="s">
        <v>76</v>
      </c>
      <c r="B22" s="4" t="s">
        <v>75</v>
      </c>
      <c r="C22" s="7">
        <v>2007</v>
      </c>
      <c r="D22" s="7">
        <v>2006</v>
      </c>
      <c r="E22" s="7">
        <v>2009</v>
      </c>
      <c r="F22" s="7">
        <v>2011</v>
      </c>
      <c r="G22" s="7">
        <v>2011</v>
      </c>
      <c r="H22" s="7"/>
      <c r="I22" s="7"/>
      <c r="J22" s="7">
        <v>2011</v>
      </c>
      <c r="K22" s="7">
        <v>2008</v>
      </c>
      <c r="L22" s="7">
        <v>2011</v>
      </c>
      <c r="M22" s="7">
        <v>2009</v>
      </c>
      <c r="N22" s="7">
        <v>2008</v>
      </c>
      <c r="O22" s="7">
        <v>2008</v>
      </c>
      <c r="P22" s="7">
        <v>2008</v>
      </c>
      <c r="Q22" s="7">
        <v>2006</v>
      </c>
      <c r="R22" s="7">
        <v>2011</v>
      </c>
      <c r="S22" s="7">
        <v>2009</v>
      </c>
      <c r="T22" s="7" t="s">
        <v>577</v>
      </c>
      <c r="U22" s="7">
        <v>2009</v>
      </c>
      <c r="V22" s="7">
        <v>2009</v>
      </c>
      <c r="W22" s="7">
        <v>2011</v>
      </c>
      <c r="X22" s="7">
        <v>2004</v>
      </c>
      <c r="Y22" s="7">
        <v>2008</v>
      </c>
      <c r="Z22" s="7">
        <v>2011</v>
      </c>
      <c r="AA22" s="7">
        <v>2011</v>
      </c>
      <c r="AB22" s="7">
        <v>2011</v>
      </c>
      <c r="AC22" s="7">
        <v>2011</v>
      </c>
      <c r="AD22" s="7">
        <v>2008</v>
      </c>
      <c r="AE22" s="7">
        <v>2000</v>
      </c>
    </row>
    <row r="23" spans="1:31">
      <c r="A23" s="4" t="s">
        <v>78</v>
      </c>
      <c r="B23" s="4" t="s">
        <v>77</v>
      </c>
      <c r="C23" s="7"/>
      <c r="D23" s="7">
        <v>2009</v>
      </c>
      <c r="E23" s="7">
        <v>2009</v>
      </c>
      <c r="F23" s="7">
        <v>2011</v>
      </c>
      <c r="G23" s="7">
        <v>2011</v>
      </c>
      <c r="H23" s="7"/>
      <c r="I23" s="7"/>
      <c r="J23" s="7">
        <v>2011</v>
      </c>
      <c r="K23" s="7"/>
      <c r="L23" s="7">
        <v>2011</v>
      </c>
      <c r="M23" s="7">
        <v>2009</v>
      </c>
      <c r="N23" s="7">
        <v>2008</v>
      </c>
      <c r="O23" s="7">
        <v>2008</v>
      </c>
      <c r="P23" s="7">
        <v>2007</v>
      </c>
      <c r="Q23" s="7">
        <v>2008</v>
      </c>
      <c r="R23" s="7">
        <v>2011</v>
      </c>
      <c r="S23" s="7">
        <v>2009</v>
      </c>
      <c r="T23" s="7" t="s">
        <v>577</v>
      </c>
      <c r="U23" s="7">
        <v>2009</v>
      </c>
      <c r="V23" s="7">
        <v>2009</v>
      </c>
      <c r="W23" s="7">
        <v>2011</v>
      </c>
      <c r="X23" s="7">
        <v>2003</v>
      </c>
      <c r="Y23" s="7">
        <v>2008</v>
      </c>
      <c r="Z23" s="7">
        <v>2011</v>
      </c>
      <c r="AA23" s="7">
        <v>2011</v>
      </c>
      <c r="AB23" s="7">
        <v>2011</v>
      </c>
      <c r="AC23" s="7">
        <v>2011</v>
      </c>
      <c r="AD23" s="7">
        <v>2008</v>
      </c>
      <c r="AE23" s="7">
        <v>2010</v>
      </c>
    </row>
    <row r="24" spans="1:31">
      <c r="A24" s="4" t="s">
        <v>80</v>
      </c>
      <c r="B24" s="4" t="s">
        <v>79</v>
      </c>
      <c r="C24" s="7">
        <v>2007</v>
      </c>
      <c r="D24" s="7">
        <v>2008</v>
      </c>
      <c r="E24" s="7">
        <v>2009</v>
      </c>
      <c r="F24" s="7">
        <v>2011</v>
      </c>
      <c r="G24" s="7">
        <v>2011</v>
      </c>
      <c r="H24" s="7"/>
      <c r="I24" s="7"/>
      <c r="J24" s="7">
        <v>2011</v>
      </c>
      <c r="K24" s="7">
        <v>2008</v>
      </c>
      <c r="L24" s="7">
        <v>2011</v>
      </c>
      <c r="M24" s="7">
        <v>2009</v>
      </c>
      <c r="N24" s="7">
        <v>2008</v>
      </c>
      <c r="O24" s="7">
        <v>2008</v>
      </c>
      <c r="P24" s="7">
        <v>2001</v>
      </c>
      <c r="Q24" s="7">
        <v>2007</v>
      </c>
      <c r="R24" s="7">
        <v>2011</v>
      </c>
      <c r="S24" s="7">
        <v>2009</v>
      </c>
      <c r="T24" s="7" t="s">
        <v>577</v>
      </c>
      <c r="U24" s="7">
        <v>2009</v>
      </c>
      <c r="V24" s="7">
        <v>2009</v>
      </c>
      <c r="W24" s="7">
        <v>2011</v>
      </c>
      <c r="X24" s="7">
        <v>2004</v>
      </c>
      <c r="Y24" s="7">
        <v>2008</v>
      </c>
      <c r="Z24" s="7">
        <v>2011</v>
      </c>
      <c r="AA24" s="7">
        <v>2011</v>
      </c>
      <c r="AB24" s="7">
        <v>2011</v>
      </c>
      <c r="AC24" s="7">
        <v>2011</v>
      </c>
      <c r="AD24" s="7">
        <v>2008</v>
      </c>
      <c r="AE24" s="7">
        <v>2000</v>
      </c>
    </row>
    <row r="25" spans="1:31">
      <c r="A25" s="4" t="s">
        <v>82</v>
      </c>
      <c r="B25" s="4" t="s">
        <v>81</v>
      </c>
      <c r="C25" s="7">
        <v>2007</v>
      </c>
      <c r="D25" s="7">
        <v>2005</v>
      </c>
      <c r="E25" s="7">
        <v>2009</v>
      </c>
      <c r="F25" s="7">
        <v>2011</v>
      </c>
      <c r="G25" s="7">
        <v>2011</v>
      </c>
      <c r="H25" s="7">
        <v>2011</v>
      </c>
      <c r="I25" s="7"/>
      <c r="J25" s="7">
        <v>2011</v>
      </c>
      <c r="K25" s="7">
        <v>2008</v>
      </c>
      <c r="L25" s="7">
        <v>2011</v>
      </c>
      <c r="M25" s="7">
        <v>2009</v>
      </c>
      <c r="N25" s="7">
        <v>2008</v>
      </c>
      <c r="O25" s="7">
        <v>2008</v>
      </c>
      <c r="P25" s="7">
        <v>2005</v>
      </c>
      <c r="Q25" s="7">
        <v>2009</v>
      </c>
      <c r="R25" s="7">
        <v>2011</v>
      </c>
      <c r="S25" s="7">
        <v>2009</v>
      </c>
      <c r="T25" s="7" t="s">
        <v>577</v>
      </c>
      <c r="U25" s="7">
        <v>2009</v>
      </c>
      <c r="V25" s="7">
        <v>2009</v>
      </c>
      <c r="W25" s="7">
        <v>2011</v>
      </c>
      <c r="X25" s="7">
        <v>2005</v>
      </c>
      <c r="Y25" s="7">
        <v>2008</v>
      </c>
      <c r="Z25" s="7"/>
      <c r="AA25" s="7">
        <v>2011</v>
      </c>
      <c r="AB25" s="7">
        <v>2011</v>
      </c>
      <c r="AC25" s="7">
        <v>2011</v>
      </c>
      <c r="AD25" s="7">
        <v>2008</v>
      </c>
      <c r="AE25" s="7">
        <v>2010</v>
      </c>
    </row>
    <row r="26" spans="1:31">
      <c r="A26" s="4" t="s">
        <v>84</v>
      </c>
      <c r="B26" s="4" t="s">
        <v>83</v>
      </c>
      <c r="C26" s="7">
        <v>2007</v>
      </c>
      <c r="D26" s="7">
        <v>2000</v>
      </c>
      <c r="E26" s="7">
        <v>2009</v>
      </c>
      <c r="F26" s="7">
        <v>2011</v>
      </c>
      <c r="G26" s="7">
        <v>2011</v>
      </c>
      <c r="H26" s="7"/>
      <c r="I26" s="7"/>
      <c r="J26" s="7">
        <v>2011</v>
      </c>
      <c r="K26" s="7">
        <v>2008</v>
      </c>
      <c r="L26" s="7">
        <v>2011</v>
      </c>
      <c r="M26" s="7">
        <v>2009</v>
      </c>
      <c r="N26" s="7">
        <v>2008</v>
      </c>
      <c r="O26" s="7">
        <v>2008</v>
      </c>
      <c r="P26" s="7">
        <v>2006</v>
      </c>
      <c r="Q26" s="7">
        <v>2006</v>
      </c>
      <c r="R26" s="7">
        <v>2011</v>
      </c>
      <c r="S26" s="7">
        <v>2009</v>
      </c>
      <c r="T26" s="7" t="s">
        <v>577</v>
      </c>
      <c r="U26" s="7">
        <v>2009</v>
      </c>
      <c r="V26" s="7">
        <v>2009</v>
      </c>
      <c r="W26" s="7">
        <v>2011</v>
      </c>
      <c r="X26" s="7">
        <v>2005</v>
      </c>
      <c r="Y26" s="7">
        <v>2008</v>
      </c>
      <c r="Z26" s="7">
        <v>2011</v>
      </c>
      <c r="AA26" s="7">
        <v>2011</v>
      </c>
      <c r="AB26" s="7">
        <v>2011</v>
      </c>
      <c r="AC26" s="7">
        <v>2011</v>
      </c>
      <c r="AD26" s="7">
        <v>2008</v>
      </c>
      <c r="AE26" s="7">
        <v>2000</v>
      </c>
    </row>
    <row r="27" spans="1:31">
      <c r="A27" s="4" t="s">
        <v>86</v>
      </c>
      <c r="B27" s="4" t="s">
        <v>85</v>
      </c>
      <c r="C27" s="7">
        <v>2007</v>
      </c>
      <c r="D27" s="7">
        <v>2006</v>
      </c>
      <c r="E27" s="7">
        <v>2009</v>
      </c>
      <c r="F27" s="7">
        <v>2011</v>
      </c>
      <c r="G27" s="7">
        <v>2011</v>
      </c>
      <c r="H27" s="7">
        <v>2011</v>
      </c>
      <c r="I27" s="7">
        <v>2011</v>
      </c>
      <c r="J27" s="7">
        <v>2011</v>
      </c>
      <c r="K27" s="7">
        <v>2008</v>
      </c>
      <c r="L27" s="7">
        <v>2011</v>
      </c>
      <c r="M27" s="7">
        <v>2009</v>
      </c>
      <c r="N27" s="7">
        <v>2008</v>
      </c>
      <c r="O27" s="7">
        <v>2008</v>
      </c>
      <c r="P27" s="7">
        <v>2007</v>
      </c>
      <c r="Q27" s="7">
        <v>2009</v>
      </c>
      <c r="R27" s="7">
        <v>2011</v>
      </c>
      <c r="S27" s="7">
        <v>2009</v>
      </c>
      <c r="T27" s="7" t="s">
        <v>577</v>
      </c>
      <c r="U27" s="7">
        <v>2009</v>
      </c>
      <c r="V27" s="7">
        <v>2009</v>
      </c>
      <c r="W27" s="7">
        <v>2011</v>
      </c>
      <c r="X27" s="7">
        <v>2000</v>
      </c>
      <c r="Y27" s="7">
        <v>2008</v>
      </c>
      <c r="Z27" s="7">
        <v>2011</v>
      </c>
      <c r="AA27" s="7">
        <v>2011</v>
      </c>
      <c r="AB27" s="7">
        <v>2011</v>
      </c>
      <c r="AC27" s="7">
        <v>2011</v>
      </c>
      <c r="AD27" s="7">
        <v>2008</v>
      </c>
      <c r="AE27" s="7">
        <v>2005</v>
      </c>
    </row>
    <row r="28" spans="1:31">
      <c r="A28" s="4" t="s">
        <v>88</v>
      </c>
      <c r="B28" s="4" t="s">
        <v>87</v>
      </c>
      <c r="C28" s="7">
        <v>2007</v>
      </c>
      <c r="D28" s="7"/>
      <c r="E28" s="7">
        <v>2009</v>
      </c>
      <c r="F28" s="7">
        <v>2011</v>
      </c>
      <c r="G28" s="7">
        <v>2011</v>
      </c>
      <c r="H28" s="7">
        <v>2011</v>
      </c>
      <c r="I28" s="7">
        <v>2011</v>
      </c>
      <c r="J28" s="7">
        <v>2011</v>
      </c>
      <c r="K28" s="7">
        <v>2008</v>
      </c>
      <c r="L28" s="7">
        <v>2011</v>
      </c>
      <c r="M28" s="7">
        <v>2009</v>
      </c>
      <c r="N28" s="7">
        <v>2008</v>
      </c>
      <c r="O28" s="7">
        <v>2008</v>
      </c>
      <c r="P28" s="7">
        <v>2008</v>
      </c>
      <c r="Q28" s="7">
        <v>2009</v>
      </c>
      <c r="R28" s="7"/>
      <c r="S28" s="7">
        <v>2009</v>
      </c>
      <c r="T28" s="7" t="s">
        <v>577</v>
      </c>
      <c r="U28" s="7">
        <v>2009</v>
      </c>
      <c r="V28" s="7">
        <v>2009</v>
      </c>
      <c r="W28" s="7"/>
      <c r="X28" s="7">
        <v>2005</v>
      </c>
      <c r="Y28" s="7">
        <v>2004</v>
      </c>
      <c r="Z28" s="7">
        <v>2011</v>
      </c>
      <c r="AA28" s="7">
        <v>2011</v>
      </c>
      <c r="AB28" s="7"/>
      <c r="AC28" s="7">
        <v>2011</v>
      </c>
      <c r="AD28" s="7"/>
      <c r="AE28" s="7">
        <v>1995</v>
      </c>
    </row>
    <row r="29" spans="1:31">
      <c r="A29" s="4" t="s">
        <v>90</v>
      </c>
      <c r="B29" s="4" t="s">
        <v>89</v>
      </c>
      <c r="C29" s="7">
        <v>2007</v>
      </c>
      <c r="D29" s="7"/>
      <c r="E29" s="7">
        <v>2009</v>
      </c>
      <c r="F29" s="7">
        <v>2011</v>
      </c>
      <c r="G29" s="7">
        <v>2011</v>
      </c>
      <c r="H29" s="7">
        <v>2011</v>
      </c>
      <c r="I29" s="7">
        <v>2011</v>
      </c>
      <c r="J29" s="7">
        <v>2011</v>
      </c>
      <c r="K29" s="7">
        <v>2008</v>
      </c>
      <c r="L29" s="7">
        <v>2011</v>
      </c>
      <c r="M29" s="7">
        <v>2006</v>
      </c>
      <c r="N29" s="7">
        <v>2008</v>
      </c>
      <c r="O29" s="7">
        <v>2008</v>
      </c>
      <c r="P29" s="7">
        <v>2008</v>
      </c>
      <c r="Q29" s="7">
        <v>2008</v>
      </c>
      <c r="R29" s="7">
        <v>2011</v>
      </c>
      <c r="S29" s="7">
        <v>2009</v>
      </c>
      <c r="T29" s="7" t="s">
        <v>577</v>
      </c>
      <c r="U29" s="7">
        <v>2009</v>
      </c>
      <c r="V29" s="7">
        <v>2009</v>
      </c>
      <c r="W29" s="7">
        <v>2011</v>
      </c>
      <c r="X29" s="7">
        <v>2005</v>
      </c>
      <c r="Y29" s="7">
        <v>2008</v>
      </c>
      <c r="Z29" s="7">
        <v>2011</v>
      </c>
      <c r="AA29" s="7">
        <v>2011</v>
      </c>
      <c r="AB29" s="7">
        <v>2011</v>
      </c>
      <c r="AC29" s="7">
        <v>2011</v>
      </c>
      <c r="AD29" s="7">
        <v>2008</v>
      </c>
      <c r="AE29" s="7">
        <v>2010</v>
      </c>
    </row>
    <row r="30" spans="1:31">
      <c r="A30" s="4" t="s">
        <v>92</v>
      </c>
      <c r="B30" s="4" t="s">
        <v>91</v>
      </c>
      <c r="C30" s="7">
        <v>2007</v>
      </c>
      <c r="D30" s="7">
        <v>2006</v>
      </c>
      <c r="E30" s="7">
        <v>2009</v>
      </c>
      <c r="F30" s="7">
        <v>2011</v>
      </c>
      <c r="G30" s="7">
        <v>2011</v>
      </c>
      <c r="H30" s="7"/>
      <c r="I30" s="7"/>
      <c r="J30" s="7">
        <v>2011</v>
      </c>
      <c r="K30" s="7"/>
      <c r="L30" s="7">
        <v>2011</v>
      </c>
      <c r="M30" s="7">
        <v>2009</v>
      </c>
      <c r="N30" s="7">
        <v>2008</v>
      </c>
      <c r="O30" s="7">
        <v>2008</v>
      </c>
      <c r="P30" s="7">
        <v>2008</v>
      </c>
      <c r="Q30" s="7">
        <v>2009</v>
      </c>
      <c r="R30" s="7">
        <v>2011</v>
      </c>
      <c r="S30" s="7">
        <v>2009</v>
      </c>
      <c r="T30" s="7" t="s">
        <v>577</v>
      </c>
      <c r="U30" s="7">
        <v>2009</v>
      </c>
      <c r="V30" s="7">
        <v>2009</v>
      </c>
      <c r="W30" s="7">
        <v>2011</v>
      </c>
      <c r="X30" s="7">
        <v>2004</v>
      </c>
      <c r="Y30" s="7">
        <v>2008</v>
      </c>
      <c r="Z30" s="7">
        <v>2011</v>
      </c>
      <c r="AA30" s="7">
        <v>2011</v>
      </c>
      <c r="AB30" s="7">
        <v>2011</v>
      </c>
      <c r="AC30" s="7">
        <v>2011</v>
      </c>
      <c r="AD30" s="7">
        <v>2008</v>
      </c>
      <c r="AE30" s="7">
        <v>2000</v>
      </c>
    </row>
    <row r="31" spans="1:31">
      <c r="A31" s="4" t="s">
        <v>94</v>
      </c>
      <c r="B31" s="4" t="s">
        <v>93</v>
      </c>
      <c r="C31" s="7">
        <v>2007</v>
      </c>
      <c r="D31" s="7">
        <v>2005</v>
      </c>
      <c r="E31" s="7">
        <v>2009</v>
      </c>
      <c r="F31" s="7">
        <v>2011</v>
      </c>
      <c r="G31" s="7">
        <v>2011</v>
      </c>
      <c r="H31" s="7"/>
      <c r="I31" s="7"/>
      <c r="J31" s="7">
        <v>2011</v>
      </c>
      <c r="K31" s="7"/>
      <c r="L31" s="7">
        <v>2011</v>
      </c>
      <c r="M31" s="7">
        <v>2009</v>
      </c>
      <c r="N31" s="7">
        <v>2008</v>
      </c>
      <c r="O31" s="7">
        <v>2008</v>
      </c>
      <c r="P31" s="7">
        <v>2004</v>
      </c>
      <c r="Q31" s="7">
        <v>2009</v>
      </c>
      <c r="R31" s="7">
        <v>2011</v>
      </c>
      <c r="S31" s="7">
        <v>2009</v>
      </c>
      <c r="T31" s="7" t="s">
        <v>577</v>
      </c>
      <c r="U31" s="7">
        <v>2009</v>
      </c>
      <c r="V31" s="7">
        <v>2009</v>
      </c>
      <c r="W31" s="7">
        <v>2011</v>
      </c>
      <c r="X31" s="7">
        <v>2004</v>
      </c>
      <c r="Y31" s="7">
        <v>2008</v>
      </c>
      <c r="Z31" s="7">
        <v>2011</v>
      </c>
      <c r="AA31" s="7">
        <v>2011</v>
      </c>
      <c r="AB31" s="7">
        <v>2011</v>
      </c>
      <c r="AC31" s="7">
        <v>2011</v>
      </c>
      <c r="AD31" s="7">
        <v>2008</v>
      </c>
      <c r="AE31" s="7">
        <v>2000</v>
      </c>
    </row>
    <row r="32" spans="1:31">
      <c r="A32" s="4" t="s">
        <v>96</v>
      </c>
      <c r="B32" s="4" t="s">
        <v>95</v>
      </c>
      <c r="C32" s="7">
        <v>2007</v>
      </c>
      <c r="D32" s="7">
        <v>2005</v>
      </c>
      <c r="E32" s="7">
        <v>2009</v>
      </c>
      <c r="F32" s="7">
        <v>2011</v>
      </c>
      <c r="G32" s="7">
        <v>2011</v>
      </c>
      <c r="H32" s="7">
        <v>2011</v>
      </c>
      <c r="I32" s="7">
        <v>2011</v>
      </c>
      <c r="J32" s="7">
        <v>2011</v>
      </c>
      <c r="K32" s="7">
        <v>2008</v>
      </c>
      <c r="L32" s="7">
        <v>2011</v>
      </c>
      <c r="M32" s="7">
        <v>2009</v>
      </c>
      <c r="N32" s="7">
        <v>2008</v>
      </c>
      <c r="O32" s="7">
        <v>2008</v>
      </c>
      <c r="P32" s="7">
        <v>2008</v>
      </c>
      <c r="Q32" s="7">
        <v>2009</v>
      </c>
      <c r="R32" s="7">
        <v>2011</v>
      </c>
      <c r="S32" s="7">
        <v>2009</v>
      </c>
      <c r="T32" s="7" t="s">
        <v>577</v>
      </c>
      <c r="U32" s="7">
        <v>2009</v>
      </c>
      <c r="V32" s="7">
        <v>2009</v>
      </c>
      <c r="W32" s="7">
        <v>2011</v>
      </c>
      <c r="X32" s="7">
        <v>2004</v>
      </c>
      <c r="Y32" s="7">
        <v>2008</v>
      </c>
      <c r="Z32" s="7">
        <v>2011</v>
      </c>
      <c r="AA32" s="7">
        <v>2011</v>
      </c>
      <c r="AB32" s="7">
        <v>2011</v>
      </c>
      <c r="AC32" s="7">
        <v>2011</v>
      </c>
      <c r="AD32" s="7">
        <v>2008</v>
      </c>
      <c r="AE32" s="7">
        <v>2005</v>
      </c>
    </row>
    <row r="33" spans="1:31">
      <c r="A33" s="4" t="s">
        <v>98</v>
      </c>
      <c r="B33" s="4" t="s">
        <v>97</v>
      </c>
      <c r="C33" s="7">
        <v>2007</v>
      </c>
      <c r="D33" s="7">
        <v>2006</v>
      </c>
      <c r="E33" s="7">
        <v>2009</v>
      </c>
      <c r="F33" s="7">
        <v>2011</v>
      </c>
      <c r="G33" s="7">
        <v>2011</v>
      </c>
      <c r="H33" s="7">
        <v>2011</v>
      </c>
      <c r="I33" s="7">
        <v>2011</v>
      </c>
      <c r="J33" s="7">
        <v>2011</v>
      </c>
      <c r="K33" s="7">
        <v>2008</v>
      </c>
      <c r="L33" s="7">
        <v>2011</v>
      </c>
      <c r="M33" s="7">
        <v>2009</v>
      </c>
      <c r="N33" s="7">
        <v>2008</v>
      </c>
      <c r="O33" s="7">
        <v>2008</v>
      </c>
      <c r="P33" s="7">
        <v>2004</v>
      </c>
      <c r="Q33" s="7">
        <v>2009</v>
      </c>
      <c r="R33" s="7">
        <v>2011</v>
      </c>
      <c r="S33" s="7">
        <v>2009</v>
      </c>
      <c r="T33" s="7" t="s">
        <v>577</v>
      </c>
      <c r="U33" s="7">
        <v>2009</v>
      </c>
      <c r="V33" s="7">
        <v>2009</v>
      </c>
      <c r="W33" s="7">
        <v>2011</v>
      </c>
      <c r="X33" s="7">
        <v>2004</v>
      </c>
      <c r="Y33" s="7">
        <v>2008</v>
      </c>
      <c r="Z33" s="7">
        <v>2011</v>
      </c>
      <c r="AA33" s="7">
        <v>2011</v>
      </c>
      <c r="AB33" s="7">
        <v>2011</v>
      </c>
      <c r="AC33" s="7">
        <v>2011</v>
      </c>
      <c r="AD33" s="7">
        <v>2008</v>
      </c>
      <c r="AE33" s="7">
        <v>2000</v>
      </c>
    </row>
    <row r="34" spans="1:31">
      <c r="A34" s="4" t="s">
        <v>100</v>
      </c>
      <c r="B34" s="4" t="s">
        <v>99</v>
      </c>
      <c r="C34" s="7">
        <v>2007</v>
      </c>
      <c r="D34" s="7"/>
      <c r="E34" s="7">
        <v>2009</v>
      </c>
      <c r="F34" s="7">
        <v>2011</v>
      </c>
      <c r="G34" s="7">
        <v>2011</v>
      </c>
      <c r="H34" s="7">
        <v>2011</v>
      </c>
      <c r="I34" s="7">
        <v>2011</v>
      </c>
      <c r="J34" s="7">
        <v>2011</v>
      </c>
      <c r="K34" s="7">
        <v>2009</v>
      </c>
      <c r="L34" s="7">
        <v>2011</v>
      </c>
      <c r="M34" s="7">
        <v>2009</v>
      </c>
      <c r="N34" s="7">
        <v>2008</v>
      </c>
      <c r="O34" s="7">
        <v>2008</v>
      </c>
      <c r="P34" s="7">
        <v>2006</v>
      </c>
      <c r="Q34" s="7">
        <v>2004</v>
      </c>
      <c r="R34" s="7">
        <v>2011</v>
      </c>
      <c r="S34" s="7">
        <v>2009</v>
      </c>
      <c r="T34" s="7" t="s">
        <v>577</v>
      </c>
      <c r="U34" s="7">
        <v>2009</v>
      </c>
      <c r="V34" s="7">
        <v>2009</v>
      </c>
      <c r="W34" s="7">
        <v>2011</v>
      </c>
      <c r="X34" s="7">
        <v>2004</v>
      </c>
      <c r="Y34" s="7">
        <v>2008</v>
      </c>
      <c r="Z34" s="7">
        <v>2011</v>
      </c>
      <c r="AA34" s="7">
        <v>2011</v>
      </c>
      <c r="AB34" s="7"/>
      <c r="AC34" s="7">
        <v>2011</v>
      </c>
      <c r="AD34" s="7">
        <v>2008</v>
      </c>
      <c r="AE34" s="7">
        <v>2000</v>
      </c>
    </row>
    <row r="35" spans="1:31">
      <c r="A35" s="4" t="s">
        <v>102</v>
      </c>
      <c r="B35" s="4" t="s">
        <v>101</v>
      </c>
      <c r="C35" s="7">
        <v>2007</v>
      </c>
      <c r="D35" s="7">
        <v>2006</v>
      </c>
      <c r="E35" s="7">
        <v>2009</v>
      </c>
      <c r="F35" s="7">
        <v>2011</v>
      </c>
      <c r="G35" s="7">
        <v>2011</v>
      </c>
      <c r="H35" s="7">
        <v>2011</v>
      </c>
      <c r="I35" s="7">
        <v>2011</v>
      </c>
      <c r="J35" s="7">
        <v>2011</v>
      </c>
      <c r="K35" s="7"/>
      <c r="L35" s="7">
        <v>2011</v>
      </c>
      <c r="M35" s="7">
        <v>2009</v>
      </c>
      <c r="N35" s="7">
        <v>2008</v>
      </c>
      <c r="O35" s="7">
        <v>2008</v>
      </c>
      <c r="P35" s="7">
        <v>2008</v>
      </c>
      <c r="Q35" s="7">
        <v>2009</v>
      </c>
      <c r="R35" s="7">
        <v>2011</v>
      </c>
      <c r="S35" s="7">
        <v>2009</v>
      </c>
      <c r="T35" s="7" t="s">
        <v>577</v>
      </c>
      <c r="U35" s="7">
        <v>2009</v>
      </c>
      <c r="V35" s="7">
        <v>2009</v>
      </c>
      <c r="W35" s="7"/>
      <c r="X35" s="7">
        <v>2001</v>
      </c>
      <c r="Y35" s="7">
        <v>2008</v>
      </c>
      <c r="Z35" s="7">
        <v>2011</v>
      </c>
      <c r="AA35" s="7">
        <v>2011</v>
      </c>
      <c r="AB35" s="7">
        <v>2011</v>
      </c>
      <c r="AC35" s="7">
        <v>2011</v>
      </c>
      <c r="AD35" s="7">
        <v>2008</v>
      </c>
      <c r="AE35" s="7">
        <v>2000</v>
      </c>
    </row>
    <row r="36" spans="1:31">
      <c r="A36" s="4" t="s">
        <v>104</v>
      </c>
      <c r="B36" s="4" t="s">
        <v>103</v>
      </c>
      <c r="C36" s="7">
        <v>2007</v>
      </c>
      <c r="D36" s="7">
        <v>2006</v>
      </c>
      <c r="E36" s="7">
        <v>2009</v>
      </c>
      <c r="F36" s="7">
        <v>2011</v>
      </c>
      <c r="G36" s="7">
        <v>2011</v>
      </c>
      <c r="H36" s="7"/>
      <c r="I36" s="7"/>
      <c r="J36" s="7">
        <v>2011</v>
      </c>
      <c r="K36" s="7"/>
      <c r="L36" s="7">
        <v>2011</v>
      </c>
      <c r="M36" s="7">
        <v>2009</v>
      </c>
      <c r="N36" s="7">
        <v>2008</v>
      </c>
      <c r="O36" s="7">
        <v>2008</v>
      </c>
      <c r="P36" s="7">
        <v>2004</v>
      </c>
      <c r="Q36" s="7">
        <v>2009</v>
      </c>
      <c r="R36" s="7">
        <v>2011</v>
      </c>
      <c r="S36" s="7">
        <v>2009</v>
      </c>
      <c r="T36" s="7" t="s">
        <v>577</v>
      </c>
      <c r="U36" s="7">
        <v>2009</v>
      </c>
      <c r="V36" s="7">
        <v>2009</v>
      </c>
      <c r="W36" s="7">
        <v>2011</v>
      </c>
      <c r="X36" s="7">
        <v>1998</v>
      </c>
      <c r="Y36" s="7">
        <v>2008</v>
      </c>
      <c r="Z36" s="7">
        <v>2011</v>
      </c>
      <c r="AA36" s="7">
        <v>2011</v>
      </c>
      <c r="AB36" s="7">
        <v>2011</v>
      </c>
      <c r="AC36" s="7">
        <v>2011</v>
      </c>
      <c r="AD36" s="7">
        <v>2008</v>
      </c>
      <c r="AE36" s="7">
        <v>2000</v>
      </c>
    </row>
    <row r="37" spans="1:31">
      <c r="A37" s="4" t="s">
        <v>106</v>
      </c>
      <c r="B37" s="4" t="s">
        <v>105</v>
      </c>
      <c r="C37" s="7">
        <v>2007</v>
      </c>
      <c r="D37" s="7">
        <v>2004</v>
      </c>
      <c r="E37" s="7">
        <v>2009</v>
      </c>
      <c r="F37" s="7">
        <v>2011</v>
      </c>
      <c r="G37" s="7">
        <v>2011</v>
      </c>
      <c r="H37" s="7"/>
      <c r="I37" s="7"/>
      <c r="J37" s="7">
        <v>2011</v>
      </c>
      <c r="K37" s="7"/>
      <c r="L37" s="7">
        <v>2011</v>
      </c>
      <c r="M37" s="7">
        <v>2009</v>
      </c>
      <c r="N37" s="7">
        <v>2008</v>
      </c>
      <c r="O37" s="7">
        <v>2008</v>
      </c>
      <c r="P37" s="7">
        <v>2004</v>
      </c>
      <c r="Q37" s="7">
        <v>2009</v>
      </c>
      <c r="R37" s="7">
        <v>2011</v>
      </c>
      <c r="S37" s="7">
        <v>2009</v>
      </c>
      <c r="T37" s="7" t="s">
        <v>577</v>
      </c>
      <c r="U37" s="7">
        <v>2009</v>
      </c>
      <c r="V37" s="7">
        <v>2009</v>
      </c>
      <c r="W37" s="7">
        <v>2011</v>
      </c>
      <c r="X37" s="7">
        <v>2000</v>
      </c>
      <c r="Y37" s="7">
        <v>2008</v>
      </c>
      <c r="Z37" s="7">
        <v>2011</v>
      </c>
      <c r="AA37" s="7">
        <v>2011</v>
      </c>
      <c r="AB37" s="7">
        <v>2011</v>
      </c>
      <c r="AC37" s="7">
        <v>2011</v>
      </c>
      <c r="AD37" s="7">
        <v>2008</v>
      </c>
      <c r="AE37" s="7">
        <v>2000</v>
      </c>
    </row>
    <row r="38" spans="1:31">
      <c r="A38" s="4" t="s">
        <v>108</v>
      </c>
      <c r="B38" s="4" t="s">
        <v>107</v>
      </c>
      <c r="C38" s="7">
        <v>2007</v>
      </c>
      <c r="D38" s="7"/>
      <c r="E38" s="7">
        <v>2009</v>
      </c>
      <c r="F38" s="7">
        <v>2011</v>
      </c>
      <c r="G38" s="7">
        <v>2011</v>
      </c>
      <c r="H38" s="7">
        <v>2011</v>
      </c>
      <c r="I38" s="7">
        <v>2011</v>
      </c>
      <c r="J38" s="7">
        <v>2011</v>
      </c>
      <c r="K38" s="7">
        <v>2008</v>
      </c>
      <c r="L38" s="7">
        <v>2011</v>
      </c>
      <c r="M38" s="7">
        <v>2009</v>
      </c>
      <c r="N38" s="7">
        <v>2008</v>
      </c>
      <c r="O38" s="7">
        <v>2008</v>
      </c>
      <c r="P38" s="7">
        <v>2003</v>
      </c>
      <c r="Q38" s="7">
        <v>2008</v>
      </c>
      <c r="R38" s="7">
        <v>2011</v>
      </c>
      <c r="S38" s="7">
        <v>2009</v>
      </c>
      <c r="T38" s="7" t="s">
        <v>577</v>
      </c>
      <c r="U38" s="7">
        <v>2009</v>
      </c>
      <c r="V38" s="7">
        <v>2009</v>
      </c>
      <c r="W38" s="7">
        <v>2011</v>
      </c>
      <c r="X38" s="7">
        <v>2001</v>
      </c>
      <c r="Y38" s="7">
        <v>2008</v>
      </c>
      <c r="Z38" s="7">
        <v>2011</v>
      </c>
      <c r="AA38" s="7">
        <v>2011</v>
      </c>
      <c r="AB38" s="7">
        <v>2011</v>
      </c>
      <c r="AC38" s="7">
        <v>2011</v>
      </c>
      <c r="AD38" s="7">
        <v>2008</v>
      </c>
      <c r="AE38" s="7">
        <v>2000</v>
      </c>
    </row>
    <row r="39" spans="1:31">
      <c r="A39" s="4" t="s">
        <v>110</v>
      </c>
      <c r="B39" s="4" t="s">
        <v>109</v>
      </c>
      <c r="C39" s="7">
        <v>2007</v>
      </c>
      <c r="D39" s="7">
        <v>2010</v>
      </c>
      <c r="E39" s="7">
        <v>2009</v>
      </c>
      <c r="F39" s="7">
        <v>2011</v>
      </c>
      <c r="G39" s="7">
        <v>2011</v>
      </c>
      <c r="H39" s="7">
        <v>2011</v>
      </c>
      <c r="I39" s="7">
        <v>2011</v>
      </c>
      <c r="J39" s="7">
        <v>2011</v>
      </c>
      <c r="K39" s="7">
        <v>2008</v>
      </c>
      <c r="L39" s="7">
        <v>2011</v>
      </c>
      <c r="M39" s="7">
        <v>2008</v>
      </c>
      <c r="N39" s="7">
        <v>2008</v>
      </c>
      <c r="O39" s="7">
        <v>2008</v>
      </c>
      <c r="P39" s="7">
        <v>2009</v>
      </c>
      <c r="Q39" s="7">
        <v>2009</v>
      </c>
      <c r="R39" s="7">
        <v>2011</v>
      </c>
      <c r="S39" s="7">
        <v>2009</v>
      </c>
      <c r="T39" s="7" t="s">
        <v>577</v>
      </c>
      <c r="U39" s="7">
        <v>2009</v>
      </c>
      <c r="V39" s="7">
        <v>2009</v>
      </c>
      <c r="W39" s="7">
        <v>2011</v>
      </c>
      <c r="X39" s="7">
        <v>2008</v>
      </c>
      <c r="Y39" s="7">
        <v>2008</v>
      </c>
      <c r="Z39" s="7">
        <v>2011</v>
      </c>
      <c r="AA39" s="7">
        <v>2011</v>
      </c>
      <c r="AB39" s="7">
        <v>2011</v>
      </c>
      <c r="AC39" s="7">
        <v>2011</v>
      </c>
      <c r="AD39" s="7">
        <v>2008</v>
      </c>
      <c r="AE39" s="7">
        <v>2005</v>
      </c>
    </row>
    <row r="40" spans="1:31">
      <c r="A40" s="4" t="s">
        <v>112</v>
      </c>
      <c r="B40" s="4" t="s">
        <v>111</v>
      </c>
      <c r="C40" s="7">
        <v>2007</v>
      </c>
      <c r="D40" s="7">
        <v>2005</v>
      </c>
      <c r="E40" s="7">
        <v>2009</v>
      </c>
      <c r="F40" s="7">
        <v>2011</v>
      </c>
      <c r="G40" s="7">
        <v>2011</v>
      </c>
      <c r="H40" s="7">
        <v>2011</v>
      </c>
      <c r="I40" s="7">
        <v>2011</v>
      </c>
      <c r="J40" s="7">
        <v>2011</v>
      </c>
      <c r="K40" s="7">
        <v>2008</v>
      </c>
      <c r="L40" s="7">
        <v>2011</v>
      </c>
      <c r="M40" s="7">
        <v>2009</v>
      </c>
      <c r="N40" s="7">
        <v>2008</v>
      </c>
      <c r="O40" s="7">
        <v>2008</v>
      </c>
      <c r="P40" s="7">
        <v>2002</v>
      </c>
      <c r="Q40" s="7">
        <v>2009</v>
      </c>
      <c r="R40" s="7">
        <v>2011</v>
      </c>
      <c r="S40" s="7">
        <v>2009</v>
      </c>
      <c r="T40" s="7" t="s">
        <v>577</v>
      </c>
      <c r="U40" s="7">
        <v>2009</v>
      </c>
      <c r="V40" s="7">
        <v>2009</v>
      </c>
      <c r="W40" s="7">
        <v>2011</v>
      </c>
      <c r="X40" s="7">
        <v>1999</v>
      </c>
      <c r="Y40" s="7">
        <v>2008</v>
      </c>
      <c r="Z40" s="7">
        <v>2011</v>
      </c>
      <c r="AA40" s="7">
        <v>2011</v>
      </c>
      <c r="AB40" s="7">
        <v>2011</v>
      </c>
      <c r="AC40" s="7">
        <v>2011</v>
      </c>
      <c r="AD40" s="7">
        <v>2008</v>
      </c>
      <c r="AE40" s="7">
        <v>2000</v>
      </c>
    </row>
    <row r="41" spans="1:31">
      <c r="A41" s="4" t="s">
        <v>114</v>
      </c>
      <c r="B41" s="4" t="s">
        <v>113</v>
      </c>
      <c r="C41" s="7">
        <v>2007</v>
      </c>
      <c r="D41" s="7">
        <v>2000</v>
      </c>
      <c r="E41" s="7">
        <v>2009</v>
      </c>
      <c r="F41" s="7">
        <v>2011</v>
      </c>
      <c r="G41" s="7">
        <v>2011</v>
      </c>
      <c r="H41" s="7">
        <v>2011</v>
      </c>
      <c r="I41" s="7">
        <v>2011</v>
      </c>
      <c r="J41" s="7">
        <v>2011</v>
      </c>
      <c r="K41" s="7"/>
      <c r="L41" s="7">
        <v>2011</v>
      </c>
      <c r="M41" s="7">
        <v>2009</v>
      </c>
      <c r="N41" s="7">
        <v>2008</v>
      </c>
      <c r="O41" s="7">
        <v>2008</v>
      </c>
      <c r="P41" s="7">
        <v>2004</v>
      </c>
      <c r="Q41" s="7">
        <v>2009</v>
      </c>
      <c r="R41" s="7">
        <v>2011</v>
      </c>
      <c r="S41" s="7">
        <v>2009</v>
      </c>
      <c r="T41" s="7" t="s">
        <v>577</v>
      </c>
      <c r="U41" s="7">
        <v>2009</v>
      </c>
      <c r="V41" s="7">
        <v>2009</v>
      </c>
      <c r="W41" s="7">
        <v>2011</v>
      </c>
      <c r="X41" s="7">
        <v>2001</v>
      </c>
      <c r="Y41" s="7">
        <v>2008</v>
      </c>
      <c r="Z41" s="7">
        <v>2011</v>
      </c>
      <c r="AA41" s="7">
        <v>2011</v>
      </c>
      <c r="AB41" s="7">
        <v>2011</v>
      </c>
      <c r="AC41" s="7">
        <v>2011</v>
      </c>
      <c r="AD41" s="7">
        <v>2008</v>
      </c>
      <c r="AE41" s="7">
        <v>2000</v>
      </c>
    </row>
    <row r="42" spans="1:31">
      <c r="A42" s="4" t="s">
        <v>116</v>
      </c>
      <c r="B42" s="4" t="s">
        <v>115</v>
      </c>
      <c r="C42" s="7">
        <v>2007</v>
      </c>
      <c r="D42" s="7">
        <v>2005</v>
      </c>
      <c r="E42" s="7">
        <v>2009</v>
      </c>
      <c r="F42" s="7">
        <v>2011</v>
      </c>
      <c r="G42" s="7">
        <v>2011</v>
      </c>
      <c r="H42" s="7">
        <v>2011</v>
      </c>
      <c r="I42" s="7">
        <v>2011</v>
      </c>
      <c r="J42" s="7">
        <v>2011</v>
      </c>
      <c r="K42" s="7">
        <v>2008</v>
      </c>
      <c r="L42" s="7">
        <v>2011</v>
      </c>
      <c r="M42" s="7">
        <v>2009</v>
      </c>
      <c r="N42" s="7">
        <v>2008</v>
      </c>
      <c r="O42" s="7">
        <v>2008</v>
      </c>
      <c r="P42" s="7">
        <v>2007</v>
      </c>
      <c r="Q42" s="7">
        <v>2009</v>
      </c>
      <c r="R42" s="7">
        <v>2011</v>
      </c>
      <c r="S42" s="7">
        <v>2009</v>
      </c>
      <c r="T42" s="7" t="s">
        <v>577</v>
      </c>
      <c r="U42" s="7">
        <v>2009</v>
      </c>
      <c r="V42" s="7">
        <v>2009</v>
      </c>
      <c r="W42" s="7">
        <v>2011</v>
      </c>
      <c r="X42" s="7">
        <v>2006</v>
      </c>
      <c r="Y42" s="7">
        <v>2008</v>
      </c>
      <c r="Z42" s="7">
        <v>2011</v>
      </c>
      <c r="AA42" s="7">
        <v>2011</v>
      </c>
      <c r="AB42" s="7">
        <v>2011</v>
      </c>
      <c r="AC42" s="7">
        <v>2011</v>
      </c>
      <c r="AD42" s="7">
        <v>2008</v>
      </c>
      <c r="AE42" s="7">
        <v>2000</v>
      </c>
    </row>
    <row r="43" spans="1:31">
      <c r="A43" s="4" t="s">
        <v>118</v>
      </c>
      <c r="B43" s="4" t="s">
        <v>117</v>
      </c>
      <c r="C43" s="7">
        <v>2007</v>
      </c>
      <c r="D43" s="7">
        <v>2007</v>
      </c>
      <c r="E43" s="7">
        <v>2009</v>
      </c>
      <c r="F43" s="7">
        <v>2011</v>
      </c>
      <c r="G43" s="7"/>
      <c r="H43" s="7">
        <v>2011</v>
      </c>
      <c r="I43" s="7">
        <v>2011</v>
      </c>
      <c r="J43" s="7"/>
      <c r="K43" s="7">
        <v>2008</v>
      </c>
      <c r="L43" s="7">
        <v>2011</v>
      </c>
      <c r="M43" s="7">
        <v>2009</v>
      </c>
      <c r="N43" s="7"/>
      <c r="O43" s="7">
        <v>2008</v>
      </c>
      <c r="P43" s="7">
        <v>2004</v>
      </c>
      <c r="Q43" s="7">
        <v>2009</v>
      </c>
      <c r="R43" s="7">
        <v>2011</v>
      </c>
      <c r="S43" s="7">
        <v>2009</v>
      </c>
      <c r="T43" s="7" t="s">
        <v>577</v>
      </c>
      <c r="U43" s="7">
        <v>2009</v>
      </c>
      <c r="V43" s="7">
        <v>2009</v>
      </c>
      <c r="W43" s="7"/>
      <c r="X43" s="7">
        <v>2004</v>
      </c>
      <c r="Y43" s="7"/>
      <c r="Z43" s="7">
        <v>2011</v>
      </c>
      <c r="AA43" s="7">
        <v>2011</v>
      </c>
      <c r="AB43" s="7">
        <v>2011</v>
      </c>
      <c r="AC43" s="7">
        <v>2011</v>
      </c>
      <c r="AD43" s="7"/>
      <c r="AE43" s="7">
        <v>2000</v>
      </c>
    </row>
    <row r="44" spans="1:31">
      <c r="A44" s="4" t="s">
        <v>120</v>
      </c>
      <c r="B44" s="4" t="s">
        <v>119</v>
      </c>
      <c r="C44" s="7">
        <v>2007</v>
      </c>
      <c r="D44" s="7">
        <v>2006</v>
      </c>
      <c r="E44" s="7">
        <v>2009</v>
      </c>
      <c r="F44" s="7">
        <v>2011</v>
      </c>
      <c r="G44" s="7">
        <v>2011</v>
      </c>
      <c r="H44" s="7">
        <v>2011</v>
      </c>
      <c r="I44" s="7">
        <v>2011</v>
      </c>
      <c r="J44" s="7">
        <v>2011</v>
      </c>
      <c r="K44" s="7">
        <v>2008</v>
      </c>
      <c r="L44" s="7">
        <v>2011</v>
      </c>
      <c r="M44" s="7">
        <v>2009</v>
      </c>
      <c r="N44" s="7">
        <v>2008</v>
      </c>
      <c r="O44" s="7">
        <v>2008</v>
      </c>
      <c r="P44" s="7">
        <v>2000</v>
      </c>
      <c r="Q44" s="7">
        <v>2005</v>
      </c>
      <c r="R44" s="7">
        <v>2011</v>
      </c>
      <c r="S44" s="7">
        <v>2009</v>
      </c>
      <c r="T44" s="7" t="s">
        <v>577</v>
      </c>
      <c r="U44" s="7">
        <v>2009</v>
      </c>
      <c r="V44" s="7">
        <v>2009</v>
      </c>
      <c r="W44" s="7">
        <v>2011</v>
      </c>
      <c r="X44" s="7">
        <v>2008</v>
      </c>
      <c r="Y44" s="7">
        <v>2008</v>
      </c>
      <c r="Z44" s="7">
        <v>2011</v>
      </c>
      <c r="AA44" s="7">
        <v>2011</v>
      </c>
      <c r="AB44" s="7">
        <v>2011</v>
      </c>
      <c r="AC44" s="7">
        <v>2011</v>
      </c>
      <c r="AD44" s="7">
        <v>2008</v>
      </c>
      <c r="AE44" s="7">
        <v>2000</v>
      </c>
    </row>
    <row r="45" spans="1:31">
      <c r="A45" s="4" t="s">
        <v>122</v>
      </c>
      <c r="B45" s="4" t="s">
        <v>121</v>
      </c>
      <c r="C45" s="7">
        <v>2007</v>
      </c>
      <c r="D45" s="7">
        <v>2006</v>
      </c>
      <c r="E45" s="7">
        <v>2009</v>
      </c>
      <c r="F45" s="7">
        <v>2011</v>
      </c>
      <c r="G45" s="7">
        <v>2011</v>
      </c>
      <c r="H45" s="7"/>
      <c r="I45" s="7"/>
      <c r="J45" s="7">
        <v>2011</v>
      </c>
      <c r="K45" s="7">
        <v>2008</v>
      </c>
      <c r="L45" s="7">
        <v>2011</v>
      </c>
      <c r="M45" s="7">
        <v>2009</v>
      </c>
      <c r="N45" s="7">
        <v>2008</v>
      </c>
      <c r="O45" s="7">
        <v>2008</v>
      </c>
      <c r="P45" s="7">
        <v>2008</v>
      </c>
      <c r="Q45" s="7">
        <v>2007</v>
      </c>
      <c r="R45" s="7">
        <v>2011</v>
      </c>
      <c r="S45" s="7">
        <v>2009</v>
      </c>
      <c r="T45" s="7" t="s">
        <v>577</v>
      </c>
      <c r="U45" s="7">
        <v>2009</v>
      </c>
      <c r="V45" s="7">
        <v>2009</v>
      </c>
      <c r="W45" s="7">
        <v>2011</v>
      </c>
      <c r="X45" s="7">
        <v>2007</v>
      </c>
      <c r="Y45" s="7">
        <v>2008</v>
      </c>
      <c r="Z45" s="7">
        <v>2011</v>
      </c>
      <c r="AA45" s="7">
        <v>2011</v>
      </c>
      <c r="AB45" s="7">
        <v>2011</v>
      </c>
      <c r="AC45" s="7">
        <v>2011</v>
      </c>
      <c r="AD45" s="7">
        <v>2008</v>
      </c>
      <c r="AE45" s="7">
        <v>2000</v>
      </c>
    </row>
    <row r="46" spans="1:31">
      <c r="A46" s="4" t="s">
        <v>124</v>
      </c>
      <c r="B46" s="4" t="s">
        <v>123</v>
      </c>
      <c r="C46" s="7">
        <v>2007</v>
      </c>
      <c r="D46" s="7"/>
      <c r="E46" s="7">
        <v>2009</v>
      </c>
      <c r="F46" s="7">
        <v>2011</v>
      </c>
      <c r="G46" s="7">
        <v>2011</v>
      </c>
      <c r="H46" s="7">
        <v>2011</v>
      </c>
      <c r="I46" s="7">
        <v>2011</v>
      </c>
      <c r="J46" s="7">
        <v>2011</v>
      </c>
      <c r="K46" s="7">
        <v>2008</v>
      </c>
      <c r="L46" s="7">
        <v>2011</v>
      </c>
      <c r="M46" s="7">
        <v>2008</v>
      </c>
      <c r="N46" s="7">
        <v>2008</v>
      </c>
      <c r="O46" s="7">
        <v>2008</v>
      </c>
      <c r="P46" s="7">
        <v>2007</v>
      </c>
      <c r="Q46" s="7">
        <v>2009</v>
      </c>
      <c r="R46" s="7">
        <v>2011</v>
      </c>
      <c r="S46" s="7">
        <v>2009</v>
      </c>
      <c r="T46" s="7" t="s">
        <v>577</v>
      </c>
      <c r="U46" s="7">
        <v>2009</v>
      </c>
      <c r="V46" s="7">
        <v>2009</v>
      </c>
      <c r="W46" s="7">
        <v>2011</v>
      </c>
      <c r="X46" s="7">
        <v>2008</v>
      </c>
      <c r="Y46" s="7">
        <v>2008</v>
      </c>
      <c r="Z46" s="7">
        <v>2011</v>
      </c>
      <c r="AA46" s="7">
        <v>2011</v>
      </c>
      <c r="AB46" s="7"/>
      <c r="AC46" s="7">
        <v>2011</v>
      </c>
      <c r="AD46" s="7">
        <v>2008</v>
      </c>
      <c r="AE46" s="7">
        <v>2010</v>
      </c>
    </row>
    <row r="47" spans="1:31">
      <c r="A47" s="4" t="s">
        <v>126</v>
      </c>
      <c r="B47" s="4" t="s">
        <v>125</v>
      </c>
      <c r="C47" s="7">
        <v>2007</v>
      </c>
      <c r="D47" s="7">
        <v>2010</v>
      </c>
      <c r="E47" s="7">
        <v>2009</v>
      </c>
      <c r="F47" s="7">
        <v>2011</v>
      </c>
      <c r="G47" s="7">
        <v>2011</v>
      </c>
      <c r="H47" s="7">
        <v>2011</v>
      </c>
      <c r="I47" s="7">
        <v>2011</v>
      </c>
      <c r="J47" s="7">
        <v>2011</v>
      </c>
      <c r="K47" s="7">
        <v>2008</v>
      </c>
      <c r="L47" s="7">
        <v>2011</v>
      </c>
      <c r="M47" s="7">
        <v>2009</v>
      </c>
      <c r="N47" s="7">
        <v>2008</v>
      </c>
      <c r="O47" s="7">
        <v>2008</v>
      </c>
      <c r="P47" s="7">
        <v>2007</v>
      </c>
      <c r="Q47" s="7">
        <v>2009</v>
      </c>
      <c r="R47" s="7">
        <v>2011</v>
      </c>
      <c r="S47" s="7">
        <v>2009</v>
      </c>
      <c r="T47" s="7" t="s">
        <v>577</v>
      </c>
      <c r="U47" s="7">
        <v>2009</v>
      </c>
      <c r="V47" s="7">
        <v>2009</v>
      </c>
      <c r="W47" s="7">
        <v>2011</v>
      </c>
      <c r="X47" s="7">
        <v>2001</v>
      </c>
      <c r="Y47" s="7">
        <v>2008</v>
      </c>
      <c r="Z47" s="7">
        <v>2011</v>
      </c>
      <c r="AA47" s="7">
        <v>2011</v>
      </c>
      <c r="AB47" s="7">
        <v>2011</v>
      </c>
      <c r="AC47" s="7">
        <v>2011</v>
      </c>
      <c r="AD47" s="7">
        <v>2008</v>
      </c>
      <c r="AE47" s="7">
        <v>2000</v>
      </c>
    </row>
    <row r="48" spans="1:31">
      <c r="A48" s="4" t="s">
        <v>128</v>
      </c>
      <c r="B48" s="4" t="s">
        <v>127</v>
      </c>
      <c r="C48" s="7">
        <v>2007</v>
      </c>
      <c r="D48" s="7"/>
      <c r="E48" s="7">
        <v>2009</v>
      </c>
      <c r="F48" s="7">
        <v>2011</v>
      </c>
      <c r="G48" s="7">
        <v>2011</v>
      </c>
      <c r="H48" s="7">
        <v>2011</v>
      </c>
      <c r="I48" s="7">
        <v>2011</v>
      </c>
      <c r="J48" s="7">
        <v>2011</v>
      </c>
      <c r="K48" s="7">
        <v>2008</v>
      </c>
      <c r="L48" s="7">
        <v>2011</v>
      </c>
      <c r="M48" s="7">
        <v>2005</v>
      </c>
      <c r="N48" s="7">
        <v>2008</v>
      </c>
      <c r="O48" s="7">
        <v>2008</v>
      </c>
      <c r="P48" s="7">
        <v>2006</v>
      </c>
      <c r="Q48" s="7">
        <v>2008</v>
      </c>
      <c r="R48" s="7">
        <v>2011</v>
      </c>
      <c r="S48" s="7">
        <v>2009</v>
      </c>
      <c r="T48" s="7" t="s">
        <v>577</v>
      </c>
      <c r="U48" s="7">
        <v>2009</v>
      </c>
      <c r="V48" s="7">
        <v>2009</v>
      </c>
      <c r="W48" s="7">
        <v>2011</v>
      </c>
      <c r="X48" s="7">
        <v>2008</v>
      </c>
      <c r="Y48" s="7">
        <v>2008</v>
      </c>
      <c r="Z48" s="7">
        <v>2011</v>
      </c>
      <c r="AA48" s="7">
        <v>2011</v>
      </c>
      <c r="AB48" s="7">
        <v>2011</v>
      </c>
      <c r="AC48" s="7">
        <v>2011</v>
      </c>
      <c r="AD48" s="7">
        <v>2008</v>
      </c>
      <c r="AE48" s="7">
        <v>2010</v>
      </c>
    </row>
    <row r="49" spans="1:31">
      <c r="A49" s="4" t="s">
        <v>130</v>
      </c>
      <c r="B49" s="4" t="s">
        <v>129</v>
      </c>
      <c r="C49" s="7">
        <v>2007</v>
      </c>
      <c r="D49" s="7"/>
      <c r="E49" s="7">
        <v>2009</v>
      </c>
      <c r="F49" s="7">
        <v>2011</v>
      </c>
      <c r="G49" s="7">
        <v>2011</v>
      </c>
      <c r="H49" s="7"/>
      <c r="I49" s="7"/>
      <c r="J49" s="7">
        <v>2011</v>
      </c>
      <c r="K49" s="7">
        <v>2009</v>
      </c>
      <c r="L49" s="7">
        <v>2011</v>
      </c>
      <c r="M49" s="7">
        <v>2009</v>
      </c>
      <c r="N49" s="7">
        <v>2008</v>
      </c>
      <c r="O49" s="7">
        <v>2008</v>
      </c>
      <c r="P49" s="7">
        <v>2008</v>
      </c>
      <c r="Q49" s="7">
        <v>2008</v>
      </c>
      <c r="R49" s="7">
        <v>2011</v>
      </c>
      <c r="S49" s="7">
        <v>2009</v>
      </c>
      <c r="T49" s="7" t="s">
        <v>577</v>
      </c>
      <c r="U49" s="7">
        <v>2009</v>
      </c>
      <c r="V49" s="7">
        <v>2009</v>
      </c>
      <c r="W49" s="7">
        <v>2011</v>
      </c>
      <c r="X49" s="7">
        <v>2004</v>
      </c>
      <c r="Y49" s="7">
        <v>2008</v>
      </c>
      <c r="Z49" s="7">
        <v>2011</v>
      </c>
      <c r="AA49" s="7">
        <v>2011</v>
      </c>
      <c r="AB49" s="7">
        <v>2011</v>
      </c>
      <c r="AC49" s="7">
        <v>2011</v>
      </c>
      <c r="AD49" s="7">
        <v>2008</v>
      </c>
      <c r="AE49" s="7">
        <v>2010</v>
      </c>
    </row>
    <row r="50" spans="1:31">
      <c r="A50" s="4" t="s">
        <v>132</v>
      </c>
      <c r="B50" s="4" t="s">
        <v>131</v>
      </c>
      <c r="C50" s="7">
        <v>2007</v>
      </c>
      <c r="D50" s="7"/>
      <c r="E50" s="7">
        <v>2009</v>
      </c>
      <c r="F50" s="7">
        <v>2011</v>
      </c>
      <c r="G50" s="7">
        <v>2011</v>
      </c>
      <c r="H50" s="7">
        <v>2011</v>
      </c>
      <c r="I50" s="7">
        <v>2011</v>
      </c>
      <c r="J50" s="7">
        <v>2011</v>
      </c>
      <c r="K50" s="7">
        <v>2009</v>
      </c>
      <c r="L50" s="7">
        <v>2011</v>
      </c>
      <c r="M50" s="7">
        <v>2009</v>
      </c>
      <c r="N50" s="7">
        <v>2008</v>
      </c>
      <c r="O50" s="7">
        <v>2008</v>
      </c>
      <c r="P50" s="7">
        <v>2007</v>
      </c>
      <c r="Q50" s="7">
        <v>2008</v>
      </c>
      <c r="R50" s="7">
        <v>2011</v>
      </c>
      <c r="S50" s="7">
        <v>2009</v>
      </c>
      <c r="T50" s="7" t="s">
        <v>577</v>
      </c>
      <c r="U50" s="7">
        <v>2009</v>
      </c>
      <c r="V50" s="7">
        <v>2009</v>
      </c>
      <c r="W50" s="7"/>
      <c r="X50" s="7">
        <v>2008</v>
      </c>
      <c r="Y50" s="7">
        <v>2008</v>
      </c>
      <c r="Z50" s="7">
        <v>2011</v>
      </c>
      <c r="AA50" s="7">
        <v>2011</v>
      </c>
      <c r="AB50" s="7">
        <v>2011</v>
      </c>
      <c r="AC50" s="7">
        <v>2011</v>
      </c>
      <c r="AD50" s="7">
        <v>2008</v>
      </c>
      <c r="AE50" s="7">
        <v>2010</v>
      </c>
    </row>
    <row r="51" spans="1:31">
      <c r="A51" s="4" t="s">
        <v>134</v>
      </c>
      <c r="B51" s="4" t="s">
        <v>133</v>
      </c>
      <c r="C51" s="7">
        <v>2007</v>
      </c>
      <c r="D51" s="7">
        <v>2007</v>
      </c>
      <c r="E51" s="7">
        <v>2009</v>
      </c>
      <c r="F51" s="7">
        <v>2011</v>
      </c>
      <c r="G51" s="7">
        <v>2011</v>
      </c>
      <c r="H51" s="7">
        <v>2011</v>
      </c>
      <c r="I51" s="7">
        <v>2011</v>
      </c>
      <c r="J51" s="7">
        <v>2011</v>
      </c>
      <c r="K51" s="7"/>
      <c r="L51" s="7">
        <v>2011</v>
      </c>
      <c r="M51" s="7">
        <v>2009</v>
      </c>
      <c r="N51" s="7">
        <v>2008</v>
      </c>
      <c r="O51" s="7">
        <v>2008</v>
      </c>
      <c r="P51" s="7">
        <v>2005</v>
      </c>
      <c r="Q51" s="7">
        <v>2009</v>
      </c>
      <c r="R51" s="7">
        <v>2011</v>
      </c>
      <c r="S51" s="7">
        <v>2009</v>
      </c>
      <c r="T51" s="7" t="s">
        <v>577</v>
      </c>
      <c r="U51" s="7">
        <v>2009</v>
      </c>
      <c r="V51" s="7">
        <v>2009</v>
      </c>
      <c r="W51" s="7">
        <v>2011</v>
      </c>
      <c r="X51" s="7">
        <v>2001</v>
      </c>
      <c r="Y51" s="7">
        <v>2008</v>
      </c>
      <c r="Z51" s="7">
        <v>2011</v>
      </c>
      <c r="AA51" s="7">
        <v>2011</v>
      </c>
      <c r="AB51" s="7">
        <v>2011</v>
      </c>
      <c r="AC51" s="7">
        <v>2011</v>
      </c>
      <c r="AD51" s="7">
        <v>2008</v>
      </c>
      <c r="AE51" s="7">
        <v>2000</v>
      </c>
    </row>
    <row r="52" spans="1:31">
      <c r="A52" s="4" t="s">
        <v>136</v>
      </c>
      <c r="B52" s="4" t="s">
        <v>135</v>
      </c>
      <c r="C52" s="7">
        <v>2007</v>
      </c>
      <c r="D52" s="7"/>
      <c r="E52" s="7">
        <v>2009</v>
      </c>
      <c r="F52" s="7">
        <v>2011</v>
      </c>
      <c r="G52" s="7">
        <v>2011</v>
      </c>
      <c r="H52" s="7">
        <v>2011</v>
      </c>
      <c r="I52" s="7">
        <v>2011</v>
      </c>
      <c r="J52" s="7">
        <v>2011</v>
      </c>
      <c r="K52" s="7"/>
      <c r="L52" s="7">
        <v>2011</v>
      </c>
      <c r="M52" s="7">
        <v>2009</v>
      </c>
      <c r="N52" s="7">
        <v>2002</v>
      </c>
      <c r="O52" s="7"/>
      <c r="P52" s="7">
        <v>1997</v>
      </c>
      <c r="Q52" s="7">
        <v>2008</v>
      </c>
      <c r="R52" s="7">
        <v>2011</v>
      </c>
      <c r="S52" s="7">
        <v>2009</v>
      </c>
      <c r="T52" s="7" t="s">
        <v>577</v>
      </c>
      <c r="U52" s="7">
        <v>2009</v>
      </c>
      <c r="V52" s="7">
        <v>2009</v>
      </c>
      <c r="W52" s="7">
        <v>2011</v>
      </c>
      <c r="X52" s="7">
        <v>2001</v>
      </c>
      <c r="Y52" s="7">
        <v>2005</v>
      </c>
      <c r="Z52" s="7">
        <v>2011</v>
      </c>
      <c r="AA52" s="7">
        <v>2011</v>
      </c>
      <c r="AB52" s="7"/>
      <c r="AC52" s="7">
        <v>2011</v>
      </c>
      <c r="AD52" s="7">
        <v>2005</v>
      </c>
      <c r="AE52" s="7"/>
    </row>
    <row r="53" spans="1:31">
      <c r="A53" s="4" t="s">
        <v>138</v>
      </c>
      <c r="B53" s="4" t="s">
        <v>137</v>
      </c>
      <c r="C53" s="7">
        <v>2007</v>
      </c>
      <c r="D53" s="7">
        <v>2007</v>
      </c>
      <c r="E53" s="7">
        <v>2009</v>
      </c>
      <c r="F53" s="7">
        <v>2011</v>
      </c>
      <c r="G53" s="7">
        <v>2011</v>
      </c>
      <c r="H53" s="7">
        <v>2011</v>
      </c>
      <c r="I53" s="7">
        <v>2011</v>
      </c>
      <c r="J53" s="7">
        <v>2011</v>
      </c>
      <c r="K53" s="7">
        <v>2008</v>
      </c>
      <c r="L53" s="7">
        <v>2011</v>
      </c>
      <c r="M53" s="7">
        <v>2009</v>
      </c>
      <c r="N53" s="7">
        <v>2008</v>
      </c>
      <c r="O53" s="7">
        <v>2008</v>
      </c>
      <c r="P53" s="7">
        <v>2000</v>
      </c>
      <c r="Q53" s="7">
        <v>2004</v>
      </c>
      <c r="R53" s="7">
        <v>2011</v>
      </c>
      <c r="S53" s="7">
        <v>2009</v>
      </c>
      <c r="T53" s="7" t="s">
        <v>577</v>
      </c>
      <c r="U53" s="7">
        <v>2009</v>
      </c>
      <c r="V53" s="7">
        <v>2009</v>
      </c>
      <c r="W53" s="7">
        <v>2011</v>
      </c>
      <c r="X53" s="7">
        <v>2001</v>
      </c>
      <c r="Y53" s="7">
        <v>2008</v>
      </c>
      <c r="Z53" s="7">
        <v>2011</v>
      </c>
      <c r="AA53" s="7">
        <v>2011</v>
      </c>
      <c r="AB53" s="7">
        <v>2011</v>
      </c>
      <c r="AC53" s="7">
        <v>2011</v>
      </c>
      <c r="AD53" s="7">
        <v>2008</v>
      </c>
      <c r="AE53" s="7">
        <v>2000</v>
      </c>
    </row>
    <row r="54" spans="1:31">
      <c r="A54" s="4" t="s">
        <v>140</v>
      </c>
      <c r="B54" s="4" t="s">
        <v>139</v>
      </c>
      <c r="C54" s="7">
        <v>2007</v>
      </c>
      <c r="D54" s="7">
        <v>2004</v>
      </c>
      <c r="E54" s="7">
        <v>2009</v>
      </c>
      <c r="F54" s="7">
        <v>2011</v>
      </c>
      <c r="G54" s="7">
        <v>2011</v>
      </c>
      <c r="H54" s="7">
        <v>2011</v>
      </c>
      <c r="I54" s="7">
        <v>2011</v>
      </c>
      <c r="J54" s="7">
        <v>2011</v>
      </c>
      <c r="K54" s="7">
        <v>2008</v>
      </c>
      <c r="L54" s="7">
        <v>2011</v>
      </c>
      <c r="M54" s="7">
        <v>2009</v>
      </c>
      <c r="N54" s="7">
        <v>2008</v>
      </c>
      <c r="O54" s="7">
        <v>2008</v>
      </c>
      <c r="P54" s="7">
        <v>2000</v>
      </c>
      <c r="Q54" s="7">
        <v>2008</v>
      </c>
      <c r="R54" s="7">
        <v>2011</v>
      </c>
      <c r="S54" s="7">
        <v>2009</v>
      </c>
      <c r="T54" s="7" t="s">
        <v>577</v>
      </c>
      <c r="U54" s="7">
        <v>2009</v>
      </c>
      <c r="V54" s="7">
        <v>2009</v>
      </c>
      <c r="W54" s="7">
        <v>2011</v>
      </c>
      <c r="X54" s="7">
        <v>2007</v>
      </c>
      <c r="Y54" s="7">
        <v>2008</v>
      </c>
      <c r="Z54" s="7">
        <v>2011</v>
      </c>
      <c r="AA54" s="7">
        <v>2011</v>
      </c>
      <c r="AB54" s="7">
        <v>2011</v>
      </c>
      <c r="AC54" s="7">
        <v>2011</v>
      </c>
      <c r="AD54" s="7">
        <v>2008</v>
      </c>
      <c r="AE54" s="7">
        <v>2000</v>
      </c>
    </row>
    <row r="55" spans="1:31">
      <c r="A55" s="4" t="s">
        <v>142</v>
      </c>
      <c r="B55" s="4" t="s">
        <v>141</v>
      </c>
      <c r="C55" s="7">
        <v>2007</v>
      </c>
      <c r="D55" s="7">
        <v>2008</v>
      </c>
      <c r="E55" s="7">
        <v>2009</v>
      </c>
      <c r="F55" s="7">
        <v>2011</v>
      </c>
      <c r="G55" s="7">
        <v>2011</v>
      </c>
      <c r="H55" s="7">
        <v>2011</v>
      </c>
      <c r="I55" s="7">
        <v>2011</v>
      </c>
      <c r="J55" s="7">
        <v>2011</v>
      </c>
      <c r="K55" s="7">
        <v>2008</v>
      </c>
      <c r="L55" s="7">
        <v>2011</v>
      </c>
      <c r="M55" s="7">
        <v>2009</v>
      </c>
      <c r="N55" s="7">
        <v>2008</v>
      </c>
      <c r="O55" s="7">
        <v>2008</v>
      </c>
      <c r="P55" s="7">
        <v>2009</v>
      </c>
      <c r="Q55" s="7">
        <v>2008</v>
      </c>
      <c r="R55" s="7">
        <v>2011</v>
      </c>
      <c r="S55" s="7">
        <v>2009</v>
      </c>
      <c r="T55" s="7" t="s">
        <v>577</v>
      </c>
      <c r="U55" s="7">
        <v>2009</v>
      </c>
      <c r="V55" s="7">
        <v>2009</v>
      </c>
      <c r="W55" s="7">
        <v>2011</v>
      </c>
      <c r="X55" s="7">
        <v>2008</v>
      </c>
      <c r="Y55" s="7">
        <v>2008</v>
      </c>
      <c r="Z55" s="7">
        <v>2011</v>
      </c>
      <c r="AA55" s="7">
        <v>2011</v>
      </c>
      <c r="AB55" s="7">
        <v>2011</v>
      </c>
      <c r="AC55" s="7">
        <v>2011</v>
      </c>
      <c r="AD55" s="7">
        <v>2008</v>
      </c>
      <c r="AE55" s="7">
        <v>2000</v>
      </c>
    </row>
    <row r="56" spans="1:31">
      <c r="A56" s="4" t="s">
        <v>144</v>
      </c>
      <c r="B56" s="4" t="s">
        <v>143</v>
      </c>
      <c r="C56" s="7">
        <v>2007</v>
      </c>
      <c r="D56" s="7">
        <v>2003</v>
      </c>
      <c r="E56" s="7">
        <v>2009</v>
      </c>
      <c r="F56" s="7">
        <v>2011</v>
      </c>
      <c r="G56" s="7">
        <v>2011</v>
      </c>
      <c r="H56" s="7">
        <v>2011</v>
      </c>
      <c r="I56" s="7">
        <v>2011</v>
      </c>
      <c r="J56" s="7">
        <v>2011</v>
      </c>
      <c r="K56" s="7">
        <v>2008</v>
      </c>
      <c r="L56" s="7">
        <v>2011</v>
      </c>
      <c r="M56" s="7">
        <v>2009</v>
      </c>
      <c r="N56" s="7">
        <v>2008</v>
      </c>
      <c r="O56" s="7">
        <v>2008</v>
      </c>
      <c r="P56" s="7">
        <v>2008</v>
      </c>
      <c r="Q56" s="7">
        <v>2008</v>
      </c>
      <c r="R56" s="7">
        <v>2011</v>
      </c>
      <c r="S56" s="7">
        <v>2009</v>
      </c>
      <c r="T56" s="7" t="s">
        <v>577</v>
      </c>
      <c r="U56" s="7">
        <v>2009</v>
      </c>
      <c r="V56" s="7">
        <v>2009</v>
      </c>
      <c r="W56" s="7">
        <v>2011</v>
      </c>
      <c r="X56" s="7">
        <v>2001</v>
      </c>
      <c r="Y56" s="7">
        <v>2008</v>
      </c>
      <c r="Z56" s="7">
        <v>2011</v>
      </c>
      <c r="AA56" s="7">
        <v>2011</v>
      </c>
      <c r="AB56" s="7">
        <v>2011</v>
      </c>
      <c r="AC56" s="7">
        <v>2011</v>
      </c>
      <c r="AD56" s="7">
        <v>2008</v>
      </c>
      <c r="AE56" s="7">
        <v>2000</v>
      </c>
    </row>
    <row r="57" spans="1:31">
      <c r="A57" s="4" t="s">
        <v>146</v>
      </c>
      <c r="B57" s="4" t="s">
        <v>145</v>
      </c>
      <c r="C57" s="7"/>
      <c r="D57" s="7">
        <v>2010</v>
      </c>
      <c r="E57" s="7">
        <v>2009</v>
      </c>
      <c r="F57" s="7">
        <v>2011</v>
      </c>
      <c r="G57" s="7">
        <v>2011</v>
      </c>
      <c r="H57" s="7"/>
      <c r="I57" s="7"/>
      <c r="J57" s="7">
        <v>2011</v>
      </c>
      <c r="K57" s="7"/>
      <c r="L57" s="7">
        <v>2011</v>
      </c>
      <c r="M57" s="7">
        <v>2009</v>
      </c>
      <c r="N57" s="7">
        <v>2008</v>
      </c>
      <c r="O57" s="7">
        <v>2008</v>
      </c>
      <c r="P57" s="7">
        <v>2004</v>
      </c>
      <c r="Q57" s="7">
        <v>2000</v>
      </c>
      <c r="R57" s="7">
        <v>2011</v>
      </c>
      <c r="S57" s="7">
        <v>2009</v>
      </c>
      <c r="T57" s="7" t="s">
        <v>577</v>
      </c>
      <c r="U57" s="7">
        <v>2009</v>
      </c>
      <c r="V57" s="7">
        <v>2009</v>
      </c>
      <c r="W57" s="7"/>
      <c r="X57" s="7"/>
      <c r="Y57" s="7">
        <v>2005</v>
      </c>
      <c r="Z57" s="7">
        <v>2011</v>
      </c>
      <c r="AA57" s="7">
        <v>2011</v>
      </c>
      <c r="AB57" s="7">
        <v>2011</v>
      </c>
      <c r="AC57" s="7">
        <v>2011</v>
      </c>
      <c r="AD57" s="7">
        <v>2005</v>
      </c>
      <c r="AE57" s="7">
        <v>2000</v>
      </c>
    </row>
    <row r="58" spans="1:31">
      <c r="A58" s="4" t="s">
        <v>148</v>
      </c>
      <c r="B58" s="4" t="s">
        <v>147</v>
      </c>
      <c r="C58" s="7">
        <v>2007</v>
      </c>
      <c r="D58" s="7">
        <v>2002</v>
      </c>
      <c r="E58" s="7">
        <v>2009</v>
      </c>
      <c r="F58" s="7">
        <v>2011</v>
      </c>
      <c r="G58" s="7">
        <v>2011</v>
      </c>
      <c r="H58" s="7">
        <v>2011</v>
      </c>
      <c r="I58" s="7">
        <v>2011</v>
      </c>
      <c r="J58" s="7">
        <v>2011</v>
      </c>
      <c r="K58" s="7">
        <v>2008</v>
      </c>
      <c r="L58" s="7">
        <v>2011</v>
      </c>
      <c r="M58" s="7">
        <v>2009</v>
      </c>
      <c r="N58" s="7">
        <v>2008</v>
      </c>
      <c r="O58" s="7">
        <v>2008</v>
      </c>
      <c r="P58" s="7">
        <v>2004</v>
      </c>
      <c r="Q58" s="7">
        <v>2009</v>
      </c>
      <c r="R58" s="7">
        <v>2011</v>
      </c>
      <c r="S58" s="7">
        <v>2009</v>
      </c>
      <c r="T58" s="7" t="s">
        <v>577</v>
      </c>
      <c r="U58" s="7">
        <v>2009</v>
      </c>
      <c r="V58" s="7">
        <v>2009</v>
      </c>
      <c r="W58" s="7">
        <v>2011</v>
      </c>
      <c r="X58" s="7">
        <v>2001</v>
      </c>
      <c r="Y58" s="7">
        <v>2008</v>
      </c>
      <c r="Z58" s="7">
        <v>2011</v>
      </c>
      <c r="AA58" s="7">
        <v>2011</v>
      </c>
      <c r="AB58" s="7">
        <v>2011</v>
      </c>
      <c r="AC58" s="7">
        <v>2011</v>
      </c>
      <c r="AD58" s="7">
        <v>2008</v>
      </c>
      <c r="AE58" s="7">
        <v>2005</v>
      </c>
    </row>
    <row r="59" spans="1:31">
      <c r="A59" s="4" t="s">
        <v>150</v>
      </c>
      <c r="B59" s="4" t="s">
        <v>149</v>
      </c>
      <c r="C59" s="7">
        <v>2007</v>
      </c>
      <c r="D59" s="7"/>
      <c r="E59" s="7">
        <v>2009</v>
      </c>
      <c r="F59" s="7">
        <v>2011</v>
      </c>
      <c r="G59" s="7">
        <v>2011</v>
      </c>
      <c r="H59" s="7">
        <v>2011</v>
      </c>
      <c r="I59" s="7">
        <v>2011</v>
      </c>
      <c r="J59" s="7">
        <v>2011</v>
      </c>
      <c r="K59" s="7">
        <v>2008</v>
      </c>
      <c r="L59" s="7">
        <v>2011</v>
      </c>
      <c r="M59" s="7">
        <v>2009</v>
      </c>
      <c r="N59" s="7">
        <v>2008</v>
      </c>
      <c r="O59" s="7">
        <v>2008</v>
      </c>
      <c r="P59" s="7">
        <v>2008</v>
      </c>
      <c r="Q59" s="7">
        <v>2008</v>
      </c>
      <c r="R59" s="7">
        <v>2011</v>
      </c>
      <c r="S59" s="7">
        <v>2009</v>
      </c>
      <c r="T59" s="7" t="s">
        <v>577</v>
      </c>
      <c r="U59" s="7">
        <v>2009</v>
      </c>
      <c r="V59" s="7">
        <v>2009</v>
      </c>
      <c r="W59" s="7"/>
      <c r="X59" s="7">
        <v>2008</v>
      </c>
      <c r="Y59" s="7">
        <v>2008</v>
      </c>
      <c r="Z59" s="7">
        <v>2011</v>
      </c>
      <c r="AA59" s="7">
        <v>2011</v>
      </c>
      <c r="AB59" s="7"/>
      <c r="AC59" s="7">
        <v>2011</v>
      </c>
      <c r="AD59" s="7">
        <v>2008</v>
      </c>
      <c r="AE59" s="7">
        <v>2005</v>
      </c>
    </row>
    <row r="60" spans="1:31">
      <c r="A60" s="4" t="s">
        <v>152</v>
      </c>
      <c r="B60" s="4" t="s">
        <v>151</v>
      </c>
      <c r="C60" s="7">
        <v>2007</v>
      </c>
      <c r="D60" s="7">
        <v>2005</v>
      </c>
      <c r="E60" s="7">
        <v>2009</v>
      </c>
      <c r="F60" s="7">
        <v>2011</v>
      </c>
      <c r="G60" s="7">
        <v>2011</v>
      </c>
      <c r="H60" s="7">
        <v>2011</v>
      </c>
      <c r="I60" s="7">
        <v>2011</v>
      </c>
      <c r="J60" s="7">
        <v>2011</v>
      </c>
      <c r="K60" s="7">
        <v>2008</v>
      </c>
      <c r="L60" s="7">
        <v>2011</v>
      </c>
      <c r="M60" s="7">
        <v>2009</v>
      </c>
      <c r="N60" s="7">
        <v>2008</v>
      </c>
      <c r="O60" s="7">
        <v>2008</v>
      </c>
      <c r="P60" s="7">
        <v>2007</v>
      </c>
      <c r="Q60" s="7">
        <v>2008</v>
      </c>
      <c r="R60" s="7">
        <v>2011</v>
      </c>
      <c r="S60" s="7">
        <v>2009</v>
      </c>
      <c r="T60" s="7" t="s">
        <v>577</v>
      </c>
      <c r="U60" s="7">
        <v>2009</v>
      </c>
      <c r="V60" s="7">
        <v>2009</v>
      </c>
      <c r="W60" s="7">
        <v>2011</v>
      </c>
      <c r="X60" s="7">
        <v>2007</v>
      </c>
      <c r="Y60" s="7">
        <v>2008</v>
      </c>
      <c r="Z60" s="7">
        <v>2011</v>
      </c>
      <c r="AA60" s="7">
        <v>2011</v>
      </c>
      <c r="AB60" s="7">
        <v>2011</v>
      </c>
      <c r="AC60" s="7">
        <v>2011</v>
      </c>
      <c r="AD60" s="7">
        <v>2008</v>
      </c>
      <c r="AE60" s="7">
        <v>2000</v>
      </c>
    </row>
    <row r="61" spans="1:31">
      <c r="A61" s="4" t="s">
        <v>154</v>
      </c>
      <c r="B61" s="4" t="s">
        <v>153</v>
      </c>
      <c r="C61" s="7">
        <v>2007</v>
      </c>
      <c r="D61" s="7"/>
      <c r="E61" s="7">
        <v>2009</v>
      </c>
      <c r="F61" s="7">
        <v>2011</v>
      </c>
      <c r="G61" s="7">
        <v>2011</v>
      </c>
      <c r="H61" s="7">
        <v>2011</v>
      </c>
      <c r="I61" s="7">
        <v>2011</v>
      </c>
      <c r="J61" s="7">
        <v>2011</v>
      </c>
      <c r="K61" s="7"/>
      <c r="L61" s="7">
        <v>2011</v>
      </c>
      <c r="M61" s="7">
        <v>2009</v>
      </c>
      <c r="N61" s="7">
        <v>2008</v>
      </c>
      <c r="O61" s="7">
        <v>2008</v>
      </c>
      <c r="P61" s="7">
        <v>2003</v>
      </c>
      <c r="Q61" s="7">
        <v>2005</v>
      </c>
      <c r="R61" s="7">
        <v>2011</v>
      </c>
      <c r="S61" s="7">
        <v>2009</v>
      </c>
      <c r="T61" s="7" t="s">
        <v>577</v>
      </c>
      <c r="U61" s="7">
        <v>2009</v>
      </c>
      <c r="V61" s="7">
        <v>2009</v>
      </c>
      <c r="W61" s="7">
        <v>2011</v>
      </c>
      <c r="X61" s="7">
        <v>2001</v>
      </c>
      <c r="Y61" s="7"/>
      <c r="Z61" s="7">
        <v>2011</v>
      </c>
      <c r="AA61" s="7">
        <v>2011</v>
      </c>
      <c r="AB61" s="7">
        <v>2011</v>
      </c>
      <c r="AC61" s="7">
        <v>2011</v>
      </c>
      <c r="AD61" s="7"/>
      <c r="AE61" s="7">
        <v>2000</v>
      </c>
    </row>
    <row r="62" spans="1:31">
      <c r="A62" s="4" t="s">
        <v>156</v>
      </c>
      <c r="B62" s="4" t="s">
        <v>155</v>
      </c>
      <c r="C62" s="7">
        <v>2007</v>
      </c>
      <c r="D62" s="7"/>
      <c r="E62" s="7">
        <v>2009</v>
      </c>
      <c r="F62" s="7">
        <v>2011</v>
      </c>
      <c r="G62" s="7">
        <v>2011</v>
      </c>
      <c r="H62" s="7">
        <v>2011</v>
      </c>
      <c r="I62" s="7">
        <v>2011</v>
      </c>
      <c r="J62" s="7">
        <v>2011</v>
      </c>
      <c r="K62" s="7">
        <v>2009</v>
      </c>
      <c r="L62" s="7">
        <v>2011</v>
      </c>
      <c r="M62" s="7">
        <v>2009</v>
      </c>
      <c r="N62" s="7">
        <v>2008</v>
      </c>
      <c r="O62" s="7">
        <v>2008</v>
      </c>
      <c r="P62" s="7">
        <v>2007</v>
      </c>
      <c r="Q62" s="7">
        <v>2008</v>
      </c>
      <c r="R62" s="7">
        <v>2011</v>
      </c>
      <c r="S62" s="7">
        <v>2009</v>
      </c>
      <c r="T62" s="7" t="s">
        <v>577</v>
      </c>
      <c r="U62" s="7">
        <v>2009</v>
      </c>
      <c r="V62" s="7">
        <v>2009</v>
      </c>
      <c r="W62" s="7"/>
      <c r="X62" s="7">
        <v>2008</v>
      </c>
      <c r="Y62" s="7">
        <v>2008</v>
      </c>
      <c r="Z62" s="7">
        <v>2011</v>
      </c>
      <c r="AA62" s="7">
        <v>2011</v>
      </c>
      <c r="AB62" s="7"/>
      <c r="AC62" s="7">
        <v>2011</v>
      </c>
      <c r="AD62" s="7">
        <v>2008</v>
      </c>
      <c r="AE62" s="7">
        <v>2005</v>
      </c>
    </row>
    <row r="63" spans="1:31">
      <c r="A63" s="4" t="s">
        <v>158</v>
      </c>
      <c r="B63" s="4" t="s">
        <v>157</v>
      </c>
      <c r="C63" s="7">
        <v>2007</v>
      </c>
      <c r="D63" s="7"/>
      <c r="E63" s="7">
        <v>2009</v>
      </c>
      <c r="F63" s="7">
        <v>2011</v>
      </c>
      <c r="G63" s="7">
        <v>2011</v>
      </c>
      <c r="H63" s="7">
        <v>2011</v>
      </c>
      <c r="I63" s="7">
        <v>2011</v>
      </c>
      <c r="J63" s="7">
        <v>2011</v>
      </c>
      <c r="K63" s="7">
        <v>2009</v>
      </c>
      <c r="L63" s="7">
        <v>2011</v>
      </c>
      <c r="M63" s="7">
        <v>2009</v>
      </c>
      <c r="N63" s="7">
        <v>2008</v>
      </c>
      <c r="O63" s="7">
        <v>2008</v>
      </c>
      <c r="P63" s="7">
        <v>2008</v>
      </c>
      <c r="Q63" s="7">
        <v>2008</v>
      </c>
      <c r="R63" s="7">
        <v>2011</v>
      </c>
      <c r="S63" s="7">
        <v>2009</v>
      </c>
      <c r="T63" s="7" t="s">
        <v>577</v>
      </c>
      <c r="U63" s="7">
        <v>2009</v>
      </c>
      <c r="V63" s="7">
        <v>2009</v>
      </c>
      <c r="W63" s="7">
        <v>2011</v>
      </c>
      <c r="X63" s="7">
        <v>2008</v>
      </c>
      <c r="Y63" s="7">
        <v>2008</v>
      </c>
      <c r="Z63" s="7">
        <v>2011</v>
      </c>
      <c r="AA63" s="7">
        <v>2011</v>
      </c>
      <c r="AB63" s="7"/>
      <c r="AC63" s="7">
        <v>2011</v>
      </c>
      <c r="AD63" s="7">
        <v>2008</v>
      </c>
      <c r="AE63" s="7">
        <v>2005</v>
      </c>
    </row>
    <row r="64" spans="1:31">
      <c r="A64" s="4" t="s">
        <v>160</v>
      </c>
      <c r="B64" s="4" t="s">
        <v>159</v>
      </c>
      <c r="C64" s="7">
        <v>2007</v>
      </c>
      <c r="D64" s="7">
        <v>2010</v>
      </c>
      <c r="E64" s="7">
        <v>2009</v>
      </c>
      <c r="F64" s="7">
        <v>2011</v>
      </c>
      <c r="G64" s="7">
        <v>2011</v>
      </c>
      <c r="H64" s="7">
        <v>2011</v>
      </c>
      <c r="I64" s="7">
        <v>2011</v>
      </c>
      <c r="J64" s="7">
        <v>2011</v>
      </c>
      <c r="K64" s="7">
        <v>2008</v>
      </c>
      <c r="L64" s="7">
        <v>2011</v>
      </c>
      <c r="M64" s="7">
        <v>2009</v>
      </c>
      <c r="N64" s="7">
        <v>2008</v>
      </c>
      <c r="O64" s="7">
        <v>2008</v>
      </c>
      <c r="P64" s="7">
        <v>2004</v>
      </c>
      <c r="Q64" s="7">
        <v>1999</v>
      </c>
      <c r="R64" s="7">
        <v>2011</v>
      </c>
      <c r="S64" s="7">
        <v>2009</v>
      </c>
      <c r="T64" s="7" t="s">
        <v>577</v>
      </c>
      <c r="U64" s="7">
        <v>2009</v>
      </c>
      <c r="V64" s="7">
        <v>2009</v>
      </c>
      <c r="W64" s="7"/>
      <c r="X64" s="7">
        <v>2004</v>
      </c>
      <c r="Y64" s="7">
        <v>2008</v>
      </c>
      <c r="Z64" s="7">
        <v>2011</v>
      </c>
      <c r="AA64" s="7">
        <v>2011</v>
      </c>
      <c r="AB64" s="7">
        <v>2011</v>
      </c>
      <c r="AC64" s="7">
        <v>2011</v>
      </c>
      <c r="AD64" s="7">
        <v>2008</v>
      </c>
      <c r="AE64" s="7">
        <v>2000</v>
      </c>
    </row>
    <row r="65" spans="1:31">
      <c r="A65" s="4" t="s">
        <v>162</v>
      </c>
      <c r="B65" s="4" t="s">
        <v>161</v>
      </c>
      <c r="C65" s="7">
        <v>2007</v>
      </c>
      <c r="D65" s="7">
        <v>2006</v>
      </c>
      <c r="E65" s="7">
        <v>2009</v>
      </c>
      <c r="F65" s="7">
        <v>2011</v>
      </c>
      <c r="G65" s="7">
        <v>2011</v>
      </c>
      <c r="H65" s="7">
        <v>2011</v>
      </c>
      <c r="I65" s="7">
        <v>2011</v>
      </c>
      <c r="J65" s="7">
        <v>2011</v>
      </c>
      <c r="K65" s="7"/>
      <c r="L65" s="7">
        <v>2011</v>
      </c>
      <c r="M65" s="7">
        <v>2009</v>
      </c>
      <c r="N65" s="7">
        <v>2008</v>
      </c>
      <c r="O65" s="7">
        <v>2008</v>
      </c>
      <c r="P65" s="7">
        <v>2008</v>
      </c>
      <c r="Q65" s="7">
        <v>2008</v>
      </c>
      <c r="R65" s="7">
        <v>2011</v>
      </c>
      <c r="S65" s="7">
        <v>2009</v>
      </c>
      <c r="T65" s="7" t="s">
        <v>577</v>
      </c>
      <c r="U65" s="7">
        <v>2009</v>
      </c>
      <c r="V65" s="7">
        <v>2009</v>
      </c>
      <c r="W65" s="7">
        <v>2011</v>
      </c>
      <c r="X65" s="7">
        <v>2004</v>
      </c>
      <c r="Y65" s="7">
        <v>2008</v>
      </c>
      <c r="Z65" s="7">
        <v>2011</v>
      </c>
      <c r="AA65" s="7">
        <v>2011</v>
      </c>
      <c r="AB65" s="7">
        <v>2011</v>
      </c>
      <c r="AC65" s="7">
        <v>2011</v>
      </c>
      <c r="AD65" s="7">
        <v>2008</v>
      </c>
      <c r="AE65" s="7">
        <v>2000</v>
      </c>
    </row>
    <row r="66" spans="1:31">
      <c r="A66" s="4" t="s">
        <v>164</v>
      </c>
      <c r="B66" s="4" t="s">
        <v>163</v>
      </c>
      <c r="C66" s="7">
        <v>2007</v>
      </c>
      <c r="D66" s="7">
        <v>2005</v>
      </c>
      <c r="E66" s="7">
        <v>2009</v>
      </c>
      <c r="F66" s="7">
        <v>2011</v>
      </c>
      <c r="G66" s="7">
        <v>2011</v>
      </c>
      <c r="H66" s="7">
        <v>2011</v>
      </c>
      <c r="I66" s="7">
        <v>2011</v>
      </c>
      <c r="J66" s="7">
        <v>2011</v>
      </c>
      <c r="K66" s="7">
        <v>2008</v>
      </c>
      <c r="L66" s="7">
        <v>2011</v>
      </c>
      <c r="M66" s="7">
        <v>2009</v>
      </c>
      <c r="N66" s="7">
        <v>2008</v>
      </c>
      <c r="O66" s="7">
        <v>2008</v>
      </c>
      <c r="P66" s="7">
        <v>2007</v>
      </c>
      <c r="Q66" s="7">
        <v>2009</v>
      </c>
      <c r="R66" s="7">
        <v>2011</v>
      </c>
      <c r="S66" s="7">
        <v>2009</v>
      </c>
      <c r="T66" s="7" t="s">
        <v>577</v>
      </c>
      <c r="U66" s="7">
        <v>2009</v>
      </c>
      <c r="V66" s="7">
        <v>2009</v>
      </c>
      <c r="W66" s="7">
        <v>2011</v>
      </c>
      <c r="X66" s="7">
        <v>2007</v>
      </c>
      <c r="Y66" s="7">
        <v>2008</v>
      </c>
      <c r="Z66" s="7">
        <v>2011</v>
      </c>
      <c r="AA66" s="7">
        <v>2011</v>
      </c>
      <c r="AB66" s="7">
        <v>2011</v>
      </c>
      <c r="AC66" s="7">
        <v>2011</v>
      </c>
      <c r="AD66" s="7">
        <v>2008</v>
      </c>
      <c r="AE66" s="7">
        <v>2005</v>
      </c>
    </row>
    <row r="67" spans="1:31">
      <c r="A67" s="4" t="s">
        <v>166</v>
      </c>
      <c r="B67" s="4" t="s">
        <v>165</v>
      </c>
      <c r="C67" s="7">
        <v>2007</v>
      </c>
      <c r="D67" s="7"/>
      <c r="E67" s="7">
        <v>2009</v>
      </c>
      <c r="F67" s="7">
        <v>2011</v>
      </c>
      <c r="G67" s="7">
        <v>2011</v>
      </c>
      <c r="H67" s="7">
        <v>2011</v>
      </c>
      <c r="I67" s="7">
        <v>2011</v>
      </c>
      <c r="J67" s="7">
        <v>2011</v>
      </c>
      <c r="K67" s="7">
        <v>2009</v>
      </c>
      <c r="L67" s="7">
        <v>2011</v>
      </c>
      <c r="M67" s="7">
        <v>2009</v>
      </c>
      <c r="N67" s="7">
        <v>2008</v>
      </c>
      <c r="O67" s="7">
        <v>2008</v>
      </c>
      <c r="P67" s="7">
        <v>2008</v>
      </c>
      <c r="Q67" s="7">
        <v>1997</v>
      </c>
      <c r="R67" s="7">
        <v>2011</v>
      </c>
      <c r="S67" s="7">
        <v>2009</v>
      </c>
      <c r="T67" s="7" t="s">
        <v>577</v>
      </c>
      <c r="U67" s="7">
        <v>2009</v>
      </c>
      <c r="V67" s="7">
        <v>2009</v>
      </c>
      <c r="W67" s="7">
        <v>2011</v>
      </c>
      <c r="X67" s="7">
        <v>2003</v>
      </c>
      <c r="Y67" s="7">
        <v>2008</v>
      </c>
      <c r="Z67" s="7">
        <v>2011</v>
      </c>
      <c r="AA67" s="7">
        <v>2011</v>
      </c>
      <c r="AB67" s="7"/>
      <c r="AC67" s="7">
        <v>2011</v>
      </c>
      <c r="AD67" s="7">
        <v>2008</v>
      </c>
      <c r="AE67" s="7">
        <v>2005</v>
      </c>
    </row>
    <row r="68" spans="1:31">
      <c r="A68" s="4" t="s">
        <v>168</v>
      </c>
      <c r="B68" s="4" t="s">
        <v>167</v>
      </c>
      <c r="C68" s="7">
        <v>2007</v>
      </c>
      <c r="D68" s="7">
        <v>2006</v>
      </c>
      <c r="E68" s="7">
        <v>2009</v>
      </c>
      <c r="F68" s="7">
        <v>2011</v>
      </c>
      <c r="G68" s="7">
        <v>2011</v>
      </c>
      <c r="H68" s="7"/>
      <c r="I68" s="7"/>
      <c r="J68" s="7">
        <v>2011</v>
      </c>
      <c r="K68" s="7">
        <v>2008</v>
      </c>
      <c r="L68" s="7">
        <v>2011</v>
      </c>
      <c r="M68" s="7">
        <v>2009</v>
      </c>
      <c r="N68" s="7">
        <v>2008</v>
      </c>
      <c r="O68" s="7">
        <v>2008</v>
      </c>
      <c r="P68" s="7">
        <v>2009</v>
      </c>
      <c r="Q68" s="7">
        <v>2009</v>
      </c>
      <c r="R68" s="7">
        <v>2011</v>
      </c>
      <c r="S68" s="7">
        <v>2009</v>
      </c>
      <c r="T68" s="7" t="s">
        <v>577</v>
      </c>
      <c r="U68" s="7">
        <v>2009</v>
      </c>
      <c r="V68" s="7">
        <v>2009</v>
      </c>
      <c r="W68" s="7">
        <v>2011</v>
      </c>
      <c r="X68" s="7">
        <v>2005</v>
      </c>
      <c r="Y68" s="7">
        <v>2008</v>
      </c>
      <c r="Z68" s="7">
        <v>2011</v>
      </c>
      <c r="AA68" s="7">
        <v>2011</v>
      </c>
      <c r="AB68" s="7">
        <v>2011</v>
      </c>
      <c r="AC68" s="7">
        <v>2011</v>
      </c>
      <c r="AD68" s="7">
        <v>2008</v>
      </c>
      <c r="AE68" s="7">
        <v>2000</v>
      </c>
    </row>
    <row r="69" spans="1:31">
      <c r="A69" s="4" t="s">
        <v>170</v>
      </c>
      <c r="B69" s="4" t="s">
        <v>169</v>
      </c>
      <c r="C69" s="7">
        <v>2007</v>
      </c>
      <c r="D69" s="7"/>
      <c r="E69" s="7">
        <v>2009</v>
      </c>
      <c r="F69" s="7">
        <v>2011</v>
      </c>
      <c r="G69" s="7">
        <v>2011</v>
      </c>
      <c r="H69" s="7">
        <v>2011</v>
      </c>
      <c r="I69" s="7">
        <v>2011</v>
      </c>
      <c r="J69" s="7">
        <v>2011</v>
      </c>
      <c r="K69" s="7">
        <v>2009</v>
      </c>
      <c r="L69" s="7">
        <v>2011</v>
      </c>
      <c r="M69" s="7">
        <v>2009</v>
      </c>
      <c r="N69" s="7">
        <v>2008</v>
      </c>
      <c r="O69" s="7">
        <v>2008</v>
      </c>
      <c r="P69" s="7">
        <v>2008</v>
      </c>
      <c r="Q69" s="7">
        <v>2007</v>
      </c>
      <c r="R69" s="7">
        <v>2011</v>
      </c>
      <c r="S69" s="7">
        <v>2009</v>
      </c>
      <c r="T69" s="7" t="s">
        <v>577</v>
      </c>
      <c r="U69" s="7">
        <v>2009</v>
      </c>
      <c r="V69" s="7">
        <v>2009</v>
      </c>
      <c r="W69" s="7">
        <v>2011</v>
      </c>
      <c r="X69" s="7">
        <v>2000</v>
      </c>
      <c r="Y69" s="7">
        <v>2008</v>
      </c>
      <c r="Z69" s="7">
        <v>2011</v>
      </c>
      <c r="AA69" s="7">
        <v>2011</v>
      </c>
      <c r="AB69" s="7"/>
      <c r="AC69" s="7">
        <v>2011</v>
      </c>
      <c r="AD69" s="7">
        <v>2008</v>
      </c>
      <c r="AE69" s="7">
        <v>2005</v>
      </c>
    </row>
    <row r="70" spans="1:31">
      <c r="A70" s="4" t="s">
        <v>172</v>
      </c>
      <c r="B70" s="4" t="s">
        <v>171</v>
      </c>
      <c r="C70" s="7">
        <v>2007</v>
      </c>
      <c r="D70" s="7"/>
      <c r="E70" s="7">
        <v>2009</v>
      </c>
      <c r="F70" s="7">
        <v>2011</v>
      </c>
      <c r="G70" s="7">
        <v>2011</v>
      </c>
      <c r="H70" s="7">
        <v>2011</v>
      </c>
      <c r="I70" s="7">
        <v>2011</v>
      </c>
      <c r="J70" s="7">
        <v>2011</v>
      </c>
      <c r="K70" s="7"/>
      <c r="L70" s="7">
        <v>2011</v>
      </c>
      <c r="M70" s="7">
        <v>2009</v>
      </c>
      <c r="N70" s="7">
        <v>2008</v>
      </c>
      <c r="O70" s="7"/>
      <c r="P70" s="7">
        <v>1998</v>
      </c>
      <c r="Q70" s="7">
        <v>2009</v>
      </c>
      <c r="R70" s="7"/>
      <c r="S70" s="7">
        <v>2009</v>
      </c>
      <c r="T70" s="7" t="s">
        <v>577</v>
      </c>
      <c r="U70" s="7">
        <v>2009</v>
      </c>
      <c r="V70" s="7">
        <v>2009</v>
      </c>
      <c r="W70" s="7"/>
      <c r="X70" s="7">
        <v>2001</v>
      </c>
      <c r="Y70" s="7">
        <v>2004</v>
      </c>
      <c r="Z70" s="7">
        <v>2011</v>
      </c>
      <c r="AA70" s="7">
        <v>2011</v>
      </c>
      <c r="AB70" s="7">
        <v>2011</v>
      </c>
      <c r="AC70" s="7">
        <v>2011</v>
      </c>
      <c r="AD70" s="7">
        <v>2008</v>
      </c>
      <c r="AE70" s="7"/>
    </row>
    <row r="71" spans="1:31">
      <c r="A71" s="4" t="s">
        <v>174</v>
      </c>
      <c r="B71" s="4" t="s">
        <v>173</v>
      </c>
      <c r="C71" s="7">
        <v>2007</v>
      </c>
      <c r="D71" s="7">
        <v>2002</v>
      </c>
      <c r="E71" s="7">
        <v>2009</v>
      </c>
      <c r="F71" s="7">
        <v>2011</v>
      </c>
      <c r="G71" s="7">
        <v>2011</v>
      </c>
      <c r="H71" s="7">
        <v>2011</v>
      </c>
      <c r="I71" s="7">
        <v>2011</v>
      </c>
      <c r="J71" s="7">
        <v>2011</v>
      </c>
      <c r="K71" s="7">
        <v>2008</v>
      </c>
      <c r="L71" s="7">
        <v>2011</v>
      </c>
      <c r="M71" s="7">
        <v>2009</v>
      </c>
      <c r="N71" s="7">
        <v>2008</v>
      </c>
      <c r="O71" s="7">
        <v>2008</v>
      </c>
      <c r="P71" s="7">
        <v>1999</v>
      </c>
      <c r="Q71" s="7">
        <v>2007</v>
      </c>
      <c r="R71" s="7">
        <v>2011</v>
      </c>
      <c r="S71" s="7">
        <v>2009</v>
      </c>
      <c r="T71" s="7" t="s">
        <v>577</v>
      </c>
      <c r="U71" s="7">
        <v>2009</v>
      </c>
      <c r="V71" s="7">
        <v>2009</v>
      </c>
      <c r="W71" s="7">
        <v>2011</v>
      </c>
      <c r="X71" s="7">
        <v>2001</v>
      </c>
      <c r="Y71" s="7">
        <v>2008</v>
      </c>
      <c r="Z71" s="7">
        <v>2011</v>
      </c>
      <c r="AA71" s="7">
        <v>2011</v>
      </c>
      <c r="AB71" s="7">
        <v>2011</v>
      </c>
      <c r="AC71" s="7">
        <v>2011</v>
      </c>
      <c r="AD71" s="7">
        <v>2008</v>
      </c>
      <c r="AE71" s="7">
        <v>2000</v>
      </c>
    </row>
    <row r="72" spans="1:31">
      <c r="A72" s="4" t="s">
        <v>176</v>
      </c>
      <c r="B72" s="4" t="s">
        <v>175</v>
      </c>
      <c r="C72" s="7">
        <v>2007</v>
      </c>
      <c r="D72" s="7">
        <v>2008</v>
      </c>
      <c r="E72" s="7">
        <v>2009</v>
      </c>
      <c r="F72" s="7">
        <v>2011</v>
      </c>
      <c r="G72" s="7">
        <v>2011</v>
      </c>
      <c r="H72" s="7">
        <v>2011</v>
      </c>
      <c r="I72" s="7">
        <v>2011</v>
      </c>
      <c r="J72" s="7">
        <v>2011</v>
      </c>
      <c r="K72" s="7"/>
      <c r="L72" s="7">
        <v>2011</v>
      </c>
      <c r="M72" s="7">
        <v>2009</v>
      </c>
      <c r="N72" s="7">
        <v>2008</v>
      </c>
      <c r="O72" s="7">
        <v>2008</v>
      </c>
      <c r="P72" s="7">
        <v>2005</v>
      </c>
      <c r="Q72" s="7">
        <v>2008</v>
      </c>
      <c r="R72" s="7">
        <v>2011</v>
      </c>
      <c r="S72" s="7">
        <v>2009</v>
      </c>
      <c r="T72" s="7" t="s">
        <v>577</v>
      </c>
      <c r="U72" s="7">
        <v>2009</v>
      </c>
      <c r="V72" s="7">
        <v>2009</v>
      </c>
      <c r="W72" s="7">
        <v>2011</v>
      </c>
      <c r="X72" s="7">
        <v>2003</v>
      </c>
      <c r="Y72" s="7">
        <v>2008</v>
      </c>
      <c r="Z72" s="7">
        <v>2011</v>
      </c>
      <c r="AA72" s="7">
        <v>2011</v>
      </c>
      <c r="AB72" s="7">
        <v>2011</v>
      </c>
      <c r="AC72" s="7">
        <v>2011</v>
      </c>
      <c r="AD72" s="7">
        <v>2008</v>
      </c>
      <c r="AE72" s="7">
        <v>2000</v>
      </c>
    </row>
    <row r="73" spans="1:31">
      <c r="A73" s="4" t="s">
        <v>178</v>
      </c>
      <c r="B73" s="4" t="s">
        <v>177</v>
      </c>
      <c r="C73" s="7">
        <v>2007</v>
      </c>
      <c r="D73" s="7">
        <v>2006</v>
      </c>
      <c r="E73" s="7">
        <v>2009</v>
      </c>
      <c r="F73" s="7">
        <v>2011</v>
      </c>
      <c r="G73" s="7">
        <v>2011</v>
      </c>
      <c r="H73" s="7">
        <v>2011</v>
      </c>
      <c r="I73" s="7">
        <v>2011</v>
      </c>
      <c r="J73" s="7">
        <v>2011</v>
      </c>
      <c r="K73" s="7"/>
      <c r="L73" s="7">
        <v>2011</v>
      </c>
      <c r="M73" s="7">
        <v>2009</v>
      </c>
      <c r="N73" s="7">
        <v>2008</v>
      </c>
      <c r="O73" s="7">
        <v>2008</v>
      </c>
      <c r="P73" s="7">
        <v>2008</v>
      </c>
      <c r="Q73" s="7">
        <v>2006</v>
      </c>
      <c r="R73" s="7">
        <v>2011</v>
      </c>
      <c r="S73" s="7">
        <v>2009</v>
      </c>
      <c r="T73" s="7" t="s">
        <v>577</v>
      </c>
      <c r="U73" s="7">
        <v>2009</v>
      </c>
      <c r="V73" s="7">
        <v>2009</v>
      </c>
      <c r="W73" s="7">
        <v>2011</v>
      </c>
      <c r="X73" s="7">
        <v>2002</v>
      </c>
      <c r="Y73" s="7">
        <v>2008</v>
      </c>
      <c r="Z73" s="7">
        <v>2011</v>
      </c>
      <c r="AA73" s="7">
        <v>2011</v>
      </c>
      <c r="AB73" s="7">
        <v>2011</v>
      </c>
      <c r="AC73" s="7">
        <v>2011</v>
      </c>
      <c r="AD73" s="7">
        <v>2008</v>
      </c>
      <c r="AE73" s="7">
        <v>2000</v>
      </c>
    </row>
    <row r="74" spans="1:31">
      <c r="A74" s="4" t="s">
        <v>180</v>
      </c>
      <c r="B74" s="4" t="s">
        <v>179</v>
      </c>
      <c r="C74" s="7">
        <v>2007</v>
      </c>
      <c r="D74" s="7">
        <v>2006</v>
      </c>
      <c r="E74" s="7">
        <v>2009</v>
      </c>
      <c r="F74" s="7">
        <v>2011</v>
      </c>
      <c r="G74" s="7">
        <v>2011</v>
      </c>
      <c r="H74" s="7">
        <v>2011</v>
      </c>
      <c r="I74" s="7">
        <v>2011</v>
      </c>
      <c r="J74" s="7">
        <v>2011</v>
      </c>
      <c r="K74" s="7"/>
      <c r="L74" s="7">
        <v>2011</v>
      </c>
      <c r="M74" s="7">
        <v>2009</v>
      </c>
      <c r="N74" s="7">
        <v>2008</v>
      </c>
      <c r="O74" s="7">
        <v>2008</v>
      </c>
      <c r="P74" s="7">
        <v>2000</v>
      </c>
      <c r="Q74" s="7">
        <v>2009</v>
      </c>
      <c r="R74" s="7">
        <v>2011</v>
      </c>
      <c r="S74" s="7">
        <v>2005</v>
      </c>
      <c r="T74" s="7" t="s">
        <v>577</v>
      </c>
      <c r="U74" s="7">
        <v>2009</v>
      </c>
      <c r="V74" s="7">
        <v>2009</v>
      </c>
      <c r="W74" s="7">
        <v>2011</v>
      </c>
      <c r="X74" s="7">
        <v>2001</v>
      </c>
      <c r="Y74" s="7">
        <v>2008</v>
      </c>
      <c r="Z74" s="7">
        <v>2011</v>
      </c>
      <c r="AA74" s="7">
        <v>2011</v>
      </c>
      <c r="AB74" s="7">
        <v>2011</v>
      </c>
      <c r="AC74" s="7">
        <v>2011</v>
      </c>
      <c r="AD74" s="7">
        <v>2008</v>
      </c>
      <c r="AE74" s="7">
        <v>2000</v>
      </c>
    </row>
    <row r="75" spans="1:31">
      <c r="A75" s="4" t="s">
        <v>182</v>
      </c>
      <c r="B75" s="4" t="s">
        <v>181</v>
      </c>
      <c r="C75" s="7">
        <v>2007</v>
      </c>
      <c r="D75" s="7">
        <v>2006</v>
      </c>
      <c r="E75" s="7">
        <v>2009</v>
      </c>
      <c r="F75" s="7">
        <v>2011</v>
      </c>
      <c r="G75" s="7">
        <v>2011</v>
      </c>
      <c r="H75" s="7">
        <v>2011</v>
      </c>
      <c r="I75" s="7">
        <v>2011</v>
      </c>
      <c r="J75" s="7">
        <v>2011</v>
      </c>
      <c r="K75" s="7">
        <v>2008</v>
      </c>
      <c r="L75" s="7">
        <v>2011</v>
      </c>
      <c r="M75" s="7">
        <v>2009</v>
      </c>
      <c r="N75" s="7">
        <v>2008</v>
      </c>
      <c r="O75" s="7">
        <v>2008</v>
      </c>
      <c r="P75" s="7">
        <v>1998</v>
      </c>
      <c r="Q75" s="7"/>
      <c r="R75" s="7">
        <v>2011</v>
      </c>
      <c r="S75" s="7">
        <v>2009</v>
      </c>
      <c r="T75" s="7" t="s">
        <v>577</v>
      </c>
      <c r="U75" s="7">
        <v>2009</v>
      </c>
      <c r="V75" s="7">
        <v>2009</v>
      </c>
      <c r="W75" s="7">
        <v>2011</v>
      </c>
      <c r="X75" s="7">
        <v>2001</v>
      </c>
      <c r="Y75" s="7">
        <v>2008</v>
      </c>
      <c r="Z75" s="7">
        <v>2011</v>
      </c>
      <c r="AA75" s="7">
        <v>2011</v>
      </c>
      <c r="AB75" s="7">
        <v>2011</v>
      </c>
      <c r="AC75" s="7">
        <v>2011</v>
      </c>
      <c r="AD75" s="7">
        <v>2008</v>
      </c>
      <c r="AE75" s="7">
        <v>2000</v>
      </c>
    </row>
    <row r="76" spans="1:31">
      <c r="A76" s="4" t="s">
        <v>184</v>
      </c>
      <c r="B76" s="4" t="s">
        <v>183</v>
      </c>
      <c r="C76" s="7">
        <v>2007</v>
      </c>
      <c r="D76" s="7">
        <v>2006</v>
      </c>
      <c r="E76" s="7">
        <v>2009</v>
      </c>
      <c r="F76" s="7">
        <v>2011</v>
      </c>
      <c r="G76" s="7">
        <v>2011</v>
      </c>
      <c r="H76" s="7">
        <v>2011</v>
      </c>
      <c r="I76" s="7">
        <v>2011</v>
      </c>
      <c r="J76" s="7">
        <v>2011</v>
      </c>
      <c r="K76" s="7">
        <v>2008</v>
      </c>
      <c r="L76" s="7">
        <v>2011</v>
      </c>
      <c r="M76" s="7">
        <v>2009</v>
      </c>
      <c r="N76" s="7">
        <v>2008</v>
      </c>
      <c r="O76" s="7">
        <v>2008</v>
      </c>
      <c r="P76" s="7">
        <v>2000</v>
      </c>
      <c r="Q76" s="7">
        <v>2008</v>
      </c>
      <c r="R76" s="7">
        <v>2011</v>
      </c>
      <c r="S76" s="7">
        <v>2009</v>
      </c>
      <c r="T76" s="7" t="s">
        <v>577</v>
      </c>
      <c r="U76" s="7">
        <v>2009</v>
      </c>
      <c r="V76" s="7">
        <v>2009</v>
      </c>
      <c r="W76" s="7">
        <v>2011</v>
      </c>
      <c r="X76" s="7">
        <v>2001</v>
      </c>
      <c r="Y76" s="7">
        <v>2008</v>
      </c>
      <c r="Z76" s="7">
        <v>2011</v>
      </c>
      <c r="AA76" s="7">
        <v>2011</v>
      </c>
      <c r="AB76" s="7">
        <v>2011</v>
      </c>
      <c r="AC76" s="7">
        <v>2011</v>
      </c>
      <c r="AD76" s="7">
        <v>2008</v>
      </c>
      <c r="AE76" s="7">
        <v>2000</v>
      </c>
    </row>
    <row r="77" spans="1:31">
      <c r="A77" s="4" t="s">
        <v>186</v>
      </c>
      <c r="B77" s="4" t="s">
        <v>185</v>
      </c>
      <c r="C77" s="7">
        <v>2007</v>
      </c>
      <c r="D77" s="7"/>
      <c r="E77" s="7">
        <v>2009</v>
      </c>
      <c r="F77" s="7">
        <v>2011</v>
      </c>
      <c r="G77" s="7">
        <v>2011</v>
      </c>
      <c r="H77" s="7"/>
      <c r="I77" s="7"/>
      <c r="J77" s="7">
        <v>2011</v>
      </c>
      <c r="K77" s="7">
        <v>2009</v>
      </c>
      <c r="L77" s="7">
        <v>2011</v>
      </c>
      <c r="M77" s="7">
        <v>2002</v>
      </c>
      <c r="N77" s="7">
        <v>2008</v>
      </c>
      <c r="O77" s="7">
        <v>2008</v>
      </c>
      <c r="P77" s="7">
        <v>2008</v>
      </c>
      <c r="Q77" s="7">
        <v>2008</v>
      </c>
      <c r="R77" s="7">
        <v>2011</v>
      </c>
      <c r="S77" s="7">
        <v>2009</v>
      </c>
      <c r="T77" s="7" t="s">
        <v>577</v>
      </c>
      <c r="U77" s="7">
        <v>2009</v>
      </c>
      <c r="V77" s="7">
        <v>2009</v>
      </c>
      <c r="W77" s="7">
        <v>2011</v>
      </c>
      <c r="X77" s="7">
        <v>2008</v>
      </c>
      <c r="Y77" s="7">
        <v>2008</v>
      </c>
      <c r="Z77" s="7">
        <v>2011</v>
      </c>
      <c r="AA77" s="7">
        <v>2011</v>
      </c>
      <c r="AB77" s="7"/>
      <c r="AC77" s="7">
        <v>2011</v>
      </c>
      <c r="AD77" s="7">
        <v>2008</v>
      </c>
      <c r="AE77" s="7">
        <v>2005</v>
      </c>
    </row>
    <row r="78" spans="1:31">
      <c r="A78" s="4" t="s">
        <v>188</v>
      </c>
      <c r="B78" s="4" t="s">
        <v>187</v>
      </c>
      <c r="C78" s="7">
        <v>2007</v>
      </c>
      <c r="D78" s="7"/>
      <c r="E78" s="7">
        <v>2009</v>
      </c>
      <c r="F78" s="7">
        <v>2011</v>
      </c>
      <c r="G78" s="7">
        <v>2011</v>
      </c>
      <c r="H78" s="7">
        <v>2011</v>
      </c>
      <c r="I78" s="7">
        <v>2011</v>
      </c>
      <c r="J78" s="7">
        <v>2011</v>
      </c>
      <c r="K78" s="7">
        <v>2009</v>
      </c>
      <c r="L78" s="7">
        <v>2011</v>
      </c>
      <c r="M78" s="7">
        <v>2009</v>
      </c>
      <c r="N78" s="7">
        <v>2008</v>
      </c>
      <c r="O78" s="7">
        <v>2008</v>
      </c>
      <c r="P78" s="7">
        <v>2008</v>
      </c>
      <c r="Q78" s="7">
        <v>2008</v>
      </c>
      <c r="R78" s="7">
        <v>2011</v>
      </c>
      <c r="S78" s="7">
        <v>2009</v>
      </c>
      <c r="T78" s="7" t="s">
        <v>577</v>
      </c>
      <c r="U78" s="7">
        <v>2009</v>
      </c>
      <c r="V78" s="7">
        <v>2009</v>
      </c>
      <c r="W78" s="7"/>
      <c r="X78" s="7">
        <v>2008</v>
      </c>
      <c r="Y78" s="7">
        <v>2008</v>
      </c>
      <c r="Z78" s="7">
        <v>2011</v>
      </c>
      <c r="AA78" s="7">
        <v>2011</v>
      </c>
      <c r="AB78" s="7"/>
      <c r="AC78" s="7">
        <v>2011</v>
      </c>
      <c r="AD78" s="7">
        <v>2008</v>
      </c>
      <c r="AE78" s="7">
        <v>2005</v>
      </c>
    </row>
    <row r="79" spans="1:31">
      <c r="A79" s="4" t="s">
        <v>190</v>
      </c>
      <c r="B79" s="4" t="s">
        <v>189</v>
      </c>
      <c r="C79" s="7">
        <v>2007</v>
      </c>
      <c r="D79" s="7">
        <v>2005</v>
      </c>
      <c r="E79" s="7">
        <v>2009</v>
      </c>
      <c r="F79" s="7">
        <v>2011</v>
      </c>
      <c r="G79" s="7">
        <v>2011</v>
      </c>
      <c r="H79" s="7">
        <v>2011</v>
      </c>
      <c r="I79" s="7">
        <v>2011</v>
      </c>
      <c r="J79" s="7">
        <v>2011</v>
      </c>
      <c r="K79" s="7">
        <v>2008</v>
      </c>
      <c r="L79" s="7">
        <v>2011</v>
      </c>
      <c r="M79" s="7">
        <v>2009</v>
      </c>
      <c r="N79" s="7">
        <v>2008</v>
      </c>
      <c r="O79" s="7">
        <v>2008</v>
      </c>
      <c r="P79" s="7">
        <v>2005</v>
      </c>
      <c r="Q79" s="7">
        <v>2007</v>
      </c>
      <c r="R79" s="7">
        <v>2011</v>
      </c>
      <c r="S79" s="7">
        <v>2009</v>
      </c>
      <c r="T79" s="7" t="s">
        <v>577</v>
      </c>
      <c r="U79" s="7">
        <v>2009</v>
      </c>
      <c r="V79" s="7">
        <v>2009</v>
      </c>
      <c r="W79" s="7">
        <v>2011</v>
      </c>
      <c r="X79" s="7">
        <v>2008</v>
      </c>
      <c r="Y79" s="7">
        <v>2008</v>
      </c>
      <c r="Z79" s="7">
        <v>2011</v>
      </c>
      <c r="AA79" s="7">
        <v>2011</v>
      </c>
      <c r="AB79" s="7">
        <v>2011</v>
      </c>
      <c r="AC79" s="7">
        <v>2011</v>
      </c>
      <c r="AD79" s="7">
        <v>2008</v>
      </c>
      <c r="AE79" s="7">
        <v>2010</v>
      </c>
    </row>
    <row r="80" spans="1:31">
      <c r="A80" s="4" t="s">
        <v>192</v>
      </c>
      <c r="B80" s="4" t="s">
        <v>191</v>
      </c>
      <c r="C80" s="7">
        <v>2007</v>
      </c>
      <c r="D80" s="7">
        <v>2003</v>
      </c>
      <c r="E80" s="7">
        <v>2009</v>
      </c>
      <c r="F80" s="7">
        <v>2011</v>
      </c>
      <c r="G80" s="7">
        <v>2011</v>
      </c>
      <c r="H80" s="7">
        <v>2011</v>
      </c>
      <c r="I80" s="7">
        <v>2011</v>
      </c>
      <c r="J80" s="7">
        <v>2011</v>
      </c>
      <c r="K80" s="7">
        <v>2008</v>
      </c>
      <c r="L80" s="7">
        <v>2011</v>
      </c>
      <c r="M80" s="7">
        <v>2009</v>
      </c>
      <c r="N80" s="7">
        <v>2008</v>
      </c>
      <c r="O80" s="7">
        <v>2008</v>
      </c>
      <c r="P80" s="7">
        <v>2007</v>
      </c>
      <c r="Q80" s="7">
        <v>2009</v>
      </c>
      <c r="R80" s="7">
        <v>2011</v>
      </c>
      <c r="S80" s="7">
        <v>2009</v>
      </c>
      <c r="T80" s="7" t="s">
        <v>577</v>
      </c>
      <c r="U80" s="7">
        <v>2009</v>
      </c>
      <c r="V80" s="7">
        <v>2009</v>
      </c>
      <c r="W80" s="7">
        <v>2011</v>
      </c>
      <c r="X80" s="7">
        <v>2008</v>
      </c>
      <c r="Y80" s="7">
        <v>2008</v>
      </c>
      <c r="Z80" s="7">
        <v>2011</v>
      </c>
      <c r="AA80" s="7">
        <v>2011</v>
      </c>
      <c r="AB80" s="7">
        <v>2011</v>
      </c>
      <c r="AC80" s="7">
        <v>2011</v>
      </c>
      <c r="AD80" s="7">
        <v>2008</v>
      </c>
      <c r="AE80" s="7">
        <v>2000</v>
      </c>
    </row>
    <row r="81" spans="1:31">
      <c r="A81" s="4" t="s">
        <v>194</v>
      </c>
      <c r="B81" s="4" t="s">
        <v>193</v>
      </c>
      <c r="C81" s="7">
        <v>2007</v>
      </c>
      <c r="D81" s="7">
        <v>1998</v>
      </c>
      <c r="E81" s="7">
        <v>2009</v>
      </c>
      <c r="F81" s="7">
        <v>2011</v>
      </c>
      <c r="G81" s="7">
        <v>2011</v>
      </c>
      <c r="H81" s="7">
        <v>2011</v>
      </c>
      <c r="I81" s="7">
        <v>2011</v>
      </c>
      <c r="J81" s="7">
        <v>2011</v>
      </c>
      <c r="K81" s="7">
        <v>2008</v>
      </c>
      <c r="L81" s="7">
        <v>2011</v>
      </c>
      <c r="M81" s="7">
        <v>2009</v>
      </c>
      <c r="N81" s="7">
        <v>2008</v>
      </c>
      <c r="O81" s="7">
        <v>2008</v>
      </c>
      <c r="P81" s="7">
        <v>2005</v>
      </c>
      <c r="Q81" s="7">
        <v>2009</v>
      </c>
      <c r="R81" s="7">
        <v>2011</v>
      </c>
      <c r="S81" s="7">
        <v>2009</v>
      </c>
      <c r="T81" s="7" t="s">
        <v>577</v>
      </c>
      <c r="U81" s="7">
        <v>2009</v>
      </c>
      <c r="V81" s="7">
        <v>2009</v>
      </c>
      <c r="W81" s="7">
        <v>2011</v>
      </c>
      <c r="X81" s="7">
        <v>2006</v>
      </c>
      <c r="Y81" s="7">
        <v>2000</v>
      </c>
      <c r="Z81" s="7">
        <v>2011</v>
      </c>
      <c r="AA81" s="7">
        <v>2011</v>
      </c>
      <c r="AB81" s="7"/>
      <c r="AC81" s="7">
        <v>2011</v>
      </c>
      <c r="AD81" s="7">
        <v>2000</v>
      </c>
      <c r="AE81" s="7">
        <v>2005</v>
      </c>
    </row>
    <row r="82" spans="1:31">
      <c r="A82" s="4" t="s">
        <v>196</v>
      </c>
      <c r="B82" s="4" t="s">
        <v>195</v>
      </c>
      <c r="C82" s="7"/>
      <c r="D82" s="7">
        <v>2006</v>
      </c>
      <c r="E82" s="7">
        <v>2009</v>
      </c>
      <c r="F82" s="7">
        <v>2011</v>
      </c>
      <c r="G82" s="7">
        <v>2011</v>
      </c>
      <c r="H82" s="7">
        <v>2011</v>
      </c>
      <c r="I82" s="7">
        <v>2011</v>
      </c>
      <c r="J82" s="7">
        <v>2011</v>
      </c>
      <c r="K82" s="7">
        <v>2008</v>
      </c>
      <c r="L82" s="7">
        <v>2011</v>
      </c>
      <c r="M82" s="7">
        <v>2009</v>
      </c>
      <c r="N82" s="7">
        <v>2008</v>
      </c>
      <c r="O82" s="7">
        <v>2008</v>
      </c>
      <c r="P82" s="7">
        <v>2009</v>
      </c>
      <c r="Q82" s="7">
        <v>2004</v>
      </c>
      <c r="R82" s="7">
        <v>2002</v>
      </c>
      <c r="S82" s="7">
        <v>2009</v>
      </c>
      <c r="T82" s="7" t="s">
        <v>577</v>
      </c>
      <c r="U82" s="7">
        <v>2009</v>
      </c>
      <c r="V82" s="7">
        <v>2009</v>
      </c>
      <c r="W82" s="7">
        <v>2011</v>
      </c>
      <c r="X82" s="7">
        <v>2001</v>
      </c>
      <c r="Y82" s="7">
        <v>2008</v>
      </c>
      <c r="Z82" s="7">
        <v>2011</v>
      </c>
      <c r="AA82" s="7">
        <v>2011</v>
      </c>
      <c r="AB82" s="7">
        <v>2011</v>
      </c>
      <c r="AC82" s="7">
        <v>2011</v>
      </c>
      <c r="AD82" s="7">
        <v>2008</v>
      </c>
      <c r="AE82" s="7">
        <v>2000</v>
      </c>
    </row>
    <row r="83" spans="1:31">
      <c r="A83" s="4" t="s">
        <v>198</v>
      </c>
      <c r="B83" s="4" t="s">
        <v>197</v>
      </c>
      <c r="C83" s="7">
        <v>2007</v>
      </c>
      <c r="D83" s="7"/>
      <c r="E83" s="7">
        <v>2009</v>
      </c>
      <c r="F83" s="7">
        <v>2011</v>
      </c>
      <c r="G83" s="7">
        <v>2011</v>
      </c>
      <c r="H83" s="7">
        <v>2011</v>
      </c>
      <c r="I83" s="7">
        <v>2011</v>
      </c>
      <c r="J83" s="7">
        <v>2011</v>
      </c>
      <c r="K83" s="7">
        <v>2009</v>
      </c>
      <c r="L83" s="7">
        <v>2011</v>
      </c>
      <c r="M83" s="7">
        <v>2009</v>
      </c>
      <c r="N83" s="7">
        <v>2008</v>
      </c>
      <c r="O83" s="7">
        <v>2008</v>
      </c>
      <c r="P83" s="7">
        <v>2007</v>
      </c>
      <c r="Q83" s="7">
        <v>2008</v>
      </c>
      <c r="R83" s="7">
        <v>2011</v>
      </c>
      <c r="S83" s="7">
        <v>2009</v>
      </c>
      <c r="T83" s="7" t="s">
        <v>577</v>
      </c>
      <c r="U83" s="7">
        <v>2009</v>
      </c>
      <c r="V83" s="7">
        <v>2009</v>
      </c>
      <c r="W83" s="7">
        <v>2011</v>
      </c>
      <c r="X83" s="7">
        <v>2008</v>
      </c>
      <c r="Y83" s="7">
        <v>2008</v>
      </c>
      <c r="Z83" s="7">
        <v>2011</v>
      </c>
      <c r="AA83" s="7">
        <v>2011</v>
      </c>
      <c r="AB83" s="7"/>
      <c r="AC83" s="7">
        <v>2011</v>
      </c>
      <c r="AD83" s="7">
        <v>2008</v>
      </c>
      <c r="AE83" s="7"/>
    </row>
    <row r="84" spans="1:31">
      <c r="A84" s="4" t="s">
        <v>200</v>
      </c>
      <c r="B84" s="4" t="s">
        <v>199</v>
      </c>
      <c r="C84" s="7">
        <v>2007</v>
      </c>
      <c r="D84" s="7"/>
      <c r="E84" s="7">
        <v>2009</v>
      </c>
      <c r="F84" s="7">
        <v>2011</v>
      </c>
      <c r="G84" s="7">
        <v>2011</v>
      </c>
      <c r="H84" s="7">
        <v>2011</v>
      </c>
      <c r="I84" s="7">
        <v>2011</v>
      </c>
      <c r="J84" s="7">
        <v>2011</v>
      </c>
      <c r="K84" s="7">
        <v>2008</v>
      </c>
      <c r="L84" s="7">
        <v>2011</v>
      </c>
      <c r="M84" s="7">
        <v>2007</v>
      </c>
      <c r="N84" s="7">
        <v>2008</v>
      </c>
      <c r="O84" s="7">
        <v>2008</v>
      </c>
      <c r="P84" s="7">
        <v>2007</v>
      </c>
      <c r="Q84" s="7">
        <v>2008</v>
      </c>
      <c r="R84" s="7">
        <v>2011</v>
      </c>
      <c r="S84" s="7">
        <v>2009</v>
      </c>
      <c r="T84" s="7" t="s">
        <v>577</v>
      </c>
      <c r="U84" s="7">
        <v>2009</v>
      </c>
      <c r="V84" s="7">
        <v>2009</v>
      </c>
      <c r="W84" s="7">
        <v>2011</v>
      </c>
      <c r="X84" s="7">
        <v>2008</v>
      </c>
      <c r="Y84" s="7">
        <v>2008</v>
      </c>
      <c r="Z84" s="7">
        <v>2011</v>
      </c>
      <c r="AA84" s="7">
        <v>2011</v>
      </c>
      <c r="AB84" s="7"/>
      <c r="AC84" s="7">
        <v>2011</v>
      </c>
      <c r="AD84" s="7">
        <v>2008</v>
      </c>
      <c r="AE84" s="7">
        <v>2005</v>
      </c>
    </row>
    <row r="85" spans="1:31">
      <c r="A85" s="4" t="s">
        <v>202</v>
      </c>
      <c r="B85" s="4" t="s">
        <v>201</v>
      </c>
      <c r="C85" s="7">
        <v>2007</v>
      </c>
      <c r="D85" s="7"/>
      <c r="E85" s="7">
        <v>2009</v>
      </c>
      <c r="F85" s="7">
        <v>2011</v>
      </c>
      <c r="G85" s="7">
        <v>2011</v>
      </c>
      <c r="H85" s="7">
        <v>2011</v>
      </c>
      <c r="I85" s="7">
        <v>2011</v>
      </c>
      <c r="J85" s="7">
        <v>2011</v>
      </c>
      <c r="K85" s="7">
        <v>2009</v>
      </c>
      <c r="L85" s="7">
        <v>2011</v>
      </c>
      <c r="M85" s="7">
        <v>2009</v>
      </c>
      <c r="N85" s="7">
        <v>2008</v>
      </c>
      <c r="O85" s="7">
        <v>2008</v>
      </c>
      <c r="P85" s="7">
        <v>2006</v>
      </c>
      <c r="Q85" s="7">
        <v>2008</v>
      </c>
      <c r="R85" s="7">
        <v>2011</v>
      </c>
      <c r="S85" s="7">
        <v>2009</v>
      </c>
      <c r="T85" s="7" t="s">
        <v>577</v>
      </c>
      <c r="U85" s="7">
        <v>2009</v>
      </c>
      <c r="V85" s="7">
        <v>2009</v>
      </c>
      <c r="W85" s="7">
        <v>2011</v>
      </c>
      <c r="X85" s="7">
        <v>2003</v>
      </c>
      <c r="Y85" s="7">
        <v>2008</v>
      </c>
      <c r="Z85" s="7">
        <v>2011</v>
      </c>
      <c r="AA85" s="7">
        <v>2011</v>
      </c>
      <c r="AB85" s="7"/>
      <c r="AC85" s="7">
        <v>2011</v>
      </c>
      <c r="AD85" s="7"/>
      <c r="AE85" s="7">
        <v>2000</v>
      </c>
    </row>
    <row r="86" spans="1:31">
      <c r="A86" s="4" t="s">
        <v>204</v>
      </c>
      <c r="B86" s="4" t="s">
        <v>203</v>
      </c>
      <c r="C86" s="7">
        <v>2007</v>
      </c>
      <c r="D86" s="7"/>
      <c r="E86" s="7">
        <v>2009</v>
      </c>
      <c r="F86" s="7">
        <v>2011</v>
      </c>
      <c r="G86" s="7">
        <v>2011</v>
      </c>
      <c r="H86" s="7">
        <v>2011</v>
      </c>
      <c r="I86" s="7">
        <v>2011</v>
      </c>
      <c r="J86" s="7">
        <v>2011</v>
      </c>
      <c r="K86" s="7">
        <v>2008</v>
      </c>
      <c r="L86" s="7">
        <v>2011</v>
      </c>
      <c r="M86" s="7">
        <v>2009</v>
      </c>
      <c r="N86" s="7">
        <v>2008</v>
      </c>
      <c r="O86" s="7">
        <v>2008</v>
      </c>
      <c r="P86" s="7">
        <v>2003</v>
      </c>
      <c r="Q86" s="7">
        <v>2008</v>
      </c>
      <c r="R86" s="7">
        <v>2011</v>
      </c>
      <c r="S86" s="7">
        <v>2009</v>
      </c>
      <c r="T86" s="7" t="s">
        <v>577</v>
      </c>
      <c r="U86" s="7">
        <v>2009</v>
      </c>
      <c r="V86" s="7">
        <v>2009</v>
      </c>
      <c r="W86" s="7">
        <v>2011</v>
      </c>
      <c r="X86" s="7">
        <v>2005</v>
      </c>
      <c r="Y86" s="7">
        <v>2008</v>
      </c>
      <c r="Z86" s="7">
        <v>2011</v>
      </c>
      <c r="AA86" s="7">
        <v>2011</v>
      </c>
      <c r="AB86" s="7">
        <v>2011</v>
      </c>
      <c r="AC86" s="7">
        <v>2011</v>
      </c>
      <c r="AD86" s="7">
        <v>2008</v>
      </c>
      <c r="AE86" s="7">
        <v>2000</v>
      </c>
    </row>
    <row r="87" spans="1:31">
      <c r="A87" s="4" t="s">
        <v>206</v>
      </c>
      <c r="B87" s="4" t="s">
        <v>205</v>
      </c>
      <c r="C87" s="7">
        <v>2007</v>
      </c>
      <c r="D87" s="7"/>
      <c r="E87" s="7">
        <v>2009</v>
      </c>
      <c r="F87" s="7">
        <v>2011</v>
      </c>
      <c r="G87" s="7">
        <v>2011</v>
      </c>
      <c r="H87" s="7">
        <v>2011</v>
      </c>
      <c r="I87" s="7">
        <v>2011</v>
      </c>
      <c r="J87" s="7">
        <v>2011</v>
      </c>
      <c r="K87" s="7">
        <v>2009</v>
      </c>
      <c r="L87" s="7">
        <v>2011</v>
      </c>
      <c r="M87" s="7">
        <v>2009</v>
      </c>
      <c r="N87" s="7">
        <v>2008</v>
      </c>
      <c r="O87" s="7">
        <v>2008</v>
      </c>
      <c r="P87" s="7">
        <v>2006</v>
      </c>
      <c r="Q87" s="7">
        <v>2008</v>
      </c>
      <c r="R87" s="7">
        <v>2011</v>
      </c>
      <c r="S87" s="7">
        <v>2009</v>
      </c>
      <c r="T87" s="7" t="s">
        <v>577</v>
      </c>
      <c r="U87" s="7">
        <v>2009</v>
      </c>
      <c r="V87" s="7">
        <v>2009</v>
      </c>
      <c r="W87" s="7">
        <v>2011</v>
      </c>
      <c r="X87" s="7">
        <v>2007</v>
      </c>
      <c r="Y87" s="7">
        <v>2008</v>
      </c>
      <c r="Z87" s="7">
        <v>2011</v>
      </c>
      <c r="AA87" s="7">
        <v>2011</v>
      </c>
      <c r="AB87" s="7"/>
      <c r="AC87" s="7">
        <v>2011</v>
      </c>
      <c r="AD87" s="7">
        <v>2008</v>
      </c>
      <c r="AE87" s="7">
        <v>2000</v>
      </c>
    </row>
    <row r="88" spans="1:31">
      <c r="A88" s="4" t="s">
        <v>208</v>
      </c>
      <c r="B88" s="4" t="s">
        <v>207</v>
      </c>
      <c r="C88" s="7">
        <v>2007</v>
      </c>
      <c r="D88" s="7">
        <v>2002</v>
      </c>
      <c r="E88" s="7">
        <v>2009</v>
      </c>
      <c r="F88" s="7">
        <v>2011</v>
      </c>
      <c r="G88" s="7">
        <v>2011</v>
      </c>
      <c r="H88" s="7">
        <v>2011</v>
      </c>
      <c r="I88" s="7">
        <v>2011</v>
      </c>
      <c r="J88" s="7">
        <v>2011</v>
      </c>
      <c r="K88" s="7">
        <v>2008</v>
      </c>
      <c r="L88" s="7">
        <v>2011</v>
      </c>
      <c r="M88" s="7">
        <v>2009</v>
      </c>
      <c r="N88" s="7">
        <v>2008</v>
      </c>
      <c r="O88" s="7">
        <v>2008</v>
      </c>
      <c r="P88" s="7">
        <v>2009</v>
      </c>
      <c r="Q88" s="7">
        <v>2008</v>
      </c>
      <c r="R88" s="7">
        <v>2011</v>
      </c>
      <c r="S88" s="7">
        <v>2009</v>
      </c>
      <c r="T88" s="7" t="s">
        <v>577</v>
      </c>
      <c r="U88" s="7">
        <v>2009</v>
      </c>
      <c r="V88" s="7">
        <v>2009</v>
      </c>
      <c r="W88" s="7"/>
      <c r="X88" s="7">
        <v>2008</v>
      </c>
      <c r="Y88" s="7">
        <v>2008</v>
      </c>
      <c r="Z88" s="7">
        <v>2011</v>
      </c>
      <c r="AA88" s="7">
        <v>2011</v>
      </c>
      <c r="AB88" s="7">
        <v>2011</v>
      </c>
      <c r="AC88" s="7">
        <v>2011</v>
      </c>
      <c r="AD88" s="7">
        <v>2008</v>
      </c>
      <c r="AE88" s="7">
        <v>2005</v>
      </c>
    </row>
    <row r="89" spans="1:31">
      <c r="A89" s="4" t="s">
        <v>210</v>
      </c>
      <c r="B89" s="4" t="s">
        <v>209</v>
      </c>
      <c r="C89" s="7">
        <v>2007</v>
      </c>
      <c r="D89" s="7">
        <v>2006</v>
      </c>
      <c r="E89" s="7">
        <v>2009</v>
      </c>
      <c r="F89" s="7">
        <v>2011</v>
      </c>
      <c r="G89" s="7">
        <v>2011</v>
      </c>
      <c r="H89" s="7">
        <v>2011</v>
      </c>
      <c r="I89" s="7">
        <v>2011</v>
      </c>
      <c r="J89" s="7">
        <v>2011</v>
      </c>
      <c r="K89" s="7">
        <v>2008</v>
      </c>
      <c r="L89" s="7">
        <v>2011</v>
      </c>
      <c r="M89" s="7">
        <v>2009</v>
      </c>
      <c r="N89" s="7">
        <v>2008</v>
      </c>
      <c r="O89" s="7">
        <v>2008</v>
      </c>
      <c r="P89" s="7">
        <v>2007</v>
      </c>
      <c r="Q89" s="7">
        <v>2009</v>
      </c>
      <c r="R89" s="7">
        <v>2011</v>
      </c>
      <c r="S89" s="7">
        <v>2009</v>
      </c>
      <c r="T89" s="7" t="s">
        <v>577</v>
      </c>
      <c r="U89" s="7">
        <v>2009</v>
      </c>
      <c r="V89" s="7">
        <v>2009</v>
      </c>
      <c r="W89" s="7">
        <v>2011</v>
      </c>
      <c r="X89" s="7">
        <v>2008</v>
      </c>
      <c r="Y89" s="7">
        <v>2008</v>
      </c>
      <c r="Z89" s="7">
        <v>2011</v>
      </c>
      <c r="AA89" s="7">
        <v>2011</v>
      </c>
      <c r="AB89" s="7">
        <v>2011</v>
      </c>
      <c r="AC89" s="7">
        <v>2011</v>
      </c>
      <c r="AD89" s="7">
        <v>2008</v>
      </c>
      <c r="AE89" s="7">
        <v>2000</v>
      </c>
    </row>
    <row r="90" spans="1:31">
      <c r="A90" s="4" t="s">
        <v>212</v>
      </c>
      <c r="B90" s="4" t="s">
        <v>211</v>
      </c>
      <c r="C90" s="7">
        <v>2007</v>
      </c>
      <c r="D90" s="7">
        <v>2006</v>
      </c>
      <c r="E90" s="7">
        <v>2009</v>
      </c>
      <c r="F90" s="7">
        <v>2011</v>
      </c>
      <c r="G90" s="7">
        <v>2011</v>
      </c>
      <c r="H90" s="7">
        <v>2011</v>
      </c>
      <c r="I90" s="7">
        <v>2011</v>
      </c>
      <c r="J90" s="7">
        <v>2011</v>
      </c>
      <c r="K90" s="7">
        <v>2008</v>
      </c>
      <c r="L90" s="7">
        <v>2011</v>
      </c>
      <c r="M90" s="7">
        <v>2009</v>
      </c>
      <c r="N90" s="7">
        <v>2008</v>
      </c>
      <c r="O90" s="7">
        <v>2008</v>
      </c>
      <c r="P90" s="7">
        <v>2002</v>
      </c>
      <c r="Q90" s="7">
        <v>2009</v>
      </c>
      <c r="R90" s="7">
        <v>2011</v>
      </c>
      <c r="S90" s="7">
        <v>2009</v>
      </c>
      <c r="T90" s="7" t="s">
        <v>577</v>
      </c>
      <c r="U90" s="7">
        <v>2009</v>
      </c>
      <c r="V90" s="7">
        <v>2009</v>
      </c>
      <c r="W90" s="7">
        <v>2011</v>
      </c>
      <c r="X90" s="7">
        <v>2004</v>
      </c>
      <c r="Y90" s="7">
        <v>2008</v>
      </c>
      <c r="Z90" s="7">
        <v>2011</v>
      </c>
      <c r="AA90" s="7">
        <v>2011</v>
      </c>
      <c r="AB90" s="7">
        <v>2011</v>
      </c>
      <c r="AC90" s="7">
        <v>2011</v>
      </c>
      <c r="AD90" s="7">
        <v>2008</v>
      </c>
      <c r="AE90" s="7">
        <v>2005</v>
      </c>
    </row>
    <row r="91" spans="1:31">
      <c r="A91" s="4" t="s">
        <v>214</v>
      </c>
      <c r="B91" s="4" t="s">
        <v>213</v>
      </c>
      <c r="C91" s="7">
        <v>2007</v>
      </c>
      <c r="D91" s="7"/>
      <c r="E91" s="7">
        <v>2009</v>
      </c>
      <c r="F91" s="7">
        <v>2011</v>
      </c>
      <c r="G91" s="7">
        <v>2011</v>
      </c>
      <c r="H91" s="7">
        <v>2011</v>
      </c>
      <c r="I91" s="7">
        <v>2011</v>
      </c>
      <c r="J91" s="7">
        <v>2011</v>
      </c>
      <c r="K91" s="7"/>
      <c r="L91" s="7">
        <v>2011</v>
      </c>
      <c r="M91" s="7">
        <v>2009</v>
      </c>
      <c r="N91" s="7">
        <v>2005</v>
      </c>
      <c r="O91" s="7"/>
      <c r="P91" s="7">
        <v>2004</v>
      </c>
      <c r="Q91" s="7"/>
      <c r="R91" s="7">
        <v>2011</v>
      </c>
      <c r="S91" s="7">
        <v>2009</v>
      </c>
      <c r="T91" s="7" t="s">
        <v>577</v>
      </c>
      <c r="U91" s="7">
        <v>2009</v>
      </c>
      <c r="V91" s="7">
        <v>2009</v>
      </c>
      <c r="W91" s="7"/>
      <c r="X91" s="7"/>
      <c r="Y91" s="7">
        <v>2005</v>
      </c>
      <c r="Z91" s="7">
        <v>2011</v>
      </c>
      <c r="AA91" s="7">
        <v>2011</v>
      </c>
      <c r="AB91" s="7">
        <v>2011</v>
      </c>
      <c r="AC91" s="7">
        <v>2011</v>
      </c>
      <c r="AD91" s="7">
        <v>2005</v>
      </c>
      <c r="AE91" s="7"/>
    </row>
    <row r="92" spans="1:31">
      <c r="A92" s="4" t="s">
        <v>216</v>
      </c>
      <c r="B92" s="4" t="s">
        <v>215</v>
      </c>
      <c r="C92" s="7">
        <v>2007</v>
      </c>
      <c r="D92" s="7">
        <v>2004</v>
      </c>
      <c r="E92" s="7">
        <v>2009</v>
      </c>
      <c r="F92" s="7">
        <v>2011</v>
      </c>
      <c r="G92" s="7">
        <v>2011</v>
      </c>
      <c r="H92" s="7">
        <v>2011</v>
      </c>
      <c r="I92" s="7">
        <v>2011</v>
      </c>
      <c r="J92" s="7"/>
      <c r="K92" s="7">
        <v>2008</v>
      </c>
      <c r="L92" s="7"/>
      <c r="M92" s="7">
        <v>2009</v>
      </c>
      <c r="N92" s="7">
        <v>2008</v>
      </c>
      <c r="O92" s="7">
        <v>2008</v>
      </c>
      <c r="P92" s="7">
        <v>2003</v>
      </c>
      <c r="Q92" s="7"/>
      <c r="R92" s="7">
        <v>2011</v>
      </c>
      <c r="S92" s="7">
        <v>2009</v>
      </c>
      <c r="T92" s="7" t="s">
        <v>577</v>
      </c>
      <c r="U92" s="7">
        <v>2009</v>
      </c>
      <c r="V92" s="7">
        <v>2009</v>
      </c>
      <c r="W92" s="7">
        <v>2011</v>
      </c>
      <c r="X92" s="7">
        <v>2006</v>
      </c>
      <c r="Y92" s="7">
        <v>2008</v>
      </c>
      <c r="Z92" s="7">
        <v>2011</v>
      </c>
      <c r="AA92" s="7">
        <v>2011</v>
      </c>
      <c r="AB92" s="7"/>
      <c r="AC92" s="7">
        <v>2011</v>
      </c>
      <c r="AD92" s="7">
        <v>2000</v>
      </c>
      <c r="AE92" s="7">
        <v>2000</v>
      </c>
    </row>
    <row r="93" spans="1:31">
      <c r="A93" s="4" t="s">
        <v>218</v>
      </c>
      <c r="B93" s="4" t="s">
        <v>217</v>
      </c>
      <c r="C93" s="7">
        <v>2007</v>
      </c>
      <c r="D93" s="7"/>
      <c r="E93" s="7">
        <v>2009</v>
      </c>
      <c r="F93" s="7">
        <v>2011</v>
      </c>
      <c r="G93" s="7">
        <v>2011</v>
      </c>
      <c r="H93" s="7">
        <v>2011</v>
      </c>
      <c r="I93" s="7">
        <v>2011</v>
      </c>
      <c r="J93" s="7">
        <v>2011</v>
      </c>
      <c r="K93" s="7">
        <v>2009</v>
      </c>
      <c r="L93" s="7">
        <v>2011</v>
      </c>
      <c r="M93" s="7">
        <v>2009</v>
      </c>
      <c r="N93" s="7">
        <v>2008</v>
      </c>
      <c r="O93" s="7">
        <v>2008</v>
      </c>
      <c r="P93" s="7">
        <v>2008</v>
      </c>
      <c r="Q93" s="7">
        <v>2008</v>
      </c>
      <c r="R93" s="7">
        <v>2011</v>
      </c>
      <c r="S93" s="7">
        <v>2009</v>
      </c>
      <c r="T93" s="7" t="s">
        <v>577</v>
      </c>
      <c r="U93" s="7">
        <v>2009</v>
      </c>
      <c r="V93" s="7">
        <v>2009</v>
      </c>
      <c r="W93" s="7">
        <v>2011</v>
      </c>
      <c r="X93" s="7">
        <v>2008</v>
      </c>
      <c r="Y93" s="7">
        <v>2008</v>
      </c>
      <c r="Z93" s="7">
        <v>2011</v>
      </c>
      <c r="AA93" s="7">
        <v>2011</v>
      </c>
      <c r="AB93" s="7"/>
      <c r="AC93" s="7">
        <v>2011</v>
      </c>
      <c r="AD93" s="7">
        <v>2008</v>
      </c>
      <c r="AE93" s="7">
        <v>2000</v>
      </c>
    </row>
    <row r="94" spans="1:31">
      <c r="A94" s="4" t="s">
        <v>220</v>
      </c>
      <c r="B94" s="4" t="s">
        <v>219</v>
      </c>
      <c r="C94" s="7">
        <v>2007</v>
      </c>
      <c r="D94" s="7">
        <v>2006</v>
      </c>
      <c r="E94" s="7">
        <v>2009</v>
      </c>
      <c r="F94" s="7">
        <v>2011</v>
      </c>
      <c r="G94" s="7">
        <v>2011</v>
      </c>
      <c r="H94" s="7">
        <v>2011</v>
      </c>
      <c r="I94" s="7">
        <v>2011</v>
      </c>
      <c r="J94" s="7">
        <v>2011</v>
      </c>
      <c r="K94" s="7">
        <v>2008</v>
      </c>
      <c r="L94" s="7">
        <v>2011</v>
      </c>
      <c r="M94" s="7">
        <v>2009</v>
      </c>
      <c r="N94" s="7">
        <v>2008</v>
      </c>
      <c r="O94" s="7">
        <v>2008</v>
      </c>
      <c r="P94" s="7">
        <v>2009</v>
      </c>
      <c r="Q94" s="7">
        <v>2004</v>
      </c>
      <c r="R94" s="7">
        <v>2011</v>
      </c>
      <c r="S94" s="7">
        <v>2008</v>
      </c>
      <c r="T94" s="7" t="s">
        <v>577</v>
      </c>
      <c r="U94" s="7">
        <v>2009</v>
      </c>
      <c r="V94" s="7">
        <v>2009</v>
      </c>
      <c r="W94" s="7">
        <v>2011</v>
      </c>
      <c r="X94" s="7">
        <v>2004</v>
      </c>
      <c r="Y94" s="7">
        <v>2008</v>
      </c>
      <c r="Z94" s="7">
        <v>2011</v>
      </c>
      <c r="AA94" s="7">
        <v>2011</v>
      </c>
      <c r="AB94" s="7"/>
      <c r="AC94" s="7">
        <v>2011</v>
      </c>
      <c r="AD94" s="7">
        <v>2008</v>
      </c>
      <c r="AE94" s="7">
        <v>2000</v>
      </c>
    </row>
    <row r="95" spans="1:31">
      <c r="A95" s="4" t="s">
        <v>222</v>
      </c>
      <c r="B95" s="4" t="s">
        <v>221</v>
      </c>
      <c r="C95" s="7">
        <v>2007</v>
      </c>
      <c r="D95" s="7">
        <v>2006</v>
      </c>
      <c r="E95" s="7">
        <v>2009</v>
      </c>
      <c r="F95" s="7">
        <v>2011</v>
      </c>
      <c r="G95" s="7">
        <v>2011</v>
      </c>
      <c r="H95" s="7"/>
      <c r="I95" s="7"/>
      <c r="J95" s="7">
        <v>2011</v>
      </c>
      <c r="K95" s="7">
        <v>2008</v>
      </c>
      <c r="L95" s="7">
        <v>2011</v>
      </c>
      <c r="M95" s="7">
        <v>2009</v>
      </c>
      <c r="N95" s="7">
        <v>2008</v>
      </c>
      <c r="O95" s="7">
        <v>2008</v>
      </c>
      <c r="P95" s="7">
        <v>2007</v>
      </c>
      <c r="Q95" s="7">
        <v>2009</v>
      </c>
      <c r="R95" s="7">
        <v>2011</v>
      </c>
      <c r="S95" s="7">
        <v>2009</v>
      </c>
      <c r="T95" s="7" t="s">
        <v>577</v>
      </c>
      <c r="U95" s="7">
        <v>2009</v>
      </c>
      <c r="V95" s="7">
        <v>2009</v>
      </c>
      <c r="W95" s="7">
        <v>2011</v>
      </c>
      <c r="X95" s="7">
        <v>2001</v>
      </c>
      <c r="Y95" s="7">
        <v>2008</v>
      </c>
      <c r="Z95" s="7">
        <v>2011</v>
      </c>
      <c r="AA95" s="7">
        <v>2011</v>
      </c>
      <c r="AB95" s="7">
        <v>2011</v>
      </c>
      <c r="AC95" s="7">
        <v>2011</v>
      </c>
      <c r="AD95" s="7">
        <v>2008</v>
      </c>
      <c r="AE95" s="7">
        <v>2000</v>
      </c>
    </row>
    <row r="96" spans="1:31">
      <c r="A96" s="4" t="s">
        <v>224</v>
      </c>
      <c r="B96" s="4" t="s">
        <v>223</v>
      </c>
      <c r="C96" s="7">
        <v>2007</v>
      </c>
      <c r="D96" s="7">
        <v>2006</v>
      </c>
      <c r="E96" s="7">
        <v>2009</v>
      </c>
      <c r="F96" s="7">
        <v>2011</v>
      </c>
      <c r="G96" s="7">
        <v>2011</v>
      </c>
      <c r="H96" s="7"/>
      <c r="I96" s="7"/>
      <c r="J96" s="7">
        <v>2011</v>
      </c>
      <c r="K96" s="7"/>
      <c r="L96" s="7">
        <v>2011</v>
      </c>
      <c r="M96" s="7">
        <v>2008</v>
      </c>
      <c r="N96" s="7">
        <v>2008</v>
      </c>
      <c r="O96" s="7">
        <v>2008</v>
      </c>
      <c r="P96" s="7">
        <v>2005</v>
      </c>
      <c r="Q96" s="7">
        <v>2008</v>
      </c>
      <c r="R96" s="7">
        <v>2011</v>
      </c>
      <c r="S96" s="7">
        <v>2009</v>
      </c>
      <c r="T96" s="7" t="s">
        <v>577</v>
      </c>
      <c r="U96" s="7">
        <v>2009</v>
      </c>
      <c r="V96" s="7">
        <v>2009</v>
      </c>
      <c r="W96" s="7">
        <v>2011</v>
      </c>
      <c r="X96" s="7">
        <v>2008</v>
      </c>
      <c r="Y96" s="7">
        <v>2008</v>
      </c>
      <c r="Z96" s="7">
        <v>2011</v>
      </c>
      <c r="AA96" s="7">
        <v>2011</v>
      </c>
      <c r="AB96" s="7">
        <v>2011</v>
      </c>
      <c r="AC96" s="7">
        <v>2011</v>
      </c>
      <c r="AD96" s="7">
        <v>2008</v>
      </c>
      <c r="AE96" s="7">
        <v>2000</v>
      </c>
    </row>
    <row r="97" spans="1:31">
      <c r="A97" s="4" t="s">
        <v>226</v>
      </c>
      <c r="B97" s="4" t="s">
        <v>225</v>
      </c>
      <c r="C97" s="7">
        <v>2007</v>
      </c>
      <c r="D97" s="7"/>
      <c r="E97" s="7">
        <v>2009</v>
      </c>
      <c r="F97" s="7">
        <v>2011</v>
      </c>
      <c r="G97" s="7">
        <v>2011</v>
      </c>
      <c r="H97" s="7">
        <v>2011</v>
      </c>
      <c r="I97" s="7">
        <v>2011</v>
      </c>
      <c r="J97" s="7">
        <v>2011</v>
      </c>
      <c r="K97" s="7">
        <v>2008</v>
      </c>
      <c r="L97" s="7">
        <v>2011</v>
      </c>
      <c r="M97" s="7">
        <v>2007</v>
      </c>
      <c r="N97" s="7">
        <v>2008</v>
      </c>
      <c r="O97" s="7">
        <v>2008</v>
      </c>
      <c r="P97" s="7">
        <v>2009</v>
      </c>
      <c r="Q97" s="7">
        <v>2008</v>
      </c>
      <c r="R97" s="7">
        <v>2011</v>
      </c>
      <c r="S97" s="7">
        <v>2009</v>
      </c>
      <c r="T97" s="7" t="s">
        <v>577</v>
      </c>
      <c r="U97" s="7">
        <v>2009</v>
      </c>
      <c r="V97" s="7">
        <v>2009</v>
      </c>
      <c r="W97" s="7"/>
      <c r="X97" s="7">
        <v>2008</v>
      </c>
      <c r="Y97" s="7">
        <v>2008</v>
      </c>
      <c r="Z97" s="7">
        <v>2011</v>
      </c>
      <c r="AA97" s="7">
        <v>2011</v>
      </c>
      <c r="AB97" s="7"/>
      <c r="AC97" s="7">
        <v>2011</v>
      </c>
      <c r="AD97" s="7">
        <v>2008</v>
      </c>
      <c r="AE97" s="7">
        <v>2000</v>
      </c>
    </row>
    <row r="98" spans="1:31">
      <c r="A98" s="4" t="s">
        <v>228</v>
      </c>
      <c r="B98" s="4" t="s">
        <v>227</v>
      </c>
      <c r="C98" s="7">
        <v>2007</v>
      </c>
      <c r="D98" s="7">
        <v>2006</v>
      </c>
      <c r="E98" s="7">
        <v>2009</v>
      </c>
      <c r="F98" s="7">
        <v>2011</v>
      </c>
      <c r="G98" s="7">
        <v>2011</v>
      </c>
      <c r="H98" s="7">
        <v>2011</v>
      </c>
      <c r="I98" s="7">
        <v>2011</v>
      </c>
      <c r="J98" s="7">
        <v>2011</v>
      </c>
      <c r="K98" s="7">
        <v>2008</v>
      </c>
      <c r="L98" s="7">
        <v>2011</v>
      </c>
      <c r="M98" s="7">
        <v>2009</v>
      </c>
      <c r="N98" s="7">
        <v>2008</v>
      </c>
      <c r="O98" s="7">
        <v>2008</v>
      </c>
      <c r="P98" s="7">
        <v>2009</v>
      </c>
      <c r="Q98" s="7">
        <v>2009</v>
      </c>
      <c r="R98" s="7">
        <v>2011</v>
      </c>
      <c r="S98" s="7">
        <v>2009</v>
      </c>
      <c r="T98" s="7" t="s">
        <v>577</v>
      </c>
      <c r="U98" s="7">
        <v>2009</v>
      </c>
      <c r="V98" s="7">
        <v>2009</v>
      </c>
      <c r="W98" s="7">
        <v>2011</v>
      </c>
      <c r="X98" s="7">
        <v>1999</v>
      </c>
      <c r="Y98" s="7">
        <v>2008</v>
      </c>
      <c r="Z98" s="7">
        <v>2011</v>
      </c>
      <c r="AA98" s="7">
        <v>2011</v>
      </c>
      <c r="AB98" s="7">
        <v>2011</v>
      </c>
      <c r="AC98" s="7">
        <v>2011</v>
      </c>
      <c r="AD98" s="7">
        <v>2005</v>
      </c>
      <c r="AE98" s="7">
        <v>2005</v>
      </c>
    </row>
    <row r="99" spans="1:31">
      <c r="A99" s="4" t="s">
        <v>230</v>
      </c>
      <c r="B99" s="4" t="s">
        <v>229</v>
      </c>
      <c r="C99" s="7">
        <v>2007</v>
      </c>
      <c r="D99" s="7">
        <v>2004</v>
      </c>
      <c r="E99" s="7">
        <v>2009</v>
      </c>
      <c r="F99" s="7">
        <v>2011</v>
      </c>
      <c r="G99" s="7">
        <v>2011</v>
      </c>
      <c r="H99" s="7"/>
      <c r="I99" s="7"/>
      <c r="J99" s="7">
        <v>2011</v>
      </c>
      <c r="K99" s="7"/>
      <c r="L99" s="7">
        <v>2011</v>
      </c>
      <c r="M99" s="7">
        <v>2009</v>
      </c>
      <c r="N99" s="7">
        <v>2008</v>
      </c>
      <c r="O99" s="7">
        <v>2008</v>
      </c>
      <c r="P99" s="7">
        <v>2003</v>
      </c>
      <c r="Q99" s="7">
        <v>2006</v>
      </c>
      <c r="R99" s="7">
        <v>2011</v>
      </c>
      <c r="S99" s="7">
        <v>2009</v>
      </c>
      <c r="T99" s="7" t="s">
        <v>577</v>
      </c>
      <c r="U99" s="7">
        <v>2009</v>
      </c>
      <c r="V99" s="7">
        <v>2009</v>
      </c>
      <c r="W99" s="7"/>
      <c r="X99" s="7">
        <v>2001</v>
      </c>
      <c r="Y99" s="7">
        <v>2008</v>
      </c>
      <c r="Z99" s="7">
        <v>2011</v>
      </c>
      <c r="AA99" s="7">
        <v>2011</v>
      </c>
      <c r="AB99" s="7">
        <v>2011</v>
      </c>
      <c r="AC99" s="7">
        <v>2011</v>
      </c>
      <c r="AD99" s="7">
        <v>2008</v>
      </c>
      <c r="AE99" s="7">
        <v>2000</v>
      </c>
    </row>
    <row r="100" spans="1:31">
      <c r="A100" s="5" t="s">
        <v>232</v>
      </c>
      <c r="B100" s="5" t="s">
        <v>231</v>
      </c>
      <c r="C100" s="7">
        <v>2007</v>
      </c>
      <c r="D100" s="7">
        <v>2007</v>
      </c>
      <c r="E100" s="7">
        <v>2009</v>
      </c>
      <c r="F100" s="7">
        <v>2011</v>
      </c>
      <c r="G100" s="7">
        <v>2011</v>
      </c>
      <c r="H100" s="7"/>
      <c r="I100" s="7"/>
      <c r="J100" s="7">
        <v>2011</v>
      </c>
      <c r="K100" s="7"/>
      <c r="L100" s="7">
        <v>2011</v>
      </c>
      <c r="M100" s="7">
        <v>2009</v>
      </c>
      <c r="N100" s="7">
        <v>2008</v>
      </c>
      <c r="O100" s="7">
        <v>2008</v>
      </c>
      <c r="P100" s="7">
        <v>2008</v>
      </c>
      <c r="Q100" s="7">
        <v>2000</v>
      </c>
      <c r="R100" s="7">
        <v>2011</v>
      </c>
      <c r="S100" s="7">
        <v>2009</v>
      </c>
      <c r="T100" s="7" t="s">
        <v>577</v>
      </c>
      <c r="U100" s="7">
        <v>2009</v>
      </c>
      <c r="V100" s="7">
        <v>2009</v>
      </c>
      <c r="W100" s="7">
        <v>2011</v>
      </c>
      <c r="X100" s="7">
        <v>2001</v>
      </c>
      <c r="Y100" s="7">
        <v>2008</v>
      </c>
      <c r="Z100" s="7">
        <v>2011</v>
      </c>
      <c r="AA100" s="7">
        <v>2011</v>
      </c>
      <c r="AB100" s="7">
        <v>2011</v>
      </c>
      <c r="AC100" s="7">
        <v>2011</v>
      </c>
      <c r="AD100" s="7">
        <v>2008</v>
      </c>
      <c r="AE100" s="7">
        <v>2000</v>
      </c>
    </row>
    <row r="101" spans="1:31" ht="30">
      <c r="A101" s="5" t="s">
        <v>234</v>
      </c>
      <c r="B101" s="5" t="s">
        <v>233</v>
      </c>
      <c r="C101" s="7">
        <v>2007</v>
      </c>
      <c r="D101" s="7">
        <v>2005</v>
      </c>
      <c r="E101" s="7">
        <v>2009</v>
      </c>
      <c r="F101" s="7">
        <v>2011</v>
      </c>
      <c r="G101" s="7">
        <v>2011</v>
      </c>
      <c r="H101" s="7">
        <v>2011</v>
      </c>
      <c r="I101" s="7">
        <v>2011</v>
      </c>
      <c r="J101" s="7">
        <v>2011</v>
      </c>
      <c r="K101" s="7">
        <v>2008</v>
      </c>
      <c r="L101" s="7">
        <v>2011</v>
      </c>
      <c r="M101" s="7">
        <v>2009</v>
      </c>
      <c r="N101" s="7">
        <v>2008</v>
      </c>
      <c r="O101" s="7">
        <v>2008</v>
      </c>
      <c r="P101" s="7">
        <v>2009</v>
      </c>
      <c r="Q101" s="7">
        <v>2003</v>
      </c>
      <c r="R101" s="7">
        <v>2011</v>
      </c>
      <c r="S101" s="7">
        <v>2009</v>
      </c>
      <c r="T101" s="7" t="s">
        <v>577</v>
      </c>
      <c r="U101" s="7">
        <v>2009</v>
      </c>
      <c r="V101" s="7">
        <v>2009</v>
      </c>
      <c r="W101" s="7">
        <v>2011</v>
      </c>
      <c r="X101" s="7">
        <v>2001</v>
      </c>
      <c r="Y101" s="7">
        <v>2000</v>
      </c>
      <c r="Z101" s="7">
        <v>2011</v>
      </c>
      <c r="AA101" s="7">
        <v>2011</v>
      </c>
      <c r="AB101" s="7"/>
      <c r="AC101" s="7">
        <v>2011</v>
      </c>
      <c r="AD101" s="7">
        <v>2008</v>
      </c>
      <c r="AE101" s="7">
        <v>2000</v>
      </c>
    </row>
    <row r="102" spans="1:31" ht="30">
      <c r="A102" s="5" t="s">
        <v>236</v>
      </c>
      <c r="B102" s="5" t="s">
        <v>235</v>
      </c>
      <c r="C102" s="7"/>
      <c r="D102" s="7"/>
      <c r="E102" s="7">
        <v>2009</v>
      </c>
      <c r="F102" s="7">
        <v>2011</v>
      </c>
      <c r="G102" s="7">
        <v>2011</v>
      </c>
      <c r="H102" s="7"/>
      <c r="I102" s="7"/>
      <c r="J102" s="7">
        <v>2011</v>
      </c>
      <c r="K102" s="7"/>
      <c r="L102" s="7"/>
      <c r="M102" s="7">
        <v>2009</v>
      </c>
      <c r="N102" s="7">
        <v>2008</v>
      </c>
      <c r="O102" s="7"/>
      <c r="P102" s="7"/>
      <c r="Q102" s="7">
        <v>2008</v>
      </c>
      <c r="R102" s="7"/>
      <c r="S102" s="7">
        <v>2009</v>
      </c>
      <c r="T102" s="7" t="s">
        <v>577</v>
      </c>
      <c r="U102" s="7">
        <v>2009</v>
      </c>
      <c r="V102" s="7">
        <v>2009</v>
      </c>
      <c r="W102" s="7"/>
      <c r="X102" s="7"/>
      <c r="Y102" s="7"/>
      <c r="Z102" s="7">
        <v>2011</v>
      </c>
      <c r="AA102" s="7">
        <v>2011</v>
      </c>
      <c r="AB102" s="7"/>
      <c r="AC102" s="7"/>
      <c r="AD102" s="7"/>
      <c r="AE102" s="7"/>
    </row>
    <row r="103" spans="1:31">
      <c r="A103" s="5" t="s">
        <v>238</v>
      </c>
      <c r="B103" s="5" t="s">
        <v>237</v>
      </c>
      <c r="C103" s="7">
        <v>2007</v>
      </c>
      <c r="D103" s="7"/>
      <c r="E103" s="7">
        <v>2009</v>
      </c>
      <c r="F103" s="7">
        <v>2011</v>
      </c>
      <c r="G103" s="7">
        <v>2011</v>
      </c>
      <c r="H103" s="7">
        <v>2011</v>
      </c>
      <c r="I103" s="7">
        <v>2011</v>
      </c>
      <c r="J103" s="7">
        <v>2011</v>
      </c>
      <c r="K103" s="7">
        <v>2008</v>
      </c>
      <c r="L103" s="7">
        <v>2011</v>
      </c>
      <c r="M103" s="7">
        <v>2008</v>
      </c>
      <c r="N103" s="7">
        <v>2008</v>
      </c>
      <c r="O103" s="7">
        <v>2008</v>
      </c>
      <c r="P103" s="7">
        <v>2008</v>
      </c>
      <c r="Q103" s="7">
        <v>2008</v>
      </c>
      <c r="R103" s="7">
        <v>2011</v>
      </c>
      <c r="S103" s="7">
        <v>2009</v>
      </c>
      <c r="T103" s="7" t="s">
        <v>577</v>
      </c>
      <c r="U103" s="7">
        <v>2009</v>
      </c>
      <c r="V103" s="7">
        <v>2009</v>
      </c>
      <c r="W103" s="7"/>
      <c r="X103" s="7">
        <v>2008</v>
      </c>
      <c r="Y103" s="7"/>
      <c r="Z103" s="7">
        <v>2011</v>
      </c>
      <c r="AA103" s="7">
        <v>2011</v>
      </c>
      <c r="AB103" s="7"/>
      <c r="AC103" s="7">
        <v>2011</v>
      </c>
      <c r="AD103" s="7"/>
      <c r="AE103" s="7">
        <v>2005</v>
      </c>
    </row>
    <row r="104" spans="1:31" ht="30">
      <c r="A104" s="5" t="s">
        <v>240</v>
      </c>
      <c r="B104" s="5" t="s">
        <v>239</v>
      </c>
      <c r="C104" s="7">
        <v>2007</v>
      </c>
      <c r="D104" s="7"/>
      <c r="E104" s="7">
        <v>2009</v>
      </c>
      <c r="F104" s="7">
        <v>2011</v>
      </c>
      <c r="G104" s="7">
        <v>2011</v>
      </c>
      <c r="H104" s="7"/>
      <c r="I104" s="7"/>
      <c r="J104" s="7">
        <v>2011</v>
      </c>
      <c r="K104" s="7">
        <v>2009</v>
      </c>
      <c r="L104" s="7">
        <v>2011</v>
      </c>
      <c r="M104" s="7">
        <v>2008</v>
      </c>
      <c r="N104" s="7">
        <v>2008</v>
      </c>
      <c r="O104" s="7">
        <v>2008</v>
      </c>
      <c r="P104" s="7">
        <v>2006</v>
      </c>
      <c r="Q104" s="7">
        <v>2006</v>
      </c>
      <c r="R104" s="7">
        <v>2011</v>
      </c>
      <c r="S104" s="7">
        <v>2009</v>
      </c>
      <c r="T104" s="7" t="s">
        <v>577</v>
      </c>
      <c r="U104" s="7">
        <v>2009</v>
      </c>
      <c r="V104" s="7">
        <v>2009</v>
      </c>
      <c r="W104" s="7"/>
      <c r="X104" s="7">
        <v>2004</v>
      </c>
      <c r="Y104" s="7">
        <v>2008</v>
      </c>
      <c r="Z104" s="7">
        <v>2011</v>
      </c>
      <c r="AA104" s="7">
        <v>2011</v>
      </c>
      <c r="AB104" s="7">
        <v>2011</v>
      </c>
      <c r="AC104" s="7">
        <v>2011</v>
      </c>
      <c r="AD104" s="7">
        <v>2008</v>
      </c>
      <c r="AE104" s="7">
        <v>2000</v>
      </c>
    </row>
    <row r="105" spans="1:31" ht="30">
      <c r="A105" s="5" t="s">
        <v>242</v>
      </c>
      <c r="B105" s="5" t="s">
        <v>241</v>
      </c>
      <c r="C105" s="7">
        <v>2007</v>
      </c>
      <c r="D105" s="7">
        <v>2004</v>
      </c>
      <c r="E105" s="7">
        <v>2009</v>
      </c>
      <c r="F105" s="7">
        <v>2011</v>
      </c>
      <c r="G105" s="7">
        <v>2011</v>
      </c>
      <c r="H105" s="7">
        <v>2011</v>
      </c>
      <c r="I105" s="7">
        <v>2011</v>
      </c>
      <c r="J105" s="7">
        <v>2011</v>
      </c>
      <c r="K105" s="7"/>
      <c r="L105" s="7">
        <v>2011</v>
      </c>
      <c r="M105" s="7">
        <v>2009</v>
      </c>
      <c r="N105" s="7">
        <v>2008</v>
      </c>
      <c r="O105" s="7">
        <v>2008</v>
      </c>
      <c r="P105" s="7">
        <v>2004</v>
      </c>
      <c r="Q105" s="7">
        <v>2009</v>
      </c>
      <c r="R105" s="7">
        <v>2011</v>
      </c>
      <c r="S105" s="7">
        <v>2009</v>
      </c>
      <c r="T105" s="7" t="s">
        <v>577</v>
      </c>
      <c r="U105" s="7">
        <v>2009</v>
      </c>
      <c r="V105" s="7">
        <v>2009</v>
      </c>
      <c r="W105" s="7">
        <v>2011</v>
      </c>
      <c r="X105" s="7">
        <v>2001</v>
      </c>
      <c r="Y105" s="7">
        <v>2008</v>
      </c>
      <c r="Z105" s="7">
        <v>2011</v>
      </c>
      <c r="AA105" s="7">
        <v>2011</v>
      </c>
      <c r="AB105" s="7">
        <v>2011</v>
      </c>
      <c r="AC105" s="7">
        <v>2011</v>
      </c>
      <c r="AD105" s="7">
        <v>2008</v>
      </c>
      <c r="AE105" s="7">
        <v>2000</v>
      </c>
    </row>
    <row r="106" spans="1:31">
      <c r="A106" s="5" t="s">
        <v>244</v>
      </c>
      <c r="B106" s="5" t="s">
        <v>243</v>
      </c>
      <c r="C106" s="7">
        <v>2007</v>
      </c>
      <c r="D106" s="7">
        <v>2006</v>
      </c>
      <c r="E106" s="7">
        <v>2009</v>
      </c>
      <c r="F106" s="7">
        <v>2011</v>
      </c>
      <c r="G106" s="7">
        <v>2011</v>
      </c>
      <c r="H106" s="7"/>
      <c r="I106" s="7"/>
      <c r="J106" s="7">
        <v>2011</v>
      </c>
      <c r="K106" s="7"/>
      <c r="L106" s="7">
        <v>2011</v>
      </c>
      <c r="M106" s="7">
        <v>2009</v>
      </c>
      <c r="N106" s="7">
        <v>2008</v>
      </c>
      <c r="O106" s="7">
        <v>2008</v>
      </c>
      <c r="P106" s="7">
        <v>2008</v>
      </c>
      <c r="Q106" s="7">
        <v>2007</v>
      </c>
      <c r="R106" s="7">
        <v>2011</v>
      </c>
      <c r="S106" s="7">
        <v>2009</v>
      </c>
      <c r="T106" s="7" t="s">
        <v>577</v>
      </c>
      <c r="U106" s="7">
        <v>2009</v>
      </c>
      <c r="V106" s="7">
        <v>2009</v>
      </c>
      <c r="W106" s="7">
        <v>2011</v>
      </c>
      <c r="X106" s="7">
        <v>2003</v>
      </c>
      <c r="Y106" s="7">
        <v>2008</v>
      </c>
      <c r="Z106" s="7">
        <v>2011</v>
      </c>
      <c r="AA106" s="7">
        <v>2011</v>
      </c>
      <c r="AB106" s="7">
        <v>2011</v>
      </c>
      <c r="AC106" s="7">
        <v>2011</v>
      </c>
      <c r="AD106" s="7">
        <v>2008</v>
      </c>
      <c r="AE106" s="7">
        <v>2000</v>
      </c>
    </row>
    <row r="107" spans="1:31">
      <c r="A107" s="5" t="s">
        <v>246</v>
      </c>
      <c r="B107" s="5" t="s">
        <v>245</v>
      </c>
      <c r="C107" s="7">
        <v>2007</v>
      </c>
      <c r="D107" s="7">
        <v>2005</v>
      </c>
      <c r="E107" s="7">
        <v>2009</v>
      </c>
      <c r="F107" s="7">
        <v>2011</v>
      </c>
      <c r="G107" s="7">
        <v>2011</v>
      </c>
      <c r="H107" s="7">
        <v>2011</v>
      </c>
      <c r="I107" s="7">
        <v>2011</v>
      </c>
      <c r="J107" s="7">
        <v>2011</v>
      </c>
      <c r="K107" s="7">
        <v>2008</v>
      </c>
      <c r="L107" s="7">
        <v>2011</v>
      </c>
      <c r="M107" s="7">
        <v>2008</v>
      </c>
      <c r="N107" s="7">
        <v>2008</v>
      </c>
      <c r="O107" s="7">
        <v>2008</v>
      </c>
      <c r="P107" s="7">
        <v>2008</v>
      </c>
      <c r="Q107" s="7">
        <v>2008</v>
      </c>
      <c r="R107" s="7">
        <v>2011</v>
      </c>
      <c r="S107" s="7">
        <v>2009</v>
      </c>
      <c r="T107" s="7" t="s">
        <v>577</v>
      </c>
      <c r="U107" s="7">
        <v>2009</v>
      </c>
      <c r="V107" s="7">
        <v>2009</v>
      </c>
      <c r="W107" s="7">
        <v>2011</v>
      </c>
      <c r="X107" s="7">
        <v>2006</v>
      </c>
      <c r="Y107" s="7">
        <v>2008</v>
      </c>
      <c r="Z107" s="7">
        <v>2011</v>
      </c>
      <c r="AA107" s="7">
        <v>2011</v>
      </c>
      <c r="AB107" s="7">
        <v>2011</v>
      </c>
      <c r="AC107" s="7">
        <v>2011</v>
      </c>
      <c r="AD107" s="7">
        <v>2008</v>
      </c>
      <c r="AE107" s="7">
        <v>2000</v>
      </c>
    </row>
    <row r="108" spans="1:31">
      <c r="A108" s="5" t="s">
        <v>248</v>
      </c>
      <c r="B108" s="5" t="s">
        <v>247</v>
      </c>
      <c r="C108" s="7">
        <v>2007</v>
      </c>
      <c r="D108" s="7">
        <v>2001</v>
      </c>
      <c r="E108" s="7">
        <v>2009</v>
      </c>
      <c r="F108" s="7">
        <v>2011</v>
      </c>
      <c r="G108" s="7">
        <v>2011</v>
      </c>
      <c r="H108" s="7">
        <v>2011</v>
      </c>
      <c r="I108" s="7">
        <v>2011</v>
      </c>
      <c r="J108" s="7">
        <v>2011</v>
      </c>
      <c r="K108" s="7"/>
      <c r="L108" s="7">
        <v>2011</v>
      </c>
      <c r="M108" s="7">
        <v>2009</v>
      </c>
      <c r="N108" s="7">
        <v>2008</v>
      </c>
      <c r="O108" s="7">
        <v>2008</v>
      </c>
      <c r="P108" s="7">
        <v>2007</v>
      </c>
      <c r="Q108" s="7">
        <v>2004</v>
      </c>
      <c r="R108" s="7">
        <v>2011</v>
      </c>
      <c r="S108" s="7">
        <v>2009</v>
      </c>
      <c r="T108" s="7" t="s">
        <v>577</v>
      </c>
      <c r="U108" s="7">
        <v>2009</v>
      </c>
      <c r="V108" s="7">
        <v>2009</v>
      </c>
      <c r="W108" s="7"/>
      <c r="X108" s="7">
        <v>2005</v>
      </c>
      <c r="Y108" s="7">
        <v>2008</v>
      </c>
      <c r="Z108" s="7">
        <v>2011</v>
      </c>
      <c r="AA108" s="7">
        <v>2011</v>
      </c>
      <c r="AB108" s="7">
        <v>2011</v>
      </c>
      <c r="AC108" s="7">
        <v>2011</v>
      </c>
      <c r="AD108" s="7">
        <v>2008</v>
      </c>
      <c r="AE108" s="7">
        <v>2010</v>
      </c>
    </row>
    <row r="109" spans="1:31">
      <c r="A109" s="5" t="s">
        <v>250</v>
      </c>
      <c r="B109" s="5" t="s">
        <v>249</v>
      </c>
      <c r="C109" s="7">
        <v>2007</v>
      </c>
      <c r="D109" s="7">
        <v>2006</v>
      </c>
      <c r="E109" s="7">
        <v>2009</v>
      </c>
      <c r="F109" s="7">
        <v>2011</v>
      </c>
      <c r="G109" s="7">
        <v>2011</v>
      </c>
      <c r="H109" s="7"/>
      <c r="I109" s="7"/>
      <c r="J109" s="7">
        <v>2011</v>
      </c>
      <c r="K109" s="7"/>
      <c r="L109" s="7">
        <v>2011</v>
      </c>
      <c r="M109" s="7">
        <v>2009</v>
      </c>
      <c r="N109" s="7">
        <v>2008</v>
      </c>
      <c r="O109" s="7">
        <v>2008</v>
      </c>
      <c r="P109" s="7">
        <v>2008</v>
      </c>
      <c r="Q109" s="7">
        <v>2009</v>
      </c>
      <c r="R109" s="7">
        <v>2011</v>
      </c>
      <c r="S109" s="7">
        <v>2009</v>
      </c>
      <c r="T109" s="7" t="s">
        <v>577</v>
      </c>
      <c r="U109" s="7">
        <v>2009</v>
      </c>
      <c r="V109" s="7">
        <v>2009</v>
      </c>
      <c r="W109" s="7">
        <v>2011</v>
      </c>
      <c r="X109" s="7">
        <v>2005</v>
      </c>
      <c r="Y109" s="7">
        <v>2008</v>
      </c>
      <c r="Z109" s="7">
        <v>2011</v>
      </c>
      <c r="AA109" s="7">
        <v>2011</v>
      </c>
      <c r="AB109" s="7">
        <v>2011</v>
      </c>
      <c r="AC109" s="7">
        <v>2011</v>
      </c>
      <c r="AD109" s="7">
        <v>2008</v>
      </c>
      <c r="AE109" s="7">
        <v>2000</v>
      </c>
    </row>
    <row r="110" spans="1:31">
      <c r="A110" s="5" t="s">
        <v>252</v>
      </c>
      <c r="B110" s="5" t="s">
        <v>251</v>
      </c>
      <c r="C110" s="7">
        <v>2007</v>
      </c>
      <c r="D110" s="7"/>
      <c r="E110" s="7">
        <v>2009</v>
      </c>
      <c r="F110" s="7">
        <v>2011</v>
      </c>
      <c r="G110" s="7">
        <v>2011</v>
      </c>
      <c r="H110" s="7"/>
      <c r="I110" s="7">
        <v>2011</v>
      </c>
      <c r="J110" s="7">
        <v>2011</v>
      </c>
      <c r="K110" s="7">
        <v>2008</v>
      </c>
      <c r="L110" s="7">
        <v>2011</v>
      </c>
      <c r="M110" s="7">
        <v>2009</v>
      </c>
      <c r="N110" s="7">
        <v>2008</v>
      </c>
      <c r="O110" s="7">
        <v>2008</v>
      </c>
      <c r="P110" s="7">
        <v>2009</v>
      </c>
      <c r="Q110" s="7">
        <v>2008</v>
      </c>
      <c r="R110" s="7">
        <v>2011</v>
      </c>
      <c r="S110" s="7">
        <v>2009</v>
      </c>
      <c r="T110" s="7" t="s">
        <v>577</v>
      </c>
      <c r="U110" s="7">
        <v>2009</v>
      </c>
      <c r="V110" s="7">
        <v>2009</v>
      </c>
      <c r="W110" s="7"/>
      <c r="X110" s="7">
        <v>2008</v>
      </c>
      <c r="Y110" s="7">
        <v>2008</v>
      </c>
      <c r="Z110" s="7">
        <v>2011</v>
      </c>
      <c r="AA110" s="7">
        <v>2011</v>
      </c>
      <c r="AB110" s="7"/>
      <c r="AC110" s="7">
        <v>2011</v>
      </c>
      <c r="AD110" s="7">
        <v>2008</v>
      </c>
      <c r="AE110" s="7">
        <v>2000</v>
      </c>
    </row>
    <row r="111" spans="1:31" ht="30">
      <c r="A111" s="5" t="s">
        <v>254</v>
      </c>
      <c r="B111" s="5" t="s">
        <v>253</v>
      </c>
      <c r="C111" s="7"/>
      <c r="D111" s="7"/>
      <c r="E111" s="7">
        <v>2009</v>
      </c>
      <c r="F111" s="7">
        <v>2011</v>
      </c>
      <c r="G111" s="7">
        <v>2011</v>
      </c>
      <c r="H111" s="7"/>
      <c r="I111" s="7"/>
      <c r="J111" s="7">
        <v>2011</v>
      </c>
      <c r="K111" s="7"/>
      <c r="L111" s="7">
        <v>2011</v>
      </c>
      <c r="M111" s="7">
        <v>2009</v>
      </c>
      <c r="N111" s="7">
        <v>2000</v>
      </c>
      <c r="O111" s="7"/>
      <c r="P111" s="7">
        <v>2008</v>
      </c>
      <c r="Q111" s="7">
        <v>2003</v>
      </c>
      <c r="R111" s="7"/>
      <c r="S111" s="7">
        <v>2009</v>
      </c>
      <c r="T111" s="7" t="s">
        <v>577</v>
      </c>
      <c r="U111" s="7">
        <v>2009</v>
      </c>
      <c r="V111" s="7">
        <v>2009</v>
      </c>
      <c r="W111" s="7"/>
      <c r="X111" s="7"/>
      <c r="Y111" s="7">
        <v>2008</v>
      </c>
      <c r="Z111" s="7">
        <v>2011</v>
      </c>
      <c r="AA111" s="7">
        <v>2011</v>
      </c>
      <c r="AB111" s="7">
        <v>2011</v>
      </c>
      <c r="AC111" s="7">
        <v>2011</v>
      </c>
      <c r="AD111" s="7">
        <v>2008</v>
      </c>
      <c r="AE111" s="7"/>
    </row>
    <row r="112" spans="1:31">
      <c r="A112" s="5" t="s">
        <v>256</v>
      </c>
      <c r="B112" s="5" t="s">
        <v>255</v>
      </c>
      <c r="C112" s="7">
        <v>2007</v>
      </c>
      <c r="D112" s="7">
        <v>2008</v>
      </c>
      <c r="E112" s="7">
        <v>2009</v>
      </c>
      <c r="F112" s="7"/>
      <c r="G112" s="7">
        <v>2011</v>
      </c>
      <c r="H112" s="7">
        <v>2011</v>
      </c>
      <c r="I112" s="7">
        <v>2011</v>
      </c>
      <c r="J112" s="7">
        <v>2011</v>
      </c>
      <c r="K112" s="7"/>
      <c r="L112" s="7">
        <v>2011</v>
      </c>
      <c r="M112" s="7">
        <v>2009</v>
      </c>
      <c r="N112" s="7">
        <v>2008</v>
      </c>
      <c r="O112" s="7">
        <v>2008</v>
      </c>
      <c r="P112" s="7">
        <v>2009</v>
      </c>
      <c r="Q112" s="7">
        <v>2009</v>
      </c>
      <c r="R112" s="7">
        <v>2011</v>
      </c>
      <c r="S112" s="7">
        <v>2009</v>
      </c>
      <c r="T112" s="7" t="s">
        <v>577</v>
      </c>
      <c r="U112" s="7">
        <v>2009</v>
      </c>
      <c r="V112" s="7">
        <v>2009</v>
      </c>
      <c r="W112" s="7">
        <v>2011</v>
      </c>
      <c r="X112" s="7">
        <v>2007</v>
      </c>
      <c r="Y112" s="7">
        <v>2008</v>
      </c>
      <c r="Z112" s="7">
        <v>2011</v>
      </c>
      <c r="AA112" s="7">
        <v>2011</v>
      </c>
      <c r="AB112" s="7">
        <v>2011</v>
      </c>
      <c r="AC112" s="7">
        <v>2011</v>
      </c>
      <c r="AD112" s="7">
        <v>2008</v>
      </c>
      <c r="AE112" s="7">
        <v>2000</v>
      </c>
    </row>
    <row r="113" spans="1:31">
      <c r="A113" s="5" t="s">
        <v>258</v>
      </c>
      <c r="B113" s="5" t="s">
        <v>257</v>
      </c>
      <c r="C113" s="7">
        <v>2007</v>
      </c>
      <c r="D113" s="7">
        <v>2005</v>
      </c>
      <c r="E113" s="7">
        <v>2009</v>
      </c>
      <c r="F113" s="7">
        <v>2011</v>
      </c>
      <c r="G113" s="7">
        <v>2011</v>
      </c>
      <c r="H113" s="7"/>
      <c r="I113" s="7"/>
      <c r="J113" s="7">
        <v>2011</v>
      </c>
      <c r="K113" s="7"/>
      <c r="L113" s="7">
        <v>2011</v>
      </c>
      <c r="M113" s="7">
        <v>2009</v>
      </c>
      <c r="N113" s="7">
        <v>2008</v>
      </c>
      <c r="O113" s="7">
        <v>2008</v>
      </c>
      <c r="P113" s="7">
        <v>2004</v>
      </c>
      <c r="Q113" s="7">
        <v>2008</v>
      </c>
      <c r="R113" s="7">
        <v>2011</v>
      </c>
      <c r="S113" s="7">
        <v>2009</v>
      </c>
      <c r="T113" s="7" t="s">
        <v>577</v>
      </c>
      <c r="U113" s="7">
        <v>2009</v>
      </c>
      <c r="V113" s="7">
        <v>2009</v>
      </c>
      <c r="W113" s="7"/>
      <c r="X113" s="7">
        <v>2008</v>
      </c>
      <c r="Y113" s="7">
        <v>2008</v>
      </c>
      <c r="Z113" s="7">
        <v>2011</v>
      </c>
      <c r="AA113" s="7">
        <v>2011</v>
      </c>
      <c r="AB113" s="7">
        <v>2011</v>
      </c>
      <c r="AC113" s="7">
        <v>2011</v>
      </c>
      <c r="AD113" s="7">
        <v>2008</v>
      </c>
      <c r="AE113" s="7">
        <v>2005</v>
      </c>
    </row>
    <row r="114" spans="1:31">
      <c r="A114" s="5" t="s">
        <v>260</v>
      </c>
      <c r="B114" s="5" t="s">
        <v>259</v>
      </c>
      <c r="C114" s="7">
        <v>2007</v>
      </c>
      <c r="D114" s="7">
        <v>2009</v>
      </c>
      <c r="E114" s="7">
        <v>2009</v>
      </c>
      <c r="F114" s="7">
        <v>2011</v>
      </c>
      <c r="G114" s="7">
        <v>2011</v>
      </c>
      <c r="H114" s="7">
        <v>2011</v>
      </c>
      <c r="I114" s="7">
        <v>2011</v>
      </c>
      <c r="J114" s="7">
        <v>2011</v>
      </c>
      <c r="K114" s="7">
        <v>2009</v>
      </c>
      <c r="L114" s="7">
        <v>2011</v>
      </c>
      <c r="M114" s="7">
        <v>2009</v>
      </c>
      <c r="N114" s="7">
        <v>2008</v>
      </c>
      <c r="O114" s="7">
        <v>2008</v>
      </c>
      <c r="P114" s="7">
        <v>2004</v>
      </c>
      <c r="Q114" s="7">
        <v>2008</v>
      </c>
      <c r="R114" s="7">
        <v>2011</v>
      </c>
      <c r="S114" s="7">
        <v>2009</v>
      </c>
      <c r="T114" s="7" t="s">
        <v>577</v>
      </c>
      <c r="U114" s="7">
        <v>2009</v>
      </c>
      <c r="V114" s="7">
        <v>2009</v>
      </c>
      <c r="W114" s="7">
        <v>2011</v>
      </c>
      <c r="X114" s="7">
        <v>2008</v>
      </c>
      <c r="Y114" s="7">
        <v>2008</v>
      </c>
      <c r="Z114" s="7">
        <v>2011</v>
      </c>
      <c r="AA114" s="7">
        <v>2011</v>
      </c>
      <c r="AB114" s="7">
        <v>2011</v>
      </c>
      <c r="AC114" s="7">
        <v>2011</v>
      </c>
      <c r="AD114" s="7">
        <v>2008</v>
      </c>
      <c r="AE114" s="7">
        <v>2010</v>
      </c>
    </row>
    <row r="115" spans="1:31" ht="45">
      <c r="A115" s="5" t="s">
        <v>262</v>
      </c>
      <c r="B115" s="5" t="s">
        <v>261</v>
      </c>
      <c r="C115" s="7"/>
      <c r="D115" s="7"/>
      <c r="E115" s="7">
        <v>2009</v>
      </c>
      <c r="F115" s="7">
        <v>2011</v>
      </c>
      <c r="G115" s="7">
        <v>2011</v>
      </c>
      <c r="H115" s="7"/>
      <c r="I115" s="7"/>
      <c r="J115" s="7">
        <v>2011</v>
      </c>
      <c r="K115" s="7"/>
      <c r="L115" s="7">
        <v>2011</v>
      </c>
      <c r="M115" s="7">
        <v>2009</v>
      </c>
      <c r="N115" s="7">
        <v>2008</v>
      </c>
      <c r="O115" s="7"/>
      <c r="P115" s="7">
        <v>2005</v>
      </c>
      <c r="Q115" s="7">
        <v>2000</v>
      </c>
      <c r="R115" s="7">
        <v>2011</v>
      </c>
      <c r="S115" s="7">
        <v>2009</v>
      </c>
      <c r="T115" s="7" t="s">
        <v>577</v>
      </c>
      <c r="U115" s="7">
        <v>2009</v>
      </c>
      <c r="V115" s="7">
        <v>2009</v>
      </c>
      <c r="W115" s="7"/>
      <c r="X115" s="7">
        <v>2001</v>
      </c>
      <c r="Y115" s="7">
        <v>2005</v>
      </c>
      <c r="Z115" s="7"/>
      <c r="AA115" s="7"/>
      <c r="AB115" s="7">
        <v>2011</v>
      </c>
      <c r="AC115" s="7">
        <v>2011</v>
      </c>
      <c r="AD115" s="7">
        <v>2005</v>
      </c>
      <c r="AE115" s="7"/>
    </row>
    <row r="116" spans="1:31" ht="30">
      <c r="A116" s="5" t="s">
        <v>264</v>
      </c>
      <c r="B116" s="5" t="s">
        <v>263</v>
      </c>
      <c r="C116" s="7">
        <v>2007</v>
      </c>
      <c r="D116" s="7">
        <v>2005</v>
      </c>
      <c r="E116" s="7">
        <v>2009</v>
      </c>
      <c r="F116" s="7"/>
      <c r="G116" s="7">
        <v>2011</v>
      </c>
      <c r="H116" s="7">
        <v>2011</v>
      </c>
      <c r="I116" s="7">
        <v>2011</v>
      </c>
      <c r="J116" s="7">
        <v>2011</v>
      </c>
      <c r="K116" s="7">
        <v>2008</v>
      </c>
      <c r="L116" s="7">
        <v>2011</v>
      </c>
      <c r="M116" s="7">
        <v>2009</v>
      </c>
      <c r="N116" s="7">
        <v>2008</v>
      </c>
      <c r="O116" s="7">
        <v>2008</v>
      </c>
      <c r="P116" s="7">
        <v>2007</v>
      </c>
      <c r="Q116" s="7">
        <v>2009</v>
      </c>
      <c r="R116" s="7">
        <v>2011</v>
      </c>
      <c r="S116" s="7">
        <v>2009</v>
      </c>
      <c r="T116" s="7" t="s">
        <v>577</v>
      </c>
      <c r="U116" s="7">
        <v>2009</v>
      </c>
      <c r="V116" s="7">
        <v>2009</v>
      </c>
      <c r="W116" s="7">
        <v>2011</v>
      </c>
      <c r="X116" s="7">
        <v>2008</v>
      </c>
      <c r="Y116" s="7">
        <v>2008</v>
      </c>
      <c r="Z116" s="7">
        <v>2011</v>
      </c>
      <c r="AA116" s="7">
        <v>2011</v>
      </c>
      <c r="AB116" s="7">
        <v>2011</v>
      </c>
      <c r="AC116" s="7">
        <v>2011</v>
      </c>
      <c r="AD116" s="7">
        <v>2008</v>
      </c>
      <c r="AE116" s="7">
        <v>2000</v>
      </c>
    </row>
    <row r="117" spans="1:31">
      <c r="A117" s="5" t="s">
        <v>266</v>
      </c>
      <c r="B117" s="5" t="s">
        <v>265</v>
      </c>
      <c r="C117" s="7"/>
      <c r="D117" s="7"/>
      <c r="E117" s="7">
        <v>2009</v>
      </c>
      <c r="F117" s="7">
        <v>2011</v>
      </c>
      <c r="G117" s="7">
        <v>2011</v>
      </c>
      <c r="H117" s="7"/>
      <c r="I117" s="7"/>
      <c r="J117" s="7">
        <v>2011</v>
      </c>
      <c r="K117" s="7"/>
      <c r="L117" s="7">
        <v>2011</v>
      </c>
      <c r="M117" s="7">
        <v>2009</v>
      </c>
      <c r="N117" s="7"/>
      <c r="O117" s="7"/>
      <c r="P117" s="7">
        <v>1995</v>
      </c>
      <c r="Q117" s="7"/>
      <c r="R117" s="7"/>
      <c r="S117" s="7"/>
      <c r="T117" s="7" t="s">
        <v>577</v>
      </c>
      <c r="U117" s="7">
        <v>2009</v>
      </c>
      <c r="V117" s="7">
        <v>2009</v>
      </c>
      <c r="W117" s="7"/>
      <c r="X117" s="7">
        <v>2008</v>
      </c>
      <c r="Y117" s="7">
        <v>2008</v>
      </c>
      <c r="Z117" s="7">
        <v>2011</v>
      </c>
      <c r="AA117" s="7">
        <v>2011</v>
      </c>
      <c r="AB117" s="7">
        <v>2011</v>
      </c>
      <c r="AC117" s="7">
        <v>2011</v>
      </c>
      <c r="AD117" s="7">
        <v>2008</v>
      </c>
      <c r="AE117" s="7"/>
    </row>
    <row r="118" spans="1:31">
      <c r="A118" s="5" t="s">
        <v>268</v>
      </c>
      <c r="B118" s="5" t="s">
        <v>267</v>
      </c>
      <c r="C118" s="7">
        <v>2007</v>
      </c>
      <c r="D118" s="7">
        <v>2006</v>
      </c>
      <c r="E118" s="7">
        <v>2009</v>
      </c>
      <c r="F118" s="7">
        <v>2011</v>
      </c>
      <c r="G118" s="7">
        <v>2011</v>
      </c>
      <c r="H118" s="7"/>
      <c r="I118" s="7"/>
      <c r="J118" s="7">
        <v>2011</v>
      </c>
      <c r="K118" s="7">
        <v>2008</v>
      </c>
      <c r="L118" s="7"/>
      <c r="M118" s="7">
        <v>2009</v>
      </c>
      <c r="N118" s="7">
        <v>2008</v>
      </c>
      <c r="O118" s="7">
        <v>2008</v>
      </c>
      <c r="P118" s="7">
        <v>2006</v>
      </c>
      <c r="Q118" s="7">
        <v>2008</v>
      </c>
      <c r="R118" s="7">
        <v>2011</v>
      </c>
      <c r="S118" s="7">
        <v>2009</v>
      </c>
      <c r="T118" s="7" t="s">
        <v>577</v>
      </c>
      <c r="U118" s="7">
        <v>2009</v>
      </c>
      <c r="V118" s="7">
        <v>2009</v>
      </c>
      <c r="W118" s="7">
        <v>2011</v>
      </c>
      <c r="X118" s="7">
        <v>2008</v>
      </c>
      <c r="Y118" s="7">
        <v>2008</v>
      </c>
      <c r="Z118" s="7"/>
      <c r="AA118" s="7">
        <v>2011</v>
      </c>
      <c r="AB118" s="7"/>
      <c r="AC118" s="7">
        <v>2011</v>
      </c>
      <c r="AD118" s="7">
        <v>2008</v>
      </c>
      <c r="AE118" s="7">
        <v>2005</v>
      </c>
    </row>
    <row r="119" spans="1:31">
      <c r="A119" s="5" t="s">
        <v>270</v>
      </c>
      <c r="B119" s="5" t="s">
        <v>269</v>
      </c>
      <c r="C119" s="7">
        <v>2007</v>
      </c>
      <c r="D119" s="7">
        <v>2005</v>
      </c>
      <c r="E119" s="7">
        <v>2009</v>
      </c>
      <c r="F119" s="7">
        <v>2011</v>
      </c>
      <c r="G119" s="7">
        <v>2011</v>
      </c>
      <c r="H119" s="7"/>
      <c r="I119" s="7"/>
      <c r="J119" s="7">
        <v>2011</v>
      </c>
      <c r="K119" s="7">
        <v>2008</v>
      </c>
      <c r="L119" s="7">
        <v>2011</v>
      </c>
      <c r="M119" s="7">
        <v>2008</v>
      </c>
      <c r="N119" s="7">
        <v>2008</v>
      </c>
      <c r="O119" s="7">
        <v>2008</v>
      </c>
      <c r="P119" s="7">
        <v>2008</v>
      </c>
      <c r="Q119" s="7">
        <v>2009</v>
      </c>
      <c r="R119" s="7">
        <v>2011</v>
      </c>
      <c r="S119" s="7">
        <v>2009</v>
      </c>
      <c r="T119" s="7" t="s">
        <v>577</v>
      </c>
      <c r="U119" s="7">
        <v>2009</v>
      </c>
      <c r="V119" s="7">
        <v>2009</v>
      </c>
      <c r="W119" s="7">
        <v>2011</v>
      </c>
      <c r="X119" s="7">
        <v>2002</v>
      </c>
      <c r="Y119" s="7">
        <v>2008</v>
      </c>
      <c r="Z119" s="7">
        <v>2011</v>
      </c>
      <c r="AA119" s="7">
        <v>2011</v>
      </c>
      <c r="AB119" s="7">
        <v>2011</v>
      </c>
      <c r="AC119" s="7">
        <v>2011</v>
      </c>
      <c r="AD119" s="7">
        <v>2008</v>
      </c>
      <c r="AE119" s="7">
        <v>2000</v>
      </c>
    </row>
    <row r="120" spans="1:31" ht="30">
      <c r="A120" s="5" t="s">
        <v>272</v>
      </c>
      <c r="B120" s="5" t="s">
        <v>271</v>
      </c>
      <c r="C120" s="7">
        <v>2007</v>
      </c>
      <c r="D120" s="7">
        <v>2005</v>
      </c>
      <c r="E120" s="7">
        <v>2009</v>
      </c>
      <c r="F120" s="7">
        <v>2011</v>
      </c>
      <c r="G120" s="7">
        <v>2011</v>
      </c>
      <c r="H120" s="7"/>
      <c r="I120" s="7"/>
      <c r="J120" s="7">
        <v>2011</v>
      </c>
      <c r="K120" s="7"/>
      <c r="L120" s="7"/>
      <c r="M120" s="7">
        <v>2009</v>
      </c>
      <c r="N120" s="7">
        <v>2008</v>
      </c>
      <c r="O120" s="7">
        <v>2008</v>
      </c>
      <c r="P120" s="7">
        <v>2007</v>
      </c>
      <c r="Q120" s="7"/>
      <c r="R120" s="7">
        <v>2011</v>
      </c>
      <c r="S120" s="7">
        <v>2009</v>
      </c>
      <c r="T120" s="7" t="s">
        <v>577</v>
      </c>
      <c r="U120" s="7">
        <v>2009</v>
      </c>
      <c r="V120" s="7">
        <v>2009</v>
      </c>
      <c r="W120" s="7"/>
      <c r="X120" s="7"/>
      <c r="Y120" s="7">
        <v>2008</v>
      </c>
      <c r="Z120" s="7"/>
      <c r="AA120" s="7"/>
      <c r="AB120" s="7"/>
      <c r="AC120" s="7">
        <v>2011</v>
      </c>
      <c r="AD120" s="7">
        <v>2008</v>
      </c>
      <c r="AE120" s="7"/>
    </row>
    <row r="121" spans="1:31">
      <c r="A121" s="5" t="s">
        <v>274</v>
      </c>
      <c r="B121" s="5" t="s">
        <v>273</v>
      </c>
      <c r="C121" s="7">
        <v>2007</v>
      </c>
      <c r="D121" s="7">
        <v>2004</v>
      </c>
      <c r="E121" s="7">
        <v>2009</v>
      </c>
      <c r="F121" s="7"/>
      <c r="G121" s="7">
        <v>2011</v>
      </c>
      <c r="H121" s="7">
        <v>2011</v>
      </c>
      <c r="I121" s="7">
        <v>2011</v>
      </c>
      <c r="J121" s="7">
        <v>2011</v>
      </c>
      <c r="K121" s="7">
        <v>2008</v>
      </c>
      <c r="L121" s="7">
        <v>2011</v>
      </c>
      <c r="M121" s="7">
        <v>2009</v>
      </c>
      <c r="N121" s="7">
        <v>2008</v>
      </c>
      <c r="O121" s="7">
        <v>2008</v>
      </c>
      <c r="P121" s="7">
        <v>2009</v>
      </c>
      <c r="Q121" s="7">
        <v>2009</v>
      </c>
      <c r="R121" s="7">
        <v>2011</v>
      </c>
      <c r="S121" s="7">
        <v>2009</v>
      </c>
      <c r="T121" s="7" t="s">
        <v>577</v>
      </c>
      <c r="U121" s="7">
        <v>2009</v>
      </c>
      <c r="V121" s="7">
        <v>2009</v>
      </c>
      <c r="W121" s="7">
        <v>2011</v>
      </c>
      <c r="X121" s="7">
        <v>2008</v>
      </c>
      <c r="Y121" s="7">
        <v>2008</v>
      </c>
      <c r="Z121" s="7">
        <v>2011</v>
      </c>
      <c r="AA121" s="7">
        <v>2011</v>
      </c>
      <c r="AB121" s="7">
        <v>2011</v>
      </c>
      <c r="AC121" s="7">
        <v>2011</v>
      </c>
      <c r="AD121" s="7">
        <v>2008</v>
      </c>
      <c r="AE121" s="7">
        <v>2000</v>
      </c>
    </row>
    <row r="122" spans="1:31" ht="30">
      <c r="A122" s="5" t="s">
        <v>276</v>
      </c>
      <c r="B122" s="5" t="s">
        <v>275</v>
      </c>
      <c r="C122" s="7">
        <v>2007</v>
      </c>
      <c r="D122" s="7">
        <v>2008</v>
      </c>
      <c r="E122" s="7">
        <v>2009</v>
      </c>
      <c r="F122" s="7">
        <v>2011</v>
      </c>
      <c r="G122" s="7">
        <v>2011</v>
      </c>
      <c r="H122" s="7">
        <v>2011</v>
      </c>
      <c r="I122" s="7">
        <v>2011</v>
      </c>
      <c r="J122" s="7">
        <v>2011</v>
      </c>
      <c r="K122" s="7">
        <v>2008</v>
      </c>
      <c r="L122" s="7">
        <v>2011</v>
      </c>
      <c r="M122" s="7">
        <v>2009</v>
      </c>
      <c r="N122" s="7">
        <v>2008</v>
      </c>
      <c r="O122" s="7">
        <v>2008</v>
      </c>
      <c r="P122" s="7">
        <v>2006</v>
      </c>
      <c r="Q122" s="7">
        <v>2005</v>
      </c>
      <c r="R122" s="7">
        <v>2011</v>
      </c>
      <c r="S122" s="7">
        <v>2009</v>
      </c>
      <c r="T122" s="7" t="s">
        <v>577</v>
      </c>
      <c r="U122" s="7">
        <v>2009</v>
      </c>
      <c r="V122" s="7">
        <v>2009</v>
      </c>
      <c r="W122" s="7">
        <v>2011</v>
      </c>
      <c r="X122" s="7">
        <v>2008</v>
      </c>
      <c r="Y122" s="7">
        <v>2008</v>
      </c>
      <c r="Z122" s="7">
        <v>2011</v>
      </c>
      <c r="AA122" s="7">
        <v>2011</v>
      </c>
      <c r="AB122" s="7">
        <v>2011</v>
      </c>
      <c r="AC122" s="7">
        <v>2011</v>
      </c>
      <c r="AD122" s="7">
        <v>2008</v>
      </c>
      <c r="AE122" s="7">
        <v>2000</v>
      </c>
    </row>
    <row r="123" spans="1:31">
      <c r="A123" s="5" t="s">
        <v>278</v>
      </c>
      <c r="B123" s="5" t="s">
        <v>277</v>
      </c>
      <c r="C123" s="7">
        <v>2007</v>
      </c>
      <c r="D123" s="7">
        <v>2003</v>
      </c>
      <c r="E123" s="7">
        <v>2009</v>
      </c>
      <c r="F123" s="7">
        <v>2011</v>
      </c>
      <c r="G123" s="7">
        <v>2011</v>
      </c>
      <c r="H123" s="7">
        <v>2011</v>
      </c>
      <c r="I123" s="7">
        <v>2011</v>
      </c>
      <c r="J123" s="7">
        <v>2011</v>
      </c>
      <c r="K123" s="7">
        <v>2008</v>
      </c>
      <c r="L123" s="7">
        <v>2011</v>
      </c>
      <c r="M123" s="7">
        <v>2009</v>
      </c>
      <c r="N123" s="7">
        <v>2008</v>
      </c>
      <c r="O123" s="7">
        <v>2008</v>
      </c>
      <c r="P123" s="7">
        <v>2008</v>
      </c>
      <c r="Q123" s="7">
        <v>2007</v>
      </c>
      <c r="R123" s="7"/>
      <c r="S123" s="7">
        <v>2009</v>
      </c>
      <c r="T123" s="7" t="s">
        <v>577</v>
      </c>
      <c r="U123" s="7">
        <v>2009</v>
      </c>
      <c r="V123" s="7">
        <v>2009</v>
      </c>
      <c r="W123" s="7">
        <v>2011</v>
      </c>
      <c r="X123" s="7">
        <v>2005</v>
      </c>
      <c r="Y123" s="7">
        <v>2008</v>
      </c>
      <c r="Z123" s="7">
        <v>2011</v>
      </c>
      <c r="AA123" s="7">
        <v>2011</v>
      </c>
      <c r="AB123" s="7">
        <v>2011</v>
      </c>
      <c r="AC123" s="7">
        <v>2011</v>
      </c>
      <c r="AD123" s="7">
        <v>2008</v>
      </c>
      <c r="AE123" s="7">
        <v>2000</v>
      </c>
    </row>
    <row r="124" spans="1:31">
      <c r="A124" s="5" t="s">
        <v>280</v>
      </c>
      <c r="B124" s="5" t="s">
        <v>279</v>
      </c>
      <c r="C124" s="7">
        <v>2007</v>
      </c>
      <c r="D124" s="7">
        <v>2006</v>
      </c>
      <c r="E124" s="7">
        <v>2009</v>
      </c>
      <c r="F124" s="7">
        <v>2011</v>
      </c>
      <c r="G124" s="7">
        <v>2011</v>
      </c>
      <c r="H124" s="7">
        <v>2011</v>
      </c>
      <c r="I124" s="7"/>
      <c r="J124" s="7">
        <v>2011</v>
      </c>
      <c r="K124" s="7">
        <v>2008</v>
      </c>
      <c r="L124" s="7">
        <v>2011</v>
      </c>
      <c r="M124" s="7">
        <v>2009</v>
      </c>
      <c r="N124" s="7">
        <v>2008</v>
      </c>
      <c r="O124" s="7">
        <v>2008</v>
      </c>
      <c r="P124" s="7">
        <v>2007</v>
      </c>
      <c r="Q124" s="7">
        <v>2008</v>
      </c>
      <c r="R124" s="7">
        <v>2011</v>
      </c>
      <c r="S124" s="7">
        <v>2009</v>
      </c>
      <c r="T124" s="7" t="s">
        <v>577</v>
      </c>
      <c r="U124" s="7">
        <v>2009</v>
      </c>
      <c r="V124" s="7">
        <v>2009</v>
      </c>
      <c r="W124" s="7">
        <v>2011</v>
      </c>
      <c r="X124" s="7">
        <v>2002</v>
      </c>
      <c r="Y124" s="7">
        <v>2008</v>
      </c>
      <c r="Z124" s="7">
        <v>2011</v>
      </c>
      <c r="AA124" s="7">
        <v>2011</v>
      </c>
      <c r="AB124" s="7">
        <v>2011</v>
      </c>
      <c r="AC124" s="7">
        <v>2011</v>
      </c>
      <c r="AD124" s="7">
        <v>2008</v>
      </c>
      <c r="AE124" s="7">
        <v>2000</v>
      </c>
    </row>
    <row r="125" spans="1:31">
      <c r="A125" s="5" t="s">
        <v>282</v>
      </c>
      <c r="B125" s="5" t="s">
        <v>281</v>
      </c>
      <c r="C125" s="7"/>
      <c r="D125" s="7"/>
      <c r="E125" s="7"/>
      <c r="F125" s="7">
        <v>2011</v>
      </c>
      <c r="G125" s="7">
        <v>2011</v>
      </c>
      <c r="H125" s="7">
        <v>2011</v>
      </c>
      <c r="I125" s="7">
        <v>2011</v>
      </c>
      <c r="J125" s="7">
        <v>2011</v>
      </c>
      <c r="K125" s="7"/>
      <c r="L125" s="7">
        <v>2011</v>
      </c>
      <c r="M125" s="7">
        <v>2009</v>
      </c>
      <c r="N125" s="7"/>
      <c r="O125" s="7"/>
      <c r="P125" s="7"/>
      <c r="Q125" s="7"/>
      <c r="R125" s="7"/>
      <c r="S125" s="7"/>
      <c r="T125" s="7" t="s">
        <v>577</v>
      </c>
      <c r="U125" s="7">
        <v>2009</v>
      </c>
      <c r="V125" s="7">
        <v>2009</v>
      </c>
      <c r="W125" s="7"/>
      <c r="X125" s="7"/>
      <c r="Y125" s="7"/>
      <c r="Z125" s="7">
        <v>2011</v>
      </c>
      <c r="AA125" s="7">
        <v>2011</v>
      </c>
      <c r="AB125" s="7"/>
      <c r="AC125" s="7">
        <v>2011</v>
      </c>
      <c r="AD125" s="7"/>
      <c r="AE125" s="7"/>
    </row>
    <row r="126" spans="1:31">
      <c r="A126" s="5" t="s">
        <v>284</v>
      </c>
      <c r="B126" s="5" t="s">
        <v>283</v>
      </c>
      <c r="C126" s="7">
        <v>2007</v>
      </c>
      <c r="D126" s="7">
        <v>2006</v>
      </c>
      <c r="E126" s="7">
        <v>2009</v>
      </c>
      <c r="F126" s="7"/>
      <c r="G126" s="7">
        <v>2011</v>
      </c>
      <c r="H126" s="7"/>
      <c r="I126" s="7"/>
      <c r="J126" s="7">
        <v>2011</v>
      </c>
      <c r="K126" s="7">
        <v>2008</v>
      </c>
      <c r="L126" s="7">
        <v>2011</v>
      </c>
      <c r="M126" s="7">
        <v>2009</v>
      </c>
      <c r="N126" s="7">
        <v>2008</v>
      </c>
      <c r="O126" s="7">
        <v>2008</v>
      </c>
      <c r="P126" s="7">
        <v>2004</v>
      </c>
      <c r="Q126" s="7">
        <v>2004</v>
      </c>
      <c r="R126" s="7">
        <v>2011</v>
      </c>
      <c r="S126" s="7">
        <v>2009</v>
      </c>
      <c r="T126" s="7" t="s">
        <v>577</v>
      </c>
      <c r="U126" s="7">
        <v>2009</v>
      </c>
      <c r="V126" s="7">
        <v>2009</v>
      </c>
      <c r="W126" s="7">
        <v>2011</v>
      </c>
      <c r="X126" s="7">
        <v>2006</v>
      </c>
      <c r="Y126" s="7">
        <v>2008</v>
      </c>
      <c r="Z126" s="7">
        <v>2011</v>
      </c>
      <c r="AA126" s="7">
        <v>2011</v>
      </c>
      <c r="AB126" s="7">
        <v>2011</v>
      </c>
      <c r="AC126" s="7">
        <v>2011</v>
      </c>
      <c r="AD126" s="7">
        <v>2008</v>
      </c>
      <c r="AE126" s="7">
        <v>2000</v>
      </c>
    </row>
    <row r="127" spans="1:31" ht="30">
      <c r="A127" s="5" t="s">
        <v>286</v>
      </c>
      <c r="B127" s="5" t="s">
        <v>285</v>
      </c>
      <c r="C127" s="7">
        <v>2007</v>
      </c>
      <c r="D127" s="7"/>
      <c r="E127" s="7">
        <v>2009</v>
      </c>
      <c r="F127" s="7">
        <v>2011</v>
      </c>
      <c r="G127" s="7">
        <v>2011</v>
      </c>
      <c r="H127" s="7">
        <v>2011</v>
      </c>
      <c r="I127" s="7">
        <v>2011</v>
      </c>
      <c r="J127" s="7">
        <v>2011</v>
      </c>
      <c r="K127" s="7">
        <v>2009</v>
      </c>
      <c r="L127" s="7">
        <v>2011</v>
      </c>
      <c r="M127" s="7">
        <v>2009</v>
      </c>
      <c r="N127" s="7">
        <v>2008</v>
      </c>
      <c r="O127" s="7">
        <v>2008</v>
      </c>
      <c r="P127" s="7">
        <v>2007</v>
      </c>
      <c r="Q127" s="7">
        <v>2008</v>
      </c>
      <c r="R127" s="7">
        <v>2011</v>
      </c>
      <c r="S127" s="7">
        <v>2009</v>
      </c>
      <c r="T127" s="7" t="s">
        <v>577</v>
      </c>
      <c r="U127" s="7">
        <v>2009</v>
      </c>
      <c r="V127" s="7">
        <v>2009</v>
      </c>
      <c r="W127" s="7">
        <v>2011</v>
      </c>
      <c r="X127" s="7">
        <v>2000</v>
      </c>
      <c r="Y127" s="7">
        <v>2008</v>
      </c>
      <c r="Z127" s="7">
        <v>2011</v>
      </c>
      <c r="AA127" s="7">
        <v>2011</v>
      </c>
      <c r="AB127" s="7"/>
      <c r="AC127" s="7">
        <v>2011</v>
      </c>
      <c r="AD127" s="7">
        <v>2008</v>
      </c>
      <c r="AE127" s="7">
        <v>2010</v>
      </c>
    </row>
    <row r="128" spans="1:31" ht="30">
      <c r="A128" s="5" t="s">
        <v>288</v>
      </c>
      <c r="B128" s="5" t="s">
        <v>287</v>
      </c>
      <c r="C128" s="7">
        <v>2007</v>
      </c>
      <c r="D128" s="7"/>
      <c r="E128" s="7">
        <v>2009</v>
      </c>
      <c r="F128" s="7">
        <v>2011</v>
      </c>
      <c r="G128" s="7">
        <v>2011</v>
      </c>
      <c r="H128" s="7">
        <v>2011</v>
      </c>
      <c r="I128" s="7">
        <v>2011</v>
      </c>
      <c r="J128" s="7">
        <v>2011</v>
      </c>
      <c r="K128" s="7">
        <v>2009</v>
      </c>
      <c r="L128" s="7">
        <v>2011</v>
      </c>
      <c r="M128" s="7">
        <v>2009</v>
      </c>
      <c r="N128" s="7">
        <v>2008</v>
      </c>
      <c r="O128" s="7">
        <v>2008</v>
      </c>
      <c r="P128" s="7">
        <v>2007</v>
      </c>
      <c r="Q128" s="7">
        <v>2008</v>
      </c>
      <c r="R128" s="7">
        <v>2011</v>
      </c>
      <c r="S128" s="7">
        <v>2009</v>
      </c>
      <c r="T128" s="7" t="s">
        <v>577</v>
      </c>
      <c r="U128" s="7">
        <v>2009</v>
      </c>
      <c r="V128" s="7">
        <v>2009</v>
      </c>
      <c r="W128" s="7">
        <v>2011</v>
      </c>
      <c r="X128" s="7">
        <v>2008</v>
      </c>
      <c r="Y128" s="7">
        <v>2008</v>
      </c>
      <c r="Z128" s="7">
        <v>2011</v>
      </c>
      <c r="AA128" s="7">
        <v>2011</v>
      </c>
      <c r="AB128" s="7"/>
      <c r="AC128" s="7">
        <v>2011</v>
      </c>
      <c r="AD128" s="7"/>
      <c r="AE128" s="7">
        <v>2000</v>
      </c>
    </row>
    <row r="129" spans="1:31">
      <c r="A129" s="5" t="s">
        <v>290</v>
      </c>
      <c r="B129" s="5" t="s">
        <v>289</v>
      </c>
      <c r="C129" s="7">
        <v>2007</v>
      </c>
      <c r="D129" s="7">
        <v>2006</v>
      </c>
      <c r="E129" s="7">
        <v>2009</v>
      </c>
      <c r="F129" s="7">
        <v>2011</v>
      </c>
      <c r="G129" s="7">
        <v>2011</v>
      </c>
      <c r="H129" s="7">
        <v>2011</v>
      </c>
      <c r="I129" s="7">
        <v>2011</v>
      </c>
      <c r="J129" s="7">
        <v>2011</v>
      </c>
      <c r="K129" s="7">
        <v>2008</v>
      </c>
      <c r="L129" s="7">
        <v>2011</v>
      </c>
      <c r="M129" s="7">
        <v>2009</v>
      </c>
      <c r="N129" s="7">
        <v>2008</v>
      </c>
      <c r="O129" s="7">
        <v>2008</v>
      </c>
      <c r="P129" s="7">
        <v>2003</v>
      </c>
      <c r="Q129" s="7">
        <v>2003</v>
      </c>
      <c r="R129" s="7">
        <v>2011</v>
      </c>
      <c r="S129" s="7">
        <v>2009</v>
      </c>
      <c r="T129" s="7" t="s">
        <v>577</v>
      </c>
      <c r="U129" s="7">
        <v>2009</v>
      </c>
      <c r="V129" s="7">
        <v>2009</v>
      </c>
      <c r="W129" s="7">
        <v>2011</v>
      </c>
      <c r="X129" s="7">
        <v>2007</v>
      </c>
      <c r="Y129" s="7">
        <v>2008</v>
      </c>
      <c r="Z129" s="7">
        <v>2011</v>
      </c>
      <c r="AA129" s="7">
        <v>2011</v>
      </c>
      <c r="AB129" s="7">
        <v>2011</v>
      </c>
      <c r="AC129" s="7">
        <v>2011</v>
      </c>
      <c r="AD129" s="7">
        <v>2008</v>
      </c>
      <c r="AE129" s="7">
        <v>2000</v>
      </c>
    </row>
    <row r="130" spans="1:31">
      <c r="A130" s="5" t="s">
        <v>292</v>
      </c>
      <c r="B130" s="5" t="s">
        <v>291</v>
      </c>
      <c r="C130" s="7">
        <v>2007</v>
      </c>
      <c r="D130" s="7">
        <v>2008</v>
      </c>
      <c r="E130" s="7">
        <v>2009</v>
      </c>
      <c r="F130" s="7">
        <v>2011</v>
      </c>
      <c r="G130" s="7">
        <v>2011</v>
      </c>
      <c r="H130" s="7"/>
      <c r="I130" s="7"/>
      <c r="J130" s="7">
        <v>2011</v>
      </c>
      <c r="K130" s="7"/>
      <c r="L130" s="7">
        <v>2011</v>
      </c>
      <c r="M130" s="7">
        <v>2009</v>
      </c>
      <c r="N130" s="7">
        <v>2008</v>
      </c>
      <c r="O130" s="7">
        <v>2008</v>
      </c>
      <c r="P130" s="7">
        <v>2008</v>
      </c>
      <c r="Q130" s="7">
        <v>2009</v>
      </c>
      <c r="R130" s="7">
        <v>2011</v>
      </c>
      <c r="S130" s="7">
        <v>2009</v>
      </c>
      <c r="T130" s="7" t="s">
        <v>577</v>
      </c>
      <c r="U130" s="7">
        <v>2009</v>
      </c>
      <c r="V130" s="7">
        <v>2009</v>
      </c>
      <c r="W130" s="7">
        <v>2011</v>
      </c>
      <c r="X130" s="7">
        <v>2008</v>
      </c>
      <c r="Y130" s="7">
        <v>2008</v>
      </c>
      <c r="Z130" s="7">
        <v>2011</v>
      </c>
      <c r="AA130" s="7">
        <v>2011</v>
      </c>
      <c r="AB130" s="7">
        <v>2011</v>
      </c>
      <c r="AC130" s="7">
        <v>2011</v>
      </c>
      <c r="AD130" s="7">
        <v>2008</v>
      </c>
      <c r="AE130" s="7">
        <v>2000</v>
      </c>
    </row>
    <row r="131" spans="1:31">
      <c r="A131" s="5" t="s">
        <v>294</v>
      </c>
      <c r="B131" s="5" t="s">
        <v>293</v>
      </c>
      <c r="C131" s="7">
        <v>2007</v>
      </c>
      <c r="D131" s="7">
        <v>2008</v>
      </c>
      <c r="E131" s="7">
        <v>2009</v>
      </c>
      <c r="F131" s="7">
        <v>2011</v>
      </c>
      <c r="G131" s="7">
        <v>2011</v>
      </c>
      <c r="H131" s="7">
        <v>2011</v>
      </c>
      <c r="I131" s="7">
        <v>2011</v>
      </c>
      <c r="J131" s="7">
        <v>2011</v>
      </c>
      <c r="K131" s="7">
        <v>2008</v>
      </c>
      <c r="L131" s="7">
        <v>2011</v>
      </c>
      <c r="M131" s="7">
        <v>2009</v>
      </c>
      <c r="N131" s="7">
        <v>2008</v>
      </c>
      <c r="O131" s="7">
        <v>2008</v>
      </c>
      <c r="P131" s="7">
        <v>2008</v>
      </c>
      <c r="Q131" s="7">
        <v>2005</v>
      </c>
      <c r="R131" s="7">
        <v>2011</v>
      </c>
      <c r="S131" s="7">
        <v>2009</v>
      </c>
      <c r="T131" s="7" t="s">
        <v>577</v>
      </c>
      <c r="U131" s="7">
        <v>2009</v>
      </c>
      <c r="V131" s="7">
        <v>2009</v>
      </c>
      <c r="W131" s="7">
        <v>2011</v>
      </c>
      <c r="X131" s="7">
        <v>2004</v>
      </c>
      <c r="Y131" s="7">
        <v>2008</v>
      </c>
      <c r="Z131" s="7">
        <v>2011</v>
      </c>
      <c r="AA131" s="7">
        <v>2011</v>
      </c>
      <c r="AB131" s="7">
        <v>2011</v>
      </c>
      <c r="AC131" s="7">
        <v>2011</v>
      </c>
      <c r="AD131" s="7">
        <v>2008</v>
      </c>
      <c r="AE131" s="7">
        <v>2000</v>
      </c>
    </row>
    <row r="132" spans="1:31">
      <c r="A132" s="5" t="s">
        <v>296</v>
      </c>
      <c r="B132" s="5" t="s">
        <v>295</v>
      </c>
      <c r="C132" s="7">
        <v>2007</v>
      </c>
      <c r="D132" s="7"/>
      <c r="E132" s="7">
        <v>2009</v>
      </c>
      <c r="F132" s="7">
        <v>2011</v>
      </c>
      <c r="G132" s="7">
        <v>2011</v>
      </c>
      <c r="H132" s="7">
        <v>2011</v>
      </c>
      <c r="I132" s="7">
        <v>2011</v>
      </c>
      <c r="J132" s="7">
        <v>2011</v>
      </c>
      <c r="K132" s="7">
        <v>2009</v>
      </c>
      <c r="L132" s="7">
        <v>2011</v>
      </c>
      <c r="M132" s="7">
        <v>2009</v>
      </c>
      <c r="N132" s="7">
        <v>2008</v>
      </c>
      <c r="O132" s="7">
        <v>2008</v>
      </c>
      <c r="P132" s="7">
        <v>2008</v>
      </c>
      <c r="Q132" s="7">
        <v>2008</v>
      </c>
      <c r="R132" s="7">
        <v>2011</v>
      </c>
      <c r="S132" s="7">
        <v>2009</v>
      </c>
      <c r="T132" s="7" t="s">
        <v>577</v>
      </c>
      <c r="U132" s="7">
        <v>2009</v>
      </c>
      <c r="V132" s="7">
        <v>2009</v>
      </c>
      <c r="W132" s="7">
        <v>2011</v>
      </c>
      <c r="X132" s="7">
        <v>2007</v>
      </c>
      <c r="Y132" s="7">
        <v>2008</v>
      </c>
      <c r="Z132" s="7">
        <v>2011</v>
      </c>
      <c r="AA132" s="7">
        <v>2011</v>
      </c>
      <c r="AB132" s="7"/>
      <c r="AC132" s="7">
        <v>2011</v>
      </c>
      <c r="AD132" s="7">
        <v>2008</v>
      </c>
      <c r="AE132" s="7">
        <v>2005</v>
      </c>
    </row>
    <row r="133" spans="1:31">
      <c r="A133" s="5" t="s">
        <v>298</v>
      </c>
      <c r="B133" s="5" t="s">
        <v>297</v>
      </c>
      <c r="C133" s="7"/>
      <c r="D133" s="7">
        <v>1998</v>
      </c>
      <c r="E133" s="7">
        <v>2009</v>
      </c>
      <c r="F133" s="7">
        <v>2011</v>
      </c>
      <c r="G133" s="7">
        <v>2011</v>
      </c>
      <c r="H133" s="7">
        <v>2011</v>
      </c>
      <c r="I133" s="7">
        <v>2011</v>
      </c>
      <c r="J133" s="7">
        <v>2011</v>
      </c>
      <c r="K133" s="7">
        <v>2008</v>
      </c>
      <c r="L133" s="7">
        <v>2011</v>
      </c>
      <c r="M133" s="7">
        <v>2002</v>
      </c>
      <c r="N133" s="7">
        <v>2008</v>
      </c>
      <c r="O133" s="7">
        <v>2008</v>
      </c>
      <c r="P133" s="7">
        <v>2008</v>
      </c>
      <c r="Q133" s="7">
        <v>2009</v>
      </c>
      <c r="R133" s="7">
        <v>2011</v>
      </c>
      <c r="S133" s="7">
        <v>2009</v>
      </c>
      <c r="T133" s="7" t="s">
        <v>577</v>
      </c>
      <c r="U133" s="7">
        <v>2009</v>
      </c>
      <c r="V133" s="7">
        <v>2009</v>
      </c>
      <c r="W133" s="7"/>
      <c r="X133" s="7">
        <v>2008</v>
      </c>
      <c r="Y133" s="7">
        <v>2008</v>
      </c>
      <c r="Z133" s="7">
        <v>2011</v>
      </c>
      <c r="AA133" s="7">
        <v>2011</v>
      </c>
      <c r="AB133" s="7"/>
      <c r="AC133" s="7">
        <v>2011</v>
      </c>
      <c r="AD133" s="7">
        <v>2000</v>
      </c>
      <c r="AE133" s="7">
        <v>2005</v>
      </c>
    </row>
    <row r="134" spans="1:31">
      <c r="A134" s="5" t="s">
        <v>300</v>
      </c>
      <c r="B134" s="5" t="s">
        <v>299</v>
      </c>
      <c r="C134" s="7">
        <v>2007</v>
      </c>
      <c r="D134" s="7">
        <v>2002</v>
      </c>
      <c r="E134" s="7">
        <v>2009</v>
      </c>
      <c r="F134" s="7">
        <v>2011</v>
      </c>
      <c r="G134" s="7">
        <v>2011</v>
      </c>
      <c r="H134" s="7">
        <v>2011</v>
      </c>
      <c r="I134" s="7">
        <v>2011</v>
      </c>
      <c r="J134" s="7">
        <v>2011</v>
      </c>
      <c r="K134" s="7">
        <v>2008</v>
      </c>
      <c r="L134" s="7">
        <v>2011</v>
      </c>
      <c r="M134" s="7">
        <v>2009</v>
      </c>
      <c r="N134" s="7">
        <v>2008</v>
      </c>
      <c r="O134" s="7">
        <v>2008</v>
      </c>
      <c r="P134" s="7">
        <v>2009</v>
      </c>
      <c r="Q134" s="7">
        <v>2009</v>
      </c>
      <c r="R134" s="7">
        <v>2011</v>
      </c>
      <c r="S134" s="7">
        <v>2009</v>
      </c>
      <c r="T134" s="7" t="s">
        <v>577</v>
      </c>
      <c r="U134" s="7">
        <v>2009</v>
      </c>
      <c r="V134" s="7">
        <v>2009</v>
      </c>
      <c r="W134" s="7">
        <v>2011</v>
      </c>
      <c r="X134" s="7">
        <v>2006</v>
      </c>
      <c r="Y134" s="7">
        <v>2008</v>
      </c>
      <c r="Z134" s="7">
        <v>2011</v>
      </c>
      <c r="AA134" s="7">
        <v>2011</v>
      </c>
      <c r="AB134" s="7">
        <v>2011</v>
      </c>
      <c r="AC134" s="7">
        <v>2011</v>
      </c>
      <c r="AD134" s="7">
        <v>2008</v>
      </c>
      <c r="AE134" s="7">
        <v>2010</v>
      </c>
    </row>
    <row r="135" spans="1:31">
      <c r="A135" s="5" t="s">
        <v>302</v>
      </c>
      <c r="B135" s="5" t="s">
        <v>301</v>
      </c>
      <c r="C135" s="7"/>
      <c r="D135" s="7"/>
      <c r="E135" s="7">
        <v>2009</v>
      </c>
      <c r="F135" s="7">
        <v>2011</v>
      </c>
      <c r="G135" s="7">
        <v>2011</v>
      </c>
      <c r="H135" s="7">
        <v>2011</v>
      </c>
      <c r="I135" s="7">
        <v>2011</v>
      </c>
      <c r="J135" s="7">
        <v>2011</v>
      </c>
      <c r="K135" s="7"/>
      <c r="L135" s="7">
        <v>2011</v>
      </c>
      <c r="M135" s="7">
        <v>2009</v>
      </c>
      <c r="N135" s="7">
        <v>2005</v>
      </c>
      <c r="O135" s="7"/>
      <c r="P135" s="7">
        <v>2006</v>
      </c>
      <c r="Q135" s="7">
        <v>2002</v>
      </c>
      <c r="R135" s="7"/>
      <c r="S135" s="7">
        <v>2009</v>
      </c>
      <c r="T135" s="7" t="s">
        <v>577</v>
      </c>
      <c r="U135" s="7">
        <v>2009</v>
      </c>
      <c r="V135" s="7">
        <v>2009</v>
      </c>
      <c r="W135" s="7"/>
      <c r="X135" s="7"/>
      <c r="Y135" s="7">
        <v>2005</v>
      </c>
      <c r="Z135" s="7">
        <v>2011</v>
      </c>
      <c r="AA135" s="7">
        <v>2011</v>
      </c>
      <c r="AB135" s="7">
        <v>2011</v>
      </c>
      <c r="AC135" s="7">
        <v>2011</v>
      </c>
      <c r="AD135" s="7">
        <v>2005</v>
      </c>
      <c r="AE135" s="7"/>
    </row>
    <row r="136" spans="1:31">
      <c r="A136" s="5" t="s">
        <v>304</v>
      </c>
      <c r="B136" s="5" t="s">
        <v>303</v>
      </c>
      <c r="C136" s="7">
        <v>2007</v>
      </c>
      <c r="D136" s="7"/>
      <c r="E136" s="7">
        <v>2009</v>
      </c>
      <c r="F136" s="7">
        <v>2011</v>
      </c>
      <c r="G136" s="7">
        <v>2011</v>
      </c>
      <c r="H136" s="7">
        <v>2011</v>
      </c>
      <c r="I136" s="7">
        <v>2011</v>
      </c>
      <c r="J136" s="7">
        <v>2011</v>
      </c>
      <c r="K136" s="7">
        <v>2008</v>
      </c>
      <c r="L136" s="7">
        <v>2011</v>
      </c>
      <c r="M136" s="7">
        <v>2009</v>
      </c>
      <c r="N136" s="7">
        <v>2008</v>
      </c>
      <c r="O136" s="7">
        <v>2008</v>
      </c>
      <c r="P136" s="7">
        <v>2000</v>
      </c>
      <c r="Q136" s="7">
        <v>2008</v>
      </c>
      <c r="R136" s="7">
        <v>2011</v>
      </c>
      <c r="S136" s="7">
        <v>2009</v>
      </c>
      <c r="T136" s="7" t="s">
        <v>577</v>
      </c>
      <c r="U136" s="7">
        <v>2009</v>
      </c>
      <c r="V136" s="7">
        <v>2009</v>
      </c>
      <c r="W136" s="7">
        <v>2011</v>
      </c>
      <c r="X136" s="7">
        <v>2008</v>
      </c>
      <c r="Y136" s="7">
        <v>2008</v>
      </c>
      <c r="Z136" s="7">
        <v>2011</v>
      </c>
      <c r="AA136" s="7">
        <v>2011</v>
      </c>
      <c r="AB136" s="7">
        <v>2011</v>
      </c>
      <c r="AC136" s="7">
        <v>2011</v>
      </c>
      <c r="AD136" s="7">
        <v>2008</v>
      </c>
      <c r="AE136" s="7">
        <v>2000</v>
      </c>
    </row>
    <row r="137" spans="1:31" ht="30">
      <c r="A137" s="5" t="s">
        <v>306</v>
      </c>
      <c r="B137" s="5" t="s">
        <v>305</v>
      </c>
      <c r="C137" s="7"/>
      <c r="D137" s="7">
        <v>2005</v>
      </c>
      <c r="E137" s="7">
        <v>2009</v>
      </c>
      <c r="F137" s="7">
        <v>2011</v>
      </c>
      <c r="G137" s="7">
        <v>2011</v>
      </c>
      <c r="H137" s="7">
        <v>2011</v>
      </c>
      <c r="I137" s="7">
        <v>2011</v>
      </c>
      <c r="J137" s="7">
        <v>2011</v>
      </c>
      <c r="K137" s="7"/>
      <c r="L137" s="7">
        <v>2011</v>
      </c>
      <c r="M137" s="7">
        <v>2009</v>
      </c>
      <c r="N137" s="7">
        <v>2008</v>
      </c>
      <c r="O137" s="7">
        <v>2008</v>
      </c>
      <c r="P137" s="7">
        <v>2008</v>
      </c>
      <c r="Q137" s="7">
        <v>1999</v>
      </c>
      <c r="R137" s="7">
        <v>2011</v>
      </c>
      <c r="S137" s="7">
        <v>2009</v>
      </c>
      <c r="T137" s="7" t="s">
        <v>577</v>
      </c>
      <c r="U137" s="7">
        <v>2009</v>
      </c>
      <c r="V137" s="7">
        <v>2009</v>
      </c>
      <c r="W137" s="7">
        <v>2011</v>
      </c>
      <c r="X137" s="7">
        <v>2001</v>
      </c>
      <c r="Y137" s="7">
        <v>2008</v>
      </c>
      <c r="Z137" s="7">
        <v>2011</v>
      </c>
      <c r="AA137" s="7">
        <v>2011</v>
      </c>
      <c r="AB137" s="7">
        <v>2011</v>
      </c>
      <c r="AC137" s="7">
        <v>2011</v>
      </c>
      <c r="AD137" s="7">
        <v>2008</v>
      </c>
      <c r="AE137" s="7">
        <v>2000</v>
      </c>
    </row>
    <row r="138" spans="1:31">
      <c r="A138" s="5" t="s">
        <v>308</v>
      </c>
      <c r="B138" s="5" t="s">
        <v>307</v>
      </c>
      <c r="C138" s="7">
        <v>2007</v>
      </c>
      <c r="D138" s="7"/>
      <c r="E138" s="7">
        <v>2009</v>
      </c>
      <c r="F138" s="7">
        <v>2011</v>
      </c>
      <c r="G138" s="7">
        <v>2011</v>
      </c>
      <c r="H138" s="7"/>
      <c r="I138" s="7"/>
      <c r="J138" s="7">
        <v>2011</v>
      </c>
      <c r="K138" s="7">
        <v>2008</v>
      </c>
      <c r="L138" s="7">
        <v>2011</v>
      </c>
      <c r="M138" s="7">
        <v>2009</v>
      </c>
      <c r="N138" s="7">
        <v>2008</v>
      </c>
      <c r="O138" s="7">
        <v>2008</v>
      </c>
      <c r="P138" s="7">
        <v>2002</v>
      </c>
      <c r="Q138" s="7">
        <v>2007</v>
      </c>
      <c r="R138" s="7">
        <v>2011</v>
      </c>
      <c r="S138" s="7">
        <v>2009</v>
      </c>
      <c r="T138" s="7" t="s">
        <v>577</v>
      </c>
      <c r="U138" s="7">
        <v>2009</v>
      </c>
      <c r="V138" s="7">
        <v>2009</v>
      </c>
      <c r="W138" s="7">
        <v>2011</v>
      </c>
      <c r="X138" s="7">
        <v>2001</v>
      </c>
      <c r="Y138" s="7">
        <v>2008</v>
      </c>
      <c r="Z138" s="7">
        <v>2011</v>
      </c>
      <c r="AA138" s="7">
        <v>2011</v>
      </c>
      <c r="AB138" s="7">
        <v>2011</v>
      </c>
      <c r="AC138" s="7">
        <v>2011</v>
      </c>
      <c r="AD138" s="7">
        <v>2008</v>
      </c>
      <c r="AE138" s="7">
        <v>2000</v>
      </c>
    </row>
    <row r="139" spans="1:31">
      <c r="A139" s="5" t="s">
        <v>310</v>
      </c>
      <c r="B139" s="5" t="s">
        <v>309</v>
      </c>
      <c r="C139" s="7">
        <v>2007</v>
      </c>
      <c r="D139" s="7">
        <v>2006</v>
      </c>
      <c r="E139" s="7">
        <v>2009</v>
      </c>
      <c r="F139" s="7">
        <v>2011</v>
      </c>
      <c r="G139" s="7">
        <v>2011</v>
      </c>
      <c r="H139" s="7">
        <v>2011</v>
      </c>
      <c r="I139" s="7">
        <v>2011</v>
      </c>
      <c r="J139" s="7">
        <v>2011</v>
      </c>
      <c r="K139" s="7">
        <v>2008</v>
      </c>
      <c r="L139" s="7">
        <v>2011</v>
      </c>
      <c r="M139" s="7">
        <v>2009</v>
      </c>
      <c r="N139" s="7">
        <v>2008</v>
      </c>
      <c r="O139" s="7">
        <v>2008</v>
      </c>
      <c r="P139" s="7">
        <v>2009</v>
      </c>
      <c r="Q139" s="7">
        <v>2006</v>
      </c>
      <c r="R139" s="7">
        <v>2011</v>
      </c>
      <c r="S139" s="7">
        <v>2009</v>
      </c>
      <c r="T139" s="7" t="s">
        <v>577</v>
      </c>
      <c r="U139" s="7">
        <v>2009</v>
      </c>
      <c r="V139" s="7">
        <v>2009</v>
      </c>
      <c r="W139" s="7">
        <v>2011</v>
      </c>
      <c r="X139" s="7">
        <v>2006</v>
      </c>
      <c r="Y139" s="7">
        <v>2008</v>
      </c>
      <c r="Z139" s="7">
        <v>2011</v>
      </c>
      <c r="AA139" s="7">
        <v>2011</v>
      </c>
      <c r="AB139" s="7">
        <v>2011</v>
      </c>
      <c r="AC139" s="7">
        <v>2011</v>
      </c>
      <c r="AD139" s="7">
        <v>2008</v>
      </c>
      <c r="AE139" s="7">
        <v>2000</v>
      </c>
    </row>
    <row r="140" spans="1:31">
      <c r="A140" s="5" t="s">
        <v>312</v>
      </c>
      <c r="B140" s="5" t="s">
        <v>311</v>
      </c>
      <c r="C140" s="7">
        <v>2007</v>
      </c>
      <c r="D140" s="7"/>
      <c r="E140" s="7">
        <v>2009</v>
      </c>
      <c r="F140" s="7">
        <v>2011</v>
      </c>
      <c r="G140" s="7">
        <v>2011</v>
      </c>
      <c r="H140" s="7">
        <v>2011</v>
      </c>
      <c r="I140" s="7">
        <v>2011</v>
      </c>
      <c r="J140" s="7">
        <v>2011</v>
      </c>
      <c r="K140" s="7">
        <v>2008</v>
      </c>
      <c r="L140" s="7">
        <v>2011</v>
      </c>
      <c r="M140" s="7">
        <v>2009</v>
      </c>
      <c r="N140" s="7">
        <v>2008</v>
      </c>
      <c r="O140" s="7">
        <v>2008</v>
      </c>
      <c r="P140" s="7">
        <v>2004</v>
      </c>
      <c r="Q140" s="7">
        <v>2008</v>
      </c>
      <c r="R140" s="7">
        <v>2011</v>
      </c>
      <c r="S140" s="7">
        <v>2009</v>
      </c>
      <c r="T140" s="7" t="s">
        <v>577</v>
      </c>
      <c r="U140" s="7">
        <v>2009</v>
      </c>
      <c r="V140" s="7">
        <v>2009</v>
      </c>
      <c r="W140" s="7">
        <v>2011</v>
      </c>
      <c r="X140" s="7">
        <v>2003</v>
      </c>
      <c r="Y140" s="7">
        <v>2008</v>
      </c>
      <c r="Z140" s="7">
        <v>2011</v>
      </c>
      <c r="AA140" s="7">
        <v>2011</v>
      </c>
      <c r="AB140" s="7">
        <v>2011</v>
      </c>
      <c r="AC140" s="7">
        <v>2011</v>
      </c>
      <c r="AD140" s="7">
        <v>2008</v>
      </c>
      <c r="AE140" s="7">
        <v>2010</v>
      </c>
    </row>
    <row r="141" spans="1:31">
      <c r="A141" s="5" t="s">
        <v>314</v>
      </c>
      <c r="B141" s="5" t="s">
        <v>313</v>
      </c>
      <c r="C141" s="7">
        <v>2007</v>
      </c>
      <c r="D141" s="7"/>
      <c r="E141" s="7">
        <v>2009</v>
      </c>
      <c r="F141" s="7">
        <v>2011</v>
      </c>
      <c r="G141" s="7">
        <v>2011</v>
      </c>
      <c r="H141" s="7">
        <v>2011</v>
      </c>
      <c r="I141" s="7">
        <v>2011</v>
      </c>
      <c r="J141" s="7">
        <v>2011</v>
      </c>
      <c r="K141" s="7">
        <v>2009</v>
      </c>
      <c r="L141" s="7">
        <v>2011</v>
      </c>
      <c r="M141" s="7">
        <v>2008</v>
      </c>
      <c r="N141" s="7">
        <v>2008</v>
      </c>
      <c r="O141" s="7">
        <v>2008</v>
      </c>
      <c r="P141" s="7">
        <v>2008</v>
      </c>
      <c r="Q141" s="7">
        <v>2008</v>
      </c>
      <c r="R141" s="7">
        <v>2011</v>
      </c>
      <c r="S141" s="7">
        <v>2009</v>
      </c>
      <c r="T141" s="7" t="s">
        <v>577</v>
      </c>
      <c r="U141" s="7">
        <v>2009</v>
      </c>
      <c r="V141" s="7">
        <v>2009</v>
      </c>
      <c r="W141" s="7">
        <v>2011</v>
      </c>
      <c r="X141" s="7">
        <v>2008</v>
      </c>
      <c r="Y141" s="7">
        <v>2008</v>
      </c>
      <c r="Z141" s="7">
        <v>2011</v>
      </c>
      <c r="AA141" s="7">
        <v>2011</v>
      </c>
      <c r="AB141" s="7"/>
      <c r="AC141" s="7">
        <v>2011</v>
      </c>
      <c r="AD141" s="7">
        <v>2008</v>
      </c>
      <c r="AE141" s="7">
        <v>2010</v>
      </c>
    </row>
    <row r="142" spans="1:31">
      <c r="A142" s="5" t="s">
        <v>316</v>
      </c>
      <c r="B142" s="5" t="s">
        <v>315</v>
      </c>
      <c r="C142" s="7">
        <v>2007</v>
      </c>
      <c r="D142" s="7"/>
      <c r="E142" s="7">
        <v>2009</v>
      </c>
      <c r="F142" s="7">
        <v>2011</v>
      </c>
      <c r="G142" s="7">
        <v>2011</v>
      </c>
      <c r="H142" s="7">
        <v>2011</v>
      </c>
      <c r="I142" s="7">
        <v>2011</v>
      </c>
      <c r="J142" s="7">
        <v>2011</v>
      </c>
      <c r="K142" s="7">
        <v>2009</v>
      </c>
      <c r="L142" s="7">
        <v>2011</v>
      </c>
      <c r="M142" s="7">
        <v>2009</v>
      </c>
      <c r="N142" s="7">
        <v>2008</v>
      </c>
      <c r="O142" s="7">
        <v>2008</v>
      </c>
      <c r="P142" s="7">
        <v>2008</v>
      </c>
      <c r="Q142" s="7">
        <v>2008</v>
      </c>
      <c r="R142" s="7">
        <v>2011</v>
      </c>
      <c r="S142" s="7">
        <v>2009</v>
      </c>
      <c r="T142" s="7" t="s">
        <v>577</v>
      </c>
      <c r="U142" s="7">
        <v>2009</v>
      </c>
      <c r="V142" s="7">
        <v>2009</v>
      </c>
      <c r="W142" s="7">
        <v>2011</v>
      </c>
      <c r="X142" s="7">
        <v>2004</v>
      </c>
      <c r="Y142" s="7">
        <v>2008</v>
      </c>
      <c r="Z142" s="7">
        <v>2011</v>
      </c>
      <c r="AA142" s="7">
        <v>2011</v>
      </c>
      <c r="AB142" s="7"/>
      <c r="AC142" s="7">
        <v>2011</v>
      </c>
      <c r="AD142" s="7">
        <v>2008</v>
      </c>
      <c r="AE142" s="7">
        <v>2000</v>
      </c>
    </row>
    <row r="143" spans="1:31">
      <c r="A143" s="5" t="s">
        <v>318</v>
      </c>
      <c r="B143" s="5" t="s">
        <v>317</v>
      </c>
      <c r="C143" s="7"/>
      <c r="D143" s="7"/>
      <c r="E143" s="7">
        <v>2009</v>
      </c>
      <c r="F143" s="7">
        <v>2011</v>
      </c>
      <c r="G143" s="7">
        <v>2011</v>
      </c>
      <c r="H143" s="7">
        <v>2011</v>
      </c>
      <c r="I143" s="7">
        <v>2011</v>
      </c>
      <c r="J143" s="7">
        <v>2011</v>
      </c>
      <c r="K143" s="7">
        <v>2008</v>
      </c>
      <c r="L143" s="7">
        <v>2011</v>
      </c>
      <c r="M143" s="7">
        <v>2009</v>
      </c>
      <c r="N143" s="7">
        <v>2008</v>
      </c>
      <c r="O143" s="7">
        <v>2008</v>
      </c>
      <c r="P143" s="7">
        <v>2006</v>
      </c>
      <c r="Q143" s="7">
        <v>2009</v>
      </c>
      <c r="R143" s="7">
        <v>2011</v>
      </c>
      <c r="S143" s="7">
        <v>2009</v>
      </c>
      <c r="T143" s="7" t="s">
        <v>577</v>
      </c>
      <c r="U143" s="7">
        <v>2009</v>
      </c>
      <c r="V143" s="7">
        <v>2009</v>
      </c>
      <c r="W143" s="7"/>
      <c r="X143" s="7">
        <v>2000</v>
      </c>
      <c r="Y143" s="7">
        <v>2008</v>
      </c>
      <c r="Z143" s="7">
        <v>2011</v>
      </c>
      <c r="AA143" s="7">
        <v>2011</v>
      </c>
      <c r="AB143" s="7">
        <v>2011</v>
      </c>
      <c r="AC143" s="7">
        <v>2011</v>
      </c>
      <c r="AD143" s="7">
        <v>2008</v>
      </c>
      <c r="AE143" s="7">
        <v>2005</v>
      </c>
    </row>
    <row r="144" spans="1:31">
      <c r="A144" s="5" t="s">
        <v>320</v>
      </c>
      <c r="B144" s="5" t="s">
        <v>319</v>
      </c>
      <c r="C144" s="7">
        <v>2007</v>
      </c>
      <c r="D144" s="7">
        <v>2002</v>
      </c>
      <c r="E144" s="7">
        <v>2009</v>
      </c>
      <c r="F144" s="7">
        <v>2011</v>
      </c>
      <c r="G144" s="7"/>
      <c r="H144" s="7">
        <v>2011</v>
      </c>
      <c r="I144" s="7">
        <v>2011</v>
      </c>
      <c r="J144" s="7">
        <v>2011</v>
      </c>
      <c r="K144" s="7">
        <v>2008</v>
      </c>
      <c r="L144" s="7">
        <v>2011</v>
      </c>
      <c r="M144" s="7">
        <v>2005</v>
      </c>
      <c r="N144" s="7"/>
      <c r="O144" s="7">
        <v>2008</v>
      </c>
      <c r="P144" s="7">
        <v>2006</v>
      </c>
      <c r="Q144" s="7">
        <v>2008</v>
      </c>
      <c r="R144" s="7">
        <v>2011</v>
      </c>
      <c r="S144" s="7">
        <v>2009</v>
      </c>
      <c r="T144" s="7" t="s">
        <v>577</v>
      </c>
      <c r="U144" s="7">
        <v>2009</v>
      </c>
      <c r="V144" s="7">
        <v>2009</v>
      </c>
      <c r="W144" s="7"/>
      <c r="X144" s="7">
        <v>2004</v>
      </c>
      <c r="Y144" s="7"/>
      <c r="Z144" s="7">
        <v>2011</v>
      </c>
      <c r="AA144" s="7">
        <v>2011</v>
      </c>
      <c r="AB144" s="7"/>
      <c r="AC144" s="7">
        <v>2011</v>
      </c>
      <c r="AD144" s="7"/>
      <c r="AE144" s="7">
        <v>2010</v>
      </c>
    </row>
    <row r="145" spans="1:31" ht="30">
      <c r="A145" s="5" t="s">
        <v>322</v>
      </c>
      <c r="B145" s="5" t="s">
        <v>321</v>
      </c>
      <c r="C145" s="7">
        <v>2007</v>
      </c>
      <c r="D145" s="7">
        <v>2005</v>
      </c>
      <c r="E145" s="7">
        <v>2009</v>
      </c>
      <c r="F145" s="7">
        <v>2011</v>
      </c>
      <c r="G145" s="7">
        <v>2011</v>
      </c>
      <c r="H145" s="7">
        <v>2011</v>
      </c>
      <c r="I145" s="7">
        <v>2011</v>
      </c>
      <c r="J145" s="7">
        <v>2011</v>
      </c>
      <c r="K145" s="7">
        <v>2008</v>
      </c>
      <c r="L145" s="7">
        <v>2011</v>
      </c>
      <c r="M145" s="7">
        <v>2006</v>
      </c>
      <c r="N145" s="7">
        <v>2008</v>
      </c>
      <c r="O145" s="7">
        <v>2008</v>
      </c>
      <c r="P145" s="7">
        <v>2006</v>
      </c>
      <c r="Q145" s="7">
        <v>2008</v>
      </c>
      <c r="R145" s="7">
        <v>2011</v>
      </c>
      <c r="S145" s="7">
        <v>2009</v>
      </c>
      <c r="T145" s="7" t="s">
        <v>577</v>
      </c>
      <c r="U145" s="7">
        <v>2009</v>
      </c>
      <c r="V145" s="7">
        <v>2009</v>
      </c>
      <c r="W145" s="7">
        <v>2011</v>
      </c>
      <c r="X145" s="7">
        <v>2007</v>
      </c>
      <c r="Y145" s="7">
        <v>2008</v>
      </c>
      <c r="Z145" s="7">
        <v>2011</v>
      </c>
      <c r="AA145" s="7">
        <v>2011</v>
      </c>
      <c r="AB145" s="7">
        <v>2011</v>
      </c>
      <c r="AC145" s="7">
        <v>2011</v>
      </c>
      <c r="AD145" s="7">
        <v>2008</v>
      </c>
      <c r="AE145" s="7">
        <v>2000</v>
      </c>
    </row>
    <row r="146" spans="1:31">
      <c r="A146" s="5" t="s">
        <v>324</v>
      </c>
      <c r="B146" s="5" t="s">
        <v>323</v>
      </c>
      <c r="C146" s="7">
        <v>2007</v>
      </c>
      <c r="D146" s="7">
        <v>2005</v>
      </c>
      <c r="E146" s="7">
        <v>2009</v>
      </c>
      <c r="F146" s="7">
        <v>2011</v>
      </c>
      <c r="G146" s="7">
        <v>2011</v>
      </c>
      <c r="H146" s="7"/>
      <c r="I146" s="7"/>
      <c r="J146" s="7">
        <v>2011</v>
      </c>
      <c r="K146" s="7"/>
      <c r="L146" s="7">
        <v>2011</v>
      </c>
      <c r="M146" s="7">
        <v>2009</v>
      </c>
      <c r="N146" s="7">
        <v>2008</v>
      </c>
      <c r="O146" s="7">
        <v>2008</v>
      </c>
      <c r="P146" s="7">
        <v>2005</v>
      </c>
      <c r="Q146" s="7">
        <v>2009</v>
      </c>
      <c r="R146" s="7">
        <v>2011</v>
      </c>
      <c r="S146" s="7">
        <v>2009</v>
      </c>
      <c r="T146" s="7" t="s">
        <v>577</v>
      </c>
      <c r="U146" s="7">
        <v>2009</v>
      </c>
      <c r="V146" s="7">
        <v>2009</v>
      </c>
      <c r="W146" s="7">
        <v>2011</v>
      </c>
      <c r="X146" s="7">
        <v>2004</v>
      </c>
      <c r="Y146" s="7">
        <v>2008</v>
      </c>
      <c r="Z146" s="7">
        <v>2011</v>
      </c>
      <c r="AA146" s="7">
        <v>2011</v>
      </c>
      <c r="AB146" s="7">
        <v>2011</v>
      </c>
      <c r="AC146" s="7">
        <v>2011</v>
      </c>
      <c r="AD146" s="7">
        <v>2008</v>
      </c>
      <c r="AE146" s="7">
        <v>2000</v>
      </c>
    </row>
    <row r="147" spans="1:31" ht="30">
      <c r="A147" s="5" t="s">
        <v>326</v>
      </c>
      <c r="B147" s="5" t="s">
        <v>325</v>
      </c>
      <c r="C147" s="7">
        <v>2007</v>
      </c>
      <c r="D147" s="7"/>
      <c r="E147" s="7">
        <v>2009</v>
      </c>
      <c r="F147" s="7">
        <v>2011</v>
      </c>
      <c r="G147" s="7">
        <v>2011</v>
      </c>
      <c r="H147" s="7">
        <v>2011</v>
      </c>
      <c r="I147" s="7">
        <v>2011</v>
      </c>
      <c r="J147" s="7">
        <v>2011</v>
      </c>
      <c r="K147" s="7"/>
      <c r="L147" s="7">
        <v>2011</v>
      </c>
      <c r="M147" s="7">
        <v>2008</v>
      </c>
      <c r="N147" s="7">
        <v>2002</v>
      </c>
      <c r="O147" s="7"/>
      <c r="P147" s="7">
        <v>2000</v>
      </c>
      <c r="Q147" s="7">
        <v>2008</v>
      </c>
      <c r="R147" s="7"/>
      <c r="S147" s="7">
        <v>2009</v>
      </c>
      <c r="T147" s="7" t="s">
        <v>577</v>
      </c>
      <c r="U147" s="7">
        <v>2009</v>
      </c>
      <c r="V147" s="7">
        <v>2009</v>
      </c>
      <c r="W147" s="7"/>
      <c r="X147" s="7">
        <v>1999</v>
      </c>
      <c r="Y147" s="7">
        <v>2008</v>
      </c>
      <c r="Z147" s="7">
        <v>2011</v>
      </c>
      <c r="AA147" s="7">
        <v>2011</v>
      </c>
      <c r="AB147" s="7">
        <v>2011</v>
      </c>
      <c r="AC147" s="7">
        <v>2011</v>
      </c>
      <c r="AD147" s="7">
        <v>2008</v>
      </c>
      <c r="AE147" s="7"/>
    </row>
    <row r="148" spans="1:31">
      <c r="A148" s="5" t="s">
        <v>328</v>
      </c>
      <c r="B148" s="5" t="s">
        <v>327</v>
      </c>
      <c r="C148" s="7">
        <v>2007</v>
      </c>
      <c r="D148" s="7"/>
      <c r="E148" s="7">
        <v>2009</v>
      </c>
      <c r="F148" s="7"/>
      <c r="G148" s="7">
        <v>2011</v>
      </c>
      <c r="H148" s="7">
        <v>2011</v>
      </c>
      <c r="I148" s="7">
        <v>2011</v>
      </c>
      <c r="J148" s="7">
        <v>2011</v>
      </c>
      <c r="K148" s="7"/>
      <c r="L148" s="7">
        <v>2011</v>
      </c>
      <c r="M148" s="7">
        <v>2009</v>
      </c>
      <c r="N148" s="7">
        <v>2005</v>
      </c>
      <c r="O148" s="7"/>
      <c r="P148" s="7">
        <v>2002</v>
      </c>
      <c r="Q148" s="7">
        <v>2009</v>
      </c>
      <c r="R148" s="7">
        <v>2011</v>
      </c>
      <c r="S148" s="7">
        <v>2009</v>
      </c>
      <c r="T148" s="7" t="s">
        <v>577</v>
      </c>
      <c r="U148" s="7">
        <v>2009</v>
      </c>
      <c r="V148" s="7">
        <v>2009</v>
      </c>
      <c r="W148" s="7"/>
      <c r="X148" s="7"/>
      <c r="Y148" s="7">
        <v>2008</v>
      </c>
      <c r="Z148" s="7">
        <v>2011</v>
      </c>
      <c r="AA148" s="7">
        <v>2011</v>
      </c>
      <c r="AB148" s="7">
        <v>2011</v>
      </c>
      <c r="AC148" s="7">
        <v>2011</v>
      </c>
      <c r="AD148" s="7">
        <v>2004</v>
      </c>
      <c r="AE148" s="7"/>
    </row>
    <row r="149" spans="1:31" ht="60">
      <c r="A149" s="5" t="s">
        <v>330</v>
      </c>
      <c r="B149" s="5" t="s">
        <v>329</v>
      </c>
      <c r="C149" s="7">
        <v>2007</v>
      </c>
      <c r="D149" s="7"/>
      <c r="E149" s="7">
        <v>2009</v>
      </c>
      <c r="F149" s="7"/>
      <c r="G149" s="7">
        <v>2011</v>
      </c>
      <c r="H149" s="7">
        <v>2011</v>
      </c>
      <c r="I149" s="7">
        <v>2011</v>
      </c>
      <c r="J149" s="7">
        <v>2011</v>
      </c>
      <c r="K149" s="7"/>
      <c r="L149" s="7">
        <v>2011</v>
      </c>
      <c r="M149" s="7">
        <v>2009</v>
      </c>
      <c r="N149" s="7">
        <v>2008</v>
      </c>
      <c r="O149" s="7"/>
      <c r="P149" s="7">
        <v>2000</v>
      </c>
      <c r="Q149" s="7"/>
      <c r="R149" s="7">
        <v>2011</v>
      </c>
      <c r="S149" s="7">
        <v>2009</v>
      </c>
      <c r="T149" s="7" t="s">
        <v>577</v>
      </c>
      <c r="U149" s="7">
        <v>2009</v>
      </c>
      <c r="V149" s="7">
        <v>2009</v>
      </c>
      <c r="W149" s="7"/>
      <c r="X149" s="7">
        <v>2003</v>
      </c>
      <c r="Y149" s="7"/>
      <c r="Z149" s="7">
        <v>2011</v>
      </c>
      <c r="AA149" s="7">
        <v>2011</v>
      </c>
      <c r="AB149" s="7"/>
      <c r="AC149" s="7">
        <v>2011</v>
      </c>
      <c r="AD149" s="7"/>
      <c r="AE149" s="7"/>
    </row>
    <row r="150" spans="1:31">
      <c r="A150" s="5" t="s">
        <v>332</v>
      </c>
      <c r="B150" s="5" t="s">
        <v>331</v>
      </c>
      <c r="C150" s="7">
        <v>2007</v>
      </c>
      <c r="D150" s="7"/>
      <c r="E150" s="7">
        <v>2009</v>
      </c>
      <c r="F150" s="7">
        <v>2011</v>
      </c>
      <c r="G150" s="7">
        <v>2011</v>
      </c>
      <c r="H150" s="7">
        <v>2011</v>
      </c>
      <c r="I150" s="7">
        <v>2011</v>
      </c>
      <c r="J150" s="7">
        <v>2011</v>
      </c>
      <c r="K150" s="7"/>
      <c r="L150" s="7">
        <v>2011</v>
      </c>
      <c r="M150" s="7">
        <v>2009</v>
      </c>
      <c r="N150" s="7">
        <v>2008</v>
      </c>
      <c r="O150" s="7"/>
      <c r="P150" s="7">
        <v>2005</v>
      </c>
      <c r="Q150" s="7">
        <v>2001</v>
      </c>
      <c r="R150" s="7">
        <v>2011</v>
      </c>
      <c r="S150" s="7">
        <v>2009</v>
      </c>
      <c r="T150" s="7" t="s">
        <v>577</v>
      </c>
      <c r="U150" s="7">
        <v>2009</v>
      </c>
      <c r="V150" s="7">
        <v>2009</v>
      </c>
      <c r="W150" s="7">
        <v>2011</v>
      </c>
      <c r="X150" s="7">
        <v>2001</v>
      </c>
      <c r="Y150" s="7">
        <v>2005</v>
      </c>
      <c r="Z150" s="7">
        <v>2011</v>
      </c>
      <c r="AA150" s="7">
        <v>2011</v>
      </c>
      <c r="AB150" s="7">
        <v>2011</v>
      </c>
      <c r="AC150" s="7">
        <v>2011</v>
      </c>
      <c r="AD150" s="7">
        <v>2008</v>
      </c>
      <c r="AE150" s="7"/>
    </row>
    <row r="151" spans="1:31">
      <c r="A151" s="5" t="s">
        <v>334</v>
      </c>
      <c r="B151" s="5" t="s">
        <v>333</v>
      </c>
      <c r="C151" s="7"/>
      <c r="D151" s="7"/>
      <c r="E151" s="7">
        <v>2009</v>
      </c>
      <c r="F151" s="7"/>
      <c r="G151" s="7">
        <v>2011</v>
      </c>
      <c r="H151" s="7"/>
      <c r="I151" s="7"/>
      <c r="J151" s="7">
        <v>2011</v>
      </c>
      <c r="K151" s="7"/>
      <c r="L151" s="7">
        <v>2011</v>
      </c>
      <c r="M151" s="7">
        <v>2009</v>
      </c>
      <c r="N151" s="7">
        <v>2006</v>
      </c>
      <c r="O151" s="7"/>
      <c r="P151" s="7"/>
      <c r="Q151" s="7"/>
      <c r="R151" s="7"/>
      <c r="S151" s="7">
        <v>2009</v>
      </c>
      <c r="T151" s="7" t="s">
        <v>577</v>
      </c>
      <c r="U151" s="7">
        <v>2009</v>
      </c>
      <c r="V151" s="7">
        <v>2009</v>
      </c>
      <c r="W151" s="7"/>
      <c r="X151" s="7"/>
      <c r="Y151" s="7"/>
      <c r="Z151" s="7">
        <v>2011</v>
      </c>
      <c r="AA151" s="7">
        <v>2011</v>
      </c>
      <c r="AB151" s="7"/>
      <c r="AC151" s="7">
        <v>2011</v>
      </c>
      <c r="AD151" s="7"/>
      <c r="AE151" s="7"/>
    </row>
    <row r="152" spans="1:31" ht="45">
      <c r="A152" s="5" t="s">
        <v>336</v>
      </c>
      <c r="B152" s="5" t="s">
        <v>335</v>
      </c>
      <c r="C152" s="7">
        <v>2007</v>
      </c>
      <c r="D152" s="7">
        <v>2006</v>
      </c>
      <c r="E152" s="7">
        <v>2009</v>
      </c>
      <c r="F152" s="7"/>
      <c r="G152" s="7">
        <v>2011</v>
      </c>
      <c r="H152" s="7"/>
      <c r="I152" s="7"/>
      <c r="J152" s="7">
        <v>2011</v>
      </c>
      <c r="K152" s="7"/>
      <c r="L152" s="7">
        <v>2011</v>
      </c>
      <c r="M152" s="7">
        <v>2009</v>
      </c>
      <c r="N152" s="7">
        <v>2008</v>
      </c>
      <c r="O152" s="7"/>
      <c r="P152" s="7">
        <v>2004</v>
      </c>
      <c r="Q152" s="7">
        <v>2009</v>
      </c>
      <c r="R152" s="7">
        <v>2011</v>
      </c>
      <c r="S152" s="7">
        <v>2009</v>
      </c>
      <c r="T152" s="7" t="s">
        <v>577</v>
      </c>
      <c r="U152" s="7">
        <v>2009</v>
      </c>
      <c r="V152" s="7">
        <v>2009</v>
      </c>
      <c r="W152" s="7"/>
      <c r="X152" s="7">
        <v>2001</v>
      </c>
      <c r="Y152" s="7">
        <v>2008</v>
      </c>
      <c r="Z152" s="7">
        <v>2011</v>
      </c>
      <c r="AA152" s="7">
        <v>2011</v>
      </c>
      <c r="AB152" s="7">
        <v>2011</v>
      </c>
      <c r="AC152" s="7">
        <v>2011</v>
      </c>
      <c r="AD152" s="7">
        <v>2008</v>
      </c>
      <c r="AE152" s="7">
        <v>1995</v>
      </c>
    </row>
    <row r="153" spans="1:31" ht="30">
      <c r="A153" s="5" t="s">
        <v>338</v>
      </c>
      <c r="B153" s="5" t="s">
        <v>337</v>
      </c>
      <c r="C153" s="7">
        <v>2007</v>
      </c>
      <c r="D153" s="7">
        <v>2006</v>
      </c>
      <c r="E153" s="7">
        <v>2009</v>
      </c>
      <c r="F153" s="7">
        <v>2011</v>
      </c>
      <c r="G153" s="7">
        <v>2011</v>
      </c>
      <c r="H153" s="7">
        <v>2011</v>
      </c>
      <c r="I153" s="7">
        <v>2011</v>
      </c>
      <c r="J153" s="7">
        <v>2011</v>
      </c>
      <c r="K153" s="7">
        <v>2008</v>
      </c>
      <c r="L153" s="7">
        <v>2011</v>
      </c>
      <c r="M153" s="7">
        <v>2009</v>
      </c>
      <c r="N153" s="7">
        <v>2008</v>
      </c>
      <c r="O153" s="7">
        <v>2008</v>
      </c>
      <c r="P153" s="7">
        <v>2008</v>
      </c>
      <c r="Q153" s="7">
        <v>2009</v>
      </c>
      <c r="R153" s="7">
        <v>2011</v>
      </c>
      <c r="S153" s="7">
        <v>2009</v>
      </c>
      <c r="T153" s="7" t="s">
        <v>577</v>
      </c>
      <c r="U153" s="7">
        <v>2009</v>
      </c>
      <c r="V153" s="7">
        <v>2009</v>
      </c>
      <c r="W153" s="7">
        <v>2011</v>
      </c>
      <c r="X153" s="7">
        <v>2005</v>
      </c>
      <c r="Y153" s="7">
        <v>2004</v>
      </c>
      <c r="Z153" s="7">
        <v>2011</v>
      </c>
      <c r="AA153" s="7">
        <v>2011</v>
      </c>
      <c r="AB153" s="7"/>
      <c r="AC153" s="7">
        <v>2011</v>
      </c>
      <c r="AD153" s="7">
        <v>2004</v>
      </c>
      <c r="AE153" s="7">
        <v>2005</v>
      </c>
    </row>
    <row r="154" spans="1:31">
      <c r="A154" s="5" t="s">
        <v>340</v>
      </c>
      <c r="B154" s="5" t="s">
        <v>339</v>
      </c>
      <c r="C154" s="7">
        <v>2007</v>
      </c>
      <c r="D154" s="7">
        <v>2005</v>
      </c>
      <c r="E154" s="7">
        <v>2009</v>
      </c>
      <c r="F154" s="7">
        <v>2011</v>
      </c>
      <c r="G154" s="7">
        <v>2011</v>
      </c>
      <c r="H154" s="7">
        <v>2011</v>
      </c>
      <c r="I154" s="7">
        <v>2011</v>
      </c>
      <c r="J154" s="7">
        <v>2011</v>
      </c>
      <c r="K154" s="7">
        <v>2008</v>
      </c>
      <c r="L154" s="7">
        <v>2011</v>
      </c>
      <c r="M154" s="7">
        <v>2009</v>
      </c>
      <c r="N154" s="7">
        <v>2008</v>
      </c>
      <c r="O154" s="7">
        <v>2008</v>
      </c>
      <c r="P154" s="7">
        <v>2008</v>
      </c>
      <c r="Q154" s="7">
        <v>2009</v>
      </c>
      <c r="R154" s="7">
        <v>2011</v>
      </c>
      <c r="S154" s="7">
        <v>2009</v>
      </c>
      <c r="T154" s="7" t="s">
        <v>577</v>
      </c>
      <c r="U154" s="7">
        <v>2009</v>
      </c>
      <c r="V154" s="7">
        <v>2009</v>
      </c>
      <c r="W154" s="7">
        <v>2011</v>
      </c>
      <c r="X154" s="7">
        <v>2003</v>
      </c>
      <c r="Y154" s="7">
        <v>2008</v>
      </c>
      <c r="Z154" s="7">
        <v>2011</v>
      </c>
      <c r="AA154" s="7">
        <v>2011</v>
      </c>
      <c r="AB154" s="7">
        <v>2011</v>
      </c>
      <c r="AC154" s="7">
        <v>2011</v>
      </c>
      <c r="AD154" s="7">
        <v>2008</v>
      </c>
      <c r="AE154" s="7">
        <v>2000</v>
      </c>
    </row>
    <row r="155" spans="1:31">
      <c r="A155" s="5" t="s">
        <v>342</v>
      </c>
      <c r="B155" s="5" t="s">
        <v>341</v>
      </c>
      <c r="C155" s="7">
        <v>2005</v>
      </c>
      <c r="D155" s="7">
        <v>2005</v>
      </c>
      <c r="E155" s="7">
        <v>2009</v>
      </c>
      <c r="F155" s="7">
        <v>2011</v>
      </c>
      <c r="G155" s="7">
        <v>2011</v>
      </c>
      <c r="H155" s="7"/>
      <c r="I155" s="7"/>
      <c r="J155" s="7">
        <v>2011</v>
      </c>
      <c r="K155" s="7">
        <v>2008</v>
      </c>
      <c r="L155" s="7">
        <v>2011</v>
      </c>
      <c r="M155" s="7">
        <v>2009</v>
      </c>
      <c r="N155" s="7">
        <v>2008</v>
      </c>
      <c r="O155" s="7">
        <v>2008</v>
      </c>
      <c r="P155" s="7">
        <v>2007</v>
      </c>
      <c r="Q155" s="7">
        <v>2009</v>
      </c>
      <c r="R155" s="7">
        <v>2011</v>
      </c>
      <c r="S155" s="7">
        <v>2009</v>
      </c>
      <c r="T155" s="7" t="s">
        <v>577</v>
      </c>
      <c r="U155" s="7">
        <v>2009</v>
      </c>
      <c r="V155" s="7">
        <v>2009</v>
      </c>
      <c r="W155" s="7"/>
      <c r="X155" s="7">
        <v>2008</v>
      </c>
      <c r="Y155" s="7">
        <v>2008</v>
      </c>
      <c r="Z155" s="7"/>
      <c r="AA155" s="7"/>
      <c r="AB155" s="7"/>
      <c r="AC155" s="7">
        <v>2011</v>
      </c>
      <c r="AD155" s="7">
        <v>2008</v>
      </c>
      <c r="AE155" s="7"/>
    </row>
    <row r="156" spans="1:31">
      <c r="A156" s="5" t="s">
        <v>344</v>
      </c>
      <c r="B156" s="5" t="s">
        <v>343</v>
      </c>
      <c r="C156" s="7">
        <v>2007</v>
      </c>
      <c r="D156" s="7"/>
      <c r="E156" s="7">
        <v>2009</v>
      </c>
      <c r="F156" s="7"/>
      <c r="G156" s="7">
        <v>2011</v>
      </c>
      <c r="H156" s="7">
        <v>2011</v>
      </c>
      <c r="I156" s="7">
        <v>2011</v>
      </c>
      <c r="J156" s="7">
        <v>2011</v>
      </c>
      <c r="K156" s="7"/>
      <c r="L156" s="7">
        <v>2011</v>
      </c>
      <c r="M156" s="7">
        <v>2009</v>
      </c>
      <c r="N156" s="7">
        <v>2008</v>
      </c>
      <c r="O156" s="7"/>
      <c r="P156" s="7">
        <v>2004</v>
      </c>
      <c r="Q156" s="7"/>
      <c r="R156" s="7">
        <v>2011</v>
      </c>
      <c r="S156" s="7">
        <v>2009</v>
      </c>
      <c r="T156" s="7" t="s">
        <v>577</v>
      </c>
      <c r="U156" s="7">
        <v>2009</v>
      </c>
      <c r="V156" s="7">
        <v>2009</v>
      </c>
      <c r="W156" s="7">
        <v>2011</v>
      </c>
      <c r="X156" s="7">
        <v>2008</v>
      </c>
      <c r="Y156" s="7"/>
      <c r="Z156" s="7">
        <v>2011</v>
      </c>
      <c r="AA156" s="7">
        <v>2011</v>
      </c>
      <c r="AB156" s="7"/>
      <c r="AC156" s="7">
        <v>2011</v>
      </c>
      <c r="AD156" s="7"/>
      <c r="AE156" s="7"/>
    </row>
    <row r="157" spans="1:31" ht="30">
      <c r="A157" s="5" t="s">
        <v>346</v>
      </c>
      <c r="B157" s="5" t="s">
        <v>345</v>
      </c>
      <c r="C157" s="7">
        <v>2007</v>
      </c>
      <c r="D157" s="7">
        <v>2005</v>
      </c>
      <c r="E157" s="7">
        <v>2009</v>
      </c>
      <c r="F157" s="7">
        <v>2011</v>
      </c>
      <c r="G157" s="7">
        <v>2011</v>
      </c>
      <c r="H157" s="7">
        <v>2011</v>
      </c>
      <c r="I157" s="7">
        <v>2011</v>
      </c>
      <c r="J157" s="7">
        <v>2011</v>
      </c>
      <c r="K157" s="7"/>
      <c r="L157" s="7">
        <v>2011</v>
      </c>
      <c r="M157" s="7">
        <v>2009</v>
      </c>
      <c r="N157" s="7">
        <v>2008</v>
      </c>
      <c r="O157" s="7">
        <v>2008</v>
      </c>
      <c r="P157" s="7">
        <v>2008</v>
      </c>
      <c r="Q157" s="7">
        <v>2002</v>
      </c>
      <c r="R157" s="7">
        <v>2011</v>
      </c>
      <c r="S157" s="7">
        <v>2009</v>
      </c>
      <c r="T157" s="7" t="s">
        <v>577</v>
      </c>
      <c r="U157" s="7">
        <v>2009</v>
      </c>
      <c r="V157" s="7">
        <v>2009</v>
      </c>
      <c r="W157" s="7">
        <v>2011</v>
      </c>
      <c r="X157" s="7">
        <v>2002</v>
      </c>
      <c r="Y157" s="7">
        <v>2008</v>
      </c>
      <c r="Z157" s="7">
        <v>2011</v>
      </c>
      <c r="AA157" s="7">
        <v>2011</v>
      </c>
      <c r="AB157" s="7">
        <v>2011</v>
      </c>
      <c r="AC157" s="7">
        <v>2011</v>
      </c>
      <c r="AD157" s="7">
        <v>2008</v>
      </c>
      <c r="AE157" s="7">
        <v>2000</v>
      </c>
    </row>
    <row r="158" spans="1:31">
      <c r="A158" s="5" t="s">
        <v>348</v>
      </c>
      <c r="B158" s="5" t="s">
        <v>347</v>
      </c>
      <c r="C158" s="7"/>
      <c r="D158" s="7">
        <v>2010</v>
      </c>
      <c r="E158" s="7">
        <v>2009</v>
      </c>
      <c r="F158" s="7">
        <v>2011</v>
      </c>
      <c r="G158" s="7">
        <v>2011</v>
      </c>
      <c r="H158" s="7">
        <v>2011</v>
      </c>
      <c r="I158" s="7">
        <v>2011</v>
      </c>
      <c r="J158" s="7">
        <v>2011</v>
      </c>
      <c r="K158" s="7">
        <v>2008</v>
      </c>
      <c r="L158" s="7">
        <v>2011</v>
      </c>
      <c r="M158" s="7">
        <v>2009</v>
      </c>
      <c r="N158" s="7">
        <v>2008</v>
      </c>
      <c r="O158" s="7">
        <v>2008</v>
      </c>
      <c r="P158" s="7">
        <v>2009</v>
      </c>
      <c r="Q158" s="7"/>
      <c r="R158" s="7">
        <v>2011</v>
      </c>
      <c r="S158" s="7">
        <v>2009</v>
      </c>
      <c r="T158" s="7" t="s">
        <v>577</v>
      </c>
      <c r="U158" s="7">
        <v>2009</v>
      </c>
      <c r="V158" s="7">
        <v>2009</v>
      </c>
      <c r="W158" s="7"/>
      <c r="X158" s="7">
        <v>2008</v>
      </c>
      <c r="Y158" s="7">
        <v>2008</v>
      </c>
      <c r="Z158" s="7">
        <v>2011</v>
      </c>
      <c r="AA158" s="7">
        <v>2011</v>
      </c>
      <c r="AB158" s="7"/>
      <c r="AC158" s="7">
        <v>2011</v>
      </c>
      <c r="AD158" s="7">
        <v>2008</v>
      </c>
      <c r="AE158" s="7"/>
    </row>
    <row r="159" spans="1:31">
      <c r="A159" s="5" t="s">
        <v>350</v>
      </c>
      <c r="B159" s="5" t="s">
        <v>349</v>
      </c>
      <c r="C159" s="7">
        <v>2007</v>
      </c>
      <c r="D159" s="7"/>
      <c r="E159" s="7">
        <v>2009</v>
      </c>
      <c r="F159" s="7">
        <v>2011</v>
      </c>
      <c r="G159" s="7">
        <v>2011</v>
      </c>
      <c r="H159" s="7"/>
      <c r="I159" s="7"/>
      <c r="J159" s="7">
        <v>2011</v>
      </c>
      <c r="K159" s="7">
        <v>2009</v>
      </c>
      <c r="L159" s="7">
        <v>2011</v>
      </c>
      <c r="M159" s="7">
        <v>2004</v>
      </c>
      <c r="N159" s="7">
        <v>2008</v>
      </c>
      <c r="O159" s="7">
        <v>2008</v>
      </c>
      <c r="P159" s="7"/>
      <c r="Q159" s="7">
        <v>2008</v>
      </c>
      <c r="R159" s="7">
        <v>2011</v>
      </c>
      <c r="S159" s="7">
        <v>2009</v>
      </c>
      <c r="T159" s="7" t="s">
        <v>577</v>
      </c>
      <c r="U159" s="7">
        <v>2009</v>
      </c>
      <c r="V159" s="7">
        <v>2009</v>
      </c>
      <c r="W159" s="7">
        <v>2011</v>
      </c>
      <c r="X159" s="7">
        <v>2006</v>
      </c>
      <c r="Y159" s="7">
        <v>2008</v>
      </c>
      <c r="Z159" s="7">
        <v>2011</v>
      </c>
      <c r="AA159" s="7">
        <v>2011</v>
      </c>
      <c r="AB159" s="7"/>
      <c r="AC159" s="7">
        <v>2011</v>
      </c>
      <c r="AD159" s="7">
        <v>2008</v>
      </c>
      <c r="AE159" s="7">
        <v>2005</v>
      </c>
    </row>
    <row r="160" spans="1:31">
      <c r="A160" s="5" t="s">
        <v>352</v>
      </c>
      <c r="B160" s="5" t="s">
        <v>351</v>
      </c>
      <c r="C160" s="7">
        <v>2007</v>
      </c>
      <c r="D160" s="7"/>
      <c r="E160" s="7">
        <v>2009</v>
      </c>
      <c r="F160" s="7">
        <v>2011</v>
      </c>
      <c r="G160" s="7">
        <v>2011</v>
      </c>
      <c r="H160" s="7"/>
      <c r="I160" s="7"/>
      <c r="J160" s="7">
        <v>2011</v>
      </c>
      <c r="K160" s="7">
        <v>2008</v>
      </c>
      <c r="L160" s="7">
        <v>2011</v>
      </c>
      <c r="M160" s="7">
        <v>2008</v>
      </c>
      <c r="N160" s="7">
        <v>2008</v>
      </c>
      <c r="O160" s="7">
        <v>2008</v>
      </c>
      <c r="P160" s="7">
        <v>2008</v>
      </c>
      <c r="Q160" s="7">
        <v>2008</v>
      </c>
      <c r="R160" s="7">
        <v>2011</v>
      </c>
      <c r="S160" s="7">
        <v>2009</v>
      </c>
      <c r="T160" s="7" t="s">
        <v>577</v>
      </c>
      <c r="U160" s="7">
        <v>2009</v>
      </c>
      <c r="V160" s="7">
        <v>2009</v>
      </c>
      <c r="W160" s="7"/>
      <c r="X160" s="7">
        <v>2008</v>
      </c>
      <c r="Y160" s="7">
        <v>2008</v>
      </c>
      <c r="Z160" s="7">
        <v>2011</v>
      </c>
      <c r="AA160" s="7">
        <v>2011</v>
      </c>
      <c r="AB160" s="7"/>
      <c r="AC160" s="7">
        <v>2011</v>
      </c>
      <c r="AD160" s="7">
        <v>2008</v>
      </c>
      <c r="AE160" s="7">
        <v>2010</v>
      </c>
    </row>
    <row r="161" spans="1:31" ht="30">
      <c r="A161" s="5" t="s">
        <v>354</v>
      </c>
      <c r="B161" s="5" t="s">
        <v>353</v>
      </c>
      <c r="C161" s="7">
        <v>2007</v>
      </c>
      <c r="D161" s="7"/>
      <c r="E161" s="7">
        <v>2009</v>
      </c>
      <c r="F161" s="7">
        <v>2011</v>
      </c>
      <c r="G161" s="7">
        <v>2011</v>
      </c>
      <c r="H161" s="7">
        <v>2011</v>
      </c>
      <c r="I161" s="7">
        <v>2011</v>
      </c>
      <c r="J161" s="7">
        <v>2011</v>
      </c>
      <c r="K161" s="7"/>
      <c r="L161" s="7">
        <v>2011</v>
      </c>
      <c r="M161" s="7">
        <v>2009</v>
      </c>
      <c r="N161" s="7">
        <v>2008</v>
      </c>
      <c r="O161" s="7">
        <v>2008</v>
      </c>
      <c r="P161" s="7">
        <v>2005</v>
      </c>
      <c r="Q161" s="7"/>
      <c r="R161" s="7">
        <v>2011</v>
      </c>
      <c r="S161" s="7">
        <v>2009</v>
      </c>
      <c r="T161" s="7" t="s">
        <v>577</v>
      </c>
      <c r="U161" s="7">
        <v>2009</v>
      </c>
      <c r="V161" s="7">
        <v>2009</v>
      </c>
      <c r="W161" s="7"/>
      <c r="X161" s="7">
        <v>2001</v>
      </c>
      <c r="Y161" s="7">
        <v>2005</v>
      </c>
      <c r="Z161" s="7">
        <v>2011</v>
      </c>
      <c r="AA161" s="7">
        <v>2011</v>
      </c>
      <c r="AB161" s="7">
        <v>2011</v>
      </c>
      <c r="AC161" s="7">
        <v>2011</v>
      </c>
      <c r="AD161" s="7">
        <v>2005</v>
      </c>
      <c r="AE161" s="7"/>
    </row>
    <row r="162" spans="1:31">
      <c r="A162" s="5" t="s">
        <v>356</v>
      </c>
      <c r="B162" s="5" t="s">
        <v>355</v>
      </c>
      <c r="C162" s="7"/>
      <c r="D162" s="7">
        <v>2006</v>
      </c>
      <c r="E162" s="7">
        <v>2009</v>
      </c>
      <c r="F162" s="7">
        <v>2011</v>
      </c>
      <c r="G162" s="7">
        <v>2011</v>
      </c>
      <c r="H162" s="7"/>
      <c r="I162" s="7"/>
      <c r="J162" s="7">
        <v>2011</v>
      </c>
      <c r="K162" s="7"/>
      <c r="L162" s="7">
        <v>2011</v>
      </c>
      <c r="M162" s="7">
        <v>2009</v>
      </c>
      <c r="N162" s="7">
        <v>2008</v>
      </c>
      <c r="O162" s="7">
        <v>2008</v>
      </c>
      <c r="P162" s="7">
        <v>2006</v>
      </c>
      <c r="Q162" s="7"/>
      <c r="R162" s="7"/>
      <c r="S162" s="7">
        <v>2009</v>
      </c>
      <c r="T162" s="7" t="s">
        <v>577</v>
      </c>
      <c r="U162" s="7">
        <v>2009</v>
      </c>
      <c r="V162" s="7">
        <v>2009</v>
      </c>
      <c r="W162" s="7">
        <v>2011</v>
      </c>
      <c r="X162" s="7">
        <v>2001</v>
      </c>
      <c r="Y162" s="7">
        <v>2008</v>
      </c>
      <c r="Z162" s="7">
        <v>2011</v>
      </c>
      <c r="AA162" s="7">
        <v>2011</v>
      </c>
      <c r="AB162" s="7">
        <v>2011</v>
      </c>
      <c r="AC162" s="7">
        <v>2011</v>
      </c>
      <c r="AD162" s="7">
        <v>2008</v>
      </c>
      <c r="AE162" s="7">
        <v>2005</v>
      </c>
    </row>
    <row r="163" spans="1:31" ht="30">
      <c r="A163" s="5" t="s">
        <v>358</v>
      </c>
      <c r="B163" s="5" t="s">
        <v>357</v>
      </c>
      <c r="C163" s="7">
        <v>2007</v>
      </c>
      <c r="D163" s="7">
        <v>2003</v>
      </c>
      <c r="E163" s="7">
        <v>2009</v>
      </c>
      <c r="F163" s="7">
        <v>2011</v>
      </c>
      <c r="G163" s="7">
        <v>2011</v>
      </c>
      <c r="H163" s="7">
        <v>2011</v>
      </c>
      <c r="I163" s="7">
        <v>2011</v>
      </c>
      <c r="J163" s="7">
        <v>2011</v>
      </c>
      <c r="K163" s="7">
        <v>2008</v>
      </c>
      <c r="L163" s="7">
        <v>2011</v>
      </c>
      <c r="M163" s="7">
        <v>2009</v>
      </c>
      <c r="N163" s="7">
        <v>2008</v>
      </c>
      <c r="O163" s="7">
        <v>2008</v>
      </c>
      <c r="P163" s="7">
        <v>2004</v>
      </c>
      <c r="Q163" s="7"/>
      <c r="R163" s="7">
        <v>2011</v>
      </c>
      <c r="S163" s="7">
        <v>2009</v>
      </c>
      <c r="T163" s="7" t="s">
        <v>577</v>
      </c>
      <c r="U163" s="7">
        <v>2009</v>
      </c>
      <c r="V163" s="7">
        <v>2009</v>
      </c>
      <c r="W163" s="7">
        <v>2011</v>
      </c>
      <c r="X163" s="7">
        <v>2001</v>
      </c>
      <c r="Y163" s="7">
        <v>2008</v>
      </c>
      <c r="Z163" s="7">
        <v>2011</v>
      </c>
      <c r="AA163" s="7">
        <v>2011</v>
      </c>
      <c r="AB163" s="7">
        <v>2011</v>
      </c>
      <c r="AC163" s="7">
        <v>2011</v>
      </c>
      <c r="AD163" s="7">
        <v>2008</v>
      </c>
      <c r="AE163" s="7">
        <v>2000</v>
      </c>
    </row>
    <row r="164" spans="1:31">
      <c r="A164" s="5" t="s">
        <v>360</v>
      </c>
      <c r="B164" s="5" t="s">
        <v>359</v>
      </c>
      <c r="C164" s="7">
        <v>2007</v>
      </c>
      <c r="D164" s="7"/>
      <c r="E164" s="7">
        <v>2009</v>
      </c>
      <c r="F164" s="7">
        <v>2011</v>
      </c>
      <c r="G164" s="7">
        <v>2011</v>
      </c>
      <c r="H164" s="7">
        <v>2011</v>
      </c>
      <c r="I164" s="7"/>
      <c r="J164" s="7">
        <v>2011</v>
      </c>
      <c r="K164" s="7">
        <v>2009</v>
      </c>
      <c r="L164" s="7">
        <v>2011</v>
      </c>
      <c r="M164" s="7">
        <v>2009</v>
      </c>
      <c r="N164" s="7">
        <v>2008</v>
      </c>
      <c r="O164" s="7">
        <v>2008</v>
      </c>
      <c r="P164" s="7">
        <v>2009</v>
      </c>
      <c r="Q164" s="7">
        <v>2008</v>
      </c>
      <c r="R164" s="7">
        <v>2011</v>
      </c>
      <c r="S164" s="7">
        <v>2009</v>
      </c>
      <c r="T164" s="7" t="s">
        <v>577</v>
      </c>
      <c r="U164" s="7">
        <v>2009</v>
      </c>
      <c r="V164" s="7">
        <v>2009</v>
      </c>
      <c r="W164" s="7">
        <v>2011</v>
      </c>
      <c r="X164" s="7">
        <v>2003</v>
      </c>
      <c r="Y164" s="7">
        <v>2008</v>
      </c>
      <c r="Z164" s="7">
        <v>2011</v>
      </c>
      <c r="AA164" s="7">
        <v>2011</v>
      </c>
      <c r="AB164" s="7"/>
      <c r="AC164" s="7">
        <v>2011</v>
      </c>
      <c r="AD164" s="7">
        <v>2008</v>
      </c>
      <c r="AE164" s="7">
        <v>2010</v>
      </c>
    </row>
    <row r="165" spans="1:31">
      <c r="A165" s="5" t="s">
        <v>362</v>
      </c>
      <c r="B165" s="5" t="s">
        <v>361</v>
      </c>
      <c r="C165" s="7">
        <v>2007</v>
      </c>
      <c r="D165" s="7"/>
      <c r="E165" s="7">
        <v>2009</v>
      </c>
      <c r="F165" s="7">
        <v>2011</v>
      </c>
      <c r="G165" s="7">
        <v>2011</v>
      </c>
      <c r="H165" s="7">
        <v>2011</v>
      </c>
      <c r="I165" s="7">
        <v>2011</v>
      </c>
      <c r="J165" s="7">
        <v>2011</v>
      </c>
      <c r="K165" s="7">
        <v>2008</v>
      </c>
      <c r="L165" s="7">
        <v>2011</v>
      </c>
      <c r="M165" s="7">
        <v>2009</v>
      </c>
      <c r="N165" s="7">
        <v>2008</v>
      </c>
      <c r="O165" s="7">
        <v>2008</v>
      </c>
      <c r="P165" s="7">
        <v>2004</v>
      </c>
      <c r="Q165" s="7"/>
      <c r="R165" s="7">
        <v>2011</v>
      </c>
      <c r="S165" s="7">
        <v>2009</v>
      </c>
      <c r="T165" s="7" t="s">
        <v>577</v>
      </c>
      <c r="U165" s="7">
        <v>2009</v>
      </c>
      <c r="V165" s="7">
        <v>2009</v>
      </c>
      <c r="W165" s="7">
        <v>2011</v>
      </c>
      <c r="X165" s="7">
        <v>2003</v>
      </c>
      <c r="Y165" s="7">
        <v>2008</v>
      </c>
      <c r="Z165" s="7">
        <v>2011</v>
      </c>
      <c r="AA165" s="7">
        <v>2011</v>
      </c>
      <c r="AB165" s="7">
        <v>2011</v>
      </c>
      <c r="AC165" s="7">
        <v>2011</v>
      </c>
      <c r="AD165" s="7">
        <v>2008</v>
      </c>
      <c r="AE165" s="7">
        <v>2005</v>
      </c>
    </row>
    <row r="166" spans="1:31">
      <c r="A166" s="5" t="s">
        <v>364</v>
      </c>
      <c r="B166" s="5" t="s">
        <v>363</v>
      </c>
      <c r="C166" s="7">
        <v>2007</v>
      </c>
      <c r="D166" s="7">
        <v>2006</v>
      </c>
      <c r="E166" s="7">
        <v>2009</v>
      </c>
      <c r="F166" s="7">
        <v>2011</v>
      </c>
      <c r="G166" s="7">
        <v>2011</v>
      </c>
      <c r="H166" s="7">
        <v>2011</v>
      </c>
      <c r="I166" s="7"/>
      <c r="J166" s="7">
        <v>2011</v>
      </c>
      <c r="K166" s="7">
        <v>2008</v>
      </c>
      <c r="L166" s="7">
        <v>2011</v>
      </c>
      <c r="M166" s="7">
        <v>2009</v>
      </c>
      <c r="N166" s="7">
        <v>2008</v>
      </c>
      <c r="O166" s="7">
        <v>2008</v>
      </c>
      <c r="P166" s="7">
        <v>2008</v>
      </c>
      <c r="Q166" s="7">
        <v>2000</v>
      </c>
      <c r="R166" s="7">
        <v>2000</v>
      </c>
      <c r="S166" s="7">
        <v>2009</v>
      </c>
      <c r="T166" s="7" t="s">
        <v>577</v>
      </c>
      <c r="U166" s="7">
        <v>2009</v>
      </c>
      <c r="V166" s="7">
        <v>2009</v>
      </c>
      <c r="W166" s="7">
        <v>2011</v>
      </c>
      <c r="X166" s="7">
        <v>2001</v>
      </c>
      <c r="Y166" s="7">
        <v>2008</v>
      </c>
      <c r="Z166" s="7">
        <v>2011</v>
      </c>
      <c r="AA166" s="7">
        <v>2011</v>
      </c>
      <c r="AB166" s="7">
        <v>2011</v>
      </c>
      <c r="AC166" s="7">
        <v>2011</v>
      </c>
      <c r="AD166" s="7">
        <v>2008</v>
      </c>
      <c r="AE166" s="7">
        <v>2000</v>
      </c>
    </row>
    <row r="167" spans="1:31">
      <c r="A167" s="5" t="s">
        <v>366</v>
      </c>
      <c r="B167" s="5" t="s">
        <v>365</v>
      </c>
      <c r="C167" s="7">
        <v>2007</v>
      </c>
      <c r="D167" s="7">
        <v>2006</v>
      </c>
      <c r="E167" s="7">
        <v>2009</v>
      </c>
      <c r="F167" s="7">
        <v>2011</v>
      </c>
      <c r="G167" s="7">
        <v>2011</v>
      </c>
      <c r="H167" s="7">
        <v>2011</v>
      </c>
      <c r="I167" s="7">
        <v>2011</v>
      </c>
      <c r="J167" s="7">
        <v>2011</v>
      </c>
      <c r="K167" s="7"/>
      <c r="L167" s="7">
        <v>2011</v>
      </c>
      <c r="M167" s="7">
        <v>2009</v>
      </c>
      <c r="N167" s="7">
        <v>2008</v>
      </c>
      <c r="O167" s="7">
        <v>2008</v>
      </c>
      <c r="P167" s="7">
        <v>2000</v>
      </c>
      <c r="Q167" s="7">
        <v>2002</v>
      </c>
      <c r="R167" s="7">
        <v>2011</v>
      </c>
      <c r="S167" s="7">
        <v>2009</v>
      </c>
      <c r="T167" s="7" t="s">
        <v>577</v>
      </c>
      <c r="U167" s="7">
        <v>2009</v>
      </c>
      <c r="V167" s="7">
        <v>2009</v>
      </c>
      <c r="W167" s="7"/>
      <c r="X167" s="7">
        <v>2003</v>
      </c>
      <c r="Y167" s="7">
        <v>2008</v>
      </c>
      <c r="Z167" s="7">
        <v>2011</v>
      </c>
      <c r="AA167" s="7">
        <v>2011</v>
      </c>
      <c r="AB167" s="7">
        <v>2011</v>
      </c>
      <c r="AC167" s="7">
        <v>2011</v>
      </c>
      <c r="AD167" s="7">
        <v>2008</v>
      </c>
      <c r="AE167" s="7">
        <v>2000</v>
      </c>
    </row>
    <row r="168" spans="1:31">
      <c r="A168" s="5" t="s">
        <v>368</v>
      </c>
      <c r="B168" s="5" t="s">
        <v>367</v>
      </c>
      <c r="C168" s="7">
        <v>2007</v>
      </c>
      <c r="D168" s="7">
        <v>2010</v>
      </c>
      <c r="E168" s="7">
        <v>2009</v>
      </c>
      <c r="F168" s="7">
        <v>2011</v>
      </c>
      <c r="G168" s="7">
        <v>2011</v>
      </c>
      <c r="H168" s="7"/>
      <c r="I168" s="7"/>
      <c r="J168" s="7">
        <v>2011</v>
      </c>
      <c r="K168" s="7"/>
      <c r="L168" s="7">
        <v>2011</v>
      </c>
      <c r="M168" s="7">
        <v>2009</v>
      </c>
      <c r="N168" s="7">
        <v>2008</v>
      </c>
      <c r="O168" s="7">
        <v>2008</v>
      </c>
      <c r="P168" s="7">
        <v>2004</v>
      </c>
      <c r="Q168" s="7">
        <v>2006</v>
      </c>
      <c r="R168" s="7">
        <v>2011</v>
      </c>
      <c r="S168" s="7">
        <v>2009</v>
      </c>
      <c r="T168" s="7" t="s">
        <v>577</v>
      </c>
      <c r="U168" s="7">
        <v>2009</v>
      </c>
      <c r="V168" s="7">
        <v>2009</v>
      </c>
      <c r="W168" s="7">
        <v>2011</v>
      </c>
      <c r="X168" s="7">
        <v>2002</v>
      </c>
      <c r="Y168" s="7">
        <v>2008</v>
      </c>
      <c r="Z168" s="7">
        <v>2011</v>
      </c>
      <c r="AA168" s="7">
        <v>2011</v>
      </c>
      <c r="AB168" s="7">
        <v>2011</v>
      </c>
      <c r="AC168" s="7">
        <v>2011</v>
      </c>
      <c r="AD168" s="7">
        <v>2008</v>
      </c>
      <c r="AE168" s="7">
        <v>2000</v>
      </c>
    </row>
    <row r="169" spans="1:31">
      <c r="A169" s="5" t="s">
        <v>370</v>
      </c>
      <c r="B169" s="5" t="s">
        <v>369</v>
      </c>
      <c r="C169" s="7">
        <v>2007</v>
      </c>
      <c r="D169" s="7"/>
      <c r="E169" s="7">
        <v>2009</v>
      </c>
      <c r="F169" s="7">
        <v>2011</v>
      </c>
      <c r="G169" s="7">
        <v>2011</v>
      </c>
      <c r="H169" s="7">
        <v>2011</v>
      </c>
      <c r="I169" s="7">
        <v>2011</v>
      </c>
      <c r="J169" s="7">
        <v>2011</v>
      </c>
      <c r="K169" s="7">
        <v>2009</v>
      </c>
      <c r="L169" s="7">
        <v>2011</v>
      </c>
      <c r="M169" s="7">
        <v>2009</v>
      </c>
      <c r="N169" s="7">
        <v>2008</v>
      </c>
      <c r="O169" s="7">
        <v>2008</v>
      </c>
      <c r="P169" s="7">
        <v>2006</v>
      </c>
      <c r="Q169" s="7">
        <v>2008</v>
      </c>
      <c r="R169" s="7">
        <v>2011</v>
      </c>
      <c r="S169" s="7">
        <v>2009</v>
      </c>
      <c r="T169" s="7" t="s">
        <v>577</v>
      </c>
      <c r="U169" s="7">
        <v>2009</v>
      </c>
      <c r="V169" s="7">
        <v>2009</v>
      </c>
      <c r="W169" s="7"/>
      <c r="X169" s="7">
        <v>2008</v>
      </c>
      <c r="Y169" s="7">
        <v>2008</v>
      </c>
      <c r="Z169" s="7">
        <v>2011</v>
      </c>
      <c r="AA169" s="7">
        <v>2011</v>
      </c>
      <c r="AB169" s="7"/>
      <c r="AC169" s="7">
        <v>2011</v>
      </c>
      <c r="AD169" s="7">
        <v>2008</v>
      </c>
      <c r="AE169" s="7">
        <v>2005</v>
      </c>
    </row>
    <row r="170" spans="1:31">
      <c r="A170" s="5" t="s">
        <v>372</v>
      </c>
      <c r="B170" s="5" t="s">
        <v>371</v>
      </c>
      <c r="C170" s="7">
        <v>2007</v>
      </c>
      <c r="D170" s="7"/>
      <c r="E170" s="7">
        <v>2009</v>
      </c>
      <c r="F170" s="7">
        <v>2011</v>
      </c>
      <c r="G170" s="7">
        <v>2011</v>
      </c>
      <c r="H170" s="7"/>
      <c r="I170" s="7"/>
      <c r="J170" s="7">
        <v>2011</v>
      </c>
      <c r="K170" s="7">
        <v>2009</v>
      </c>
      <c r="L170" s="7">
        <v>2011</v>
      </c>
      <c r="M170" s="7">
        <v>2009</v>
      </c>
      <c r="N170" s="7">
        <v>2008</v>
      </c>
      <c r="O170" s="7">
        <v>2008</v>
      </c>
      <c r="P170" s="7">
        <v>2008</v>
      </c>
      <c r="Q170" s="7">
        <v>2008</v>
      </c>
      <c r="R170" s="7">
        <v>2011</v>
      </c>
      <c r="S170" s="7">
        <v>2009</v>
      </c>
      <c r="T170" s="7" t="s">
        <v>577</v>
      </c>
      <c r="U170" s="7">
        <v>2009</v>
      </c>
      <c r="V170" s="7">
        <v>2009</v>
      </c>
      <c r="W170" s="7">
        <v>2011</v>
      </c>
      <c r="X170" s="7">
        <v>2008</v>
      </c>
      <c r="Y170" s="7">
        <v>2008</v>
      </c>
      <c r="Z170" s="7">
        <v>2011</v>
      </c>
      <c r="AA170" s="7">
        <v>2011</v>
      </c>
      <c r="AB170" s="7"/>
      <c r="AC170" s="7">
        <v>2011</v>
      </c>
      <c r="AD170" s="7">
        <v>2008</v>
      </c>
      <c r="AE170" s="7">
        <v>2000</v>
      </c>
    </row>
    <row r="171" spans="1:31" ht="30">
      <c r="A171" s="5" t="s">
        <v>374</v>
      </c>
      <c r="B171" s="5" t="s">
        <v>373</v>
      </c>
      <c r="C171" s="7">
        <v>2007</v>
      </c>
      <c r="D171" s="7">
        <v>2006</v>
      </c>
      <c r="E171" s="7">
        <v>2009</v>
      </c>
      <c r="F171" s="7">
        <v>2011</v>
      </c>
      <c r="G171" s="7">
        <v>2011</v>
      </c>
      <c r="H171" s="7">
        <v>2011</v>
      </c>
      <c r="I171" s="7">
        <v>2011</v>
      </c>
      <c r="J171" s="7">
        <v>2011</v>
      </c>
      <c r="K171" s="7">
        <v>2008</v>
      </c>
      <c r="L171" s="7">
        <v>2011</v>
      </c>
      <c r="M171" s="7">
        <v>2009</v>
      </c>
      <c r="N171" s="7">
        <v>2008</v>
      </c>
      <c r="O171" s="7">
        <v>2008</v>
      </c>
      <c r="P171" s="7">
        <v>2008</v>
      </c>
      <c r="Q171" s="7">
        <v>1995</v>
      </c>
      <c r="R171" s="7">
        <v>2011</v>
      </c>
      <c r="S171" s="7">
        <v>2009</v>
      </c>
      <c r="T171" s="7" t="s">
        <v>577</v>
      </c>
      <c r="U171" s="7">
        <v>2009</v>
      </c>
      <c r="V171" s="7">
        <v>2009</v>
      </c>
      <c r="W171" s="7"/>
      <c r="X171" s="7">
        <v>2008</v>
      </c>
      <c r="Y171" s="7">
        <v>2008</v>
      </c>
      <c r="Z171" s="7">
        <v>2011</v>
      </c>
      <c r="AA171" s="7">
        <v>2011</v>
      </c>
      <c r="AB171" s="7">
        <v>2011</v>
      </c>
      <c r="AC171" s="7">
        <v>2011</v>
      </c>
      <c r="AD171" s="7">
        <v>2008</v>
      </c>
      <c r="AE171" s="7">
        <v>2005</v>
      </c>
    </row>
    <row r="172" spans="1:31">
      <c r="A172" s="5" t="s">
        <v>376</v>
      </c>
      <c r="B172" s="5" t="s">
        <v>375</v>
      </c>
      <c r="C172" s="7">
        <v>2007</v>
      </c>
      <c r="D172" s="7">
        <v>2007</v>
      </c>
      <c r="E172" s="7">
        <v>2009</v>
      </c>
      <c r="F172" s="7">
        <v>2011</v>
      </c>
      <c r="G172" s="7">
        <v>2011</v>
      </c>
      <c r="H172" s="7"/>
      <c r="I172" s="7"/>
      <c r="J172" s="7">
        <v>2011</v>
      </c>
      <c r="K172" s="7">
        <v>2008</v>
      </c>
      <c r="L172" s="7">
        <v>2011</v>
      </c>
      <c r="M172" s="7">
        <v>2009</v>
      </c>
      <c r="N172" s="7">
        <v>2008</v>
      </c>
      <c r="O172" s="7">
        <v>2008</v>
      </c>
      <c r="P172" s="7">
        <v>2006</v>
      </c>
      <c r="Q172" s="7">
        <v>2009</v>
      </c>
      <c r="R172" s="7">
        <v>2011</v>
      </c>
      <c r="S172" s="7">
        <v>2009</v>
      </c>
      <c r="T172" s="7" t="s">
        <v>577</v>
      </c>
      <c r="U172" s="7">
        <v>2009</v>
      </c>
      <c r="V172" s="7">
        <v>2009</v>
      </c>
      <c r="W172" s="7">
        <v>2011</v>
      </c>
      <c r="X172" s="7">
        <v>1995</v>
      </c>
      <c r="Y172" s="7">
        <v>2008</v>
      </c>
      <c r="Z172" s="7">
        <v>2011</v>
      </c>
      <c r="AA172" s="7">
        <v>2011</v>
      </c>
      <c r="AB172" s="7">
        <v>2011</v>
      </c>
      <c r="AC172" s="7">
        <v>2011</v>
      </c>
      <c r="AD172" s="7">
        <v>2008</v>
      </c>
      <c r="AE172" s="7">
        <v>2000</v>
      </c>
    </row>
    <row r="173" spans="1:31" ht="45">
      <c r="A173" s="5" t="s">
        <v>378</v>
      </c>
      <c r="B173" s="5" t="s">
        <v>377</v>
      </c>
      <c r="C173" s="7">
        <v>2007</v>
      </c>
      <c r="D173" s="7">
        <v>2004</v>
      </c>
      <c r="E173" s="7">
        <v>2009</v>
      </c>
      <c r="F173" s="7">
        <v>2011</v>
      </c>
      <c r="G173" s="7">
        <v>2011</v>
      </c>
      <c r="H173" s="7">
        <v>2011</v>
      </c>
      <c r="I173" s="7">
        <v>2011</v>
      </c>
      <c r="J173" s="7">
        <v>2011</v>
      </c>
      <c r="K173" s="7">
        <v>2008</v>
      </c>
      <c r="L173" s="7">
        <v>2011</v>
      </c>
      <c r="M173" s="7">
        <v>2009</v>
      </c>
      <c r="N173" s="7">
        <v>2008</v>
      </c>
      <c r="O173" s="7">
        <v>2008</v>
      </c>
      <c r="P173" s="7">
        <v>2006</v>
      </c>
      <c r="Q173" s="7">
        <v>2005</v>
      </c>
      <c r="R173" s="7">
        <v>2011</v>
      </c>
      <c r="S173" s="7">
        <v>2009</v>
      </c>
      <c r="T173" s="7" t="s">
        <v>577</v>
      </c>
      <c r="U173" s="7">
        <v>2009</v>
      </c>
      <c r="V173" s="7">
        <v>2009</v>
      </c>
      <c r="W173" s="7">
        <v>2011</v>
      </c>
      <c r="X173" s="7">
        <v>2008</v>
      </c>
      <c r="Y173" s="7">
        <v>2008</v>
      </c>
      <c r="Z173" s="7">
        <v>2011</v>
      </c>
      <c r="AA173" s="7">
        <v>2011</v>
      </c>
      <c r="AB173" s="7">
        <v>2011</v>
      </c>
      <c r="AC173" s="7">
        <v>2011</v>
      </c>
      <c r="AD173" s="7">
        <v>2008</v>
      </c>
      <c r="AE173" s="7">
        <v>2000</v>
      </c>
    </row>
    <row r="174" spans="1:31">
      <c r="A174" s="5" t="s">
        <v>380</v>
      </c>
      <c r="B174" s="5" t="s">
        <v>379</v>
      </c>
      <c r="C174" s="7">
        <v>2007</v>
      </c>
      <c r="D174" s="7">
        <v>2005</v>
      </c>
      <c r="E174" s="7">
        <v>2009</v>
      </c>
      <c r="F174" s="7">
        <v>2011</v>
      </c>
      <c r="G174" s="7">
        <v>2011</v>
      </c>
      <c r="H174" s="7">
        <v>2011</v>
      </c>
      <c r="I174" s="7">
        <v>2011</v>
      </c>
      <c r="J174" s="7">
        <v>2011</v>
      </c>
      <c r="K174" s="7">
        <v>2008</v>
      </c>
      <c r="L174" s="7">
        <v>2011</v>
      </c>
      <c r="M174" s="7">
        <v>2009</v>
      </c>
      <c r="N174" s="7">
        <v>2008</v>
      </c>
      <c r="O174" s="7">
        <v>2008</v>
      </c>
      <c r="P174" s="7">
        <v>2004</v>
      </c>
      <c r="Q174" s="7">
        <v>2009</v>
      </c>
      <c r="R174" s="7">
        <v>2011</v>
      </c>
      <c r="S174" s="7">
        <v>2009</v>
      </c>
      <c r="T174" s="7" t="s">
        <v>577</v>
      </c>
      <c r="U174" s="7">
        <v>2009</v>
      </c>
      <c r="V174" s="7">
        <v>2009</v>
      </c>
      <c r="W174" s="7">
        <v>2011</v>
      </c>
      <c r="X174" s="7">
        <v>2000</v>
      </c>
      <c r="Y174" s="7">
        <v>2008</v>
      </c>
      <c r="Z174" s="7">
        <v>2011</v>
      </c>
      <c r="AA174" s="7">
        <v>2011</v>
      </c>
      <c r="AB174" s="7">
        <v>2011</v>
      </c>
      <c r="AC174" s="7">
        <v>2011</v>
      </c>
      <c r="AD174" s="7">
        <v>2008</v>
      </c>
      <c r="AE174" s="7">
        <v>2005</v>
      </c>
    </row>
    <row r="175" spans="1:31" ht="30">
      <c r="A175" s="5" t="s">
        <v>382</v>
      </c>
      <c r="B175" s="5" t="s">
        <v>381</v>
      </c>
      <c r="C175" s="7">
        <v>2007</v>
      </c>
      <c r="D175" s="7">
        <v>2007</v>
      </c>
      <c r="E175" s="7">
        <v>2009</v>
      </c>
      <c r="F175" s="7">
        <v>2011</v>
      </c>
      <c r="G175" s="7"/>
      <c r="H175" s="7"/>
      <c r="I175" s="7"/>
      <c r="J175" s="7">
        <v>2011</v>
      </c>
      <c r="K175" s="7"/>
      <c r="L175" s="7">
        <v>2011</v>
      </c>
      <c r="M175" s="7">
        <v>2008</v>
      </c>
      <c r="N175" s="7"/>
      <c r="O175" s="7">
        <v>2008</v>
      </c>
      <c r="P175" s="7">
        <v>2004</v>
      </c>
      <c r="Q175" s="7"/>
      <c r="R175" s="7">
        <v>2011</v>
      </c>
      <c r="S175" s="7"/>
      <c r="T175" s="7" t="s">
        <v>577</v>
      </c>
      <c r="U175" s="7">
        <v>2009</v>
      </c>
      <c r="V175" s="7">
        <v>2009</v>
      </c>
      <c r="W175" s="7"/>
      <c r="X175" s="7"/>
      <c r="Y175" s="7"/>
      <c r="Z175" s="7"/>
      <c r="AA175" s="7"/>
      <c r="AB175" s="7">
        <v>2011</v>
      </c>
      <c r="AC175" s="7">
        <v>2011</v>
      </c>
      <c r="AD175" s="7"/>
      <c r="AE175" s="7"/>
    </row>
    <row r="176" spans="1:31">
      <c r="A176" s="5" t="s">
        <v>384</v>
      </c>
      <c r="B176" s="5" t="s">
        <v>383</v>
      </c>
      <c r="C176" s="7">
        <v>2007</v>
      </c>
      <c r="D176" s="7">
        <v>2008</v>
      </c>
      <c r="E176" s="7">
        <v>2009</v>
      </c>
      <c r="F176" s="7">
        <v>2011</v>
      </c>
      <c r="G176" s="7">
        <v>2011</v>
      </c>
      <c r="H176" s="7"/>
      <c r="I176" s="7"/>
      <c r="J176" s="7">
        <v>2011</v>
      </c>
      <c r="K176" s="7">
        <v>2008</v>
      </c>
      <c r="L176" s="7">
        <v>2011</v>
      </c>
      <c r="M176" s="7">
        <v>2009</v>
      </c>
      <c r="N176" s="7">
        <v>2008</v>
      </c>
      <c r="O176" s="7">
        <v>2008</v>
      </c>
      <c r="P176" s="7">
        <v>2008</v>
      </c>
      <c r="Q176" s="7">
        <v>2007</v>
      </c>
      <c r="R176" s="7">
        <v>2011</v>
      </c>
      <c r="S176" s="7">
        <v>2009</v>
      </c>
      <c r="T176" s="7" t="s">
        <v>577</v>
      </c>
      <c r="U176" s="7">
        <v>2009</v>
      </c>
      <c r="V176" s="7">
        <v>2009</v>
      </c>
      <c r="W176" s="7">
        <v>2011</v>
      </c>
      <c r="X176" s="7">
        <v>2007</v>
      </c>
      <c r="Y176" s="7">
        <v>2008</v>
      </c>
      <c r="Z176" s="7">
        <v>2011</v>
      </c>
      <c r="AA176" s="7">
        <v>2011</v>
      </c>
      <c r="AB176" s="7">
        <v>2011</v>
      </c>
      <c r="AC176" s="7">
        <v>2011</v>
      </c>
      <c r="AD176" s="7">
        <v>2008</v>
      </c>
      <c r="AE176" s="7">
        <v>2000</v>
      </c>
    </row>
    <row r="177" spans="1:31">
      <c r="A177" s="5" t="s">
        <v>386</v>
      </c>
      <c r="B177" s="5" t="s">
        <v>385</v>
      </c>
      <c r="C177" s="7"/>
      <c r="D177" s="7"/>
      <c r="E177" s="7">
        <v>2009</v>
      </c>
      <c r="F177" s="7">
        <v>2011</v>
      </c>
      <c r="G177" s="7">
        <v>2011</v>
      </c>
      <c r="H177" s="7">
        <v>2011</v>
      </c>
      <c r="I177" s="7">
        <v>2011</v>
      </c>
      <c r="J177" s="7">
        <v>2011</v>
      </c>
      <c r="K177" s="7"/>
      <c r="L177" s="7">
        <v>2011</v>
      </c>
      <c r="M177" s="7">
        <v>2009</v>
      </c>
      <c r="N177" s="7">
        <v>2008</v>
      </c>
      <c r="O177" s="7"/>
      <c r="P177" s="7">
        <v>2002</v>
      </c>
      <c r="Q177" s="7">
        <v>2004</v>
      </c>
      <c r="R177" s="7">
        <v>2011</v>
      </c>
      <c r="S177" s="7">
        <v>2009</v>
      </c>
      <c r="T177" s="7" t="s">
        <v>577</v>
      </c>
      <c r="U177" s="7">
        <v>2009</v>
      </c>
      <c r="V177" s="7">
        <v>2009</v>
      </c>
      <c r="W177" s="7"/>
      <c r="X177" s="7">
        <v>2001</v>
      </c>
      <c r="Y177" s="7">
        <v>2008</v>
      </c>
      <c r="Z177" s="7">
        <v>2011</v>
      </c>
      <c r="AA177" s="7">
        <v>2011</v>
      </c>
      <c r="AB177" s="7">
        <v>2011</v>
      </c>
      <c r="AC177" s="7">
        <v>2011</v>
      </c>
      <c r="AD177" s="7">
        <v>2008</v>
      </c>
      <c r="AE177" s="7"/>
    </row>
    <row r="178" spans="1:31" ht="30">
      <c r="A178" s="5" t="s">
        <v>388</v>
      </c>
      <c r="B178" s="5" t="s">
        <v>387</v>
      </c>
      <c r="C178" s="7">
        <v>2007</v>
      </c>
      <c r="D178" s="7">
        <v>2010</v>
      </c>
      <c r="E178" s="7">
        <v>2009</v>
      </c>
      <c r="F178" s="7"/>
      <c r="G178" s="7">
        <v>2011</v>
      </c>
      <c r="H178" s="7">
        <v>2011</v>
      </c>
      <c r="I178" s="7">
        <v>2011</v>
      </c>
      <c r="J178" s="7">
        <v>2011</v>
      </c>
      <c r="K178" s="7">
        <v>2008</v>
      </c>
      <c r="L178" s="7">
        <v>2011</v>
      </c>
      <c r="M178" s="7">
        <v>2009</v>
      </c>
      <c r="N178" s="7">
        <v>2008</v>
      </c>
      <c r="O178" s="7">
        <v>2008</v>
      </c>
      <c r="P178" s="7">
        <v>2007</v>
      </c>
      <c r="Q178" s="7">
        <v>2005</v>
      </c>
      <c r="R178" s="7">
        <v>2011</v>
      </c>
      <c r="S178" s="7">
        <v>2009</v>
      </c>
      <c r="T178" s="7" t="s">
        <v>577</v>
      </c>
      <c r="U178" s="7">
        <v>2009</v>
      </c>
      <c r="V178" s="7">
        <v>2009</v>
      </c>
      <c r="W178" s="7">
        <v>2011</v>
      </c>
      <c r="X178" s="7">
        <v>2001</v>
      </c>
      <c r="Y178" s="7">
        <v>2008</v>
      </c>
      <c r="Z178" s="7">
        <v>2011</v>
      </c>
      <c r="AA178" s="7">
        <v>2011</v>
      </c>
      <c r="AB178" s="7">
        <v>2011</v>
      </c>
      <c r="AC178" s="7">
        <v>2011</v>
      </c>
      <c r="AD178" s="7">
        <v>2008</v>
      </c>
      <c r="AE178" s="7">
        <v>2000</v>
      </c>
    </row>
    <row r="179" spans="1:31">
      <c r="A179" s="5" t="s">
        <v>390</v>
      </c>
      <c r="B179" s="5" t="s">
        <v>389</v>
      </c>
      <c r="C179" s="7">
        <v>2007</v>
      </c>
      <c r="D179" s="7">
        <v>2006</v>
      </c>
      <c r="E179" s="7">
        <v>2009</v>
      </c>
      <c r="F179" s="7">
        <v>2011</v>
      </c>
      <c r="G179" s="7">
        <v>2011</v>
      </c>
      <c r="H179" s="7">
        <v>2011</v>
      </c>
      <c r="I179" s="7">
        <v>2011</v>
      </c>
      <c r="J179" s="7">
        <v>2011</v>
      </c>
      <c r="K179" s="7">
        <v>2008</v>
      </c>
      <c r="L179" s="7">
        <v>2011</v>
      </c>
      <c r="M179" s="7">
        <v>2009</v>
      </c>
      <c r="N179" s="7">
        <v>2008</v>
      </c>
      <c r="O179" s="7">
        <v>2008</v>
      </c>
      <c r="P179" s="7">
        <v>2009</v>
      </c>
      <c r="Q179" s="7">
        <v>2008</v>
      </c>
      <c r="R179" s="7">
        <v>2011</v>
      </c>
      <c r="S179" s="7">
        <v>2009</v>
      </c>
      <c r="T179" s="7" t="s">
        <v>577</v>
      </c>
      <c r="U179" s="7">
        <v>2009</v>
      </c>
      <c r="V179" s="7">
        <v>2009</v>
      </c>
      <c r="W179" s="7">
        <v>2011</v>
      </c>
      <c r="X179" s="7">
        <v>2008</v>
      </c>
      <c r="Y179" s="7">
        <v>2008</v>
      </c>
      <c r="Z179" s="7">
        <v>2011</v>
      </c>
      <c r="AA179" s="7">
        <v>2011</v>
      </c>
      <c r="AB179" s="7">
        <v>2011</v>
      </c>
      <c r="AC179" s="7">
        <v>2011</v>
      </c>
      <c r="AD179" s="7">
        <v>2008</v>
      </c>
      <c r="AE179" s="7">
        <v>2000</v>
      </c>
    </row>
    <row r="180" spans="1:31">
      <c r="A180" s="5" t="s">
        <v>392</v>
      </c>
      <c r="B180" s="5" t="s">
        <v>391</v>
      </c>
      <c r="C180" s="7">
        <v>2007</v>
      </c>
      <c r="D180" s="7">
        <v>2008</v>
      </c>
      <c r="E180" s="7">
        <v>2009</v>
      </c>
      <c r="F180" s="7">
        <v>2011</v>
      </c>
      <c r="G180" s="7">
        <v>2011</v>
      </c>
      <c r="H180" s="7">
        <v>2011</v>
      </c>
      <c r="I180" s="7">
        <v>2011</v>
      </c>
      <c r="J180" s="7">
        <v>2011</v>
      </c>
      <c r="K180" s="7">
        <v>2009</v>
      </c>
      <c r="L180" s="7">
        <v>2011</v>
      </c>
      <c r="M180" s="7">
        <v>2007</v>
      </c>
      <c r="N180" s="7">
        <v>2008</v>
      </c>
      <c r="O180" s="7">
        <v>2008</v>
      </c>
      <c r="P180" s="7">
        <v>2008</v>
      </c>
      <c r="Q180" s="7">
        <v>2008</v>
      </c>
      <c r="R180" s="7">
        <v>2011</v>
      </c>
      <c r="S180" s="7">
        <v>2009</v>
      </c>
      <c r="T180" s="7" t="s">
        <v>577</v>
      </c>
      <c r="U180" s="7">
        <v>2009</v>
      </c>
      <c r="V180" s="7">
        <v>2009</v>
      </c>
      <c r="W180" s="7">
        <v>2011</v>
      </c>
      <c r="X180" s="7">
        <v>1999</v>
      </c>
      <c r="Y180" s="7">
        <v>2008</v>
      </c>
      <c r="Z180" s="7">
        <v>2011</v>
      </c>
      <c r="AA180" s="7">
        <v>2011</v>
      </c>
      <c r="AB180" s="7">
        <v>2011</v>
      </c>
      <c r="AC180" s="7">
        <v>2011</v>
      </c>
      <c r="AD180" s="7">
        <v>2008</v>
      </c>
      <c r="AE180" s="7">
        <v>2005</v>
      </c>
    </row>
    <row r="181" spans="1:31" ht="30">
      <c r="A181" s="5" t="s">
        <v>394</v>
      </c>
      <c r="B181" s="5" t="s">
        <v>393</v>
      </c>
      <c r="C181" s="7">
        <v>2007</v>
      </c>
      <c r="D181" s="7">
        <v>2005</v>
      </c>
      <c r="E181" s="7">
        <v>2009</v>
      </c>
      <c r="F181" s="7">
        <v>2011</v>
      </c>
      <c r="G181" s="7">
        <v>2011</v>
      </c>
      <c r="H181" s="7">
        <v>2011</v>
      </c>
      <c r="I181" s="7">
        <v>2011</v>
      </c>
      <c r="J181" s="7">
        <v>2011</v>
      </c>
      <c r="K181" s="7">
        <v>2008</v>
      </c>
      <c r="L181" s="7">
        <v>2011</v>
      </c>
      <c r="M181" s="7">
        <v>2009</v>
      </c>
      <c r="N181" s="7">
        <v>2008</v>
      </c>
      <c r="O181" s="7">
        <v>2008</v>
      </c>
      <c r="P181" s="7">
        <v>2007</v>
      </c>
      <c r="Q181" s="7"/>
      <c r="R181" s="7">
        <v>2011</v>
      </c>
      <c r="S181" s="7">
        <v>2009</v>
      </c>
      <c r="T181" s="7" t="s">
        <v>577</v>
      </c>
      <c r="U181" s="7">
        <v>2009</v>
      </c>
      <c r="V181" s="7">
        <v>2009</v>
      </c>
      <c r="W181" s="7">
        <v>2011</v>
      </c>
      <c r="X181" s="7">
        <v>2001</v>
      </c>
      <c r="Y181" s="7">
        <v>2000</v>
      </c>
      <c r="Z181" s="7">
        <v>2011</v>
      </c>
      <c r="AA181" s="7">
        <v>2011</v>
      </c>
      <c r="AB181" s="7">
        <v>2011</v>
      </c>
      <c r="AC181" s="7">
        <v>2011</v>
      </c>
      <c r="AD181" s="7">
        <v>2008</v>
      </c>
      <c r="AE181" s="7">
        <v>2000</v>
      </c>
    </row>
    <row r="182" spans="1:31">
      <c r="A182" s="5" t="s">
        <v>396</v>
      </c>
      <c r="B182" s="5" t="s">
        <v>395</v>
      </c>
      <c r="C182" s="7"/>
      <c r="D182" s="7"/>
      <c r="E182" s="7">
        <v>2009</v>
      </c>
      <c r="F182" s="7">
        <v>2011</v>
      </c>
      <c r="G182" s="7">
        <v>2011</v>
      </c>
      <c r="H182" s="7"/>
      <c r="I182" s="7"/>
      <c r="J182" s="7">
        <v>2011</v>
      </c>
      <c r="K182" s="7"/>
      <c r="L182" s="7">
        <v>2011</v>
      </c>
      <c r="M182" s="7">
        <v>2009</v>
      </c>
      <c r="N182" s="7"/>
      <c r="O182" s="7"/>
      <c r="P182" s="7">
        <v>2008</v>
      </c>
      <c r="Q182" s="7"/>
      <c r="R182" s="7"/>
      <c r="S182" s="7">
        <v>2005</v>
      </c>
      <c r="T182" s="7" t="s">
        <v>577</v>
      </c>
      <c r="U182" s="7">
        <v>2009</v>
      </c>
      <c r="V182" s="7">
        <v>2009</v>
      </c>
      <c r="W182" s="7"/>
      <c r="X182" s="7"/>
      <c r="Y182" s="7">
        <v>2008</v>
      </c>
      <c r="Z182" s="7">
        <v>2011</v>
      </c>
      <c r="AA182" s="7">
        <v>2011</v>
      </c>
      <c r="AB182" s="7">
        <v>2011</v>
      </c>
      <c r="AC182" s="7">
        <v>2011</v>
      </c>
      <c r="AD182" s="7">
        <v>2008</v>
      </c>
      <c r="AE182" s="7"/>
    </row>
    <row r="183" spans="1:31">
      <c r="A183" s="5" t="s">
        <v>398</v>
      </c>
      <c r="B183" s="5" t="s">
        <v>397</v>
      </c>
      <c r="C183" s="7">
        <v>2007</v>
      </c>
      <c r="D183" s="7">
        <v>2006</v>
      </c>
      <c r="E183" s="7">
        <v>2009</v>
      </c>
      <c r="F183" s="7">
        <v>2011</v>
      </c>
      <c r="G183" s="7">
        <v>2011</v>
      </c>
      <c r="H183" s="7"/>
      <c r="I183" s="7"/>
      <c r="J183" s="7">
        <v>2011</v>
      </c>
      <c r="K183" s="7"/>
      <c r="L183" s="7">
        <v>2011</v>
      </c>
      <c r="M183" s="7">
        <v>2009</v>
      </c>
      <c r="N183" s="7">
        <v>2008</v>
      </c>
      <c r="O183" s="7">
        <v>2008</v>
      </c>
      <c r="P183" s="7">
        <v>2005</v>
      </c>
      <c r="Q183" s="7">
        <v>2009</v>
      </c>
      <c r="R183" s="7">
        <v>2011</v>
      </c>
      <c r="S183" s="7">
        <v>2009</v>
      </c>
      <c r="T183" s="7" t="s">
        <v>577</v>
      </c>
      <c r="U183" s="7">
        <v>2009</v>
      </c>
      <c r="V183" s="7">
        <v>2009</v>
      </c>
      <c r="W183" s="7">
        <v>2011</v>
      </c>
      <c r="X183" s="7">
        <v>2003</v>
      </c>
      <c r="Y183" s="7">
        <v>2008</v>
      </c>
      <c r="Z183" s="7">
        <v>2011</v>
      </c>
      <c r="AA183" s="7">
        <v>2011</v>
      </c>
      <c r="AB183" s="7">
        <v>2011</v>
      </c>
      <c r="AC183" s="7">
        <v>2011</v>
      </c>
      <c r="AD183" s="7">
        <v>2008</v>
      </c>
      <c r="AE183" s="7">
        <v>2000</v>
      </c>
    </row>
    <row r="184" spans="1:31">
      <c r="A184" s="5" t="s">
        <v>400</v>
      </c>
      <c r="B184" s="5" t="s">
        <v>399</v>
      </c>
      <c r="C184" s="7">
        <v>2007</v>
      </c>
      <c r="D184" s="7">
        <v>2002</v>
      </c>
      <c r="E184" s="7">
        <v>2009</v>
      </c>
      <c r="F184" s="7">
        <v>2011</v>
      </c>
      <c r="G184" s="7">
        <v>2011</v>
      </c>
      <c r="H184" s="7">
        <v>2011</v>
      </c>
      <c r="I184" s="7">
        <v>2011</v>
      </c>
      <c r="J184" s="7">
        <v>2011</v>
      </c>
      <c r="K184" s="7">
        <v>2008</v>
      </c>
      <c r="L184" s="7">
        <v>2011</v>
      </c>
      <c r="M184" s="7">
        <v>2009</v>
      </c>
      <c r="N184" s="7">
        <v>2008</v>
      </c>
      <c r="O184" s="7">
        <v>2008</v>
      </c>
      <c r="P184" s="7">
        <v>2006</v>
      </c>
      <c r="Q184" s="7">
        <v>2008</v>
      </c>
      <c r="R184" s="7">
        <v>2011</v>
      </c>
      <c r="S184" s="7">
        <v>2009</v>
      </c>
      <c r="T184" s="7" t="s">
        <v>577</v>
      </c>
      <c r="U184" s="7">
        <v>2009</v>
      </c>
      <c r="V184" s="7">
        <v>2009</v>
      </c>
      <c r="W184" s="7">
        <v>2011</v>
      </c>
      <c r="X184" s="7">
        <v>2008</v>
      </c>
      <c r="Y184" s="7">
        <v>2008</v>
      </c>
      <c r="Z184" s="7">
        <v>2011</v>
      </c>
      <c r="AA184" s="7">
        <v>2011</v>
      </c>
      <c r="AB184" s="7">
        <v>2011</v>
      </c>
      <c r="AC184" s="7">
        <v>2011</v>
      </c>
      <c r="AD184" s="7">
        <v>2008</v>
      </c>
      <c r="AE184" s="7">
        <v>2000</v>
      </c>
    </row>
    <row r="185" spans="1:31" ht="45">
      <c r="A185" s="5" t="s">
        <v>402</v>
      </c>
      <c r="B185" s="5" t="s">
        <v>401</v>
      </c>
      <c r="C185" s="7">
        <v>2007</v>
      </c>
      <c r="D185" s="7">
        <v>2005</v>
      </c>
      <c r="E185" s="7">
        <v>2009</v>
      </c>
      <c r="F185" s="7">
        <v>2011</v>
      </c>
      <c r="G185" s="7">
        <v>2011</v>
      </c>
      <c r="H185" s="7">
        <v>2011</v>
      </c>
      <c r="I185" s="7">
        <v>2011</v>
      </c>
      <c r="J185" s="7">
        <v>2011</v>
      </c>
      <c r="K185" s="7">
        <v>2008</v>
      </c>
      <c r="L185" s="7">
        <v>2011</v>
      </c>
      <c r="M185" s="7">
        <v>2009</v>
      </c>
      <c r="N185" s="7">
        <v>2008</v>
      </c>
      <c r="O185" s="7">
        <v>2008</v>
      </c>
      <c r="P185" s="7">
        <v>2007</v>
      </c>
      <c r="Q185" s="7">
        <v>2009</v>
      </c>
      <c r="R185" s="7">
        <v>2011</v>
      </c>
      <c r="S185" s="7">
        <v>2009</v>
      </c>
      <c r="T185" s="7" t="s">
        <v>577</v>
      </c>
      <c r="U185" s="7">
        <v>2009</v>
      </c>
      <c r="V185" s="7">
        <v>2009</v>
      </c>
      <c r="W185" s="7"/>
      <c r="X185" s="7">
        <v>2000</v>
      </c>
      <c r="Y185" s="7">
        <v>2008</v>
      </c>
      <c r="Z185" s="7">
        <v>2011</v>
      </c>
      <c r="AA185" s="7">
        <v>2011</v>
      </c>
      <c r="AB185" s="7">
        <v>2011</v>
      </c>
      <c r="AC185" s="7">
        <v>2011</v>
      </c>
      <c r="AD185" s="7">
        <v>2008</v>
      </c>
      <c r="AE185" s="7">
        <v>2005</v>
      </c>
    </row>
    <row r="186" spans="1:31" ht="30">
      <c r="A186" s="5" t="s">
        <v>404</v>
      </c>
      <c r="B186" s="5" t="s">
        <v>403</v>
      </c>
      <c r="C186" s="7">
        <v>2007</v>
      </c>
      <c r="D186" s="7"/>
      <c r="E186" s="7">
        <v>2009</v>
      </c>
      <c r="F186" s="7">
        <v>2011</v>
      </c>
      <c r="G186" s="7">
        <v>2011</v>
      </c>
      <c r="H186" s="7">
        <v>2011</v>
      </c>
      <c r="I186" s="7">
        <v>2011</v>
      </c>
      <c r="J186" s="7">
        <v>2011</v>
      </c>
      <c r="K186" s="7">
        <v>2009</v>
      </c>
      <c r="L186" s="7">
        <v>2011</v>
      </c>
      <c r="M186" s="7">
        <v>2009</v>
      </c>
      <c r="N186" s="7">
        <v>2008</v>
      </c>
      <c r="O186" s="7">
        <v>2008</v>
      </c>
      <c r="P186" s="7">
        <v>2009</v>
      </c>
      <c r="Q186" s="7">
        <v>2008</v>
      </c>
      <c r="R186" s="7">
        <v>2011</v>
      </c>
      <c r="S186" s="7">
        <v>2009</v>
      </c>
      <c r="T186" s="7" t="s">
        <v>577</v>
      </c>
      <c r="U186" s="7">
        <v>2009</v>
      </c>
      <c r="V186" s="7">
        <v>2009</v>
      </c>
      <c r="W186" s="7">
        <v>2011</v>
      </c>
      <c r="X186" s="7">
        <v>2008</v>
      </c>
      <c r="Y186" s="7">
        <v>2008</v>
      </c>
      <c r="Z186" s="7">
        <v>2011</v>
      </c>
      <c r="AA186" s="7">
        <v>2011</v>
      </c>
      <c r="AB186" s="7"/>
      <c r="AC186" s="7">
        <v>2011</v>
      </c>
      <c r="AD186" s="7">
        <v>2008</v>
      </c>
      <c r="AE186" s="7">
        <v>2005</v>
      </c>
    </row>
    <row r="187" spans="1:31" ht="30">
      <c r="A187" s="5" t="s">
        <v>406</v>
      </c>
      <c r="B187" s="5" t="s">
        <v>405</v>
      </c>
      <c r="C187" s="7">
        <v>2007</v>
      </c>
      <c r="D187" s="7"/>
      <c r="E187" s="7">
        <v>2009</v>
      </c>
      <c r="F187" s="7">
        <v>2011</v>
      </c>
      <c r="G187" s="7">
        <v>2011</v>
      </c>
      <c r="H187" s="7">
        <v>2011</v>
      </c>
      <c r="I187" s="7">
        <v>2011</v>
      </c>
      <c r="J187" s="7">
        <v>2011</v>
      </c>
      <c r="K187" s="7">
        <v>2009</v>
      </c>
      <c r="L187" s="7">
        <v>2011</v>
      </c>
      <c r="M187" s="7">
        <v>2009</v>
      </c>
      <c r="N187" s="7">
        <v>2008</v>
      </c>
      <c r="O187" s="7">
        <v>2008</v>
      </c>
      <c r="P187" s="7">
        <v>2000</v>
      </c>
      <c r="Q187" s="7">
        <v>2008</v>
      </c>
      <c r="R187" s="7">
        <v>2011</v>
      </c>
      <c r="S187" s="7">
        <v>2009</v>
      </c>
      <c r="T187" s="7" t="s">
        <v>577</v>
      </c>
      <c r="U187" s="7">
        <v>2009</v>
      </c>
      <c r="V187" s="7">
        <v>2009</v>
      </c>
      <c r="W187" s="7">
        <v>2011</v>
      </c>
      <c r="X187" s="7">
        <v>2008</v>
      </c>
      <c r="Y187" s="7">
        <v>2008</v>
      </c>
      <c r="Z187" s="7">
        <v>2011</v>
      </c>
      <c r="AA187" s="7">
        <v>2011</v>
      </c>
      <c r="AB187" s="7"/>
      <c r="AC187" s="7">
        <v>2011</v>
      </c>
      <c r="AD187" s="7">
        <v>2008</v>
      </c>
      <c r="AE187" s="7">
        <v>2005</v>
      </c>
    </row>
    <row r="188" spans="1:31">
      <c r="A188" s="5" t="s">
        <v>408</v>
      </c>
      <c r="B188" s="5" t="s">
        <v>407</v>
      </c>
      <c r="C188" s="7">
        <v>2007</v>
      </c>
      <c r="D188" s="7">
        <v>2002</v>
      </c>
      <c r="E188" s="7">
        <v>2009</v>
      </c>
      <c r="F188" s="7">
        <v>2011</v>
      </c>
      <c r="G188" s="7">
        <v>2011</v>
      </c>
      <c r="H188" s="7">
        <v>2011</v>
      </c>
      <c r="I188" s="7">
        <v>2011</v>
      </c>
      <c r="J188" s="7">
        <v>2011</v>
      </c>
      <c r="K188" s="7">
        <v>2008</v>
      </c>
      <c r="L188" s="7">
        <v>2011</v>
      </c>
      <c r="M188" s="7">
        <v>2009</v>
      </c>
      <c r="N188" s="7">
        <v>2008</v>
      </c>
      <c r="O188" s="7">
        <v>2008</v>
      </c>
      <c r="P188" s="7">
        <v>2008</v>
      </c>
      <c r="Q188" s="7">
        <v>2008</v>
      </c>
      <c r="R188" s="7">
        <v>2011</v>
      </c>
      <c r="S188" s="7">
        <v>2009</v>
      </c>
      <c r="T188" s="7" t="s">
        <v>577</v>
      </c>
      <c r="U188" s="7">
        <v>2009</v>
      </c>
      <c r="V188" s="7">
        <v>2009</v>
      </c>
      <c r="W188" s="7">
        <v>2011</v>
      </c>
      <c r="X188" s="7"/>
      <c r="Y188" s="7">
        <v>2008</v>
      </c>
      <c r="Z188" s="7">
        <v>2011</v>
      </c>
      <c r="AA188" s="7">
        <v>2011</v>
      </c>
      <c r="AB188" s="7">
        <v>2011</v>
      </c>
      <c r="AC188" s="7">
        <v>2011</v>
      </c>
      <c r="AD188" s="7">
        <v>2008</v>
      </c>
      <c r="AE188" s="7">
        <v>2000</v>
      </c>
    </row>
    <row r="189" spans="1:31">
      <c r="A189" s="5" t="s">
        <v>410</v>
      </c>
      <c r="B189" s="5" t="s">
        <v>409</v>
      </c>
      <c r="C189" s="7">
        <v>2007</v>
      </c>
      <c r="D189" s="7">
        <v>2006</v>
      </c>
      <c r="E189" s="7">
        <v>2009</v>
      </c>
      <c r="F189" s="7">
        <v>2011</v>
      </c>
      <c r="G189" s="7">
        <v>2011</v>
      </c>
      <c r="H189" s="7">
        <v>2011</v>
      </c>
      <c r="I189" s="7"/>
      <c r="J189" s="7">
        <v>2011</v>
      </c>
      <c r="K189" s="7">
        <v>2008</v>
      </c>
      <c r="L189" s="7">
        <v>2011</v>
      </c>
      <c r="M189" s="7">
        <v>2009</v>
      </c>
      <c r="N189" s="7">
        <v>2008</v>
      </c>
      <c r="O189" s="7">
        <v>2008</v>
      </c>
      <c r="P189" s="7">
        <v>2007</v>
      </c>
      <c r="Q189" s="7">
        <v>2009</v>
      </c>
      <c r="R189" s="7">
        <v>2011</v>
      </c>
      <c r="S189" s="7">
        <v>2009</v>
      </c>
      <c r="T189" s="7" t="s">
        <v>577</v>
      </c>
      <c r="U189" s="7">
        <v>2009</v>
      </c>
      <c r="V189" s="7">
        <v>2009</v>
      </c>
      <c r="W189" s="7"/>
      <c r="X189" s="7">
        <v>2001</v>
      </c>
      <c r="Y189" s="7">
        <v>2008</v>
      </c>
      <c r="Z189" s="7">
        <v>2011</v>
      </c>
      <c r="AA189" s="7">
        <v>2011</v>
      </c>
      <c r="AB189" s="7">
        <v>2011</v>
      </c>
      <c r="AC189" s="7">
        <v>2011</v>
      </c>
      <c r="AD189" s="7">
        <v>2008</v>
      </c>
      <c r="AE189" s="7">
        <v>2000</v>
      </c>
    </row>
    <row r="190" spans="1:31">
      <c r="A190" s="5" t="s">
        <v>412</v>
      </c>
      <c r="B190" s="5" t="s">
        <v>411</v>
      </c>
      <c r="C190" s="7">
        <v>2007</v>
      </c>
      <c r="D190" s="7">
        <v>2007</v>
      </c>
      <c r="E190" s="7">
        <v>2009</v>
      </c>
      <c r="F190" s="7">
        <v>2011</v>
      </c>
      <c r="G190" s="7">
        <v>2011</v>
      </c>
      <c r="H190" s="7">
        <v>2011</v>
      </c>
      <c r="I190" s="7">
        <v>2011</v>
      </c>
      <c r="J190" s="7">
        <v>2011</v>
      </c>
      <c r="K190" s="7"/>
      <c r="L190" s="7">
        <v>2011</v>
      </c>
      <c r="M190" s="7">
        <v>2009</v>
      </c>
      <c r="N190" s="7">
        <v>2008</v>
      </c>
      <c r="O190" s="7"/>
      <c r="P190" s="7">
        <v>2008</v>
      </c>
      <c r="Q190" s="7">
        <v>2004</v>
      </c>
      <c r="R190" s="7">
        <v>2011</v>
      </c>
      <c r="S190" s="7">
        <v>2009</v>
      </c>
      <c r="T190" s="7" t="s">
        <v>577</v>
      </c>
      <c r="U190" s="7">
        <v>2009</v>
      </c>
      <c r="V190" s="7">
        <v>2009</v>
      </c>
      <c r="W190" s="7">
        <v>2011</v>
      </c>
      <c r="X190" s="7">
        <v>2001</v>
      </c>
      <c r="Y190" s="7">
        <v>2008</v>
      </c>
      <c r="Z190" s="7">
        <v>2011</v>
      </c>
      <c r="AA190" s="7">
        <v>2011</v>
      </c>
      <c r="AB190" s="7">
        <v>2011</v>
      </c>
      <c r="AC190" s="7">
        <v>2011</v>
      </c>
      <c r="AD190" s="7">
        <v>2008</v>
      </c>
      <c r="AE190" s="7"/>
    </row>
    <row r="191" spans="1:31" ht="45">
      <c r="A191" s="5" t="s">
        <v>414</v>
      </c>
      <c r="B191" s="5" t="s">
        <v>413</v>
      </c>
      <c r="C191" s="7">
        <v>2007</v>
      </c>
      <c r="D191" s="7">
        <v>2004</v>
      </c>
      <c r="E191" s="7">
        <v>2009</v>
      </c>
      <c r="F191" s="7">
        <v>2011</v>
      </c>
      <c r="G191" s="7">
        <v>2011</v>
      </c>
      <c r="H191" s="7">
        <v>2011</v>
      </c>
      <c r="I191" s="7">
        <v>2011</v>
      </c>
      <c r="J191" s="7">
        <v>2011</v>
      </c>
      <c r="K191" s="7">
        <v>2008</v>
      </c>
      <c r="L191" s="7">
        <v>2011</v>
      </c>
      <c r="M191" s="7">
        <v>2009</v>
      </c>
      <c r="N191" s="7">
        <v>2008</v>
      </c>
      <c r="O191" s="7">
        <v>2008</v>
      </c>
      <c r="P191" s="7">
        <v>2001</v>
      </c>
      <c r="Q191" s="7">
        <v>2008</v>
      </c>
      <c r="R191" s="7">
        <v>2011</v>
      </c>
      <c r="S191" s="7">
        <v>2009</v>
      </c>
      <c r="T191" s="7" t="s">
        <v>577</v>
      </c>
      <c r="U191" s="7">
        <v>2009</v>
      </c>
      <c r="V191" s="7">
        <v>2009</v>
      </c>
      <c r="W191" s="7">
        <v>2011</v>
      </c>
      <c r="X191" s="7">
        <v>2001</v>
      </c>
      <c r="Y191" s="7">
        <v>2005</v>
      </c>
      <c r="Z191" s="7">
        <v>2011</v>
      </c>
      <c r="AA191" s="7">
        <v>2011</v>
      </c>
      <c r="AB191" s="7">
        <v>2011</v>
      </c>
      <c r="AC191" s="7">
        <v>2011</v>
      </c>
      <c r="AD191" s="7">
        <v>2005</v>
      </c>
      <c r="AE191" s="7">
        <v>2000</v>
      </c>
    </row>
    <row r="192" spans="1:31">
      <c r="A192" s="5" t="s">
        <v>416</v>
      </c>
      <c r="B192" s="5" t="s">
        <v>415</v>
      </c>
      <c r="C192" s="7">
        <v>2007</v>
      </c>
      <c r="D192" s="7">
        <v>2006</v>
      </c>
      <c r="E192" s="7">
        <v>2009</v>
      </c>
      <c r="F192" s="7">
        <v>2011</v>
      </c>
      <c r="G192" s="7">
        <v>2011</v>
      </c>
      <c r="H192" s="7">
        <v>2011</v>
      </c>
      <c r="I192" s="7">
        <v>2011</v>
      </c>
      <c r="J192" s="7">
        <v>2011</v>
      </c>
      <c r="K192" s="7">
        <v>2008</v>
      </c>
      <c r="L192" s="7">
        <v>2011</v>
      </c>
      <c r="M192" s="7">
        <v>2009</v>
      </c>
      <c r="N192" s="7">
        <v>2008</v>
      </c>
      <c r="O192" s="7">
        <v>2008</v>
      </c>
      <c r="P192" s="7">
        <v>2008</v>
      </c>
      <c r="Q192" s="7">
        <v>2001</v>
      </c>
      <c r="R192" s="7">
        <v>2011</v>
      </c>
      <c r="S192" s="7">
        <v>2009</v>
      </c>
      <c r="T192" s="7" t="s">
        <v>577</v>
      </c>
      <c r="U192" s="7">
        <v>2009</v>
      </c>
      <c r="V192" s="7">
        <v>2009</v>
      </c>
      <c r="W192" s="7">
        <v>2011</v>
      </c>
      <c r="X192" s="7">
        <v>2007</v>
      </c>
      <c r="Y192" s="7">
        <v>2008</v>
      </c>
      <c r="Z192" s="7">
        <v>2011</v>
      </c>
      <c r="AA192" s="7">
        <v>2011</v>
      </c>
      <c r="AB192" s="7">
        <v>2011</v>
      </c>
      <c r="AC192" s="7">
        <v>2011</v>
      </c>
      <c r="AD192" s="7">
        <v>2008</v>
      </c>
      <c r="AE192" s="7">
        <v>2005</v>
      </c>
    </row>
    <row r="193" spans="1:31">
      <c r="A193" s="5" t="s">
        <v>418</v>
      </c>
      <c r="B193" s="5" t="s">
        <v>417</v>
      </c>
      <c r="C193" s="7">
        <v>2007</v>
      </c>
      <c r="D193" s="7">
        <v>2003</v>
      </c>
      <c r="E193" s="7">
        <v>2009</v>
      </c>
      <c r="F193" s="7">
        <v>2011</v>
      </c>
      <c r="G193" s="7">
        <v>2011</v>
      </c>
      <c r="H193" s="7">
        <v>2011</v>
      </c>
      <c r="I193" s="7">
        <v>2011</v>
      </c>
      <c r="J193" s="7">
        <v>2011</v>
      </c>
      <c r="K193" s="7">
        <v>2008</v>
      </c>
      <c r="L193" s="7">
        <v>2011</v>
      </c>
      <c r="M193" s="7">
        <v>2009</v>
      </c>
      <c r="N193" s="7">
        <v>2008</v>
      </c>
      <c r="O193" s="7">
        <v>2008</v>
      </c>
      <c r="P193" s="7">
        <v>2004</v>
      </c>
      <c r="Q193" s="7">
        <v>2007</v>
      </c>
      <c r="R193" s="7">
        <v>2011</v>
      </c>
      <c r="S193" s="7">
        <v>2009</v>
      </c>
      <c r="T193" s="7" t="s">
        <v>577</v>
      </c>
      <c r="U193" s="7">
        <v>2009</v>
      </c>
      <c r="V193" s="7">
        <v>2009</v>
      </c>
      <c r="W193" s="7">
        <v>2011</v>
      </c>
      <c r="X193" s="7">
        <v>2005</v>
      </c>
      <c r="Y193" s="7">
        <v>2008</v>
      </c>
      <c r="Z193" s="7">
        <v>2011</v>
      </c>
      <c r="AA193" s="7">
        <v>2011</v>
      </c>
      <c r="AB193" s="7">
        <v>2011</v>
      </c>
      <c r="AC193" s="7">
        <v>2011</v>
      </c>
      <c r="AD193" s="7">
        <v>2008</v>
      </c>
      <c r="AE193" s="7">
        <v>2005</v>
      </c>
    </row>
    <row r="194" spans="1:31">
      <c r="A194" s="5" t="s">
        <v>420</v>
      </c>
      <c r="B194" s="5" t="s">
        <v>419</v>
      </c>
      <c r="C194" s="7">
        <v>2007</v>
      </c>
      <c r="D194" s="7">
        <v>2007</v>
      </c>
      <c r="E194" s="7">
        <v>2009</v>
      </c>
      <c r="F194" s="7">
        <v>2011</v>
      </c>
      <c r="G194" s="7">
        <v>2011</v>
      </c>
      <c r="H194" s="7"/>
      <c r="I194" s="7"/>
      <c r="J194" s="7">
        <v>2011</v>
      </c>
      <c r="K194" s="7">
        <v>2008</v>
      </c>
      <c r="L194" s="7">
        <v>2011</v>
      </c>
      <c r="M194" s="7">
        <v>2009</v>
      </c>
      <c r="N194" s="7">
        <v>2008</v>
      </c>
      <c r="O194" s="7">
        <v>2008</v>
      </c>
      <c r="P194" s="7">
        <v>2006</v>
      </c>
      <c r="Q194" s="7">
        <v>2000</v>
      </c>
      <c r="R194" s="7">
        <v>2011</v>
      </c>
      <c r="S194" s="7">
        <v>2009</v>
      </c>
      <c r="T194" s="7" t="s">
        <v>577</v>
      </c>
      <c r="U194" s="7">
        <v>2009</v>
      </c>
      <c r="V194" s="7">
        <v>2009</v>
      </c>
      <c r="W194" s="7">
        <v>2011</v>
      </c>
      <c r="X194" s="7">
        <v>2001</v>
      </c>
      <c r="Y194" s="7">
        <v>2008</v>
      </c>
      <c r="Z194" s="7">
        <v>2011</v>
      </c>
      <c r="AA194" s="7">
        <v>2011</v>
      </c>
      <c r="AB194" s="7">
        <v>2011</v>
      </c>
      <c r="AC194" s="7">
        <v>2011</v>
      </c>
      <c r="AD194" s="7">
        <v>2008</v>
      </c>
      <c r="AE194" s="7">
        <v>2000</v>
      </c>
    </row>
    <row r="195" spans="1:31">
      <c r="A195" s="5" t="s">
        <v>422</v>
      </c>
      <c r="B195" s="5" t="s">
        <v>421</v>
      </c>
      <c r="C195" s="7">
        <v>2007</v>
      </c>
      <c r="D195" s="7">
        <v>2005</v>
      </c>
      <c r="E195" s="7">
        <v>2009</v>
      </c>
      <c r="F195" s="7">
        <v>2011</v>
      </c>
      <c r="G195" s="7">
        <v>2011</v>
      </c>
      <c r="H195" s="7"/>
      <c r="I195" s="7"/>
      <c r="J195" s="7">
        <v>2011</v>
      </c>
      <c r="K195" s="7">
        <v>2008</v>
      </c>
      <c r="L195" s="7">
        <v>2011</v>
      </c>
      <c r="M195" s="7">
        <v>2001</v>
      </c>
      <c r="N195" s="7">
        <v>2008</v>
      </c>
      <c r="O195" s="7">
        <v>2008</v>
      </c>
      <c r="P195" s="7">
        <v>2004</v>
      </c>
      <c r="Q195" s="7">
        <v>2009</v>
      </c>
      <c r="R195" s="7">
        <v>2011</v>
      </c>
      <c r="S195" s="7">
        <v>2009</v>
      </c>
      <c r="T195" s="7" t="s">
        <v>577</v>
      </c>
      <c r="U195" s="7">
        <v>2009</v>
      </c>
      <c r="V195" s="7">
        <v>2009</v>
      </c>
      <c r="W195" s="7">
        <v>2011</v>
      </c>
      <c r="X195" s="7">
        <v>2002</v>
      </c>
      <c r="Y195" s="7">
        <v>2008</v>
      </c>
      <c r="Z195" s="7">
        <v>2011</v>
      </c>
      <c r="AA195" s="7">
        <v>2011</v>
      </c>
      <c r="AB195" s="7">
        <v>2011</v>
      </c>
      <c r="AC195" s="7">
        <v>2011</v>
      </c>
      <c r="AD195" s="7">
        <v>2008</v>
      </c>
      <c r="AE195" s="7">
        <v>2000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A5:AH3269"/>
  <sheetViews>
    <sheetView workbookViewId="0">
      <selection activeCell="G16" sqref="G16"/>
    </sheetView>
  </sheetViews>
  <sheetFormatPr baseColWidth="10" defaultRowHeight="15" x14ac:dyDescent="0"/>
  <sheetData>
    <row r="5" spans="27:34">
      <c r="AA5" t="s">
        <v>487</v>
      </c>
      <c r="AB5" t="s">
        <v>488</v>
      </c>
      <c r="AC5" t="s">
        <v>483</v>
      </c>
      <c r="AD5" t="s">
        <v>492</v>
      </c>
      <c r="AE5" t="s">
        <v>574</v>
      </c>
      <c r="AF5" t="s">
        <v>493</v>
      </c>
      <c r="AG5" t="s">
        <v>503</v>
      </c>
      <c r="AH5" t="s">
        <v>505</v>
      </c>
    </row>
    <row r="6" spans="27:34">
      <c r="AA6">
        <v>7.29</v>
      </c>
      <c r="AB6">
        <v>1.2</v>
      </c>
      <c r="AC6">
        <v>1405</v>
      </c>
      <c r="AD6">
        <v>0.36028297100000001</v>
      </c>
      <c r="AE6">
        <v>29</v>
      </c>
      <c r="AH6">
        <v>20769532</v>
      </c>
    </row>
    <row r="7" spans="27:34">
      <c r="AA7">
        <v>7.29</v>
      </c>
      <c r="AB7">
        <v>1.2</v>
      </c>
      <c r="AC7">
        <v>1405</v>
      </c>
      <c r="AD7">
        <v>0.36028297100000001</v>
      </c>
      <c r="AH7">
        <v>21312543.7221191</v>
      </c>
    </row>
    <row r="8" spans="27:34">
      <c r="AA8">
        <v>7.29</v>
      </c>
      <c r="AB8">
        <v>1.2</v>
      </c>
      <c r="AC8">
        <v>1405</v>
      </c>
      <c r="AD8">
        <v>0.36028297100000001</v>
      </c>
      <c r="AH8">
        <v>21869752.2846081</v>
      </c>
    </row>
    <row r="9" spans="27:34">
      <c r="AA9">
        <v>7.29</v>
      </c>
      <c r="AB9">
        <v>1.2</v>
      </c>
      <c r="AC9">
        <v>1405</v>
      </c>
      <c r="AD9">
        <v>0.36028297100000001</v>
      </c>
      <c r="AH9">
        <v>22441528.8586004</v>
      </c>
    </row>
    <row r="10" spans="27:34">
      <c r="AA10">
        <v>7.29</v>
      </c>
      <c r="AB10">
        <v>1.2</v>
      </c>
      <c r="AC10">
        <v>1405</v>
      </c>
      <c r="AD10">
        <v>0.36028297100000001</v>
      </c>
      <c r="AH10">
        <v>23028254.319361601</v>
      </c>
    </row>
    <row r="11" spans="27:34">
      <c r="AA11">
        <v>7.29</v>
      </c>
      <c r="AB11">
        <v>1.2</v>
      </c>
      <c r="AC11">
        <v>1405</v>
      </c>
      <c r="AD11">
        <v>0.36028297100000001</v>
      </c>
      <c r="AE11">
        <v>32</v>
      </c>
      <c r="AF11">
        <v>35.57</v>
      </c>
      <c r="AH11">
        <v>23630319.5</v>
      </c>
    </row>
    <row r="12" spans="27:34">
      <c r="AA12">
        <v>7.29</v>
      </c>
      <c r="AB12">
        <v>1.2</v>
      </c>
      <c r="AC12">
        <v>1405</v>
      </c>
      <c r="AD12">
        <v>0.36028297100000001</v>
      </c>
      <c r="AH12">
        <v>24232218.699161801</v>
      </c>
    </row>
    <row r="13" spans="27:34">
      <c r="AA13">
        <v>7.29</v>
      </c>
      <c r="AB13">
        <v>1.2</v>
      </c>
      <c r="AC13">
        <v>1405</v>
      </c>
      <c r="AD13">
        <v>0.36028297100000001</v>
      </c>
      <c r="AG13">
        <v>578.88849476587302</v>
      </c>
      <c r="AH13">
        <v>24849449.161447398</v>
      </c>
    </row>
    <row r="14" spans="27:34">
      <c r="AA14">
        <v>7.29</v>
      </c>
      <c r="AB14">
        <v>1.2</v>
      </c>
      <c r="AC14">
        <v>1405</v>
      </c>
      <c r="AD14">
        <v>0.36028297100000001</v>
      </c>
      <c r="AG14">
        <v>659.24766744552198</v>
      </c>
      <c r="AH14">
        <v>25482401.396811299</v>
      </c>
    </row>
    <row r="15" spans="27:34">
      <c r="AA15">
        <v>7.29</v>
      </c>
      <c r="AB15">
        <v>1.2</v>
      </c>
      <c r="AC15">
        <v>1405</v>
      </c>
      <c r="AD15">
        <v>0.36028297100000001</v>
      </c>
      <c r="AG15">
        <v>723.49461456082497</v>
      </c>
      <c r="AH15">
        <v>26131475.862074502</v>
      </c>
    </row>
    <row r="16" spans="27:34">
      <c r="AA16">
        <v>7.29</v>
      </c>
      <c r="AB16">
        <v>1.2</v>
      </c>
      <c r="AC16">
        <v>1405</v>
      </c>
      <c r="AD16">
        <v>0.36028297100000001</v>
      </c>
      <c r="AE16">
        <v>35</v>
      </c>
      <c r="AG16">
        <v>834.87762728391203</v>
      </c>
      <c r="AH16">
        <v>26797083.214285702</v>
      </c>
    </row>
    <row r="17" spans="27:34">
      <c r="AA17">
        <v>7.29</v>
      </c>
      <c r="AB17">
        <v>1.2</v>
      </c>
      <c r="AC17">
        <v>1405</v>
      </c>
      <c r="AD17">
        <v>0.36028297100000001</v>
      </c>
      <c r="AG17">
        <v>933.33078955584199</v>
      </c>
      <c r="AH17">
        <v>27518809.056496099</v>
      </c>
    </row>
    <row r="18" spans="27:34">
      <c r="AA18">
        <v>7.29</v>
      </c>
      <c r="AB18">
        <v>1.2</v>
      </c>
      <c r="AC18">
        <v>1405</v>
      </c>
      <c r="AD18">
        <v>0.36028297100000001</v>
      </c>
      <c r="AG18">
        <v>937.88661056086403</v>
      </c>
      <c r="AH18">
        <v>28259973.140814699</v>
      </c>
    </row>
    <row r="19" spans="27:34">
      <c r="AA19">
        <v>7.29</v>
      </c>
      <c r="AB19">
        <v>1.2</v>
      </c>
      <c r="AC19">
        <v>1405</v>
      </c>
      <c r="AD19">
        <v>0.36028297100000001</v>
      </c>
      <c r="AE19">
        <v>37</v>
      </c>
      <c r="AG19">
        <v>955.027593116925</v>
      </c>
      <c r="AH19">
        <v>29021098.997416198</v>
      </c>
    </row>
    <row r="20" spans="27:34">
      <c r="AA20">
        <v>7.29</v>
      </c>
      <c r="AB20">
        <v>1.2</v>
      </c>
      <c r="AC20">
        <v>1405</v>
      </c>
      <c r="AD20">
        <v>0.36028297100000001</v>
      </c>
      <c r="AG20">
        <v>1321.3237969900899</v>
      </c>
      <c r="AH20">
        <v>29802724.2567137</v>
      </c>
    </row>
    <row r="21" spans="27:34">
      <c r="AA21">
        <v>7.29</v>
      </c>
      <c r="AB21">
        <v>1.2</v>
      </c>
      <c r="AC21">
        <v>1405</v>
      </c>
      <c r="AD21">
        <v>0.36028297100000001</v>
      </c>
    </row>
    <row r="22" spans="27:34">
      <c r="AA22">
        <v>7.29</v>
      </c>
      <c r="AB22">
        <v>1.2</v>
      </c>
      <c r="AC22">
        <v>1405</v>
      </c>
      <c r="AD22">
        <v>0.36028297100000001</v>
      </c>
    </row>
    <row r="23" spans="27:34">
      <c r="AA23">
        <v>-16.829999999999998</v>
      </c>
      <c r="AB23">
        <v>1.1000000000000001</v>
      </c>
      <c r="AC23">
        <v>50</v>
      </c>
      <c r="AD23">
        <v>5.6930692999999997E-2</v>
      </c>
      <c r="AE23">
        <v>87</v>
      </c>
      <c r="AG23">
        <v>2939.6422183303998</v>
      </c>
      <c r="AH23">
        <v>3133759</v>
      </c>
    </row>
    <row r="24" spans="27:34">
      <c r="AA24">
        <v>-16.829999999999998</v>
      </c>
      <c r="AB24">
        <v>1.1000000000000001</v>
      </c>
      <c r="AC24">
        <v>50</v>
      </c>
      <c r="AD24">
        <v>5.6930692999999997E-2</v>
      </c>
      <c r="AG24">
        <v>3297.7975568853799</v>
      </c>
      <c r="AH24">
        <v>3105896</v>
      </c>
    </row>
    <row r="25" spans="27:34">
      <c r="AA25">
        <v>-16.829999999999998</v>
      </c>
      <c r="AB25">
        <v>1.1000000000000001</v>
      </c>
      <c r="AC25">
        <v>50</v>
      </c>
      <c r="AD25">
        <v>5.6930692999999997E-2</v>
      </c>
      <c r="AG25">
        <v>3032.57399350576</v>
      </c>
      <c r="AH25">
        <v>3086806</v>
      </c>
    </row>
    <row r="26" spans="27:34">
      <c r="AA26">
        <v>-16.829999999999998</v>
      </c>
      <c r="AB26">
        <v>1.1000000000000001</v>
      </c>
      <c r="AC26">
        <v>50</v>
      </c>
      <c r="AD26">
        <v>5.6930692999999997E-2</v>
      </c>
      <c r="AG26">
        <v>3468.9327451889299</v>
      </c>
      <c r="AH26">
        <v>3075628</v>
      </c>
    </row>
    <row r="27" spans="27:34">
      <c r="AA27">
        <v>-16.829999999999998</v>
      </c>
      <c r="AB27">
        <v>1.1000000000000001</v>
      </c>
      <c r="AC27">
        <v>50</v>
      </c>
      <c r="AD27">
        <v>5.6930692999999997E-2</v>
      </c>
      <c r="AG27">
        <v>3882.5557908874698</v>
      </c>
      <c r="AH27">
        <v>3069856</v>
      </c>
    </row>
    <row r="28" spans="27:34">
      <c r="AA28">
        <v>-16.829999999999998</v>
      </c>
      <c r="AB28">
        <v>1.1000000000000001</v>
      </c>
      <c r="AC28">
        <v>50</v>
      </c>
      <c r="AD28">
        <v>5.6930692999999997E-2</v>
      </c>
      <c r="AE28">
        <v>90</v>
      </c>
      <c r="AF28">
        <v>4.4080000000000004</v>
      </c>
      <c r="AG28">
        <v>4259.3079099025699</v>
      </c>
      <c r="AH28">
        <v>3067556</v>
      </c>
    </row>
    <row r="29" spans="27:34">
      <c r="AA29">
        <v>-16.829999999999998</v>
      </c>
      <c r="AB29">
        <v>1.1000000000000001</v>
      </c>
      <c r="AC29">
        <v>50</v>
      </c>
      <c r="AD29">
        <v>5.6930692999999997E-2</v>
      </c>
      <c r="AG29">
        <v>4658.0091880172204</v>
      </c>
      <c r="AH29">
        <v>3069383</v>
      </c>
    </row>
    <row r="30" spans="27:34">
      <c r="AA30">
        <v>-16.829999999999998</v>
      </c>
      <c r="AB30">
        <v>1.1000000000000001</v>
      </c>
      <c r="AC30">
        <v>50</v>
      </c>
      <c r="AD30">
        <v>5.6930692999999997E-2</v>
      </c>
      <c r="AG30">
        <v>4860.0346211900696</v>
      </c>
      <c r="AH30">
        <v>3076282</v>
      </c>
    </row>
    <row r="31" spans="27:34">
      <c r="AA31">
        <v>-16.829999999999998</v>
      </c>
      <c r="AB31">
        <v>1.1000000000000001</v>
      </c>
      <c r="AC31">
        <v>50</v>
      </c>
      <c r="AD31">
        <v>5.6930692999999997E-2</v>
      </c>
      <c r="AG31">
        <v>5230.0065391354701</v>
      </c>
      <c r="AH31">
        <v>3086736</v>
      </c>
    </row>
    <row r="32" spans="27:34">
      <c r="AA32">
        <v>-16.829999999999998</v>
      </c>
      <c r="AB32">
        <v>1.1000000000000001</v>
      </c>
      <c r="AC32">
        <v>50</v>
      </c>
      <c r="AD32">
        <v>5.6930692999999997E-2</v>
      </c>
      <c r="AG32">
        <v>5673.6233822124204</v>
      </c>
      <c r="AH32">
        <v>3098677</v>
      </c>
    </row>
    <row r="33" spans="27:34">
      <c r="AA33">
        <v>-16.829999999999998</v>
      </c>
      <c r="AB33">
        <v>1.1000000000000001</v>
      </c>
      <c r="AC33">
        <v>50</v>
      </c>
      <c r="AD33">
        <v>5.6930692999999997E-2</v>
      </c>
      <c r="AE33">
        <v>96</v>
      </c>
      <c r="AG33">
        <v>6161.6077812023404</v>
      </c>
      <c r="AH33">
        <v>3110579</v>
      </c>
    </row>
    <row r="34" spans="27:34">
      <c r="AA34">
        <v>-16.829999999999998</v>
      </c>
      <c r="AB34">
        <v>1.1000000000000001</v>
      </c>
      <c r="AC34">
        <v>50</v>
      </c>
      <c r="AD34">
        <v>5.6930692999999997E-2</v>
      </c>
      <c r="AG34">
        <v>6878.0158248451298</v>
      </c>
      <c r="AH34">
        <v>3121751</v>
      </c>
    </row>
    <row r="35" spans="27:34">
      <c r="AA35">
        <v>-16.829999999999998</v>
      </c>
      <c r="AB35">
        <v>1.1000000000000001</v>
      </c>
      <c r="AC35">
        <v>50</v>
      </c>
      <c r="AD35">
        <v>5.6930692999999997E-2</v>
      </c>
      <c r="AG35">
        <v>7363.6029188729599</v>
      </c>
      <c r="AH35">
        <v>3132458</v>
      </c>
    </row>
    <row r="36" spans="27:34">
      <c r="AA36">
        <v>-16.829999999999998</v>
      </c>
      <c r="AB36">
        <v>1.1000000000000001</v>
      </c>
      <c r="AC36">
        <v>50</v>
      </c>
      <c r="AD36">
        <v>5.6930692999999997E-2</v>
      </c>
      <c r="AE36">
        <v>98</v>
      </c>
      <c r="AG36">
        <v>8414.6467663667208</v>
      </c>
      <c r="AH36">
        <v>3143291</v>
      </c>
    </row>
    <row r="37" spans="27:34">
      <c r="AA37">
        <v>-16.829999999999998</v>
      </c>
      <c r="AB37">
        <v>1.1000000000000001</v>
      </c>
      <c r="AC37">
        <v>50</v>
      </c>
      <c r="AD37">
        <v>5.6930692999999997E-2</v>
      </c>
      <c r="AG37">
        <v>8716.0067291809592</v>
      </c>
      <c r="AH37">
        <v>3155271</v>
      </c>
    </row>
    <row r="38" spans="27:34">
      <c r="AA38">
        <v>-16.829999999999998</v>
      </c>
      <c r="AB38">
        <v>1.1000000000000001</v>
      </c>
      <c r="AC38">
        <v>50</v>
      </c>
      <c r="AD38">
        <v>5.6930692999999997E-2</v>
      </c>
    </row>
    <row r="39" spans="27:34">
      <c r="AA39">
        <v>-16.829999999999998</v>
      </c>
      <c r="AB39">
        <v>1.1000000000000001</v>
      </c>
      <c r="AC39">
        <v>50</v>
      </c>
      <c r="AD39">
        <v>5.6930692999999997E-2</v>
      </c>
    </row>
    <row r="40" spans="27:34">
      <c r="AA40">
        <v>-8.81</v>
      </c>
      <c r="AB40">
        <v>2.5</v>
      </c>
      <c r="AC40">
        <v>101</v>
      </c>
      <c r="AD40">
        <v>0.26165803100000001</v>
      </c>
      <c r="AE40">
        <v>90</v>
      </c>
      <c r="AG40">
        <v>4590.4590142177703</v>
      </c>
      <c r="AH40">
        <v>28265291</v>
      </c>
    </row>
    <row r="41" spans="27:34">
      <c r="AA41">
        <v>-8.81</v>
      </c>
      <c r="AB41">
        <v>2.5</v>
      </c>
      <c r="AC41">
        <v>101</v>
      </c>
      <c r="AD41">
        <v>0.26165803100000001</v>
      </c>
      <c r="AG41">
        <v>4786.2939587609999</v>
      </c>
      <c r="AH41">
        <v>28759876</v>
      </c>
    </row>
    <row r="42" spans="27:34">
      <c r="AA42">
        <v>-8.81</v>
      </c>
      <c r="AB42">
        <v>2.5</v>
      </c>
      <c r="AC42">
        <v>101</v>
      </c>
      <c r="AD42">
        <v>0.26165803100000001</v>
      </c>
      <c r="AG42">
        <v>4847.9176316522799</v>
      </c>
      <c r="AH42">
        <v>29215667</v>
      </c>
    </row>
    <row r="43" spans="27:34">
      <c r="AA43">
        <v>-8.81</v>
      </c>
      <c r="AB43">
        <v>2.5</v>
      </c>
      <c r="AC43">
        <v>101</v>
      </c>
      <c r="AD43">
        <v>0.26165803100000001</v>
      </c>
      <c r="AG43">
        <v>5077.9338386571499</v>
      </c>
      <c r="AH43">
        <v>29646386</v>
      </c>
    </row>
    <row r="44" spans="27:34">
      <c r="AA44">
        <v>-8.81</v>
      </c>
      <c r="AB44">
        <v>2.5</v>
      </c>
      <c r="AC44">
        <v>101</v>
      </c>
      <c r="AD44">
        <v>0.26165803100000001</v>
      </c>
      <c r="AG44">
        <v>5242.0451327825504</v>
      </c>
      <c r="AH44">
        <v>30071594</v>
      </c>
    </row>
    <row r="45" spans="27:34">
      <c r="AA45">
        <v>-8.81</v>
      </c>
      <c r="AB45">
        <v>2.5</v>
      </c>
      <c r="AC45">
        <v>101</v>
      </c>
      <c r="AD45">
        <v>0.26165803100000001</v>
      </c>
      <c r="AE45">
        <v>92</v>
      </c>
      <c r="AF45">
        <v>52.65</v>
      </c>
      <c r="AG45">
        <v>5395.33200643071</v>
      </c>
      <c r="AH45">
        <v>30506054</v>
      </c>
    </row>
    <row r="46" spans="27:34">
      <c r="AA46">
        <v>-8.81</v>
      </c>
      <c r="AB46">
        <v>2.5</v>
      </c>
      <c r="AC46">
        <v>101</v>
      </c>
      <c r="AD46">
        <v>0.26165803100000001</v>
      </c>
      <c r="AG46">
        <v>5579.1344379397297</v>
      </c>
      <c r="AH46">
        <v>30954289</v>
      </c>
    </row>
    <row r="47" spans="27:34">
      <c r="AA47">
        <v>-8.81</v>
      </c>
      <c r="AB47">
        <v>2.5</v>
      </c>
      <c r="AC47">
        <v>101</v>
      </c>
      <c r="AD47">
        <v>0.26165803100000001</v>
      </c>
      <c r="AG47">
        <v>5849.3586867800896</v>
      </c>
      <c r="AH47">
        <v>31414114</v>
      </c>
    </row>
    <row r="48" spans="27:34">
      <c r="AA48">
        <v>-8.81</v>
      </c>
      <c r="AB48">
        <v>2.5</v>
      </c>
      <c r="AC48">
        <v>101</v>
      </c>
      <c r="AD48">
        <v>0.26165803100000001</v>
      </c>
      <c r="AG48">
        <v>6293.3177347852097</v>
      </c>
      <c r="AH48">
        <v>31885435</v>
      </c>
    </row>
    <row r="49" spans="27:34">
      <c r="AA49">
        <v>-8.81</v>
      </c>
      <c r="AB49">
        <v>2.5</v>
      </c>
      <c r="AC49">
        <v>101</v>
      </c>
      <c r="AD49">
        <v>0.26165803100000001</v>
      </c>
      <c r="AG49">
        <v>6707.1212757272197</v>
      </c>
      <c r="AH49">
        <v>32366125</v>
      </c>
    </row>
    <row r="50" spans="27:34">
      <c r="AA50">
        <v>-8.81</v>
      </c>
      <c r="AB50">
        <v>2.5</v>
      </c>
      <c r="AC50">
        <v>101</v>
      </c>
      <c r="AD50">
        <v>0.26165803100000001</v>
      </c>
      <c r="AE50">
        <v>94</v>
      </c>
      <c r="AG50">
        <v>7175.9642740297304</v>
      </c>
      <c r="AH50">
        <v>32854535</v>
      </c>
    </row>
    <row r="51" spans="27:34">
      <c r="AA51">
        <v>-8.81</v>
      </c>
      <c r="AB51">
        <v>2.5</v>
      </c>
      <c r="AC51">
        <v>101</v>
      </c>
      <c r="AD51">
        <v>0.26165803100000001</v>
      </c>
      <c r="AG51">
        <v>7444.9430647512399</v>
      </c>
      <c r="AH51">
        <v>33351478</v>
      </c>
    </row>
    <row r="52" spans="27:34">
      <c r="AA52">
        <v>-8.81</v>
      </c>
      <c r="AB52">
        <v>2.5</v>
      </c>
      <c r="AC52">
        <v>101</v>
      </c>
      <c r="AD52">
        <v>0.26165803100000001</v>
      </c>
      <c r="AG52">
        <v>7812.3708103690396</v>
      </c>
      <c r="AH52">
        <v>33858168</v>
      </c>
    </row>
    <row r="53" spans="27:34">
      <c r="AA53">
        <v>-8.81</v>
      </c>
      <c r="AB53">
        <v>2.5</v>
      </c>
      <c r="AC53">
        <v>101</v>
      </c>
      <c r="AD53">
        <v>0.26165803100000001</v>
      </c>
      <c r="AE53">
        <v>95</v>
      </c>
      <c r="AG53">
        <v>8052.21521419691</v>
      </c>
      <c r="AH53">
        <v>34373426</v>
      </c>
    </row>
    <row r="54" spans="27:34">
      <c r="AA54">
        <v>-8.81</v>
      </c>
      <c r="AB54">
        <v>2.5</v>
      </c>
      <c r="AC54">
        <v>101</v>
      </c>
      <c r="AD54">
        <v>0.26165803100000001</v>
      </c>
      <c r="AG54">
        <v>8172.4752171015598</v>
      </c>
      <c r="AH54">
        <v>34895470</v>
      </c>
    </row>
    <row r="55" spans="27:34">
      <c r="AA55">
        <v>-8.81</v>
      </c>
      <c r="AB55">
        <v>2.5</v>
      </c>
      <c r="AC55">
        <v>101</v>
      </c>
      <c r="AD55">
        <v>0.26165803100000001</v>
      </c>
    </row>
    <row r="56" spans="27:34">
      <c r="AA56">
        <v>-8.81</v>
      </c>
      <c r="AB56">
        <v>2.5</v>
      </c>
      <c r="AC56">
        <v>101</v>
      </c>
      <c r="AD56">
        <v>0.26165803100000001</v>
      </c>
    </row>
    <row r="57" spans="27:34">
      <c r="AA57">
        <v>-9.68</v>
      </c>
      <c r="AB57">
        <v>1.1000000000000001</v>
      </c>
      <c r="AC57">
        <v>0</v>
      </c>
      <c r="AD57">
        <v>4.1994750999999997E-2</v>
      </c>
    </row>
    <row r="58" spans="27:34">
      <c r="AA58">
        <v>-9.68</v>
      </c>
      <c r="AB58">
        <v>1.1000000000000001</v>
      </c>
      <c r="AC58">
        <v>0</v>
      </c>
      <c r="AD58">
        <v>4.1994750999999997E-2</v>
      </c>
    </row>
    <row r="59" spans="27:34">
      <c r="AA59">
        <v>-9.68</v>
      </c>
      <c r="AB59">
        <v>1.1000000000000001</v>
      </c>
      <c r="AC59">
        <v>0</v>
      </c>
      <c r="AD59">
        <v>4.1994750999999997E-2</v>
      </c>
    </row>
    <row r="60" spans="27:34">
      <c r="AA60">
        <v>-9.68</v>
      </c>
      <c r="AB60">
        <v>1.1000000000000001</v>
      </c>
      <c r="AC60">
        <v>0</v>
      </c>
      <c r="AD60">
        <v>4.1994750999999997E-2</v>
      </c>
    </row>
    <row r="61" spans="27:34">
      <c r="AA61">
        <v>-9.68</v>
      </c>
      <c r="AB61">
        <v>1.1000000000000001</v>
      </c>
      <c r="AC61">
        <v>0</v>
      </c>
      <c r="AD61">
        <v>4.1994750999999997E-2</v>
      </c>
    </row>
    <row r="62" spans="27:34">
      <c r="AA62">
        <v>-9.68</v>
      </c>
      <c r="AB62">
        <v>1.1000000000000001</v>
      </c>
      <c r="AC62">
        <v>0</v>
      </c>
      <c r="AD62">
        <v>4.1994750999999997E-2</v>
      </c>
    </row>
    <row r="63" spans="27:34">
      <c r="AA63">
        <v>-9.68</v>
      </c>
      <c r="AB63">
        <v>1.1000000000000001</v>
      </c>
      <c r="AC63">
        <v>0</v>
      </c>
      <c r="AD63">
        <v>4.1994750999999997E-2</v>
      </c>
    </row>
    <row r="64" spans="27:34">
      <c r="AA64">
        <v>-9.68</v>
      </c>
      <c r="AB64">
        <v>1.1000000000000001</v>
      </c>
      <c r="AC64">
        <v>0</v>
      </c>
      <c r="AD64">
        <v>4.1994750999999997E-2</v>
      </c>
    </row>
    <row r="65" spans="27:34">
      <c r="AA65">
        <v>-9.68</v>
      </c>
      <c r="AB65">
        <v>1.1000000000000001</v>
      </c>
      <c r="AC65">
        <v>0</v>
      </c>
      <c r="AD65">
        <v>4.1994750999999997E-2</v>
      </c>
      <c r="AH65">
        <v>69740</v>
      </c>
    </row>
    <row r="66" spans="27:34">
      <c r="AA66">
        <v>-9.68</v>
      </c>
      <c r="AB66">
        <v>1.1000000000000001</v>
      </c>
      <c r="AC66">
        <v>0</v>
      </c>
      <c r="AD66">
        <v>4.1994750999999997E-2</v>
      </c>
      <c r="AH66">
        <v>74598</v>
      </c>
    </row>
    <row r="67" spans="27:34">
      <c r="AA67">
        <v>-9.68</v>
      </c>
      <c r="AB67">
        <v>1.1000000000000001</v>
      </c>
      <c r="AC67">
        <v>0</v>
      </c>
      <c r="AD67">
        <v>4.1994750999999997E-2</v>
      </c>
      <c r="AH67">
        <v>77712</v>
      </c>
    </row>
    <row r="68" spans="27:34">
      <c r="AA68">
        <v>-9.68</v>
      </c>
      <c r="AB68">
        <v>1.1000000000000001</v>
      </c>
      <c r="AC68">
        <v>0</v>
      </c>
      <c r="AD68">
        <v>4.1994750999999997E-2</v>
      </c>
      <c r="AH68">
        <v>79886</v>
      </c>
    </row>
    <row r="69" spans="27:34">
      <c r="AA69">
        <v>-9.68</v>
      </c>
      <c r="AB69">
        <v>1.1000000000000001</v>
      </c>
      <c r="AC69">
        <v>0</v>
      </c>
      <c r="AD69">
        <v>4.1994750999999997E-2</v>
      </c>
      <c r="AH69">
        <v>82180</v>
      </c>
    </row>
    <row r="70" spans="27:34">
      <c r="AA70">
        <v>-9.68</v>
      </c>
      <c r="AB70">
        <v>1.1000000000000001</v>
      </c>
      <c r="AC70">
        <v>0</v>
      </c>
      <c r="AD70">
        <v>4.1994750999999997E-2</v>
      </c>
      <c r="AH70">
        <v>83810.5</v>
      </c>
    </row>
    <row r="71" spans="27:34">
      <c r="AA71">
        <v>-9.68</v>
      </c>
      <c r="AB71">
        <v>1.1000000000000001</v>
      </c>
      <c r="AC71">
        <v>0</v>
      </c>
      <c r="AD71">
        <v>4.1994750999999997E-2</v>
      </c>
      <c r="AH71">
        <v>85168</v>
      </c>
    </row>
    <row r="72" spans="27:34">
      <c r="AA72">
        <v>-9.68</v>
      </c>
      <c r="AB72">
        <v>1.1000000000000001</v>
      </c>
      <c r="AC72">
        <v>0</v>
      </c>
      <c r="AD72">
        <v>4.1994750999999997E-2</v>
      </c>
    </row>
    <row r="73" spans="27:34">
      <c r="AA73">
        <v>-9.68</v>
      </c>
      <c r="AB73">
        <v>1.1000000000000001</v>
      </c>
      <c r="AC73">
        <v>0</v>
      </c>
      <c r="AD73">
        <v>4.1994750999999997E-2</v>
      </c>
    </row>
    <row r="74" spans="27:34">
      <c r="AA74">
        <v>3.94</v>
      </c>
      <c r="AB74">
        <v>4.0999999999999996</v>
      </c>
      <c r="AC74">
        <v>1266</v>
      </c>
      <c r="AD74">
        <v>0.46192893400000001</v>
      </c>
      <c r="AE74">
        <v>30</v>
      </c>
      <c r="AG74">
        <v>1749.9343880316001</v>
      </c>
      <c r="AH74">
        <v>12539131</v>
      </c>
    </row>
    <row r="75" spans="27:34">
      <c r="AA75">
        <v>3.94</v>
      </c>
      <c r="AB75">
        <v>4.0999999999999996</v>
      </c>
      <c r="AC75">
        <v>1266</v>
      </c>
      <c r="AD75">
        <v>0.46192893400000001</v>
      </c>
      <c r="AG75">
        <v>1929.48669859284</v>
      </c>
      <c r="AH75">
        <v>12887785</v>
      </c>
    </row>
    <row r="76" spans="27:34">
      <c r="AA76">
        <v>3.94</v>
      </c>
      <c r="AB76">
        <v>4.0999999999999996</v>
      </c>
      <c r="AC76">
        <v>1266</v>
      </c>
      <c r="AD76">
        <v>0.46192893400000001</v>
      </c>
      <c r="AG76">
        <v>2065.7779950470999</v>
      </c>
      <c r="AH76">
        <v>13218780</v>
      </c>
    </row>
    <row r="77" spans="27:34">
      <c r="AA77">
        <v>3.94</v>
      </c>
      <c r="AB77">
        <v>4.0999999999999996</v>
      </c>
      <c r="AC77">
        <v>1266</v>
      </c>
      <c r="AD77">
        <v>0.46192893400000001</v>
      </c>
      <c r="AG77">
        <v>2177.1817264969</v>
      </c>
      <c r="AH77">
        <v>13547401</v>
      </c>
    </row>
    <row r="78" spans="27:34">
      <c r="AA78">
        <v>3.94</v>
      </c>
      <c r="AB78">
        <v>4.0999999999999996</v>
      </c>
      <c r="AC78">
        <v>1266</v>
      </c>
      <c r="AD78">
        <v>0.46192893400000001</v>
      </c>
      <c r="AG78">
        <v>2223.4754788034502</v>
      </c>
      <c r="AH78">
        <v>13895820</v>
      </c>
    </row>
    <row r="79" spans="27:34">
      <c r="AA79">
        <v>3.94</v>
      </c>
      <c r="AB79">
        <v>4.0999999999999996</v>
      </c>
      <c r="AC79">
        <v>1266</v>
      </c>
      <c r="AD79">
        <v>0.46192893400000001</v>
      </c>
      <c r="AE79">
        <v>40</v>
      </c>
      <c r="AF79">
        <v>0.43269999999999997</v>
      </c>
      <c r="AG79">
        <v>2277.12683617115</v>
      </c>
      <c r="AH79">
        <v>14279518</v>
      </c>
    </row>
    <row r="80" spans="27:34">
      <c r="AA80">
        <v>3.94</v>
      </c>
      <c r="AB80">
        <v>4.0999999999999996</v>
      </c>
      <c r="AC80">
        <v>1266</v>
      </c>
      <c r="AD80">
        <v>0.46192893400000001</v>
      </c>
      <c r="AG80">
        <v>2332.5205565310698</v>
      </c>
      <c r="AH80">
        <v>14704383</v>
      </c>
    </row>
    <row r="81" spans="27:34">
      <c r="AA81">
        <v>3.94</v>
      </c>
      <c r="AB81">
        <v>4.0999999999999996</v>
      </c>
      <c r="AC81">
        <v>1266</v>
      </c>
      <c r="AD81">
        <v>0.46192893400000001</v>
      </c>
      <c r="AG81">
        <v>2631.6377706738099</v>
      </c>
      <c r="AH81">
        <v>15164026</v>
      </c>
    </row>
    <row r="82" spans="27:34">
      <c r="AA82">
        <v>3.94</v>
      </c>
      <c r="AB82">
        <v>4.0999999999999996</v>
      </c>
      <c r="AC82">
        <v>1266</v>
      </c>
      <c r="AD82">
        <v>0.46192893400000001</v>
      </c>
      <c r="AG82">
        <v>2691.6002395659102</v>
      </c>
      <c r="AH82">
        <v>15646832</v>
      </c>
    </row>
    <row r="83" spans="27:34">
      <c r="AA83">
        <v>3.94</v>
      </c>
      <c r="AB83">
        <v>4.0999999999999996</v>
      </c>
      <c r="AC83">
        <v>1266</v>
      </c>
      <c r="AD83">
        <v>0.46192893400000001</v>
      </c>
      <c r="AG83">
        <v>2984.22979997627</v>
      </c>
      <c r="AH83">
        <v>16135465</v>
      </c>
    </row>
    <row r="84" spans="27:34">
      <c r="AA84">
        <v>3.94</v>
      </c>
      <c r="AB84">
        <v>4.0999999999999996</v>
      </c>
      <c r="AC84">
        <v>1266</v>
      </c>
      <c r="AD84">
        <v>0.46192893400000001</v>
      </c>
      <c r="AE84">
        <v>50</v>
      </c>
      <c r="AG84">
        <v>3611.4926323315499</v>
      </c>
      <c r="AH84">
        <v>16617589</v>
      </c>
    </row>
    <row r="85" spans="27:34">
      <c r="AA85">
        <v>3.94</v>
      </c>
      <c r="AB85">
        <v>4.0999999999999996</v>
      </c>
      <c r="AC85">
        <v>1266</v>
      </c>
      <c r="AD85">
        <v>0.46192893400000001</v>
      </c>
      <c r="AG85">
        <v>4299.1876229910004</v>
      </c>
      <c r="AH85">
        <v>17089111</v>
      </c>
    </row>
    <row r="86" spans="27:34">
      <c r="AA86">
        <v>3.94</v>
      </c>
      <c r="AB86">
        <v>4.0999999999999996</v>
      </c>
      <c r="AC86">
        <v>1266</v>
      </c>
      <c r="AD86">
        <v>0.46192893400000001</v>
      </c>
      <c r="AG86">
        <v>5206.4274266838001</v>
      </c>
      <c r="AH86">
        <v>17554585</v>
      </c>
    </row>
    <row r="87" spans="27:34">
      <c r="AA87">
        <v>3.94</v>
      </c>
      <c r="AB87">
        <v>4.0999999999999996</v>
      </c>
      <c r="AC87">
        <v>1266</v>
      </c>
      <c r="AD87">
        <v>0.46192893400000001</v>
      </c>
      <c r="AE87">
        <v>57</v>
      </c>
      <c r="AG87">
        <v>5873.04731169979</v>
      </c>
      <c r="AH87">
        <v>18020668</v>
      </c>
    </row>
    <row r="88" spans="27:34">
      <c r="AA88">
        <v>3.94</v>
      </c>
      <c r="AB88">
        <v>4.0999999999999996</v>
      </c>
      <c r="AC88">
        <v>1266</v>
      </c>
      <c r="AD88">
        <v>0.46192893400000001</v>
      </c>
      <c r="AG88">
        <v>5812.0219949393404</v>
      </c>
      <c r="AH88">
        <v>18497632</v>
      </c>
    </row>
    <row r="89" spans="27:34">
      <c r="AA89">
        <v>3.94</v>
      </c>
      <c r="AB89">
        <v>4.0999999999999996</v>
      </c>
      <c r="AC89">
        <v>1266</v>
      </c>
      <c r="AD89">
        <v>0.46192893400000001</v>
      </c>
    </row>
    <row r="90" spans="27:34">
      <c r="AA90">
        <v>3.94</v>
      </c>
      <c r="AB90">
        <v>4.0999999999999996</v>
      </c>
      <c r="AC90">
        <v>1266</v>
      </c>
      <c r="AD90">
        <v>0.46192893400000001</v>
      </c>
    </row>
    <row r="91" spans="27:34">
      <c r="AA91">
        <v>-10.199999999999999</v>
      </c>
      <c r="AB91">
        <v>4.5</v>
      </c>
      <c r="AC91">
        <v>0</v>
      </c>
      <c r="AD91">
        <v>0.12647058799999999</v>
      </c>
      <c r="AE91">
        <v>95</v>
      </c>
      <c r="AG91">
        <v>10403.7700601916</v>
      </c>
      <c r="AH91">
        <v>68158</v>
      </c>
    </row>
    <row r="92" spans="27:34">
      <c r="AA92">
        <v>-10.199999999999999</v>
      </c>
      <c r="AB92">
        <v>4.5</v>
      </c>
      <c r="AC92">
        <v>0</v>
      </c>
      <c r="AD92">
        <v>0.12647058799999999</v>
      </c>
      <c r="AG92">
        <v>11024.5181407249</v>
      </c>
      <c r="AH92">
        <v>69968</v>
      </c>
    </row>
    <row r="93" spans="27:34">
      <c r="AA93">
        <v>-10.199999999999999</v>
      </c>
      <c r="AB93">
        <v>4.5</v>
      </c>
      <c r="AC93">
        <v>0</v>
      </c>
      <c r="AD93">
        <v>0.12647058799999999</v>
      </c>
      <c r="AG93">
        <v>11463.4592381414</v>
      </c>
      <c r="AH93">
        <v>71828</v>
      </c>
    </row>
    <row r="94" spans="27:34">
      <c r="AA94">
        <v>-10.199999999999999</v>
      </c>
      <c r="AB94">
        <v>4.5</v>
      </c>
      <c r="AC94">
        <v>0</v>
      </c>
      <c r="AD94">
        <v>0.12647058799999999</v>
      </c>
      <c r="AG94">
        <v>11800.0318429077</v>
      </c>
      <c r="AH94">
        <v>73679</v>
      </c>
    </row>
    <row r="95" spans="27:34">
      <c r="AA95">
        <v>-10.199999999999999</v>
      </c>
      <c r="AB95">
        <v>4.5</v>
      </c>
      <c r="AC95">
        <v>0</v>
      </c>
      <c r="AD95">
        <v>0.12647058799999999</v>
      </c>
      <c r="AG95">
        <v>12171.893697271</v>
      </c>
      <c r="AH95">
        <v>75462</v>
      </c>
    </row>
    <row r="96" spans="27:34">
      <c r="AA96">
        <v>-10.199999999999999</v>
      </c>
      <c r="AB96">
        <v>4.5</v>
      </c>
      <c r="AC96">
        <v>0</v>
      </c>
      <c r="AD96">
        <v>0.12647058799999999</v>
      </c>
      <c r="AE96">
        <v>95</v>
      </c>
      <c r="AG96">
        <v>12345.8171140416</v>
      </c>
      <c r="AH96">
        <v>77134</v>
      </c>
    </row>
    <row r="97" spans="27:34">
      <c r="AA97">
        <v>-10.199999999999999</v>
      </c>
      <c r="AB97">
        <v>4.5</v>
      </c>
      <c r="AC97">
        <v>0</v>
      </c>
      <c r="AD97">
        <v>0.12647058799999999</v>
      </c>
      <c r="AG97">
        <v>12654.915931055401</v>
      </c>
      <c r="AH97">
        <v>78658</v>
      </c>
    </row>
    <row r="98" spans="27:34">
      <c r="AA98">
        <v>-10.199999999999999</v>
      </c>
      <c r="AB98">
        <v>4.5</v>
      </c>
      <c r="AC98">
        <v>0</v>
      </c>
      <c r="AD98">
        <v>0.12647058799999999</v>
      </c>
      <c r="AE98">
        <v>95</v>
      </c>
      <c r="AG98">
        <v>12959.930077901699</v>
      </c>
      <c r="AH98">
        <v>80024</v>
      </c>
    </row>
    <row r="99" spans="27:34">
      <c r="AA99">
        <v>-10.199999999999999</v>
      </c>
      <c r="AB99">
        <v>4.5</v>
      </c>
      <c r="AC99">
        <v>0</v>
      </c>
      <c r="AD99">
        <v>0.12647058799999999</v>
      </c>
      <c r="AG99">
        <v>13699.0375334688</v>
      </c>
      <c r="AH99">
        <v>81260</v>
      </c>
    </row>
    <row r="100" spans="27:34">
      <c r="AA100">
        <v>-10.199999999999999</v>
      </c>
      <c r="AB100">
        <v>4.5</v>
      </c>
      <c r="AC100">
        <v>0</v>
      </c>
      <c r="AD100">
        <v>0.12647058799999999</v>
      </c>
      <c r="AE100">
        <v>95</v>
      </c>
      <c r="AG100">
        <v>14866.3710820124</v>
      </c>
      <c r="AH100">
        <v>82418</v>
      </c>
    </row>
    <row r="101" spans="27:34">
      <c r="AA101">
        <v>-10.199999999999999</v>
      </c>
      <c r="AB101">
        <v>4.5</v>
      </c>
      <c r="AC101">
        <v>0</v>
      </c>
      <c r="AD101">
        <v>0.12647058799999999</v>
      </c>
      <c r="AG101">
        <v>15791.642954037299</v>
      </c>
      <c r="AH101">
        <v>83534</v>
      </c>
    </row>
    <row r="102" spans="27:34">
      <c r="AA102">
        <v>-10.199999999999999</v>
      </c>
      <c r="AB102">
        <v>4.5</v>
      </c>
      <c r="AC102">
        <v>0</v>
      </c>
      <c r="AD102">
        <v>0.12647058799999999</v>
      </c>
      <c r="AG102">
        <v>18234.802701605498</v>
      </c>
      <c r="AH102">
        <v>84612</v>
      </c>
    </row>
    <row r="103" spans="27:34">
      <c r="AA103">
        <v>-10.199999999999999</v>
      </c>
      <c r="AB103">
        <v>4.5</v>
      </c>
      <c r="AC103">
        <v>0</v>
      </c>
      <c r="AD103">
        <v>0.12647058799999999</v>
      </c>
      <c r="AG103">
        <v>20324.142667260599</v>
      </c>
      <c r="AH103">
        <v>85641</v>
      </c>
    </row>
    <row r="104" spans="27:34">
      <c r="AA104">
        <v>-10.199999999999999</v>
      </c>
      <c r="AB104">
        <v>4.5</v>
      </c>
      <c r="AC104">
        <v>0</v>
      </c>
      <c r="AD104">
        <v>0.12647058799999999</v>
      </c>
      <c r="AG104">
        <v>20565.859537240001</v>
      </c>
      <c r="AH104">
        <v>86634</v>
      </c>
    </row>
    <row r="105" spans="27:34">
      <c r="AA105">
        <v>-10.199999999999999</v>
      </c>
      <c r="AB105">
        <v>4.5</v>
      </c>
      <c r="AC105">
        <v>0</v>
      </c>
      <c r="AD105">
        <v>0.12647058799999999</v>
      </c>
      <c r="AG105">
        <v>18778.4906315929</v>
      </c>
      <c r="AH105">
        <v>87600</v>
      </c>
    </row>
    <row r="106" spans="27:34">
      <c r="AA106">
        <v>-10.199999999999999</v>
      </c>
      <c r="AB106">
        <v>4.5</v>
      </c>
      <c r="AC106">
        <v>0</v>
      </c>
      <c r="AD106">
        <v>0.12647058799999999</v>
      </c>
    </row>
    <row r="107" spans="27:34">
      <c r="AA107">
        <v>-10.199999999999999</v>
      </c>
      <c r="AB107">
        <v>4.5</v>
      </c>
      <c r="AC107">
        <v>0</v>
      </c>
      <c r="AD107">
        <v>0.12647058799999999</v>
      </c>
    </row>
    <row r="108" spans="27:34">
      <c r="AA108">
        <v>2.69</v>
      </c>
      <c r="AB108">
        <v>3.8</v>
      </c>
      <c r="AC108">
        <v>3</v>
      </c>
      <c r="AD108">
        <v>0.13679245300000001</v>
      </c>
      <c r="AE108">
        <v>91</v>
      </c>
      <c r="AF108">
        <v>3.5110000000000001</v>
      </c>
      <c r="AG108">
        <v>7839.2404371929697</v>
      </c>
      <c r="AH108">
        <v>34771691</v>
      </c>
    </row>
    <row r="109" spans="27:34">
      <c r="AA109">
        <v>2.69</v>
      </c>
      <c r="AB109">
        <v>3.8</v>
      </c>
      <c r="AC109">
        <v>3</v>
      </c>
      <c r="AD109">
        <v>0.13679245300000001</v>
      </c>
      <c r="AG109">
        <v>8322.7715897633298</v>
      </c>
      <c r="AH109">
        <v>35222503</v>
      </c>
    </row>
    <row r="110" spans="27:34">
      <c r="AA110">
        <v>2.69</v>
      </c>
      <c r="AB110">
        <v>3.8</v>
      </c>
      <c r="AC110">
        <v>3</v>
      </c>
      <c r="AD110">
        <v>0.13679245300000001</v>
      </c>
      <c r="AG110">
        <v>9042.2530066836007</v>
      </c>
      <c r="AH110">
        <v>35670986</v>
      </c>
    </row>
    <row r="111" spans="27:34">
      <c r="AA111">
        <v>2.69</v>
      </c>
      <c r="AB111">
        <v>3.8</v>
      </c>
      <c r="AC111">
        <v>3</v>
      </c>
      <c r="AD111">
        <v>0.13679245300000001</v>
      </c>
      <c r="AG111">
        <v>9380.8428431090797</v>
      </c>
      <c r="AH111">
        <v>36111222</v>
      </c>
    </row>
    <row r="112" spans="27:34">
      <c r="AA112">
        <v>2.69</v>
      </c>
      <c r="AB112">
        <v>3.8</v>
      </c>
      <c r="AC112">
        <v>3</v>
      </c>
      <c r="AD112">
        <v>0.13679245300000001</v>
      </c>
      <c r="AG112">
        <v>9089.3094158916501</v>
      </c>
      <c r="AH112">
        <v>36535442</v>
      </c>
    </row>
    <row r="113" spans="27:34">
      <c r="AA113">
        <v>2.69</v>
      </c>
      <c r="AB113">
        <v>3.8</v>
      </c>
      <c r="AC113">
        <v>3</v>
      </c>
      <c r="AD113">
        <v>0.13679245300000001</v>
      </c>
      <c r="AE113">
        <v>91</v>
      </c>
      <c r="AF113">
        <v>4.0010000000000003</v>
      </c>
      <c r="AG113">
        <v>9112.1163081705799</v>
      </c>
      <c r="AH113">
        <v>36938728</v>
      </c>
    </row>
    <row r="114" spans="27:34">
      <c r="AA114">
        <v>2.69</v>
      </c>
      <c r="AB114">
        <v>3.8</v>
      </c>
      <c r="AC114">
        <v>3</v>
      </c>
      <c r="AD114">
        <v>0.13679245300000001</v>
      </c>
      <c r="AG114">
        <v>8817.3254578739397</v>
      </c>
      <c r="AH114">
        <v>37317983</v>
      </c>
    </row>
    <row r="115" spans="27:34">
      <c r="AA115">
        <v>2.69</v>
      </c>
      <c r="AB115">
        <v>3.8</v>
      </c>
      <c r="AC115">
        <v>3</v>
      </c>
      <c r="AD115">
        <v>0.13679245300000001</v>
      </c>
      <c r="AG115">
        <v>7908.3914231032604</v>
      </c>
      <c r="AH115">
        <v>37676467</v>
      </c>
    </row>
    <row r="116" spans="27:34">
      <c r="AA116">
        <v>2.69</v>
      </c>
      <c r="AB116">
        <v>3.8</v>
      </c>
      <c r="AC116">
        <v>3</v>
      </c>
      <c r="AD116">
        <v>0.13679245300000001</v>
      </c>
      <c r="AG116">
        <v>8712.5364738354601</v>
      </c>
      <c r="AH116">
        <v>38023463</v>
      </c>
    </row>
    <row r="117" spans="27:34">
      <c r="AA117">
        <v>2.69</v>
      </c>
      <c r="AB117">
        <v>3.8</v>
      </c>
      <c r="AC117">
        <v>3</v>
      </c>
      <c r="AD117">
        <v>0.13679245300000001</v>
      </c>
      <c r="AG117">
        <v>9679.76520453378</v>
      </c>
      <c r="AH117">
        <v>38372041</v>
      </c>
    </row>
    <row r="118" spans="27:34">
      <c r="AA118">
        <v>2.69</v>
      </c>
      <c r="AB118">
        <v>3.8</v>
      </c>
      <c r="AC118">
        <v>3</v>
      </c>
      <c r="AD118">
        <v>0.13679245300000001</v>
      </c>
      <c r="AE118">
        <v>90</v>
      </c>
      <c r="AG118">
        <v>10819.3003889965</v>
      </c>
      <c r="AH118">
        <v>38731603</v>
      </c>
    </row>
    <row r="119" spans="27:34">
      <c r="AA119">
        <v>2.69</v>
      </c>
      <c r="AB119">
        <v>3.8</v>
      </c>
      <c r="AC119">
        <v>3</v>
      </c>
      <c r="AD119">
        <v>0.13679245300000001</v>
      </c>
      <c r="AG119">
        <v>12001.1560626882</v>
      </c>
      <c r="AH119">
        <v>39105347</v>
      </c>
    </row>
    <row r="120" spans="27:34">
      <c r="AA120">
        <v>2.69</v>
      </c>
      <c r="AB120">
        <v>3.8</v>
      </c>
      <c r="AC120">
        <v>3</v>
      </c>
      <c r="AD120">
        <v>0.13679245300000001</v>
      </c>
      <c r="AG120">
        <v>13354.962166725199</v>
      </c>
      <c r="AH120">
        <v>39490465</v>
      </c>
    </row>
    <row r="121" spans="27:34">
      <c r="AA121">
        <v>2.69</v>
      </c>
      <c r="AB121">
        <v>3.8</v>
      </c>
      <c r="AC121">
        <v>3</v>
      </c>
      <c r="AD121">
        <v>0.13679245300000001</v>
      </c>
      <c r="AE121">
        <v>90</v>
      </c>
      <c r="AG121">
        <v>14425.851560097401</v>
      </c>
      <c r="AH121">
        <v>39882980</v>
      </c>
    </row>
    <row r="122" spans="27:34">
      <c r="AA122">
        <v>2.69</v>
      </c>
      <c r="AB122">
        <v>3.8</v>
      </c>
      <c r="AC122">
        <v>3</v>
      </c>
      <c r="AD122">
        <v>0.13679245300000001</v>
      </c>
      <c r="AG122">
        <v>14538.324010767201</v>
      </c>
      <c r="AH122">
        <v>40276376</v>
      </c>
    </row>
    <row r="123" spans="27:34">
      <c r="AA123">
        <v>2.69</v>
      </c>
      <c r="AB123">
        <v>3.8</v>
      </c>
      <c r="AC123">
        <v>3</v>
      </c>
      <c r="AD123">
        <v>0.13679245300000001</v>
      </c>
    </row>
    <row r="124" spans="27:34">
      <c r="AA124">
        <v>2.69</v>
      </c>
      <c r="AB124">
        <v>3.8</v>
      </c>
      <c r="AC124">
        <v>3</v>
      </c>
      <c r="AD124">
        <v>0.13679245300000001</v>
      </c>
    </row>
    <row r="125" spans="27:34">
      <c r="AA125">
        <v>-9.57</v>
      </c>
      <c r="AB125">
        <v>1.9</v>
      </c>
      <c r="AC125">
        <v>65</v>
      </c>
      <c r="AD125">
        <v>7.2124755999999998E-2</v>
      </c>
      <c r="AE125">
        <v>88</v>
      </c>
      <c r="AF125">
        <v>37.65</v>
      </c>
      <c r="AG125">
        <v>1389.9983934408599</v>
      </c>
      <c r="AH125">
        <v>3223169</v>
      </c>
    </row>
    <row r="126" spans="27:34">
      <c r="AA126">
        <v>-9.57</v>
      </c>
      <c r="AB126">
        <v>1.9</v>
      </c>
      <c r="AC126">
        <v>65</v>
      </c>
      <c r="AD126">
        <v>7.2124755999999998E-2</v>
      </c>
      <c r="AG126">
        <v>1523.7824371413201</v>
      </c>
      <c r="AH126">
        <v>3172156</v>
      </c>
    </row>
    <row r="127" spans="27:34">
      <c r="AA127">
        <v>-9.57</v>
      </c>
      <c r="AB127">
        <v>1.9</v>
      </c>
      <c r="AC127">
        <v>65</v>
      </c>
      <c r="AD127">
        <v>7.2124755999999998E-2</v>
      </c>
      <c r="AG127">
        <v>1621.4152749852001</v>
      </c>
      <c r="AH127">
        <v>3134770</v>
      </c>
    </row>
    <row r="128" spans="27:34">
      <c r="AA128">
        <v>-9.57</v>
      </c>
      <c r="AB128">
        <v>1.9</v>
      </c>
      <c r="AC128">
        <v>65</v>
      </c>
      <c r="AD128">
        <v>7.2124755999999998E-2</v>
      </c>
      <c r="AG128">
        <v>1774.0525666061401</v>
      </c>
      <c r="AH128">
        <v>3108982</v>
      </c>
    </row>
    <row r="129" spans="27:34">
      <c r="AA129">
        <v>-9.57</v>
      </c>
      <c r="AB129">
        <v>1.9</v>
      </c>
      <c r="AC129">
        <v>65</v>
      </c>
      <c r="AD129">
        <v>7.2124755999999998E-2</v>
      </c>
      <c r="AG129">
        <v>1870.61488189329</v>
      </c>
      <c r="AH129">
        <v>3090433</v>
      </c>
    </row>
    <row r="130" spans="27:34">
      <c r="AA130">
        <v>-9.57</v>
      </c>
      <c r="AB130">
        <v>1.9</v>
      </c>
      <c r="AC130">
        <v>65</v>
      </c>
      <c r="AD130">
        <v>7.2124755999999998E-2</v>
      </c>
      <c r="AE130">
        <v>89</v>
      </c>
      <c r="AF130">
        <v>22.31</v>
      </c>
      <c r="AG130">
        <v>2033.4623576613601</v>
      </c>
      <c r="AH130">
        <v>3075811</v>
      </c>
    </row>
    <row r="131" spans="27:34">
      <c r="AA131">
        <v>-9.57</v>
      </c>
      <c r="AB131">
        <v>1.9</v>
      </c>
      <c r="AC131">
        <v>65</v>
      </c>
      <c r="AD131">
        <v>7.2124755999999998E-2</v>
      </c>
      <c r="AG131">
        <v>2286.9233600977</v>
      </c>
      <c r="AH131">
        <v>3065426</v>
      </c>
    </row>
    <row r="132" spans="27:34">
      <c r="AA132">
        <v>-9.57</v>
      </c>
      <c r="AB132">
        <v>1.9</v>
      </c>
      <c r="AC132">
        <v>65</v>
      </c>
      <c r="AD132">
        <v>7.2124755999999998E-2</v>
      </c>
      <c r="AG132">
        <v>2634.69035906104</v>
      </c>
      <c r="AH132">
        <v>3060592</v>
      </c>
    </row>
    <row r="133" spans="27:34">
      <c r="AA133">
        <v>-9.57</v>
      </c>
      <c r="AB133">
        <v>1.9</v>
      </c>
      <c r="AC133">
        <v>65</v>
      </c>
      <c r="AD133">
        <v>7.2124755999999998E-2</v>
      </c>
      <c r="AG133">
        <v>3068.9144316067</v>
      </c>
      <c r="AH133">
        <v>3059964</v>
      </c>
    </row>
    <row r="134" spans="27:34">
      <c r="AA134">
        <v>-9.57</v>
      </c>
      <c r="AB134">
        <v>1.9</v>
      </c>
      <c r="AC134">
        <v>65</v>
      </c>
      <c r="AD134">
        <v>7.2124755999999998E-2</v>
      </c>
      <c r="AG134">
        <v>3485.13373666402</v>
      </c>
      <c r="AH134">
        <v>3061844</v>
      </c>
    </row>
    <row r="135" spans="27:34">
      <c r="AA135">
        <v>-9.57</v>
      </c>
      <c r="AB135">
        <v>1.9</v>
      </c>
      <c r="AC135">
        <v>65</v>
      </c>
      <c r="AD135">
        <v>7.2124755999999998E-2</v>
      </c>
      <c r="AE135">
        <v>89</v>
      </c>
      <c r="AF135">
        <v>36.39</v>
      </c>
      <c r="AG135">
        <v>4097.8154335823901</v>
      </c>
      <c r="AH135">
        <v>3064925</v>
      </c>
    </row>
    <row r="136" spans="27:34">
      <c r="AA136">
        <v>-9.57</v>
      </c>
      <c r="AB136">
        <v>1.9</v>
      </c>
      <c r="AC136">
        <v>65</v>
      </c>
      <c r="AD136">
        <v>7.2124755999999998E-2</v>
      </c>
      <c r="AG136">
        <v>4784.0618323828303</v>
      </c>
      <c r="AH136">
        <v>3068475</v>
      </c>
    </row>
    <row r="137" spans="27:34">
      <c r="AA137">
        <v>-9.57</v>
      </c>
      <c r="AB137">
        <v>1.9</v>
      </c>
      <c r="AC137">
        <v>65</v>
      </c>
      <c r="AD137">
        <v>7.2124755999999998E-2</v>
      </c>
      <c r="AG137">
        <v>5618.5937005532296</v>
      </c>
      <c r="AH137">
        <v>3072450</v>
      </c>
    </row>
    <row r="138" spans="27:34">
      <c r="AA138">
        <v>-9.57</v>
      </c>
      <c r="AB138">
        <v>1.9</v>
      </c>
      <c r="AC138">
        <v>65</v>
      </c>
      <c r="AD138">
        <v>7.2124755999999998E-2</v>
      </c>
      <c r="AE138">
        <v>90</v>
      </c>
      <c r="AG138">
        <v>6122.5996549375404</v>
      </c>
      <c r="AH138">
        <v>3077087</v>
      </c>
    </row>
    <row r="139" spans="27:34">
      <c r="AA139">
        <v>-9.57</v>
      </c>
      <c r="AB139">
        <v>1.9</v>
      </c>
      <c r="AC139">
        <v>65</v>
      </c>
      <c r="AD139">
        <v>7.2124755999999998E-2</v>
      </c>
      <c r="AG139">
        <v>5278.8765833541402</v>
      </c>
      <c r="AH139">
        <v>3082951</v>
      </c>
    </row>
    <row r="140" spans="27:34">
      <c r="AA140">
        <v>-9.57</v>
      </c>
      <c r="AB140">
        <v>1.9</v>
      </c>
      <c r="AC140">
        <v>65</v>
      </c>
      <c r="AD140">
        <v>7.2124755999999998E-2</v>
      </c>
    </row>
    <row r="141" spans="27:34">
      <c r="AA141">
        <v>-9.57</v>
      </c>
      <c r="AB141">
        <v>1.9</v>
      </c>
      <c r="AC141">
        <v>65</v>
      </c>
      <c r="AD141">
        <v>7.2124755999999998E-2</v>
      </c>
    </row>
    <row r="142" spans="27:34">
      <c r="AA142">
        <v>-4.91</v>
      </c>
      <c r="AB142">
        <v>4.9000000000000004</v>
      </c>
      <c r="AC142">
        <v>0</v>
      </c>
      <c r="AD142">
        <v>4.7619047999999997E-2</v>
      </c>
      <c r="AE142">
        <v>100</v>
      </c>
      <c r="AF142">
        <v>4.5039999999999996</v>
      </c>
      <c r="AG142">
        <v>20913.9297124679</v>
      </c>
      <c r="AH142">
        <v>18072000</v>
      </c>
    </row>
    <row r="143" spans="27:34">
      <c r="AA143">
        <v>-4.91</v>
      </c>
      <c r="AB143">
        <v>4.9000000000000004</v>
      </c>
      <c r="AC143">
        <v>0</v>
      </c>
      <c r="AD143">
        <v>4.7619047999999997E-2</v>
      </c>
      <c r="AG143">
        <v>21964.228676539002</v>
      </c>
      <c r="AH143">
        <v>18311000</v>
      </c>
    </row>
    <row r="144" spans="27:34">
      <c r="AA144">
        <v>-4.91</v>
      </c>
      <c r="AB144">
        <v>4.9000000000000004</v>
      </c>
      <c r="AC144">
        <v>0</v>
      </c>
      <c r="AD144">
        <v>4.7619047999999997E-2</v>
      </c>
      <c r="AG144">
        <v>22962.133135220702</v>
      </c>
      <c r="AH144">
        <v>18517000</v>
      </c>
    </row>
    <row r="145" spans="27:34">
      <c r="AA145">
        <v>-4.91</v>
      </c>
      <c r="AB145">
        <v>4.9000000000000004</v>
      </c>
      <c r="AC145">
        <v>0</v>
      </c>
      <c r="AD145">
        <v>4.7619047999999997E-2</v>
      </c>
      <c r="AG145">
        <v>24292.696215963799</v>
      </c>
      <c r="AH145">
        <v>18711000</v>
      </c>
    </row>
    <row r="146" spans="27:34">
      <c r="AA146">
        <v>-4.91</v>
      </c>
      <c r="AB146">
        <v>4.9000000000000004</v>
      </c>
      <c r="AC146">
        <v>0</v>
      </c>
      <c r="AD146">
        <v>4.7619047999999997E-2</v>
      </c>
      <c r="AG146">
        <v>25368.4135749651</v>
      </c>
      <c r="AH146">
        <v>18926000</v>
      </c>
    </row>
    <row r="147" spans="27:34">
      <c r="AA147">
        <v>-4.91</v>
      </c>
      <c r="AB147">
        <v>4.9000000000000004</v>
      </c>
      <c r="AC147">
        <v>0</v>
      </c>
      <c r="AD147">
        <v>4.7619047999999997E-2</v>
      </c>
      <c r="AE147">
        <v>100</v>
      </c>
      <c r="AF147">
        <v>4.5830000000000002</v>
      </c>
      <c r="AG147">
        <v>26424.954066501399</v>
      </c>
      <c r="AH147">
        <v>19153000</v>
      </c>
    </row>
    <row r="148" spans="27:34">
      <c r="AA148">
        <v>-4.91</v>
      </c>
      <c r="AB148">
        <v>4.9000000000000004</v>
      </c>
      <c r="AC148">
        <v>0</v>
      </c>
      <c r="AD148">
        <v>4.7619047999999997E-2</v>
      </c>
      <c r="AG148">
        <v>27469.860623255401</v>
      </c>
      <c r="AH148">
        <v>19413000</v>
      </c>
    </row>
    <row r="149" spans="27:34">
      <c r="AA149">
        <v>-4.91</v>
      </c>
      <c r="AB149">
        <v>4.9000000000000004</v>
      </c>
      <c r="AC149">
        <v>0</v>
      </c>
      <c r="AD149">
        <v>4.7619047999999997E-2</v>
      </c>
      <c r="AG149">
        <v>28906.753943774202</v>
      </c>
      <c r="AH149">
        <v>19651400</v>
      </c>
    </row>
    <row r="150" spans="27:34">
      <c r="AA150">
        <v>-4.91</v>
      </c>
      <c r="AB150">
        <v>4.9000000000000004</v>
      </c>
      <c r="AC150">
        <v>0</v>
      </c>
      <c r="AD150">
        <v>4.7619047999999997E-2</v>
      </c>
      <c r="AG150">
        <v>30003.237841251099</v>
      </c>
      <c r="AH150">
        <v>19895400</v>
      </c>
    </row>
    <row r="151" spans="27:34">
      <c r="AA151">
        <v>-4.91</v>
      </c>
      <c r="AB151">
        <v>4.9000000000000004</v>
      </c>
      <c r="AC151">
        <v>0</v>
      </c>
      <c r="AD151">
        <v>4.7619047999999997E-2</v>
      </c>
      <c r="AG151">
        <v>31481.331368485</v>
      </c>
      <c r="AH151">
        <v>20127400</v>
      </c>
    </row>
    <row r="152" spans="27:34">
      <c r="AA152">
        <v>-4.91</v>
      </c>
      <c r="AB152">
        <v>4.9000000000000004</v>
      </c>
      <c r="AC152">
        <v>0</v>
      </c>
      <c r="AD152">
        <v>4.7619047999999997E-2</v>
      </c>
      <c r="AE152">
        <v>100</v>
      </c>
      <c r="AG152">
        <v>32698.435387582002</v>
      </c>
      <c r="AH152">
        <v>20394800</v>
      </c>
    </row>
    <row r="153" spans="27:34">
      <c r="AA153">
        <v>-4.91</v>
      </c>
      <c r="AB153">
        <v>4.9000000000000004</v>
      </c>
      <c r="AC153">
        <v>0</v>
      </c>
      <c r="AD153">
        <v>4.7619047999999997E-2</v>
      </c>
      <c r="AG153">
        <v>34305.569693921898</v>
      </c>
      <c r="AH153">
        <v>20697900</v>
      </c>
    </row>
    <row r="154" spans="27:34">
      <c r="AA154">
        <v>-4.91</v>
      </c>
      <c r="AB154">
        <v>4.9000000000000004</v>
      </c>
      <c r="AC154">
        <v>0</v>
      </c>
      <c r="AD154">
        <v>4.7619047999999997E-2</v>
      </c>
      <c r="AG154">
        <v>36296.359795164797</v>
      </c>
      <c r="AH154">
        <v>21072500</v>
      </c>
    </row>
    <row r="155" spans="27:34">
      <c r="AA155">
        <v>-4.91</v>
      </c>
      <c r="AB155">
        <v>4.9000000000000004</v>
      </c>
      <c r="AC155">
        <v>0</v>
      </c>
      <c r="AD155">
        <v>4.7619047999999997E-2</v>
      </c>
      <c r="AE155">
        <v>100</v>
      </c>
      <c r="AG155">
        <v>37280.131698434401</v>
      </c>
      <c r="AH155">
        <v>21431800</v>
      </c>
    </row>
    <row r="156" spans="27:34">
      <c r="AA156">
        <v>-4.91</v>
      </c>
      <c r="AB156">
        <v>4.9000000000000004</v>
      </c>
      <c r="AC156">
        <v>0</v>
      </c>
      <c r="AD156">
        <v>4.7619047999999997E-2</v>
      </c>
      <c r="AG156">
        <v>39539.135363480702</v>
      </c>
      <c r="AH156">
        <v>21874900</v>
      </c>
    </row>
    <row r="157" spans="27:34">
      <c r="AA157">
        <v>-4.91</v>
      </c>
      <c r="AB157">
        <v>4.9000000000000004</v>
      </c>
      <c r="AC157">
        <v>0</v>
      </c>
      <c r="AD157">
        <v>4.7619047999999997E-2</v>
      </c>
    </row>
    <row r="158" spans="27:34">
      <c r="AA158">
        <v>-4.91</v>
      </c>
      <c r="AB158">
        <v>4.9000000000000004</v>
      </c>
      <c r="AC158">
        <v>0</v>
      </c>
      <c r="AD158">
        <v>4.7619047999999997E-2</v>
      </c>
    </row>
    <row r="159" spans="27:34">
      <c r="AA159">
        <v>4.05</v>
      </c>
      <c r="AB159">
        <v>1.7</v>
      </c>
      <c r="AC159">
        <v>0</v>
      </c>
      <c r="AD159">
        <v>3.3254156999999999E-2</v>
      </c>
      <c r="AE159">
        <v>100</v>
      </c>
      <c r="AF159">
        <v>4.6870000000000003</v>
      </c>
      <c r="AG159">
        <v>23479.5827271003</v>
      </c>
      <c r="AH159">
        <v>7953067</v>
      </c>
    </row>
    <row r="160" spans="27:34">
      <c r="AA160">
        <v>4.05</v>
      </c>
      <c r="AB160">
        <v>1.7</v>
      </c>
      <c r="AC160">
        <v>0</v>
      </c>
      <c r="AD160">
        <v>3.3254156999999999E-2</v>
      </c>
      <c r="AG160">
        <v>24296.450810428702</v>
      </c>
      <c r="AH160">
        <v>7964966</v>
      </c>
    </row>
    <row r="161" spans="27:34">
      <c r="AA161">
        <v>4.05</v>
      </c>
      <c r="AB161">
        <v>1.7</v>
      </c>
      <c r="AC161">
        <v>0</v>
      </c>
      <c r="AD161">
        <v>3.3254156999999999E-2</v>
      </c>
      <c r="AG161">
        <v>24900.143874450099</v>
      </c>
      <c r="AH161">
        <v>7971116</v>
      </c>
    </row>
    <row r="162" spans="27:34">
      <c r="AA162">
        <v>4.05</v>
      </c>
      <c r="AB162">
        <v>1.7</v>
      </c>
      <c r="AC162">
        <v>0</v>
      </c>
      <c r="AD162">
        <v>3.3254156999999999E-2</v>
      </c>
      <c r="AG162">
        <v>26056.498190063499</v>
      </c>
      <c r="AH162">
        <v>7982461</v>
      </c>
    </row>
    <row r="163" spans="27:34">
      <c r="AA163">
        <v>4.05</v>
      </c>
      <c r="AB163">
        <v>1.7</v>
      </c>
      <c r="AC163">
        <v>0</v>
      </c>
      <c r="AD163">
        <v>3.3254156999999999E-2</v>
      </c>
      <c r="AG163">
        <v>26977.278706121899</v>
      </c>
      <c r="AH163">
        <v>8002186</v>
      </c>
    </row>
    <row r="164" spans="27:34">
      <c r="AA164">
        <v>4.05</v>
      </c>
      <c r="AB164">
        <v>1.7</v>
      </c>
      <c r="AC164">
        <v>0</v>
      </c>
      <c r="AD164">
        <v>3.3254156999999999E-2</v>
      </c>
      <c r="AE164">
        <v>100</v>
      </c>
      <c r="AF164">
        <v>4.7039999999999997</v>
      </c>
      <c r="AG164">
        <v>28769.610845982799</v>
      </c>
      <c r="AH164">
        <v>8011560.5089118602</v>
      </c>
    </row>
    <row r="165" spans="27:34">
      <c r="AA165">
        <v>4.05</v>
      </c>
      <c r="AB165">
        <v>1.7</v>
      </c>
      <c r="AC165">
        <v>0</v>
      </c>
      <c r="AD165">
        <v>3.3254156999999999E-2</v>
      </c>
      <c r="AG165">
        <v>28796.609388838398</v>
      </c>
      <c r="AH165">
        <v>8043015.6376893902</v>
      </c>
    </row>
    <row r="166" spans="27:34">
      <c r="AA166">
        <v>4.05</v>
      </c>
      <c r="AB166">
        <v>1.7</v>
      </c>
      <c r="AC166">
        <v>0</v>
      </c>
      <c r="AD166">
        <v>3.3254156999999999E-2</v>
      </c>
      <c r="AG166">
        <v>30225.4174114206</v>
      </c>
      <c r="AH166">
        <v>8083639.2975286804</v>
      </c>
    </row>
    <row r="167" spans="27:34">
      <c r="AA167">
        <v>4.05</v>
      </c>
      <c r="AB167">
        <v>1.7</v>
      </c>
      <c r="AC167">
        <v>0</v>
      </c>
      <c r="AD167">
        <v>3.3254156999999999E-2</v>
      </c>
      <c r="AG167">
        <v>31082.315992235701</v>
      </c>
      <c r="AH167">
        <v>8117800</v>
      </c>
    </row>
    <row r="168" spans="27:34">
      <c r="AA168">
        <v>4.05</v>
      </c>
      <c r="AB168">
        <v>1.7</v>
      </c>
      <c r="AC168">
        <v>0</v>
      </c>
      <c r="AD168">
        <v>3.3254156999999999E-2</v>
      </c>
      <c r="AG168">
        <v>32577.098698253401</v>
      </c>
      <c r="AH168">
        <v>8174700</v>
      </c>
    </row>
    <row r="169" spans="27:34">
      <c r="AA169">
        <v>4.05</v>
      </c>
      <c r="AB169">
        <v>1.7</v>
      </c>
      <c r="AC169">
        <v>0</v>
      </c>
      <c r="AD169">
        <v>3.3254156999999999E-2</v>
      </c>
      <c r="AE169">
        <v>100</v>
      </c>
      <c r="AG169">
        <v>33376.793449618701</v>
      </c>
      <c r="AH169">
        <v>8233300</v>
      </c>
    </row>
    <row r="170" spans="27:34">
      <c r="AA170">
        <v>4.05</v>
      </c>
      <c r="AB170">
        <v>1.7</v>
      </c>
      <c r="AC170">
        <v>0</v>
      </c>
      <c r="AD170">
        <v>3.3254156999999999E-2</v>
      </c>
      <c r="AG170">
        <v>36205.569624043899</v>
      </c>
      <c r="AH170">
        <v>8282424</v>
      </c>
    </row>
    <row r="171" spans="27:34">
      <c r="AA171">
        <v>4.05</v>
      </c>
      <c r="AB171">
        <v>1.7</v>
      </c>
      <c r="AC171">
        <v>0</v>
      </c>
      <c r="AD171">
        <v>3.3254156999999999E-2</v>
      </c>
      <c r="AG171">
        <v>37802.488060778298</v>
      </c>
      <c r="AH171">
        <v>8300788</v>
      </c>
    </row>
    <row r="172" spans="27:34">
      <c r="AA172">
        <v>4.05</v>
      </c>
      <c r="AB172">
        <v>1.7</v>
      </c>
      <c r="AC172">
        <v>0</v>
      </c>
      <c r="AD172">
        <v>3.3254156999999999E-2</v>
      </c>
      <c r="AE172">
        <v>100</v>
      </c>
      <c r="AG172">
        <v>39847.146203320299</v>
      </c>
      <c r="AH172">
        <v>8336926</v>
      </c>
    </row>
    <row r="173" spans="27:34">
      <c r="AA173">
        <v>4.05</v>
      </c>
      <c r="AB173">
        <v>1.7</v>
      </c>
      <c r="AC173">
        <v>0</v>
      </c>
      <c r="AD173">
        <v>3.3254156999999999E-2</v>
      </c>
      <c r="AG173">
        <v>38817.799131564803</v>
      </c>
      <c r="AH173">
        <v>8364095</v>
      </c>
    </row>
    <row r="174" spans="27:34">
      <c r="AA174">
        <v>4.05</v>
      </c>
      <c r="AB174">
        <v>1.7</v>
      </c>
      <c r="AC174">
        <v>0</v>
      </c>
      <c r="AD174">
        <v>3.3254156999999999E-2</v>
      </c>
    </row>
    <row r="175" spans="27:34">
      <c r="AA175">
        <v>4.05</v>
      </c>
      <c r="AB175">
        <v>1.7</v>
      </c>
      <c r="AC175">
        <v>0</v>
      </c>
      <c r="AD175">
        <v>3.3254156999999999E-2</v>
      </c>
    </row>
    <row r="176" spans="27:34">
      <c r="AA176">
        <v>-8.86</v>
      </c>
      <c r="AB176">
        <v>1.4</v>
      </c>
      <c r="AC176">
        <v>269</v>
      </c>
      <c r="AD176">
        <v>9.5060578000000007E-2</v>
      </c>
      <c r="AE176">
        <v>44</v>
      </c>
      <c r="AF176">
        <v>36.07</v>
      </c>
      <c r="AG176">
        <v>1511.19678686369</v>
      </c>
      <c r="AH176">
        <v>7685000</v>
      </c>
    </row>
    <row r="177" spans="27:34">
      <c r="AA177">
        <v>-8.86</v>
      </c>
      <c r="AB177">
        <v>1.4</v>
      </c>
      <c r="AC177">
        <v>269</v>
      </c>
      <c r="AD177">
        <v>9.5060578000000007E-2</v>
      </c>
      <c r="AG177">
        <v>1544.4392548201499</v>
      </c>
      <c r="AH177">
        <v>7763000</v>
      </c>
    </row>
    <row r="178" spans="27:34">
      <c r="AA178">
        <v>-8.86</v>
      </c>
      <c r="AB178">
        <v>1.4</v>
      </c>
      <c r="AC178">
        <v>269</v>
      </c>
      <c r="AD178">
        <v>9.5060578000000007E-2</v>
      </c>
      <c r="AG178">
        <v>1647.07862744769</v>
      </c>
      <c r="AH178">
        <v>7838000</v>
      </c>
    </row>
    <row r="179" spans="27:34">
      <c r="AA179">
        <v>-8.86</v>
      </c>
      <c r="AB179">
        <v>1.4</v>
      </c>
      <c r="AC179">
        <v>269</v>
      </c>
      <c r="AD179">
        <v>9.5060578000000007E-2</v>
      </c>
      <c r="AG179">
        <v>1814.9143656731701</v>
      </c>
      <c r="AH179">
        <v>7913000</v>
      </c>
    </row>
    <row r="180" spans="27:34">
      <c r="AA180">
        <v>-8.86</v>
      </c>
      <c r="AB180">
        <v>1.4</v>
      </c>
      <c r="AC180">
        <v>269</v>
      </c>
      <c r="AD180">
        <v>9.5060578000000007E-2</v>
      </c>
      <c r="AG180">
        <v>1960.4427326300399</v>
      </c>
      <c r="AH180">
        <v>7983000</v>
      </c>
    </row>
    <row r="181" spans="27:34">
      <c r="AA181">
        <v>-8.86</v>
      </c>
      <c r="AB181">
        <v>1.4</v>
      </c>
      <c r="AC181">
        <v>269</v>
      </c>
      <c r="AD181">
        <v>9.5060578000000007E-2</v>
      </c>
      <c r="AE181">
        <v>44</v>
      </c>
      <c r="AF181">
        <v>29.04</v>
      </c>
      <c r="AG181">
        <v>2207.0574018705402</v>
      </c>
      <c r="AH181">
        <v>8048534.7859097896</v>
      </c>
    </row>
    <row r="182" spans="27:34">
      <c r="AA182">
        <v>-8.86</v>
      </c>
      <c r="AB182">
        <v>1.4</v>
      </c>
      <c r="AC182">
        <v>269</v>
      </c>
      <c r="AD182">
        <v>9.5060578000000007E-2</v>
      </c>
      <c r="AG182">
        <v>2461.39977532393</v>
      </c>
      <c r="AH182">
        <v>8111143.7787774401</v>
      </c>
    </row>
    <row r="183" spans="27:34">
      <c r="AA183">
        <v>-8.86</v>
      </c>
      <c r="AB183">
        <v>1.4</v>
      </c>
      <c r="AC183">
        <v>269</v>
      </c>
      <c r="AD183">
        <v>9.5060578000000007E-2</v>
      </c>
      <c r="AG183">
        <v>2745.9677083984002</v>
      </c>
      <c r="AH183">
        <v>8171892.8957738997</v>
      </c>
    </row>
    <row r="184" spans="27:34">
      <c r="AA184">
        <v>-8.86</v>
      </c>
      <c r="AB184">
        <v>1.4</v>
      </c>
      <c r="AC184">
        <v>269</v>
      </c>
      <c r="AD184">
        <v>9.5060578000000007E-2</v>
      </c>
      <c r="AG184">
        <v>3095.78765694197</v>
      </c>
      <c r="AH184">
        <v>8234039.3641274301</v>
      </c>
    </row>
    <row r="185" spans="27:34">
      <c r="AA185">
        <v>-8.86</v>
      </c>
      <c r="AB185">
        <v>1.4</v>
      </c>
      <c r="AC185">
        <v>269</v>
      </c>
      <c r="AD185">
        <v>9.5060578000000007E-2</v>
      </c>
      <c r="AG185">
        <v>3477.6990810715602</v>
      </c>
      <c r="AH185">
        <v>8306399.7983482601</v>
      </c>
    </row>
    <row r="186" spans="27:34">
      <c r="AA186">
        <v>-8.86</v>
      </c>
      <c r="AB186">
        <v>1.4</v>
      </c>
      <c r="AC186">
        <v>269</v>
      </c>
      <c r="AD186">
        <v>9.5060578000000007E-2</v>
      </c>
      <c r="AE186">
        <v>45</v>
      </c>
      <c r="AF186">
        <v>35.21</v>
      </c>
      <c r="AG186">
        <v>4496.1439362615802</v>
      </c>
      <c r="AH186">
        <v>8391850</v>
      </c>
    </row>
    <row r="187" spans="27:34">
      <c r="AA187">
        <v>-8.86</v>
      </c>
      <c r="AB187">
        <v>1.4</v>
      </c>
      <c r="AC187">
        <v>269</v>
      </c>
      <c r="AD187">
        <v>9.5060578000000007E-2</v>
      </c>
      <c r="AG187">
        <v>6175.7838943057304</v>
      </c>
      <c r="AH187">
        <v>8484550</v>
      </c>
    </row>
    <row r="188" spans="27:34">
      <c r="AA188">
        <v>-8.86</v>
      </c>
      <c r="AB188">
        <v>1.4</v>
      </c>
      <c r="AC188">
        <v>269</v>
      </c>
      <c r="AD188">
        <v>9.5060578000000007E-2</v>
      </c>
      <c r="AG188">
        <v>7897.3367262783404</v>
      </c>
      <c r="AH188">
        <v>8581300</v>
      </c>
    </row>
    <row r="189" spans="27:34">
      <c r="AA189">
        <v>-8.86</v>
      </c>
      <c r="AB189">
        <v>1.4</v>
      </c>
      <c r="AC189">
        <v>269</v>
      </c>
      <c r="AD189">
        <v>9.5060578000000007E-2</v>
      </c>
      <c r="AE189">
        <v>45</v>
      </c>
      <c r="AG189">
        <v>8839.7647249602396</v>
      </c>
      <c r="AH189">
        <v>8680100</v>
      </c>
    </row>
    <row r="190" spans="27:34">
      <c r="AA190">
        <v>-8.86</v>
      </c>
      <c r="AB190">
        <v>1.4</v>
      </c>
      <c r="AC190">
        <v>269</v>
      </c>
      <c r="AD190">
        <v>9.5060578000000007E-2</v>
      </c>
      <c r="AG190">
        <v>9638.1881862451701</v>
      </c>
      <c r="AH190">
        <v>8781100</v>
      </c>
    </row>
    <row r="191" spans="27:34">
      <c r="AA191">
        <v>-8.86</v>
      </c>
      <c r="AB191">
        <v>1.4</v>
      </c>
      <c r="AC191">
        <v>269</v>
      </c>
      <c r="AD191">
        <v>9.5060578000000007E-2</v>
      </c>
    </row>
    <row r="192" spans="27:34">
      <c r="AA192">
        <v>-8.86</v>
      </c>
      <c r="AB192">
        <v>1.4</v>
      </c>
      <c r="AC192">
        <v>269</v>
      </c>
      <c r="AD192">
        <v>9.5060578000000007E-2</v>
      </c>
    </row>
    <row r="193" spans="27:34">
      <c r="AA193">
        <v>-13.05</v>
      </c>
      <c r="AB193">
        <v>3.9</v>
      </c>
      <c r="AC193">
        <v>2</v>
      </c>
      <c r="AD193">
        <v>0.15116279099999999</v>
      </c>
      <c r="AE193">
        <v>100</v>
      </c>
      <c r="AH193">
        <v>281241</v>
      </c>
    </row>
    <row r="194" spans="27:34">
      <c r="AA194">
        <v>-13.05</v>
      </c>
      <c r="AB194">
        <v>3.9</v>
      </c>
      <c r="AC194">
        <v>2</v>
      </c>
      <c r="AD194">
        <v>0.15116279099999999</v>
      </c>
      <c r="AH194">
        <v>286213</v>
      </c>
    </row>
    <row r="195" spans="27:34">
      <c r="AA195">
        <v>-13.05</v>
      </c>
      <c r="AB195">
        <v>3.9</v>
      </c>
      <c r="AC195">
        <v>2</v>
      </c>
      <c r="AD195">
        <v>0.15116279099999999</v>
      </c>
      <c r="AH195">
        <v>291059</v>
      </c>
    </row>
    <row r="196" spans="27:34">
      <c r="AA196">
        <v>-13.05</v>
      </c>
      <c r="AB196">
        <v>3.9</v>
      </c>
      <c r="AC196">
        <v>2</v>
      </c>
      <c r="AD196">
        <v>0.15116279099999999</v>
      </c>
      <c r="AH196">
        <v>295771</v>
      </c>
    </row>
    <row r="197" spans="27:34">
      <c r="AA197">
        <v>-13.05</v>
      </c>
      <c r="AB197">
        <v>3.9</v>
      </c>
      <c r="AC197">
        <v>2</v>
      </c>
      <c r="AD197">
        <v>0.15116279099999999</v>
      </c>
      <c r="AH197">
        <v>300354</v>
      </c>
    </row>
    <row r="198" spans="27:34">
      <c r="AA198">
        <v>-13.05</v>
      </c>
      <c r="AB198">
        <v>3.9</v>
      </c>
      <c r="AC198">
        <v>2</v>
      </c>
      <c r="AD198">
        <v>0.15116279099999999</v>
      </c>
      <c r="AE198">
        <v>100</v>
      </c>
      <c r="AH198">
        <v>304812</v>
      </c>
    </row>
    <row r="199" spans="27:34">
      <c r="AA199">
        <v>-13.05</v>
      </c>
      <c r="AB199">
        <v>3.9</v>
      </c>
      <c r="AC199">
        <v>2</v>
      </c>
      <c r="AD199">
        <v>0.15116279099999999</v>
      </c>
      <c r="AH199">
        <v>309133</v>
      </c>
    </row>
    <row r="200" spans="27:34">
      <c r="AA200">
        <v>-13.05</v>
      </c>
      <c r="AB200">
        <v>3.9</v>
      </c>
      <c r="AC200">
        <v>2</v>
      </c>
      <c r="AD200">
        <v>0.15116279099999999</v>
      </c>
      <c r="AE200">
        <v>100</v>
      </c>
      <c r="AH200">
        <v>313319</v>
      </c>
    </row>
    <row r="201" spans="27:34">
      <c r="AA201">
        <v>-13.05</v>
      </c>
      <c r="AB201">
        <v>3.9</v>
      </c>
      <c r="AC201">
        <v>2</v>
      </c>
      <c r="AD201">
        <v>0.15116279099999999</v>
      </c>
      <c r="AH201">
        <v>317407</v>
      </c>
    </row>
    <row r="202" spans="27:34">
      <c r="AA202">
        <v>-13.05</v>
      </c>
      <c r="AB202">
        <v>3.9</v>
      </c>
      <c r="AC202">
        <v>2</v>
      </c>
      <c r="AD202">
        <v>0.15116279099999999</v>
      </c>
      <c r="AE202">
        <v>100</v>
      </c>
      <c r="AH202">
        <v>321453</v>
      </c>
    </row>
    <row r="203" spans="27:34">
      <c r="AA203">
        <v>-13.05</v>
      </c>
      <c r="AB203">
        <v>3.9</v>
      </c>
      <c r="AC203">
        <v>2</v>
      </c>
      <c r="AD203">
        <v>0.15116279099999999</v>
      </c>
      <c r="AE203">
        <v>100</v>
      </c>
      <c r="AH203">
        <v>325496</v>
      </c>
    </row>
    <row r="204" spans="27:34">
      <c r="AA204">
        <v>-13.05</v>
      </c>
      <c r="AB204">
        <v>3.9</v>
      </c>
      <c r="AC204">
        <v>2</v>
      </c>
      <c r="AD204">
        <v>0.15116279099999999</v>
      </c>
      <c r="AH204">
        <v>329551</v>
      </c>
    </row>
    <row r="205" spans="27:34">
      <c r="AA205">
        <v>-13.05</v>
      </c>
      <c r="AB205">
        <v>3.9</v>
      </c>
      <c r="AC205">
        <v>2</v>
      </c>
      <c r="AD205">
        <v>0.15116279099999999</v>
      </c>
      <c r="AH205">
        <v>333609</v>
      </c>
    </row>
    <row r="206" spans="27:34">
      <c r="AA206">
        <v>-13.05</v>
      </c>
      <c r="AB206">
        <v>3.9</v>
      </c>
      <c r="AC206">
        <v>2</v>
      </c>
      <c r="AD206">
        <v>0.15116279099999999</v>
      </c>
      <c r="AE206">
        <v>100</v>
      </c>
      <c r="AH206">
        <v>337668</v>
      </c>
    </row>
    <row r="207" spans="27:34">
      <c r="AA207">
        <v>-13.05</v>
      </c>
      <c r="AB207">
        <v>3.9</v>
      </c>
      <c r="AC207">
        <v>2</v>
      </c>
      <c r="AD207">
        <v>0.15116279099999999</v>
      </c>
      <c r="AH207">
        <v>341713</v>
      </c>
    </row>
    <row r="208" spans="27:34">
      <c r="AA208">
        <v>-13.05</v>
      </c>
      <c r="AB208">
        <v>3.9</v>
      </c>
      <c r="AC208">
        <v>2</v>
      </c>
      <c r="AD208">
        <v>0.15116279099999999</v>
      </c>
    </row>
    <row r="209" spans="27:34">
      <c r="AA209">
        <v>-13.05</v>
      </c>
      <c r="AB209">
        <v>3.9</v>
      </c>
      <c r="AC209">
        <v>2</v>
      </c>
      <c r="AD209">
        <v>0.15116279099999999</v>
      </c>
    </row>
    <row r="210" spans="27:34">
      <c r="AA210">
        <v>13.04</v>
      </c>
      <c r="AB210">
        <v>3.2</v>
      </c>
      <c r="AC210" t="e">
        <v>#N/A</v>
      </c>
      <c r="AD210">
        <v>9.1836735000000003E-2</v>
      </c>
      <c r="AG210">
        <v>17297.298007391099</v>
      </c>
      <c r="AH210">
        <v>577691</v>
      </c>
    </row>
    <row r="211" spans="27:34">
      <c r="AA211">
        <v>13.04</v>
      </c>
      <c r="AB211">
        <v>3.2</v>
      </c>
      <c r="AD211">
        <v>9.1836735000000003E-2</v>
      </c>
      <c r="AG211">
        <v>17880.5525667041</v>
      </c>
      <c r="AH211">
        <v>592941</v>
      </c>
    </row>
    <row r="212" spans="27:34">
      <c r="AA212">
        <v>13.04</v>
      </c>
      <c r="AB212">
        <v>3.2</v>
      </c>
      <c r="AD212">
        <v>9.1836735000000003E-2</v>
      </c>
      <c r="AG212">
        <v>18313.184255309501</v>
      </c>
      <c r="AH212">
        <v>607423</v>
      </c>
    </row>
    <row r="213" spans="27:34">
      <c r="AA213">
        <v>13.04</v>
      </c>
      <c r="AB213">
        <v>3.2</v>
      </c>
      <c r="AD213">
        <v>9.1836735000000003E-2</v>
      </c>
      <c r="AG213">
        <v>18968.950385587101</v>
      </c>
      <c r="AH213">
        <v>621465</v>
      </c>
    </row>
    <row r="214" spans="27:34">
      <c r="AA214">
        <v>13.04</v>
      </c>
      <c r="AB214">
        <v>3.2</v>
      </c>
      <c r="AD214">
        <v>9.1836735000000003E-2</v>
      </c>
      <c r="AG214">
        <v>19629.836632086801</v>
      </c>
      <c r="AH214">
        <v>635545</v>
      </c>
    </row>
    <row r="215" spans="27:34">
      <c r="AA215">
        <v>13.04</v>
      </c>
      <c r="AB215">
        <v>3.2</v>
      </c>
      <c r="AD215">
        <v>9.1836735000000003E-2</v>
      </c>
      <c r="AG215">
        <v>20647.4330602624</v>
      </c>
      <c r="AH215">
        <v>650012</v>
      </c>
    </row>
    <row r="216" spans="27:34">
      <c r="AA216">
        <v>13.04</v>
      </c>
      <c r="AB216">
        <v>3.2</v>
      </c>
      <c r="AD216">
        <v>9.1836735000000003E-2</v>
      </c>
      <c r="AG216">
        <v>21590.546373442601</v>
      </c>
      <c r="AH216">
        <v>664954</v>
      </c>
    </row>
    <row r="217" spans="27:34">
      <c r="AA217">
        <v>13.04</v>
      </c>
      <c r="AB217">
        <v>3.2</v>
      </c>
      <c r="AD217">
        <v>9.1836735000000003E-2</v>
      </c>
      <c r="AG217">
        <v>22575.361524778</v>
      </c>
      <c r="AH217">
        <v>680272</v>
      </c>
    </row>
    <row r="218" spans="27:34">
      <c r="AA218">
        <v>13.04</v>
      </c>
      <c r="AB218">
        <v>3.2</v>
      </c>
      <c r="AD218">
        <v>9.1836735000000003E-2</v>
      </c>
      <c r="AG218">
        <v>24167.3470702634</v>
      </c>
      <c r="AH218">
        <v>695896</v>
      </c>
    </row>
    <row r="219" spans="27:34">
      <c r="AA219">
        <v>13.04</v>
      </c>
      <c r="AB219">
        <v>3.2</v>
      </c>
      <c r="AD219">
        <v>9.1836735000000003E-2</v>
      </c>
      <c r="AG219">
        <v>25661.416487845399</v>
      </c>
      <c r="AH219">
        <v>711698</v>
      </c>
    </row>
    <row r="220" spans="27:34">
      <c r="AA220">
        <v>13.04</v>
      </c>
      <c r="AB220">
        <v>3.2</v>
      </c>
      <c r="AD220">
        <v>9.1836735000000003E-2</v>
      </c>
      <c r="AF220">
        <v>219.8</v>
      </c>
      <c r="AG220">
        <v>27961.802752443698</v>
      </c>
      <c r="AH220">
        <v>727572</v>
      </c>
    </row>
    <row r="221" spans="27:34">
      <c r="AA221">
        <v>13.04</v>
      </c>
      <c r="AB221">
        <v>3.2</v>
      </c>
      <c r="AD221">
        <v>9.1836735000000003E-2</v>
      </c>
      <c r="AG221">
        <v>30144.8024602103</v>
      </c>
      <c r="AH221">
        <v>743522</v>
      </c>
    </row>
    <row r="222" spans="27:34">
      <c r="AA222">
        <v>13.04</v>
      </c>
      <c r="AB222">
        <v>3.2</v>
      </c>
      <c r="AD222">
        <v>9.1836735000000003E-2</v>
      </c>
      <c r="AG222">
        <v>33064.779049362303</v>
      </c>
      <c r="AH222">
        <v>759560</v>
      </c>
    </row>
    <row r="223" spans="27:34">
      <c r="AA223">
        <v>13.04</v>
      </c>
      <c r="AB223">
        <v>3.2</v>
      </c>
      <c r="AD223">
        <v>9.1836735000000003E-2</v>
      </c>
      <c r="AG223">
        <v>35174.141600864001</v>
      </c>
      <c r="AH223">
        <v>775585</v>
      </c>
    </row>
    <row r="224" spans="27:34">
      <c r="AA224">
        <v>13.04</v>
      </c>
      <c r="AB224">
        <v>3.2</v>
      </c>
      <c r="AD224">
        <v>9.1836735000000003E-2</v>
      </c>
      <c r="AH224">
        <v>791473</v>
      </c>
    </row>
    <row r="225" spans="27:34">
      <c r="AA225">
        <v>13.04</v>
      </c>
      <c r="AB225">
        <v>3.2</v>
      </c>
      <c r="AD225">
        <v>9.1836735000000003E-2</v>
      </c>
    </row>
    <row r="226" spans="27:34">
      <c r="AA226">
        <v>13.04</v>
      </c>
      <c r="AB226">
        <v>3.2</v>
      </c>
      <c r="AD226">
        <v>9.1836735000000003E-2</v>
      </c>
    </row>
    <row r="227" spans="27:34">
      <c r="AA227">
        <v>7.78</v>
      </c>
      <c r="AB227">
        <v>3.6</v>
      </c>
      <c r="AC227">
        <v>334</v>
      </c>
      <c r="AD227">
        <v>0.30255057200000002</v>
      </c>
      <c r="AE227">
        <v>42</v>
      </c>
      <c r="AG227">
        <v>620.50127642968403</v>
      </c>
      <c r="AH227">
        <v>128086442</v>
      </c>
    </row>
    <row r="228" spans="27:34">
      <c r="AA228">
        <v>7.78</v>
      </c>
      <c r="AB228">
        <v>3.6</v>
      </c>
      <c r="AC228">
        <v>334</v>
      </c>
      <c r="AD228">
        <v>0.30255057200000002</v>
      </c>
      <c r="AG228">
        <v>648.80947755041802</v>
      </c>
      <c r="AH228">
        <v>130610358</v>
      </c>
    </row>
    <row r="229" spans="27:34">
      <c r="AA229">
        <v>7.78</v>
      </c>
      <c r="AB229">
        <v>3.6</v>
      </c>
      <c r="AC229">
        <v>334</v>
      </c>
      <c r="AD229">
        <v>0.30255057200000002</v>
      </c>
      <c r="AG229">
        <v>682.62794783052198</v>
      </c>
      <c r="AH229">
        <v>133147667</v>
      </c>
    </row>
    <row r="230" spans="27:34">
      <c r="AA230">
        <v>7.78</v>
      </c>
      <c r="AB230">
        <v>3.6</v>
      </c>
      <c r="AC230">
        <v>334</v>
      </c>
      <c r="AD230">
        <v>0.30255057200000002</v>
      </c>
      <c r="AG230">
        <v>712.81600157472405</v>
      </c>
      <c r="AH230">
        <v>135692110</v>
      </c>
    </row>
    <row r="231" spans="27:34">
      <c r="AA231">
        <v>7.78</v>
      </c>
      <c r="AB231">
        <v>3.6</v>
      </c>
      <c r="AC231">
        <v>334</v>
      </c>
      <c r="AD231">
        <v>0.30255057200000002</v>
      </c>
      <c r="AG231">
        <v>744.53002679929295</v>
      </c>
      <c r="AH231">
        <v>138234550</v>
      </c>
    </row>
    <row r="232" spans="27:34">
      <c r="AA232">
        <v>7.78</v>
      </c>
      <c r="AB232">
        <v>3.6</v>
      </c>
      <c r="AC232">
        <v>334</v>
      </c>
      <c r="AD232">
        <v>0.30255057200000002</v>
      </c>
      <c r="AE232">
        <v>46</v>
      </c>
      <c r="AG232">
        <v>791.35763173894202</v>
      </c>
      <c r="AH232">
        <v>140766909</v>
      </c>
    </row>
    <row r="233" spans="27:34">
      <c r="AA233">
        <v>7.78</v>
      </c>
      <c r="AB233">
        <v>3.6</v>
      </c>
      <c r="AC233">
        <v>334</v>
      </c>
      <c r="AD233">
        <v>0.30255057200000002</v>
      </c>
      <c r="AG233">
        <v>836.98772644145095</v>
      </c>
      <c r="AH233">
        <v>143288578</v>
      </c>
    </row>
    <row r="234" spans="27:34">
      <c r="AA234">
        <v>7.78</v>
      </c>
      <c r="AB234">
        <v>3.6</v>
      </c>
      <c r="AC234">
        <v>334</v>
      </c>
      <c r="AD234">
        <v>0.30255057200000002</v>
      </c>
      <c r="AG234">
        <v>872.85980975941004</v>
      </c>
      <c r="AH234">
        <v>145797298</v>
      </c>
    </row>
    <row r="235" spans="27:34">
      <c r="AA235">
        <v>7.78</v>
      </c>
      <c r="AB235">
        <v>3.6</v>
      </c>
      <c r="AC235">
        <v>334</v>
      </c>
      <c r="AD235">
        <v>0.30255057200000002</v>
      </c>
      <c r="AG235">
        <v>922.81687997567496</v>
      </c>
      <c r="AH235">
        <v>148281341</v>
      </c>
    </row>
    <row r="236" spans="27:34">
      <c r="AA236">
        <v>7.78</v>
      </c>
      <c r="AB236">
        <v>3.6</v>
      </c>
      <c r="AC236">
        <v>334</v>
      </c>
      <c r="AD236">
        <v>0.30255057200000002</v>
      </c>
      <c r="AG236">
        <v>992.12184592669405</v>
      </c>
      <c r="AH236">
        <v>150726249</v>
      </c>
    </row>
    <row r="237" spans="27:34">
      <c r="AA237">
        <v>7.78</v>
      </c>
      <c r="AB237">
        <v>3.6</v>
      </c>
      <c r="AC237">
        <v>334</v>
      </c>
      <c r="AD237">
        <v>0.30255057200000002</v>
      </c>
      <c r="AE237">
        <v>50</v>
      </c>
      <c r="AG237">
        <v>1069.26568798568</v>
      </c>
      <c r="AH237">
        <v>153122039</v>
      </c>
    </row>
    <row r="238" spans="27:34">
      <c r="AA238">
        <v>7.78</v>
      </c>
      <c r="AB238">
        <v>3.6</v>
      </c>
      <c r="AC238">
        <v>334</v>
      </c>
      <c r="AD238">
        <v>0.30255057200000002</v>
      </c>
      <c r="AG238">
        <v>1159.50719218718</v>
      </c>
      <c r="AH238">
        <v>155463091</v>
      </c>
    </row>
    <row r="239" spans="27:34">
      <c r="AA239">
        <v>7.78</v>
      </c>
      <c r="AB239">
        <v>3.6</v>
      </c>
      <c r="AC239">
        <v>334</v>
      </c>
      <c r="AD239">
        <v>0.30255057200000002</v>
      </c>
      <c r="AG239">
        <v>1257.8021531776999</v>
      </c>
      <c r="AH239">
        <v>157752512</v>
      </c>
    </row>
    <row r="240" spans="27:34">
      <c r="AA240">
        <v>7.78</v>
      </c>
      <c r="AB240">
        <v>3.6</v>
      </c>
      <c r="AC240">
        <v>334</v>
      </c>
      <c r="AD240">
        <v>0.30255057200000002</v>
      </c>
      <c r="AE240">
        <v>53</v>
      </c>
      <c r="AG240">
        <v>1345.6918014021301</v>
      </c>
      <c r="AH240">
        <v>160000128</v>
      </c>
    </row>
    <row r="241" spans="27:34">
      <c r="AA241">
        <v>7.78</v>
      </c>
      <c r="AB241">
        <v>3.6</v>
      </c>
      <c r="AC241">
        <v>334</v>
      </c>
      <c r="AD241">
        <v>0.30255057200000002</v>
      </c>
      <c r="AG241">
        <v>1416.32336540386</v>
      </c>
      <c r="AH241">
        <v>162220762</v>
      </c>
    </row>
    <row r="242" spans="27:34">
      <c r="AA242">
        <v>7.78</v>
      </c>
      <c r="AB242">
        <v>3.6</v>
      </c>
      <c r="AC242">
        <v>334</v>
      </c>
      <c r="AD242">
        <v>0.30255057200000002</v>
      </c>
      <c r="AF242">
        <v>2.923</v>
      </c>
    </row>
    <row r="243" spans="27:34">
      <c r="AA243">
        <v>7.78</v>
      </c>
      <c r="AB243">
        <v>3.6</v>
      </c>
      <c r="AC243">
        <v>334</v>
      </c>
      <c r="AD243">
        <v>0.30255057200000002</v>
      </c>
    </row>
    <row r="244" spans="27:34">
      <c r="AA244">
        <v>-14.26</v>
      </c>
      <c r="AB244">
        <v>4.5</v>
      </c>
      <c r="AC244">
        <v>0</v>
      </c>
      <c r="AD244">
        <v>0.14214876000000001</v>
      </c>
      <c r="AE244">
        <v>100</v>
      </c>
      <c r="AH244">
        <v>257990</v>
      </c>
    </row>
    <row r="245" spans="27:34">
      <c r="AA245">
        <v>-14.26</v>
      </c>
      <c r="AB245">
        <v>4.5</v>
      </c>
      <c r="AC245">
        <v>0</v>
      </c>
      <c r="AD245">
        <v>0.14214876000000001</v>
      </c>
      <c r="AH245">
        <v>256763</v>
      </c>
    </row>
    <row r="246" spans="27:34">
      <c r="AA246">
        <v>-14.26</v>
      </c>
      <c r="AB246">
        <v>4.5</v>
      </c>
      <c r="AC246">
        <v>0</v>
      </c>
      <c r="AD246">
        <v>0.14214876000000001</v>
      </c>
      <c r="AH246">
        <v>255288</v>
      </c>
    </row>
    <row r="247" spans="27:34">
      <c r="AA247">
        <v>-14.26</v>
      </c>
      <c r="AB247">
        <v>4.5</v>
      </c>
      <c r="AC247">
        <v>0</v>
      </c>
      <c r="AD247">
        <v>0.14214876000000001</v>
      </c>
      <c r="AH247">
        <v>253775</v>
      </c>
    </row>
    <row r="248" spans="27:34">
      <c r="AA248">
        <v>-14.26</v>
      </c>
      <c r="AB248">
        <v>4.5</v>
      </c>
      <c r="AC248">
        <v>0</v>
      </c>
      <c r="AD248">
        <v>0.14214876000000001</v>
      </c>
      <c r="AH248">
        <v>252499</v>
      </c>
    </row>
    <row r="249" spans="27:34">
      <c r="AA249">
        <v>-14.26</v>
      </c>
      <c r="AB249">
        <v>4.5</v>
      </c>
      <c r="AC249">
        <v>0</v>
      </c>
      <c r="AD249">
        <v>0.14214876000000001</v>
      </c>
      <c r="AE249">
        <v>100</v>
      </c>
      <c r="AF249">
        <v>76.12</v>
      </c>
      <c r="AH249">
        <v>251656</v>
      </c>
    </row>
    <row r="250" spans="27:34">
      <c r="AA250">
        <v>-14.26</v>
      </c>
      <c r="AB250">
        <v>4.5</v>
      </c>
      <c r="AC250">
        <v>0</v>
      </c>
      <c r="AD250">
        <v>0.14214876000000001</v>
      </c>
      <c r="AH250">
        <v>251331</v>
      </c>
    </row>
    <row r="251" spans="27:34">
      <c r="AA251">
        <v>-14.26</v>
      </c>
      <c r="AB251">
        <v>4.5</v>
      </c>
      <c r="AC251">
        <v>0</v>
      </c>
      <c r="AD251">
        <v>0.14214876000000001</v>
      </c>
      <c r="AE251">
        <v>99</v>
      </c>
      <c r="AH251">
        <v>251470</v>
      </c>
    </row>
    <row r="252" spans="27:34">
      <c r="AA252">
        <v>-14.26</v>
      </c>
      <c r="AB252">
        <v>4.5</v>
      </c>
      <c r="AC252">
        <v>0</v>
      </c>
      <c r="AD252">
        <v>0.14214876000000001</v>
      </c>
      <c r="AH252">
        <v>251955</v>
      </c>
    </row>
    <row r="253" spans="27:34">
      <c r="AA253">
        <v>-14.26</v>
      </c>
      <c r="AB253">
        <v>4.5</v>
      </c>
      <c r="AC253">
        <v>0</v>
      </c>
      <c r="AD253">
        <v>0.14214876000000001</v>
      </c>
      <c r="AE253">
        <v>100</v>
      </c>
      <c r="AH253">
        <v>252596</v>
      </c>
    </row>
    <row r="254" spans="27:34">
      <c r="AA254">
        <v>-14.26</v>
      </c>
      <c r="AB254">
        <v>4.5</v>
      </c>
      <c r="AC254">
        <v>0</v>
      </c>
      <c r="AD254">
        <v>0.14214876000000001</v>
      </c>
      <c r="AE254">
        <v>100</v>
      </c>
      <c r="AG254">
        <v>19188.6399220885</v>
      </c>
      <c r="AH254">
        <v>253251</v>
      </c>
    </row>
    <row r="255" spans="27:34">
      <c r="AA255">
        <v>-14.26</v>
      </c>
      <c r="AB255">
        <v>4.5</v>
      </c>
      <c r="AC255">
        <v>0</v>
      </c>
      <c r="AD255">
        <v>0.14214876000000001</v>
      </c>
      <c r="AH255">
        <v>253890</v>
      </c>
    </row>
    <row r="256" spans="27:34">
      <c r="AA256">
        <v>-14.26</v>
      </c>
      <c r="AB256">
        <v>4.5</v>
      </c>
      <c r="AC256">
        <v>0</v>
      </c>
      <c r="AD256">
        <v>0.14214876000000001</v>
      </c>
      <c r="AH256">
        <v>254543</v>
      </c>
    </row>
    <row r="257" spans="27:34">
      <c r="AA257">
        <v>-14.26</v>
      </c>
      <c r="AB257">
        <v>4.5</v>
      </c>
      <c r="AC257">
        <v>0</v>
      </c>
      <c r="AD257">
        <v>0.14214876000000001</v>
      </c>
      <c r="AE257">
        <v>100</v>
      </c>
      <c r="AH257">
        <v>255203</v>
      </c>
    </row>
    <row r="258" spans="27:34">
      <c r="AA258">
        <v>-14.26</v>
      </c>
      <c r="AB258">
        <v>4.5</v>
      </c>
      <c r="AC258">
        <v>0</v>
      </c>
      <c r="AD258">
        <v>0.14214876000000001</v>
      </c>
      <c r="AH258">
        <v>255872</v>
      </c>
    </row>
    <row r="259" spans="27:34">
      <c r="AA259">
        <v>-14.26</v>
      </c>
      <c r="AB259">
        <v>4.5</v>
      </c>
      <c r="AC259">
        <v>0</v>
      </c>
      <c r="AD259">
        <v>0.14214876000000001</v>
      </c>
    </row>
    <row r="260" spans="27:34">
      <c r="AA260">
        <v>-14.26</v>
      </c>
      <c r="AB260">
        <v>4.5</v>
      </c>
      <c r="AC260">
        <v>0</v>
      </c>
      <c r="AD260">
        <v>0.14214876000000001</v>
      </c>
    </row>
    <row r="261" spans="27:34">
      <c r="AA261">
        <v>6.73</v>
      </c>
      <c r="AB261">
        <v>2.8</v>
      </c>
      <c r="AC261">
        <v>1</v>
      </c>
      <c r="AD261">
        <v>3.3185841000000001E-2</v>
      </c>
      <c r="AE261">
        <v>93</v>
      </c>
      <c r="AG261">
        <v>3474.4910661345798</v>
      </c>
      <c r="AH261">
        <v>10194000</v>
      </c>
    </row>
    <row r="262" spans="27:34">
      <c r="AA262">
        <v>6.73</v>
      </c>
      <c r="AB262">
        <v>2.8</v>
      </c>
      <c r="AC262">
        <v>1</v>
      </c>
      <c r="AD262">
        <v>3.3185841000000001E-2</v>
      </c>
      <c r="AG262">
        <v>3652.2568664023802</v>
      </c>
      <c r="AH262">
        <v>10160000</v>
      </c>
    </row>
    <row r="263" spans="27:34">
      <c r="AA263">
        <v>6.73</v>
      </c>
      <c r="AB263">
        <v>2.8</v>
      </c>
      <c r="AC263">
        <v>1</v>
      </c>
      <c r="AD263">
        <v>3.3185841000000001E-2</v>
      </c>
      <c r="AG263">
        <v>4158.3588892607004</v>
      </c>
      <c r="AH263">
        <v>10117000</v>
      </c>
    </row>
    <row r="264" spans="27:34">
      <c r="AA264">
        <v>6.73</v>
      </c>
      <c r="AB264">
        <v>2.8</v>
      </c>
      <c r="AC264">
        <v>1</v>
      </c>
      <c r="AD264">
        <v>3.3185841000000001E-2</v>
      </c>
      <c r="AG264">
        <v>4580.3818789091902</v>
      </c>
      <c r="AH264">
        <v>10069000</v>
      </c>
    </row>
    <row r="265" spans="27:34">
      <c r="AA265">
        <v>6.73</v>
      </c>
      <c r="AB265">
        <v>2.8</v>
      </c>
      <c r="AC265">
        <v>1</v>
      </c>
      <c r="AD265">
        <v>3.3185841000000001E-2</v>
      </c>
      <c r="AG265">
        <v>4821.8077982512996</v>
      </c>
      <c r="AH265">
        <v>10035000</v>
      </c>
    </row>
    <row r="266" spans="27:34">
      <c r="AA266">
        <v>6.73</v>
      </c>
      <c r="AB266">
        <v>2.8</v>
      </c>
      <c r="AC266">
        <v>1</v>
      </c>
      <c r="AD266">
        <v>3.3185841000000001E-2</v>
      </c>
      <c r="AE266">
        <v>93</v>
      </c>
      <c r="AF266">
        <v>7.4790000000000001</v>
      </c>
      <c r="AG266">
        <v>5227.47484810678</v>
      </c>
      <c r="AH266">
        <v>10005000</v>
      </c>
    </row>
    <row r="267" spans="27:34">
      <c r="AA267">
        <v>6.73</v>
      </c>
      <c r="AB267">
        <v>2.8</v>
      </c>
      <c r="AC267">
        <v>1</v>
      </c>
      <c r="AD267">
        <v>3.3185841000000001E-2</v>
      </c>
      <c r="AG267">
        <v>5618.1108856847804</v>
      </c>
      <c r="AH267">
        <v>9970260.0552986804</v>
      </c>
    </row>
    <row r="268" spans="27:34">
      <c r="AA268">
        <v>6.73</v>
      </c>
      <c r="AB268">
        <v>2.8</v>
      </c>
      <c r="AC268">
        <v>1</v>
      </c>
      <c r="AD268">
        <v>3.3185841000000001E-2</v>
      </c>
      <c r="AG268">
        <v>6024.7839328905402</v>
      </c>
      <c r="AH268">
        <v>9925000</v>
      </c>
    </row>
    <row r="269" spans="27:34">
      <c r="AA269">
        <v>6.73</v>
      </c>
      <c r="AB269">
        <v>2.8</v>
      </c>
      <c r="AC269">
        <v>1</v>
      </c>
      <c r="AD269">
        <v>3.3185841000000001E-2</v>
      </c>
      <c r="AG269">
        <v>6622.1732579521404</v>
      </c>
      <c r="AH269">
        <v>9873968.3511747196</v>
      </c>
    </row>
    <row r="270" spans="27:34">
      <c r="AA270">
        <v>6.73</v>
      </c>
      <c r="AB270">
        <v>2.8</v>
      </c>
      <c r="AC270">
        <v>1</v>
      </c>
      <c r="AD270">
        <v>3.3185841000000001E-2</v>
      </c>
      <c r="AG270">
        <v>7627.8363640714197</v>
      </c>
      <c r="AH270">
        <v>9824469.4513240792</v>
      </c>
    </row>
    <row r="271" spans="27:34">
      <c r="AA271">
        <v>6.73</v>
      </c>
      <c r="AB271">
        <v>2.8</v>
      </c>
      <c r="AC271">
        <v>1</v>
      </c>
      <c r="AD271">
        <v>3.3185841000000001E-2</v>
      </c>
      <c r="AE271">
        <v>93</v>
      </c>
      <c r="AG271">
        <v>8540.81592056509</v>
      </c>
      <c r="AH271">
        <v>9775591.4938548002</v>
      </c>
    </row>
    <row r="272" spans="27:34">
      <c r="AA272">
        <v>6.73</v>
      </c>
      <c r="AB272">
        <v>2.8</v>
      </c>
      <c r="AC272">
        <v>1</v>
      </c>
      <c r="AD272">
        <v>3.3185841000000001E-2</v>
      </c>
      <c r="AG272">
        <v>9787.8840529831996</v>
      </c>
      <c r="AH272">
        <v>9732500</v>
      </c>
    </row>
    <row r="273" spans="27:34">
      <c r="AA273">
        <v>6.73</v>
      </c>
      <c r="AB273">
        <v>2.8</v>
      </c>
      <c r="AC273">
        <v>1</v>
      </c>
      <c r="AD273">
        <v>3.3185841000000001E-2</v>
      </c>
      <c r="AG273">
        <v>11155.031429889401</v>
      </c>
      <c r="AH273">
        <v>9702000</v>
      </c>
    </row>
    <row r="274" spans="27:34">
      <c r="AA274">
        <v>6.73</v>
      </c>
      <c r="AB274">
        <v>2.8</v>
      </c>
      <c r="AC274">
        <v>1</v>
      </c>
      <c r="AD274">
        <v>3.3185841000000001E-2</v>
      </c>
      <c r="AE274">
        <v>93</v>
      </c>
      <c r="AG274">
        <v>12714.234585239499</v>
      </c>
      <c r="AH274">
        <v>9680850</v>
      </c>
    </row>
    <row r="275" spans="27:34">
      <c r="AA275">
        <v>6.73</v>
      </c>
      <c r="AB275">
        <v>2.8</v>
      </c>
      <c r="AC275">
        <v>1</v>
      </c>
      <c r="AD275">
        <v>3.3185841000000001E-2</v>
      </c>
      <c r="AG275">
        <v>13039.7194809872</v>
      </c>
      <c r="AH275">
        <v>9663000</v>
      </c>
    </row>
    <row r="276" spans="27:34">
      <c r="AA276">
        <v>6.73</v>
      </c>
      <c r="AB276">
        <v>2.8</v>
      </c>
      <c r="AC276">
        <v>1</v>
      </c>
      <c r="AD276">
        <v>3.3185841000000001E-2</v>
      </c>
    </row>
    <row r="277" spans="27:34">
      <c r="AA277">
        <v>6.73</v>
      </c>
      <c r="AB277">
        <v>2.8</v>
      </c>
      <c r="AC277">
        <v>1</v>
      </c>
      <c r="AD277">
        <v>3.3185841000000001E-2</v>
      </c>
    </row>
    <row r="278" spans="27:34">
      <c r="AA278">
        <v>-3.99</v>
      </c>
      <c r="AB278">
        <v>1.8</v>
      </c>
      <c r="AC278">
        <v>0</v>
      </c>
      <c r="AD278">
        <v>7.4660633000000004E-2</v>
      </c>
      <c r="AE278">
        <v>100</v>
      </c>
      <c r="AF278">
        <v>41.62</v>
      </c>
      <c r="AG278">
        <v>22442.167355276099</v>
      </c>
      <c r="AH278">
        <v>10136800</v>
      </c>
    </row>
    <row r="279" spans="27:34">
      <c r="AA279">
        <v>-3.99</v>
      </c>
      <c r="AB279">
        <v>1.8</v>
      </c>
      <c r="AC279">
        <v>0</v>
      </c>
      <c r="AD279">
        <v>7.4660633000000004E-2</v>
      </c>
      <c r="AG279">
        <v>22790.204977430301</v>
      </c>
      <c r="AH279">
        <v>10157000</v>
      </c>
    </row>
    <row r="280" spans="27:34">
      <c r="AA280">
        <v>-3.99</v>
      </c>
      <c r="AB280">
        <v>1.8</v>
      </c>
      <c r="AC280">
        <v>0</v>
      </c>
      <c r="AD280">
        <v>7.4660633000000004E-2</v>
      </c>
      <c r="AG280">
        <v>23822.243388180199</v>
      </c>
      <c r="AH280">
        <v>10181000</v>
      </c>
    </row>
    <row r="281" spans="27:34">
      <c r="AA281">
        <v>-3.99</v>
      </c>
      <c r="AB281">
        <v>1.8</v>
      </c>
      <c r="AC281">
        <v>0</v>
      </c>
      <c r="AD281">
        <v>7.4660633000000004E-2</v>
      </c>
      <c r="AG281">
        <v>24347.6674987162</v>
      </c>
      <c r="AH281">
        <v>10203000</v>
      </c>
    </row>
    <row r="282" spans="27:34">
      <c r="AA282">
        <v>-3.99</v>
      </c>
      <c r="AB282">
        <v>1.8</v>
      </c>
      <c r="AC282">
        <v>0</v>
      </c>
      <c r="AD282">
        <v>7.4660633000000004E-2</v>
      </c>
      <c r="AG282">
        <v>25323.4032595524</v>
      </c>
      <c r="AH282">
        <v>10226000</v>
      </c>
    </row>
    <row r="283" spans="27:34">
      <c r="AA283">
        <v>-3.99</v>
      </c>
      <c r="AB283">
        <v>1.8</v>
      </c>
      <c r="AC283">
        <v>0</v>
      </c>
      <c r="AD283">
        <v>7.4660633000000004E-2</v>
      </c>
      <c r="AE283">
        <v>100</v>
      </c>
      <c r="AF283">
        <v>41.19</v>
      </c>
      <c r="AG283">
        <v>27608.278211233999</v>
      </c>
      <c r="AH283">
        <v>10252000</v>
      </c>
    </row>
    <row r="284" spans="27:34">
      <c r="AA284">
        <v>-3.99</v>
      </c>
      <c r="AB284">
        <v>1.8</v>
      </c>
      <c r="AC284">
        <v>0</v>
      </c>
      <c r="AD284">
        <v>7.4660633000000004E-2</v>
      </c>
      <c r="AG284">
        <v>28472.180007925301</v>
      </c>
      <c r="AH284">
        <v>10287000</v>
      </c>
    </row>
    <row r="285" spans="27:34">
      <c r="AA285">
        <v>-3.99</v>
      </c>
      <c r="AB285">
        <v>1.8</v>
      </c>
      <c r="AC285">
        <v>0</v>
      </c>
      <c r="AD285">
        <v>7.4660633000000004E-2</v>
      </c>
      <c r="AG285">
        <v>30005.043049161701</v>
      </c>
      <c r="AH285">
        <v>10333000</v>
      </c>
    </row>
    <row r="286" spans="27:34">
      <c r="AA286">
        <v>-3.99</v>
      </c>
      <c r="AB286">
        <v>1.8</v>
      </c>
      <c r="AC286">
        <v>0</v>
      </c>
      <c r="AD286">
        <v>7.4660633000000004E-2</v>
      </c>
      <c r="AG286">
        <v>30232.747116001501</v>
      </c>
      <c r="AH286">
        <v>10376080.142327299</v>
      </c>
    </row>
    <row r="287" spans="27:34">
      <c r="AA287">
        <v>-3.99</v>
      </c>
      <c r="AB287">
        <v>1.8</v>
      </c>
      <c r="AC287">
        <v>0</v>
      </c>
      <c r="AD287">
        <v>7.4660633000000004E-2</v>
      </c>
      <c r="AG287">
        <v>31139.3138683133</v>
      </c>
      <c r="AH287">
        <v>10421120.609608199</v>
      </c>
    </row>
    <row r="288" spans="27:34">
      <c r="AA288">
        <v>-3.99</v>
      </c>
      <c r="AB288">
        <v>1.8</v>
      </c>
      <c r="AC288">
        <v>0</v>
      </c>
      <c r="AD288">
        <v>7.4660633000000004E-2</v>
      </c>
      <c r="AE288">
        <v>100</v>
      </c>
      <c r="AF288">
        <v>33.97</v>
      </c>
      <c r="AG288">
        <v>32126.661076088902</v>
      </c>
      <c r="AH288">
        <v>10478650</v>
      </c>
    </row>
    <row r="289" spans="27:34">
      <c r="AA289">
        <v>-3.99</v>
      </c>
      <c r="AB289">
        <v>1.8</v>
      </c>
      <c r="AC289">
        <v>0</v>
      </c>
      <c r="AD289">
        <v>7.4660633000000004E-2</v>
      </c>
      <c r="AG289">
        <v>34143.415897940897</v>
      </c>
      <c r="AH289">
        <v>10547958</v>
      </c>
    </row>
    <row r="290" spans="27:34">
      <c r="AA290">
        <v>-3.99</v>
      </c>
      <c r="AB290">
        <v>1.8</v>
      </c>
      <c r="AC290">
        <v>0</v>
      </c>
      <c r="AD290">
        <v>7.4660633000000004E-2</v>
      </c>
      <c r="AG290">
        <v>35584.902647143703</v>
      </c>
      <c r="AH290">
        <v>10625700</v>
      </c>
    </row>
    <row r="291" spans="27:34">
      <c r="AA291">
        <v>-3.99</v>
      </c>
      <c r="AB291">
        <v>1.8</v>
      </c>
      <c r="AC291">
        <v>0</v>
      </c>
      <c r="AD291">
        <v>7.4660633000000004E-2</v>
      </c>
      <c r="AE291">
        <v>100</v>
      </c>
      <c r="AG291">
        <v>36877.479873954297</v>
      </c>
      <c r="AH291">
        <v>10708433</v>
      </c>
    </row>
    <row r="292" spans="27:34">
      <c r="AA292">
        <v>-3.99</v>
      </c>
      <c r="AB292">
        <v>1.8</v>
      </c>
      <c r="AC292">
        <v>0</v>
      </c>
      <c r="AD292">
        <v>7.4660633000000004E-2</v>
      </c>
      <c r="AG292">
        <v>36312.651516005302</v>
      </c>
      <c r="AH292">
        <v>10788760</v>
      </c>
    </row>
    <row r="293" spans="27:34">
      <c r="AA293">
        <v>-3.99</v>
      </c>
      <c r="AB293">
        <v>1.8</v>
      </c>
      <c r="AC293">
        <v>0</v>
      </c>
      <c r="AD293">
        <v>7.4660633000000004E-2</v>
      </c>
    </row>
    <row r="294" spans="27:34">
      <c r="AA294">
        <v>-3.99</v>
      </c>
      <c r="AB294">
        <v>1.8</v>
      </c>
      <c r="AC294">
        <v>0</v>
      </c>
      <c r="AD294">
        <v>7.4660633000000004E-2</v>
      </c>
    </row>
    <row r="295" spans="27:34">
      <c r="AA295">
        <v>-19.63</v>
      </c>
      <c r="AB295">
        <v>4.2</v>
      </c>
      <c r="AC295">
        <v>26</v>
      </c>
      <c r="AD295">
        <v>0.16807909600000001</v>
      </c>
      <c r="AE295">
        <v>78</v>
      </c>
      <c r="AF295">
        <v>0.61990000000000001</v>
      </c>
      <c r="AG295">
        <v>3946.0492492181502</v>
      </c>
      <c r="AH295">
        <v>216500</v>
      </c>
    </row>
    <row r="296" spans="27:34">
      <c r="AA296">
        <v>-19.63</v>
      </c>
      <c r="AB296">
        <v>4.2</v>
      </c>
      <c r="AC296">
        <v>26</v>
      </c>
      <c r="AD296">
        <v>0.16807909600000001</v>
      </c>
      <c r="AG296">
        <v>3977.9055083826602</v>
      </c>
      <c r="AH296">
        <v>222000</v>
      </c>
    </row>
    <row r="297" spans="27:34">
      <c r="AA297">
        <v>-19.63</v>
      </c>
      <c r="AB297">
        <v>4.2</v>
      </c>
      <c r="AC297">
        <v>26</v>
      </c>
      <c r="AD297">
        <v>0.16807909600000001</v>
      </c>
      <c r="AG297">
        <v>4046.1596047471198</v>
      </c>
      <c r="AH297">
        <v>230000</v>
      </c>
    </row>
    <row r="298" spans="27:34">
      <c r="AA298">
        <v>-19.63</v>
      </c>
      <c r="AB298">
        <v>4.2</v>
      </c>
      <c r="AC298">
        <v>26</v>
      </c>
      <c r="AD298">
        <v>0.16807909600000001</v>
      </c>
      <c r="AG298">
        <v>4093.7162097649202</v>
      </c>
      <c r="AH298">
        <v>238500</v>
      </c>
    </row>
    <row r="299" spans="27:34">
      <c r="AA299">
        <v>-19.63</v>
      </c>
      <c r="AB299">
        <v>4.2</v>
      </c>
      <c r="AC299">
        <v>26</v>
      </c>
      <c r="AD299">
        <v>0.16807909600000001</v>
      </c>
      <c r="AG299">
        <v>4432.9250198483596</v>
      </c>
      <c r="AH299">
        <v>243100</v>
      </c>
    </row>
    <row r="300" spans="27:34">
      <c r="AA300">
        <v>-19.63</v>
      </c>
      <c r="AB300">
        <v>4.2</v>
      </c>
      <c r="AC300">
        <v>26</v>
      </c>
      <c r="AD300">
        <v>0.16807909600000001</v>
      </c>
      <c r="AE300">
        <v>82</v>
      </c>
      <c r="AF300">
        <v>0.80859999999999999</v>
      </c>
      <c r="AG300">
        <v>4982.0310381704003</v>
      </c>
      <c r="AH300">
        <v>249800</v>
      </c>
    </row>
    <row r="301" spans="27:34">
      <c r="AA301">
        <v>-19.63</v>
      </c>
      <c r="AB301">
        <v>4.2</v>
      </c>
      <c r="AC301">
        <v>26</v>
      </c>
      <c r="AD301">
        <v>0.16807909600000001</v>
      </c>
      <c r="AG301">
        <v>5191.6728043985204</v>
      </c>
      <c r="AH301">
        <v>257300</v>
      </c>
    </row>
    <row r="302" spans="27:34">
      <c r="AA302">
        <v>-19.63</v>
      </c>
      <c r="AB302">
        <v>4.2</v>
      </c>
      <c r="AC302">
        <v>26</v>
      </c>
      <c r="AD302">
        <v>0.16807909600000001</v>
      </c>
      <c r="AE302">
        <v>47</v>
      </c>
      <c r="AG302">
        <v>5379.84581867004</v>
      </c>
      <c r="AH302">
        <v>265200</v>
      </c>
    </row>
    <row r="303" spans="27:34">
      <c r="AA303">
        <v>-19.63</v>
      </c>
      <c r="AB303">
        <v>4.2</v>
      </c>
      <c r="AC303">
        <v>26</v>
      </c>
      <c r="AD303">
        <v>0.16807909600000001</v>
      </c>
      <c r="AG303">
        <v>5821.4984978638204</v>
      </c>
      <c r="AH303">
        <v>273700</v>
      </c>
    </row>
    <row r="304" spans="27:34">
      <c r="AA304">
        <v>-19.63</v>
      </c>
      <c r="AB304">
        <v>4.2</v>
      </c>
      <c r="AC304">
        <v>26</v>
      </c>
      <c r="AD304">
        <v>0.16807909600000001</v>
      </c>
      <c r="AE304">
        <v>47</v>
      </c>
      <c r="AG304">
        <v>6065.8759274017702</v>
      </c>
      <c r="AH304">
        <v>282600</v>
      </c>
    </row>
    <row r="305" spans="27:34">
      <c r="AA305">
        <v>-19.63</v>
      </c>
      <c r="AB305">
        <v>4.2</v>
      </c>
      <c r="AC305">
        <v>26</v>
      </c>
      <c r="AD305">
        <v>0.16807909600000001</v>
      </c>
      <c r="AE305">
        <v>87</v>
      </c>
      <c r="AG305">
        <v>6254.34207252532</v>
      </c>
      <c r="AH305">
        <v>291800</v>
      </c>
    </row>
    <row r="306" spans="27:34">
      <c r="AA306">
        <v>-19.63</v>
      </c>
      <c r="AB306">
        <v>4.2</v>
      </c>
      <c r="AC306">
        <v>26</v>
      </c>
      <c r="AD306">
        <v>0.16807909600000001</v>
      </c>
      <c r="AG306">
        <v>6543.2938700867398</v>
      </c>
      <c r="AH306">
        <v>301386</v>
      </c>
    </row>
    <row r="307" spans="27:34">
      <c r="AA307">
        <v>-19.63</v>
      </c>
      <c r="AB307">
        <v>4.2</v>
      </c>
      <c r="AC307">
        <v>26</v>
      </c>
      <c r="AD307">
        <v>0.16807909600000001</v>
      </c>
      <c r="AG307">
        <v>6627.5804683845599</v>
      </c>
      <c r="AH307">
        <v>311500</v>
      </c>
    </row>
    <row r="308" spans="27:34">
      <c r="AA308">
        <v>-19.63</v>
      </c>
      <c r="AB308">
        <v>4.2</v>
      </c>
      <c r="AC308">
        <v>26</v>
      </c>
      <c r="AD308">
        <v>0.16807909600000001</v>
      </c>
      <c r="AE308">
        <v>90</v>
      </c>
      <c r="AG308">
        <v>6796.42435721324</v>
      </c>
      <c r="AH308">
        <v>322100</v>
      </c>
    </row>
    <row r="309" spans="27:34">
      <c r="AA309">
        <v>-19.63</v>
      </c>
      <c r="AB309">
        <v>4.2</v>
      </c>
      <c r="AC309">
        <v>26</v>
      </c>
      <c r="AD309">
        <v>0.16807909600000001</v>
      </c>
      <c r="AG309">
        <v>6627.9435451002801</v>
      </c>
      <c r="AH309">
        <v>333200</v>
      </c>
    </row>
    <row r="310" spans="27:34">
      <c r="AA310">
        <v>-19.63</v>
      </c>
      <c r="AB310">
        <v>4.2</v>
      </c>
      <c r="AC310">
        <v>26</v>
      </c>
      <c r="AD310">
        <v>0.16807909600000001</v>
      </c>
    </row>
    <row r="311" spans="27:34">
      <c r="AA311">
        <v>-19.63</v>
      </c>
      <c r="AB311">
        <v>4.2</v>
      </c>
      <c r="AC311">
        <v>26</v>
      </c>
      <c r="AD311">
        <v>0.16807909600000001</v>
      </c>
    </row>
    <row r="312" spans="27:34">
      <c r="AA312">
        <v>21.69</v>
      </c>
      <c r="AB312">
        <v>4.9000000000000004</v>
      </c>
      <c r="AC312">
        <v>518</v>
      </c>
      <c r="AD312">
        <v>0.40954274400000001</v>
      </c>
      <c r="AE312">
        <v>8</v>
      </c>
      <c r="AG312">
        <v>934.85897013032604</v>
      </c>
      <c r="AH312">
        <v>5723300</v>
      </c>
    </row>
    <row r="313" spans="27:34">
      <c r="AA313">
        <v>21.69</v>
      </c>
      <c r="AB313">
        <v>4.9000000000000004</v>
      </c>
      <c r="AC313">
        <v>518</v>
      </c>
      <c r="AD313">
        <v>0.40954274400000001</v>
      </c>
      <c r="AG313">
        <v>974.42608691374699</v>
      </c>
      <c r="AH313">
        <v>5906325</v>
      </c>
    </row>
    <row r="314" spans="27:34">
      <c r="AA314">
        <v>21.69</v>
      </c>
      <c r="AB314">
        <v>4.9000000000000004</v>
      </c>
      <c r="AC314">
        <v>518</v>
      </c>
      <c r="AD314">
        <v>0.40954274400000001</v>
      </c>
      <c r="AG314">
        <v>1021.68331174242</v>
      </c>
      <c r="AH314">
        <v>6085490</v>
      </c>
    </row>
    <row r="315" spans="27:34">
      <c r="AA315">
        <v>21.69</v>
      </c>
      <c r="AB315">
        <v>4.9000000000000004</v>
      </c>
      <c r="AC315">
        <v>518</v>
      </c>
      <c r="AD315">
        <v>0.40954274400000001</v>
      </c>
      <c r="AG315">
        <v>1049.0372668599</v>
      </c>
      <c r="AH315">
        <v>6266017</v>
      </c>
    </row>
    <row r="316" spans="27:34">
      <c r="AA316">
        <v>21.69</v>
      </c>
      <c r="AB316">
        <v>4.9000000000000004</v>
      </c>
      <c r="AC316">
        <v>518</v>
      </c>
      <c r="AD316">
        <v>0.40954274400000001</v>
      </c>
      <c r="AG316">
        <v>1081.6996399612101</v>
      </c>
      <c r="AH316">
        <v>6455497</v>
      </c>
    </row>
    <row r="317" spans="27:34">
      <c r="AA317">
        <v>21.69</v>
      </c>
      <c r="AB317">
        <v>4.9000000000000004</v>
      </c>
      <c r="AC317">
        <v>518</v>
      </c>
      <c r="AD317">
        <v>0.40954274400000001</v>
      </c>
      <c r="AE317">
        <v>9</v>
      </c>
      <c r="AF317">
        <v>0.49259999999999998</v>
      </c>
      <c r="AG317">
        <v>1133.4113045064501</v>
      </c>
      <c r="AH317">
        <v>6659331</v>
      </c>
    </row>
    <row r="318" spans="27:34">
      <c r="AA318">
        <v>21.69</v>
      </c>
      <c r="AB318">
        <v>4.9000000000000004</v>
      </c>
      <c r="AC318">
        <v>518</v>
      </c>
      <c r="AD318">
        <v>0.40954274400000001</v>
      </c>
      <c r="AG318">
        <v>1178.1751131301201</v>
      </c>
      <c r="AH318">
        <v>6879133</v>
      </c>
    </row>
    <row r="319" spans="27:34">
      <c r="AA319">
        <v>21.69</v>
      </c>
      <c r="AB319">
        <v>4.9000000000000004</v>
      </c>
      <c r="AC319">
        <v>518</v>
      </c>
      <c r="AD319">
        <v>0.40954274400000001</v>
      </c>
      <c r="AG319">
        <v>1210.06934557262</v>
      </c>
      <c r="AH319">
        <v>7112926</v>
      </c>
    </row>
    <row r="320" spans="27:34">
      <c r="AA320">
        <v>21.69</v>
      </c>
      <c r="AB320">
        <v>4.9000000000000004</v>
      </c>
      <c r="AC320">
        <v>518</v>
      </c>
      <c r="AD320">
        <v>0.40954274400000001</v>
      </c>
      <c r="AG320">
        <v>1241.5584119733701</v>
      </c>
      <c r="AH320">
        <v>7358142</v>
      </c>
    </row>
    <row r="321" spans="27:34">
      <c r="AA321">
        <v>21.69</v>
      </c>
      <c r="AB321">
        <v>4.9000000000000004</v>
      </c>
      <c r="AC321">
        <v>518</v>
      </c>
      <c r="AD321">
        <v>0.40954274400000001</v>
      </c>
      <c r="AG321">
        <v>1272.64362102209</v>
      </c>
      <c r="AH321">
        <v>7610730</v>
      </c>
    </row>
    <row r="322" spans="27:34">
      <c r="AA322">
        <v>21.69</v>
      </c>
      <c r="AB322">
        <v>4.9000000000000004</v>
      </c>
      <c r="AC322">
        <v>518</v>
      </c>
      <c r="AD322">
        <v>0.40954274400000001</v>
      </c>
      <c r="AE322">
        <v>11</v>
      </c>
      <c r="AG322">
        <v>1309.03362212671</v>
      </c>
      <c r="AH322">
        <v>7867626</v>
      </c>
    </row>
    <row r="323" spans="27:34">
      <c r="AA323">
        <v>21.69</v>
      </c>
      <c r="AB323">
        <v>4.9000000000000004</v>
      </c>
      <c r="AC323">
        <v>518</v>
      </c>
      <c r="AD323">
        <v>0.40954274400000001</v>
      </c>
      <c r="AG323">
        <v>1361.91849942094</v>
      </c>
      <c r="AH323">
        <v>8128208</v>
      </c>
    </row>
    <row r="324" spans="27:34">
      <c r="AA324">
        <v>21.69</v>
      </c>
      <c r="AB324">
        <v>4.9000000000000004</v>
      </c>
      <c r="AC324">
        <v>518</v>
      </c>
      <c r="AD324">
        <v>0.40954274400000001</v>
      </c>
      <c r="AG324">
        <v>1426.87580148295</v>
      </c>
      <c r="AH324">
        <v>8393132</v>
      </c>
    </row>
    <row r="325" spans="27:34">
      <c r="AA325">
        <v>21.69</v>
      </c>
      <c r="AB325">
        <v>4.9000000000000004</v>
      </c>
      <c r="AC325">
        <v>518</v>
      </c>
      <c r="AD325">
        <v>0.40954274400000001</v>
      </c>
      <c r="AE325">
        <v>12</v>
      </c>
      <c r="AG325">
        <v>1484.84931992369</v>
      </c>
      <c r="AH325">
        <v>8662086</v>
      </c>
    </row>
    <row r="326" spans="27:34">
      <c r="AA326">
        <v>21.69</v>
      </c>
      <c r="AB326">
        <v>4.9000000000000004</v>
      </c>
      <c r="AC326">
        <v>518</v>
      </c>
      <c r="AD326">
        <v>0.40954274400000001</v>
      </c>
      <c r="AG326">
        <v>1507.8812097896</v>
      </c>
      <c r="AH326">
        <v>8934985</v>
      </c>
    </row>
    <row r="327" spans="27:34">
      <c r="AA327">
        <v>21.69</v>
      </c>
      <c r="AB327">
        <v>4.9000000000000004</v>
      </c>
      <c r="AC327">
        <v>518</v>
      </c>
      <c r="AD327">
        <v>0.40954274400000001</v>
      </c>
    </row>
    <row r="328" spans="27:34">
      <c r="AA328">
        <v>21.69</v>
      </c>
      <c r="AB328">
        <v>4.9000000000000004</v>
      </c>
      <c r="AC328">
        <v>518</v>
      </c>
      <c r="AD328">
        <v>0.40954274400000001</v>
      </c>
    </row>
    <row r="329" spans="27:34">
      <c r="AA329">
        <v>6.52</v>
      </c>
      <c r="AB329">
        <v>0.7</v>
      </c>
      <c r="AC329">
        <v>324</v>
      </c>
      <c r="AD329">
        <v>0.29941617999999998</v>
      </c>
      <c r="AG329">
        <v>1821.1374558463799</v>
      </c>
      <c r="AH329">
        <v>508695</v>
      </c>
    </row>
    <row r="330" spans="27:34">
      <c r="AA330">
        <v>6.52</v>
      </c>
      <c r="AB330">
        <v>0.7</v>
      </c>
      <c r="AC330">
        <v>324</v>
      </c>
      <c r="AD330">
        <v>0.29941617999999998</v>
      </c>
      <c r="AG330">
        <v>1963.73103202472</v>
      </c>
      <c r="AH330">
        <v>510557</v>
      </c>
    </row>
    <row r="331" spans="27:34">
      <c r="AA331">
        <v>6.52</v>
      </c>
      <c r="AB331">
        <v>0.7</v>
      </c>
      <c r="AC331">
        <v>324</v>
      </c>
      <c r="AD331">
        <v>0.29941617999999998</v>
      </c>
      <c r="AG331">
        <v>2075.6162416454799</v>
      </c>
      <c r="AH331">
        <v>518131</v>
      </c>
    </row>
    <row r="332" spans="27:34">
      <c r="AA332">
        <v>6.52</v>
      </c>
      <c r="AB332">
        <v>0.7</v>
      </c>
      <c r="AC332">
        <v>324</v>
      </c>
      <c r="AD332">
        <v>0.29941617999999998</v>
      </c>
      <c r="AG332">
        <v>2165.1025943240802</v>
      </c>
      <c r="AH332">
        <v>530313</v>
      </c>
    </row>
    <row r="333" spans="27:34">
      <c r="AA333">
        <v>6.52</v>
      </c>
      <c r="AB333">
        <v>0.7</v>
      </c>
      <c r="AC333">
        <v>324</v>
      </c>
      <c r="AD333">
        <v>0.29941617999999998</v>
      </c>
      <c r="AG333">
        <v>2283.6900739315402</v>
      </c>
      <c r="AH333">
        <v>545171</v>
      </c>
    </row>
    <row r="334" spans="27:34">
      <c r="AA334">
        <v>6.52</v>
      </c>
      <c r="AB334">
        <v>0.7</v>
      </c>
      <c r="AC334">
        <v>324</v>
      </c>
      <c r="AD334">
        <v>0.29941617999999998</v>
      </c>
      <c r="AE334">
        <v>62</v>
      </c>
      <c r="AG334">
        <v>2436.9433583804098</v>
      </c>
      <c r="AH334">
        <v>561175</v>
      </c>
    </row>
    <row r="335" spans="27:34">
      <c r="AA335">
        <v>6.52</v>
      </c>
      <c r="AB335">
        <v>0.7</v>
      </c>
      <c r="AC335">
        <v>324</v>
      </c>
      <c r="AD335">
        <v>0.29941617999999998</v>
      </c>
      <c r="AG335">
        <v>2587.4422680620601</v>
      </c>
      <c r="AH335">
        <v>578283</v>
      </c>
    </row>
    <row r="336" spans="27:34">
      <c r="AA336">
        <v>6.52</v>
      </c>
      <c r="AB336">
        <v>0.7</v>
      </c>
      <c r="AC336">
        <v>324</v>
      </c>
      <c r="AD336">
        <v>0.29941617999999998</v>
      </c>
      <c r="AG336">
        <v>2775.3976321963701</v>
      </c>
      <c r="AH336">
        <v>596729</v>
      </c>
    </row>
    <row r="337" spans="27:34">
      <c r="AA337">
        <v>6.52</v>
      </c>
      <c r="AB337">
        <v>0.7</v>
      </c>
      <c r="AC337">
        <v>324</v>
      </c>
      <c r="AD337">
        <v>0.29941617999999998</v>
      </c>
      <c r="AG337">
        <v>2984.3970153217201</v>
      </c>
      <c r="AH337">
        <v>615533</v>
      </c>
    </row>
    <row r="338" spans="27:34">
      <c r="AA338">
        <v>6.52</v>
      </c>
      <c r="AB338">
        <v>0.7</v>
      </c>
      <c r="AC338">
        <v>324</v>
      </c>
      <c r="AD338">
        <v>0.29941617999999998</v>
      </c>
      <c r="AG338">
        <v>3219.42134674007</v>
      </c>
      <c r="AH338">
        <v>633516</v>
      </c>
    </row>
    <row r="339" spans="27:34">
      <c r="AA339">
        <v>6.52</v>
      </c>
      <c r="AB339">
        <v>0.7</v>
      </c>
      <c r="AC339">
        <v>324</v>
      </c>
      <c r="AD339">
        <v>0.29941617999999998</v>
      </c>
      <c r="AE339">
        <v>64</v>
      </c>
      <c r="AG339">
        <v>3470.6668632393698</v>
      </c>
      <c r="AH339">
        <v>649839</v>
      </c>
    </row>
    <row r="340" spans="27:34">
      <c r="AA340">
        <v>6.52</v>
      </c>
      <c r="AB340">
        <v>0.7</v>
      </c>
      <c r="AC340">
        <v>324</v>
      </c>
      <c r="AD340">
        <v>0.29941617999999998</v>
      </c>
      <c r="AG340">
        <v>3730.1337833503499</v>
      </c>
      <c r="AH340">
        <v>663964</v>
      </c>
    </row>
    <row r="341" spans="27:34">
      <c r="AA341">
        <v>6.52</v>
      </c>
      <c r="AB341">
        <v>0.7</v>
      </c>
      <c r="AC341">
        <v>324</v>
      </c>
      <c r="AD341">
        <v>0.29941617999999998</v>
      </c>
      <c r="AG341">
        <v>4535.5120586674602</v>
      </c>
      <c r="AH341">
        <v>676040</v>
      </c>
    </row>
    <row r="342" spans="27:34">
      <c r="AA342">
        <v>6.52</v>
      </c>
      <c r="AB342">
        <v>0.7</v>
      </c>
      <c r="AC342">
        <v>324</v>
      </c>
      <c r="AD342">
        <v>0.29941617999999998</v>
      </c>
      <c r="AE342">
        <v>65</v>
      </c>
      <c r="AG342">
        <v>4788.4039214502</v>
      </c>
      <c r="AH342">
        <v>686789</v>
      </c>
    </row>
    <row r="343" spans="27:34">
      <c r="AA343">
        <v>6.52</v>
      </c>
      <c r="AB343">
        <v>0.7</v>
      </c>
      <c r="AC343">
        <v>324</v>
      </c>
      <c r="AD343">
        <v>0.29941617999999998</v>
      </c>
      <c r="AG343">
        <v>5112.9379605856102</v>
      </c>
      <c r="AH343">
        <v>697335</v>
      </c>
    </row>
    <row r="344" spans="27:34">
      <c r="AA344">
        <v>6.52</v>
      </c>
      <c r="AB344">
        <v>0.7</v>
      </c>
      <c r="AC344">
        <v>324</v>
      </c>
      <c r="AD344">
        <v>0.29941617999999998</v>
      </c>
      <c r="AF344">
        <v>0.43330000000000002</v>
      </c>
    </row>
    <row r="345" spans="27:34">
      <c r="AA345">
        <v>6.52</v>
      </c>
      <c r="AB345">
        <v>0.7</v>
      </c>
      <c r="AC345">
        <v>324</v>
      </c>
      <c r="AD345">
        <v>0.29941617999999998</v>
      </c>
    </row>
    <row r="346" spans="27:34">
      <c r="AA346">
        <v>-6.25</v>
      </c>
      <c r="AB346">
        <v>4.0999999999999996</v>
      </c>
      <c r="AC346">
        <v>245</v>
      </c>
      <c r="AD346">
        <v>0.26326743000000002</v>
      </c>
      <c r="AE346">
        <v>21</v>
      </c>
      <c r="AG346">
        <v>2600.5697534821802</v>
      </c>
      <c r="AH346">
        <v>7484182</v>
      </c>
    </row>
    <row r="347" spans="27:34">
      <c r="AA347">
        <v>-6.25</v>
      </c>
      <c r="AB347">
        <v>4.0999999999999996</v>
      </c>
      <c r="AC347">
        <v>245</v>
      </c>
      <c r="AD347">
        <v>0.26326743000000002</v>
      </c>
      <c r="AG347">
        <v>2705.9714713532298</v>
      </c>
      <c r="AH347">
        <v>7649893</v>
      </c>
    </row>
    <row r="348" spans="27:34">
      <c r="AA348">
        <v>-6.25</v>
      </c>
      <c r="AB348">
        <v>4.0999999999999996</v>
      </c>
      <c r="AC348">
        <v>245</v>
      </c>
      <c r="AD348">
        <v>0.26326743000000002</v>
      </c>
      <c r="AG348">
        <v>2829.2142745443098</v>
      </c>
      <c r="AH348">
        <v>7815308</v>
      </c>
    </row>
    <row r="349" spans="27:34">
      <c r="AA349">
        <v>-6.25</v>
      </c>
      <c r="AB349">
        <v>4.0999999999999996</v>
      </c>
      <c r="AC349">
        <v>245</v>
      </c>
      <c r="AD349">
        <v>0.26326743000000002</v>
      </c>
      <c r="AG349">
        <v>2942.7114994589201</v>
      </c>
      <c r="AH349">
        <v>7981049</v>
      </c>
    </row>
    <row r="350" spans="27:34">
      <c r="AA350">
        <v>-6.25</v>
      </c>
      <c r="AB350">
        <v>4.0999999999999996</v>
      </c>
      <c r="AC350">
        <v>245</v>
      </c>
      <c r="AD350">
        <v>0.26326743000000002</v>
      </c>
      <c r="AG350">
        <v>2937.0823293384201</v>
      </c>
      <c r="AH350">
        <v>8148173</v>
      </c>
    </row>
    <row r="351" spans="27:34">
      <c r="AA351">
        <v>-6.25</v>
      </c>
      <c r="AB351">
        <v>4.0999999999999996</v>
      </c>
      <c r="AC351">
        <v>245</v>
      </c>
      <c r="AD351">
        <v>0.26326743000000002</v>
      </c>
      <c r="AE351">
        <v>23</v>
      </c>
      <c r="AF351">
        <v>0.3256</v>
      </c>
      <c r="AG351">
        <v>3013.30680683221</v>
      </c>
      <c r="AH351">
        <v>8317371</v>
      </c>
    </row>
    <row r="352" spans="27:34">
      <c r="AA352">
        <v>-6.25</v>
      </c>
      <c r="AB352">
        <v>4.0999999999999996</v>
      </c>
      <c r="AC352">
        <v>245</v>
      </c>
      <c r="AD352">
        <v>0.26326743000000002</v>
      </c>
      <c r="AG352">
        <v>3070.2617238678299</v>
      </c>
      <c r="AH352">
        <v>8488714</v>
      </c>
    </row>
    <row r="353" spans="27:34">
      <c r="AA353">
        <v>-6.25</v>
      </c>
      <c r="AB353">
        <v>4.0999999999999996</v>
      </c>
      <c r="AC353">
        <v>245</v>
      </c>
      <c r="AD353">
        <v>0.26326743000000002</v>
      </c>
      <c r="AG353">
        <v>3133.8530810653201</v>
      </c>
      <c r="AH353">
        <v>8661639</v>
      </c>
    </row>
    <row r="354" spans="27:34">
      <c r="AA354">
        <v>-6.25</v>
      </c>
      <c r="AB354">
        <v>4.0999999999999996</v>
      </c>
      <c r="AC354">
        <v>245</v>
      </c>
      <c r="AD354">
        <v>0.26326743000000002</v>
      </c>
      <c r="AG354">
        <v>3223.51763149518</v>
      </c>
      <c r="AH354">
        <v>8835442</v>
      </c>
    </row>
    <row r="355" spans="27:34">
      <c r="AA355">
        <v>-6.25</v>
      </c>
      <c r="AB355">
        <v>4.0999999999999996</v>
      </c>
      <c r="AC355">
        <v>245</v>
      </c>
      <c r="AD355">
        <v>0.26326743000000002</v>
      </c>
      <c r="AG355">
        <v>3386.6434087883999</v>
      </c>
      <c r="AH355">
        <v>9009162</v>
      </c>
    </row>
    <row r="356" spans="27:34">
      <c r="AA356">
        <v>-6.25</v>
      </c>
      <c r="AB356">
        <v>4.0999999999999996</v>
      </c>
      <c r="AC356">
        <v>245</v>
      </c>
      <c r="AD356">
        <v>0.26326743000000002</v>
      </c>
      <c r="AE356">
        <v>24</v>
      </c>
      <c r="AG356">
        <v>3757.4932514652901</v>
      </c>
      <c r="AH356">
        <v>9182062</v>
      </c>
    </row>
    <row r="357" spans="27:34">
      <c r="AA357">
        <v>-6.25</v>
      </c>
      <c r="AB357">
        <v>4.0999999999999996</v>
      </c>
      <c r="AC357">
        <v>245</v>
      </c>
      <c r="AD357">
        <v>0.26326743000000002</v>
      </c>
      <c r="AG357">
        <v>3982.2968274682798</v>
      </c>
      <c r="AH357">
        <v>9353826</v>
      </c>
    </row>
    <row r="358" spans="27:34">
      <c r="AA358">
        <v>-6.25</v>
      </c>
      <c r="AB358">
        <v>4.0999999999999996</v>
      </c>
      <c r="AC358">
        <v>245</v>
      </c>
      <c r="AD358">
        <v>0.26326743000000002</v>
      </c>
      <c r="AG358">
        <v>4044.9537341036698</v>
      </c>
      <c r="AH358">
        <v>9524495</v>
      </c>
    </row>
    <row r="359" spans="27:34">
      <c r="AA359">
        <v>-6.25</v>
      </c>
      <c r="AB359">
        <v>4.0999999999999996</v>
      </c>
      <c r="AC359">
        <v>245</v>
      </c>
      <c r="AD359">
        <v>0.26326743000000002</v>
      </c>
      <c r="AE359">
        <v>25</v>
      </c>
      <c r="AG359">
        <v>4310.7538510302102</v>
      </c>
      <c r="AH359">
        <v>9694113</v>
      </c>
    </row>
    <row r="360" spans="27:34">
      <c r="AA360">
        <v>-6.25</v>
      </c>
      <c r="AB360">
        <v>4.0999999999999996</v>
      </c>
      <c r="AC360">
        <v>245</v>
      </c>
      <c r="AD360">
        <v>0.26326743000000002</v>
      </c>
      <c r="AG360">
        <v>4419.3363344503296</v>
      </c>
      <c r="AH360">
        <v>9862860</v>
      </c>
    </row>
    <row r="361" spans="27:34">
      <c r="AA361">
        <v>-6.25</v>
      </c>
      <c r="AB361">
        <v>4.0999999999999996</v>
      </c>
      <c r="AC361">
        <v>245</v>
      </c>
      <c r="AD361">
        <v>0.26326743000000002</v>
      </c>
    </row>
    <row r="362" spans="27:34">
      <c r="AA362">
        <v>-6.25</v>
      </c>
      <c r="AB362">
        <v>4.0999999999999996</v>
      </c>
      <c r="AC362">
        <v>245</v>
      </c>
      <c r="AD362">
        <v>0.26326743000000002</v>
      </c>
    </row>
    <row r="363" spans="27:34">
      <c r="AB363">
        <v>1.6</v>
      </c>
      <c r="AC363">
        <v>2</v>
      </c>
      <c r="AD363">
        <v>3.4645668999999997E-2</v>
      </c>
      <c r="AE363">
        <v>95</v>
      </c>
      <c r="AG363">
        <v>1333.5465052109801</v>
      </c>
      <c r="AH363">
        <v>3332123</v>
      </c>
    </row>
    <row r="364" spans="27:34">
      <c r="AB364">
        <v>1.6</v>
      </c>
      <c r="AC364">
        <v>2</v>
      </c>
      <c r="AD364">
        <v>3.4645668999999997E-2</v>
      </c>
      <c r="AG364">
        <v>2588.5784710585099</v>
      </c>
      <c r="AH364">
        <v>3305662</v>
      </c>
    </row>
    <row r="365" spans="27:34">
      <c r="AB365">
        <v>1.6</v>
      </c>
      <c r="AC365">
        <v>2</v>
      </c>
      <c r="AD365">
        <v>3.4645668999999997E-2</v>
      </c>
      <c r="AG365">
        <v>3477.46025201046</v>
      </c>
      <c r="AH365">
        <v>3365555</v>
      </c>
    </row>
    <row r="366" spans="27:34">
      <c r="AB366">
        <v>1.6</v>
      </c>
      <c r="AC366">
        <v>2</v>
      </c>
      <c r="AD366">
        <v>3.4645668999999997E-2</v>
      </c>
      <c r="AG366">
        <v>3931.5246753554602</v>
      </c>
      <c r="AH366">
        <v>3480172</v>
      </c>
    </row>
    <row r="367" spans="27:34">
      <c r="AB367">
        <v>1.6</v>
      </c>
      <c r="AC367">
        <v>2</v>
      </c>
      <c r="AD367">
        <v>3.4645668999999997E-2</v>
      </c>
      <c r="AG367">
        <v>4225.0470658152099</v>
      </c>
      <c r="AH367">
        <v>3601301</v>
      </c>
    </row>
    <row r="368" spans="27:34">
      <c r="AB368">
        <v>1.6</v>
      </c>
      <c r="AC368">
        <v>2</v>
      </c>
      <c r="AD368">
        <v>3.4645668999999997E-2</v>
      </c>
      <c r="AE368">
        <v>95</v>
      </c>
      <c r="AG368">
        <v>4440.0950071203697</v>
      </c>
      <c r="AH368">
        <v>3693578</v>
      </c>
    </row>
    <row r="369" spans="27:34">
      <c r="AB369">
        <v>1.6</v>
      </c>
      <c r="AC369">
        <v>2</v>
      </c>
      <c r="AD369">
        <v>3.4645668999999997E-2</v>
      </c>
      <c r="AG369">
        <v>4671.27620233575</v>
      </c>
      <c r="AH369">
        <v>3748354</v>
      </c>
    </row>
    <row r="370" spans="27:34">
      <c r="AB370">
        <v>1.6</v>
      </c>
      <c r="AC370">
        <v>2</v>
      </c>
      <c r="AD370">
        <v>3.4645668999999997E-2</v>
      </c>
      <c r="AG370">
        <v>4962.0957999976099</v>
      </c>
      <c r="AH370">
        <v>3776053</v>
      </c>
    </row>
    <row r="371" spans="27:34">
      <c r="AB371">
        <v>1.6</v>
      </c>
      <c r="AC371">
        <v>2</v>
      </c>
      <c r="AD371">
        <v>3.4645668999999997E-2</v>
      </c>
      <c r="AG371">
        <v>5262.0352931620901</v>
      </c>
      <c r="AH371">
        <v>3783067</v>
      </c>
    </row>
    <row r="372" spans="27:34">
      <c r="AB372">
        <v>1.6</v>
      </c>
      <c r="AC372">
        <v>2</v>
      </c>
      <c r="AD372">
        <v>3.4645668999999997E-2</v>
      </c>
      <c r="AG372">
        <v>5743.2521448188199</v>
      </c>
      <c r="AH372">
        <v>3781764</v>
      </c>
    </row>
    <row r="373" spans="27:34">
      <c r="AB373">
        <v>1.6</v>
      </c>
      <c r="AC373">
        <v>2</v>
      </c>
      <c r="AD373">
        <v>3.4645668999999997E-2</v>
      </c>
      <c r="AE373">
        <v>95</v>
      </c>
      <c r="AF373">
        <v>0.89070000000000005</v>
      </c>
      <c r="AG373">
        <v>6232.3160762171701</v>
      </c>
      <c r="AH373">
        <v>3781274</v>
      </c>
    </row>
    <row r="374" spans="27:34">
      <c r="AB374">
        <v>1.6</v>
      </c>
      <c r="AC374">
        <v>2</v>
      </c>
      <c r="AD374">
        <v>3.4645668999999997E-2</v>
      </c>
      <c r="AG374">
        <v>7085.1461257773999</v>
      </c>
      <c r="AH374">
        <v>3781488</v>
      </c>
    </row>
    <row r="375" spans="27:34">
      <c r="AB375">
        <v>1.6</v>
      </c>
      <c r="AC375">
        <v>2</v>
      </c>
      <c r="AD375">
        <v>3.4645668999999997E-2</v>
      </c>
      <c r="AG375">
        <v>7885.4436723881499</v>
      </c>
      <c r="AH375">
        <v>3778410</v>
      </c>
    </row>
    <row r="376" spans="27:34">
      <c r="AB376">
        <v>1.6</v>
      </c>
      <c r="AC376">
        <v>2</v>
      </c>
      <c r="AD376">
        <v>3.4645668999999997E-2</v>
      </c>
      <c r="AE376">
        <v>95</v>
      </c>
      <c r="AG376">
        <v>8714.7468974044405</v>
      </c>
      <c r="AH376">
        <v>3773100</v>
      </c>
    </row>
    <row r="377" spans="27:34">
      <c r="AB377">
        <v>1.6</v>
      </c>
      <c r="AC377">
        <v>2</v>
      </c>
      <c r="AD377">
        <v>3.4645668999999997E-2</v>
      </c>
      <c r="AG377">
        <v>8578.28701146405</v>
      </c>
      <c r="AH377">
        <v>3766579</v>
      </c>
    </row>
    <row r="378" spans="27:34">
      <c r="AB378">
        <v>1.6</v>
      </c>
      <c r="AC378">
        <v>2</v>
      </c>
      <c r="AD378">
        <v>3.4645668999999997E-2</v>
      </c>
      <c r="AF378">
        <v>0.90400000000000003</v>
      </c>
    </row>
    <row r="379" spans="27:34">
      <c r="AB379">
        <v>1.6</v>
      </c>
      <c r="AC379">
        <v>2</v>
      </c>
      <c r="AD379">
        <v>3.4645668999999997E-2</v>
      </c>
    </row>
    <row r="380" spans="27:34">
      <c r="AA380">
        <v>-21.26</v>
      </c>
      <c r="AB380">
        <v>4.7</v>
      </c>
      <c r="AC380">
        <v>341</v>
      </c>
      <c r="AD380">
        <v>0.50895316800000001</v>
      </c>
      <c r="AE380">
        <v>44</v>
      </c>
      <c r="AF380">
        <v>1.1719999999999999</v>
      </c>
      <c r="AG380">
        <v>6166.5758787810501</v>
      </c>
      <c r="AH380">
        <v>1549882</v>
      </c>
    </row>
    <row r="381" spans="27:34">
      <c r="AA381">
        <v>-21.26</v>
      </c>
      <c r="AB381">
        <v>4.7</v>
      </c>
      <c r="AC381">
        <v>341</v>
      </c>
      <c r="AD381">
        <v>0.50895316800000001</v>
      </c>
      <c r="AG381">
        <v>6475.1561993230798</v>
      </c>
      <c r="AH381">
        <v>1587763</v>
      </c>
    </row>
    <row r="382" spans="27:34">
      <c r="AA382">
        <v>-21.26</v>
      </c>
      <c r="AB382">
        <v>4.7</v>
      </c>
      <c r="AC382">
        <v>341</v>
      </c>
      <c r="AD382">
        <v>0.50895316800000001</v>
      </c>
      <c r="AG382">
        <v>7095.0430260059502</v>
      </c>
      <c r="AH382">
        <v>1624712</v>
      </c>
    </row>
    <row r="383" spans="27:34">
      <c r="AA383">
        <v>-21.26</v>
      </c>
      <c r="AB383">
        <v>4.7</v>
      </c>
      <c r="AC383">
        <v>341</v>
      </c>
      <c r="AD383">
        <v>0.50895316800000001</v>
      </c>
      <c r="AG383">
        <v>7765.1951023234797</v>
      </c>
      <c r="AH383">
        <v>1660024</v>
      </c>
    </row>
    <row r="384" spans="27:34">
      <c r="AA384">
        <v>-21.26</v>
      </c>
      <c r="AB384">
        <v>4.7</v>
      </c>
      <c r="AC384">
        <v>341</v>
      </c>
      <c r="AD384">
        <v>0.50895316800000001</v>
      </c>
      <c r="AG384">
        <v>8117.7688427639796</v>
      </c>
      <c r="AH384">
        <v>1692814</v>
      </c>
    </row>
    <row r="385" spans="27:34">
      <c r="AA385">
        <v>-21.26</v>
      </c>
      <c r="AB385">
        <v>4.7</v>
      </c>
      <c r="AC385">
        <v>341</v>
      </c>
      <c r="AD385">
        <v>0.50895316800000001</v>
      </c>
      <c r="AE385">
        <v>50</v>
      </c>
      <c r="AF385">
        <v>1.585</v>
      </c>
      <c r="AG385">
        <v>8629.9047019560203</v>
      </c>
      <c r="AH385">
        <v>1722554</v>
      </c>
    </row>
    <row r="386" spans="27:34">
      <c r="AA386">
        <v>-21.26</v>
      </c>
      <c r="AB386">
        <v>4.7</v>
      </c>
      <c r="AC386">
        <v>341</v>
      </c>
      <c r="AD386">
        <v>0.50895316800000001</v>
      </c>
      <c r="AG386">
        <v>8996.9108929086597</v>
      </c>
      <c r="AH386">
        <v>1748819</v>
      </c>
    </row>
    <row r="387" spans="27:34">
      <c r="AA387">
        <v>-21.26</v>
      </c>
      <c r="AB387">
        <v>4.7</v>
      </c>
      <c r="AC387">
        <v>341</v>
      </c>
      <c r="AD387">
        <v>0.50895316800000001</v>
      </c>
      <c r="AG387">
        <v>9832.4756791713007</v>
      </c>
      <c r="AH387">
        <v>1772043</v>
      </c>
    </row>
    <row r="388" spans="27:34">
      <c r="AA388">
        <v>-21.26</v>
      </c>
      <c r="AB388">
        <v>4.7</v>
      </c>
      <c r="AC388">
        <v>341</v>
      </c>
      <c r="AD388">
        <v>0.50895316800000001</v>
      </c>
      <c r="AG388">
        <v>10546.293265484501</v>
      </c>
      <c r="AH388">
        <v>1793620</v>
      </c>
    </row>
    <row r="389" spans="27:34">
      <c r="AA389">
        <v>-21.26</v>
      </c>
      <c r="AB389">
        <v>4.7</v>
      </c>
      <c r="AC389">
        <v>341</v>
      </c>
      <c r="AD389">
        <v>0.50895316800000001</v>
      </c>
      <c r="AG389">
        <v>11354.7285780855</v>
      </c>
      <c r="AH389">
        <v>1815492</v>
      </c>
    </row>
    <row r="390" spans="27:34">
      <c r="AA390">
        <v>-21.26</v>
      </c>
      <c r="AB390">
        <v>4.7</v>
      </c>
      <c r="AC390">
        <v>341</v>
      </c>
      <c r="AD390">
        <v>0.50895316800000001</v>
      </c>
      <c r="AE390">
        <v>57</v>
      </c>
      <c r="AG390">
        <v>11772.0686534706</v>
      </c>
      <c r="AH390">
        <v>1839050</v>
      </c>
    </row>
    <row r="391" spans="27:34">
      <c r="AA391">
        <v>-21.26</v>
      </c>
      <c r="AB391">
        <v>4.7</v>
      </c>
      <c r="AC391">
        <v>341</v>
      </c>
      <c r="AD391">
        <v>0.50895316800000001</v>
      </c>
      <c r="AG391">
        <v>12600.793809798401</v>
      </c>
      <c r="AH391">
        <v>1864831</v>
      </c>
    </row>
    <row r="392" spans="27:34">
      <c r="AA392">
        <v>-21.26</v>
      </c>
      <c r="AB392">
        <v>4.7</v>
      </c>
      <c r="AC392">
        <v>341</v>
      </c>
      <c r="AD392">
        <v>0.50895316800000001</v>
      </c>
      <c r="AG392">
        <v>13459.8200613641</v>
      </c>
      <c r="AH392">
        <v>1892426</v>
      </c>
    </row>
    <row r="393" spans="27:34">
      <c r="AA393">
        <v>-21.26</v>
      </c>
      <c r="AB393">
        <v>4.7</v>
      </c>
      <c r="AC393">
        <v>341</v>
      </c>
      <c r="AD393">
        <v>0.50895316800000001</v>
      </c>
      <c r="AE393">
        <v>60</v>
      </c>
      <c r="AG393">
        <v>13971.260964320099</v>
      </c>
      <c r="AH393">
        <v>1921122</v>
      </c>
    </row>
    <row r="394" spans="27:34">
      <c r="AA394">
        <v>-21.26</v>
      </c>
      <c r="AB394">
        <v>4.7</v>
      </c>
      <c r="AC394">
        <v>341</v>
      </c>
      <c r="AD394">
        <v>0.50895316800000001</v>
      </c>
      <c r="AG394">
        <v>13384.4654640974</v>
      </c>
      <c r="AH394">
        <v>1949780</v>
      </c>
    </row>
    <row r="395" spans="27:34">
      <c r="AA395">
        <v>-21.26</v>
      </c>
      <c r="AB395">
        <v>4.7</v>
      </c>
      <c r="AC395">
        <v>341</v>
      </c>
      <c r="AD395">
        <v>0.50895316800000001</v>
      </c>
    </row>
    <row r="396" spans="27:34">
      <c r="AA396">
        <v>-21.26</v>
      </c>
      <c r="AB396">
        <v>4.7</v>
      </c>
      <c r="AC396">
        <v>341</v>
      </c>
      <c r="AD396">
        <v>0.50895316800000001</v>
      </c>
    </row>
    <row r="397" spans="27:34">
      <c r="AA397">
        <v>-2.99</v>
      </c>
      <c r="AB397">
        <v>4.5999999999999996</v>
      </c>
      <c r="AC397">
        <v>123</v>
      </c>
      <c r="AD397">
        <v>0.13719943400000001</v>
      </c>
      <c r="AE397">
        <v>72</v>
      </c>
      <c r="AF397">
        <v>0.66649999999999998</v>
      </c>
      <c r="AG397">
        <v>6296.2687272277899</v>
      </c>
      <c r="AH397">
        <v>161691994</v>
      </c>
    </row>
    <row r="398" spans="27:34">
      <c r="AA398">
        <v>-2.99</v>
      </c>
      <c r="AB398">
        <v>4.5999999999999996</v>
      </c>
      <c r="AC398">
        <v>123</v>
      </c>
      <c r="AD398">
        <v>0.13719943400000001</v>
      </c>
      <c r="AG398">
        <v>6456.2150078445802</v>
      </c>
      <c r="AH398">
        <v>164156558</v>
      </c>
    </row>
    <row r="399" spans="27:34">
      <c r="AA399">
        <v>-2.99</v>
      </c>
      <c r="AB399">
        <v>4.5999999999999996</v>
      </c>
      <c r="AC399">
        <v>123</v>
      </c>
      <c r="AD399">
        <v>0.13719943400000001</v>
      </c>
      <c r="AG399">
        <v>6690.8297266747304</v>
      </c>
      <c r="AH399">
        <v>166649884</v>
      </c>
    </row>
    <row r="400" spans="27:34">
      <c r="AA400">
        <v>-2.99</v>
      </c>
      <c r="AB400">
        <v>4.5999999999999996</v>
      </c>
      <c r="AC400">
        <v>123</v>
      </c>
      <c r="AD400">
        <v>0.13719943400000001</v>
      </c>
      <c r="AG400">
        <v>6668.5618158422603</v>
      </c>
      <c r="AH400">
        <v>169161808</v>
      </c>
    </row>
    <row r="401" spans="27:34">
      <c r="AA401">
        <v>-2.99</v>
      </c>
      <c r="AB401">
        <v>4.5999999999999996</v>
      </c>
      <c r="AC401">
        <v>123</v>
      </c>
      <c r="AD401">
        <v>0.13719943400000001</v>
      </c>
      <c r="AG401">
        <v>6683.9537498801401</v>
      </c>
      <c r="AH401">
        <v>171675320</v>
      </c>
    </row>
    <row r="402" spans="27:34">
      <c r="AA402">
        <v>-2.99</v>
      </c>
      <c r="AB402">
        <v>4.5999999999999996</v>
      </c>
      <c r="AC402">
        <v>123</v>
      </c>
      <c r="AD402">
        <v>0.13719943400000001</v>
      </c>
      <c r="AE402">
        <v>75</v>
      </c>
      <c r="AF402">
        <v>0.72030000000000005</v>
      </c>
      <c r="AG402">
        <v>7020.55508261253</v>
      </c>
      <c r="AH402">
        <v>174174447</v>
      </c>
    </row>
    <row r="403" spans="27:34">
      <c r="AA403">
        <v>-2.99</v>
      </c>
      <c r="AB403">
        <v>4.5999999999999996</v>
      </c>
      <c r="AC403">
        <v>123</v>
      </c>
      <c r="AD403">
        <v>0.13719943400000001</v>
      </c>
      <c r="AG403">
        <v>7171.4965708100399</v>
      </c>
      <c r="AH403">
        <v>176659138</v>
      </c>
    </row>
    <row r="404" spans="27:34">
      <c r="AA404">
        <v>-2.99</v>
      </c>
      <c r="AB404">
        <v>4.5999999999999996</v>
      </c>
      <c r="AC404">
        <v>123</v>
      </c>
      <c r="AD404">
        <v>0.13719943400000001</v>
      </c>
      <c r="AG404">
        <v>7378.8138654608802</v>
      </c>
      <c r="AH404">
        <v>179123364</v>
      </c>
    </row>
    <row r="405" spans="27:34">
      <c r="AA405">
        <v>-2.99</v>
      </c>
      <c r="AB405">
        <v>4.5999999999999996</v>
      </c>
      <c r="AC405">
        <v>123</v>
      </c>
      <c r="AD405">
        <v>0.13719943400000001</v>
      </c>
      <c r="AG405">
        <v>7523.0886024535002</v>
      </c>
      <c r="AH405">
        <v>181537359</v>
      </c>
    </row>
    <row r="406" spans="27:34">
      <c r="AA406">
        <v>-2.99</v>
      </c>
      <c r="AB406">
        <v>4.5999999999999996</v>
      </c>
      <c r="AC406">
        <v>123</v>
      </c>
      <c r="AD406">
        <v>0.13719943400000001</v>
      </c>
      <c r="AG406">
        <v>8074.7899527362897</v>
      </c>
      <c r="AH406">
        <v>183863524</v>
      </c>
    </row>
    <row r="407" spans="27:34">
      <c r="AA407">
        <v>-2.99</v>
      </c>
      <c r="AB407">
        <v>4.5999999999999996</v>
      </c>
      <c r="AC407">
        <v>123</v>
      </c>
      <c r="AD407">
        <v>0.13719943400000001</v>
      </c>
      <c r="AE407">
        <v>78</v>
      </c>
      <c r="AF407">
        <v>0.70530000000000004</v>
      </c>
      <c r="AG407">
        <v>8505.4170435112701</v>
      </c>
      <c r="AH407">
        <v>186074634</v>
      </c>
    </row>
    <row r="408" spans="27:34">
      <c r="AA408">
        <v>-2.99</v>
      </c>
      <c r="AB408">
        <v>4.5999999999999996</v>
      </c>
      <c r="AC408">
        <v>123</v>
      </c>
      <c r="AD408">
        <v>0.13719943400000001</v>
      </c>
      <c r="AG408">
        <v>9028.3144495608904</v>
      </c>
      <c r="AH408">
        <v>188158438</v>
      </c>
    </row>
    <row r="409" spans="27:34">
      <c r="AA409">
        <v>-2.99</v>
      </c>
      <c r="AB409">
        <v>4.5999999999999996</v>
      </c>
      <c r="AC409">
        <v>123</v>
      </c>
      <c r="AD409">
        <v>0.13719943400000001</v>
      </c>
      <c r="AG409">
        <v>9804.2858610373496</v>
      </c>
      <c r="AH409">
        <v>190119995</v>
      </c>
    </row>
    <row r="410" spans="27:34">
      <c r="AA410">
        <v>-2.99</v>
      </c>
      <c r="AB410">
        <v>4.5999999999999996</v>
      </c>
      <c r="AC410">
        <v>123</v>
      </c>
      <c r="AD410">
        <v>0.13719943400000001</v>
      </c>
      <c r="AE410">
        <v>80</v>
      </c>
      <c r="AG410">
        <v>10434.3761937457</v>
      </c>
      <c r="AH410">
        <v>191971506</v>
      </c>
    </row>
    <row r="411" spans="27:34">
      <c r="AA411">
        <v>-2.99</v>
      </c>
      <c r="AB411">
        <v>4.5999999999999996</v>
      </c>
      <c r="AC411">
        <v>123</v>
      </c>
      <c r="AD411">
        <v>0.13719943400000001</v>
      </c>
      <c r="AG411">
        <v>10366.8766115288</v>
      </c>
      <c r="AH411">
        <v>193733795</v>
      </c>
    </row>
    <row r="412" spans="27:34">
      <c r="AA412">
        <v>-2.99</v>
      </c>
      <c r="AB412">
        <v>4.5999999999999996</v>
      </c>
      <c r="AC412">
        <v>123</v>
      </c>
      <c r="AD412">
        <v>0.13719943400000001</v>
      </c>
    </row>
    <row r="413" spans="27:34">
      <c r="AA413">
        <v>-2.99</v>
      </c>
      <c r="AB413">
        <v>4.5999999999999996</v>
      </c>
      <c r="AC413">
        <v>123</v>
      </c>
      <c r="AD413">
        <v>0.13719943400000001</v>
      </c>
    </row>
    <row r="414" spans="27:34">
      <c r="AA414">
        <v>1.88</v>
      </c>
      <c r="AB414">
        <v>4.7</v>
      </c>
      <c r="AC414" t="e">
        <v>#N/A</v>
      </c>
      <c r="AD414">
        <v>9.1819699000000005E-2</v>
      </c>
      <c r="AF414">
        <v>1.0820000000000001</v>
      </c>
      <c r="AG414">
        <v>41012.986714993996</v>
      </c>
      <c r="AH414">
        <v>294962</v>
      </c>
    </row>
    <row r="415" spans="27:34">
      <c r="AA415">
        <v>1.88</v>
      </c>
      <c r="AB415">
        <v>4.7</v>
      </c>
      <c r="AD415">
        <v>9.1819699000000005E-2</v>
      </c>
      <c r="AG415">
        <v>41897.872818716402</v>
      </c>
      <c r="AH415">
        <v>302723</v>
      </c>
    </row>
    <row r="416" spans="27:34">
      <c r="AA416">
        <v>1.88</v>
      </c>
      <c r="AB416">
        <v>4.7</v>
      </c>
      <c r="AD416">
        <v>9.1819699000000005E-2</v>
      </c>
      <c r="AG416">
        <v>40962.380294168397</v>
      </c>
      <c r="AH416">
        <v>310491</v>
      </c>
    </row>
    <row r="417" spans="27:34">
      <c r="AA417">
        <v>1.88</v>
      </c>
      <c r="AB417">
        <v>4.7</v>
      </c>
      <c r="AD417">
        <v>9.1819699000000005E-2</v>
      </c>
      <c r="AG417">
        <v>40192.4425216538</v>
      </c>
      <c r="AH417">
        <v>318231</v>
      </c>
    </row>
    <row r="418" spans="27:34">
      <c r="AA418">
        <v>1.88</v>
      </c>
      <c r="AB418">
        <v>4.7</v>
      </c>
      <c r="AD418">
        <v>9.1819699000000005E-2</v>
      </c>
      <c r="AG418">
        <v>41037.127469646999</v>
      </c>
      <c r="AH418">
        <v>325901</v>
      </c>
    </row>
    <row r="419" spans="27:34">
      <c r="AA419">
        <v>1.88</v>
      </c>
      <c r="AB419">
        <v>4.7</v>
      </c>
      <c r="AD419">
        <v>9.1819699000000005E-2</v>
      </c>
      <c r="AG419">
        <v>42140.776423397801</v>
      </c>
      <c r="AH419">
        <v>333471</v>
      </c>
    </row>
    <row r="420" spans="27:34">
      <c r="AA420">
        <v>1.88</v>
      </c>
      <c r="AB420">
        <v>4.7</v>
      </c>
      <c r="AD420">
        <v>9.1819699000000005E-2</v>
      </c>
      <c r="AG420">
        <v>43311.520649370003</v>
      </c>
      <c r="AH420">
        <v>340918</v>
      </c>
    </row>
    <row r="421" spans="27:34">
      <c r="AA421">
        <v>1.88</v>
      </c>
      <c r="AB421">
        <v>4.7</v>
      </c>
      <c r="AD421">
        <v>9.1819699000000005E-2</v>
      </c>
      <c r="AG421">
        <v>44757.1413413255</v>
      </c>
      <c r="AH421">
        <v>348248</v>
      </c>
    </row>
    <row r="422" spans="27:34">
      <c r="AA422">
        <v>1.88</v>
      </c>
      <c r="AB422">
        <v>4.7</v>
      </c>
      <c r="AD422">
        <v>9.1819699000000005E-2</v>
      </c>
      <c r="AG422">
        <v>46088.618465926796</v>
      </c>
      <c r="AH422">
        <v>355509</v>
      </c>
    </row>
    <row r="423" spans="27:34">
      <c r="AA423">
        <v>1.88</v>
      </c>
      <c r="AB423">
        <v>4.7</v>
      </c>
      <c r="AD423">
        <v>9.1819699000000005E-2</v>
      </c>
      <c r="AG423">
        <v>46680.765562150897</v>
      </c>
      <c r="AH423">
        <v>362769</v>
      </c>
    </row>
    <row r="424" spans="27:34">
      <c r="AA424">
        <v>1.88</v>
      </c>
      <c r="AB424">
        <v>4.7</v>
      </c>
      <c r="AD424">
        <v>9.1819699000000005E-2</v>
      </c>
      <c r="AG424">
        <v>47468.343589615397</v>
      </c>
      <c r="AH424">
        <v>370075</v>
      </c>
    </row>
    <row r="425" spans="27:34">
      <c r="AA425">
        <v>1.88</v>
      </c>
      <c r="AB425">
        <v>4.7</v>
      </c>
      <c r="AD425">
        <v>9.1819699000000005E-2</v>
      </c>
      <c r="AG425">
        <v>50168.985435586103</v>
      </c>
      <c r="AH425">
        <v>377442</v>
      </c>
    </row>
    <row r="426" spans="27:34">
      <c r="AA426">
        <v>1.88</v>
      </c>
      <c r="AB426">
        <v>4.7</v>
      </c>
      <c r="AD426">
        <v>9.1819699000000005E-2</v>
      </c>
      <c r="AG426">
        <v>51204.568594596603</v>
      </c>
      <c r="AH426">
        <v>384852</v>
      </c>
    </row>
    <row r="427" spans="27:34">
      <c r="AA427">
        <v>1.88</v>
      </c>
      <c r="AB427">
        <v>4.7</v>
      </c>
      <c r="AD427">
        <v>9.1819699000000005E-2</v>
      </c>
      <c r="AH427">
        <v>392280</v>
      </c>
    </row>
    <row r="428" spans="27:34">
      <c r="AA428">
        <v>1.88</v>
      </c>
      <c r="AB428">
        <v>4.7</v>
      </c>
      <c r="AD428">
        <v>9.1819699000000005E-2</v>
      </c>
      <c r="AH428">
        <v>399687</v>
      </c>
    </row>
    <row r="429" spans="27:34">
      <c r="AA429">
        <v>1.88</v>
      </c>
      <c r="AB429">
        <v>4.7</v>
      </c>
      <c r="AD429">
        <v>9.1819699000000005E-2</v>
      </c>
    </row>
    <row r="430" spans="27:34">
      <c r="AA430">
        <v>1.88</v>
      </c>
      <c r="AB430">
        <v>4.7</v>
      </c>
      <c r="AD430">
        <v>9.1819699000000005E-2</v>
      </c>
    </row>
    <row r="431" spans="27:34">
      <c r="AA431">
        <v>-14.39</v>
      </c>
      <c r="AB431">
        <v>1.3</v>
      </c>
      <c r="AC431">
        <v>2</v>
      </c>
      <c r="AD431">
        <v>4.0469973999999999E-2</v>
      </c>
      <c r="AE431">
        <v>100</v>
      </c>
      <c r="AG431">
        <v>5537.17236277555</v>
      </c>
      <c r="AH431">
        <v>8400000</v>
      </c>
    </row>
    <row r="432" spans="27:34">
      <c r="AA432">
        <v>-14.39</v>
      </c>
      <c r="AB432">
        <v>1.3</v>
      </c>
      <c r="AC432">
        <v>2</v>
      </c>
      <c r="AD432">
        <v>4.0469973999999999E-2</v>
      </c>
      <c r="AG432">
        <v>4642.1536909844099</v>
      </c>
      <c r="AH432">
        <v>8356000</v>
      </c>
    </row>
    <row r="433" spans="27:34">
      <c r="AA433">
        <v>-14.39</v>
      </c>
      <c r="AB433">
        <v>1.3</v>
      </c>
      <c r="AC433">
        <v>2</v>
      </c>
      <c r="AD433">
        <v>4.0469973999999999E-2</v>
      </c>
      <c r="AG433">
        <v>4859.1990772195804</v>
      </c>
      <c r="AH433">
        <v>8312068</v>
      </c>
    </row>
    <row r="434" spans="27:34">
      <c r="AA434">
        <v>-14.39</v>
      </c>
      <c r="AB434">
        <v>1.3</v>
      </c>
      <c r="AC434">
        <v>2</v>
      </c>
      <c r="AD434">
        <v>4.0469973999999999E-2</v>
      </c>
      <c r="AG434">
        <v>5468.7829849119298</v>
      </c>
      <c r="AH434">
        <v>8257000</v>
      </c>
    </row>
    <row r="435" spans="27:34">
      <c r="AA435">
        <v>-14.39</v>
      </c>
      <c r="AB435">
        <v>1.3</v>
      </c>
      <c r="AC435">
        <v>2</v>
      </c>
      <c r="AD435">
        <v>4.0469973999999999E-2</v>
      </c>
      <c r="AG435">
        <v>5666.0989190440196</v>
      </c>
      <c r="AH435">
        <v>8208000</v>
      </c>
    </row>
    <row r="436" spans="27:34">
      <c r="AA436">
        <v>-14.39</v>
      </c>
      <c r="AB436">
        <v>1.3</v>
      </c>
      <c r="AC436">
        <v>2</v>
      </c>
      <c r="AD436">
        <v>4.0469973999999999E-2</v>
      </c>
      <c r="AE436">
        <v>100</v>
      </c>
      <c r="AF436">
        <v>28.79</v>
      </c>
      <c r="AG436">
        <v>6308.6518786263896</v>
      </c>
      <c r="AH436">
        <v>8060000</v>
      </c>
    </row>
    <row r="437" spans="27:34">
      <c r="AA437">
        <v>-14.39</v>
      </c>
      <c r="AB437">
        <v>1.3</v>
      </c>
      <c r="AC437">
        <v>2</v>
      </c>
      <c r="AD437">
        <v>4.0469973999999999E-2</v>
      </c>
      <c r="AG437">
        <v>6852.7282641173297</v>
      </c>
      <c r="AH437">
        <v>7910000</v>
      </c>
    </row>
    <row r="438" spans="27:34">
      <c r="AA438">
        <v>-14.39</v>
      </c>
      <c r="AB438">
        <v>1.3</v>
      </c>
      <c r="AC438">
        <v>2</v>
      </c>
      <c r="AD438">
        <v>4.0469973999999999E-2</v>
      </c>
      <c r="AG438">
        <v>7578.38825578664</v>
      </c>
      <c r="AH438">
        <v>7869000</v>
      </c>
    </row>
    <row r="439" spans="27:34">
      <c r="AA439">
        <v>-14.39</v>
      </c>
      <c r="AB439">
        <v>1.3</v>
      </c>
      <c r="AC439">
        <v>2</v>
      </c>
      <c r="AD439">
        <v>4.0469973999999999E-2</v>
      </c>
      <c r="AG439">
        <v>8208.3680543161408</v>
      </c>
      <c r="AH439">
        <v>7823000</v>
      </c>
    </row>
    <row r="440" spans="27:34">
      <c r="AA440">
        <v>-14.39</v>
      </c>
      <c r="AB440">
        <v>1.3</v>
      </c>
      <c r="AC440">
        <v>2</v>
      </c>
      <c r="AD440">
        <v>4.0469973999999999E-2</v>
      </c>
      <c r="AG440">
        <v>8872.62490848794</v>
      </c>
      <c r="AH440">
        <v>7781000</v>
      </c>
    </row>
    <row r="441" spans="27:34">
      <c r="AA441">
        <v>-14.39</v>
      </c>
      <c r="AB441">
        <v>1.3</v>
      </c>
      <c r="AC441">
        <v>2</v>
      </c>
      <c r="AD441">
        <v>4.0469973999999999E-2</v>
      </c>
      <c r="AE441">
        <v>100</v>
      </c>
      <c r="AF441">
        <v>29.54</v>
      </c>
      <c r="AG441">
        <v>9807.2732792745501</v>
      </c>
      <c r="AH441">
        <v>7740000</v>
      </c>
    </row>
    <row r="442" spans="27:34">
      <c r="AA442">
        <v>-14.39</v>
      </c>
      <c r="AB442">
        <v>1.3</v>
      </c>
      <c r="AC442">
        <v>2</v>
      </c>
      <c r="AD442">
        <v>4.0469973999999999E-2</v>
      </c>
      <c r="AG442">
        <v>11073.480690788499</v>
      </c>
      <c r="AH442">
        <v>7699020</v>
      </c>
    </row>
    <row r="443" spans="27:34">
      <c r="AA443">
        <v>-14.39</v>
      </c>
      <c r="AB443">
        <v>1.3</v>
      </c>
      <c r="AC443">
        <v>2</v>
      </c>
      <c r="AD443">
        <v>4.0469973999999999E-2</v>
      </c>
      <c r="AG443">
        <v>12364.1143689617</v>
      </c>
      <c r="AH443">
        <v>7659764</v>
      </c>
    </row>
    <row r="444" spans="27:34">
      <c r="AA444">
        <v>-14.39</v>
      </c>
      <c r="AB444">
        <v>1.3</v>
      </c>
      <c r="AC444">
        <v>2</v>
      </c>
      <c r="AD444">
        <v>4.0469973999999999E-2</v>
      </c>
      <c r="AE444">
        <v>100</v>
      </c>
      <c r="AG444">
        <v>14034.105217583599</v>
      </c>
      <c r="AH444">
        <v>7623395</v>
      </c>
    </row>
    <row r="445" spans="27:34">
      <c r="AA445">
        <v>-14.39</v>
      </c>
      <c r="AB445">
        <v>1.3</v>
      </c>
      <c r="AC445">
        <v>2</v>
      </c>
      <c r="AD445">
        <v>4.0469973999999999E-2</v>
      </c>
      <c r="AG445">
        <v>13869.5842342827</v>
      </c>
      <c r="AH445">
        <v>7585131</v>
      </c>
    </row>
    <row r="446" spans="27:34">
      <c r="AA446">
        <v>-14.39</v>
      </c>
      <c r="AB446">
        <v>1.3</v>
      </c>
      <c r="AC446">
        <v>2</v>
      </c>
      <c r="AD446">
        <v>4.0469973999999999E-2</v>
      </c>
      <c r="AF446">
        <v>28.73</v>
      </c>
    </row>
    <row r="447" spans="27:34">
      <c r="AA447">
        <v>-14.39</v>
      </c>
      <c r="AB447">
        <v>1.3</v>
      </c>
      <c r="AC447">
        <v>2</v>
      </c>
      <c r="AD447">
        <v>4.0469973999999999E-2</v>
      </c>
    </row>
    <row r="448" spans="27:34">
      <c r="AA448">
        <v>1.33</v>
      </c>
      <c r="AB448">
        <v>4.7</v>
      </c>
      <c r="AC448">
        <v>786</v>
      </c>
      <c r="AD448">
        <v>0.46596858600000002</v>
      </c>
      <c r="AE448">
        <v>7</v>
      </c>
      <c r="AG448">
        <v>618.76853687696405</v>
      </c>
      <c r="AH448">
        <v>10127220</v>
      </c>
    </row>
    <row r="449" spans="27:34">
      <c r="AA449">
        <v>1.33</v>
      </c>
      <c r="AB449">
        <v>4.7</v>
      </c>
      <c r="AC449">
        <v>786</v>
      </c>
      <c r="AD449">
        <v>0.46596858600000002</v>
      </c>
      <c r="AG449">
        <v>680.97468450969996</v>
      </c>
      <c r="AH449">
        <v>10411043</v>
      </c>
    </row>
    <row r="450" spans="27:34">
      <c r="AA450">
        <v>1.33</v>
      </c>
      <c r="AB450">
        <v>4.7</v>
      </c>
      <c r="AC450">
        <v>786</v>
      </c>
      <c r="AD450">
        <v>0.46596858600000002</v>
      </c>
      <c r="AG450">
        <v>716.72954444873199</v>
      </c>
      <c r="AH450">
        <v>10702998</v>
      </c>
    </row>
    <row r="451" spans="27:34">
      <c r="AA451">
        <v>1.33</v>
      </c>
      <c r="AB451">
        <v>4.7</v>
      </c>
      <c r="AC451">
        <v>786</v>
      </c>
      <c r="AD451">
        <v>0.46596858600000002</v>
      </c>
      <c r="AG451">
        <v>756.28795363996403</v>
      </c>
      <c r="AH451">
        <v>11007522</v>
      </c>
    </row>
    <row r="452" spans="27:34">
      <c r="AA452">
        <v>1.33</v>
      </c>
      <c r="AB452">
        <v>4.7</v>
      </c>
      <c r="AC452">
        <v>786</v>
      </c>
      <c r="AD452">
        <v>0.46596858600000002</v>
      </c>
      <c r="AG452">
        <v>800.69764359298404</v>
      </c>
      <c r="AH452">
        <v>11330474</v>
      </c>
    </row>
    <row r="453" spans="27:34">
      <c r="AA453">
        <v>1.33</v>
      </c>
      <c r="AB453">
        <v>4.7</v>
      </c>
      <c r="AC453">
        <v>786</v>
      </c>
      <c r="AD453">
        <v>0.46596858600000002</v>
      </c>
      <c r="AE453">
        <v>8</v>
      </c>
      <c r="AF453">
        <v>7.88</v>
      </c>
      <c r="AG453">
        <v>808.46498410049696</v>
      </c>
      <c r="AH453">
        <v>11676155</v>
      </c>
    </row>
    <row r="454" spans="27:34">
      <c r="AA454">
        <v>1.33</v>
      </c>
      <c r="AB454">
        <v>4.7</v>
      </c>
      <c r="AC454">
        <v>786</v>
      </c>
      <c r="AD454">
        <v>0.46596858600000002</v>
      </c>
      <c r="AG454">
        <v>854.711622880665</v>
      </c>
      <c r="AH454">
        <v>12045713</v>
      </c>
    </row>
    <row r="455" spans="27:34">
      <c r="AA455">
        <v>1.33</v>
      </c>
      <c r="AB455">
        <v>4.7</v>
      </c>
      <c r="AC455">
        <v>786</v>
      </c>
      <c r="AD455">
        <v>0.46596858600000002</v>
      </c>
      <c r="AG455">
        <v>880.71539293736498</v>
      </c>
      <c r="AH455">
        <v>12438269</v>
      </c>
    </row>
    <row r="456" spans="27:34">
      <c r="AA456">
        <v>1.33</v>
      </c>
      <c r="AB456">
        <v>4.7</v>
      </c>
      <c r="AC456">
        <v>786</v>
      </c>
      <c r="AD456">
        <v>0.46596858600000002</v>
      </c>
      <c r="AG456">
        <v>940.67374019033696</v>
      </c>
      <c r="AH456">
        <v>12853460</v>
      </c>
    </row>
    <row r="457" spans="27:34">
      <c r="AA457">
        <v>1.33</v>
      </c>
      <c r="AB457">
        <v>4.7</v>
      </c>
      <c r="AC457">
        <v>786</v>
      </c>
      <c r="AD457">
        <v>0.46596858600000002</v>
      </c>
      <c r="AG457">
        <v>978.91016518214701</v>
      </c>
      <c r="AH457">
        <v>13290189</v>
      </c>
    </row>
    <row r="458" spans="27:34">
      <c r="AA458">
        <v>1.33</v>
      </c>
      <c r="AB458">
        <v>4.7</v>
      </c>
      <c r="AC458">
        <v>786</v>
      </c>
      <c r="AD458">
        <v>0.46596858600000002</v>
      </c>
      <c r="AE458">
        <v>11</v>
      </c>
      <c r="AG458">
        <v>1040.05335790702</v>
      </c>
      <c r="AH458">
        <v>13747182</v>
      </c>
    </row>
    <row r="459" spans="27:34">
      <c r="AA459">
        <v>1.33</v>
      </c>
      <c r="AB459">
        <v>4.7</v>
      </c>
      <c r="AC459">
        <v>786</v>
      </c>
      <c r="AD459">
        <v>0.46596858600000002</v>
      </c>
      <c r="AG459">
        <v>1094.9716891133401</v>
      </c>
      <c r="AH459">
        <v>14224581</v>
      </c>
    </row>
    <row r="460" spans="27:34">
      <c r="AA460">
        <v>1.33</v>
      </c>
      <c r="AB460">
        <v>4.7</v>
      </c>
      <c r="AC460">
        <v>786</v>
      </c>
      <c r="AD460">
        <v>0.46596858600000002</v>
      </c>
      <c r="AG460">
        <v>1133.6341543025701</v>
      </c>
      <c r="AH460">
        <v>14721434</v>
      </c>
    </row>
    <row r="461" spans="27:34">
      <c r="AA461">
        <v>1.33</v>
      </c>
      <c r="AB461">
        <v>4.7</v>
      </c>
      <c r="AC461">
        <v>786</v>
      </c>
      <c r="AD461">
        <v>0.46596858600000002</v>
      </c>
      <c r="AE461">
        <v>11</v>
      </c>
      <c r="AG461">
        <v>1175.42146935146</v>
      </c>
      <c r="AH461">
        <v>15233884</v>
      </c>
    </row>
    <row r="462" spans="27:34">
      <c r="AA462">
        <v>1.33</v>
      </c>
      <c r="AB462">
        <v>4.7</v>
      </c>
      <c r="AC462">
        <v>786</v>
      </c>
      <c r="AD462">
        <v>0.46596858600000002</v>
      </c>
      <c r="AG462">
        <v>1186.94802666339</v>
      </c>
      <c r="AH462">
        <v>15756927</v>
      </c>
    </row>
    <row r="463" spans="27:34">
      <c r="AA463">
        <v>1.33</v>
      </c>
      <c r="AB463">
        <v>4.7</v>
      </c>
      <c r="AC463">
        <v>786</v>
      </c>
      <c r="AD463">
        <v>0.46596858600000002</v>
      </c>
    </row>
    <row r="464" spans="27:34">
      <c r="AA464">
        <v>1.33</v>
      </c>
      <c r="AB464">
        <v>4.7</v>
      </c>
      <c r="AC464">
        <v>786</v>
      </c>
      <c r="AD464">
        <v>0.46596858600000002</v>
      </c>
    </row>
    <row r="465" spans="27:34">
      <c r="AA465">
        <v>13.06</v>
      </c>
      <c r="AB465">
        <v>3.6</v>
      </c>
      <c r="AC465">
        <v>1088</v>
      </c>
      <c r="AD465">
        <v>0.49475341</v>
      </c>
      <c r="AE465">
        <v>45</v>
      </c>
      <c r="AG465">
        <v>320.061916179653</v>
      </c>
      <c r="AH465">
        <v>6166983</v>
      </c>
    </row>
    <row r="466" spans="27:34">
      <c r="AA466">
        <v>13.06</v>
      </c>
      <c r="AB466">
        <v>3.6</v>
      </c>
      <c r="AC466">
        <v>1088</v>
      </c>
      <c r="AD466">
        <v>0.49475341</v>
      </c>
      <c r="AG466">
        <v>297.43106365116199</v>
      </c>
      <c r="AH466">
        <v>6222062</v>
      </c>
    </row>
    <row r="467" spans="27:34">
      <c r="AA467">
        <v>13.06</v>
      </c>
      <c r="AB467">
        <v>3.6</v>
      </c>
      <c r="AC467">
        <v>1088</v>
      </c>
      <c r="AD467">
        <v>0.49475341</v>
      </c>
      <c r="AG467">
        <v>295.79833692912001</v>
      </c>
      <c r="AH467">
        <v>6266105</v>
      </c>
    </row>
    <row r="468" spans="27:34">
      <c r="AA468">
        <v>13.06</v>
      </c>
      <c r="AB468">
        <v>3.6</v>
      </c>
      <c r="AC468">
        <v>1088</v>
      </c>
      <c r="AD468">
        <v>0.49475341</v>
      </c>
      <c r="AG468">
        <v>311.07402251873202</v>
      </c>
      <c r="AH468">
        <v>6312025</v>
      </c>
    </row>
    <row r="469" spans="27:34">
      <c r="AA469">
        <v>13.06</v>
      </c>
      <c r="AB469">
        <v>3.6</v>
      </c>
      <c r="AC469">
        <v>1088</v>
      </c>
      <c r="AD469">
        <v>0.49475341</v>
      </c>
      <c r="AG469">
        <v>309.27018449675103</v>
      </c>
      <c r="AH469">
        <v>6376824</v>
      </c>
    </row>
    <row r="470" spans="27:34">
      <c r="AA470">
        <v>13.06</v>
      </c>
      <c r="AB470">
        <v>3.6</v>
      </c>
      <c r="AC470">
        <v>1088</v>
      </c>
      <c r="AD470">
        <v>0.49475341</v>
      </c>
      <c r="AE470">
        <v>45</v>
      </c>
      <c r="AF470">
        <v>2.2970000000000002</v>
      </c>
      <c r="AG470">
        <v>308.61781780430402</v>
      </c>
      <c r="AH470">
        <v>6472622</v>
      </c>
    </row>
    <row r="471" spans="27:34">
      <c r="AA471">
        <v>13.06</v>
      </c>
      <c r="AB471">
        <v>3.6</v>
      </c>
      <c r="AC471">
        <v>1088</v>
      </c>
      <c r="AD471">
        <v>0.49475341</v>
      </c>
      <c r="AG471">
        <v>315.709754430582</v>
      </c>
      <c r="AH471">
        <v>6603696</v>
      </c>
    </row>
    <row r="472" spans="27:34">
      <c r="AA472">
        <v>13.06</v>
      </c>
      <c r="AB472">
        <v>3.6</v>
      </c>
      <c r="AC472">
        <v>1088</v>
      </c>
      <c r="AD472">
        <v>0.49475341</v>
      </c>
      <c r="AG472">
        <v>327.03905830820599</v>
      </c>
      <c r="AH472">
        <v>6766563</v>
      </c>
    </row>
    <row r="473" spans="27:34">
      <c r="AA473">
        <v>13.06</v>
      </c>
      <c r="AB473">
        <v>3.6</v>
      </c>
      <c r="AC473">
        <v>1088</v>
      </c>
      <c r="AD473">
        <v>0.49475341</v>
      </c>
      <c r="AG473">
        <v>321.02548992561202</v>
      </c>
      <c r="AH473">
        <v>6955720</v>
      </c>
    </row>
    <row r="474" spans="27:34">
      <c r="AA474">
        <v>13.06</v>
      </c>
      <c r="AB474">
        <v>3.6</v>
      </c>
      <c r="AC474">
        <v>1088</v>
      </c>
      <c r="AD474">
        <v>0.49475341</v>
      </c>
      <c r="AG474">
        <v>336.11053988636297</v>
      </c>
      <c r="AH474">
        <v>7162083</v>
      </c>
    </row>
    <row r="475" spans="27:34">
      <c r="AA475">
        <v>13.06</v>
      </c>
      <c r="AB475">
        <v>3.6</v>
      </c>
      <c r="AC475">
        <v>1088</v>
      </c>
      <c r="AD475">
        <v>0.49475341</v>
      </c>
      <c r="AE475">
        <v>46</v>
      </c>
      <c r="AG475">
        <v>340.18285102437699</v>
      </c>
      <c r="AH475">
        <v>7378129</v>
      </c>
    </row>
    <row r="476" spans="27:34">
      <c r="AA476">
        <v>13.06</v>
      </c>
      <c r="AB476">
        <v>3.6</v>
      </c>
      <c r="AC476">
        <v>1088</v>
      </c>
      <c r="AD476">
        <v>0.49475341</v>
      </c>
      <c r="AG476">
        <v>358.30451223639801</v>
      </c>
      <c r="AH476">
        <v>7603492</v>
      </c>
    </row>
    <row r="477" spans="27:34">
      <c r="AA477">
        <v>13.06</v>
      </c>
      <c r="AB477">
        <v>3.6</v>
      </c>
      <c r="AC477">
        <v>1088</v>
      </c>
      <c r="AD477">
        <v>0.49475341</v>
      </c>
      <c r="AG477">
        <v>372.43868569618002</v>
      </c>
      <c r="AH477">
        <v>7837981</v>
      </c>
    </row>
    <row r="478" spans="27:34">
      <c r="AA478">
        <v>13.06</v>
      </c>
      <c r="AB478">
        <v>3.6</v>
      </c>
      <c r="AC478">
        <v>1088</v>
      </c>
      <c r="AD478">
        <v>0.49475341</v>
      </c>
      <c r="AE478">
        <v>46</v>
      </c>
      <c r="AG478">
        <v>386.06858642397799</v>
      </c>
      <c r="AH478">
        <v>8074254</v>
      </c>
    </row>
    <row r="479" spans="27:34">
      <c r="AA479">
        <v>13.06</v>
      </c>
      <c r="AB479">
        <v>3.6</v>
      </c>
      <c r="AC479">
        <v>1088</v>
      </c>
      <c r="AD479">
        <v>0.49475341</v>
      </c>
      <c r="AG479">
        <v>392.11517688357901</v>
      </c>
      <c r="AH479">
        <v>8303330</v>
      </c>
    </row>
    <row r="480" spans="27:34">
      <c r="AA480">
        <v>13.06</v>
      </c>
      <c r="AB480">
        <v>3.6</v>
      </c>
      <c r="AC480">
        <v>1088</v>
      </c>
      <c r="AD480">
        <v>0.49475341</v>
      </c>
    </row>
    <row r="481" spans="27:34">
      <c r="AA481">
        <v>13.06</v>
      </c>
      <c r="AB481">
        <v>3.6</v>
      </c>
      <c r="AC481">
        <v>1088</v>
      </c>
      <c r="AD481">
        <v>0.49475341</v>
      </c>
    </row>
    <row r="482" spans="27:34">
      <c r="AA482">
        <v>-6.53</v>
      </c>
      <c r="AB482">
        <v>4.5999999999999996</v>
      </c>
      <c r="AC482">
        <v>596</v>
      </c>
      <c r="AD482">
        <v>0.37025561600000001</v>
      </c>
      <c r="AE482">
        <v>11</v>
      </c>
      <c r="AG482">
        <v>648.761281971529</v>
      </c>
      <c r="AH482">
        <v>11380387</v>
      </c>
    </row>
    <row r="483" spans="27:34">
      <c r="AA483">
        <v>-6.53</v>
      </c>
      <c r="AB483">
        <v>4.5999999999999996</v>
      </c>
      <c r="AC483">
        <v>596</v>
      </c>
      <c r="AD483">
        <v>0.37025561600000001</v>
      </c>
      <c r="AG483">
        <v>678.72328371056403</v>
      </c>
      <c r="AH483">
        <v>11686023</v>
      </c>
    </row>
    <row r="484" spans="27:34">
      <c r="AA484">
        <v>-6.53</v>
      </c>
      <c r="AB484">
        <v>4.5999999999999996</v>
      </c>
      <c r="AC484">
        <v>596</v>
      </c>
      <c r="AD484">
        <v>0.37025561600000001</v>
      </c>
      <c r="AG484">
        <v>711.89859828352098</v>
      </c>
      <c r="AH484">
        <v>11976231</v>
      </c>
    </row>
    <row r="485" spans="27:34">
      <c r="AA485">
        <v>-6.53</v>
      </c>
      <c r="AB485">
        <v>4.5999999999999996</v>
      </c>
      <c r="AC485">
        <v>596</v>
      </c>
      <c r="AD485">
        <v>0.37025561600000001</v>
      </c>
      <c r="AG485">
        <v>739.04828188259205</v>
      </c>
      <c r="AH485">
        <v>12251159</v>
      </c>
    </row>
    <row r="486" spans="27:34">
      <c r="AA486">
        <v>-6.53</v>
      </c>
      <c r="AB486">
        <v>4.5999999999999996</v>
      </c>
      <c r="AC486">
        <v>596</v>
      </c>
      <c r="AD486">
        <v>0.37025561600000001</v>
      </c>
      <c r="AG486">
        <v>821.70051203344804</v>
      </c>
      <c r="AH486">
        <v>12511895</v>
      </c>
    </row>
    <row r="487" spans="27:34">
      <c r="AA487">
        <v>-6.53</v>
      </c>
      <c r="AB487">
        <v>4.5999999999999996</v>
      </c>
      <c r="AC487">
        <v>596</v>
      </c>
      <c r="AD487">
        <v>0.37025561600000001</v>
      </c>
      <c r="AE487">
        <v>17</v>
      </c>
      <c r="AG487">
        <v>895.33344086720194</v>
      </c>
      <c r="AH487">
        <v>12759811</v>
      </c>
    </row>
    <row r="488" spans="27:34">
      <c r="AA488">
        <v>-6.53</v>
      </c>
      <c r="AB488">
        <v>4.5999999999999996</v>
      </c>
      <c r="AC488">
        <v>596</v>
      </c>
      <c r="AD488">
        <v>0.37025561600000001</v>
      </c>
      <c r="AG488">
        <v>971.37524568850404</v>
      </c>
      <c r="AH488">
        <v>12994429</v>
      </c>
    </row>
    <row r="489" spans="27:34">
      <c r="AA489">
        <v>-6.53</v>
      </c>
      <c r="AB489">
        <v>4.5999999999999996</v>
      </c>
      <c r="AC489">
        <v>596</v>
      </c>
      <c r="AD489">
        <v>0.37025561600000001</v>
      </c>
      <c r="AG489">
        <v>1035.4534064540901</v>
      </c>
      <c r="AH489">
        <v>13216835</v>
      </c>
    </row>
    <row r="490" spans="27:34">
      <c r="AA490">
        <v>-6.53</v>
      </c>
      <c r="AB490">
        <v>4.5999999999999996</v>
      </c>
      <c r="AC490">
        <v>596</v>
      </c>
      <c r="AD490">
        <v>0.37025561600000001</v>
      </c>
      <c r="AG490">
        <v>1129.3519350997899</v>
      </c>
      <c r="AH490">
        <v>13432081</v>
      </c>
    </row>
    <row r="491" spans="27:34">
      <c r="AA491">
        <v>-6.53</v>
      </c>
      <c r="AB491">
        <v>4.5999999999999996</v>
      </c>
      <c r="AC491">
        <v>596</v>
      </c>
      <c r="AD491">
        <v>0.37025561600000001</v>
      </c>
      <c r="AG491">
        <v>1261.2925841573301</v>
      </c>
      <c r="AH491">
        <v>13646804</v>
      </c>
    </row>
    <row r="492" spans="27:34">
      <c r="AA492">
        <v>-6.53</v>
      </c>
      <c r="AB492">
        <v>4.5999999999999996</v>
      </c>
      <c r="AC492">
        <v>596</v>
      </c>
      <c r="AD492">
        <v>0.37025561600000001</v>
      </c>
      <c r="AE492">
        <v>24</v>
      </c>
      <c r="AF492">
        <v>0.4587</v>
      </c>
      <c r="AG492">
        <v>1452.7087600136699</v>
      </c>
      <c r="AH492">
        <v>13866051</v>
      </c>
    </row>
    <row r="493" spans="27:34">
      <c r="AA493">
        <v>-6.53</v>
      </c>
      <c r="AB493">
        <v>4.5999999999999996</v>
      </c>
      <c r="AC493">
        <v>596</v>
      </c>
      <c r="AD493">
        <v>0.37025561600000001</v>
      </c>
      <c r="AG493">
        <v>1634.9003554947701</v>
      </c>
      <c r="AH493">
        <v>14091823</v>
      </c>
    </row>
    <row r="494" spans="27:34">
      <c r="AA494">
        <v>-6.53</v>
      </c>
      <c r="AB494">
        <v>4.5999999999999996</v>
      </c>
      <c r="AC494">
        <v>596</v>
      </c>
      <c r="AD494">
        <v>0.37025561600000001</v>
      </c>
      <c r="AG494">
        <v>1833.4230906089001</v>
      </c>
      <c r="AH494">
        <v>14323842</v>
      </c>
    </row>
    <row r="495" spans="27:34">
      <c r="AA495">
        <v>-6.53</v>
      </c>
      <c r="AB495">
        <v>4.5999999999999996</v>
      </c>
      <c r="AC495">
        <v>596</v>
      </c>
      <c r="AD495">
        <v>0.37025561600000001</v>
      </c>
      <c r="AE495">
        <v>29</v>
      </c>
      <c r="AG495">
        <v>1966.17886318449</v>
      </c>
      <c r="AH495">
        <v>14562008</v>
      </c>
    </row>
    <row r="496" spans="27:34">
      <c r="AA496">
        <v>-6.53</v>
      </c>
      <c r="AB496">
        <v>4.5999999999999996</v>
      </c>
      <c r="AC496">
        <v>596</v>
      </c>
      <c r="AD496">
        <v>0.37025561600000001</v>
      </c>
      <c r="AG496">
        <v>1914.9922655635601</v>
      </c>
      <c r="AH496">
        <v>14805358</v>
      </c>
    </row>
    <row r="497" spans="27:34">
      <c r="AA497">
        <v>-6.53</v>
      </c>
      <c r="AB497">
        <v>4.5999999999999996</v>
      </c>
      <c r="AC497">
        <v>596</v>
      </c>
      <c r="AD497">
        <v>0.37025561600000001</v>
      </c>
    </row>
    <row r="498" spans="27:34">
      <c r="AA498">
        <v>-6.53</v>
      </c>
      <c r="AB498">
        <v>4.5999999999999996</v>
      </c>
      <c r="AC498">
        <v>596</v>
      </c>
      <c r="AD498">
        <v>0.37025561600000001</v>
      </c>
    </row>
    <row r="499" spans="27:34">
      <c r="AA499">
        <v>10.23</v>
      </c>
      <c r="AB499">
        <v>4.4000000000000004</v>
      </c>
      <c r="AC499">
        <v>497</v>
      </c>
      <c r="AD499">
        <v>0.465153971</v>
      </c>
      <c r="AE499">
        <v>48</v>
      </c>
      <c r="AG499">
        <v>1336.5693017062799</v>
      </c>
      <c r="AH499">
        <v>14054403</v>
      </c>
    </row>
    <row r="500" spans="27:34">
      <c r="AA500">
        <v>10.23</v>
      </c>
      <c r="AB500">
        <v>4.4000000000000004</v>
      </c>
      <c r="AC500">
        <v>497</v>
      </c>
      <c r="AD500">
        <v>0.465153971</v>
      </c>
      <c r="AG500">
        <v>1394.43916668968</v>
      </c>
      <c r="AH500">
        <v>14415168</v>
      </c>
    </row>
    <row r="501" spans="27:34">
      <c r="AA501">
        <v>10.23</v>
      </c>
      <c r="AB501">
        <v>4.4000000000000004</v>
      </c>
      <c r="AC501">
        <v>497</v>
      </c>
      <c r="AD501">
        <v>0.465153971</v>
      </c>
      <c r="AG501">
        <v>1455.3371055715099</v>
      </c>
      <c r="AH501">
        <v>14773789</v>
      </c>
    </row>
    <row r="502" spans="27:34">
      <c r="AA502">
        <v>10.23</v>
      </c>
      <c r="AB502">
        <v>4.4000000000000004</v>
      </c>
      <c r="AC502">
        <v>497</v>
      </c>
      <c r="AD502">
        <v>0.465153971</v>
      </c>
      <c r="AG502">
        <v>1509.2923503781301</v>
      </c>
      <c r="AH502">
        <v>15132782</v>
      </c>
    </row>
    <row r="503" spans="27:34">
      <c r="AA503">
        <v>10.23</v>
      </c>
      <c r="AB503">
        <v>4.4000000000000004</v>
      </c>
      <c r="AC503">
        <v>497</v>
      </c>
      <c r="AD503">
        <v>0.465153971</v>
      </c>
      <c r="AG503">
        <v>1561.25117045768</v>
      </c>
      <c r="AH503">
        <v>15495758</v>
      </c>
    </row>
    <row r="504" spans="27:34">
      <c r="AA504">
        <v>10.23</v>
      </c>
      <c r="AB504">
        <v>4.4000000000000004</v>
      </c>
      <c r="AC504">
        <v>497</v>
      </c>
      <c r="AD504">
        <v>0.465153971</v>
      </c>
      <c r="AE504">
        <v>47</v>
      </c>
      <c r="AF504">
        <v>0.33600000000000002</v>
      </c>
      <c r="AG504">
        <v>1623.29276242836</v>
      </c>
      <c r="AH504">
        <v>15865456</v>
      </c>
    </row>
    <row r="505" spans="27:34">
      <c r="AA505">
        <v>10.23</v>
      </c>
      <c r="AB505">
        <v>4.4000000000000004</v>
      </c>
      <c r="AC505">
        <v>497</v>
      </c>
      <c r="AD505">
        <v>0.465153971</v>
      </c>
      <c r="AG505">
        <v>1694.7624387344899</v>
      </c>
      <c r="AH505">
        <v>16242478</v>
      </c>
    </row>
    <row r="506" spans="27:34">
      <c r="AA506">
        <v>10.23</v>
      </c>
      <c r="AB506">
        <v>4.4000000000000004</v>
      </c>
      <c r="AC506">
        <v>497</v>
      </c>
      <c r="AD506">
        <v>0.465153971</v>
      </c>
      <c r="AG506">
        <v>1749.97711141373</v>
      </c>
      <c r="AH506">
        <v>16626413</v>
      </c>
    </row>
    <row r="507" spans="27:34">
      <c r="AA507">
        <v>10.23</v>
      </c>
      <c r="AB507">
        <v>4.4000000000000004</v>
      </c>
      <c r="AC507">
        <v>497</v>
      </c>
      <c r="AD507">
        <v>0.465153971</v>
      </c>
      <c r="AG507">
        <v>1816.9936133147201</v>
      </c>
      <c r="AH507">
        <v>17017725</v>
      </c>
    </row>
    <row r="508" spans="27:34">
      <c r="AA508">
        <v>10.23</v>
      </c>
      <c r="AB508">
        <v>4.4000000000000004</v>
      </c>
      <c r="AC508">
        <v>497</v>
      </c>
      <c r="AD508">
        <v>0.465153971</v>
      </c>
      <c r="AG508">
        <v>1893.2807072721801</v>
      </c>
      <c r="AH508">
        <v>17416687</v>
      </c>
    </row>
    <row r="509" spans="27:34">
      <c r="AA509">
        <v>10.23</v>
      </c>
      <c r="AB509">
        <v>4.4000000000000004</v>
      </c>
      <c r="AC509">
        <v>497</v>
      </c>
      <c r="AD509">
        <v>0.465153971</v>
      </c>
      <c r="AE509">
        <v>47</v>
      </c>
      <c r="AG509">
        <v>1955.68370094446</v>
      </c>
      <c r="AH509">
        <v>17823352</v>
      </c>
    </row>
    <row r="510" spans="27:34">
      <c r="AA510">
        <v>10.23</v>
      </c>
      <c r="AB510">
        <v>4.4000000000000004</v>
      </c>
      <c r="AC510">
        <v>497</v>
      </c>
      <c r="AD510">
        <v>0.465153971</v>
      </c>
      <c r="AG510">
        <v>2036.98242403982</v>
      </c>
      <c r="AH510">
        <v>18237878</v>
      </c>
    </row>
    <row r="511" spans="27:34">
      <c r="AA511">
        <v>10.23</v>
      </c>
      <c r="AB511">
        <v>4.4000000000000004</v>
      </c>
      <c r="AC511">
        <v>497</v>
      </c>
      <c r="AD511">
        <v>0.465153971</v>
      </c>
      <c r="AG511">
        <v>2131.2007250352699</v>
      </c>
      <c r="AH511">
        <v>18659938</v>
      </c>
    </row>
    <row r="512" spans="27:34">
      <c r="AA512">
        <v>10.23</v>
      </c>
      <c r="AB512">
        <v>4.4000000000000004</v>
      </c>
      <c r="AC512">
        <v>497</v>
      </c>
      <c r="AD512">
        <v>0.465153971</v>
      </c>
      <c r="AE512">
        <v>47</v>
      </c>
      <c r="AG512">
        <v>2190.6483763264</v>
      </c>
      <c r="AH512">
        <v>19088385</v>
      </c>
    </row>
    <row r="513" spans="27:34">
      <c r="AA513">
        <v>10.23</v>
      </c>
      <c r="AB513">
        <v>4.4000000000000004</v>
      </c>
      <c r="AC513">
        <v>497</v>
      </c>
      <c r="AD513">
        <v>0.465153971</v>
      </c>
      <c r="AG513">
        <v>2204.8769061693301</v>
      </c>
      <c r="AH513">
        <v>19521645</v>
      </c>
    </row>
    <row r="514" spans="27:34">
      <c r="AA514">
        <v>10.23</v>
      </c>
      <c r="AB514">
        <v>4.4000000000000004</v>
      </c>
      <c r="AC514">
        <v>497</v>
      </c>
      <c r="AD514">
        <v>0.465153971</v>
      </c>
    </row>
    <row r="515" spans="27:34">
      <c r="AA515">
        <v>10.23</v>
      </c>
      <c r="AB515">
        <v>4.4000000000000004</v>
      </c>
      <c r="AC515">
        <v>497</v>
      </c>
      <c r="AD515">
        <v>0.465153971</v>
      </c>
    </row>
    <row r="516" spans="27:34">
      <c r="AA516">
        <v>13.63</v>
      </c>
      <c r="AB516">
        <v>4</v>
      </c>
      <c r="AC516">
        <v>0</v>
      </c>
      <c r="AD516">
        <v>5.7356608000000003E-2</v>
      </c>
      <c r="AE516">
        <v>100</v>
      </c>
      <c r="AG516">
        <v>22696.5790839072</v>
      </c>
      <c r="AH516">
        <v>29354000</v>
      </c>
    </row>
    <row r="517" spans="27:34">
      <c r="AA517">
        <v>13.63</v>
      </c>
      <c r="AB517">
        <v>4</v>
      </c>
      <c r="AC517">
        <v>0</v>
      </c>
      <c r="AD517">
        <v>5.7356608000000003E-2</v>
      </c>
      <c r="AG517">
        <v>23253.186625219401</v>
      </c>
      <c r="AH517">
        <v>29671900</v>
      </c>
    </row>
    <row r="518" spans="27:34">
      <c r="AA518">
        <v>13.63</v>
      </c>
      <c r="AB518">
        <v>4</v>
      </c>
      <c r="AC518">
        <v>0</v>
      </c>
      <c r="AD518">
        <v>5.7356608000000003E-2</v>
      </c>
      <c r="AG518">
        <v>24406.2550818487</v>
      </c>
      <c r="AH518">
        <v>29987200</v>
      </c>
    </row>
    <row r="519" spans="27:34">
      <c r="AA519">
        <v>13.63</v>
      </c>
      <c r="AB519">
        <v>4</v>
      </c>
      <c r="AC519">
        <v>0</v>
      </c>
      <c r="AD519">
        <v>5.7356608000000003E-2</v>
      </c>
      <c r="AG519">
        <v>25472.2248463141</v>
      </c>
      <c r="AH519">
        <v>30247900</v>
      </c>
    </row>
    <row r="520" spans="27:34">
      <c r="AA520">
        <v>13.63</v>
      </c>
      <c r="AB520">
        <v>4</v>
      </c>
      <c r="AC520">
        <v>0</v>
      </c>
      <c r="AD520">
        <v>5.7356608000000003E-2</v>
      </c>
      <c r="AG520">
        <v>27050.5162313457</v>
      </c>
      <c r="AH520">
        <v>30499200</v>
      </c>
    </row>
    <row r="521" spans="27:34">
      <c r="AA521">
        <v>13.63</v>
      </c>
      <c r="AB521">
        <v>4</v>
      </c>
      <c r="AC521">
        <v>0</v>
      </c>
      <c r="AD521">
        <v>5.7356608000000003E-2</v>
      </c>
      <c r="AE521">
        <v>100</v>
      </c>
      <c r="AF521">
        <v>1.5840000000000001</v>
      </c>
      <c r="AG521">
        <v>28407.2426246496</v>
      </c>
      <c r="AH521">
        <v>30769700</v>
      </c>
    </row>
    <row r="522" spans="27:34">
      <c r="AA522">
        <v>13.63</v>
      </c>
      <c r="AB522">
        <v>4</v>
      </c>
      <c r="AC522">
        <v>0</v>
      </c>
      <c r="AD522">
        <v>5.7356608000000003E-2</v>
      </c>
      <c r="AG522">
        <v>29272.4828057634</v>
      </c>
      <c r="AH522">
        <v>31081900</v>
      </c>
    </row>
    <row r="523" spans="27:34">
      <c r="AA523">
        <v>13.63</v>
      </c>
      <c r="AB523">
        <v>4</v>
      </c>
      <c r="AC523">
        <v>0</v>
      </c>
      <c r="AD523">
        <v>5.7356608000000003E-2</v>
      </c>
      <c r="AG523">
        <v>29903.364596373998</v>
      </c>
      <c r="AH523">
        <v>31362000</v>
      </c>
    </row>
    <row r="524" spans="27:34">
      <c r="AA524">
        <v>13.63</v>
      </c>
      <c r="AB524">
        <v>4</v>
      </c>
      <c r="AC524">
        <v>0</v>
      </c>
      <c r="AD524">
        <v>5.7356608000000003E-2</v>
      </c>
      <c r="AG524">
        <v>31232.689418024202</v>
      </c>
      <c r="AH524">
        <v>31676000</v>
      </c>
    </row>
    <row r="525" spans="27:34">
      <c r="AA525">
        <v>13.63</v>
      </c>
      <c r="AB525">
        <v>4</v>
      </c>
      <c r="AC525">
        <v>0</v>
      </c>
      <c r="AD525">
        <v>5.7356608000000003E-2</v>
      </c>
      <c r="AG525">
        <v>32789.8585245176</v>
      </c>
      <c r="AH525">
        <v>31995000</v>
      </c>
    </row>
    <row r="526" spans="27:34">
      <c r="AA526">
        <v>13.63</v>
      </c>
      <c r="AB526">
        <v>4</v>
      </c>
      <c r="AC526">
        <v>0</v>
      </c>
      <c r="AD526">
        <v>5.7356608000000003E-2</v>
      </c>
      <c r="AE526">
        <v>100</v>
      </c>
      <c r="AG526">
        <v>35033.422929423199</v>
      </c>
      <c r="AH526">
        <v>32312000</v>
      </c>
    </row>
    <row r="527" spans="27:34">
      <c r="AA527">
        <v>13.63</v>
      </c>
      <c r="AB527">
        <v>4</v>
      </c>
      <c r="AC527">
        <v>0</v>
      </c>
      <c r="AD527">
        <v>5.7356608000000003E-2</v>
      </c>
      <c r="AG527">
        <v>36771.237982734398</v>
      </c>
      <c r="AH527">
        <v>32649000</v>
      </c>
    </row>
    <row r="528" spans="27:34">
      <c r="AA528">
        <v>13.63</v>
      </c>
      <c r="AB528">
        <v>4</v>
      </c>
      <c r="AC528">
        <v>0</v>
      </c>
      <c r="AD528">
        <v>5.7356608000000003E-2</v>
      </c>
      <c r="AG528">
        <v>38301.855374259801</v>
      </c>
      <c r="AH528">
        <v>32976000</v>
      </c>
    </row>
    <row r="529" spans="27:34">
      <c r="AA529">
        <v>13.63</v>
      </c>
      <c r="AB529">
        <v>4</v>
      </c>
      <c r="AC529">
        <v>0</v>
      </c>
      <c r="AD529">
        <v>5.7356608000000003E-2</v>
      </c>
      <c r="AE529">
        <v>100</v>
      </c>
      <c r="AG529">
        <v>38901.672703947297</v>
      </c>
      <c r="AH529">
        <v>33311400</v>
      </c>
    </row>
    <row r="530" spans="27:34">
      <c r="AA530">
        <v>13.63</v>
      </c>
      <c r="AB530">
        <v>4</v>
      </c>
      <c r="AC530">
        <v>0</v>
      </c>
      <c r="AD530">
        <v>5.7356608000000003E-2</v>
      </c>
      <c r="AG530">
        <v>37808.020159148196</v>
      </c>
      <c r="AH530">
        <v>33739900</v>
      </c>
    </row>
    <row r="531" spans="27:34">
      <c r="AA531">
        <v>13.63</v>
      </c>
      <c r="AB531">
        <v>4</v>
      </c>
      <c r="AC531">
        <v>0</v>
      </c>
      <c r="AD531">
        <v>5.7356608000000003E-2</v>
      </c>
    </row>
    <row r="532" spans="27:34">
      <c r="AA532">
        <v>13.63</v>
      </c>
      <c r="AB532">
        <v>4</v>
      </c>
      <c r="AC532">
        <v>0</v>
      </c>
      <c r="AD532">
        <v>5.7356608000000003E-2</v>
      </c>
    </row>
    <row r="533" spans="27:34">
      <c r="AA533">
        <v>-2.23</v>
      </c>
      <c r="AB533">
        <v>3.9</v>
      </c>
      <c r="AC533">
        <v>93</v>
      </c>
      <c r="AD533">
        <v>0.25912408799999997</v>
      </c>
      <c r="AE533">
        <v>40</v>
      </c>
      <c r="AG533">
        <v>1498.02803337773</v>
      </c>
      <c r="AH533">
        <v>398198</v>
      </c>
    </row>
    <row r="534" spans="27:34">
      <c r="AA534">
        <v>-2.23</v>
      </c>
      <c r="AB534">
        <v>3.9</v>
      </c>
      <c r="AC534">
        <v>93</v>
      </c>
      <c r="AD534">
        <v>0.25912408799999997</v>
      </c>
      <c r="AG534">
        <v>1554.52217691846</v>
      </c>
      <c r="AH534">
        <v>406718</v>
      </c>
    </row>
    <row r="535" spans="27:34">
      <c r="AA535">
        <v>-2.23</v>
      </c>
      <c r="AB535">
        <v>3.9</v>
      </c>
      <c r="AC535">
        <v>93</v>
      </c>
      <c r="AD535">
        <v>0.25912408799999997</v>
      </c>
      <c r="AG535">
        <v>1634.27220541881</v>
      </c>
      <c r="AH535">
        <v>414993</v>
      </c>
    </row>
    <row r="536" spans="27:34">
      <c r="AA536">
        <v>-2.23</v>
      </c>
      <c r="AB536">
        <v>3.9</v>
      </c>
      <c r="AC536">
        <v>93</v>
      </c>
      <c r="AD536">
        <v>0.25912408799999997</v>
      </c>
      <c r="AG536">
        <v>1741.1742849571999</v>
      </c>
      <c r="AH536">
        <v>423070</v>
      </c>
    </row>
    <row r="537" spans="27:34">
      <c r="AA537">
        <v>-2.23</v>
      </c>
      <c r="AB537">
        <v>3.9</v>
      </c>
      <c r="AC537">
        <v>93</v>
      </c>
      <c r="AD537">
        <v>0.25912408799999997</v>
      </c>
      <c r="AG537">
        <v>1883.1478831126501</v>
      </c>
      <c r="AH537">
        <v>431041</v>
      </c>
    </row>
    <row r="538" spans="27:34">
      <c r="AA538">
        <v>-2.23</v>
      </c>
      <c r="AB538">
        <v>3.9</v>
      </c>
      <c r="AC538">
        <v>93</v>
      </c>
      <c r="AD538">
        <v>0.25912408799999997</v>
      </c>
      <c r="AE538">
        <v>45</v>
      </c>
      <c r="AF538">
        <v>6.7670000000000003</v>
      </c>
      <c r="AG538">
        <v>2013.81923288907</v>
      </c>
      <c r="AH538">
        <v>438971</v>
      </c>
    </row>
    <row r="539" spans="27:34">
      <c r="AA539">
        <v>-2.23</v>
      </c>
      <c r="AB539">
        <v>3.9</v>
      </c>
      <c r="AC539">
        <v>93</v>
      </c>
      <c r="AD539">
        <v>0.25912408799999997</v>
      </c>
      <c r="AG539">
        <v>2099.9387837564</v>
      </c>
      <c r="AH539">
        <v>446872</v>
      </c>
    </row>
    <row r="540" spans="27:34">
      <c r="AA540">
        <v>-2.23</v>
      </c>
      <c r="AB540">
        <v>3.9</v>
      </c>
      <c r="AC540">
        <v>93</v>
      </c>
      <c r="AD540">
        <v>0.25912408799999997</v>
      </c>
      <c r="AG540">
        <v>2193.76188247865</v>
      </c>
      <c r="AH540">
        <v>454706</v>
      </c>
    </row>
    <row r="541" spans="27:34">
      <c r="AA541">
        <v>-2.23</v>
      </c>
      <c r="AB541">
        <v>3.9</v>
      </c>
      <c r="AC541">
        <v>93</v>
      </c>
      <c r="AD541">
        <v>0.25912408799999997</v>
      </c>
      <c r="AG541">
        <v>2340.1867687987801</v>
      </c>
      <c r="AH541">
        <v>462440</v>
      </c>
    </row>
    <row r="542" spans="27:34">
      <c r="AA542">
        <v>-2.23</v>
      </c>
      <c r="AB542">
        <v>3.9</v>
      </c>
      <c r="AC542">
        <v>93</v>
      </c>
      <c r="AD542">
        <v>0.25912408799999997</v>
      </c>
      <c r="AG542">
        <v>2350.8021883848601</v>
      </c>
      <c r="AH542">
        <v>470028</v>
      </c>
    </row>
    <row r="543" spans="27:34">
      <c r="AA543">
        <v>-2.23</v>
      </c>
      <c r="AB543">
        <v>3.9</v>
      </c>
      <c r="AC543">
        <v>93</v>
      </c>
      <c r="AD543">
        <v>0.25912408799999997</v>
      </c>
      <c r="AE543">
        <v>52</v>
      </c>
      <c r="AG543">
        <v>2675.8320179048601</v>
      </c>
      <c r="AH543">
        <v>477438</v>
      </c>
    </row>
    <row r="544" spans="27:34">
      <c r="AA544">
        <v>-2.23</v>
      </c>
      <c r="AB544">
        <v>3.9</v>
      </c>
      <c r="AC544">
        <v>93</v>
      </c>
      <c r="AD544">
        <v>0.25912408799999997</v>
      </c>
      <c r="AG544">
        <v>2997.7206139708301</v>
      </c>
      <c r="AH544">
        <v>484659</v>
      </c>
    </row>
    <row r="545" spans="27:34">
      <c r="AA545">
        <v>-2.23</v>
      </c>
      <c r="AB545">
        <v>3.9</v>
      </c>
      <c r="AC545">
        <v>93</v>
      </c>
      <c r="AD545">
        <v>0.25912408799999997</v>
      </c>
      <c r="AG545">
        <v>3320.2668657853301</v>
      </c>
      <c r="AH545">
        <v>491717</v>
      </c>
    </row>
    <row r="546" spans="27:34">
      <c r="AA546">
        <v>-2.23</v>
      </c>
      <c r="AB546">
        <v>3.9</v>
      </c>
      <c r="AC546">
        <v>93</v>
      </c>
      <c r="AD546">
        <v>0.25912408799999997</v>
      </c>
      <c r="AE546">
        <v>54</v>
      </c>
      <c r="AG546">
        <v>3561.33825255785</v>
      </c>
      <c r="AH546">
        <v>498672</v>
      </c>
    </row>
    <row r="547" spans="27:34">
      <c r="AA547">
        <v>-2.23</v>
      </c>
      <c r="AB547">
        <v>3.9</v>
      </c>
      <c r="AC547">
        <v>93</v>
      </c>
      <c r="AD547">
        <v>0.25912408799999997</v>
      </c>
      <c r="AG547">
        <v>3643.6177662741802</v>
      </c>
      <c r="AH547">
        <v>505606</v>
      </c>
    </row>
    <row r="548" spans="27:34">
      <c r="AA548">
        <v>-2.23</v>
      </c>
      <c r="AB548">
        <v>3.9</v>
      </c>
      <c r="AC548">
        <v>93</v>
      </c>
      <c r="AD548">
        <v>0.25912408799999997</v>
      </c>
    </row>
    <row r="549" spans="27:34">
      <c r="AA549">
        <v>-2.23</v>
      </c>
      <c r="AB549">
        <v>3.9</v>
      </c>
      <c r="AC549">
        <v>93</v>
      </c>
      <c r="AD549">
        <v>0.25912408799999997</v>
      </c>
    </row>
    <row r="550" spans="27:34">
      <c r="AA550">
        <v>11.11</v>
      </c>
      <c r="AB550">
        <v>4.4000000000000004</v>
      </c>
      <c r="AC550">
        <v>511</v>
      </c>
      <c r="AD550">
        <v>0.50937049499999998</v>
      </c>
      <c r="AE550">
        <v>15</v>
      </c>
      <c r="AG550">
        <v>617.76963245434695</v>
      </c>
      <c r="AH550">
        <v>3334511</v>
      </c>
    </row>
    <row r="551" spans="27:34">
      <c r="AA551">
        <v>11.11</v>
      </c>
      <c r="AB551">
        <v>4.4000000000000004</v>
      </c>
      <c r="AC551">
        <v>511</v>
      </c>
      <c r="AD551">
        <v>0.50937049499999998</v>
      </c>
      <c r="AG551">
        <v>589.44729008773902</v>
      </c>
      <c r="AH551">
        <v>3419094</v>
      </c>
    </row>
    <row r="552" spans="27:34">
      <c r="AA552">
        <v>11.11</v>
      </c>
      <c r="AB552">
        <v>4.4000000000000004</v>
      </c>
      <c r="AC552">
        <v>511</v>
      </c>
      <c r="AD552">
        <v>0.50937049499999998</v>
      </c>
      <c r="AG552">
        <v>616.45116256024403</v>
      </c>
      <c r="AH552">
        <v>3503638</v>
      </c>
    </row>
    <row r="553" spans="27:34">
      <c r="AA553">
        <v>11.11</v>
      </c>
      <c r="AB553">
        <v>4.4000000000000004</v>
      </c>
      <c r="AC553">
        <v>511</v>
      </c>
      <c r="AD553">
        <v>0.50937049499999998</v>
      </c>
      <c r="AG553">
        <v>637.55012757459497</v>
      </c>
      <c r="AH553">
        <v>3587032</v>
      </c>
    </row>
    <row r="554" spans="27:34">
      <c r="AA554">
        <v>11.11</v>
      </c>
      <c r="AB554">
        <v>4.4000000000000004</v>
      </c>
      <c r="AC554">
        <v>511</v>
      </c>
      <c r="AD554">
        <v>0.50937049499999998</v>
      </c>
      <c r="AG554">
        <v>655.38944608279496</v>
      </c>
      <c r="AH554">
        <v>3667994</v>
      </c>
    </row>
    <row r="555" spans="27:34">
      <c r="AA555">
        <v>11.11</v>
      </c>
      <c r="AB555">
        <v>4.4000000000000004</v>
      </c>
      <c r="AC555">
        <v>511</v>
      </c>
      <c r="AD555">
        <v>0.50937049499999998</v>
      </c>
      <c r="AE555">
        <v>22</v>
      </c>
      <c r="AF555">
        <v>4.6300000000000001E-2</v>
      </c>
      <c r="AG555">
        <v>670.75462573972402</v>
      </c>
      <c r="AH555">
        <v>3745727</v>
      </c>
    </row>
    <row r="556" spans="27:34">
      <c r="AA556">
        <v>11.11</v>
      </c>
      <c r="AB556">
        <v>4.4000000000000004</v>
      </c>
      <c r="AC556">
        <v>511</v>
      </c>
      <c r="AD556">
        <v>0.50937049499999998</v>
      </c>
      <c r="AG556">
        <v>674.46040585072001</v>
      </c>
      <c r="AH556">
        <v>3819543</v>
      </c>
    </row>
    <row r="557" spans="27:34">
      <c r="AA557">
        <v>11.11</v>
      </c>
      <c r="AB557">
        <v>4.4000000000000004</v>
      </c>
      <c r="AC557">
        <v>511</v>
      </c>
      <c r="AD557">
        <v>0.50937049499999998</v>
      </c>
      <c r="AG557">
        <v>669.09466860076998</v>
      </c>
      <c r="AH557">
        <v>3889927</v>
      </c>
    </row>
    <row r="558" spans="27:34">
      <c r="AA558">
        <v>11.11</v>
      </c>
      <c r="AB558">
        <v>4.4000000000000004</v>
      </c>
      <c r="AC558">
        <v>511</v>
      </c>
      <c r="AD558">
        <v>0.50937049499999998</v>
      </c>
      <c r="AG558">
        <v>620.59050567420195</v>
      </c>
      <c r="AH558">
        <v>3958741</v>
      </c>
    </row>
    <row r="559" spans="27:34">
      <c r="AA559">
        <v>11.11</v>
      </c>
      <c r="AB559">
        <v>4.4000000000000004</v>
      </c>
      <c r="AC559">
        <v>511</v>
      </c>
      <c r="AD559">
        <v>0.50937049499999998</v>
      </c>
      <c r="AG559">
        <v>633.38255171411595</v>
      </c>
      <c r="AH559">
        <v>4028623</v>
      </c>
    </row>
    <row r="560" spans="27:34">
      <c r="AA560">
        <v>11.11</v>
      </c>
      <c r="AB560">
        <v>4.4000000000000004</v>
      </c>
      <c r="AC560">
        <v>511</v>
      </c>
      <c r="AD560">
        <v>0.50937049499999998</v>
      </c>
      <c r="AE560">
        <v>29</v>
      </c>
      <c r="AG560">
        <v>658.30578503632898</v>
      </c>
      <c r="AH560">
        <v>4101484</v>
      </c>
    </row>
    <row r="561" spans="27:34">
      <c r="AA561">
        <v>11.11</v>
      </c>
      <c r="AB561">
        <v>4.4000000000000004</v>
      </c>
      <c r="AC561">
        <v>511</v>
      </c>
      <c r="AD561">
        <v>0.50937049499999998</v>
      </c>
      <c r="AG561">
        <v>692.63750569483796</v>
      </c>
      <c r="AH561">
        <v>4177926</v>
      </c>
    </row>
    <row r="562" spans="27:34">
      <c r="AA562">
        <v>11.11</v>
      </c>
      <c r="AB562">
        <v>4.4000000000000004</v>
      </c>
      <c r="AC562">
        <v>511</v>
      </c>
      <c r="AD562">
        <v>0.50937049499999998</v>
      </c>
      <c r="AG562">
        <v>729.00978294352603</v>
      </c>
      <c r="AH562">
        <v>4257403</v>
      </c>
    </row>
    <row r="563" spans="27:34">
      <c r="AA563">
        <v>11.11</v>
      </c>
      <c r="AB563">
        <v>4.4000000000000004</v>
      </c>
      <c r="AC563">
        <v>511</v>
      </c>
      <c r="AD563">
        <v>0.50937049499999998</v>
      </c>
      <c r="AE563">
        <v>34</v>
      </c>
      <c r="AG563">
        <v>746.97312053182304</v>
      </c>
      <c r="AH563">
        <v>4339263</v>
      </c>
    </row>
    <row r="564" spans="27:34">
      <c r="AA564">
        <v>11.11</v>
      </c>
      <c r="AB564">
        <v>4.4000000000000004</v>
      </c>
      <c r="AC564">
        <v>511</v>
      </c>
      <c r="AD564">
        <v>0.50937049499999998</v>
      </c>
      <c r="AG564">
        <v>757.39389145787595</v>
      </c>
      <c r="AH564">
        <v>4422397</v>
      </c>
    </row>
    <row r="565" spans="27:34">
      <c r="AA565">
        <v>11.11</v>
      </c>
      <c r="AB565">
        <v>4.4000000000000004</v>
      </c>
      <c r="AC565">
        <v>511</v>
      </c>
      <c r="AD565">
        <v>0.50937049499999998</v>
      </c>
    </row>
    <row r="566" spans="27:34">
      <c r="AA566">
        <v>11.11</v>
      </c>
      <c r="AB566">
        <v>4.4000000000000004</v>
      </c>
      <c r="AC566">
        <v>511</v>
      </c>
      <c r="AD566">
        <v>0.50937049499999998</v>
      </c>
    </row>
    <row r="567" spans="27:34">
      <c r="AA567">
        <v>22.22</v>
      </c>
      <c r="AB567">
        <v>3.9</v>
      </c>
      <c r="AC567">
        <v>618</v>
      </c>
      <c r="AD567">
        <v>0.50601805399999999</v>
      </c>
      <c r="AE567">
        <v>6</v>
      </c>
      <c r="AG567">
        <v>620.66139753125105</v>
      </c>
      <c r="AH567">
        <v>7127765</v>
      </c>
    </row>
    <row r="568" spans="27:34">
      <c r="AA568">
        <v>22.22</v>
      </c>
      <c r="AB568">
        <v>3.9</v>
      </c>
      <c r="AC568">
        <v>618</v>
      </c>
      <c r="AD568">
        <v>0.50601805399999999</v>
      </c>
      <c r="AG568">
        <v>626.328881706571</v>
      </c>
      <c r="AH568">
        <v>7357735</v>
      </c>
    </row>
    <row r="569" spans="27:34">
      <c r="AA569">
        <v>22.22</v>
      </c>
      <c r="AB569">
        <v>3.9</v>
      </c>
      <c r="AC569">
        <v>618</v>
      </c>
      <c r="AD569">
        <v>0.50601805399999999</v>
      </c>
      <c r="AG569">
        <v>652.27464239652898</v>
      </c>
      <c r="AH569">
        <v>7596841</v>
      </c>
    </row>
    <row r="570" spans="27:34">
      <c r="AA570">
        <v>22.22</v>
      </c>
      <c r="AB570">
        <v>3.9</v>
      </c>
      <c r="AC570">
        <v>618</v>
      </c>
      <c r="AD570">
        <v>0.50601805399999999</v>
      </c>
      <c r="AG570">
        <v>682.91507353464203</v>
      </c>
      <c r="AH570">
        <v>7848182</v>
      </c>
    </row>
    <row r="571" spans="27:34">
      <c r="AA571">
        <v>22.22</v>
      </c>
      <c r="AB571">
        <v>3.9</v>
      </c>
      <c r="AC571">
        <v>618</v>
      </c>
      <c r="AD571">
        <v>0.50601805399999999</v>
      </c>
      <c r="AG571">
        <v>665.50346905223398</v>
      </c>
      <c r="AH571">
        <v>8115745</v>
      </c>
    </row>
    <row r="572" spans="27:34">
      <c r="AA572">
        <v>22.22</v>
      </c>
      <c r="AB572">
        <v>3.9</v>
      </c>
      <c r="AC572">
        <v>618</v>
      </c>
      <c r="AD572">
        <v>0.50601805399999999</v>
      </c>
      <c r="AE572">
        <v>7</v>
      </c>
      <c r="AF572">
        <v>0.85350000000000004</v>
      </c>
      <c r="AG572">
        <v>650.98435220045906</v>
      </c>
      <c r="AH572">
        <v>8401696</v>
      </c>
    </row>
    <row r="573" spans="27:34">
      <c r="AA573">
        <v>22.22</v>
      </c>
      <c r="AB573">
        <v>3.9</v>
      </c>
      <c r="AC573">
        <v>618</v>
      </c>
      <c r="AD573">
        <v>0.50601805399999999</v>
      </c>
      <c r="AG573">
        <v>717.19877013727796</v>
      </c>
      <c r="AH573">
        <v>8708121</v>
      </c>
    </row>
    <row r="574" spans="27:34">
      <c r="AA574">
        <v>22.22</v>
      </c>
      <c r="AB574">
        <v>3.9</v>
      </c>
      <c r="AC574">
        <v>618</v>
      </c>
      <c r="AD574">
        <v>0.50601805399999999</v>
      </c>
      <c r="AG574">
        <v>762.35332945084394</v>
      </c>
      <c r="AH574">
        <v>9032354</v>
      </c>
    </row>
    <row r="575" spans="27:34">
      <c r="AA575">
        <v>22.22</v>
      </c>
      <c r="AB575">
        <v>3.9</v>
      </c>
      <c r="AC575">
        <v>618</v>
      </c>
      <c r="AD575">
        <v>0.50601805399999999</v>
      </c>
      <c r="AG575">
        <v>861.61094863728499</v>
      </c>
      <c r="AH575">
        <v>9365969</v>
      </c>
    </row>
    <row r="576" spans="27:34">
      <c r="AA576">
        <v>22.22</v>
      </c>
      <c r="AB576">
        <v>3.9</v>
      </c>
      <c r="AC576">
        <v>618</v>
      </c>
      <c r="AD576">
        <v>0.50601805399999999</v>
      </c>
      <c r="AG576">
        <v>1143.5311999733799</v>
      </c>
      <c r="AH576">
        <v>9697437</v>
      </c>
    </row>
    <row r="577" spans="27:34">
      <c r="AA577">
        <v>22.22</v>
      </c>
      <c r="AB577">
        <v>3.9</v>
      </c>
      <c r="AC577">
        <v>618</v>
      </c>
      <c r="AD577">
        <v>0.50601805399999999</v>
      </c>
      <c r="AE577">
        <v>9</v>
      </c>
      <c r="AG577">
        <v>1342.0316467519301</v>
      </c>
      <c r="AH577">
        <v>10018592</v>
      </c>
    </row>
    <row r="578" spans="27:34">
      <c r="AA578">
        <v>22.22</v>
      </c>
      <c r="AB578">
        <v>3.9</v>
      </c>
      <c r="AC578">
        <v>618</v>
      </c>
      <c r="AD578">
        <v>0.50601805399999999</v>
      </c>
      <c r="AG578">
        <v>1347.0910776660901</v>
      </c>
      <c r="AH578">
        <v>10326209</v>
      </c>
    </row>
    <row r="579" spans="27:34">
      <c r="AA579">
        <v>22.22</v>
      </c>
      <c r="AB579">
        <v>3.9</v>
      </c>
      <c r="AC579">
        <v>618</v>
      </c>
      <c r="AD579">
        <v>0.50601805399999999</v>
      </c>
      <c r="AG579">
        <v>1357.0448875762099</v>
      </c>
      <c r="AH579">
        <v>10622922</v>
      </c>
    </row>
    <row r="580" spans="27:34">
      <c r="AA580">
        <v>22.22</v>
      </c>
      <c r="AB580">
        <v>3.9</v>
      </c>
      <c r="AC580">
        <v>618</v>
      </c>
      <c r="AD580">
        <v>0.50601805399999999</v>
      </c>
      <c r="AE580">
        <v>9</v>
      </c>
      <c r="AG580">
        <v>1344.3698974715501</v>
      </c>
      <c r="AH580">
        <v>10913667</v>
      </c>
    </row>
    <row r="581" spans="27:34">
      <c r="AA581">
        <v>22.22</v>
      </c>
      <c r="AB581">
        <v>3.9</v>
      </c>
      <c r="AC581">
        <v>618</v>
      </c>
      <c r="AD581">
        <v>0.50601805399999999</v>
      </c>
      <c r="AG581">
        <v>1300.1300467869</v>
      </c>
      <c r="AH581">
        <v>11206152</v>
      </c>
    </row>
    <row r="582" spans="27:34">
      <c r="AA582">
        <v>22.22</v>
      </c>
      <c r="AB582">
        <v>3.9</v>
      </c>
      <c r="AC582">
        <v>618</v>
      </c>
      <c r="AD582">
        <v>0.50601805399999999</v>
      </c>
    </row>
    <row r="583" spans="27:34">
      <c r="AA583">
        <v>22.22</v>
      </c>
      <c r="AB583">
        <v>3.9</v>
      </c>
      <c r="AC583">
        <v>618</v>
      </c>
      <c r="AD583">
        <v>0.50601805399999999</v>
      </c>
    </row>
    <row r="584" spans="27:34">
      <c r="AA584">
        <v>-1.92</v>
      </c>
      <c r="AB584">
        <v>2.2000000000000002</v>
      </c>
      <c r="AC584">
        <v>1</v>
      </c>
      <c r="AD584">
        <v>8.4812623000000004E-2</v>
      </c>
      <c r="AE584">
        <v>88</v>
      </c>
      <c r="AG584">
        <v>7438.1021236328397</v>
      </c>
      <c r="AH584">
        <v>14410020</v>
      </c>
    </row>
    <row r="585" spans="27:34">
      <c r="AA585">
        <v>-1.92</v>
      </c>
      <c r="AB585">
        <v>2.2000000000000002</v>
      </c>
      <c r="AC585">
        <v>1</v>
      </c>
      <c r="AD585">
        <v>8.4812623000000004E-2</v>
      </c>
      <c r="AG585">
        <v>8028.6318212392598</v>
      </c>
      <c r="AH585">
        <v>14631100</v>
      </c>
    </row>
    <row r="586" spans="27:34">
      <c r="AA586">
        <v>-1.92</v>
      </c>
      <c r="AB586">
        <v>2.2000000000000002</v>
      </c>
      <c r="AC586">
        <v>1</v>
      </c>
      <c r="AD586">
        <v>8.4812623000000004E-2</v>
      </c>
      <c r="AG586">
        <v>8583.7236133251208</v>
      </c>
      <c r="AH586">
        <v>14840234</v>
      </c>
    </row>
    <row r="587" spans="27:34">
      <c r="AA587">
        <v>-1.92</v>
      </c>
      <c r="AB587">
        <v>2.2000000000000002</v>
      </c>
      <c r="AC587">
        <v>1</v>
      </c>
      <c r="AD587">
        <v>8.4812623000000004E-2</v>
      </c>
      <c r="AG587">
        <v>8838.1879866284107</v>
      </c>
      <c r="AH587">
        <v>15039204</v>
      </c>
    </row>
    <row r="588" spans="27:34">
      <c r="AA588">
        <v>-1.92</v>
      </c>
      <c r="AB588">
        <v>2.2000000000000002</v>
      </c>
      <c r="AC588">
        <v>1</v>
      </c>
      <c r="AD588">
        <v>8.4812623000000004E-2</v>
      </c>
      <c r="AG588">
        <v>8782.7645760822707</v>
      </c>
      <c r="AH588">
        <v>15231200</v>
      </c>
    </row>
    <row r="589" spans="27:34">
      <c r="AA589">
        <v>-1.92</v>
      </c>
      <c r="AB589">
        <v>2.2000000000000002</v>
      </c>
      <c r="AC589">
        <v>1</v>
      </c>
      <c r="AD589">
        <v>8.4812623000000004E-2</v>
      </c>
      <c r="AE589">
        <v>92</v>
      </c>
      <c r="AF589">
        <v>1.23</v>
      </c>
      <c r="AG589">
        <v>9257.2447695665305</v>
      </c>
      <c r="AH589">
        <v>15418704</v>
      </c>
    </row>
    <row r="590" spans="27:34">
      <c r="AA590">
        <v>-1.92</v>
      </c>
      <c r="AB590">
        <v>2.2000000000000002</v>
      </c>
      <c r="AC590">
        <v>1</v>
      </c>
      <c r="AD590">
        <v>8.4812623000000004E-2</v>
      </c>
      <c r="AG590">
        <v>9667.3314404406901</v>
      </c>
      <c r="AH590">
        <v>15601862</v>
      </c>
    </row>
    <row r="591" spans="27:34">
      <c r="AA591">
        <v>-1.92</v>
      </c>
      <c r="AB591">
        <v>2.2000000000000002</v>
      </c>
      <c r="AC591">
        <v>1</v>
      </c>
      <c r="AD591">
        <v>8.4812623000000004E-2</v>
      </c>
      <c r="AG591">
        <v>9920.7755297663098</v>
      </c>
      <c r="AH591">
        <v>15780152</v>
      </c>
    </row>
    <row r="592" spans="27:34">
      <c r="AA592">
        <v>-1.92</v>
      </c>
      <c r="AB592">
        <v>2.2000000000000002</v>
      </c>
      <c r="AC592">
        <v>1</v>
      </c>
      <c r="AD592">
        <v>8.4812623000000004E-2</v>
      </c>
      <c r="AG592">
        <v>10452.522994709099</v>
      </c>
      <c r="AH592">
        <v>15954700</v>
      </c>
    </row>
    <row r="593" spans="27:34">
      <c r="AA593">
        <v>-1.92</v>
      </c>
      <c r="AB593">
        <v>2.2000000000000002</v>
      </c>
      <c r="AC593">
        <v>1</v>
      </c>
      <c r="AD593">
        <v>8.4812623000000004E-2</v>
      </c>
      <c r="AG593">
        <v>11276.5024892607</v>
      </c>
      <c r="AH593">
        <v>16126817</v>
      </c>
    </row>
    <row r="594" spans="27:34">
      <c r="AA594">
        <v>-1.92</v>
      </c>
      <c r="AB594">
        <v>2.2000000000000002</v>
      </c>
      <c r="AC594">
        <v>1</v>
      </c>
      <c r="AD594">
        <v>8.4812623000000004E-2</v>
      </c>
      <c r="AE594">
        <v>96</v>
      </c>
      <c r="AG594">
        <v>12171.5367798959</v>
      </c>
      <c r="AH594">
        <v>16297493</v>
      </c>
    </row>
    <row r="595" spans="27:34">
      <c r="AA595">
        <v>-1.92</v>
      </c>
      <c r="AB595">
        <v>2.2000000000000002</v>
      </c>
      <c r="AC595">
        <v>1</v>
      </c>
      <c r="AD595">
        <v>8.4812623000000004E-2</v>
      </c>
      <c r="AG595">
        <v>13008.751975994301</v>
      </c>
      <c r="AH595">
        <v>16467256</v>
      </c>
    </row>
    <row r="596" spans="27:34">
      <c r="AA596">
        <v>-1.92</v>
      </c>
      <c r="AB596">
        <v>2.2000000000000002</v>
      </c>
      <c r="AC596">
        <v>1</v>
      </c>
      <c r="AD596">
        <v>8.4812623000000004E-2</v>
      </c>
      <c r="AG596">
        <v>13865.194493271099</v>
      </c>
      <c r="AH596">
        <v>16636135</v>
      </c>
    </row>
    <row r="597" spans="27:34">
      <c r="AA597">
        <v>-1.92</v>
      </c>
      <c r="AB597">
        <v>2.2000000000000002</v>
      </c>
      <c r="AC597">
        <v>1</v>
      </c>
      <c r="AD597">
        <v>8.4812623000000004E-2</v>
      </c>
      <c r="AE597">
        <v>96</v>
      </c>
      <c r="AG597">
        <v>14542.6285302179</v>
      </c>
      <c r="AH597">
        <v>16803952</v>
      </c>
    </row>
    <row r="598" spans="27:34">
      <c r="AA598">
        <v>-1.92</v>
      </c>
      <c r="AB598">
        <v>2.2000000000000002</v>
      </c>
      <c r="AC598">
        <v>1</v>
      </c>
      <c r="AD598">
        <v>8.4812623000000004E-2</v>
      </c>
      <c r="AG598">
        <v>14311.2852665235</v>
      </c>
      <c r="AH598">
        <v>16970265</v>
      </c>
    </row>
    <row r="599" spans="27:34">
      <c r="AA599">
        <v>-1.92</v>
      </c>
      <c r="AB599">
        <v>2.2000000000000002</v>
      </c>
      <c r="AC599">
        <v>1</v>
      </c>
      <c r="AD599">
        <v>8.4812623000000004E-2</v>
      </c>
    </row>
    <row r="600" spans="27:34">
      <c r="AA600">
        <v>-1.92</v>
      </c>
      <c r="AB600">
        <v>2.2000000000000002</v>
      </c>
      <c r="AC600">
        <v>1</v>
      </c>
      <c r="AD600">
        <v>8.4812623000000004E-2</v>
      </c>
    </row>
    <row r="601" spans="27:34">
      <c r="AA601">
        <v>9.0500000000000007</v>
      </c>
      <c r="AB601">
        <v>1.3</v>
      </c>
      <c r="AC601">
        <v>56</v>
      </c>
      <c r="AD601">
        <v>7.9234973E-2</v>
      </c>
      <c r="AE601">
        <v>45</v>
      </c>
      <c r="AF601">
        <v>18.5</v>
      </c>
      <c r="AG601">
        <v>1507.41288153665</v>
      </c>
      <c r="AH601">
        <v>1204855000</v>
      </c>
    </row>
    <row r="602" spans="27:34">
      <c r="AA602">
        <v>9.0500000000000007</v>
      </c>
      <c r="AB602">
        <v>1.3</v>
      </c>
      <c r="AC602">
        <v>56</v>
      </c>
      <c r="AD602">
        <v>7.9234973E-2</v>
      </c>
      <c r="AG602">
        <v>1672.2413784959299</v>
      </c>
      <c r="AH602">
        <v>1217550000</v>
      </c>
    </row>
    <row r="603" spans="27:34">
      <c r="AA603">
        <v>9.0500000000000007</v>
      </c>
      <c r="AB603">
        <v>1.3</v>
      </c>
      <c r="AC603">
        <v>56</v>
      </c>
      <c r="AD603">
        <v>7.9234973E-2</v>
      </c>
      <c r="AG603">
        <v>1841.22916765435</v>
      </c>
      <c r="AH603">
        <v>1230075000</v>
      </c>
    </row>
    <row r="604" spans="27:34">
      <c r="AA604">
        <v>9.0500000000000007</v>
      </c>
      <c r="AB604">
        <v>1.3</v>
      </c>
      <c r="AC604">
        <v>56</v>
      </c>
      <c r="AD604">
        <v>7.9234973E-2</v>
      </c>
      <c r="AG604">
        <v>1988.1280850575299</v>
      </c>
      <c r="AH604">
        <v>1241935000</v>
      </c>
    </row>
    <row r="605" spans="27:34">
      <c r="AA605">
        <v>9.0500000000000007</v>
      </c>
      <c r="AB605">
        <v>1.3</v>
      </c>
      <c r="AC605">
        <v>56</v>
      </c>
      <c r="AD605">
        <v>7.9234973E-2</v>
      </c>
      <c r="AG605">
        <v>2151.86484851969</v>
      </c>
      <c r="AH605">
        <v>1252735000</v>
      </c>
    </row>
    <row r="606" spans="27:34">
      <c r="AA606">
        <v>9.0500000000000007</v>
      </c>
      <c r="AB606">
        <v>1.3</v>
      </c>
      <c r="AC606">
        <v>56</v>
      </c>
      <c r="AD606">
        <v>7.9234973E-2</v>
      </c>
      <c r="AE606">
        <v>49</v>
      </c>
      <c r="AG606">
        <v>2364.3857150355998</v>
      </c>
      <c r="AH606">
        <v>1262645000</v>
      </c>
    </row>
    <row r="607" spans="27:34">
      <c r="AA607">
        <v>9.0500000000000007</v>
      </c>
      <c r="AB607">
        <v>1.3</v>
      </c>
      <c r="AC607">
        <v>56</v>
      </c>
      <c r="AD607">
        <v>7.9234973E-2</v>
      </c>
      <c r="AG607">
        <v>2599.7300992349601</v>
      </c>
      <c r="AH607">
        <v>1271850000</v>
      </c>
    </row>
    <row r="608" spans="27:34">
      <c r="AA608">
        <v>9.0500000000000007</v>
      </c>
      <c r="AB608">
        <v>1.3</v>
      </c>
      <c r="AC608">
        <v>56</v>
      </c>
      <c r="AD608">
        <v>7.9234973E-2</v>
      </c>
      <c r="AG608">
        <v>2863.1358187996102</v>
      </c>
      <c r="AH608">
        <v>1280400000</v>
      </c>
    </row>
    <row r="609" spans="27:34">
      <c r="AA609">
        <v>9.0500000000000007</v>
      </c>
      <c r="AB609">
        <v>1.3</v>
      </c>
      <c r="AC609">
        <v>56</v>
      </c>
      <c r="AD609">
        <v>7.9234973E-2</v>
      </c>
      <c r="AG609">
        <v>3197.3546360045202</v>
      </c>
      <c r="AH609">
        <v>1288400000</v>
      </c>
    </row>
    <row r="610" spans="27:34">
      <c r="AA610">
        <v>9.0500000000000007</v>
      </c>
      <c r="AB610">
        <v>1.3</v>
      </c>
      <c r="AC610">
        <v>56</v>
      </c>
      <c r="AD610">
        <v>7.9234973E-2</v>
      </c>
      <c r="AG610">
        <v>3598.6353661335302</v>
      </c>
      <c r="AH610">
        <v>1296075000</v>
      </c>
    </row>
    <row r="611" spans="27:34">
      <c r="AA611">
        <v>9.0500000000000007</v>
      </c>
      <c r="AB611">
        <v>1.3</v>
      </c>
      <c r="AC611">
        <v>56</v>
      </c>
      <c r="AD611">
        <v>7.9234973E-2</v>
      </c>
      <c r="AE611">
        <v>53</v>
      </c>
      <c r="AF611">
        <v>19.510000000000002</v>
      </c>
      <c r="AG611">
        <v>4114.5735232629604</v>
      </c>
      <c r="AH611">
        <v>1303720000</v>
      </c>
    </row>
    <row r="612" spans="27:34">
      <c r="AA612">
        <v>9.0500000000000007</v>
      </c>
      <c r="AB612">
        <v>1.3</v>
      </c>
      <c r="AC612">
        <v>56</v>
      </c>
      <c r="AD612">
        <v>7.9234973E-2</v>
      </c>
      <c r="AG612">
        <v>4761.28803780404</v>
      </c>
      <c r="AH612">
        <v>1311020000</v>
      </c>
    </row>
    <row r="613" spans="27:34">
      <c r="AA613">
        <v>9.0500000000000007</v>
      </c>
      <c r="AB613">
        <v>1.3</v>
      </c>
      <c r="AC613">
        <v>56</v>
      </c>
      <c r="AD613">
        <v>7.9234973E-2</v>
      </c>
      <c r="AG613">
        <v>5594.4188062398198</v>
      </c>
      <c r="AH613">
        <v>1317885000</v>
      </c>
    </row>
    <row r="614" spans="27:34">
      <c r="AA614">
        <v>9.0500000000000007</v>
      </c>
      <c r="AB614">
        <v>1.3</v>
      </c>
      <c r="AC614">
        <v>56</v>
      </c>
      <c r="AD614">
        <v>7.9234973E-2</v>
      </c>
      <c r="AE614">
        <v>55</v>
      </c>
      <c r="AG614">
        <v>6233.5033122630603</v>
      </c>
      <c r="AH614">
        <v>1324655000</v>
      </c>
    </row>
    <row r="615" spans="27:34">
      <c r="AA615">
        <v>9.0500000000000007</v>
      </c>
      <c r="AB615">
        <v>1.3</v>
      </c>
      <c r="AC615">
        <v>56</v>
      </c>
      <c r="AD615">
        <v>7.9234973E-2</v>
      </c>
      <c r="AG615">
        <v>6827.9500038541801</v>
      </c>
      <c r="AH615">
        <v>1331460000</v>
      </c>
    </row>
    <row r="616" spans="27:34">
      <c r="AA616">
        <v>9.0500000000000007</v>
      </c>
      <c r="AB616">
        <v>1.3</v>
      </c>
      <c r="AC616">
        <v>56</v>
      </c>
      <c r="AD616">
        <v>7.9234973E-2</v>
      </c>
    </row>
    <row r="617" spans="27:34">
      <c r="AA617">
        <v>9.0500000000000007</v>
      </c>
      <c r="AB617">
        <v>1.3</v>
      </c>
      <c r="AC617">
        <v>56</v>
      </c>
      <c r="AD617">
        <v>7.9234973E-2</v>
      </c>
    </row>
    <row r="618" spans="27:34">
      <c r="AA618">
        <v>8.08</v>
      </c>
      <c r="AB618">
        <v>4.5</v>
      </c>
      <c r="AC618">
        <v>33</v>
      </c>
      <c r="AD618">
        <v>0.113274336</v>
      </c>
      <c r="AE618">
        <v>70</v>
      </c>
      <c r="AF618">
        <v>0.42</v>
      </c>
      <c r="AG618">
        <v>5543.1806544016399</v>
      </c>
      <c r="AH618">
        <v>36459011</v>
      </c>
    </row>
    <row r="619" spans="27:34">
      <c r="AA619">
        <v>8.08</v>
      </c>
      <c r="AB619">
        <v>4.5</v>
      </c>
      <c r="AC619">
        <v>33</v>
      </c>
      <c r="AD619">
        <v>0.113274336</v>
      </c>
      <c r="AG619">
        <v>5662.77309226118</v>
      </c>
      <c r="AH619">
        <v>37119213</v>
      </c>
    </row>
    <row r="620" spans="27:34">
      <c r="AA620">
        <v>8.08</v>
      </c>
      <c r="AB620">
        <v>4.5</v>
      </c>
      <c r="AC620">
        <v>33</v>
      </c>
      <c r="AD620">
        <v>0.113274336</v>
      </c>
      <c r="AG620">
        <v>5856.2519966159198</v>
      </c>
      <c r="AH620">
        <v>37782390</v>
      </c>
    </row>
    <row r="621" spans="27:34">
      <c r="AA621">
        <v>8.08</v>
      </c>
      <c r="AB621">
        <v>4.5</v>
      </c>
      <c r="AC621">
        <v>33</v>
      </c>
      <c r="AD621">
        <v>0.113274336</v>
      </c>
      <c r="AG621">
        <v>5853.2771752712797</v>
      </c>
      <c r="AH621">
        <v>38447016</v>
      </c>
    </row>
    <row r="622" spans="27:34">
      <c r="AA622">
        <v>8.08</v>
      </c>
      <c r="AB622">
        <v>4.5</v>
      </c>
      <c r="AC622">
        <v>33</v>
      </c>
      <c r="AD622">
        <v>0.113274336</v>
      </c>
      <c r="AG622">
        <v>5592.7896544230298</v>
      </c>
      <c r="AH622">
        <v>39111030</v>
      </c>
    </row>
    <row r="623" spans="27:34">
      <c r="AA623">
        <v>8.08</v>
      </c>
      <c r="AB623">
        <v>4.5</v>
      </c>
      <c r="AC623">
        <v>33</v>
      </c>
      <c r="AD623">
        <v>0.113274336</v>
      </c>
      <c r="AE623">
        <v>72</v>
      </c>
      <c r="AF623">
        <v>0.59330000000000005</v>
      </c>
      <c r="AG623">
        <v>5865.5277966502599</v>
      </c>
      <c r="AH623">
        <v>39772905</v>
      </c>
    </row>
    <row r="624" spans="27:34">
      <c r="AA624">
        <v>8.08</v>
      </c>
      <c r="AB624">
        <v>4.5</v>
      </c>
      <c r="AC624">
        <v>33</v>
      </c>
      <c r="AD624">
        <v>0.113274336</v>
      </c>
      <c r="AG624">
        <v>5999.8051196443503</v>
      </c>
      <c r="AH624">
        <v>40431645</v>
      </c>
    </row>
    <row r="625" spans="27:34">
      <c r="AA625">
        <v>8.08</v>
      </c>
      <c r="AB625">
        <v>4.5</v>
      </c>
      <c r="AC625">
        <v>33</v>
      </c>
      <c r="AD625">
        <v>0.113274336</v>
      </c>
      <c r="AG625">
        <v>6150.1759970780504</v>
      </c>
      <c r="AH625">
        <v>41087424</v>
      </c>
    </row>
    <row r="626" spans="27:34">
      <c r="AA626">
        <v>8.08</v>
      </c>
      <c r="AB626">
        <v>4.5</v>
      </c>
      <c r="AC626">
        <v>33</v>
      </c>
      <c r="AD626">
        <v>0.113274336</v>
      </c>
      <c r="AG626">
        <v>6426.6566031455004</v>
      </c>
      <c r="AH626">
        <v>41741289</v>
      </c>
    </row>
    <row r="627" spans="27:34">
      <c r="AA627">
        <v>8.08</v>
      </c>
      <c r="AB627">
        <v>4.5</v>
      </c>
      <c r="AC627">
        <v>33</v>
      </c>
      <c r="AD627">
        <v>0.113274336</v>
      </c>
      <c r="AG627">
        <v>6853.9483934858799</v>
      </c>
      <c r="AH627">
        <v>42394904</v>
      </c>
    </row>
    <row r="628" spans="27:34">
      <c r="AA628">
        <v>8.08</v>
      </c>
      <c r="AB628">
        <v>4.5</v>
      </c>
      <c r="AC628">
        <v>33</v>
      </c>
      <c r="AD628">
        <v>0.113274336</v>
      </c>
      <c r="AE628">
        <v>74</v>
      </c>
      <c r="AG628">
        <v>7305.0094294657201</v>
      </c>
      <c r="AH628">
        <v>43049245</v>
      </c>
    </row>
    <row r="629" spans="27:34">
      <c r="AA629">
        <v>8.08</v>
      </c>
      <c r="AB629">
        <v>4.5</v>
      </c>
      <c r="AC629">
        <v>33</v>
      </c>
      <c r="AD629">
        <v>0.113274336</v>
      </c>
      <c r="AG629">
        <v>7925.0477465610202</v>
      </c>
      <c r="AH629">
        <v>43704486</v>
      </c>
    </row>
    <row r="630" spans="27:34">
      <c r="AA630">
        <v>8.08</v>
      </c>
      <c r="AB630">
        <v>4.5</v>
      </c>
      <c r="AC630">
        <v>33</v>
      </c>
      <c r="AD630">
        <v>0.113274336</v>
      </c>
      <c r="AG630">
        <v>8633.2806597458693</v>
      </c>
      <c r="AH630">
        <v>44359445</v>
      </c>
    </row>
    <row r="631" spans="27:34">
      <c r="AA631">
        <v>8.08</v>
      </c>
      <c r="AB631">
        <v>4.5</v>
      </c>
      <c r="AC631">
        <v>33</v>
      </c>
      <c r="AD631">
        <v>0.113274336</v>
      </c>
      <c r="AE631">
        <v>74</v>
      </c>
      <c r="AG631">
        <v>8931.5059572741593</v>
      </c>
      <c r="AH631">
        <v>45012096</v>
      </c>
    </row>
    <row r="632" spans="27:34">
      <c r="AA632">
        <v>8.08</v>
      </c>
      <c r="AB632">
        <v>4.5</v>
      </c>
      <c r="AC632">
        <v>33</v>
      </c>
      <c r="AD632">
        <v>0.113274336</v>
      </c>
      <c r="AG632">
        <v>8959.2375738972405</v>
      </c>
      <c r="AH632">
        <v>45659709</v>
      </c>
    </row>
    <row r="633" spans="27:34">
      <c r="AA633">
        <v>8.08</v>
      </c>
      <c r="AB633">
        <v>4.5</v>
      </c>
      <c r="AC633">
        <v>33</v>
      </c>
      <c r="AD633">
        <v>0.113274336</v>
      </c>
    </row>
    <row r="634" spans="27:34">
      <c r="AA634">
        <v>8.08</v>
      </c>
      <c r="AB634">
        <v>4.5</v>
      </c>
      <c r="AC634">
        <v>33</v>
      </c>
      <c r="AD634">
        <v>0.113274336</v>
      </c>
    </row>
    <row r="635" spans="27:34">
      <c r="AA635">
        <v>-2.88</v>
      </c>
      <c r="AB635">
        <v>4.8</v>
      </c>
      <c r="AC635">
        <v>177</v>
      </c>
      <c r="AD635">
        <v>0.35302917</v>
      </c>
      <c r="AE635">
        <v>22</v>
      </c>
      <c r="AG635">
        <v>920.64554475790897</v>
      </c>
      <c r="AH635">
        <v>486192.74799529102</v>
      </c>
    </row>
    <row r="636" spans="27:34">
      <c r="AA636">
        <v>-2.88</v>
      </c>
      <c r="AB636">
        <v>4.8</v>
      </c>
      <c r="AC636">
        <v>177</v>
      </c>
      <c r="AD636">
        <v>0.35302917</v>
      </c>
      <c r="AG636">
        <v>906.78149557193603</v>
      </c>
      <c r="AH636">
        <v>496567.36493398098</v>
      </c>
    </row>
    <row r="637" spans="27:34">
      <c r="AA637">
        <v>-2.88</v>
      </c>
      <c r="AB637">
        <v>4.8</v>
      </c>
      <c r="AC637">
        <v>177</v>
      </c>
      <c r="AD637">
        <v>0.35302917</v>
      </c>
      <c r="AG637">
        <v>939.99702315868103</v>
      </c>
      <c r="AH637">
        <v>507163.36048654001</v>
      </c>
    </row>
    <row r="638" spans="27:34">
      <c r="AA638">
        <v>-2.88</v>
      </c>
      <c r="AB638">
        <v>4.8</v>
      </c>
      <c r="AC638">
        <v>177</v>
      </c>
      <c r="AD638">
        <v>0.35302917</v>
      </c>
      <c r="AG638">
        <v>942.70740450296205</v>
      </c>
      <c r="AH638">
        <v>517985.45853732701</v>
      </c>
    </row>
    <row r="639" spans="27:34">
      <c r="AA639">
        <v>-2.88</v>
      </c>
      <c r="AB639">
        <v>4.8</v>
      </c>
      <c r="AC639">
        <v>177</v>
      </c>
      <c r="AD639">
        <v>0.35302917</v>
      </c>
      <c r="AG639">
        <v>954.55929665292899</v>
      </c>
      <c r="AH639">
        <v>529038.48377123696</v>
      </c>
    </row>
    <row r="640" spans="27:34">
      <c r="AA640">
        <v>-2.88</v>
      </c>
      <c r="AB640">
        <v>4.8</v>
      </c>
      <c r="AC640">
        <v>177</v>
      </c>
      <c r="AD640">
        <v>0.35302917</v>
      </c>
      <c r="AE640">
        <v>28</v>
      </c>
      <c r="AF640">
        <v>0.83330000000000004</v>
      </c>
      <c r="AG640">
        <v>968.37536093600602</v>
      </c>
      <c r="AH640">
        <v>540327.36382463702</v>
      </c>
    </row>
    <row r="641" spans="27:34">
      <c r="AA641">
        <v>-2.88</v>
      </c>
      <c r="AB641">
        <v>4.8</v>
      </c>
      <c r="AC641">
        <v>177</v>
      </c>
      <c r="AD641">
        <v>0.35302917</v>
      </c>
      <c r="AG641">
        <v>1001.92046334125</v>
      </c>
      <c r="AH641">
        <v>551857.13148218999</v>
      </c>
    </row>
    <row r="642" spans="27:34">
      <c r="AA642">
        <v>-2.88</v>
      </c>
      <c r="AB642">
        <v>4.8</v>
      </c>
      <c r="AC642">
        <v>177</v>
      </c>
      <c r="AD642">
        <v>0.35302917</v>
      </c>
      <c r="AG642">
        <v>1038.2910041021701</v>
      </c>
      <c r="AH642">
        <v>563632.92692055996</v>
      </c>
    </row>
    <row r="643" spans="27:34">
      <c r="AA643">
        <v>-2.88</v>
      </c>
      <c r="AB643">
        <v>4.8</v>
      </c>
      <c r="AC643">
        <v>177</v>
      </c>
      <c r="AD643">
        <v>0.35302917</v>
      </c>
      <c r="AG643">
        <v>1064.2089948974899</v>
      </c>
      <c r="AH643">
        <v>575660</v>
      </c>
    </row>
    <row r="644" spans="27:34">
      <c r="AA644">
        <v>-2.88</v>
      </c>
      <c r="AB644">
        <v>4.8</v>
      </c>
      <c r="AC644">
        <v>177</v>
      </c>
      <c r="AD644">
        <v>0.35302917</v>
      </c>
      <c r="AG644">
        <v>1068.9394095268899</v>
      </c>
      <c r="AH644">
        <v>587943.71260482899</v>
      </c>
    </row>
    <row r="645" spans="27:34">
      <c r="AA645">
        <v>-2.88</v>
      </c>
      <c r="AB645">
        <v>4.8</v>
      </c>
      <c r="AC645">
        <v>177</v>
      </c>
      <c r="AD645">
        <v>0.35302917</v>
      </c>
      <c r="AE645">
        <v>35</v>
      </c>
      <c r="AG645">
        <v>1127.2536919266599</v>
      </c>
      <c r="AH645">
        <v>600489.54103385506</v>
      </c>
    </row>
    <row r="646" spans="27:34">
      <c r="AA646">
        <v>-2.88</v>
      </c>
      <c r="AB646">
        <v>4.8</v>
      </c>
      <c r="AC646">
        <v>177</v>
      </c>
      <c r="AD646">
        <v>0.35302917</v>
      </c>
      <c r="AG646">
        <v>1153.1866199630799</v>
      </c>
      <c r="AH646">
        <v>613605.97734631901</v>
      </c>
    </row>
    <row r="647" spans="27:34">
      <c r="AA647">
        <v>-2.88</v>
      </c>
      <c r="AB647">
        <v>4.8</v>
      </c>
      <c r="AC647">
        <v>177</v>
      </c>
      <c r="AD647">
        <v>0.35302917</v>
      </c>
      <c r="AG647">
        <v>1170.32313339444</v>
      </c>
      <c r="AH647">
        <v>628410.06071383599</v>
      </c>
    </row>
    <row r="648" spans="27:34">
      <c r="AA648">
        <v>-2.88</v>
      </c>
      <c r="AB648">
        <v>4.8</v>
      </c>
      <c r="AC648">
        <v>177</v>
      </c>
      <c r="AD648">
        <v>0.35302917</v>
      </c>
      <c r="AE648">
        <v>36</v>
      </c>
      <c r="AG648">
        <v>1179.11923508</v>
      </c>
      <c r="AH648">
        <v>643571.31283857406</v>
      </c>
    </row>
    <row r="649" spans="27:34">
      <c r="AA649">
        <v>-2.88</v>
      </c>
      <c r="AB649">
        <v>4.8</v>
      </c>
      <c r="AC649">
        <v>177</v>
      </c>
      <c r="AD649">
        <v>0.35302917</v>
      </c>
      <c r="AG649">
        <v>1182.9184021909</v>
      </c>
      <c r="AH649">
        <v>659098.35090526298</v>
      </c>
    </row>
    <row r="650" spans="27:34">
      <c r="AA650">
        <v>-2.88</v>
      </c>
      <c r="AB650">
        <v>4.8</v>
      </c>
      <c r="AC650">
        <v>177</v>
      </c>
      <c r="AD650">
        <v>0.35302917</v>
      </c>
    </row>
    <row r="651" spans="27:34">
      <c r="AA651">
        <v>-2.88</v>
      </c>
      <c r="AB651">
        <v>4.8</v>
      </c>
      <c r="AC651">
        <v>177</v>
      </c>
      <c r="AD651">
        <v>0.35302917</v>
      </c>
    </row>
    <row r="652" spans="27:34">
      <c r="AA652">
        <v>1.86</v>
      </c>
      <c r="AB652">
        <v>4.5</v>
      </c>
      <c r="AC652">
        <v>220</v>
      </c>
      <c r="AD652">
        <v>0.42118076700000001</v>
      </c>
      <c r="AG652">
        <v>2543.9331167164601</v>
      </c>
      <c r="AH652">
        <v>2782397</v>
      </c>
    </row>
    <row r="653" spans="27:34">
      <c r="AA653">
        <v>1.86</v>
      </c>
      <c r="AB653">
        <v>4.5</v>
      </c>
      <c r="AC653">
        <v>220</v>
      </c>
      <c r="AD653">
        <v>0.42118076700000001</v>
      </c>
      <c r="AG653">
        <v>2653.5265760126399</v>
      </c>
      <c r="AH653">
        <v>2835383</v>
      </c>
    </row>
    <row r="654" spans="27:34">
      <c r="AA654">
        <v>1.86</v>
      </c>
      <c r="AB654">
        <v>4.5</v>
      </c>
      <c r="AC654">
        <v>220</v>
      </c>
      <c r="AD654">
        <v>0.42118076700000001</v>
      </c>
      <c r="AG654">
        <v>2640.4158902271702</v>
      </c>
      <c r="AH654">
        <v>2882589</v>
      </c>
    </row>
    <row r="655" spans="27:34">
      <c r="AA655">
        <v>1.86</v>
      </c>
      <c r="AB655">
        <v>4.5</v>
      </c>
      <c r="AC655">
        <v>220</v>
      </c>
      <c r="AD655">
        <v>0.42118076700000001</v>
      </c>
      <c r="AG655">
        <v>2726.0119244119501</v>
      </c>
      <c r="AH655">
        <v>2928135</v>
      </c>
    </row>
    <row r="656" spans="27:34">
      <c r="AA656">
        <v>1.86</v>
      </c>
      <c r="AB656">
        <v>4.5</v>
      </c>
      <c r="AC656">
        <v>220</v>
      </c>
      <c r="AD656">
        <v>0.42118076700000001</v>
      </c>
      <c r="AG656">
        <v>2649.13650407765</v>
      </c>
      <c r="AH656">
        <v>2977777</v>
      </c>
    </row>
    <row r="657" spans="27:34">
      <c r="AA657">
        <v>1.86</v>
      </c>
      <c r="AB657">
        <v>4.5</v>
      </c>
      <c r="AC657">
        <v>220</v>
      </c>
      <c r="AD657">
        <v>0.42118076700000001</v>
      </c>
      <c r="AE657">
        <v>30</v>
      </c>
      <c r="AF657">
        <v>5.4999999999999997E-3</v>
      </c>
      <c r="AG657">
        <v>2856.7583348007802</v>
      </c>
      <c r="AH657">
        <v>3035508</v>
      </c>
    </row>
    <row r="658" spans="27:34">
      <c r="AA658">
        <v>1.86</v>
      </c>
      <c r="AB658">
        <v>4.5</v>
      </c>
      <c r="AC658">
        <v>220</v>
      </c>
      <c r="AD658">
        <v>0.42118076700000001</v>
      </c>
      <c r="AG658">
        <v>2966.2833072297499</v>
      </c>
      <c r="AH658">
        <v>3103314</v>
      </c>
    </row>
    <row r="659" spans="27:34">
      <c r="AA659">
        <v>1.86</v>
      </c>
      <c r="AB659">
        <v>4.5</v>
      </c>
      <c r="AC659">
        <v>220</v>
      </c>
      <c r="AD659">
        <v>0.42118076700000001</v>
      </c>
      <c r="AG659">
        <v>3077.42911184595</v>
      </c>
      <c r="AH659">
        <v>3179660</v>
      </c>
    </row>
    <row r="660" spans="27:34">
      <c r="AA660">
        <v>1.86</v>
      </c>
      <c r="AB660">
        <v>4.5</v>
      </c>
      <c r="AC660">
        <v>220</v>
      </c>
      <c r="AD660">
        <v>0.42118076700000001</v>
      </c>
      <c r="AG660">
        <v>3090.08527230241</v>
      </c>
      <c r="AH660">
        <v>3260769</v>
      </c>
    </row>
    <row r="661" spans="27:34">
      <c r="AA661">
        <v>1.86</v>
      </c>
      <c r="AB661">
        <v>4.5</v>
      </c>
      <c r="AC661">
        <v>220</v>
      </c>
      <c r="AD661">
        <v>0.42118076700000001</v>
      </c>
      <c r="AG661">
        <v>3209.8648405598701</v>
      </c>
      <c r="AH661">
        <v>3341052</v>
      </c>
    </row>
    <row r="662" spans="27:34">
      <c r="AA662">
        <v>1.86</v>
      </c>
      <c r="AB662">
        <v>4.5</v>
      </c>
      <c r="AC662">
        <v>220</v>
      </c>
      <c r="AD662">
        <v>0.42118076700000001</v>
      </c>
      <c r="AE662">
        <v>30</v>
      </c>
      <c r="AG662">
        <v>3496.5017862782702</v>
      </c>
      <c r="AH662">
        <v>3416654</v>
      </c>
    </row>
    <row r="663" spans="27:34">
      <c r="AA663">
        <v>1.86</v>
      </c>
      <c r="AB663">
        <v>4.5</v>
      </c>
      <c r="AC663">
        <v>220</v>
      </c>
      <c r="AD663">
        <v>0.42118076700000001</v>
      </c>
      <c r="AG663">
        <v>3755.49883594316</v>
      </c>
      <c r="AH663">
        <v>3486073</v>
      </c>
    </row>
    <row r="664" spans="27:34">
      <c r="AA664">
        <v>1.86</v>
      </c>
      <c r="AB664">
        <v>4.5</v>
      </c>
      <c r="AC664">
        <v>220</v>
      </c>
      <c r="AD664">
        <v>0.42118076700000001</v>
      </c>
      <c r="AG664">
        <v>3752.4286294073399</v>
      </c>
      <c r="AH664">
        <v>3551105</v>
      </c>
    </row>
    <row r="665" spans="27:34">
      <c r="AA665">
        <v>1.86</v>
      </c>
      <c r="AB665">
        <v>4.5</v>
      </c>
      <c r="AC665">
        <v>220</v>
      </c>
      <c r="AD665">
        <v>0.42118076700000001</v>
      </c>
      <c r="AE665">
        <v>30</v>
      </c>
      <c r="AG665">
        <v>3976.32476073216</v>
      </c>
      <c r="AH665">
        <v>3615152</v>
      </c>
    </row>
    <row r="666" spans="27:34">
      <c r="AA666">
        <v>1.86</v>
      </c>
      <c r="AB666">
        <v>4.5</v>
      </c>
      <c r="AC666">
        <v>220</v>
      </c>
      <c r="AD666">
        <v>0.42118076700000001</v>
      </c>
      <c r="AG666">
        <v>4237.9539115438802</v>
      </c>
      <c r="AH666">
        <v>3683182</v>
      </c>
    </row>
    <row r="667" spans="27:34">
      <c r="AA667">
        <v>1.86</v>
      </c>
      <c r="AB667">
        <v>4.5</v>
      </c>
      <c r="AC667">
        <v>220</v>
      </c>
      <c r="AD667">
        <v>0.42118076700000001</v>
      </c>
    </row>
    <row r="668" spans="27:34">
      <c r="AA668">
        <v>1.86</v>
      </c>
      <c r="AB668">
        <v>4.5</v>
      </c>
      <c r="AC668">
        <v>220</v>
      </c>
      <c r="AD668">
        <v>0.42118076700000001</v>
      </c>
    </row>
    <row r="669" spans="27:34">
      <c r="AA669">
        <v>3.02</v>
      </c>
      <c r="AB669">
        <v>4.3</v>
      </c>
      <c r="AC669">
        <v>786</v>
      </c>
      <c r="AD669">
        <v>0.484407484</v>
      </c>
      <c r="AG669">
        <v>286.12141489685501</v>
      </c>
      <c r="AH669">
        <v>44920980</v>
      </c>
    </row>
    <row r="670" spans="27:34">
      <c r="AA670">
        <v>3.02</v>
      </c>
      <c r="AB670">
        <v>4.3</v>
      </c>
      <c r="AC670">
        <v>786</v>
      </c>
      <c r="AD670">
        <v>0.484407484</v>
      </c>
      <c r="AG670">
        <v>280.57144557754202</v>
      </c>
      <c r="AH670">
        <v>46207846</v>
      </c>
    </row>
    <row r="671" spans="27:34">
      <c r="AA671">
        <v>3.02</v>
      </c>
      <c r="AB671">
        <v>4.3</v>
      </c>
      <c r="AC671">
        <v>786</v>
      </c>
      <c r="AD671">
        <v>0.484407484</v>
      </c>
      <c r="AG671">
        <v>263.03126940070001</v>
      </c>
      <c r="AH671">
        <v>47345519</v>
      </c>
    </row>
    <row r="672" spans="27:34">
      <c r="AA672">
        <v>3.02</v>
      </c>
      <c r="AB672">
        <v>4.3</v>
      </c>
      <c r="AC672">
        <v>786</v>
      </c>
      <c r="AD672">
        <v>0.484407484</v>
      </c>
      <c r="AG672">
        <v>255.88707486367699</v>
      </c>
      <c r="AH672">
        <v>48418510</v>
      </c>
    </row>
    <row r="673" spans="27:34">
      <c r="AA673">
        <v>3.02</v>
      </c>
      <c r="AB673">
        <v>4.3</v>
      </c>
      <c r="AC673">
        <v>786</v>
      </c>
      <c r="AD673">
        <v>0.484407484</v>
      </c>
      <c r="AG673">
        <v>242.873329009624</v>
      </c>
      <c r="AH673">
        <v>49550275</v>
      </c>
    </row>
    <row r="674" spans="27:34">
      <c r="AA674">
        <v>3.02</v>
      </c>
      <c r="AB674">
        <v>4.3</v>
      </c>
      <c r="AC674">
        <v>786</v>
      </c>
      <c r="AD674">
        <v>0.484407484</v>
      </c>
      <c r="AF674">
        <v>4.8500000000000001E-2</v>
      </c>
      <c r="AG674">
        <v>225.19436647602501</v>
      </c>
      <c r="AH674">
        <v>50829248</v>
      </c>
    </row>
    <row r="675" spans="27:34">
      <c r="AA675">
        <v>3.02</v>
      </c>
      <c r="AB675">
        <v>4.3</v>
      </c>
      <c r="AC675">
        <v>786</v>
      </c>
      <c r="AD675">
        <v>0.484407484</v>
      </c>
      <c r="AG675">
        <v>219.19042932096701</v>
      </c>
      <c r="AH675">
        <v>52284019</v>
      </c>
    </row>
    <row r="676" spans="27:34">
      <c r="AA676">
        <v>3.02</v>
      </c>
      <c r="AB676">
        <v>4.3</v>
      </c>
      <c r="AC676">
        <v>786</v>
      </c>
      <c r="AD676">
        <v>0.484407484</v>
      </c>
      <c r="AG676">
        <v>223.63068091931899</v>
      </c>
      <c r="AH676">
        <v>53884709</v>
      </c>
    </row>
    <row r="677" spans="27:34">
      <c r="AA677">
        <v>3.02</v>
      </c>
      <c r="AB677">
        <v>4.3</v>
      </c>
      <c r="AC677">
        <v>786</v>
      </c>
      <c r="AD677">
        <v>0.484407484</v>
      </c>
      <c r="AG677">
        <v>234.26480613641701</v>
      </c>
      <c r="AH677">
        <v>55590624</v>
      </c>
    </row>
    <row r="678" spans="27:34">
      <c r="AA678">
        <v>3.02</v>
      </c>
      <c r="AB678">
        <v>4.3</v>
      </c>
      <c r="AC678">
        <v>786</v>
      </c>
      <c r="AD678">
        <v>0.484407484</v>
      </c>
      <c r="AG678">
        <v>249.07631480936601</v>
      </c>
      <c r="AH678">
        <v>57337002</v>
      </c>
    </row>
    <row r="679" spans="27:34">
      <c r="AA679">
        <v>3.02</v>
      </c>
      <c r="AB679">
        <v>4.3</v>
      </c>
      <c r="AC679">
        <v>786</v>
      </c>
      <c r="AD679">
        <v>0.484407484</v>
      </c>
      <c r="AG679">
        <v>265.94820776604098</v>
      </c>
      <c r="AH679">
        <v>59076752</v>
      </c>
    </row>
    <row r="680" spans="27:34">
      <c r="AA680">
        <v>3.02</v>
      </c>
      <c r="AB680">
        <v>4.3</v>
      </c>
      <c r="AC680">
        <v>786</v>
      </c>
      <c r="AD680">
        <v>0.484407484</v>
      </c>
      <c r="AG680">
        <v>280.38173920965801</v>
      </c>
      <c r="AH680">
        <v>60799799</v>
      </c>
    </row>
    <row r="681" spans="27:34">
      <c r="AA681">
        <v>3.02</v>
      </c>
      <c r="AB681">
        <v>4.3</v>
      </c>
      <c r="AC681">
        <v>786</v>
      </c>
      <c r="AD681">
        <v>0.484407484</v>
      </c>
      <c r="AG681">
        <v>299.64162540401202</v>
      </c>
      <c r="AH681">
        <v>62522787</v>
      </c>
    </row>
    <row r="682" spans="27:34">
      <c r="AA682">
        <v>3.02</v>
      </c>
      <c r="AB682">
        <v>4.3</v>
      </c>
      <c r="AC682">
        <v>786</v>
      </c>
      <c r="AD682">
        <v>0.484407484</v>
      </c>
      <c r="AG682">
        <v>316.39389384460998</v>
      </c>
      <c r="AH682">
        <v>64256635</v>
      </c>
    </row>
    <row r="683" spans="27:34">
      <c r="AA683">
        <v>3.02</v>
      </c>
      <c r="AB683">
        <v>4.3</v>
      </c>
      <c r="AC683">
        <v>786</v>
      </c>
      <c r="AD683">
        <v>0.484407484</v>
      </c>
      <c r="AG683">
        <v>319.13956568971901</v>
      </c>
      <c r="AH683">
        <v>66020365</v>
      </c>
    </row>
    <row r="684" spans="27:34">
      <c r="AA684">
        <v>3.02</v>
      </c>
      <c r="AB684">
        <v>4.3</v>
      </c>
      <c r="AC684">
        <v>786</v>
      </c>
      <c r="AD684">
        <v>0.484407484</v>
      </c>
    </row>
    <row r="685" spans="27:34">
      <c r="AA685">
        <v>3.02</v>
      </c>
      <c r="AB685">
        <v>4.3</v>
      </c>
      <c r="AC685">
        <v>786</v>
      </c>
      <c r="AD685">
        <v>0.484407484</v>
      </c>
    </row>
    <row r="686" spans="27:34">
      <c r="AA686">
        <v>-4.17</v>
      </c>
      <c r="AB686">
        <v>4.4000000000000004</v>
      </c>
      <c r="AC686">
        <v>4</v>
      </c>
      <c r="AD686">
        <v>6.4386317999999998E-2</v>
      </c>
      <c r="AE686">
        <v>94</v>
      </c>
      <c r="AF686">
        <v>5.1349999999999998</v>
      </c>
      <c r="AG686">
        <v>5875.21859109661</v>
      </c>
      <c r="AH686">
        <v>3478643</v>
      </c>
    </row>
    <row r="687" spans="27:34">
      <c r="AA687">
        <v>-4.17</v>
      </c>
      <c r="AB687">
        <v>4.4000000000000004</v>
      </c>
      <c r="AC687">
        <v>4</v>
      </c>
      <c r="AD687">
        <v>6.4386317999999998E-2</v>
      </c>
      <c r="AG687">
        <v>5891.1166400617903</v>
      </c>
      <c r="AH687">
        <v>3566940</v>
      </c>
    </row>
    <row r="688" spans="27:34">
      <c r="AA688">
        <v>-4.17</v>
      </c>
      <c r="AB688">
        <v>4.4000000000000004</v>
      </c>
      <c r="AC688">
        <v>4</v>
      </c>
      <c r="AD688">
        <v>6.4386317999999998E-2</v>
      </c>
      <c r="AG688">
        <v>6172.37530553947</v>
      </c>
      <c r="AH688">
        <v>3658043</v>
      </c>
    </row>
    <row r="689" spans="27:34">
      <c r="AA689">
        <v>-4.17</v>
      </c>
      <c r="AB689">
        <v>4.4000000000000004</v>
      </c>
      <c r="AC689">
        <v>4</v>
      </c>
      <c r="AD689">
        <v>6.4386317999999998E-2</v>
      </c>
      <c r="AG689">
        <v>6599.7676082520002</v>
      </c>
      <c r="AH689">
        <v>3750405</v>
      </c>
    </row>
    <row r="690" spans="27:34">
      <c r="AA690">
        <v>-4.17</v>
      </c>
      <c r="AB690">
        <v>4.4000000000000004</v>
      </c>
      <c r="AC690">
        <v>4</v>
      </c>
      <c r="AD690">
        <v>6.4386317999999998E-2</v>
      </c>
      <c r="AG690">
        <v>7074.5096381640196</v>
      </c>
      <c r="AH690">
        <v>3841895</v>
      </c>
    </row>
    <row r="691" spans="27:34">
      <c r="AA691">
        <v>-4.17</v>
      </c>
      <c r="AB691">
        <v>4.4000000000000004</v>
      </c>
      <c r="AC691">
        <v>4</v>
      </c>
      <c r="AD691">
        <v>6.4386317999999998E-2</v>
      </c>
      <c r="AE691">
        <v>95</v>
      </c>
      <c r="AF691">
        <v>2.3839999999999999</v>
      </c>
      <c r="AG691">
        <v>7191.1997892072104</v>
      </c>
      <c r="AH691">
        <v>3930863</v>
      </c>
    </row>
    <row r="692" spans="27:34">
      <c r="AA692">
        <v>-4.17</v>
      </c>
      <c r="AB692">
        <v>4.4000000000000004</v>
      </c>
      <c r="AC692">
        <v>4</v>
      </c>
      <c r="AD692">
        <v>6.4386317999999998E-2</v>
      </c>
      <c r="AG692">
        <v>7274.0835250431301</v>
      </c>
      <c r="AH692">
        <v>4016954</v>
      </c>
    </row>
    <row r="693" spans="27:34">
      <c r="AA693">
        <v>-4.17</v>
      </c>
      <c r="AB693">
        <v>4.4000000000000004</v>
      </c>
      <c r="AC693">
        <v>4</v>
      </c>
      <c r="AD693">
        <v>6.4386317999999998E-2</v>
      </c>
      <c r="AG693">
        <v>7452.2036417650397</v>
      </c>
      <c r="AH693">
        <v>4100282</v>
      </c>
    </row>
    <row r="694" spans="27:34">
      <c r="AA694">
        <v>-4.17</v>
      </c>
      <c r="AB694">
        <v>4.4000000000000004</v>
      </c>
      <c r="AC694">
        <v>4</v>
      </c>
      <c r="AD694">
        <v>6.4386317999999998E-2</v>
      </c>
      <c r="AG694">
        <v>7945.3929562664798</v>
      </c>
      <c r="AH694">
        <v>4180270</v>
      </c>
    </row>
    <row r="695" spans="27:34">
      <c r="AA695">
        <v>-4.17</v>
      </c>
      <c r="AB695">
        <v>4.4000000000000004</v>
      </c>
      <c r="AC695">
        <v>4</v>
      </c>
      <c r="AD695">
        <v>6.4386317999999998E-2</v>
      </c>
      <c r="AG695">
        <v>8366.3049409751802</v>
      </c>
      <c r="AH695">
        <v>4256382</v>
      </c>
    </row>
    <row r="696" spans="27:34">
      <c r="AA696">
        <v>-4.17</v>
      </c>
      <c r="AB696">
        <v>4.4000000000000004</v>
      </c>
      <c r="AC696">
        <v>4</v>
      </c>
      <c r="AD696">
        <v>6.4386317999999998E-2</v>
      </c>
      <c r="AE696">
        <v>95</v>
      </c>
      <c r="AG696">
        <v>9001.9545871976807</v>
      </c>
      <c r="AH696">
        <v>4328362</v>
      </c>
    </row>
    <row r="697" spans="27:34">
      <c r="AA697">
        <v>-4.17</v>
      </c>
      <c r="AB697">
        <v>4.4000000000000004</v>
      </c>
      <c r="AC697">
        <v>4</v>
      </c>
      <c r="AD697">
        <v>6.4386317999999998E-2</v>
      </c>
      <c r="AG697">
        <v>9955.8554028138296</v>
      </c>
      <c r="AH697">
        <v>4395721</v>
      </c>
    </row>
    <row r="698" spans="27:34">
      <c r="AA698">
        <v>-4.17</v>
      </c>
      <c r="AB698">
        <v>4.4000000000000004</v>
      </c>
      <c r="AC698">
        <v>4</v>
      </c>
      <c r="AD698">
        <v>6.4386317999999998E-2</v>
      </c>
      <c r="AG698">
        <v>10942.7276082469</v>
      </c>
      <c r="AH698">
        <v>4458782</v>
      </c>
    </row>
    <row r="699" spans="27:34">
      <c r="AA699">
        <v>-4.17</v>
      </c>
      <c r="AB699">
        <v>4.4000000000000004</v>
      </c>
      <c r="AC699">
        <v>4</v>
      </c>
      <c r="AD699">
        <v>6.4386317999999998E-2</v>
      </c>
      <c r="AE699">
        <v>95</v>
      </c>
      <c r="AG699">
        <v>11320.4506194112</v>
      </c>
      <c r="AH699">
        <v>4519126</v>
      </c>
    </row>
    <row r="700" spans="27:34">
      <c r="AA700">
        <v>-4.17</v>
      </c>
      <c r="AB700">
        <v>4.4000000000000004</v>
      </c>
      <c r="AC700">
        <v>4</v>
      </c>
      <c r="AD700">
        <v>6.4386317999999998E-2</v>
      </c>
      <c r="AG700">
        <v>11105.7449735342</v>
      </c>
      <c r="AH700">
        <v>4578945</v>
      </c>
    </row>
    <row r="701" spans="27:34">
      <c r="AA701">
        <v>-4.17</v>
      </c>
      <c r="AB701">
        <v>4.4000000000000004</v>
      </c>
      <c r="AC701">
        <v>4</v>
      </c>
      <c r="AD701">
        <v>6.4386317999999998E-2</v>
      </c>
    </row>
    <row r="702" spans="27:34">
      <c r="AA702">
        <v>-4.17</v>
      </c>
      <c r="AB702">
        <v>4.4000000000000004</v>
      </c>
      <c r="AC702">
        <v>4</v>
      </c>
      <c r="AD702">
        <v>6.4386317999999998E-2</v>
      </c>
    </row>
    <row r="703" spans="27:34">
      <c r="AA703">
        <v>9.82</v>
      </c>
      <c r="AB703">
        <v>4.8</v>
      </c>
      <c r="AC703">
        <v>561</v>
      </c>
      <c r="AD703">
        <v>0.44796828500000002</v>
      </c>
      <c r="AE703">
        <v>21</v>
      </c>
      <c r="AF703">
        <v>1.518</v>
      </c>
      <c r="AG703">
        <v>1399.8516272193499</v>
      </c>
      <c r="AH703">
        <v>14980854</v>
      </c>
    </row>
    <row r="704" spans="27:34">
      <c r="AA704">
        <v>9.82</v>
      </c>
      <c r="AB704">
        <v>4.8</v>
      </c>
      <c r="AC704">
        <v>561</v>
      </c>
      <c r="AD704">
        <v>0.44796828500000002</v>
      </c>
      <c r="AG704">
        <v>1489.4292557026299</v>
      </c>
      <c r="AH704">
        <v>15458193</v>
      </c>
    </row>
    <row r="705" spans="27:34">
      <c r="AA705">
        <v>9.82</v>
      </c>
      <c r="AB705">
        <v>4.8</v>
      </c>
      <c r="AC705">
        <v>561</v>
      </c>
      <c r="AD705">
        <v>0.44796828500000002</v>
      </c>
      <c r="AG705">
        <v>1554.7360421625699</v>
      </c>
      <c r="AH705">
        <v>15933410</v>
      </c>
    </row>
    <row r="706" spans="27:34">
      <c r="AA706">
        <v>9.82</v>
      </c>
      <c r="AB706">
        <v>4.8</v>
      </c>
      <c r="AC706">
        <v>561</v>
      </c>
      <c r="AD706">
        <v>0.44796828500000002</v>
      </c>
      <c r="AG706">
        <v>1600.15675915616</v>
      </c>
      <c r="AH706">
        <v>16400315</v>
      </c>
    </row>
    <row r="707" spans="27:34">
      <c r="AA707">
        <v>9.82</v>
      </c>
      <c r="AB707">
        <v>4.8</v>
      </c>
      <c r="AC707">
        <v>561</v>
      </c>
      <c r="AD707">
        <v>0.44796828500000002</v>
      </c>
      <c r="AG707">
        <v>1605.2341505817001</v>
      </c>
      <c r="AH707">
        <v>16851199</v>
      </c>
    </row>
    <row r="708" spans="27:34">
      <c r="AA708">
        <v>9.82</v>
      </c>
      <c r="AB708">
        <v>4.8</v>
      </c>
      <c r="AC708">
        <v>561</v>
      </c>
      <c r="AD708">
        <v>0.44796828500000002</v>
      </c>
      <c r="AE708">
        <v>22</v>
      </c>
      <c r="AF708">
        <v>1.7370000000000001</v>
      </c>
      <c r="AG708">
        <v>1539.96113104659</v>
      </c>
      <c r="AH708">
        <v>17281479</v>
      </c>
    </row>
    <row r="709" spans="27:34">
      <c r="AA709">
        <v>9.82</v>
      </c>
      <c r="AB709">
        <v>4.8</v>
      </c>
      <c r="AC709">
        <v>561</v>
      </c>
      <c r="AD709">
        <v>0.44796828500000002</v>
      </c>
      <c r="AG709">
        <v>1538.34918804023</v>
      </c>
      <c r="AH709">
        <v>17688037</v>
      </c>
    </row>
    <row r="710" spans="27:34">
      <c r="AA710">
        <v>9.82</v>
      </c>
      <c r="AB710">
        <v>4.8</v>
      </c>
      <c r="AC710">
        <v>561</v>
      </c>
      <c r="AD710">
        <v>0.44796828500000002</v>
      </c>
      <c r="AG710">
        <v>1507.9942825411199</v>
      </c>
      <c r="AH710">
        <v>18074853</v>
      </c>
    </row>
    <row r="711" spans="27:34">
      <c r="AA711">
        <v>9.82</v>
      </c>
      <c r="AB711">
        <v>4.8</v>
      </c>
      <c r="AC711">
        <v>561</v>
      </c>
      <c r="AD711">
        <v>0.44796828500000002</v>
      </c>
      <c r="AG711">
        <v>1485.4307535088101</v>
      </c>
      <c r="AH711">
        <v>18453355</v>
      </c>
    </row>
    <row r="712" spans="27:34">
      <c r="AA712">
        <v>9.82</v>
      </c>
      <c r="AB712">
        <v>4.8</v>
      </c>
      <c r="AC712">
        <v>561</v>
      </c>
      <c r="AD712">
        <v>0.44796828500000002</v>
      </c>
      <c r="AG712">
        <v>1523.07255477955</v>
      </c>
      <c r="AH712">
        <v>18839434</v>
      </c>
    </row>
    <row r="713" spans="27:34">
      <c r="AA713">
        <v>9.82</v>
      </c>
      <c r="AB713">
        <v>4.8</v>
      </c>
      <c r="AC713">
        <v>561</v>
      </c>
      <c r="AD713">
        <v>0.44796828500000002</v>
      </c>
      <c r="AE713">
        <v>23</v>
      </c>
      <c r="AG713">
        <v>1560.0560245203801</v>
      </c>
      <c r="AH713">
        <v>19244866</v>
      </c>
    </row>
    <row r="714" spans="27:34">
      <c r="AA714">
        <v>9.82</v>
      </c>
      <c r="AB714">
        <v>4.8</v>
      </c>
      <c r="AC714">
        <v>561</v>
      </c>
      <c r="AD714">
        <v>0.44796828500000002</v>
      </c>
      <c r="AG714">
        <v>1586.48677906123</v>
      </c>
      <c r="AH714">
        <v>19673411</v>
      </c>
    </row>
    <row r="715" spans="27:34">
      <c r="AA715">
        <v>9.82</v>
      </c>
      <c r="AB715">
        <v>4.8</v>
      </c>
      <c r="AC715">
        <v>561</v>
      </c>
      <c r="AD715">
        <v>0.44796828500000002</v>
      </c>
      <c r="AG715">
        <v>1631.7139012899299</v>
      </c>
      <c r="AH715">
        <v>20122796</v>
      </c>
    </row>
    <row r="716" spans="27:34">
      <c r="AA716">
        <v>9.82</v>
      </c>
      <c r="AB716">
        <v>4.8</v>
      </c>
      <c r="AC716">
        <v>561</v>
      </c>
      <c r="AD716">
        <v>0.44796828500000002</v>
      </c>
      <c r="AE716">
        <v>23</v>
      </c>
      <c r="AG716">
        <v>1665.5201793221499</v>
      </c>
      <c r="AH716">
        <v>20591302</v>
      </c>
    </row>
    <row r="717" spans="27:34">
      <c r="AA717">
        <v>9.82</v>
      </c>
      <c r="AB717">
        <v>4.8</v>
      </c>
      <c r="AC717">
        <v>561</v>
      </c>
      <c r="AD717">
        <v>0.44796828500000002</v>
      </c>
      <c r="AG717">
        <v>1701.22631302944</v>
      </c>
      <c r="AH717">
        <v>21075010</v>
      </c>
    </row>
    <row r="718" spans="27:34">
      <c r="AA718">
        <v>9.82</v>
      </c>
      <c r="AB718">
        <v>4.8</v>
      </c>
      <c r="AC718">
        <v>561</v>
      </c>
      <c r="AD718">
        <v>0.44796828500000002</v>
      </c>
    </row>
    <row r="719" spans="27:34">
      <c r="AA719">
        <v>9.82</v>
      </c>
      <c r="AB719">
        <v>4.8</v>
      </c>
      <c r="AC719">
        <v>561</v>
      </c>
      <c r="AD719">
        <v>0.44796828500000002</v>
      </c>
    </row>
    <row r="720" spans="27:34">
      <c r="AA720">
        <v>-6.06</v>
      </c>
      <c r="AB720">
        <v>1.5</v>
      </c>
      <c r="AC720">
        <v>0</v>
      </c>
      <c r="AD720">
        <v>3.1847133999999999E-2</v>
      </c>
      <c r="AE720">
        <v>99</v>
      </c>
      <c r="AG720">
        <v>7979.85688264698</v>
      </c>
      <c r="AH720">
        <v>4669000</v>
      </c>
    </row>
    <row r="721" spans="27:34">
      <c r="AA721">
        <v>-6.06</v>
      </c>
      <c r="AB721">
        <v>1.5</v>
      </c>
      <c r="AC721">
        <v>0</v>
      </c>
      <c r="AD721">
        <v>3.1847133999999999E-2</v>
      </c>
      <c r="AG721">
        <v>8996.3529485983308</v>
      </c>
      <c r="AH721">
        <v>4494000</v>
      </c>
    </row>
    <row r="722" spans="27:34">
      <c r="AA722">
        <v>-6.06</v>
      </c>
      <c r="AB722">
        <v>1.5</v>
      </c>
      <c r="AC722">
        <v>0</v>
      </c>
      <c r="AD722">
        <v>3.1847133999999999E-2</v>
      </c>
      <c r="AG722">
        <v>9593.7944076382591</v>
      </c>
      <c r="AH722">
        <v>4572000</v>
      </c>
    </row>
    <row r="723" spans="27:34">
      <c r="AA723">
        <v>-6.06</v>
      </c>
      <c r="AB723">
        <v>1.5</v>
      </c>
      <c r="AC723">
        <v>0</v>
      </c>
      <c r="AD723">
        <v>3.1847133999999999E-2</v>
      </c>
      <c r="AG723">
        <v>10087.7301753061</v>
      </c>
      <c r="AH723">
        <v>4501000</v>
      </c>
    </row>
    <row r="724" spans="27:34">
      <c r="AA724">
        <v>-6.06</v>
      </c>
      <c r="AB724">
        <v>1.5</v>
      </c>
      <c r="AC724">
        <v>0</v>
      </c>
      <c r="AD724">
        <v>3.1847133999999999E-2</v>
      </c>
      <c r="AG724">
        <v>9967.8584483794602</v>
      </c>
      <c r="AH724">
        <v>4554000</v>
      </c>
    </row>
    <row r="725" spans="27:34">
      <c r="AA725">
        <v>-6.06</v>
      </c>
      <c r="AB725">
        <v>1.5</v>
      </c>
      <c r="AC725">
        <v>0</v>
      </c>
      <c r="AD725">
        <v>3.1847133999999999E-2</v>
      </c>
      <c r="AE725">
        <v>99</v>
      </c>
      <c r="AG725">
        <v>10919.1537725909</v>
      </c>
      <c r="AH725">
        <v>4426000</v>
      </c>
    </row>
    <row r="726" spans="27:34">
      <c r="AA726">
        <v>-6.06</v>
      </c>
      <c r="AB726">
        <v>1.5</v>
      </c>
      <c r="AC726">
        <v>0</v>
      </c>
      <c r="AD726">
        <v>3.1847133999999999E-2</v>
      </c>
      <c r="AG726">
        <v>11661.2580066592</v>
      </c>
      <c r="AH726">
        <v>4440000</v>
      </c>
    </row>
    <row r="727" spans="27:34">
      <c r="AA727">
        <v>-6.06</v>
      </c>
      <c r="AB727">
        <v>1.5</v>
      </c>
      <c r="AC727">
        <v>0</v>
      </c>
      <c r="AD727">
        <v>3.1847133999999999E-2</v>
      </c>
      <c r="AG727">
        <v>12571.4986616404</v>
      </c>
      <c r="AH727">
        <v>4440000</v>
      </c>
    </row>
    <row r="728" spans="27:34">
      <c r="AA728">
        <v>-6.06</v>
      </c>
      <c r="AB728">
        <v>1.5</v>
      </c>
      <c r="AC728">
        <v>0</v>
      </c>
      <c r="AD728">
        <v>3.1847133999999999E-2</v>
      </c>
      <c r="AG728">
        <v>13414.048944829499</v>
      </c>
      <c r="AH728">
        <v>4440000</v>
      </c>
    </row>
    <row r="729" spans="27:34">
      <c r="AA729">
        <v>-6.06</v>
      </c>
      <c r="AB729">
        <v>1.5</v>
      </c>
      <c r="AC729">
        <v>0</v>
      </c>
      <c r="AD729">
        <v>3.1847133999999999E-2</v>
      </c>
      <c r="AG729">
        <v>14444.657545761</v>
      </c>
      <c r="AH729">
        <v>4439000</v>
      </c>
    </row>
    <row r="730" spans="27:34">
      <c r="AA730">
        <v>-6.06</v>
      </c>
      <c r="AB730">
        <v>1.5</v>
      </c>
      <c r="AC730">
        <v>0</v>
      </c>
      <c r="AD730">
        <v>3.1847133999999999E-2</v>
      </c>
      <c r="AE730">
        <v>99</v>
      </c>
      <c r="AG730">
        <v>15328.760303527501</v>
      </c>
      <c r="AH730">
        <v>4442000</v>
      </c>
    </row>
    <row r="731" spans="27:34">
      <c r="AA731">
        <v>-6.06</v>
      </c>
      <c r="AB731">
        <v>1.5</v>
      </c>
      <c r="AC731">
        <v>0</v>
      </c>
      <c r="AD731">
        <v>3.1847133999999999E-2</v>
      </c>
      <c r="AG731">
        <v>16807.290398743</v>
      </c>
      <c r="AH731">
        <v>4440000</v>
      </c>
    </row>
    <row r="732" spans="27:34">
      <c r="AA732">
        <v>-6.06</v>
      </c>
      <c r="AB732">
        <v>1.5</v>
      </c>
      <c r="AC732">
        <v>0</v>
      </c>
      <c r="AD732">
        <v>3.1847133999999999E-2</v>
      </c>
      <c r="AG732">
        <v>18717.387691587999</v>
      </c>
      <c r="AH732">
        <v>4436000</v>
      </c>
    </row>
    <row r="733" spans="27:34">
      <c r="AA733">
        <v>-6.06</v>
      </c>
      <c r="AB733">
        <v>1.5</v>
      </c>
      <c r="AC733">
        <v>0</v>
      </c>
      <c r="AD733">
        <v>3.1847133999999999E-2</v>
      </c>
      <c r="AE733">
        <v>99</v>
      </c>
      <c r="AG733">
        <v>20332.1623809169</v>
      </c>
      <c r="AH733">
        <v>4434000</v>
      </c>
    </row>
    <row r="734" spans="27:34">
      <c r="AA734">
        <v>-6.06</v>
      </c>
      <c r="AB734">
        <v>1.5</v>
      </c>
      <c r="AC734">
        <v>0</v>
      </c>
      <c r="AD734">
        <v>3.1847133999999999E-2</v>
      </c>
      <c r="AG734">
        <v>19986.240560649501</v>
      </c>
      <c r="AH734">
        <v>4432000.9017132604</v>
      </c>
    </row>
    <row r="735" spans="27:34">
      <c r="AA735">
        <v>-6.06</v>
      </c>
      <c r="AB735">
        <v>1.5</v>
      </c>
      <c r="AC735">
        <v>0</v>
      </c>
      <c r="AD735">
        <v>3.1847133999999999E-2</v>
      </c>
      <c r="AF735">
        <v>0.59809999999999997</v>
      </c>
    </row>
    <row r="736" spans="27:34">
      <c r="AA736">
        <v>-6.06</v>
      </c>
      <c r="AB736">
        <v>1.5</v>
      </c>
      <c r="AC736">
        <v>0</v>
      </c>
      <c r="AD736">
        <v>3.1847133999999999E-2</v>
      </c>
    </row>
    <row r="737" spans="27:34">
      <c r="AA737">
        <v>-8.26</v>
      </c>
      <c r="AB737">
        <v>4.0999999999999996</v>
      </c>
      <c r="AC737">
        <v>1</v>
      </c>
      <c r="AD737">
        <v>8.3481349999999996E-2</v>
      </c>
      <c r="AE737">
        <v>83</v>
      </c>
      <c r="AF737">
        <v>13.65</v>
      </c>
      <c r="AH737">
        <v>10910121</v>
      </c>
    </row>
    <row r="738" spans="27:34">
      <c r="AA738">
        <v>-8.26</v>
      </c>
      <c r="AB738">
        <v>4.0999999999999996</v>
      </c>
      <c r="AC738">
        <v>1</v>
      </c>
      <c r="AD738">
        <v>8.3481349999999996E-2</v>
      </c>
      <c r="AH738">
        <v>10954959</v>
      </c>
    </row>
    <row r="739" spans="27:34">
      <c r="AA739">
        <v>-8.26</v>
      </c>
      <c r="AB739">
        <v>4.0999999999999996</v>
      </c>
      <c r="AC739">
        <v>1</v>
      </c>
      <c r="AD739">
        <v>8.3481349999999996E-2</v>
      </c>
      <c r="AH739">
        <v>10993809</v>
      </c>
    </row>
    <row r="740" spans="27:34">
      <c r="AA740">
        <v>-8.26</v>
      </c>
      <c r="AB740">
        <v>4.0999999999999996</v>
      </c>
      <c r="AC740">
        <v>1</v>
      </c>
      <c r="AD740">
        <v>8.3481349999999996E-2</v>
      </c>
      <c r="AH740">
        <v>11027829</v>
      </c>
    </row>
    <row r="741" spans="27:34">
      <c r="AA741">
        <v>-8.26</v>
      </c>
      <c r="AB741">
        <v>4.0999999999999996</v>
      </c>
      <c r="AC741">
        <v>1</v>
      </c>
      <c r="AD741">
        <v>8.3481349999999996E-2</v>
      </c>
      <c r="AH741">
        <v>11058483</v>
      </c>
    </row>
    <row r="742" spans="27:34">
      <c r="AA742">
        <v>-8.26</v>
      </c>
      <c r="AB742">
        <v>4.0999999999999996</v>
      </c>
      <c r="AC742">
        <v>1</v>
      </c>
      <c r="AD742">
        <v>8.3481349999999996E-2</v>
      </c>
      <c r="AE742">
        <v>86</v>
      </c>
      <c r="AF742">
        <v>19.8</v>
      </c>
      <c r="AH742">
        <v>11086832</v>
      </c>
    </row>
    <row r="743" spans="27:34">
      <c r="AA743">
        <v>-8.26</v>
      </c>
      <c r="AB743">
        <v>4.0999999999999996</v>
      </c>
      <c r="AC743">
        <v>1</v>
      </c>
      <c r="AD743">
        <v>8.3481349999999996E-2</v>
      </c>
      <c r="AH743">
        <v>11113666</v>
      </c>
    </row>
    <row r="744" spans="27:34">
      <c r="AA744">
        <v>-8.26</v>
      </c>
      <c r="AB744">
        <v>4.0999999999999996</v>
      </c>
      <c r="AC744">
        <v>1</v>
      </c>
      <c r="AD744">
        <v>8.3481349999999996E-2</v>
      </c>
      <c r="AH744">
        <v>11138855</v>
      </c>
    </row>
    <row r="745" spans="27:34">
      <c r="AA745">
        <v>-8.26</v>
      </c>
      <c r="AB745">
        <v>4.0999999999999996</v>
      </c>
      <c r="AC745">
        <v>1</v>
      </c>
      <c r="AD745">
        <v>8.3481349999999996E-2</v>
      </c>
      <c r="AH745">
        <v>11161419</v>
      </c>
    </row>
    <row r="746" spans="27:34">
      <c r="AA746">
        <v>-8.26</v>
      </c>
      <c r="AB746">
        <v>4.0999999999999996</v>
      </c>
      <c r="AC746">
        <v>1</v>
      </c>
      <c r="AD746">
        <v>8.3481349999999996E-2</v>
      </c>
      <c r="AH746">
        <v>11179849</v>
      </c>
    </row>
    <row r="747" spans="27:34">
      <c r="AA747">
        <v>-8.26</v>
      </c>
      <c r="AB747">
        <v>4.0999999999999996</v>
      </c>
      <c r="AC747">
        <v>1</v>
      </c>
      <c r="AD747">
        <v>8.3481349999999996E-2</v>
      </c>
      <c r="AE747">
        <v>89</v>
      </c>
      <c r="AH747">
        <v>11193192</v>
      </c>
    </row>
    <row r="748" spans="27:34">
      <c r="AA748">
        <v>-8.26</v>
      </c>
      <c r="AB748">
        <v>4.0999999999999996</v>
      </c>
      <c r="AC748">
        <v>1</v>
      </c>
      <c r="AD748">
        <v>8.3481349999999996E-2</v>
      </c>
      <c r="AH748">
        <v>11201117</v>
      </c>
    </row>
    <row r="749" spans="27:34">
      <c r="AA749">
        <v>-8.26</v>
      </c>
      <c r="AB749">
        <v>4.0999999999999996</v>
      </c>
      <c r="AC749">
        <v>1</v>
      </c>
      <c r="AD749">
        <v>8.3481349999999996E-2</v>
      </c>
      <c r="AH749">
        <v>11204438</v>
      </c>
    </row>
    <row r="750" spans="27:34">
      <c r="AA750">
        <v>-8.26</v>
      </c>
      <c r="AB750">
        <v>4.0999999999999996</v>
      </c>
      <c r="AC750">
        <v>1</v>
      </c>
      <c r="AD750">
        <v>8.3481349999999996E-2</v>
      </c>
      <c r="AE750">
        <v>91</v>
      </c>
      <c r="AH750">
        <v>11204735</v>
      </c>
    </row>
    <row r="751" spans="27:34">
      <c r="AA751">
        <v>-8.26</v>
      </c>
      <c r="AB751">
        <v>4.0999999999999996</v>
      </c>
      <c r="AC751">
        <v>1</v>
      </c>
      <c r="AD751">
        <v>8.3481349999999996E-2</v>
      </c>
      <c r="AH751">
        <v>11204180</v>
      </c>
    </row>
    <row r="752" spans="27:34">
      <c r="AA752">
        <v>-8.26</v>
      </c>
      <c r="AB752">
        <v>4.0999999999999996</v>
      </c>
      <c r="AC752">
        <v>1</v>
      </c>
      <c r="AD752">
        <v>8.3481349999999996E-2</v>
      </c>
    </row>
    <row r="753" spans="27:34">
      <c r="AA753">
        <v>-8.26</v>
      </c>
      <c r="AB753">
        <v>4.0999999999999996</v>
      </c>
      <c r="AC753">
        <v>1</v>
      </c>
      <c r="AD753">
        <v>8.3481349999999996E-2</v>
      </c>
    </row>
    <row r="754" spans="27:34">
      <c r="AA754">
        <v>-15.03</v>
      </c>
      <c r="AB754">
        <v>2.2000000000000002</v>
      </c>
      <c r="AC754">
        <v>14</v>
      </c>
      <c r="AD754">
        <v>4.0572792000000003E-2</v>
      </c>
      <c r="AE754">
        <v>100</v>
      </c>
      <c r="AF754">
        <v>26.67</v>
      </c>
      <c r="AG754">
        <v>15411.7196328267</v>
      </c>
      <c r="AH754">
        <v>731492</v>
      </c>
    </row>
    <row r="755" spans="27:34">
      <c r="AA755">
        <v>-15.03</v>
      </c>
      <c r="AB755">
        <v>2.2000000000000002</v>
      </c>
      <c r="AC755">
        <v>14</v>
      </c>
      <c r="AD755">
        <v>4.0572792000000003E-2</v>
      </c>
      <c r="AG755">
        <v>15789.226962967699</v>
      </c>
      <c r="AH755">
        <v>742563</v>
      </c>
    </row>
    <row r="756" spans="27:34">
      <c r="AA756">
        <v>-15.03</v>
      </c>
      <c r="AB756">
        <v>2.2000000000000002</v>
      </c>
      <c r="AC756">
        <v>14</v>
      </c>
      <c r="AD756">
        <v>4.0572792000000003E-2</v>
      </c>
      <c r="AG756">
        <v>16271.8888240778</v>
      </c>
      <c r="AH756">
        <v>753722</v>
      </c>
    </row>
    <row r="757" spans="27:34">
      <c r="AA757">
        <v>-15.03</v>
      </c>
      <c r="AB757">
        <v>2.2000000000000002</v>
      </c>
      <c r="AC757">
        <v>14</v>
      </c>
      <c r="AD757">
        <v>4.0572792000000003E-2</v>
      </c>
      <c r="AG757">
        <v>17179.027933691301</v>
      </c>
      <c r="AH757">
        <v>764858</v>
      </c>
    </row>
    <row r="758" spans="27:34">
      <c r="AA758">
        <v>-15.03</v>
      </c>
      <c r="AB758">
        <v>2.2000000000000002</v>
      </c>
      <c r="AC758">
        <v>14</v>
      </c>
      <c r="AD758">
        <v>4.0572792000000003E-2</v>
      </c>
      <c r="AG758">
        <v>17982.849226825299</v>
      </c>
      <c r="AH758">
        <v>775850</v>
      </c>
    </row>
    <row r="759" spans="27:34">
      <c r="AA759">
        <v>-15.03</v>
      </c>
      <c r="AB759">
        <v>2.2000000000000002</v>
      </c>
      <c r="AC759">
        <v>14</v>
      </c>
      <c r="AD759">
        <v>4.0572792000000003E-2</v>
      </c>
      <c r="AE759">
        <v>100</v>
      </c>
      <c r="AF759">
        <v>20.64</v>
      </c>
      <c r="AG759">
        <v>19434.585721174899</v>
      </c>
      <c r="AH759">
        <v>786607</v>
      </c>
    </row>
    <row r="760" spans="27:34">
      <c r="AA760">
        <v>-15.03</v>
      </c>
      <c r="AB760">
        <v>2.2000000000000002</v>
      </c>
      <c r="AC760">
        <v>14</v>
      </c>
      <c r="AD760">
        <v>4.0572792000000003E-2</v>
      </c>
      <c r="AG760">
        <v>20926.4048456774</v>
      </c>
      <c r="AH760">
        <v>797077</v>
      </c>
    </row>
    <row r="761" spans="27:34">
      <c r="AA761">
        <v>-15.03</v>
      </c>
      <c r="AB761">
        <v>2.2000000000000002</v>
      </c>
      <c r="AC761">
        <v>14</v>
      </c>
      <c r="AD761">
        <v>4.0572792000000003E-2</v>
      </c>
      <c r="AG761">
        <v>21373.587315372701</v>
      </c>
      <c r="AH761">
        <v>807243</v>
      </c>
    </row>
    <row r="762" spans="27:34">
      <c r="AA762">
        <v>-15.03</v>
      </c>
      <c r="AB762">
        <v>2.2000000000000002</v>
      </c>
      <c r="AC762">
        <v>14</v>
      </c>
      <c r="AD762">
        <v>4.0572792000000003E-2</v>
      </c>
      <c r="AG762">
        <v>21792.192902847</v>
      </c>
      <c r="AH762">
        <v>817104</v>
      </c>
    </row>
    <row r="763" spans="27:34">
      <c r="AA763">
        <v>-15.03</v>
      </c>
      <c r="AB763">
        <v>2.2000000000000002</v>
      </c>
      <c r="AC763">
        <v>14</v>
      </c>
      <c r="AD763">
        <v>4.0572792000000003E-2</v>
      </c>
      <c r="AG763">
        <v>23214.444478557802</v>
      </c>
      <c r="AH763">
        <v>826681</v>
      </c>
    </row>
    <row r="764" spans="27:34">
      <c r="AA764">
        <v>-15.03</v>
      </c>
      <c r="AB764">
        <v>2.2000000000000002</v>
      </c>
      <c r="AC764">
        <v>14</v>
      </c>
      <c r="AD764">
        <v>4.0572792000000003E-2</v>
      </c>
      <c r="AE764">
        <v>100</v>
      </c>
      <c r="AF764">
        <v>23.4</v>
      </c>
      <c r="AG764">
        <v>24403.118582831801</v>
      </c>
      <c r="AH764">
        <v>835998</v>
      </c>
    </row>
    <row r="765" spans="27:34">
      <c r="AA765">
        <v>-15.03</v>
      </c>
      <c r="AB765">
        <v>2.2000000000000002</v>
      </c>
      <c r="AC765">
        <v>14</v>
      </c>
      <c r="AD765">
        <v>4.0572792000000003E-2</v>
      </c>
      <c r="AG765">
        <v>26308.849733209001</v>
      </c>
      <c r="AH765">
        <v>845037</v>
      </c>
    </row>
    <row r="766" spans="27:34">
      <c r="AA766">
        <v>-15.03</v>
      </c>
      <c r="AB766">
        <v>2.2000000000000002</v>
      </c>
      <c r="AC766">
        <v>14</v>
      </c>
      <c r="AD766">
        <v>4.0572792000000003E-2</v>
      </c>
      <c r="AG766">
        <v>28532.094577158099</v>
      </c>
      <c r="AH766">
        <v>853814</v>
      </c>
    </row>
    <row r="767" spans="27:34">
      <c r="AA767">
        <v>-15.03</v>
      </c>
      <c r="AB767">
        <v>2.2000000000000002</v>
      </c>
      <c r="AC767">
        <v>14</v>
      </c>
      <c r="AD767">
        <v>4.0572792000000003E-2</v>
      </c>
      <c r="AE767">
        <v>100</v>
      </c>
      <c r="AG767">
        <v>31353.0182836518</v>
      </c>
      <c r="AH767">
        <v>862434</v>
      </c>
    </row>
    <row r="768" spans="27:34">
      <c r="AA768">
        <v>-15.03</v>
      </c>
      <c r="AB768">
        <v>2.2000000000000002</v>
      </c>
      <c r="AC768">
        <v>14</v>
      </c>
      <c r="AD768">
        <v>4.0572792000000003E-2</v>
      </c>
      <c r="AG768">
        <v>30848.201134587402</v>
      </c>
      <c r="AH768">
        <v>871036</v>
      </c>
    </row>
    <row r="769" spans="27:34">
      <c r="AA769">
        <v>-15.03</v>
      </c>
      <c r="AB769">
        <v>2.2000000000000002</v>
      </c>
      <c r="AC769">
        <v>14</v>
      </c>
      <c r="AD769">
        <v>4.0572792000000003E-2</v>
      </c>
      <c r="AF769">
        <v>19.29</v>
      </c>
    </row>
    <row r="770" spans="27:34">
      <c r="AA770">
        <v>-15.03</v>
      </c>
      <c r="AB770">
        <v>2.2000000000000002</v>
      </c>
      <c r="AC770">
        <v>14</v>
      </c>
      <c r="AD770">
        <v>4.0572792000000003E-2</v>
      </c>
    </row>
    <row r="771" spans="27:34">
      <c r="AA771">
        <v>5.05</v>
      </c>
      <c r="AB771">
        <v>2.1</v>
      </c>
      <c r="AC771">
        <v>1</v>
      </c>
      <c r="AD771">
        <v>4.4326241000000002E-2</v>
      </c>
      <c r="AE771">
        <v>99</v>
      </c>
      <c r="AF771">
        <v>18.96</v>
      </c>
      <c r="AG771">
        <v>12808.2359045461</v>
      </c>
      <c r="AH771">
        <v>10331000</v>
      </c>
    </row>
    <row r="772" spans="27:34">
      <c r="AA772">
        <v>5.05</v>
      </c>
      <c r="AB772">
        <v>2.1</v>
      </c>
      <c r="AC772">
        <v>1</v>
      </c>
      <c r="AD772">
        <v>4.4326241000000002E-2</v>
      </c>
      <c r="AG772">
        <v>13642.651301206601</v>
      </c>
      <c r="AH772">
        <v>10315000</v>
      </c>
    </row>
    <row r="773" spans="27:34">
      <c r="AA773">
        <v>5.05</v>
      </c>
      <c r="AB773">
        <v>2.1</v>
      </c>
      <c r="AC773">
        <v>1</v>
      </c>
      <c r="AD773">
        <v>4.4326241000000002E-2</v>
      </c>
      <c r="AG773">
        <v>13826.371759715301</v>
      </c>
      <c r="AH773">
        <v>10304100</v>
      </c>
    </row>
    <row r="774" spans="27:34">
      <c r="AA774">
        <v>5.05</v>
      </c>
      <c r="AB774">
        <v>2.1</v>
      </c>
      <c r="AC774">
        <v>1</v>
      </c>
      <c r="AD774">
        <v>4.4326241000000002E-2</v>
      </c>
      <c r="AG774">
        <v>13961.6023258397</v>
      </c>
      <c r="AH774">
        <v>10294900</v>
      </c>
    </row>
    <row r="775" spans="27:34">
      <c r="AA775">
        <v>5.05</v>
      </c>
      <c r="AB775">
        <v>2.1</v>
      </c>
      <c r="AC775">
        <v>1</v>
      </c>
      <c r="AD775">
        <v>4.4326241000000002E-2</v>
      </c>
      <c r="AG775">
        <v>14312.1991569359</v>
      </c>
      <c r="AH775">
        <v>10283000</v>
      </c>
    </row>
    <row r="776" spans="27:34">
      <c r="AA776">
        <v>5.05</v>
      </c>
      <c r="AB776">
        <v>2.1</v>
      </c>
      <c r="AC776">
        <v>1</v>
      </c>
      <c r="AD776">
        <v>4.4326241000000002E-2</v>
      </c>
      <c r="AE776">
        <v>98</v>
      </c>
      <c r="AF776">
        <v>13.29</v>
      </c>
      <c r="AG776">
        <v>14991.1951294515</v>
      </c>
      <c r="AH776">
        <v>10273300</v>
      </c>
    </row>
    <row r="777" spans="27:34">
      <c r="AA777">
        <v>5.05</v>
      </c>
      <c r="AB777">
        <v>2.1</v>
      </c>
      <c r="AC777">
        <v>1</v>
      </c>
      <c r="AD777">
        <v>4.4326241000000002E-2</v>
      </c>
      <c r="AG777">
        <v>16173.9424567032</v>
      </c>
      <c r="AH777">
        <v>10224000</v>
      </c>
    </row>
    <row r="778" spans="27:34">
      <c r="AA778">
        <v>5.05</v>
      </c>
      <c r="AB778">
        <v>2.1</v>
      </c>
      <c r="AC778">
        <v>1</v>
      </c>
      <c r="AD778">
        <v>4.4326241000000002E-2</v>
      </c>
      <c r="AG778">
        <v>16865.570550997702</v>
      </c>
      <c r="AH778">
        <v>10204853</v>
      </c>
    </row>
    <row r="779" spans="27:34">
      <c r="AA779">
        <v>5.05</v>
      </c>
      <c r="AB779">
        <v>2.1</v>
      </c>
      <c r="AC779">
        <v>1</v>
      </c>
      <c r="AD779">
        <v>4.4326241000000002E-2</v>
      </c>
      <c r="AG779">
        <v>17981.8667379787</v>
      </c>
      <c r="AH779">
        <v>10207362</v>
      </c>
    </row>
    <row r="780" spans="27:34">
      <c r="AA780">
        <v>5.05</v>
      </c>
      <c r="AB780">
        <v>2.1</v>
      </c>
      <c r="AC780">
        <v>1</v>
      </c>
      <c r="AD780">
        <v>4.4326241000000002E-2</v>
      </c>
      <c r="AG780">
        <v>19286.738911163298</v>
      </c>
      <c r="AH780">
        <v>10216016</v>
      </c>
    </row>
    <row r="781" spans="27:34">
      <c r="AA781">
        <v>5.05</v>
      </c>
      <c r="AB781">
        <v>2.1</v>
      </c>
      <c r="AC781">
        <v>1</v>
      </c>
      <c r="AD781">
        <v>4.4326241000000002E-2</v>
      </c>
      <c r="AE781">
        <v>98</v>
      </c>
      <c r="AG781">
        <v>20362.3030747866</v>
      </c>
      <c r="AH781">
        <v>10235828</v>
      </c>
    </row>
    <row r="782" spans="27:34">
      <c r="AA782">
        <v>5.05</v>
      </c>
      <c r="AB782">
        <v>2.1</v>
      </c>
      <c r="AC782">
        <v>1</v>
      </c>
      <c r="AD782">
        <v>4.4326241000000002E-2</v>
      </c>
      <c r="AG782">
        <v>22344.288501228501</v>
      </c>
      <c r="AH782">
        <v>10269134</v>
      </c>
    </row>
    <row r="783" spans="27:34">
      <c r="AA783">
        <v>5.05</v>
      </c>
      <c r="AB783">
        <v>2.1</v>
      </c>
      <c r="AC783">
        <v>1</v>
      </c>
      <c r="AD783">
        <v>4.4326241000000002E-2</v>
      </c>
      <c r="AG783">
        <v>24551.432609612399</v>
      </c>
      <c r="AH783">
        <v>10334160</v>
      </c>
    </row>
    <row r="784" spans="27:34">
      <c r="AA784">
        <v>5.05</v>
      </c>
      <c r="AB784">
        <v>2.1</v>
      </c>
      <c r="AC784">
        <v>1</v>
      </c>
      <c r="AD784">
        <v>4.4326241000000002E-2</v>
      </c>
      <c r="AE784">
        <v>98</v>
      </c>
      <c r="AG784">
        <v>25858.2833514187</v>
      </c>
      <c r="AH784">
        <v>10424336</v>
      </c>
    </row>
    <row r="785" spans="27:34">
      <c r="AA785">
        <v>5.05</v>
      </c>
      <c r="AB785">
        <v>2.1</v>
      </c>
      <c r="AC785">
        <v>1</v>
      </c>
      <c r="AD785">
        <v>4.4326241000000002E-2</v>
      </c>
      <c r="AG785">
        <v>25580.522543849402</v>
      </c>
      <c r="AH785">
        <v>10489970</v>
      </c>
    </row>
    <row r="786" spans="27:34">
      <c r="AA786">
        <v>5.05</v>
      </c>
      <c r="AB786">
        <v>2.1</v>
      </c>
      <c r="AC786">
        <v>1</v>
      </c>
      <c r="AD786">
        <v>4.4326241000000002E-2</v>
      </c>
      <c r="AF786">
        <v>14.81</v>
      </c>
    </row>
    <row r="787" spans="27:34">
      <c r="AA787">
        <v>5.05</v>
      </c>
      <c r="AB787">
        <v>2.1</v>
      </c>
      <c r="AC787">
        <v>1</v>
      </c>
      <c r="AD787">
        <v>4.4326241000000002E-2</v>
      </c>
    </row>
    <row r="788" spans="27:34">
      <c r="AA788">
        <v>8.84</v>
      </c>
      <c r="AB788">
        <v>2.2000000000000002</v>
      </c>
      <c r="AC788">
        <v>1</v>
      </c>
      <c r="AD788">
        <v>5.3999999999999999E-2</v>
      </c>
      <c r="AE788">
        <v>100</v>
      </c>
      <c r="AG788">
        <v>22993.139794920899</v>
      </c>
      <c r="AH788">
        <v>5228000</v>
      </c>
    </row>
    <row r="789" spans="27:34">
      <c r="AA789">
        <v>8.84</v>
      </c>
      <c r="AB789">
        <v>2.2000000000000002</v>
      </c>
      <c r="AC789">
        <v>1</v>
      </c>
      <c r="AD789">
        <v>5.3999999999999999E-2</v>
      </c>
      <c r="AG789">
        <v>24049.186488421899</v>
      </c>
      <c r="AH789">
        <v>5262000</v>
      </c>
    </row>
    <row r="790" spans="27:34">
      <c r="AA790">
        <v>8.84</v>
      </c>
      <c r="AB790">
        <v>2.2000000000000002</v>
      </c>
      <c r="AC790">
        <v>1</v>
      </c>
      <c r="AD790">
        <v>5.3999999999999999E-2</v>
      </c>
      <c r="AG790">
        <v>25259.945714571</v>
      </c>
      <c r="AH790">
        <v>5284220</v>
      </c>
    </row>
    <row r="791" spans="27:34">
      <c r="AA791">
        <v>8.84</v>
      </c>
      <c r="AB791">
        <v>2.2000000000000002</v>
      </c>
      <c r="AC791">
        <v>1</v>
      </c>
      <c r="AD791">
        <v>5.3999999999999999E-2</v>
      </c>
      <c r="AG791">
        <v>26148.604162901302</v>
      </c>
      <c r="AH791">
        <v>5301000</v>
      </c>
    </row>
    <row r="792" spans="27:34">
      <c r="AA792">
        <v>8.84</v>
      </c>
      <c r="AB792">
        <v>2.2000000000000002</v>
      </c>
      <c r="AC792">
        <v>1</v>
      </c>
      <c r="AD792">
        <v>5.3999999999999999E-2</v>
      </c>
      <c r="AG792">
        <v>26935.3455550078</v>
      </c>
      <c r="AH792">
        <v>5319111</v>
      </c>
    </row>
    <row r="793" spans="27:34">
      <c r="AA793">
        <v>8.84</v>
      </c>
      <c r="AB793">
        <v>2.2000000000000002</v>
      </c>
      <c r="AC793">
        <v>1</v>
      </c>
      <c r="AD793">
        <v>5.3999999999999999E-2</v>
      </c>
      <c r="AE793">
        <v>100</v>
      </c>
      <c r="AF793">
        <v>11.15</v>
      </c>
      <c r="AG793">
        <v>28825.8768221147</v>
      </c>
      <c r="AH793">
        <v>5337344</v>
      </c>
    </row>
    <row r="794" spans="27:34">
      <c r="AA794">
        <v>8.84</v>
      </c>
      <c r="AB794">
        <v>2.2000000000000002</v>
      </c>
      <c r="AC794">
        <v>1</v>
      </c>
      <c r="AD794">
        <v>5.3999999999999999E-2</v>
      </c>
      <c r="AG794">
        <v>29448.066750063899</v>
      </c>
      <c r="AH794">
        <v>5355082</v>
      </c>
    </row>
    <row r="795" spans="27:34">
      <c r="AA795">
        <v>8.84</v>
      </c>
      <c r="AB795">
        <v>2.2000000000000002</v>
      </c>
      <c r="AC795">
        <v>1</v>
      </c>
      <c r="AD795">
        <v>5.3999999999999999E-2</v>
      </c>
      <c r="AG795">
        <v>30766.318846788101</v>
      </c>
      <c r="AH795">
        <v>5374255</v>
      </c>
    </row>
    <row r="796" spans="27:34">
      <c r="AA796">
        <v>8.84</v>
      </c>
      <c r="AB796">
        <v>2.2000000000000002</v>
      </c>
      <c r="AC796">
        <v>1</v>
      </c>
      <c r="AD796">
        <v>5.3999999999999999E-2</v>
      </c>
      <c r="AG796">
        <v>30443.4765674999</v>
      </c>
      <c r="AH796">
        <v>5387174</v>
      </c>
    </row>
    <row r="797" spans="27:34">
      <c r="AA797">
        <v>8.84</v>
      </c>
      <c r="AB797">
        <v>2.2000000000000002</v>
      </c>
      <c r="AC797">
        <v>1</v>
      </c>
      <c r="AD797">
        <v>5.3999999999999999E-2</v>
      </c>
      <c r="AG797">
        <v>32312.241766318999</v>
      </c>
      <c r="AH797">
        <v>5401177</v>
      </c>
    </row>
    <row r="798" spans="27:34">
      <c r="AA798">
        <v>8.84</v>
      </c>
      <c r="AB798">
        <v>2.2000000000000002</v>
      </c>
      <c r="AC798">
        <v>1</v>
      </c>
      <c r="AD798">
        <v>5.3999999999999999E-2</v>
      </c>
      <c r="AE798">
        <v>100</v>
      </c>
      <c r="AF798">
        <v>9.25</v>
      </c>
      <c r="AG798">
        <v>33214.406031969404</v>
      </c>
      <c r="AH798">
        <v>5415978</v>
      </c>
    </row>
    <row r="799" spans="27:34">
      <c r="AA799">
        <v>8.84</v>
      </c>
      <c r="AB799">
        <v>2.2000000000000002</v>
      </c>
      <c r="AC799">
        <v>1</v>
      </c>
      <c r="AD799">
        <v>5.3999999999999999E-2</v>
      </c>
      <c r="AG799">
        <v>36024.060661732903</v>
      </c>
      <c r="AH799">
        <v>5437272</v>
      </c>
    </row>
    <row r="800" spans="27:34">
      <c r="AA800">
        <v>8.84</v>
      </c>
      <c r="AB800">
        <v>2.2000000000000002</v>
      </c>
      <c r="AC800">
        <v>1</v>
      </c>
      <c r="AD800">
        <v>5.3999999999999999E-2</v>
      </c>
      <c r="AG800">
        <v>37636.427754669901</v>
      </c>
      <c r="AH800">
        <v>5461438</v>
      </c>
    </row>
    <row r="801" spans="27:34">
      <c r="AA801">
        <v>8.84</v>
      </c>
      <c r="AB801">
        <v>2.2000000000000002</v>
      </c>
      <c r="AC801">
        <v>1</v>
      </c>
      <c r="AD801">
        <v>5.3999999999999999E-2</v>
      </c>
      <c r="AE801">
        <v>100</v>
      </c>
      <c r="AG801">
        <v>39405.469212452103</v>
      </c>
      <c r="AH801">
        <v>5493621</v>
      </c>
    </row>
    <row r="802" spans="27:34">
      <c r="AA802">
        <v>8.84</v>
      </c>
      <c r="AB802">
        <v>2.2000000000000002</v>
      </c>
      <c r="AC802">
        <v>1</v>
      </c>
      <c r="AD802">
        <v>5.3999999999999999E-2</v>
      </c>
      <c r="AG802">
        <v>37720.448123962502</v>
      </c>
      <c r="AH802">
        <v>5529270</v>
      </c>
    </row>
    <row r="803" spans="27:34">
      <c r="AA803">
        <v>8.84</v>
      </c>
      <c r="AB803">
        <v>2.2000000000000002</v>
      </c>
      <c r="AC803">
        <v>1</v>
      </c>
      <c r="AD803">
        <v>5.3999999999999999E-2</v>
      </c>
      <c r="AF803">
        <v>10.75</v>
      </c>
    </row>
    <row r="804" spans="27:34">
      <c r="AA804">
        <v>8.84</v>
      </c>
      <c r="AB804">
        <v>2.2000000000000002</v>
      </c>
      <c r="AC804">
        <v>1</v>
      </c>
      <c r="AD804">
        <v>5.3999999999999999E-2</v>
      </c>
    </row>
    <row r="805" spans="27:34">
      <c r="AA805">
        <v>7.27</v>
      </c>
      <c r="AB805">
        <v>4.4000000000000004</v>
      </c>
      <c r="AC805">
        <v>454</v>
      </c>
      <c r="AD805">
        <v>0.34584253100000001</v>
      </c>
      <c r="AE805">
        <v>66</v>
      </c>
      <c r="AG805">
        <v>1718.04810719288</v>
      </c>
      <c r="AH805">
        <v>623798</v>
      </c>
    </row>
    <row r="806" spans="27:34">
      <c r="AA806">
        <v>7.27</v>
      </c>
      <c r="AB806">
        <v>4.4000000000000004</v>
      </c>
      <c r="AC806">
        <v>454</v>
      </c>
      <c r="AD806">
        <v>0.34584253100000001</v>
      </c>
      <c r="AG806">
        <v>1631.95513802759</v>
      </c>
      <c r="AH806">
        <v>641720</v>
      </c>
    </row>
    <row r="807" spans="27:34">
      <c r="AA807">
        <v>7.27</v>
      </c>
      <c r="AB807">
        <v>4.4000000000000004</v>
      </c>
      <c r="AC807">
        <v>454</v>
      </c>
      <c r="AD807">
        <v>0.34584253100000001</v>
      </c>
      <c r="AG807">
        <v>1595.3098876162901</v>
      </c>
      <c r="AH807">
        <v>663118</v>
      </c>
    </row>
    <row r="808" spans="27:34">
      <c r="AA808">
        <v>7.27</v>
      </c>
      <c r="AB808">
        <v>4.4000000000000004</v>
      </c>
      <c r="AC808">
        <v>454</v>
      </c>
      <c r="AD808">
        <v>0.34584253100000001</v>
      </c>
      <c r="AG808">
        <v>1560.16517278934</v>
      </c>
      <c r="AH808">
        <v>686407</v>
      </c>
    </row>
    <row r="809" spans="27:34">
      <c r="AA809">
        <v>7.27</v>
      </c>
      <c r="AB809">
        <v>4.4000000000000004</v>
      </c>
      <c r="AC809">
        <v>454</v>
      </c>
      <c r="AD809">
        <v>0.34584253100000001</v>
      </c>
      <c r="AG809">
        <v>1565.6716168289499</v>
      </c>
      <c r="AH809">
        <v>709140</v>
      </c>
    </row>
    <row r="810" spans="27:34">
      <c r="AA810">
        <v>7.27</v>
      </c>
      <c r="AB810">
        <v>4.4000000000000004</v>
      </c>
      <c r="AC810">
        <v>454</v>
      </c>
      <c r="AD810">
        <v>0.34584253100000001</v>
      </c>
      <c r="AE810">
        <v>63</v>
      </c>
      <c r="AF810">
        <v>6.3</v>
      </c>
      <c r="AG810">
        <v>1561.2447822408501</v>
      </c>
      <c r="AH810">
        <v>729561</v>
      </c>
    </row>
    <row r="811" spans="27:34">
      <c r="AA811">
        <v>7.27</v>
      </c>
      <c r="AB811">
        <v>4.4000000000000004</v>
      </c>
      <c r="AC811">
        <v>454</v>
      </c>
      <c r="AD811">
        <v>0.34584253100000001</v>
      </c>
      <c r="AG811">
        <v>1590.7659666346699</v>
      </c>
      <c r="AH811">
        <v>747250</v>
      </c>
    </row>
    <row r="812" spans="27:34">
      <c r="AA812">
        <v>7.27</v>
      </c>
      <c r="AB812">
        <v>4.4000000000000004</v>
      </c>
      <c r="AC812">
        <v>454</v>
      </c>
      <c r="AD812">
        <v>0.34584253100000001</v>
      </c>
      <c r="AG812">
        <v>1624.95657119572</v>
      </c>
      <c r="AH812">
        <v>762878</v>
      </c>
    </row>
    <row r="813" spans="27:34">
      <c r="AA813">
        <v>7.27</v>
      </c>
      <c r="AB813">
        <v>4.4000000000000004</v>
      </c>
      <c r="AC813">
        <v>454</v>
      </c>
      <c r="AD813">
        <v>0.34584253100000001</v>
      </c>
      <c r="AG813">
        <v>1681.80987473353</v>
      </c>
      <c r="AH813">
        <v>777071</v>
      </c>
    </row>
    <row r="814" spans="27:34">
      <c r="AA814">
        <v>7.27</v>
      </c>
      <c r="AB814">
        <v>4.4000000000000004</v>
      </c>
      <c r="AC814">
        <v>454</v>
      </c>
      <c r="AD814">
        <v>0.34584253100000001</v>
      </c>
      <c r="AG814">
        <v>1764.38770611477</v>
      </c>
      <c r="AH814">
        <v>790844</v>
      </c>
    </row>
    <row r="815" spans="27:34">
      <c r="AA815">
        <v>7.27</v>
      </c>
      <c r="AB815">
        <v>4.4000000000000004</v>
      </c>
      <c r="AC815">
        <v>454</v>
      </c>
      <c r="AD815">
        <v>0.34584253100000001</v>
      </c>
      <c r="AE815">
        <v>58</v>
      </c>
      <c r="AG815">
        <v>1848.0729175896499</v>
      </c>
      <c r="AH815">
        <v>804940</v>
      </c>
    </row>
    <row r="816" spans="27:34">
      <c r="AA816">
        <v>7.27</v>
      </c>
      <c r="AB816">
        <v>4.4000000000000004</v>
      </c>
      <c r="AC816">
        <v>454</v>
      </c>
      <c r="AD816">
        <v>0.34584253100000001</v>
      </c>
      <c r="AG816">
        <v>1964.2399841219701</v>
      </c>
      <c r="AH816">
        <v>819501</v>
      </c>
    </row>
    <row r="817" spans="27:34">
      <c r="AA817">
        <v>7.27</v>
      </c>
      <c r="AB817">
        <v>4.4000000000000004</v>
      </c>
      <c r="AC817">
        <v>454</v>
      </c>
      <c r="AD817">
        <v>0.34584253100000001</v>
      </c>
      <c r="AG817">
        <v>2097.30725973568</v>
      </c>
      <c r="AH817">
        <v>834291</v>
      </c>
    </row>
    <row r="818" spans="27:34">
      <c r="AA818">
        <v>7.27</v>
      </c>
      <c r="AB818">
        <v>4.4000000000000004</v>
      </c>
      <c r="AC818">
        <v>454</v>
      </c>
      <c r="AD818">
        <v>0.34584253100000001</v>
      </c>
      <c r="AE818">
        <v>56</v>
      </c>
      <c r="AG818">
        <v>2227.53259578606</v>
      </c>
      <c r="AH818">
        <v>849245</v>
      </c>
    </row>
    <row r="819" spans="27:34">
      <c r="AA819">
        <v>7.27</v>
      </c>
      <c r="AB819">
        <v>4.4000000000000004</v>
      </c>
      <c r="AC819">
        <v>454</v>
      </c>
      <c r="AD819">
        <v>0.34584253100000001</v>
      </c>
      <c r="AG819">
        <v>2319.46472129529</v>
      </c>
      <c r="AH819">
        <v>864202</v>
      </c>
    </row>
    <row r="820" spans="27:34">
      <c r="AA820">
        <v>7.27</v>
      </c>
      <c r="AB820">
        <v>4.4000000000000004</v>
      </c>
      <c r="AC820">
        <v>454</v>
      </c>
      <c r="AD820">
        <v>0.34584253100000001</v>
      </c>
    </row>
    <row r="821" spans="27:34">
      <c r="AA821">
        <v>7.27</v>
      </c>
      <c r="AB821">
        <v>4.4000000000000004</v>
      </c>
      <c r="AC821">
        <v>454</v>
      </c>
      <c r="AD821">
        <v>0.34584253100000001</v>
      </c>
    </row>
    <row r="822" spans="27:34">
      <c r="AA822">
        <v>-13.32</v>
      </c>
      <c r="AB822">
        <v>3.8</v>
      </c>
      <c r="AC822">
        <v>0</v>
      </c>
      <c r="AD822">
        <v>0.10497981200000001</v>
      </c>
      <c r="AE822">
        <v>81</v>
      </c>
      <c r="AG822">
        <v>5038.5280647355903</v>
      </c>
      <c r="AH822">
        <v>73000</v>
      </c>
    </row>
    <row r="823" spans="27:34">
      <c r="AA823">
        <v>-13.32</v>
      </c>
      <c r="AB823">
        <v>3.8</v>
      </c>
      <c r="AC823">
        <v>0</v>
      </c>
      <c r="AD823">
        <v>0.10497981200000001</v>
      </c>
      <c r="AG823">
        <v>5330.1801759639302</v>
      </c>
      <c r="AH823">
        <v>72183</v>
      </c>
    </row>
    <row r="824" spans="27:34">
      <c r="AA824">
        <v>-13.32</v>
      </c>
      <c r="AB824">
        <v>3.8</v>
      </c>
      <c r="AC824">
        <v>0</v>
      </c>
      <c r="AD824">
        <v>0.10497981200000001</v>
      </c>
      <c r="AG824">
        <v>5516.3438603674103</v>
      </c>
      <c r="AH824">
        <v>72042</v>
      </c>
    </row>
    <row r="825" spans="27:34">
      <c r="AA825">
        <v>-13.32</v>
      </c>
      <c r="AB825">
        <v>3.8</v>
      </c>
      <c r="AC825">
        <v>0</v>
      </c>
      <c r="AD825">
        <v>0.10497981200000001</v>
      </c>
      <c r="AG825">
        <v>5875.6237233645297</v>
      </c>
      <c r="AH825">
        <v>71807</v>
      </c>
    </row>
    <row r="826" spans="27:34">
      <c r="AA826">
        <v>-13.32</v>
      </c>
      <c r="AB826">
        <v>3.8</v>
      </c>
      <c r="AC826">
        <v>0</v>
      </c>
      <c r="AD826">
        <v>0.10497981200000001</v>
      </c>
      <c r="AG826">
        <v>6025.7161220358303</v>
      </c>
      <c r="AH826">
        <v>71530</v>
      </c>
    </row>
    <row r="827" spans="27:34">
      <c r="AA827">
        <v>-13.32</v>
      </c>
      <c r="AB827">
        <v>3.8</v>
      </c>
      <c r="AC827">
        <v>0</v>
      </c>
      <c r="AD827">
        <v>0.10497981200000001</v>
      </c>
      <c r="AE827">
        <v>81</v>
      </c>
      <c r="AG827">
        <v>6215.4483128581296</v>
      </c>
      <c r="AH827">
        <v>71326</v>
      </c>
    </row>
    <row r="828" spans="27:34">
      <c r="AA828">
        <v>-13.32</v>
      </c>
      <c r="AB828">
        <v>3.8</v>
      </c>
      <c r="AC828">
        <v>0</v>
      </c>
      <c r="AD828">
        <v>0.10497981200000001</v>
      </c>
      <c r="AG828">
        <v>6139.21770533364</v>
      </c>
      <c r="AH828">
        <v>71079</v>
      </c>
    </row>
    <row r="829" spans="27:34">
      <c r="AA829">
        <v>-13.32</v>
      </c>
      <c r="AB829">
        <v>3.8</v>
      </c>
      <c r="AC829">
        <v>0</v>
      </c>
      <c r="AD829">
        <v>0.10497981200000001</v>
      </c>
      <c r="AE829">
        <v>83</v>
      </c>
      <c r="AG829">
        <v>5988.7199472684497</v>
      </c>
      <c r="AH829">
        <v>71079</v>
      </c>
    </row>
    <row r="830" spans="27:34">
      <c r="AA830">
        <v>-13.32</v>
      </c>
      <c r="AB830">
        <v>3.8</v>
      </c>
      <c r="AC830">
        <v>0</v>
      </c>
      <c r="AD830">
        <v>0.10497981200000001</v>
      </c>
      <c r="AG830">
        <v>6239.7163111877499</v>
      </c>
      <c r="AH830">
        <v>71212.828294867795</v>
      </c>
    </row>
    <row r="831" spans="27:34">
      <c r="AA831">
        <v>-13.32</v>
      </c>
      <c r="AB831">
        <v>3.8</v>
      </c>
      <c r="AC831">
        <v>0</v>
      </c>
      <c r="AD831">
        <v>0.10497981200000001</v>
      </c>
      <c r="AE831">
        <v>84</v>
      </c>
      <c r="AG831">
        <v>6794.9399521055402</v>
      </c>
      <c r="AH831">
        <v>71471</v>
      </c>
    </row>
    <row r="832" spans="27:34">
      <c r="AA832">
        <v>-13.32</v>
      </c>
      <c r="AB832">
        <v>3.8</v>
      </c>
      <c r="AC832">
        <v>0</v>
      </c>
      <c r="AD832">
        <v>0.10497981200000001</v>
      </c>
      <c r="AE832">
        <v>81</v>
      </c>
      <c r="AG832">
        <v>7205.1483062591196</v>
      </c>
      <c r="AH832">
        <v>72000</v>
      </c>
    </row>
    <row r="833" spans="27:34">
      <c r="AA833">
        <v>-13.32</v>
      </c>
      <c r="AB833">
        <v>3.8</v>
      </c>
      <c r="AC833">
        <v>0</v>
      </c>
      <c r="AD833">
        <v>0.10497981200000001</v>
      </c>
      <c r="AG833">
        <v>7861.3364826240804</v>
      </c>
      <c r="AH833">
        <v>72395.628219046805</v>
      </c>
    </row>
    <row r="834" spans="27:34">
      <c r="AA834">
        <v>-13.32</v>
      </c>
      <c r="AB834">
        <v>3.8</v>
      </c>
      <c r="AC834">
        <v>0</v>
      </c>
      <c r="AD834">
        <v>0.10497981200000001</v>
      </c>
      <c r="AG834">
        <v>8479.0187651081396</v>
      </c>
      <c r="AH834">
        <v>72793.430350422903</v>
      </c>
    </row>
    <row r="835" spans="27:34">
      <c r="AA835">
        <v>-13.32</v>
      </c>
      <c r="AB835">
        <v>3.8</v>
      </c>
      <c r="AC835">
        <v>0</v>
      </c>
      <c r="AD835">
        <v>0.10497981200000001</v>
      </c>
      <c r="AG835">
        <v>8922.6522351346703</v>
      </c>
      <c r="AH835">
        <v>73193.418339420794</v>
      </c>
    </row>
    <row r="836" spans="27:34">
      <c r="AA836">
        <v>-13.32</v>
      </c>
      <c r="AB836">
        <v>3.8</v>
      </c>
      <c r="AC836">
        <v>0</v>
      </c>
      <c r="AD836">
        <v>0.10497981200000001</v>
      </c>
      <c r="AG836">
        <v>8882.8869508171792</v>
      </c>
      <c r="AH836">
        <v>73595.604196970497</v>
      </c>
    </row>
    <row r="837" spans="27:34">
      <c r="AA837">
        <v>-13.32</v>
      </c>
      <c r="AB837">
        <v>3.8</v>
      </c>
      <c r="AC837">
        <v>0</v>
      </c>
      <c r="AD837">
        <v>0.10497981200000001</v>
      </c>
    </row>
    <row r="838" spans="27:34">
      <c r="AA838">
        <v>-13.32</v>
      </c>
      <c r="AB838">
        <v>3.8</v>
      </c>
      <c r="AC838">
        <v>0</v>
      </c>
      <c r="AD838">
        <v>0.10497981200000001</v>
      </c>
    </row>
    <row r="839" spans="27:34">
      <c r="AA839">
        <v>-2.21</v>
      </c>
      <c r="AB839">
        <v>4.0999999999999996</v>
      </c>
      <c r="AC839">
        <v>73</v>
      </c>
      <c r="AD839">
        <v>0.18654822300000001</v>
      </c>
      <c r="AE839">
        <v>76</v>
      </c>
      <c r="AF839">
        <v>39.71</v>
      </c>
      <c r="AG839">
        <v>3572.7347890055798</v>
      </c>
      <c r="AH839">
        <v>8123665</v>
      </c>
    </row>
    <row r="840" spans="27:34">
      <c r="AA840">
        <v>-2.21</v>
      </c>
      <c r="AB840">
        <v>4.0999999999999996</v>
      </c>
      <c r="AC840">
        <v>73</v>
      </c>
      <c r="AD840">
        <v>0.18654822300000001</v>
      </c>
      <c r="AG840">
        <v>3832.57009242083</v>
      </c>
      <c r="AH840">
        <v>8268094</v>
      </c>
    </row>
    <row r="841" spans="27:34">
      <c r="AA841">
        <v>-2.21</v>
      </c>
      <c r="AB841">
        <v>4.0999999999999996</v>
      </c>
      <c r="AC841">
        <v>73</v>
      </c>
      <c r="AD841">
        <v>0.18654822300000001</v>
      </c>
      <c r="AG841">
        <v>4141.6638095809603</v>
      </c>
      <c r="AH841">
        <v>8409983</v>
      </c>
    </row>
    <row r="842" spans="27:34">
      <c r="AA842">
        <v>-2.21</v>
      </c>
      <c r="AB842">
        <v>4.0999999999999996</v>
      </c>
      <c r="AC842">
        <v>73</v>
      </c>
      <c r="AD842">
        <v>0.18654822300000001</v>
      </c>
      <c r="AG842">
        <v>4408.6776912326004</v>
      </c>
      <c r="AH842">
        <v>8550144</v>
      </c>
    </row>
    <row r="843" spans="27:34">
      <c r="AA843">
        <v>-2.21</v>
      </c>
      <c r="AB843">
        <v>4.0999999999999996</v>
      </c>
      <c r="AC843">
        <v>73</v>
      </c>
      <c r="AD843">
        <v>0.18654822300000001</v>
      </c>
      <c r="AG843">
        <v>4696.9697344296301</v>
      </c>
      <c r="AH843">
        <v>8689797</v>
      </c>
    </row>
    <row r="844" spans="27:34">
      <c r="AA844">
        <v>-2.21</v>
      </c>
      <c r="AB844">
        <v>4.0999999999999996</v>
      </c>
      <c r="AC844">
        <v>73</v>
      </c>
      <c r="AD844">
        <v>0.18654822300000001</v>
      </c>
      <c r="AE844">
        <v>79</v>
      </c>
      <c r="AF844">
        <v>16.600000000000001</v>
      </c>
      <c r="AG844">
        <v>4989.6244179673904</v>
      </c>
      <c r="AH844">
        <v>8829829</v>
      </c>
    </row>
    <row r="845" spans="27:34">
      <c r="AA845">
        <v>-2.21</v>
      </c>
      <c r="AB845">
        <v>4.0999999999999996</v>
      </c>
      <c r="AC845">
        <v>73</v>
      </c>
      <c r="AD845">
        <v>0.18654822300000001</v>
      </c>
      <c r="AG845">
        <v>5113.6707597090299</v>
      </c>
      <c r="AH845">
        <v>8970376</v>
      </c>
    </row>
    <row r="846" spans="27:34">
      <c r="AA846">
        <v>-2.21</v>
      </c>
      <c r="AB846">
        <v>4.0999999999999996</v>
      </c>
      <c r="AC846">
        <v>73</v>
      </c>
      <c r="AD846">
        <v>0.18654822300000001</v>
      </c>
      <c r="AG846">
        <v>5412.6107908187696</v>
      </c>
      <c r="AH846">
        <v>9111137</v>
      </c>
    </row>
    <row r="847" spans="27:34">
      <c r="AA847">
        <v>-2.21</v>
      </c>
      <c r="AB847">
        <v>4.0999999999999996</v>
      </c>
      <c r="AC847">
        <v>73</v>
      </c>
      <c r="AD847">
        <v>0.18654822300000001</v>
      </c>
      <c r="AG847">
        <v>5431.2733465772199</v>
      </c>
      <c r="AH847">
        <v>9252034</v>
      </c>
    </row>
    <row r="848" spans="27:34">
      <c r="AA848">
        <v>-2.21</v>
      </c>
      <c r="AB848">
        <v>4.0999999999999996</v>
      </c>
      <c r="AC848">
        <v>73</v>
      </c>
      <c r="AD848">
        <v>0.18654822300000001</v>
      </c>
      <c r="AG848">
        <v>5573.6586292272004</v>
      </c>
      <c r="AH848">
        <v>9392871</v>
      </c>
    </row>
    <row r="849" spans="27:34">
      <c r="AA849">
        <v>-2.21</v>
      </c>
      <c r="AB849">
        <v>4.0999999999999996</v>
      </c>
      <c r="AC849">
        <v>73</v>
      </c>
      <c r="AD849">
        <v>0.18654822300000001</v>
      </c>
      <c r="AE849">
        <v>81</v>
      </c>
      <c r="AG849">
        <v>6200.2205139548796</v>
      </c>
      <c r="AH849">
        <v>9533442</v>
      </c>
    </row>
    <row r="850" spans="27:34">
      <c r="AA850">
        <v>-2.21</v>
      </c>
      <c r="AB850">
        <v>4.0999999999999996</v>
      </c>
      <c r="AC850">
        <v>73</v>
      </c>
      <c r="AD850">
        <v>0.18654822300000001</v>
      </c>
      <c r="AG850">
        <v>6982.2745741731696</v>
      </c>
      <c r="AH850">
        <v>9673755</v>
      </c>
    </row>
    <row r="851" spans="27:34">
      <c r="AA851">
        <v>-2.21</v>
      </c>
      <c r="AB851">
        <v>4.0999999999999996</v>
      </c>
      <c r="AC851">
        <v>73</v>
      </c>
      <c r="AD851">
        <v>0.18654822300000001</v>
      </c>
      <c r="AG851">
        <v>7721.83681852464</v>
      </c>
      <c r="AH851">
        <v>9813686</v>
      </c>
    </row>
    <row r="852" spans="27:34">
      <c r="AA852">
        <v>-2.21</v>
      </c>
      <c r="AB852">
        <v>4.0999999999999996</v>
      </c>
      <c r="AC852">
        <v>73</v>
      </c>
      <c r="AD852">
        <v>0.18654822300000001</v>
      </c>
      <c r="AE852">
        <v>83</v>
      </c>
      <c r="AG852">
        <v>8189.33680808184</v>
      </c>
      <c r="AH852">
        <v>9952711</v>
      </c>
    </row>
    <row r="853" spans="27:34">
      <c r="AA853">
        <v>-2.21</v>
      </c>
      <c r="AB853">
        <v>4.0999999999999996</v>
      </c>
      <c r="AC853">
        <v>73</v>
      </c>
      <c r="AD853">
        <v>0.18654822300000001</v>
      </c>
      <c r="AG853">
        <v>8433.32242396318</v>
      </c>
      <c r="AH853">
        <v>10090151</v>
      </c>
    </row>
    <row r="854" spans="27:34">
      <c r="AA854">
        <v>-2.21</v>
      </c>
      <c r="AB854">
        <v>4.0999999999999996</v>
      </c>
      <c r="AC854">
        <v>73</v>
      </c>
      <c r="AD854">
        <v>0.18654822300000001</v>
      </c>
    </row>
    <row r="855" spans="27:34">
      <c r="AA855">
        <v>-2.21</v>
      </c>
      <c r="AB855">
        <v>4.0999999999999996</v>
      </c>
      <c r="AC855">
        <v>73</v>
      </c>
      <c r="AD855">
        <v>0.18654822300000001</v>
      </c>
    </row>
    <row r="856" spans="27:34">
      <c r="AA856">
        <v>3.34</v>
      </c>
      <c r="AB856">
        <v>4</v>
      </c>
      <c r="AC856">
        <v>63</v>
      </c>
      <c r="AD856">
        <v>0.17918088700000001</v>
      </c>
      <c r="AE856">
        <v>76</v>
      </c>
      <c r="AF856">
        <v>4.0030000000000001</v>
      </c>
      <c r="AG856">
        <v>4607.8649507394202</v>
      </c>
      <c r="AH856">
        <v>11406764</v>
      </c>
    </row>
    <row r="857" spans="27:34">
      <c r="AA857">
        <v>3.34</v>
      </c>
      <c r="AB857">
        <v>4</v>
      </c>
      <c r="AC857">
        <v>63</v>
      </c>
      <c r="AD857">
        <v>0.17918088700000001</v>
      </c>
      <c r="AG857">
        <v>4726.11098220859</v>
      </c>
      <c r="AH857">
        <v>11606142</v>
      </c>
    </row>
    <row r="858" spans="27:34">
      <c r="AA858">
        <v>3.34</v>
      </c>
      <c r="AB858">
        <v>4</v>
      </c>
      <c r="AC858">
        <v>63</v>
      </c>
      <c r="AD858">
        <v>0.17918088700000001</v>
      </c>
      <c r="AG858">
        <v>4924.81248693001</v>
      </c>
      <c r="AH858">
        <v>11794811</v>
      </c>
    </row>
    <row r="859" spans="27:34">
      <c r="AA859">
        <v>3.34</v>
      </c>
      <c r="AB859">
        <v>4</v>
      </c>
      <c r="AC859">
        <v>63</v>
      </c>
      <c r="AD859">
        <v>0.17918088700000001</v>
      </c>
      <c r="AG859">
        <v>5009.69390172776</v>
      </c>
      <c r="AH859">
        <v>11973871</v>
      </c>
    </row>
    <row r="860" spans="27:34">
      <c r="AA860">
        <v>3.34</v>
      </c>
      <c r="AB860">
        <v>4</v>
      </c>
      <c r="AC860">
        <v>63</v>
      </c>
      <c r="AD860">
        <v>0.17918088700000001</v>
      </c>
      <c r="AG860">
        <v>4695.7233119561497</v>
      </c>
      <c r="AH860">
        <v>12145184</v>
      </c>
    </row>
    <row r="861" spans="27:34">
      <c r="AA861">
        <v>3.34</v>
      </c>
      <c r="AB861">
        <v>4</v>
      </c>
      <c r="AC861">
        <v>63</v>
      </c>
      <c r="AD861">
        <v>0.17918088700000001</v>
      </c>
      <c r="AE861">
        <v>83</v>
      </c>
      <c r="AF861">
        <v>3.593</v>
      </c>
      <c r="AG861">
        <v>4865.6280091835697</v>
      </c>
      <c r="AH861">
        <v>12310314</v>
      </c>
    </row>
    <row r="862" spans="27:34">
      <c r="AA862">
        <v>3.34</v>
      </c>
      <c r="AB862">
        <v>4</v>
      </c>
      <c r="AC862">
        <v>63</v>
      </c>
      <c r="AD862">
        <v>0.17918088700000001</v>
      </c>
      <c r="AG862">
        <v>5174.4367813581903</v>
      </c>
      <c r="AH862">
        <v>12469838</v>
      </c>
    </row>
    <row r="863" spans="27:34">
      <c r="AA863">
        <v>3.34</v>
      </c>
      <c r="AB863">
        <v>4</v>
      </c>
      <c r="AC863">
        <v>63</v>
      </c>
      <c r="AD863">
        <v>0.17918088700000001</v>
      </c>
      <c r="AG863">
        <v>5414.8588623023297</v>
      </c>
      <c r="AH863">
        <v>12623953</v>
      </c>
    </row>
    <row r="864" spans="27:34">
      <c r="AA864">
        <v>3.34</v>
      </c>
      <c r="AB864">
        <v>4</v>
      </c>
      <c r="AC864">
        <v>63</v>
      </c>
      <c r="AD864">
        <v>0.17918088700000001</v>
      </c>
      <c r="AG864">
        <v>5662.2922008733103</v>
      </c>
      <c r="AH864">
        <v>12773494</v>
      </c>
    </row>
    <row r="865" spans="27:34">
      <c r="AA865">
        <v>3.34</v>
      </c>
      <c r="AB865">
        <v>4</v>
      </c>
      <c r="AC865">
        <v>63</v>
      </c>
      <c r="AD865">
        <v>0.17918088700000001</v>
      </c>
      <c r="AG865">
        <v>6217.6577660408502</v>
      </c>
      <c r="AH865">
        <v>12919359</v>
      </c>
    </row>
    <row r="866" spans="27:34">
      <c r="AA866">
        <v>3.34</v>
      </c>
      <c r="AB866">
        <v>4</v>
      </c>
      <c r="AC866">
        <v>63</v>
      </c>
      <c r="AD866">
        <v>0.17918088700000001</v>
      </c>
      <c r="AE866">
        <v>90</v>
      </c>
      <c r="AG866">
        <v>6736.0602060761803</v>
      </c>
      <c r="AH866">
        <v>13062507</v>
      </c>
    </row>
    <row r="867" spans="27:34">
      <c r="AA867">
        <v>3.34</v>
      </c>
      <c r="AB867">
        <v>4</v>
      </c>
      <c r="AC867">
        <v>63</v>
      </c>
      <c r="AD867">
        <v>0.17918088700000001</v>
      </c>
      <c r="AG867">
        <v>7148.4869255454496</v>
      </c>
      <c r="AH867">
        <v>13203038</v>
      </c>
    </row>
    <row r="868" spans="27:34">
      <c r="AA868">
        <v>3.34</v>
      </c>
      <c r="AB868">
        <v>4</v>
      </c>
      <c r="AC868">
        <v>63</v>
      </c>
      <c r="AD868">
        <v>0.17918088700000001</v>
      </c>
      <c r="AG868">
        <v>7607.0768881869199</v>
      </c>
      <c r="AH868">
        <v>13341817</v>
      </c>
    </row>
    <row r="869" spans="27:34">
      <c r="AA869">
        <v>3.34</v>
      </c>
      <c r="AB869">
        <v>4</v>
      </c>
      <c r="AC869">
        <v>63</v>
      </c>
      <c r="AD869">
        <v>0.17918088700000001</v>
      </c>
      <c r="AE869">
        <v>92</v>
      </c>
      <c r="AG869">
        <v>8250.1630801498104</v>
      </c>
      <c r="AH869">
        <v>13481424</v>
      </c>
    </row>
    <row r="870" spans="27:34">
      <c r="AA870">
        <v>3.34</v>
      </c>
      <c r="AB870">
        <v>4</v>
      </c>
      <c r="AC870">
        <v>63</v>
      </c>
      <c r="AD870">
        <v>0.17918088700000001</v>
      </c>
      <c r="AG870">
        <v>8267.73023464383</v>
      </c>
      <c r="AH870">
        <v>13625069</v>
      </c>
    </row>
    <row r="871" spans="27:34">
      <c r="AA871">
        <v>3.34</v>
      </c>
      <c r="AB871">
        <v>4</v>
      </c>
      <c r="AC871">
        <v>63</v>
      </c>
      <c r="AD871">
        <v>0.17918088700000001</v>
      </c>
    </row>
    <row r="872" spans="27:34">
      <c r="AA872">
        <v>3.34</v>
      </c>
      <c r="AB872">
        <v>4</v>
      </c>
      <c r="AC872">
        <v>63</v>
      </c>
      <c r="AD872">
        <v>0.17918088700000001</v>
      </c>
    </row>
    <row r="873" spans="27:34">
      <c r="AA873">
        <v>0.13</v>
      </c>
      <c r="AB873">
        <v>2.6</v>
      </c>
      <c r="AC873">
        <v>86</v>
      </c>
      <c r="AD873">
        <v>8.8474970999999999E-2</v>
      </c>
      <c r="AE873">
        <v>79</v>
      </c>
      <c r="AF873">
        <v>102.7</v>
      </c>
      <c r="AG873">
        <v>2776.21427035746</v>
      </c>
      <c r="AH873">
        <v>63857698</v>
      </c>
    </row>
    <row r="874" spans="27:34">
      <c r="AA874">
        <v>0.13</v>
      </c>
      <c r="AB874">
        <v>2.6</v>
      </c>
      <c r="AC874">
        <v>86</v>
      </c>
      <c r="AD874">
        <v>8.8474970999999999E-2</v>
      </c>
      <c r="AG874">
        <v>2914.8507093263602</v>
      </c>
      <c r="AH874">
        <v>65075676</v>
      </c>
    </row>
    <row r="875" spans="27:34">
      <c r="AA875">
        <v>0.13</v>
      </c>
      <c r="AB875">
        <v>2.6</v>
      </c>
      <c r="AC875">
        <v>86</v>
      </c>
      <c r="AD875">
        <v>8.8474970999999999E-2</v>
      </c>
      <c r="AG875">
        <v>3071.0506330058602</v>
      </c>
      <c r="AH875">
        <v>66312818</v>
      </c>
    </row>
    <row r="876" spans="27:34">
      <c r="AA876">
        <v>0.13</v>
      </c>
      <c r="AB876">
        <v>2.6</v>
      </c>
      <c r="AC876">
        <v>86</v>
      </c>
      <c r="AD876">
        <v>8.8474970999999999E-2</v>
      </c>
      <c r="AG876">
        <v>3170.8765848512498</v>
      </c>
      <c r="AH876">
        <v>67573331</v>
      </c>
    </row>
    <row r="877" spans="27:34">
      <c r="AA877">
        <v>0.13</v>
      </c>
      <c r="AB877">
        <v>2.6</v>
      </c>
      <c r="AC877">
        <v>86</v>
      </c>
      <c r="AD877">
        <v>8.8474970999999999E-2</v>
      </c>
      <c r="AG877">
        <v>3350.0048084837199</v>
      </c>
      <c r="AH877">
        <v>68859787</v>
      </c>
    </row>
    <row r="878" spans="27:34">
      <c r="AA878">
        <v>0.13</v>
      </c>
      <c r="AB878">
        <v>2.6</v>
      </c>
      <c r="AC878">
        <v>86</v>
      </c>
      <c r="AD878">
        <v>8.8474970999999999E-2</v>
      </c>
      <c r="AE878">
        <v>86</v>
      </c>
      <c r="AF878">
        <v>119</v>
      </c>
      <c r="AG878">
        <v>3538.6777935434402</v>
      </c>
      <c r="AH878">
        <v>70173793</v>
      </c>
    </row>
    <row r="879" spans="27:34">
      <c r="AA879">
        <v>0.13</v>
      </c>
      <c r="AB879">
        <v>2.6</v>
      </c>
      <c r="AC879">
        <v>86</v>
      </c>
      <c r="AD879">
        <v>8.8474970999999999E-2</v>
      </c>
      <c r="AG879">
        <v>3676.4001302634101</v>
      </c>
      <c r="AH879">
        <v>71518343</v>
      </c>
    </row>
    <row r="880" spans="27:34">
      <c r="AA880">
        <v>0.13</v>
      </c>
      <c r="AB880">
        <v>2.6</v>
      </c>
      <c r="AC880">
        <v>86</v>
      </c>
      <c r="AD880">
        <v>8.8474970999999999E-2</v>
      </c>
      <c r="AG880">
        <v>3752.5097672370598</v>
      </c>
      <c r="AH880">
        <v>72894015</v>
      </c>
    </row>
    <row r="881" spans="27:34">
      <c r="AA881">
        <v>0.13</v>
      </c>
      <c r="AB881">
        <v>2.6</v>
      </c>
      <c r="AC881">
        <v>86</v>
      </c>
      <c r="AD881">
        <v>8.8474970999999999E-2</v>
      </c>
      <c r="AG881">
        <v>3881.1465988763098</v>
      </c>
      <c r="AH881">
        <v>74296319</v>
      </c>
    </row>
    <row r="882" spans="27:34">
      <c r="AA882">
        <v>0.13</v>
      </c>
      <c r="AB882">
        <v>2.6</v>
      </c>
      <c r="AC882">
        <v>86</v>
      </c>
      <c r="AD882">
        <v>8.8474970999999999E-2</v>
      </c>
      <c r="AG882">
        <v>4076.4576111479901</v>
      </c>
      <c r="AH882">
        <v>75718360</v>
      </c>
    </row>
    <row r="883" spans="27:34">
      <c r="AA883">
        <v>0.13</v>
      </c>
      <c r="AB883">
        <v>2.6</v>
      </c>
      <c r="AC883">
        <v>86</v>
      </c>
      <c r="AD883">
        <v>8.8474970999999999E-2</v>
      </c>
      <c r="AE883">
        <v>93</v>
      </c>
      <c r="AG883">
        <v>4318.8511945323999</v>
      </c>
      <c r="AH883">
        <v>77154409</v>
      </c>
    </row>
    <row r="884" spans="27:34">
      <c r="AA884">
        <v>0.13</v>
      </c>
      <c r="AB884">
        <v>2.6</v>
      </c>
      <c r="AC884">
        <v>86</v>
      </c>
      <c r="AD884">
        <v>8.8474970999999999E-2</v>
      </c>
      <c r="AG884">
        <v>4676.76047428929</v>
      </c>
      <c r="AH884">
        <v>78602081</v>
      </c>
    </row>
    <row r="885" spans="27:34">
      <c r="AA885">
        <v>0.13</v>
      </c>
      <c r="AB885">
        <v>2.6</v>
      </c>
      <c r="AC885">
        <v>86</v>
      </c>
      <c r="AD885">
        <v>8.8474970999999999E-2</v>
      </c>
      <c r="AG885">
        <v>5085.4967185107498</v>
      </c>
      <c r="AH885">
        <v>80060540</v>
      </c>
    </row>
    <row r="886" spans="27:34">
      <c r="AA886">
        <v>0.13</v>
      </c>
      <c r="AB886">
        <v>2.6</v>
      </c>
      <c r="AC886">
        <v>86</v>
      </c>
      <c r="AD886">
        <v>8.8474970999999999E-2</v>
      </c>
      <c r="AE886">
        <v>94</v>
      </c>
      <c r="AG886">
        <v>5468.3851075349103</v>
      </c>
      <c r="AH886">
        <v>81527172</v>
      </c>
    </row>
    <row r="887" spans="27:34">
      <c r="AA887">
        <v>0.13</v>
      </c>
      <c r="AB887">
        <v>2.6</v>
      </c>
      <c r="AC887">
        <v>86</v>
      </c>
      <c r="AD887">
        <v>8.8474970999999999E-2</v>
      </c>
      <c r="AG887">
        <v>5672.5516155472897</v>
      </c>
      <c r="AH887">
        <v>82999393</v>
      </c>
    </row>
    <row r="888" spans="27:34">
      <c r="AA888">
        <v>0.13</v>
      </c>
      <c r="AB888">
        <v>2.6</v>
      </c>
      <c r="AC888">
        <v>86</v>
      </c>
      <c r="AD888">
        <v>8.8474970999999999E-2</v>
      </c>
    </row>
    <row r="889" spans="27:34">
      <c r="AA889">
        <v>0.13</v>
      </c>
      <c r="AB889">
        <v>2.6</v>
      </c>
      <c r="AC889">
        <v>86</v>
      </c>
      <c r="AD889">
        <v>8.8474970999999999E-2</v>
      </c>
    </row>
    <row r="890" spans="27:34">
      <c r="AA890">
        <v>-8.57</v>
      </c>
      <c r="AB890">
        <v>4.2</v>
      </c>
      <c r="AC890">
        <v>82</v>
      </c>
      <c r="AD890">
        <v>0.16472114099999999</v>
      </c>
      <c r="AE890">
        <v>79</v>
      </c>
      <c r="AG890">
        <v>3772.7039270527298</v>
      </c>
      <c r="AH890">
        <v>5728340</v>
      </c>
    </row>
    <row r="891" spans="27:34">
      <c r="AA891">
        <v>-8.57</v>
      </c>
      <c r="AB891">
        <v>4.2</v>
      </c>
      <c r="AC891">
        <v>82</v>
      </c>
      <c r="AD891">
        <v>0.16472114099999999</v>
      </c>
      <c r="AG891">
        <v>3870.3159599342198</v>
      </c>
      <c r="AH891">
        <v>5787735</v>
      </c>
    </row>
    <row r="892" spans="27:34">
      <c r="AA892">
        <v>-8.57</v>
      </c>
      <c r="AB892">
        <v>4.2</v>
      </c>
      <c r="AC892">
        <v>82</v>
      </c>
      <c r="AD892">
        <v>0.16472114099999999</v>
      </c>
      <c r="AG892">
        <v>4071.2082857468199</v>
      </c>
      <c r="AH892">
        <v>5837469</v>
      </c>
    </row>
    <row r="893" spans="27:34">
      <c r="AA893">
        <v>-8.57</v>
      </c>
      <c r="AB893">
        <v>4.2</v>
      </c>
      <c r="AC893">
        <v>82</v>
      </c>
      <c r="AD893">
        <v>0.16472114099999999</v>
      </c>
      <c r="AG893">
        <v>4241.5716735878004</v>
      </c>
      <c r="AH893">
        <v>5878844</v>
      </c>
    </row>
    <row r="894" spans="27:34">
      <c r="AA894">
        <v>-8.57</v>
      </c>
      <c r="AB894">
        <v>4.2</v>
      </c>
      <c r="AC894">
        <v>82</v>
      </c>
      <c r="AD894">
        <v>0.16472114099999999</v>
      </c>
      <c r="AG894">
        <v>4425.5800677144698</v>
      </c>
      <c r="AH894">
        <v>5914159</v>
      </c>
    </row>
    <row r="895" spans="27:34">
      <c r="AA895">
        <v>-8.57</v>
      </c>
      <c r="AB895">
        <v>4.2</v>
      </c>
      <c r="AC895">
        <v>82</v>
      </c>
      <c r="AD895">
        <v>0.16472114099999999</v>
      </c>
      <c r="AE895">
        <v>83</v>
      </c>
      <c r="AF895">
        <v>5.4539999999999997</v>
      </c>
      <c r="AG895">
        <v>4594.4645208878101</v>
      </c>
      <c r="AH895">
        <v>5945317</v>
      </c>
    </row>
    <row r="896" spans="27:34">
      <c r="AA896">
        <v>-8.57</v>
      </c>
      <c r="AB896">
        <v>4.2</v>
      </c>
      <c r="AC896">
        <v>82</v>
      </c>
      <c r="AD896">
        <v>0.16472114099999999</v>
      </c>
      <c r="AG896">
        <v>4757.1550981962</v>
      </c>
      <c r="AH896">
        <v>5972541</v>
      </c>
    </row>
    <row r="897" spans="27:34">
      <c r="AA897">
        <v>-8.57</v>
      </c>
      <c r="AB897">
        <v>4.2</v>
      </c>
      <c r="AC897">
        <v>82</v>
      </c>
      <c r="AD897">
        <v>0.16472114099999999</v>
      </c>
      <c r="AG897">
        <v>4928.3451583199703</v>
      </c>
      <c r="AH897">
        <v>5995843</v>
      </c>
    </row>
    <row r="898" spans="27:34">
      <c r="AA898">
        <v>-8.57</v>
      </c>
      <c r="AB898">
        <v>4.2</v>
      </c>
      <c r="AC898">
        <v>82</v>
      </c>
      <c r="AD898">
        <v>0.16472114099999999</v>
      </c>
      <c r="AG898">
        <v>5132.4512670342001</v>
      </c>
      <c r="AH898">
        <v>6016772</v>
      </c>
    </row>
    <row r="899" spans="27:34">
      <c r="AA899">
        <v>-8.57</v>
      </c>
      <c r="AB899">
        <v>4.2</v>
      </c>
      <c r="AC899">
        <v>82</v>
      </c>
      <c r="AD899">
        <v>0.16472114099999999</v>
      </c>
      <c r="AG899">
        <v>5357.4201606320903</v>
      </c>
      <c r="AH899">
        <v>6037194</v>
      </c>
    </row>
    <row r="900" spans="27:34">
      <c r="AA900">
        <v>-8.57</v>
      </c>
      <c r="AB900">
        <v>4.2</v>
      </c>
      <c r="AC900">
        <v>82</v>
      </c>
      <c r="AD900">
        <v>0.16472114099999999</v>
      </c>
      <c r="AE900">
        <v>85</v>
      </c>
      <c r="AG900">
        <v>5686.7331022738899</v>
      </c>
      <c r="AH900">
        <v>6058580</v>
      </c>
    </row>
    <row r="901" spans="27:34">
      <c r="AA901">
        <v>-8.57</v>
      </c>
      <c r="AB901">
        <v>4.2</v>
      </c>
      <c r="AC901">
        <v>82</v>
      </c>
      <c r="AD901">
        <v>0.16472114099999999</v>
      </c>
      <c r="AG901">
        <v>6094.1226662761701</v>
      </c>
      <c r="AH901">
        <v>6081703</v>
      </c>
    </row>
    <row r="902" spans="27:34">
      <c r="AA902">
        <v>-8.57</v>
      </c>
      <c r="AB902">
        <v>4.2</v>
      </c>
      <c r="AC902">
        <v>82</v>
      </c>
      <c r="AD902">
        <v>0.16472114099999999</v>
      </c>
      <c r="AG902">
        <v>6566.2528847247504</v>
      </c>
      <c r="AH902">
        <v>6106761</v>
      </c>
    </row>
    <row r="903" spans="27:34">
      <c r="AA903">
        <v>-8.57</v>
      </c>
      <c r="AB903">
        <v>4.2</v>
      </c>
      <c r="AC903">
        <v>82</v>
      </c>
      <c r="AD903">
        <v>0.16472114099999999</v>
      </c>
      <c r="AE903">
        <v>87</v>
      </c>
      <c r="AG903">
        <v>6842.6614924057403</v>
      </c>
      <c r="AH903">
        <v>6133910</v>
      </c>
    </row>
    <row r="904" spans="27:34">
      <c r="AA904">
        <v>-8.57</v>
      </c>
      <c r="AB904">
        <v>4.2</v>
      </c>
      <c r="AC904">
        <v>82</v>
      </c>
      <c r="AD904">
        <v>0.16472114099999999</v>
      </c>
      <c r="AG904">
        <v>6629.3327203250801</v>
      </c>
      <c r="AH904">
        <v>6163050</v>
      </c>
    </row>
    <row r="905" spans="27:34">
      <c r="AA905">
        <v>-8.57</v>
      </c>
      <c r="AB905">
        <v>4.2</v>
      </c>
      <c r="AC905">
        <v>82</v>
      </c>
      <c r="AD905">
        <v>0.16472114099999999</v>
      </c>
    </row>
    <row r="906" spans="27:34">
      <c r="AA906">
        <v>-8.57</v>
      </c>
      <c r="AB906">
        <v>4.2</v>
      </c>
      <c r="AC906">
        <v>82</v>
      </c>
      <c r="AD906">
        <v>0.16472114099999999</v>
      </c>
    </row>
    <row r="907" spans="27:34">
      <c r="AA907">
        <v>4.1100000000000003</v>
      </c>
      <c r="AB907">
        <v>4.5</v>
      </c>
      <c r="AC907">
        <v>506</v>
      </c>
      <c r="AD907">
        <v>0.42578356000000001</v>
      </c>
      <c r="AE907">
        <v>51</v>
      </c>
      <c r="AG907">
        <v>1883.4408275829301</v>
      </c>
      <c r="AH907">
        <v>451987</v>
      </c>
    </row>
    <row r="908" spans="27:34">
      <c r="AA908">
        <v>4.1100000000000003</v>
      </c>
      <c r="AB908">
        <v>4.5</v>
      </c>
      <c r="AC908">
        <v>506</v>
      </c>
      <c r="AD908">
        <v>0.42578356000000001</v>
      </c>
      <c r="AG908">
        <v>2398.5976556928199</v>
      </c>
      <c r="AH908">
        <v>467104</v>
      </c>
    </row>
    <row r="909" spans="27:34">
      <c r="AA909">
        <v>4.1100000000000003</v>
      </c>
      <c r="AB909">
        <v>4.5</v>
      </c>
      <c r="AC909">
        <v>506</v>
      </c>
      <c r="AD909">
        <v>0.42578356000000001</v>
      </c>
      <c r="AG909">
        <v>4046.7007436814802</v>
      </c>
      <c r="AH909">
        <v>482366</v>
      </c>
    </row>
    <row r="910" spans="27:34">
      <c r="AA910">
        <v>4.1100000000000003</v>
      </c>
      <c r="AB910">
        <v>4.5</v>
      </c>
      <c r="AC910">
        <v>506</v>
      </c>
      <c r="AD910">
        <v>0.42578356000000001</v>
      </c>
      <c r="AG910">
        <v>4834.9148842169197</v>
      </c>
      <c r="AH910">
        <v>497756</v>
      </c>
    </row>
    <row r="911" spans="27:34">
      <c r="AA911">
        <v>4.1100000000000003</v>
      </c>
      <c r="AB911">
        <v>4.5</v>
      </c>
      <c r="AC911">
        <v>506</v>
      </c>
      <c r="AD911">
        <v>0.42578356000000001</v>
      </c>
      <c r="AG911">
        <v>6729.3969288537101</v>
      </c>
      <c r="AH911">
        <v>513263</v>
      </c>
    </row>
    <row r="912" spans="27:34">
      <c r="AA912">
        <v>4.1100000000000003</v>
      </c>
      <c r="AB912">
        <v>4.5</v>
      </c>
      <c r="AC912">
        <v>506</v>
      </c>
      <c r="AD912">
        <v>0.42578356000000001</v>
      </c>
      <c r="AE912">
        <v>51</v>
      </c>
      <c r="AF912">
        <v>6.6900000000000001E-2</v>
      </c>
      <c r="AG912">
        <v>7571.5006516817002</v>
      </c>
      <c r="AH912">
        <v>528882</v>
      </c>
    </row>
    <row r="913" spans="27:34">
      <c r="AA913">
        <v>4.1100000000000003</v>
      </c>
      <c r="AB913">
        <v>4.5</v>
      </c>
      <c r="AC913">
        <v>506</v>
      </c>
      <c r="AD913">
        <v>0.42578356000000001</v>
      </c>
      <c r="AG913">
        <v>12174.273179567799</v>
      </c>
      <c r="AH913">
        <v>544595</v>
      </c>
    </row>
    <row r="914" spans="27:34">
      <c r="AA914">
        <v>4.1100000000000003</v>
      </c>
      <c r="AB914">
        <v>4.5</v>
      </c>
      <c r="AC914">
        <v>506</v>
      </c>
      <c r="AD914">
        <v>0.42578356000000001</v>
      </c>
      <c r="AG914">
        <v>14363.1116870648</v>
      </c>
      <c r="AH914">
        <v>560402</v>
      </c>
    </row>
    <row r="915" spans="27:34">
      <c r="AA915">
        <v>4.1100000000000003</v>
      </c>
      <c r="AB915">
        <v>4.5</v>
      </c>
      <c r="AC915">
        <v>506</v>
      </c>
      <c r="AD915">
        <v>0.42578356000000001</v>
      </c>
      <c r="AG915">
        <v>16257.8648341527</v>
      </c>
      <c r="AH915">
        <v>576342</v>
      </c>
    </row>
    <row r="916" spans="27:34">
      <c r="AA916">
        <v>4.1100000000000003</v>
      </c>
      <c r="AB916">
        <v>4.5</v>
      </c>
      <c r="AC916">
        <v>506</v>
      </c>
      <c r="AD916">
        <v>0.42578356000000001</v>
      </c>
      <c r="AG916">
        <v>22443.705346041501</v>
      </c>
      <c r="AH916">
        <v>592466</v>
      </c>
    </row>
    <row r="917" spans="27:34">
      <c r="AA917">
        <v>4.1100000000000003</v>
      </c>
      <c r="AB917">
        <v>4.5</v>
      </c>
      <c r="AC917">
        <v>506</v>
      </c>
      <c r="AD917">
        <v>0.42578356000000001</v>
      </c>
      <c r="AE917">
        <v>51</v>
      </c>
      <c r="AG917">
        <v>24769.877617517399</v>
      </c>
      <c r="AH917">
        <v>608807</v>
      </c>
    </row>
    <row r="918" spans="27:34">
      <c r="AA918">
        <v>4.1100000000000003</v>
      </c>
      <c r="AB918">
        <v>4.5</v>
      </c>
      <c r="AC918">
        <v>506</v>
      </c>
      <c r="AD918">
        <v>0.42578356000000001</v>
      </c>
      <c r="AG918">
        <v>25210.840671493599</v>
      </c>
      <c r="AH918">
        <v>625394</v>
      </c>
    </row>
    <row r="919" spans="27:34">
      <c r="AA919">
        <v>4.1100000000000003</v>
      </c>
      <c r="AB919">
        <v>4.5</v>
      </c>
      <c r="AC919">
        <v>506</v>
      </c>
      <c r="AD919">
        <v>0.42578356000000001</v>
      </c>
      <c r="AG919">
        <v>30836.650966200999</v>
      </c>
      <c r="AH919">
        <v>642210</v>
      </c>
    </row>
    <row r="920" spans="27:34">
      <c r="AA920">
        <v>4.1100000000000003</v>
      </c>
      <c r="AB920">
        <v>4.5</v>
      </c>
      <c r="AC920">
        <v>506</v>
      </c>
      <c r="AD920">
        <v>0.42578356000000001</v>
      </c>
      <c r="AG920">
        <v>34165.963737207101</v>
      </c>
      <c r="AH920">
        <v>659197</v>
      </c>
    </row>
    <row r="921" spans="27:34">
      <c r="AA921">
        <v>4.1100000000000003</v>
      </c>
      <c r="AB921">
        <v>4.5</v>
      </c>
      <c r="AC921">
        <v>506</v>
      </c>
      <c r="AD921">
        <v>0.42578356000000001</v>
      </c>
      <c r="AG921">
        <v>31779.1335257711</v>
      </c>
      <c r="AH921">
        <v>676273</v>
      </c>
    </row>
    <row r="922" spans="27:34">
      <c r="AA922">
        <v>4.1100000000000003</v>
      </c>
      <c r="AB922">
        <v>4.5</v>
      </c>
      <c r="AC922">
        <v>506</v>
      </c>
      <c r="AD922">
        <v>0.42578356000000001</v>
      </c>
    </row>
    <row r="923" spans="27:34">
      <c r="AA923">
        <v>4.1100000000000003</v>
      </c>
      <c r="AB923">
        <v>4.5</v>
      </c>
      <c r="AC923">
        <v>506</v>
      </c>
      <c r="AD923">
        <v>0.42578356000000001</v>
      </c>
    </row>
    <row r="924" spans="27:34">
      <c r="AA924">
        <v>2.2200000000000002</v>
      </c>
      <c r="AB924">
        <v>4.0999999999999996</v>
      </c>
      <c r="AC924">
        <v>379</v>
      </c>
      <c r="AD924">
        <v>0.28450704199999999</v>
      </c>
      <c r="AE924">
        <v>10</v>
      </c>
      <c r="AG924">
        <v>612.23811206757296</v>
      </c>
      <c r="AH924">
        <v>3206108</v>
      </c>
    </row>
    <row r="925" spans="27:34">
      <c r="AA925">
        <v>2.2200000000000002</v>
      </c>
      <c r="AB925">
        <v>4.0999999999999996</v>
      </c>
      <c r="AC925">
        <v>379</v>
      </c>
      <c r="AD925">
        <v>0.28450704199999999</v>
      </c>
      <c r="AG925">
        <v>671.35712336967504</v>
      </c>
      <c r="AH925">
        <v>3255574</v>
      </c>
    </row>
    <row r="926" spans="27:34">
      <c r="AA926">
        <v>2.2200000000000002</v>
      </c>
      <c r="AB926">
        <v>4.0999999999999996</v>
      </c>
      <c r="AC926">
        <v>379</v>
      </c>
      <c r="AD926">
        <v>0.28450704199999999</v>
      </c>
      <c r="AG926">
        <v>721.51684051819996</v>
      </c>
      <c r="AH926">
        <v>3326784</v>
      </c>
    </row>
    <row r="927" spans="27:34">
      <c r="AA927">
        <v>2.2200000000000002</v>
      </c>
      <c r="AB927">
        <v>4.0999999999999996</v>
      </c>
      <c r="AC927">
        <v>379</v>
      </c>
      <c r="AD927">
        <v>0.28450704199999999</v>
      </c>
      <c r="AG927">
        <v>722.56175289859698</v>
      </c>
      <c r="AH927">
        <v>3419101</v>
      </c>
    </row>
    <row r="928" spans="27:34">
      <c r="AA928">
        <v>2.2200000000000002</v>
      </c>
      <c r="AB928">
        <v>4.0999999999999996</v>
      </c>
      <c r="AC928">
        <v>379</v>
      </c>
      <c r="AD928">
        <v>0.28450704199999999</v>
      </c>
      <c r="AG928">
        <v>710.19422715827</v>
      </c>
      <c r="AH928">
        <v>3530100</v>
      </c>
    </row>
    <row r="929" spans="27:34">
      <c r="AA929">
        <v>2.2200000000000002</v>
      </c>
      <c r="AB929">
        <v>4.0999999999999996</v>
      </c>
      <c r="AC929">
        <v>379</v>
      </c>
      <c r="AD929">
        <v>0.28450704199999999</v>
      </c>
      <c r="AE929">
        <v>11</v>
      </c>
      <c r="AF929">
        <v>6.5620000000000003</v>
      </c>
      <c r="AG929">
        <v>608.43568294576301</v>
      </c>
      <c r="AH929">
        <v>3657325</v>
      </c>
    </row>
    <row r="930" spans="27:34">
      <c r="AA930">
        <v>2.2200000000000002</v>
      </c>
      <c r="AB930">
        <v>4.0999999999999996</v>
      </c>
      <c r="AC930">
        <v>379</v>
      </c>
      <c r="AD930">
        <v>0.28450704199999999</v>
      </c>
      <c r="AG930">
        <v>651.70363846564101</v>
      </c>
      <c r="AH930">
        <v>3801913</v>
      </c>
    </row>
    <row r="931" spans="27:34">
      <c r="AA931">
        <v>2.2200000000000002</v>
      </c>
      <c r="AB931">
        <v>4.0999999999999996</v>
      </c>
      <c r="AC931">
        <v>379</v>
      </c>
      <c r="AD931">
        <v>0.28450704199999999</v>
      </c>
      <c r="AG931">
        <v>654.43558545537201</v>
      </c>
      <c r="AH931">
        <v>3963184</v>
      </c>
    </row>
    <row r="932" spans="27:34">
      <c r="AA932">
        <v>2.2200000000000002</v>
      </c>
      <c r="AB932">
        <v>4.0999999999999996</v>
      </c>
      <c r="AC932">
        <v>379</v>
      </c>
      <c r="AD932">
        <v>0.28450704199999999</v>
      </c>
      <c r="AG932">
        <v>623.84060761722003</v>
      </c>
      <c r="AH932">
        <v>4134377</v>
      </c>
    </row>
    <row r="933" spans="27:34">
      <c r="AA933">
        <v>2.2200000000000002</v>
      </c>
      <c r="AB933">
        <v>4.0999999999999996</v>
      </c>
      <c r="AC933">
        <v>379</v>
      </c>
      <c r="AD933">
        <v>0.28450704199999999</v>
      </c>
      <c r="AG933">
        <v>624.81887871038396</v>
      </c>
      <c r="AH933">
        <v>4306537</v>
      </c>
    </row>
    <row r="934" spans="27:34">
      <c r="AA934">
        <v>2.2200000000000002</v>
      </c>
      <c r="AB934">
        <v>4.0999999999999996</v>
      </c>
      <c r="AC934">
        <v>379</v>
      </c>
      <c r="AD934">
        <v>0.28450704199999999</v>
      </c>
      <c r="AE934">
        <v>13</v>
      </c>
      <c r="AF934">
        <v>9.2379999999999995</v>
      </c>
      <c r="AG934">
        <v>637.61245431060502</v>
      </c>
      <c r="AH934">
        <v>4473122</v>
      </c>
    </row>
    <row r="935" spans="27:34">
      <c r="AA935">
        <v>2.2200000000000002</v>
      </c>
      <c r="AB935">
        <v>4.0999999999999996</v>
      </c>
      <c r="AC935">
        <v>379</v>
      </c>
      <c r="AD935">
        <v>0.28450704199999999</v>
      </c>
      <c r="AG935">
        <v>629.74999386087597</v>
      </c>
      <c r="AH935">
        <v>4630952</v>
      </c>
    </row>
    <row r="936" spans="27:34">
      <c r="AA936">
        <v>2.2200000000000002</v>
      </c>
      <c r="AB936">
        <v>4.0999999999999996</v>
      </c>
      <c r="AC936">
        <v>379</v>
      </c>
      <c r="AD936">
        <v>0.28450704199999999</v>
      </c>
      <c r="AG936">
        <v>639.22576669149396</v>
      </c>
      <c r="AH936">
        <v>4781169</v>
      </c>
    </row>
    <row r="937" spans="27:34">
      <c r="AA937">
        <v>2.2200000000000002</v>
      </c>
      <c r="AB937">
        <v>4.0999999999999996</v>
      </c>
      <c r="AC937">
        <v>379</v>
      </c>
      <c r="AD937">
        <v>0.28450704199999999</v>
      </c>
      <c r="AE937">
        <v>14</v>
      </c>
      <c r="AG937">
        <v>571.76177651467299</v>
      </c>
      <c r="AH937">
        <v>4926877</v>
      </c>
    </row>
    <row r="938" spans="27:34">
      <c r="AA938">
        <v>2.2200000000000002</v>
      </c>
      <c r="AB938">
        <v>4.0999999999999996</v>
      </c>
      <c r="AC938">
        <v>379</v>
      </c>
      <c r="AD938">
        <v>0.28450704199999999</v>
      </c>
      <c r="AG938">
        <v>580.51918314802401</v>
      </c>
      <c r="AH938">
        <v>5073279</v>
      </c>
    </row>
    <row r="939" spans="27:34">
      <c r="AA939">
        <v>2.2200000000000002</v>
      </c>
      <c r="AB939">
        <v>4.0999999999999996</v>
      </c>
      <c r="AC939">
        <v>379</v>
      </c>
      <c r="AD939">
        <v>0.28450704199999999</v>
      </c>
    </row>
    <row r="940" spans="27:34">
      <c r="AA940">
        <v>2.2200000000000002</v>
      </c>
      <c r="AB940">
        <v>4.0999999999999996</v>
      </c>
      <c r="AC940">
        <v>379</v>
      </c>
      <c r="AD940">
        <v>0.28450704199999999</v>
      </c>
    </row>
    <row r="941" spans="27:34">
      <c r="AA941">
        <v>8.36</v>
      </c>
      <c r="AB941">
        <v>2.9</v>
      </c>
      <c r="AC941">
        <v>0</v>
      </c>
      <c r="AD941">
        <v>3.0434783E-2</v>
      </c>
      <c r="AE941">
        <v>95</v>
      </c>
      <c r="AF941">
        <v>1.2330000000000001</v>
      </c>
      <c r="AG941">
        <v>6320.4144989084098</v>
      </c>
      <c r="AH941">
        <v>1437000</v>
      </c>
    </row>
    <row r="942" spans="27:34">
      <c r="AA942">
        <v>8.36</v>
      </c>
      <c r="AB942">
        <v>2.9</v>
      </c>
      <c r="AC942">
        <v>0</v>
      </c>
      <c r="AD942">
        <v>3.0434783E-2</v>
      </c>
      <c r="AG942">
        <v>6931.8669362502396</v>
      </c>
      <c r="AH942">
        <v>1416000</v>
      </c>
    </row>
    <row r="943" spans="27:34">
      <c r="AA943">
        <v>8.36</v>
      </c>
      <c r="AB943">
        <v>2.9</v>
      </c>
      <c r="AC943">
        <v>0</v>
      </c>
      <c r="AD943">
        <v>3.0434783E-2</v>
      </c>
      <c r="AG943">
        <v>7988.0717536099801</v>
      </c>
      <c r="AH943">
        <v>1400000</v>
      </c>
    </row>
    <row r="944" spans="27:34">
      <c r="AA944">
        <v>8.36</v>
      </c>
      <c r="AB944">
        <v>2.9</v>
      </c>
      <c r="AC944">
        <v>0</v>
      </c>
      <c r="AD944">
        <v>3.0434783E-2</v>
      </c>
      <c r="AG944">
        <v>8459.0552318816899</v>
      </c>
      <c r="AH944">
        <v>1386200</v>
      </c>
    </row>
    <row r="945" spans="27:34">
      <c r="AA945">
        <v>8.36</v>
      </c>
      <c r="AB945">
        <v>2.9</v>
      </c>
      <c r="AC945">
        <v>0</v>
      </c>
      <c r="AD945">
        <v>3.0434783E-2</v>
      </c>
      <c r="AG945">
        <v>8774.8537266185594</v>
      </c>
      <c r="AH945">
        <v>1375649.3338881801</v>
      </c>
    </row>
    <row r="946" spans="27:34">
      <c r="AA946">
        <v>8.36</v>
      </c>
      <c r="AB946">
        <v>2.9</v>
      </c>
      <c r="AC946">
        <v>0</v>
      </c>
      <c r="AD946">
        <v>3.0434783E-2</v>
      </c>
      <c r="AE946">
        <v>95</v>
      </c>
      <c r="AF946">
        <v>11.41</v>
      </c>
      <c r="AG946">
        <v>9880.4343343546007</v>
      </c>
      <c r="AH946">
        <v>1369512.61479732</v>
      </c>
    </row>
    <row r="947" spans="27:34">
      <c r="AA947">
        <v>8.36</v>
      </c>
      <c r="AB947">
        <v>2.9</v>
      </c>
      <c r="AC947">
        <v>0</v>
      </c>
      <c r="AD947">
        <v>3.0434783E-2</v>
      </c>
      <c r="AG947">
        <v>10715.7875596383</v>
      </c>
      <c r="AH947">
        <v>1364097.50497463</v>
      </c>
    </row>
    <row r="948" spans="27:34">
      <c r="AA948">
        <v>8.36</v>
      </c>
      <c r="AB948">
        <v>2.9</v>
      </c>
      <c r="AC948">
        <v>0</v>
      </c>
      <c r="AD948">
        <v>3.0434783E-2</v>
      </c>
      <c r="AG948">
        <v>11989.214730039401</v>
      </c>
      <c r="AH948">
        <v>1358641.01509192</v>
      </c>
    </row>
    <row r="949" spans="27:34">
      <c r="AA949">
        <v>8.36</v>
      </c>
      <c r="AB949">
        <v>2.9</v>
      </c>
      <c r="AC949">
        <v>0</v>
      </c>
      <c r="AD949">
        <v>3.0434783E-2</v>
      </c>
      <c r="AG949">
        <v>13394.623322060999</v>
      </c>
      <c r="AH949">
        <v>1353520.1494621299</v>
      </c>
    </row>
    <row r="950" spans="27:34">
      <c r="AA950">
        <v>8.36</v>
      </c>
      <c r="AB950">
        <v>2.9</v>
      </c>
      <c r="AC950">
        <v>0</v>
      </c>
      <c r="AD950">
        <v>3.0434783E-2</v>
      </c>
      <c r="AG950">
        <v>14781.4089206063</v>
      </c>
      <c r="AH950">
        <v>1348998.5174195</v>
      </c>
    </row>
    <row r="951" spans="27:34">
      <c r="AA951">
        <v>8.36</v>
      </c>
      <c r="AB951">
        <v>2.9</v>
      </c>
      <c r="AC951">
        <v>0</v>
      </c>
      <c r="AD951">
        <v>3.0434783E-2</v>
      </c>
      <c r="AE951">
        <v>95</v>
      </c>
      <c r="AF951">
        <v>14.02</v>
      </c>
      <c r="AG951">
        <v>16547.923716635702</v>
      </c>
      <c r="AH951">
        <v>1346100</v>
      </c>
    </row>
    <row r="952" spans="27:34">
      <c r="AA952">
        <v>8.36</v>
      </c>
      <c r="AB952">
        <v>2.9</v>
      </c>
      <c r="AC952">
        <v>0</v>
      </c>
      <c r="AD952">
        <v>3.0434783E-2</v>
      </c>
      <c r="AG952">
        <v>18920.119572928601</v>
      </c>
      <c r="AH952">
        <v>1343547</v>
      </c>
    </row>
    <row r="953" spans="27:34">
      <c r="AA953">
        <v>8.36</v>
      </c>
      <c r="AB953">
        <v>2.9</v>
      </c>
      <c r="AC953">
        <v>0</v>
      </c>
      <c r="AD953">
        <v>3.0434783E-2</v>
      </c>
      <c r="AG953">
        <v>21003.717886694001</v>
      </c>
      <c r="AH953">
        <v>1341672</v>
      </c>
    </row>
    <row r="954" spans="27:34">
      <c r="AA954">
        <v>8.36</v>
      </c>
      <c r="AB954">
        <v>2.9</v>
      </c>
      <c r="AC954">
        <v>0</v>
      </c>
      <c r="AD954">
        <v>3.0434783E-2</v>
      </c>
      <c r="AE954">
        <v>95</v>
      </c>
      <c r="AG954">
        <v>21760.686936407401</v>
      </c>
      <c r="AH954">
        <v>1340675</v>
      </c>
    </row>
    <row r="955" spans="27:34">
      <c r="AA955">
        <v>8.36</v>
      </c>
      <c r="AB955">
        <v>2.9</v>
      </c>
      <c r="AC955">
        <v>0</v>
      </c>
      <c r="AD955">
        <v>3.0434783E-2</v>
      </c>
      <c r="AG955">
        <v>19693.4723596277</v>
      </c>
      <c r="AH955">
        <v>1340345</v>
      </c>
    </row>
    <row r="956" spans="27:34">
      <c r="AA956">
        <v>8.36</v>
      </c>
      <c r="AB956">
        <v>2.9</v>
      </c>
      <c r="AC956">
        <v>0</v>
      </c>
      <c r="AD956">
        <v>3.0434783E-2</v>
      </c>
    </row>
    <row r="957" spans="27:34">
      <c r="AA957">
        <v>8.36</v>
      </c>
      <c r="AB957">
        <v>2.9</v>
      </c>
      <c r="AC957">
        <v>0</v>
      </c>
      <c r="AD957">
        <v>3.0434783E-2</v>
      </c>
    </row>
    <row r="958" spans="27:34">
      <c r="AA958">
        <v>14.39</v>
      </c>
      <c r="AB958">
        <v>3.8</v>
      </c>
      <c r="AC958">
        <v>705</v>
      </c>
      <c r="AD958">
        <v>0.40896199700000002</v>
      </c>
      <c r="AE958">
        <v>5</v>
      </c>
      <c r="AG958">
        <v>396.17318997134799</v>
      </c>
      <c r="AH958">
        <v>56982906</v>
      </c>
    </row>
    <row r="959" spans="27:34">
      <c r="AA959">
        <v>14.39</v>
      </c>
      <c r="AB959">
        <v>3.8</v>
      </c>
      <c r="AC959">
        <v>705</v>
      </c>
      <c r="AD959">
        <v>0.40896199700000002</v>
      </c>
      <c r="AG959">
        <v>440.60675074812201</v>
      </c>
      <c r="AH959">
        <v>58704453</v>
      </c>
    </row>
    <row r="960" spans="27:34">
      <c r="AA960">
        <v>14.39</v>
      </c>
      <c r="AB960">
        <v>3.8</v>
      </c>
      <c r="AC960">
        <v>705</v>
      </c>
      <c r="AD960">
        <v>0.40896199700000002</v>
      </c>
      <c r="AG960">
        <v>449.47577728154499</v>
      </c>
      <c r="AH960">
        <v>60402030</v>
      </c>
    </row>
    <row r="961" spans="27:34">
      <c r="AA961">
        <v>14.39</v>
      </c>
      <c r="AB961">
        <v>3.8</v>
      </c>
      <c r="AC961">
        <v>705</v>
      </c>
      <c r="AD961">
        <v>0.40896199700000002</v>
      </c>
      <c r="AG961">
        <v>426.91582304855802</v>
      </c>
      <c r="AH961">
        <v>62089193</v>
      </c>
    </row>
    <row r="962" spans="27:34">
      <c r="AA962">
        <v>14.39</v>
      </c>
      <c r="AB962">
        <v>3.8</v>
      </c>
      <c r="AC962">
        <v>705</v>
      </c>
      <c r="AD962">
        <v>0.40896199700000002</v>
      </c>
      <c r="AG962">
        <v>443.40481383307599</v>
      </c>
      <c r="AH962">
        <v>63787720</v>
      </c>
    </row>
    <row r="963" spans="27:34">
      <c r="AA963">
        <v>14.39</v>
      </c>
      <c r="AB963">
        <v>3.8</v>
      </c>
      <c r="AC963">
        <v>705</v>
      </c>
      <c r="AD963">
        <v>0.40896199700000002</v>
      </c>
      <c r="AE963">
        <v>8</v>
      </c>
      <c r="AF963">
        <v>4.556</v>
      </c>
      <c r="AG963">
        <v>467.84241957158599</v>
      </c>
      <c r="AH963">
        <v>65514626</v>
      </c>
    </row>
    <row r="964" spans="27:34">
      <c r="AA964">
        <v>14.39</v>
      </c>
      <c r="AB964">
        <v>3.8</v>
      </c>
      <c r="AC964">
        <v>705</v>
      </c>
      <c r="AD964">
        <v>0.40896199700000002</v>
      </c>
      <c r="AG964">
        <v>504.62840937043802</v>
      </c>
      <c r="AH964">
        <v>67272331</v>
      </c>
    </row>
    <row r="965" spans="27:34">
      <c r="AA965">
        <v>14.39</v>
      </c>
      <c r="AB965">
        <v>3.8</v>
      </c>
      <c r="AC965">
        <v>705</v>
      </c>
      <c r="AD965">
        <v>0.40896199700000002</v>
      </c>
      <c r="AG965">
        <v>507.128498824573</v>
      </c>
      <c r="AH965">
        <v>69058616</v>
      </c>
    </row>
    <row r="966" spans="27:34">
      <c r="AA966">
        <v>14.39</v>
      </c>
      <c r="AB966">
        <v>3.8</v>
      </c>
      <c r="AC966">
        <v>705</v>
      </c>
      <c r="AD966">
        <v>0.40896199700000002</v>
      </c>
      <c r="AG966">
        <v>493.83402598508701</v>
      </c>
      <c r="AH966">
        <v>70880658</v>
      </c>
    </row>
    <row r="967" spans="27:34">
      <c r="AA967">
        <v>14.39</v>
      </c>
      <c r="AB967">
        <v>3.8</v>
      </c>
      <c r="AC967">
        <v>705</v>
      </c>
      <c r="AD967">
        <v>0.40896199700000002</v>
      </c>
      <c r="AG967">
        <v>561.96604810426697</v>
      </c>
      <c r="AH967">
        <v>72746225</v>
      </c>
    </row>
    <row r="968" spans="27:34">
      <c r="AA968">
        <v>14.39</v>
      </c>
      <c r="AB968">
        <v>3.8</v>
      </c>
      <c r="AC968">
        <v>705</v>
      </c>
      <c r="AD968">
        <v>0.40896199700000002</v>
      </c>
      <c r="AE968">
        <v>10</v>
      </c>
      <c r="AG968">
        <v>632.68614780553901</v>
      </c>
      <c r="AH968">
        <v>74660901</v>
      </c>
    </row>
    <row r="969" spans="27:34">
      <c r="AA969">
        <v>14.39</v>
      </c>
      <c r="AB969">
        <v>3.8</v>
      </c>
      <c r="AC969">
        <v>705</v>
      </c>
      <c r="AD969">
        <v>0.40896199700000002</v>
      </c>
      <c r="AG969">
        <v>705.45928512044202</v>
      </c>
      <c r="AH969">
        <v>76627697</v>
      </c>
    </row>
    <row r="970" spans="27:34">
      <c r="AA970">
        <v>14.39</v>
      </c>
      <c r="AB970">
        <v>3.8</v>
      </c>
      <c r="AC970">
        <v>705</v>
      </c>
      <c r="AD970">
        <v>0.40896199700000002</v>
      </c>
      <c r="AG970">
        <v>792.34898865591401</v>
      </c>
      <c r="AH970">
        <v>78646128</v>
      </c>
    </row>
    <row r="971" spans="27:34">
      <c r="AA971">
        <v>14.39</v>
      </c>
      <c r="AB971">
        <v>3.8</v>
      </c>
      <c r="AC971">
        <v>705</v>
      </c>
      <c r="AD971">
        <v>0.40896199700000002</v>
      </c>
      <c r="AE971">
        <v>12</v>
      </c>
      <c r="AG971">
        <v>873.96544339598995</v>
      </c>
      <c r="AH971">
        <v>80713434</v>
      </c>
    </row>
    <row r="972" spans="27:34">
      <c r="AA972">
        <v>14.39</v>
      </c>
      <c r="AB972">
        <v>3.8</v>
      </c>
      <c r="AC972">
        <v>705</v>
      </c>
      <c r="AD972">
        <v>0.40896199700000002</v>
      </c>
      <c r="AG972">
        <v>934.40319272776003</v>
      </c>
      <c r="AH972">
        <v>82824732</v>
      </c>
    </row>
    <row r="973" spans="27:34">
      <c r="AA973">
        <v>14.39</v>
      </c>
      <c r="AB973">
        <v>3.8</v>
      </c>
      <c r="AC973">
        <v>705</v>
      </c>
      <c r="AD973">
        <v>0.40896199700000002</v>
      </c>
    </row>
    <row r="974" spans="27:34">
      <c r="AA974">
        <v>14.39</v>
      </c>
      <c r="AB974">
        <v>3.8</v>
      </c>
      <c r="AC974">
        <v>705</v>
      </c>
      <c r="AD974">
        <v>0.40896199700000002</v>
      </c>
    </row>
    <row r="975" spans="27:34">
      <c r="AA975">
        <v>5.2</v>
      </c>
      <c r="AB975">
        <v>4.5999999999999996</v>
      </c>
      <c r="AC975">
        <v>11</v>
      </c>
      <c r="AD975">
        <v>0.17418677900000001</v>
      </c>
      <c r="AG975">
        <v>3015.5228484969798</v>
      </c>
      <c r="AH975">
        <v>767936</v>
      </c>
    </row>
    <row r="976" spans="27:34">
      <c r="AA976">
        <v>5.2</v>
      </c>
      <c r="AB976">
        <v>4.5999999999999996</v>
      </c>
      <c r="AC976">
        <v>11</v>
      </c>
      <c r="AD976">
        <v>0.17418677900000001</v>
      </c>
      <c r="AG976">
        <v>3187.4345431952502</v>
      </c>
      <c r="AH976">
        <v>775950</v>
      </c>
    </row>
    <row r="977" spans="27:34">
      <c r="AA977">
        <v>5.2</v>
      </c>
      <c r="AB977">
        <v>4.5999999999999996</v>
      </c>
      <c r="AC977">
        <v>11</v>
      </c>
      <c r="AD977">
        <v>0.17418677900000001</v>
      </c>
      <c r="AG977">
        <v>3143.3959783945502</v>
      </c>
      <c r="AH977">
        <v>783156</v>
      </c>
    </row>
    <row r="978" spans="27:34">
      <c r="AA978">
        <v>5.2</v>
      </c>
      <c r="AB978">
        <v>4.5999999999999996</v>
      </c>
      <c r="AC978">
        <v>11</v>
      </c>
      <c r="AD978">
        <v>0.17418677900000001</v>
      </c>
      <c r="AG978">
        <v>3193.67491478593</v>
      </c>
      <c r="AH978">
        <v>789680</v>
      </c>
    </row>
    <row r="979" spans="27:34">
      <c r="AA979">
        <v>5.2</v>
      </c>
      <c r="AB979">
        <v>4.5999999999999996</v>
      </c>
      <c r="AC979">
        <v>11</v>
      </c>
      <c r="AD979">
        <v>0.17418677900000001</v>
      </c>
      <c r="AG979">
        <v>3498.58201907796</v>
      </c>
      <c r="AH979">
        <v>795788</v>
      </c>
    </row>
    <row r="980" spans="27:34">
      <c r="AA980">
        <v>5.2</v>
      </c>
      <c r="AB980">
        <v>4.5999999999999996</v>
      </c>
      <c r="AC980">
        <v>11</v>
      </c>
      <c r="AD980">
        <v>0.17418677900000001</v>
      </c>
      <c r="AF980">
        <v>0.28620000000000001</v>
      </c>
      <c r="AG980">
        <v>3487.68680310748</v>
      </c>
      <c r="AH980">
        <v>801681</v>
      </c>
    </row>
    <row r="981" spans="27:34">
      <c r="AA981">
        <v>5.2</v>
      </c>
      <c r="AB981">
        <v>4.5999999999999996</v>
      </c>
      <c r="AC981">
        <v>11</v>
      </c>
      <c r="AD981">
        <v>0.17418677900000001</v>
      </c>
      <c r="AG981">
        <v>3612.6409267317699</v>
      </c>
      <c r="AH981">
        <v>807329</v>
      </c>
    </row>
    <row r="982" spans="27:34">
      <c r="AA982">
        <v>5.2</v>
      </c>
      <c r="AB982">
        <v>4.5999999999999996</v>
      </c>
      <c r="AC982">
        <v>11</v>
      </c>
      <c r="AD982">
        <v>0.17418677900000001</v>
      </c>
      <c r="AG982">
        <v>3763.9681623301399</v>
      </c>
      <c r="AH982">
        <v>812658</v>
      </c>
    </row>
    <row r="983" spans="27:34">
      <c r="AA983">
        <v>5.2</v>
      </c>
      <c r="AB983">
        <v>4.5999999999999996</v>
      </c>
      <c r="AC983">
        <v>11</v>
      </c>
      <c r="AD983">
        <v>0.17418677900000001</v>
      </c>
      <c r="AG983">
        <v>3859.1710444308601</v>
      </c>
      <c r="AH983">
        <v>817791</v>
      </c>
    </row>
    <row r="984" spans="27:34">
      <c r="AA984">
        <v>5.2</v>
      </c>
      <c r="AB984">
        <v>4.5999999999999996</v>
      </c>
      <c r="AC984">
        <v>11</v>
      </c>
      <c r="AD984">
        <v>0.17418677900000001</v>
      </c>
      <c r="AG984">
        <v>4153.02660199406</v>
      </c>
      <c r="AH984">
        <v>822885</v>
      </c>
    </row>
    <row r="985" spans="27:34">
      <c r="AA985">
        <v>5.2</v>
      </c>
      <c r="AB985">
        <v>4.5999999999999996</v>
      </c>
      <c r="AC985">
        <v>11</v>
      </c>
      <c r="AD985">
        <v>0.17418677900000001</v>
      </c>
      <c r="AG985">
        <v>4294.6213541348397</v>
      </c>
      <c r="AH985">
        <v>828046</v>
      </c>
    </row>
    <row r="986" spans="27:34">
      <c r="AA986">
        <v>5.2</v>
      </c>
      <c r="AB986">
        <v>4.5999999999999996</v>
      </c>
      <c r="AC986">
        <v>11</v>
      </c>
      <c r="AD986">
        <v>0.17418677900000001</v>
      </c>
      <c r="AG986">
        <v>4489.9056112554499</v>
      </c>
      <c r="AH986">
        <v>833330</v>
      </c>
    </row>
    <row r="987" spans="27:34">
      <c r="AA987">
        <v>5.2</v>
      </c>
      <c r="AB987">
        <v>4.5999999999999996</v>
      </c>
      <c r="AC987">
        <v>11</v>
      </c>
      <c r="AD987">
        <v>0.17418677900000001</v>
      </c>
      <c r="AG987">
        <v>4572.5069170659799</v>
      </c>
      <c r="AH987">
        <v>838699</v>
      </c>
    </row>
    <row r="988" spans="27:34">
      <c r="AA988">
        <v>5.2</v>
      </c>
      <c r="AB988">
        <v>4.5999999999999996</v>
      </c>
      <c r="AC988">
        <v>11</v>
      </c>
      <c r="AD988">
        <v>0.17418677900000001</v>
      </c>
      <c r="AG988">
        <v>4652.1534913940204</v>
      </c>
      <c r="AH988">
        <v>844046</v>
      </c>
    </row>
    <row r="989" spans="27:34">
      <c r="AA989">
        <v>5.2</v>
      </c>
      <c r="AB989">
        <v>4.5999999999999996</v>
      </c>
      <c r="AC989">
        <v>11</v>
      </c>
      <c r="AD989">
        <v>0.17418677900000001</v>
      </c>
      <c r="AG989">
        <v>4526.17584568251</v>
      </c>
      <c r="AH989">
        <v>849218</v>
      </c>
    </row>
    <row r="990" spans="27:34">
      <c r="AA990">
        <v>5.2</v>
      </c>
      <c r="AB990">
        <v>4.5999999999999996</v>
      </c>
      <c r="AC990">
        <v>11</v>
      </c>
      <c r="AD990">
        <v>0.17418677900000001</v>
      </c>
    </row>
    <row r="991" spans="27:34">
      <c r="AA991">
        <v>5.2</v>
      </c>
      <c r="AB991">
        <v>4.5999999999999996</v>
      </c>
      <c r="AC991">
        <v>11</v>
      </c>
      <c r="AD991">
        <v>0.17418677900000001</v>
      </c>
    </row>
    <row r="992" spans="27:34">
      <c r="AA992">
        <v>13.6</v>
      </c>
      <c r="AB992">
        <v>3.4</v>
      </c>
      <c r="AC992">
        <v>0</v>
      </c>
      <c r="AD992">
        <v>2.4663676999999998E-2</v>
      </c>
      <c r="AE992">
        <v>100</v>
      </c>
      <c r="AF992">
        <v>2.351</v>
      </c>
      <c r="AG992">
        <v>18780.2757866016</v>
      </c>
      <c r="AH992">
        <v>5108000</v>
      </c>
    </row>
    <row r="993" spans="27:34">
      <c r="AA993">
        <v>13.6</v>
      </c>
      <c r="AB993">
        <v>3.4</v>
      </c>
      <c r="AC993">
        <v>0</v>
      </c>
      <c r="AD993">
        <v>2.4663676999999998E-2</v>
      </c>
      <c r="AG993">
        <v>19241.866160768499</v>
      </c>
      <c r="AH993">
        <v>5125000</v>
      </c>
    </row>
    <row r="994" spans="27:34">
      <c r="AA994">
        <v>13.6</v>
      </c>
      <c r="AB994">
        <v>3.4</v>
      </c>
      <c r="AC994">
        <v>0</v>
      </c>
      <c r="AD994">
        <v>2.4663676999999998E-2</v>
      </c>
      <c r="AG994">
        <v>20932.404002728901</v>
      </c>
      <c r="AH994">
        <v>5139835</v>
      </c>
    </row>
    <row r="995" spans="27:34">
      <c r="AA995">
        <v>13.6</v>
      </c>
      <c r="AB995">
        <v>3.4</v>
      </c>
      <c r="AC995">
        <v>0</v>
      </c>
      <c r="AD995">
        <v>2.4663676999999998E-2</v>
      </c>
      <c r="AG995">
        <v>22550.965600043899</v>
      </c>
      <c r="AH995">
        <v>5153000</v>
      </c>
    </row>
    <row r="996" spans="27:34">
      <c r="AA996">
        <v>13.6</v>
      </c>
      <c r="AB996">
        <v>3.4</v>
      </c>
      <c r="AC996">
        <v>0</v>
      </c>
      <c r="AD996">
        <v>2.4663676999999998E-2</v>
      </c>
      <c r="AG996">
        <v>23594.391632569401</v>
      </c>
      <c r="AH996">
        <v>5165446.6873640297</v>
      </c>
    </row>
    <row r="997" spans="27:34">
      <c r="AA997">
        <v>13.6</v>
      </c>
      <c r="AB997">
        <v>3.4</v>
      </c>
      <c r="AC997">
        <v>0</v>
      </c>
      <c r="AD997">
        <v>2.4663676999999998E-2</v>
      </c>
      <c r="AE997">
        <v>100</v>
      </c>
      <c r="AF997">
        <v>2.0640000000000001</v>
      </c>
      <c r="AG997">
        <v>25650.020924689699</v>
      </c>
      <c r="AH997">
        <v>5176197.6807305198</v>
      </c>
    </row>
    <row r="998" spans="27:34">
      <c r="AA998">
        <v>13.6</v>
      </c>
      <c r="AB998">
        <v>3.4</v>
      </c>
      <c r="AC998">
        <v>0</v>
      </c>
      <c r="AD998">
        <v>2.4663676999999998E-2</v>
      </c>
      <c r="AG998">
        <v>26518.3166663876</v>
      </c>
      <c r="AH998">
        <v>5187995.4115245696</v>
      </c>
    </row>
    <row r="999" spans="27:34">
      <c r="AA999">
        <v>13.6</v>
      </c>
      <c r="AB999">
        <v>3.4</v>
      </c>
      <c r="AC999">
        <v>0</v>
      </c>
      <c r="AD999">
        <v>2.4663676999999998E-2</v>
      </c>
      <c r="AG999">
        <v>27511.2347613112</v>
      </c>
      <c r="AH999">
        <v>5200596.8763210196</v>
      </c>
    </row>
    <row r="1000" spans="27:34">
      <c r="AA1000">
        <v>13.6</v>
      </c>
      <c r="AB1000">
        <v>3.4</v>
      </c>
      <c r="AC1000">
        <v>0</v>
      </c>
      <c r="AD1000">
        <v>2.4663676999999998E-2</v>
      </c>
      <c r="AG1000">
        <v>27592.2259331317</v>
      </c>
      <c r="AH1000">
        <v>5212995.6944160201</v>
      </c>
    </row>
    <row r="1001" spans="27:34">
      <c r="AA1001">
        <v>13.6</v>
      </c>
      <c r="AB1001">
        <v>3.4</v>
      </c>
      <c r="AC1001">
        <v>0</v>
      </c>
      <c r="AD1001">
        <v>2.4663676999999998E-2</v>
      </c>
      <c r="AG1001">
        <v>29850.5722826321</v>
      </c>
      <c r="AH1001">
        <v>5228143.1713372199</v>
      </c>
    </row>
    <row r="1002" spans="27:34">
      <c r="AA1002">
        <v>13.6</v>
      </c>
      <c r="AB1002">
        <v>3.4</v>
      </c>
      <c r="AC1002">
        <v>0</v>
      </c>
      <c r="AD1002">
        <v>2.4663676999999998E-2</v>
      </c>
      <c r="AE1002">
        <v>100</v>
      </c>
      <c r="AF1002">
        <v>1.4850000000000001</v>
      </c>
      <c r="AG1002">
        <v>30684.125284701899</v>
      </c>
      <c r="AH1002">
        <v>5246100</v>
      </c>
    </row>
    <row r="1003" spans="27:34">
      <c r="AA1003">
        <v>13.6</v>
      </c>
      <c r="AB1003">
        <v>3.4</v>
      </c>
      <c r="AC1003">
        <v>0</v>
      </c>
      <c r="AD1003">
        <v>2.4663676999999998E-2</v>
      </c>
      <c r="AG1003">
        <v>33095.231954082199</v>
      </c>
      <c r="AH1003">
        <v>5266268</v>
      </c>
    </row>
    <row r="1004" spans="27:34">
      <c r="AA1004">
        <v>13.6</v>
      </c>
      <c r="AB1004">
        <v>3.4</v>
      </c>
      <c r="AC1004">
        <v>0</v>
      </c>
      <c r="AD1004">
        <v>2.4663676999999998E-2</v>
      </c>
      <c r="AG1004">
        <v>36149.192927969001</v>
      </c>
      <c r="AH1004">
        <v>5288720</v>
      </c>
    </row>
    <row r="1005" spans="27:34">
      <c r="AA1005">
        <v>13.6</v>
      </c>
      <c r="AB1005">
        <v>3.4</v>
      </c>
      <c r="AC1005">
        <v>0</v>
      </c>
      <c r="AD1005">
        <v>2.4663676999999998E-2</v>
      </c>
      <c r="AE1005">
        <v>100</v>
      </c>
      <c r="AG1005">
        <v>37795.244211049801</v>
      </c>
      <c r="AH1005">
        <v>5313399</v>
      </c>
    </row>
    <row r="1006" spans="27:34">
      <c r="AA1006">
        <v>13.6</v>
      </c>
      <c r="AB1006">
        <v>3.4</v>
      </c>
      <c r="AC1006">
        <v>0</v>
      </c>
      <c r="AD1006">
        <v>2.4663676999999998E-2</v>
      </c>
      <c r="AG1006">
        <v>35265.393395200997</v>
      </c>
      <c r="AH1006">
        <v>5338395</v>
      </c>
    </row>
    <row r="1007" spans="27:34">
      <c r="AA1007">
        <v>13.6</v>
      </c>
      <c r="AB1007">
        <v>3.4</v>
      </c>
      <c r="AC1007">
        <v>0</v>
      </c>
      <c r="AD1007">
        <v>2.4663676999999998E-2</v>
      </c>
    </row>
    <row r="1008" spans="27:34">
      <c r="AA1008">
        <v>13.6</v>
      </c>
      <c r="AB1008">
        <v>3.4</v>
      </c>
      <c r="AC1008">
        <v>0</v>
      </c>
      <c r="AD1008">
        <v>2.4663676999999998E-2</v>
      </c>
    </row>
    <row r="1009" spans="27:34">
      <c r="AA1009">
        <v>-3.29</v>
      </c>
      <c r="AB1009">
        <v>1.5</v>
      </c>
      <c r="AC1009" t="e">
        <v>#N/A</v>
      </c>
      <c r="AD1009">
        <v>5.7934509000000002E-2</v>
      </c>
      <c r="AE1009">
        <v>100</v>
      </c>
      <c r="AG1009">
        <v>20213.6063474691</v>
      </c>
      <c r="AH1009">
        <v>57844000</v>
      </c>
    </row>
    <row r="1010" spans="27:34">
      <c r="AA1010">
        <v>-3.29</v>
      </c>
      <c r="AB1010">
        <v>1.5</v>
      </c>
      <c r="AD1010">
        <v>5.7934509000000002E-2</v>
      </c>
      <c r="AG1010">
        <v>20803.994514525399</v>
      </c>
      <c r="AH1010">
        <v>58026000</v>
      </c>
    </row>
    <row r="1011" spans="27:34">
      <c r="AA1011">
        <v>-3.29</v>
      </c>
      <c r="AB1011">
        <v>1.5</v>
      </c>
      <c r="AD1011">
        <v>5.7934509000000002E-2</v>
      </c>
      <c r="AG1011">
        <v>21743.602198680499</v>
      </c>
      <c r="AH1011">
        <v>58208000</v>
      </c>
    </row>
    <row r="1012" spans="27:34">
      <c r="AA1012">
        <v>-3.29</v>
      </c>
      <c r="AB1012">
        <v>1.5</v>
      </c>
      <c r="AD1012">
        <v>5.7934509000000002E-2</v>
      </c>
      <c r="AG1012">
        <v>22793.055288782201</v>
      </c>
      <c r="AH1012">
        <v>58398000</v>
      </c>
    </row>
    <row r="1013" spans="27:34">
      <c r="AA1013">
        <v>-3.29</v>
      </c>
      <c r="AB1013">
        <v>1.5</v>
      </c>
      <c r="AD1013">
        <v>5.7934509000000002E-2</v>
      </c>
      <c r="AG1013">
        <v>23634.8381150477</v>
      </c>
      <c r="AH1013">
        <v>58622514.483942099</v>
      </c>
    </row>
    <row r="1014" spans="27:34">
      <c r="AA1014">
        <v>-3.29</v>
      </c>
      <c r="AB1014">
        <v>1.5</v>
      </c>
      <c r="AD1014">
        <v>5.7934509000000002E-2</v>
      </c>
      <c r="AE1014">
        <v>100</v>
      </c>
      <c r="AF1014">
        <v>15.5</v>
      </c>
      <c r="AG1014">
        <v>25325.092928710001</v>
      </c>
      <c r="AH1014">
        <v>58895516.548290797</v>
      </c>
    </row>
    <row r="1015" spans="27:34">
      <c r="AA1015">
        <v>-3.29</v>
      </c>
      <c r="AB1015">
        <v>1.5</v>
      </c>
      <c r="AD1015">
        <v>5.7934509000000002E-2</v>
      </c>
      <c r="AG1015">
        <v>26749.706643668102</v>
      </c>
      <c r="AH1015">
        <v>59192410.195480302</v>
      </c>
    </row>
    <row r="1016" spans="27:34">
      <c r="AA1016">
        <v>-3.29</v>
      </c>
      <c r="AB1016">
        <v>1.5</v>
      </c>
      <c r="AD1016">
        <v>5.7934509000000002E-2</v>
      </c>
      <c r="AG1016">
        <v>27888.3555562035</v>
      </c>
      <c r="AH1016">
        <v>59598597.395408601</v>
      </c>
    </row>
    <row r="1017" spans="27:34">
      <c r="AA1017">
        <v>-3.29</v>
      </c>
      <c r="AB1017">
        <v>1.5</v>
      </c>
      <c r="AD1017">
        <v>5.7934509000000002E-2</v>
      </c>
      <c r="AG1017">
        <v>27441.908885108402</v>
      </c>
      <c r="AH1017">
        <v>60154851</v>
      </c>
    </row>
    <row r="1018" spans="27:34">
      <c r="AA1018">
        <v>-3.29</v>
      </c>
      <c r="AB1018">
        <v>1.5</v>
      </c>
      <c r="AD1018">
        <v>5.7934509000000002E-2</v>
      </c>
      <c r="AG1018">
        <v>28344.102538187199</v>
      </c>
      <c r="AH1018">
        <v>60521142</v>
      </c>
    </row>
    <row r="1019" spans="27:34">
      <c r="AA1019">
        <v>-3.29</v>
      </c>
      <c r="AB1019">
        <v>1.5</v>
      </c>
      <c r="AD1019">
        <v>5.7934509000000002E-2</v>
      </c>
      <c r="AE1019">
        <v>100</v>
      </c>
      <c r="AF1019">
        <v>14.98</v>
      </c>
      <c r="AG1019">
        <v>29808.720312795998</v>
      </c>
      <c r="AH1019">
        <v>60873000</v>
      </c>
    </row>
    <row r="1020" spans="27:34">
      <c r="AA1020">
        <v>-3.29</v>
      </c>
      <c r="AB1020">
        <v>1.5</v>
      </c>
      <c r="AD1020">
        <v>5.7934509000000002E-2</v>
      </c>
      <c r="AG1020">
        <v>31640.4831264475</v>
      </c>
      <c r="AH1020">
        <v>61352572</v>
      </c>
    </row>
    <row r="1021" spans="27:34">
      <c r="AA1021">
        <v>-3.29</v>
      </c>
      <c r="AB1021">
        <v>1.5</v>
      </c>
      <c r="AD1021">
        <v>5.7934509000000002E-2</v>
      </c>
      <c r="AG1021">
        <v>33278.915230301798</v>
      </c>
      <c r="AH1021">
        <v>61938464</v>
      </c>
    </row>
    <row r="1022" spans="27:34">
      <c r="AA1022">
        <v>-3.29</v>
      </c>
      <c r="AB1022">
        <v>1.5</v>
      </c>
      <c r="AD1022">
        <v>5.7934509000000002E-2</v>
      </c>
      <c r="AE1022">
        <v>100</v>
      </c>
      <c r="AG1022">
        <v>34211.6910564891</v>
      </c>
      <c r="AH1022">
        <v>62277432</v>
      </c>
    </row>
    <row r="1023" spans="27:34">
      <c r="AA1023">
        <v>-3.29</v>
      </c>
      <c r="AB1023">
        <v>1.5</v>
      </c>
      <c r="AD1023">
        <v>5.7934509000000002E-2</v>
      </c>
      <c r="AG1023">
        <v>33674.387796961601</v>
      </c>
      <c r="AH1023">
        <v>62616488</v>
      </c>
    </row>
    <row r="1024" spans="27:34">
      <c r="AA1024">
        <v>-3.29</v>
      </c>
      <c r="AB1024">
        <v>1.5</v>
      </c>
      <c r="AD1024">
        <v>5.7934509000000002E-2</v>
      </c>
    </row>
    <row r="1025" spans="27:34">
      <c r="AA1025">
        <v>-3.29</v>
      </c>
      <c r="AB1025">
        <v>1.5</v>
      </c>
      <c r="AD1025">
        <v>5.7934509000000002E-2</v>
      </c>
    </row>
    <row r="1026" spans="27:34">
      <c r="AA1026">
        <v>1.1499999999999999</v>
      </c>
      <c r="AB1026">
        <v>4.5999999999999996</v>
      </c>
      <c r="AC1026">
        <v>102</v>
      </c>
      <c r="AD1026">
        <v>0.42346542300000001</v>
      </c>
      <c r="AE1026">
        <v>36</v>
      </c>
      <c r="AG1026">
        <v>12145.5721598452</v>
      </c>
      <c r="AH1026">
        <v>1084447</v>
      </c>
    </row>
    <row r="1027" spans="27:34">
      <c r="AA1027">
        <v>1.1499999999999999</v>
      </c>
      <c r="AB1027">
        <v>4.5999999999999996</v>
      </c>
      <c r="AC1027">
        <v>102</v>
      </c>
      <c r="AD1027">
        <v>0.42346542300000001</v>
      </c>
      <c r="AG1027">
        <v>12469.8376982973</v>
      </c>
      <c r="AH1027">
        <v>1115466</v>
      </c>
    </row>
    <row r="1028" spans="27:34">
      <c r="AA1028">
        <v>1.1499999999999999</v>
      </c>
      <c r="AB1028">
        <v>4.5999999999999996</v>
      </c>
      <c r="AC1028">
        <v>102</v>
      </c>
      <c r="AD1028">
        <v>0.42346542300000001</v>
      </c>
      <c r="AG1028">
        <v>13063.2976431196</v>
      </c>
      <c r="AH1028">
        <v>1145857</v>
      </c>
    </row>
    <row r="1029" spans="27:34">
      <c r="AA1029">
        <v>1.1499999999999999</v>
      </c>
      <c r="AB1029">
        <v>4.5999999999999996</v>
      </c>
      <c r="AC1029">
        <v>102</v>
      </c>
      <c r="AD1029">
        <v>0.42346542300000001</v>
      </c>
      <c r="AG1029">
        <v>13324.577177814501</v>
      </c>
      <c r="AH1029">
        <v>1175607</v>
      </c>
    </row>
    <row r="1030" spans="27:34">
      <c r="AA1030">
        <v>1.1499999999999999</v>
      </c>
      <c r="AB1030">
        <v>4.5999999999999996</v>
      </c>
      <c r="AC1030">
        <v>102</v>
      </c>
      <c r="AD1030">
        <v>0.42346542300000001</v>
      </c>
      <c r="AG1030">
        <v>12014.118385998099</v>
      </c>
      <c r="AH1030">
        <v>1204773</v>
      </c>
    </row>
    <row r="1031" spans="27:34">
      <c r="AA1031">
        <v>1.1499999999999999</v>
      </c>
      <c r="AB1031">
        <v>4.5999999999999996</v>
      </c>
      <c r="AC1031">
        <v>102</v>
      </c>
      <c r="AD1031">
        <v>0.42346542300000001</v>
      </c>
      <c r="AE1031">
        <v>36</v>
      </c>
      <c r="AF1031">
        <v>7.9299999999999995E-2</v>
      </c>
      <c r="AG1031">
        <v>11763.327355218</v>
      </c>
      <c r="AH1031">
        <v>1233410</v>
      </c>
    </row>
    <row r="1032" spans="27:34">
      <c r="AA1032">
        <v>1.1499999999999999</v>
      </c>
      <c r="AB1032">
        <v>4.5999999999999996</v>
      </c>
      <c r="AC1032">
        <v>102</v>
      </c>
      <c r="AD1032">
        <v>0.42346542300000001</v>
      </c>
      <c r="AG1032">
        <v>12013.037464772</v>
      </c>
      <c r="AH1032">
        <v>1261483</v>
      </c>
    </row>
    <row r="1033" spans="27:34">
      <c r="AA1033">
        <v>1.1499999999999999</v>
      </c>
      <c r="AB1033">
        <v>4.5999999999999996</v>
      </c>
      <c r="AC1033">
        <v>102</v>
      </c>
      <c r="AD1033">
        <v>0.42346542300000001</v>
      </c>
      <c r="AG1033">
        <v>11915.922499834</v>
      </c>
      <c r="AH1033">
        <v>1288972</v>
      </c>
    </row>
    <row r="1034" spans="27:34">
      <c r="AA1034">
        <v>1.1499999999999999</v>
      </c>
      <c r="AB1034">
        <v>4.5999999999999996</v>
      </c>
      <c r="AC1034">
        <v>102</v>
      </c>
      <c r="AD1034">
        <v>0.42346542300000001</v>
      </c>
      <c r="AG1034">
        <v>12217.918106544301</v>
      </c>
      <c r="AH1034">
        <v>1315994</v>
      </c>
    </row>
    <row r="1035" spans="27:34">
      <c r="AA1035">
        <v>1.1499999999999999</v>
      </c>
      <c r="AB1035">
        <v>4.5999999999999996</v>
      </c>
      <c r="AC1035">
        <v>102</v>
      </c>
      <c r="AD1035">
        <v>0.42346542300000001</v>
      </c>
      <c r="AG1035">
        <v>12480.087180317099</v>
      </c>
      <c r="AH1035">
        <v>1342701</v>
      </c>
    </row>
    <row r="1036" spans="27:34">
      <c r="AA1036">
        <v>1.1499999999999999</v>
      </c>
      <c r="AB1036">
        <v>4.5999999999999996</v>
      </c>
      <c r="AC1036">
        <v>102</v>
      </c>
      <c r="AD1036">
        <v>0.42346542300000001</v>
      </c>
      <c r="AE1036">
        <v>33</v>
      </c>
      <c r="AG1036">
        <v>13028.5213548023</v>
      </c>
      <c r="AH1036">
        <v>1369229</v>
      </c>
    </row>
    <row r="1037" spans="27:34">
      <c r="AA1037">
        <v>1.1499999999999999</v>
      </c>
      <c r="AB1037">
        <v>4.5999999999999996</v>
      </c>
      <c r="AC1037">
        <v>102</v>
      </c>
      <c r="AD1037">
        <v>0.42346542300000001</v>
      </c>
      <c r="AG1037">
        <v>13353.8559116051</v>
      </c>
      <c r="AH1037">
        <v>1395613</v>
      </c>
    </row>
    <row r="1038" spans="27:34">
      <c r="AA1038">
        <v>1.1499999999999999</v>
      </c>
      <c r="AB1038">
        <v>4.5999999999999996</v>
      </c>
      <c r="AC1038">
        <v>102</v>
      </c>
      <c r="AD1038">
        <v>0.42346542300000001</v>
      </c>
      <c r="AG1038">
        <v>14309.115422200101</v>
      </c>
      <c r="AH1038">
        <v>1421882</v>
      </c>
    </row>
    <row r="1039" spans="27:34">
      <c r="AA1039">
        <v>1.1499999999999999</v>
      </c>
      <c r="AB1039">
        <v>4.5999999999999996</v>
      </c>
      <c r="AC1039">
        <v>102</v>
      </c>
      <c r="AD1039">
        <v>0.42346542300000001</v>
      </c>
      <c r="AE1039">
        <v>33</v>
      </c>
      <c r="AG1039">
        <v>14689.4779024625</v>
      </c>
      <c r="AH1039">
        <v>1448159</v>
      </c>
    </row>
    <row r="1040" spans="27:34">
      <c r="AA1040">
        <v>1.1499999999999999</v>
      </c>
      <c r="AB1040">
        <v>4.5999999999999996</v>
      </c>
      <c r="AC1040">
        <v>102</v>
      </c>
      <c r="AD1040">
        <v>0.42346542300000001</v>
      </c>
      <c r="AG1040">
        <v>14419.225043651801</v>
      </c>
      <c r="AH1040">
        <v>1474586</v>
      </c>
    </row>
    <row r="1041" spans="27:34">
      <c r="AA1041">
        <v>1.1499999999999999</v>
      </c>
      <c r="AB1041">
        <v>4.5999999999999996</v>
      </c>
      <c r="AC1041">
        <v>102</v>
      </c>
      <c r="AD1041">
        <v>0.42346542300000001</v>
      </c>
    </row>
    <row r="1042" spans="27:34">
      <c r="AA1042">
        <v>1.1499999999999999</v>
      </c>
      <c r="AB1042">
        <v>4.5999999999999996</v>
      </c>
      <c r="AC1042">
        <v>102</v>
      </c>
      <c r="AD1042">
        <v>0.42346542300000001</v>
      </c>
    </row>
    <row r="1043" spans="27:34">
      <c r="AA1043">
        <v>-7.03</v>
      </c>
      <c r="AB1043">
        <v>4.5</v>
      </c>
      <c r="AC1043">
        <v>286</v>
      </c>
      <c r="AD1043">
        <v>0.39414414399999997</v>
      </c>
      <c r="AE1043">
        <v>60</v>
      </c>
      <c r="AG1043">
        <v>853.81879458583001</v>
      </c>
      <c r="AH1043">
        <v>1084888</v>
      </c>
    </row>
    <row r="1044" spans="27:34">
      <c r="AA1044">
        <v>-7.03</v>
      </c>
      <c r="AB1044">
        <v>4.5</v>
      </c>
      <c r="AC1044">
        <v>286</v>
      </c>
      <c r="AD1044">
        <v>0.39414414399999997</v>
      </c>
      <c r="AG1044">
        <v>856.61569651486195</v>
      </c>
      <c r="AH1044">
        <v>1126527</v>
      </c>
    </row>
    <row r="1045" spans="27:34">
      <c r="AA1045">
        <v>-7.03</v>
      </c>
      <c r="AB1045">
        <v>4.5</v>
      </c>
      <c r="AC1045">
        <v>286</v>
      </c>
      <c r="AD1045">
        <v>0.39414414399999997</v>
      </c>
      <c r="AG1045">
        <v>881.04641394988198</v>
      </c>
      <c r="AH1045">
        <v>1169332</v>
      </c>
    </row>
    <row r="1046" spans="27:34">
      <c r="AA1046">
        <v>-7.03</v>
      </c>
      <c r="AB1046">
        <v>4.5</v>
      </c>
      <c r="AC1046">
        <v>286</v>
      </c>
      <c r="AD1046">
        <v>0.39414414399999997</v>
      </c>
      <c r="AG1046">
        <v>888.97245393688604</v>
      </c>
      <c r="AH1046">
        <v>1213036</v>
      </c>
    </row>
    <row r="1047" spans="27:34">
      <c r="AA1047">
        <v>-7.03</v>
      </c>
      <c r="AB1047">
        <v>4.5</v>
      </c>
      <c r="AC1047">
        <v>286</v>
      </c>
      <c r="AD1047">
        <v>0.39414414399999997</v>
      </c>
      <c r="AG1047">
        <v>925.95077833357004</v>
      </c>
      <c r="AH1047">
        <v>1257287</v>
      </c>
    </row>
    <row r="1048" spans="27:34">
      <c r="AA1048">
        <v>-7.03</v>
      </c>
      <c r="AB1048">
        <v>4.5</v>
      </c>
      <c r="AC1048">
        <v>286</v>
      </c>
      <c r="AD1048">
        <v>0.39414414399999997</v>
      </c>
      <c r="AE1048">
        <v>63</v>
      </c>
      <c r="AF1048">
        <v>0.89119999999999999</v>
      </c>
      <c r="AG1048">
        <v>963.88218852348302</v>
      </c>
      <c r="AH1048">
        <v>1301808</v>
      </c>
    </row>
    <row r="1049" spans="27:34">
      <c r="AA1049">
        <v>-7.03</v>
      </c>
      <c r="AB1049">
        <v>4.5</v>
      </c>
      <c r="AC1049">
        <v>286</v>
      </c>
      <c r="AD1049">
        <v>0.39414414399999997</v>
      </c>
      <c r="AG1049">
        <v>1008.28598547899</v>
      </c>
      <c r="AH1049">
        <v>1346508</v>
      </c>
    </row>
    <row r="1050" spans="27:34">
      <c r="AA1050">
        <v>-7.03</v>
      </c>
      <c r="AB1050">
        <v>4.5</v>
      </c>
      <c r="AC1050">
        <v>286</v>
      </c>
      <c r="AD1050">
        <v>0.39414414399999997</v>
      </c>
      <c r="AG1050">
        <v>959.39448365174201</v>
      </c>
      <c r="AH1050">
        <v>1391378</v>
      </c>
    </row>
    <row r="1051" spans="27:34">
      <c r="AA1051">
        <v>-7.03</v>
      </c>
      <c r="AB1051">
        <v>4.5</v>
      </c>
      <c r="AC1051">
        <v>286</v>
      </c>
      <c r="AD1051">
        <v>0.39414414399999997</v>
      </c>
      <c r="AG1051">
        <v>1014.63040528464</v>
      </c>
      <c r="AH1051">
        <v>1436321</v>
      </c>
    </row>
    <row r="1052" spans="27:34">
      <c r="AA1052">
        <v>-7.03</v>
      </c>
      <c r="AB1052">
        <v>4.5</v>
      </c>
      <c r="AC1052">
        <v>286</v>
      </c>
      <c r="AD1052">
        <v>0.39414414399999997</v>
      </c>
      <c r="AG1052">
        <v>1083.06635590882</v>
      </c>
      <c r="AH1052">
        <v>1481256</v>
      </c>
    </row>
    <row r="1053" spans="27:34">
      <c r="AA1053">
        <v>-7.03</v>
      </c>
      <c r="AB1053">
        <v>4.5</v>
      </c>
      <c r="AC1053">
        <v>286</v>
      </c>
      <c r="AD1053">
        <v>0.39414414399999997</v>
      </c>
      <c r="AE1053">
        <v>65</v>
      </c>
      <c r="AG1053">
        <v>1141.7773701220999</v>
      </c>
      <c r="AH1053">
        <v>1526138</v>
      </c>
    </row>
    <row r="1054" spans="27:34">
      <c r="AA1054">
        <v>-7.03</v>
      </c>
      <c r="AB1054">
        <v>4.5</v>
      </c>
      <c r="AC1054">
        <v>286</v>
      </c>
      <c r="AD1054">
        <v>0.39414414399999997</v>
      </c>
      <c r="AG1054">
        <v>1220.3532234857701</v>
      </c>
      <c r="AH1054">
        <v>1570883</v>
      </c>
    </row>
    <row r="1055" spans="27:34">
      <c r="AA1055">
        <v>-7.03</v>
      </c>
      <c r="AB1055">
        <v>4.5</v>
      </c>
      <c r="AC1055">
        <v>286</v>
      </c>
      <c r="AD1055">
        <v>0.39414414399999997</v>
      </c>
      <c r="AG1055">
        <v>1304.6861362278</v>
      </c>
      <c r="AH1055">
        <v>1615510</v>
      </c>
    </row>
    <row r="1056" spans="27:34">
      <c r="AA1056">
        <v>-7.03</v>
      </c>
      <c r="AB1056">
        <v>4.5</v>
      </c>
      <c r="AC1056">
        <v>286</v>
      </c>
      <c r="AD1056">
        <v>0.39414414399999997</v>
      </c>
      <c r="AE1056">
        <v>67</v>
      </c>
      <c r="AG1056">
        <v>1376.4568645208001</v>
      </c>
      <c r="AH1056">
        <v>1660200</v>
      </c>
    </row>
    <row r="1057" spans="27:34">
      <c r="AA1057">
        <v>-7.03</v>
      </c>
      <c r="AB1057">
        <v>4.5</v>
      </c>
      <c r="AC1057">
        <v>286</v>
      </c>
      <c r="AD1057">
        <v>0.39414414399999997</v>
      </c>
      <c r="AG1057">
        <v>1414.60454075852</v>
      </c>
      <c r="AH1057">
        <v>1705212</v>
      </c>
    </row>
    <row r="1058" spans="27:34">
      <c r="AA1058">
        <v>-7.03</v>
      </c>
      <c r="AB1058">
        <v>4.5</v>
      </c>
      <c r="AC1058">
        <v>286</v>
      </c>
      <c r="AD1058">
        <v>0.39414414399999997</v>
      </c>
    </row>
    <row r="1059" spans="27:34">
      <c r="AA1059">
        <v>-7.03</v>
      </c>
      <c r="AB1059">
        <v>4.5</v>
      </c>
      <c r="AC1059">
        <v>286</v>
      </c>
      <c r="AD1059">
        <v>0.39414414399999997</v>
      </c>
    </row>
    <row r="1060" spans="27:34">
      <c r="AA1060">
        <v>-10.67</v>
      </c>
      <c r="AB1060">
        <v>1.8</v>
      </c>
      <c r="AC1060">
        <v>169</v>
      </c>
      <c r="AD1060">
        <v>9.1370558000000004E-2</v>
      </c>
      <c r="AE1060">
        <v>96</v>
      </c>
      <c r="AG1060">
        <v>1409.89282676061</v>
      </c>
      <c r="AH1060">
        <v>5068901</v>
      </c>
    </row>
    <row r="1061" spans="27:34">
      <c r="AA1061">
        <v>-10.67</v>
      </c>
      <c r="AB1061">
        <v>1.8</v>
      </c>
      <c r="AC1061">
        <v>169</v>
      </c>
      <c r="AD1061">
        <v>9.1370558000000004E-2</v>
      </c>
      <c r="AG1061">
        <v>1622.4468426987601</v>
      </c>
      <c r="AH1061">
        <v>4991836</v>
      </c>
    </row>
    <row r="1062" spans="27:34">
      <c r="AA1062">
        <v>-10.67</v>
      </c>
      <c r="AB1062">
        <v>1.8</v>
      </c>
      <c r="AC1062">
        <v>169</v>
      </c>
      <c r="AD1062">
        <v>9.1370558000000004E-2</v>
      </c>
      <c r="AG1062">
        <v>1850.178758798</v>
      </c>
      <c r="AH1062">
        <v>4923656</v>
      </c>
    </row>
    <row r="1063" spans="27:34">
      <c r="AA1063">
        <v>-10.67</v>
      </c>
      <c r="AB1063">
        <v>1.8</v>
      </c>
      <c r="AC1063">
        <v>169</v>
      </c>
      <c r="AD1063">
        <v>9.1370558000000004E-2</v>
      </c>
      <c r="AG1063">
        <v>1953.52789814843</v>
      </c>
      <c r="AH1063">
        <v>4862349</v>
      </c>
    </row>
    <row r="1064" spans="27:34">
      <c r="AA1064">
        <v>-10.67</v>
      </c>
      <c r="AB1064">
        <v>1.8</v>
      </c>
      <c r="AC1064">
        <v>169</v>
      </c>
      <c r="AD1064">
        <v>9.1370558000000004E-2</v>
      </c>
      <c r="AG1064">
        <v>2063.91550644473</v>
      </c>
      <c r="AH1064">
        <v>4803725</v>
      </c>
    </row>
    <row r="1065" spans="27:34">
      <c r="AA1065">
        <v>-10.67</v>
      </c>
      <c r="AB1065">
        <v>1.8</v>
      </c>
      <c r="AC1065">
        <v>169</v>
      </c>
      <c r="AD1065">
        <v>9.1370558000000004E-2</v>
      </c>
      <c r="AE1065">
        <v>95</v>
      </c>
      <c r="AG1065">
        <v>2174.0230209399401</v>
      </c>
      <c r="AH1065">
        <v>4744750</v>
      </c>
    </row>
    <row r="1066" spans="27:34">
      <c r="AA1066">
        <v>-10.67</v>
      </c>
      <c r="AB1066">
        <v>1.8</v>
      </c>
      <c r="AC1066">
        <v>169</v>
      </c>
      <c r="AD1066">
        <v>9.1370558000000004E-2</v>
      </c>
      <c r="AG1066">
        <v>2359.42916491499</v>
      </c>
      <c r="AH1066">
        <v>4685873</v>
      </c>
    </row>
    <row r="1067" spans="27:34">
      <c r="AA1067">
        <v>-10.67</v>
      </c>
      <c r="AB1067">
        <v>1.8</v>
      </c>
      <c r="AC1067">
        <v>169</v>
      </c>
      <c r="AD1067">
        <v>9.1370558000000004E-2</v>
      </c>
      <c r="AG1067">
        <v>2560.17743293178</v>
      </c>
      <c r="AH1067">
        <v>4628826</v>
      </c>
    </row>
    <row r="1068" spans="27:34">
      <c r="AA1068">
        <v>-10.67</v>
      </c>
      <c r="AB1068">
        <v>1.8</v>
      </c>
      <c r="AC1068">
        <v>169</v>
      </c>
      <c r="AD1068">
        <v>9.1370558000000004E-2</v>
      </c>
      <c r="AG1068">
        <v>2950.5191659649299</v>
      </c>
      <c r="AH1068">
        <v>4573208</v>
      </c>
    </row>
    <row r="1069" spans="27:34">
      <c r="AA1069">
        <v>-10.67</v>
      </c>
      <c r="AB1069">
        <v>1.8</v>
      </c>
      <c r="AC1069">
        <v>169</v>
      </c>
      <c r="AD1069">
        <v>9.1370558000000004E-2</v>
      </c>
      <c r="AG1069">
        <v>3219.7208858916001</v>
      </c>
      <c r="AH1069">
        <v>4518528</v>
      </c>
    </row>
    <row r="1070" spans="27:34">
      <c r="AA1070">
        <v>-10.67</v>
      </c>
      <c r="AB1070">
        <v>1.8</v>
      </c>
      <c r="AC1070">
        <v>169</v>
      </c>
      <c r="AD1070">
        <v>9.1370558000000004E-2</v>
      </c>
      <c r="AE1070">
        <v>95</v>
      </c>
      <c r="AF1070">
        <v>2.56</v>
      </c>
      <c r="AG1070">
        <v>3610.4828605591802</v>
      </c>
      <c r="AH1070">
        <v>4464543</v>
      </c>
    </row>
    <row r="1071" spans="27:34">
      <c r="AA1071">
        <v>-10.67</v>
      </c>
      <c r="AB1071">
        <v>1.8</v>
      </c>
      <c r="AC1071">
        <v>169</v>
      </c>
      <c r="AD1071">
        <v>9.1370558000000004E-2</v>
      </c>
      <c r="AG1071">
        <v>4043.78085416362</v>
      </c>
      <c r="AH1071">
        <v>4410860</v>
      </c>
    </row>
    <row r="1072" spans="27:34">
      <c r="AA1072">
        <v>-10.67</v>
      </c>
      <c r="AB1072">
        <v>1.8</v>
      </c>
      <c r="AC1072">
        <v>169</v>
      </c>
      <c r="AD1072">
        <v>9.1370558000000004E-2</v>
      </c>
      <c r="AG1072">
        <v>4708.8963068278899</v>
      </c>
      <c r="AH1072">
        <v>4357857</v>
      </c>
    </row>
    <row r="1073" spans="27:34">
      <c r="AA1073">
        <v>-10.67</v>
      </c>
      <c r="AB1073">
        <v>1.8</v>
      </c>
      <c r="AC1073">
        <v>169</v>
      </c>
      <c r="AD1073">
        <v>9.1370558000000004E-2</v>
      </c>
      <c r="AE1073">
        <v>95</v>
      </c>
      <c r="AG1073">
        <v>4928.4091115125902</v>
      </c>
      <c r="AH1073">
        <v>4307011</v>
      </c>
    </row>
    <row r="1074" spans="27:34">
      <c r="AA1074">
        <v>-10.67</v>
      </c>
      <c r="AB1074">
        <v>1.8</v>
      </c>
      <c r="AC1074">
        <v>169</v>
      </c>
      <c r="AD1074">
        <v>9.1370558000000004E-2</v>
      </c>
      <c r="AG1074">
        <v>4774.1108655255803</v>
      </c>
      <c r="AH1074">
        <v>4260333</v>
      </c>
    </row>
    <row r="1075" spans="27:34">
      <c r="AA1075">
        <v>-10.67</v>
      </c>
      <c r="AB1075">
        <v>1.8</v>
      </c>
      <c r="AC1075">
        <v>169</v>
      </c>
      <c r="AD1075">
        <v>9.1370558000000004E-2</v>
      </c>
    </row>
    <row r="1076" spans="27:34">
      <c r="AA1076">
        <v>-10.67</v>
      </c>
      <c r="AB1076">
        <v>1.8</v>
      </c>
      <c r="AC1076">
        <v>169</v>
      </c>
      <c r="AD1076">
        <v>9.1370558000000004E-2</v>
      </c>
    </row>
    <row r="1077" spans="27:34">
      <c r="AA1077">
        <v>5.25</v>
      </c>
      <c r="AB1077">
        <v>2</v>
      </c>
      <c r="AC1077">
        <v>0</v>
      </c>
      <c r="AD1077">
        <v>4.7727273000000001E-2</v>
      </c>
      <c r="AE1077">
        <v>100</v>
      </c>
      <c r="AF1077">
        <v>29.35</v>
      </c>
      <c r="AG1077">
        <v>22489.740704172302</v>
      </c>
      <c r="AH1077">
        <v>81642000</v>
      </c>
    </row>
    <row r="1078" spans="27:34">
      <c r="AA1078">
        <v>5.25</v>
      </c>
      <c r="AB1078">
        <v>2</v>
      </c>
      <c r="AC1078">
        <v>0</v>
      </c>
      <c r="AD1078">
        <v>4.7727273000000001E-2</v>
      </c>
      <c r="AG1078">
        <v>23049.412548455799</v>
      </c>
      <c r="AH1078">
        <v>81912000</v>
      </c>
    </row>
    <row r="1079" spans="27:34">
      <c r="AA1079">
        <v>5.25</v>
      </c>
      <c r="AB1079">
        <v>2</v>
      </c>
      <c r="AC1079">
        <v>0</v>
      </c>
      <c r="AD1079">
        <v>4.7727273000000001E-2</v>
      </c>
      <c r="AG1079">
        <v>23570.828601408299</v>
      </c>
      <c r="AH1079">
        <v>82071000</v>
      </c>
    </row>
    <row r="1080" spans="27:34">
      <c r="AA1080">
        <v>5.25</v>
      </c>
      <c r="AB1080">
        <v>2</v>
      </c>
      <c r="AC1080">
        <v>0</v>
      </c>
      <c r="AD1080">
        <v>4.7727273000000001E-2</v>
      </c>
      <c r="AG1080">
        <v>24244.0056160772</v>
      </c>
      <c r="AH1080">
        <v>82047000</v>
      </c>
    </row>
    <row r="1081" spans="27:34">
      <c r="AA1081">
        <v>5.25</v>
      </c>
      <c r="AB1081">
        <v>2</v>
      </c>
      <c r="AC1081">
        <v>0</v>
      </c>
      <c r="AD1081">
        <v>4.7727273000000001E-2</v>
      </c>
      <c r="AG1081">
        <v>25141.6651988632</v>
      </c>
      <c r="AH1081">
        <v>82087000</v>
      </c>
    </row>
    <row r="1082" spans="27:34">
      <c r="AA1082">
        <v>5.25</v>
      </c>
      <c r="AB1082">
        <v>2</v>
      </c>
      <c r="AC1082">
        <v>0</v>
      </c>
      <c r="AD1082">
        <v>4.7727273000000001E-2</v>
      </c>
      <c r="AE1082">
        <v>100</v>
      </c>
      <c r="AF1082">
        <v>25.42</v>
      </c>
      <c r="AG1082">
        <v>25942.114685779899</v>
      </c>
      <c r="AH1082">
        <v>82210000</v>
      </c>
    </row>
    <row r="1083" spans="27:34">
      <c r="AA1083">
        <v>5.25</v>
      </c>
      <c r="AB1083">
        <v>2</v>
      </c>
      <c r="AC1083">
        <v>0</v>
      </c>
      <c r="AD1083">
        <v>4.7727273000000001E-2</v>
      </c>
      <c r="AG1083">
        <v>26857.412929463298</v>
      </c>
      <c r="AH1083">
        <v>82333000</v>
      </c>
    </row>
    <row r="1084" spans="27:34">
      <c r="AA1084">
        <v>5.25</v>
      </c>
      <c r="AB1084">
        <v>2</v>
      </c>
      <c r="AC1084">
        <v>0</v>
      </c>
      <c r="AD1084">
        <v>4.7727273000000001E-2</v>
      </c>
      <c r="AG1084">
        <v>27578.464044101402</v>
      </c>
      <c r="AH1084">
        <v>82508000</v>
      </c>
    </row>
    <row r="1085" spans="27:34">
      <c r="AA1085">
        <v>5.25</v>
      </c>
      <c r="AB1085">
        <v>2</v>
      </c>
      <c r="AC1085">
        <v>0</v>
      </c>
      <c r="AD1085">
        <v>4.7727273000000001E-2</v>
      </c>
      <c r="AG1085">
        <v>28559.6250954551</v>
      </c>
      <c r="AH1085">
        <v>82541000</v>
      </c>
    </row>
    <row r="1086" spans="27:34">
      <c r="AA1086">
        <v>5.25</v>
      </c>
      <c r="AB1086">
        <v>2</v>
      </c>
      <c r="AC1086">
        <v>0</v>
      </c>
      <c r="AD1086">
        <v>4.7727273000000001E-2</v>
      </c>
      <c r="AG1086">
        <v>29895.124748736001</v>
      </c>
      <c r="AH1086">
        <v>82516250</v>
      </c>
    </row>
    <row r="1087" spans="27:34">
      <c r="AA1087">
        <v>5.25</v>
      </c>
      <c r="AB1087">
        <v>2</v>
      </c>
      <c r="AC1087">
        <v>0</v>
      </c>
      <c r="AD1087">
        <v>4.7727273000000001E-2</v>
      </c>
      <c r="AE1087">
        <v>100</v>
      </c>
      <c r="AF1087">
        <v>20.97</v>
      </c>
      <c r="AG1087">
        <v>31363.522339813</v>
      </c>
      <c r="AH1087">
        <v>82469400</v>
      </c>
    </row>
    <row r="1088" spans="27:34">
      <c r="AA1088">
        <v>5.25</v>
      </c>
      <c r="AB1088">
        <v>2</v>
      </c>
      <c r="AC1088">
        <v>0</v>
      </c>
      <c r="AD1088">
        <v>4.7727273000000001E-2</v>
      </c>
      <c r="AG1088">
        <v>33708.891769870403</v>
      </c>
      <c r="AH1088">
        <v>82376451</v>
      </c>
    </row>
    <row r="1089" spans="27:34">
      <c r="AA1089">
        <v>5.25</v>
      </c>
      <c r="AB1089">
        <v>2</v>
      </c>
      <c r="AC1089">
        <v>0</v>
      </c>
      <c r="AD1089">
        <v>4.7727273000000001E-2</v>
      </c>
      <c r="AG1089">
        <v>35621.954593294897</v>
      </c>
      <c r="AH1089">
        <v>82266372</v>
      </c>
    </row>
    <row r="1090" spans="27:34">
      <c r="AA1090">
        <v>5.25</v>
      </c>
      <c r="AB1090">
        <v>2</v>
      </c>
      <c r="AC1090">
        <v>0</v>
      </c>
      <c r="AD1090">
        <v>4.7727273000000001E-2</v>
      </c>
      <c r="AE1090">
        <v>100</v>
      </c>
      <c r="AG1090">
        <v>37175.1764349402</v>
      </c>
      <c r="AH1090">
        <v>82110097</v>
      </c>
    </row>
    <row r="1091" spans="27:34">
      <c r="AA1091">
        <v>5.25</v>
      </c>
      <c r="AB1091">
        <v>2</v>
      </c>
      <c r="AC1091">
        <v>0</v>
      </c>
      <c r="AD1091">
        <v>4.7727273000000001E-2</v>
      </c>
      <c r="AG1091">
        <v>36337.6924650785</v>
      </c>
      <c r="AH1091">
        <v>81879976</v>
      </c>
    </row>
    <row r="1092" spans="27:34">
      <c r="AA1092">
        <v>5.25</v>
      </c>
      <c r="AB1092">
        <v>2</v>
      </c>
      <c r="AC1092">
        <v>0</v>
      </c>
      <c r="AD1092">
        <v>4.7727273000000001E-2</v>
      </c>
    </row>
    <row r="1093" spans="27:34">
      <c r="AA1093">
        <v>5.25</v>
      </c>
      <c r="AB1093">
        <v>2</v>
      </c>
      <c r="AC1093">
        <v>0</v>
      </c>
      <c r="AD1093">
        <v>4.7727273000000001E-2</v>
      </c>
    </row>
    <row r="1094" spans="27:34">
      <c r="AA1094">
        <v>14</v>
      </c>
      <c r="AB1094">
        <v>4.9000000000000004</v>
      </c>
      <c r="AC1094">
        <v>226</v>
      </c>
      <c r="AD1094">
        <v>0.43120567399999998</v>
      </c>
      <c r="AE1094">
        <v>8</v>
      </c>
      <c r="AG1094">
        <v>782.28090010177004</v>
      </c>
      <c r="AH1094">
        <v>17245464</v>
      </c>
    </row>
    <row r="1095" spans="27:34">
      <c r="AA1095">
        <v>14</v>
      </c>
      <c r="AB1095">
        <v>4.9000000000000004</v>
      </c>
      <c r="AC1095">
        <v>226</v>
      </c>
      <c r="AD1095">
        <v>0.43120567399999998</v>
      </c>
      <c r="AG1095">
        <v>812.37947667841604</v>
      </c>
      <c r="AH1095">
        <v>17702991</v>
      </c>
    </row>
    <row r="1096" spans="27:34">
      <c r="AA1096">
        <v>14</v>
      </c>
      <c r="AB1096">
        <v>4.9000000000000004</v>
      </c>
      <c r="AC1096">
        <v>226</v>
      </c>
      <c r="AD1096">
        <v>0.43120567399999998</v>
      </c>
      <c r="AG1096">
        <v>839.93717069199602</v>
      </c>
      <c r="AH1096">
        <v>18157031</v>
      </c>
    </row>
    <row r="1097" spans="27:34">
      <c r="AA1097">
        <v>14</v>
      </c>
      <c r="AB1097">
        <v>4.9000000000000004</v>
      </c>
      <c r="AC1097">
        <v>226</v>
      </c>
      <c r="AD1097">
        <v>0.43120567399999998</v>
      </c>
      <c r="AG1097">
        <v>867.71023393800203</v>
      </c>
      <c r="AH1097">
        <v>18610166</v>
      </c>
    </row>
    <row r="1098" spans="27:34">
      <c r="AA1098">
        <v>14</v>
      </c>
      <c r="AB1098">
        <v>4.9000000000000004</v>
      </c>
      <c r="AC1098">
        <v>226</v>
      </c>
      <c r="AD1098">
        <v>0.43120567399999998</v>
      </c>
      <c r="AG1098">
        <v>897.16201345824595</v>
      </c>
      <c r="AH1098">
        <v>19066601</v>
      </c>
    </row>
    <row r="1099" spans="27:34">
      <c r="AA1099">
        <v>14</v>
      </c>
      <c r="AB1099">
        <v>4.9000000000000004</v>
      </c>
      <c r="AC1099">
        <v>226</v>
      </c>
      <c r="AD1099">
        <v>0.43120567399999998</v>
      </c>
      <c r="AE1099">
        <v>9</v>
      </c>
      <c r="AF1099">
        <v>1.8460000000000001</v>
      </c>
      <c r="AG1099">
        <v>927.96635177351197</v>
      </c>
      <c r="AH1099">
        <v>19529305</v>
      </c>
    </row>
    <row r="1100" spans="27:34">
      <c r="AA1100">
        <v>14</v>
      </c>
      <c r="AB1100">
        <v>4.9000000000000004</v>
      </c>
      <c r="AC1100">
        <v>226</v>
      </c>
      <c r="AD1100">
        <v>0.43120567399999998</v>
      </c>
      <c r="AG1100">
        <v>963.77570213427305</v>
      </c>
      <c r="AH1100">
        <v>19999194</v>
      </c>
    </row>
    <row r="1101" spans="27:34">
      <c r="AA1101">
        <v>14</v>
      </c>
      <c r="AB1101">
        <v>4.9000000000000004</v>
      </c>
      <c r="AC1101">
        <v>226</v>
      </c>
      <c r="AD1101">
        <v>0.43120567399999998</v>
      </c>
      <c r="AG1101">
        <v>999.72656009771197</v>
      </c>
      <c r="AH1101">
        <v>20474921</v>
      </c>
    </row>
    <row r="1102" spans="27:34">
      <c r="AA1102">
        <v>14</v>
      </c>
      <c r="AB1102">
        <v>4.9000000000000004</v>
      </c>
      <c r="AC1102">
        <v>226</v>
      </c>
      <c r="AD1102">
        <v>0.43120567399999998</v>
      </c>
      <c r="AG1102">
        <v>1049.7888247796</v>
      </c>
      <c r="AH1102">
        <v>20954557</v>
      </c>
    </row>
    <row r="1103" spans="27:34">
      <c r="AA1103">
        <v>14</v>
      </c>
      <c r="AB1103">
        <v>4.9000000000000004</v>
      </c>
      <c r="AC1103">
        <v>226</v>
      </c>
      <c r="AD1103">
        <v>0.43120567399999998</v>
      </c>
      <c r="AG1103">
        <v>1114.4351094578701</v>
      </c>
      <c r="AH1103">
        <v>21435257</v>
      </c>
    </row>
    <row r="1104" spans="27:34">
      <c r="AA1104">
        <v>14</v>
      </c>
      <c r="AB1104">
        <v>4.9000000000000004</v>
      </c>
      <c r="AC1104">
        <v>226</v>
      </c>
      <c r="AD1104">
        <v>0.43120567399999998</v>
      </c>
      <c r="AE1104">
        <v>11</v>
      </c>
      <c r="AG1104">
        <v>1192.8358021909601</v>
      </c>
      <c r="AH1104">
        <v>21915168</v>
      </c>
    </row>
    <row r="1105" spans="27:34">
      <c r="AA1105">
        <v>14</v>
      </c>
      <c r="AB1105">
        <v>4.9000000000000004</v>
      </c>
      <c r="AC1105">
        <v>226</v>
      </c>
      <c r="AD1105">
        <v>0.43120567399999998</v>
      </c>
      <c r="AG1105">
        <v>1282.47516495986</v>
      </c>
      <c r="AH1105">
        <v>22393338</v>
      </c>
    </row>
    <row r="1106" spans="27:34">
      <c r="AA1106">
        <v>14</v>
      </c>
      <c r="AB1106">
        <v>4.9000000000000004</v>
      </c>
      <c r="AC1106">
        <v>226</v>
      </c>
      <c r="AD1106">
        <v>0.43120567399999998</v>
      </c>
      <c r="AG1106">
        <v>1382.61507520604</v>
      </c>
      <c r="AH1106">
        <v>22870966</v>
      </c>
    </row>
    <row r="1107" spans="27:34">
      <c r="AA1107">
        <v>14</v>
      </c>
      <c r="AB1107">
        <v>4.9000000000000004</v>
      </c>
      <c r="AC1107">
        <v>226</v>
      </c>
      <c r="AD1107">
        <v>0.43120567399999998</v>
      </c>
      <c r="AE1107">
        <v>13</v>
      </c>
      <c r="AG1107">
        <v>1500.46227306999</v>
      </c>
      <c r="AH1107">
        <v>23350927</v>
      </c>
    </row>
    <row r="1108" spans="27:34">
      <c r="AA1108">
        <v>14</v>
      </c>
      <c r="AB1108">
        <v>4.9000000000000004</v>
      </c>
      <c r="AC1108">
        <v>226</v>
      </c>
      <c r="AD1108">
        <v>0.43120567399999998</v>
      </c>
      <c r="AG1108">
        <v>1552.3969142870701</v>
      </c>
      <c r="AH1108">
        <v>23837261</v>
      </c>
    </row>
    <row r="1109" spans="27:34">
      <c r="AA1109">
        <v>14</v>
      </c>
      <c r="AB1109">
        <v>4.9000000000000004</v>
      </c>
      <c r="AC1109">
        <v>226</v>
      </c>
      <c r="AD1109">
        <v>0.43120567399999998</v>
      </c>
    </row>
    <row r="1110" spans="27:34">
      <c r="AA1110">
        <v>14</v>
      </c>
      <c r="AB1110">
        <v>4.9000000000000004</v>
      </c>
      <c r="AC1110">
        <v>226</v>
      </c>
      <c r="AD1110">
        <v>0.43120567399999998</v>
      </c>
    </row>
    <row r="1111" spans="27:34">
      <c r="AA1111">
        <v>-22.56</v>
      </c>
      <c r="AB1111">
        <v>1.5</v>
      </c>
      <c r="AC1111" t="e">
        <v>#N/A</v>
      </c>
      <c r="AD1111">
        <v>5.6561085999999997E-2</v>
      </c>
      <c r="AE1111">
        <v>97</v>
      </c>
      <c r="AG1111">
        <v>14674.1403409833</v>
      </c>
      <c r="AH1111">
        <v>10634000</v>
      </c>
    </row>
    <row r="1112" spans="27:34">
      <c r="AA1112">
        <v>-22.56</v>
      </c>
      <c r="AB1112">
        <v>1.5</v>
      </c>
      <c r="AD1112">
        <v>5.6561085999999997E-2</v>
      </c>
      <c r="AG1112">
        <v>15175.8186364138</v>
      </c>
      <c r="AH1112">
        <v>10709000</v>
      </c>
    </row>
    <row r="1113" spans="27:34">
      <c r="AA1113">
        <v>-22.56</v>
      </c>
      <c r="AB1113">
        <v>1.5</v>
      </c>
      <c r="AD1113">
        <v>5.6561085999999997E-2</v>
      </c>
      <c r="AG1113">
        <v>16039.877566700299</v>
      </c>
      <c r="AH1113">
        <v>10777000</v>
      </c>
    </row>
    <row r="1114" spans="27:34">
      <c r="AA1114">
        <v>-22.56</v>
      </c>
      <c r="AB1114">
        <v>1.5</v>
      </c>
      <c r="AD1114">
        <v>5.6561085999999997E-2</v>
      </c>
      <c r="AG1114">
        <v>16505.554820647201</v>
      </c>
      <c r="AH1114">
        <v>10835000</v>
      </c>
    </row>
    <row r="1115" spans="27:34">
      <c r="AA1115">
        <v>-22.56</v>
      </c>
      <c r="AB1115">
        <v>1.5</v>
      </c>
      <c r="AD1115">
        <v>5.6561085999999997E-2</v>
      </c>
      <c r="AG1115">
        <v>17031.267439351999</v>
      </c>
      <c r="AH1115">
        <v>10883000</v>
      </c>
    </row>
    <row r="1116" spans="27:34">
      <c r="AA1116">
        <v>-22.56</v>
      </c>
      <c r="AB1116">
        <v>1.5</v>
      </c>
      <c r="AD1116">
        <v>5.6561085999999997E-2</v>
      </c>
      <c r="AE1116">
        <v>98</v>
      </c>
      <c r="AF1116">
        <v>13.35</v>
      </c>
      <c r="AG1116">
        <v>18410.1435977734</v>
      </c>
      <c r="AH1116">
        <v>10917500</v>
      </c>
    </row>
    <row r="1117" spans="27:34">
      <c r="AA1117">
        <v>-22.56</v>
      </c>
      <c r="AB1117">
        <v>1.5</v>
      </c>
      <c r="AD1117">
        <v>5.6561085999999997E-2</v>
      </c>
      <c r="AG1117">
        <v>19928.672720218499</v>
      </c>
      <c r="AH1117">
        <v>10949950</v>
      </c>
    </row>
    <row r="1118" spans="27:34">
      <c r="AA1118">
        <v>-22.56</v>
      </c>
      <c r="AB1118">
        <v>1.5</v>
      </c>
      <c r="AD1118">
        <v>5.6561085999999997E-2</v>
      </c>
      <c r="AG1118">
        <v>21597.6174757712</v>
      </c>
      <c r="AH1118">
        <v>10987550</v>
      </c>
    </row>
    <row r="1119" spans="27:34">
      <c r="AA1119">
        <v>-22.56</v>
      </c>
      <c r="AB1119">
        <v>1.5</v>
      </c>
      <c r="AD1119">
        <v>5.6561085999999997E-2</v>
      </c>
      <c r="AG1119">
        <v>22701.7384071179</v>
      </c>
      <c r="AH1119">
        <v>11023550</v>
      </c>
    </row>
    <row r="1120" spans="27:34">
      <c r="AA1120">
        <v>-22.56</v>
      </c>
      <c r="AB1120">
        <v>1.5</v>
      </c>
      <c r="AD1120">
        <v>5.6561085999999997E-2</v>
      </c>
      <c r="AG1120">
        <v>24159.3100197805</v>
      </c>
      <c r="AH1120">
        <v>11061750</v>
      </c>
    </row>
    <row r="1121" spans="27:34">
      <c r="AA1121">
        <v>-22.56</v>
      </c>
      <c r="AB1121">
        <v>1.5</v>
      </c>
      <c r="AD1121">
        <v>5.6561085999999997E-2</v>
      </c>
      <c r="AE1121">
        <v>98</v>
      </c>
      <c r="AF1121">
        <v>12.74</v>
      </c>
      <c r="AG1121">
        <v>24640.491291995499</v>
      </c>
      <c r="AH1121">
        <v>11104000</v>
      </c>
    </row>
    <row r="1122" spans="27:34">
      <c r="AA1122">
        <v>-22.56</v>
      </c>
      <c r="AB1122">
        <v>1.5</v>
      </c>
      <c r="AD1122">
        <v>5.6561085999999997E-2</v>
      </c>
      <c r="AG1122">
        <v>26987.162217511701</v>
      </c>
      <c r="AH1122">
        <v>11148460</v>
      </c>
    </row>
    <row r="1123" spans="27:34">
      <c r="AA1123">
        <v>-22.56</v>
      </c>
      <c r="AB1123">
        <v>1.5</v>
      </c>
      <c r="AD1123">
        <v>5.6561085999999997E-2</v>
      </c>
      <c r="AG1123">
        <v>28171.4469059332</v>
      </c>
      <c r="AH1123">
        <v>11192763</v>
      </c>
    </row>
    <row r="1124" spans="27:34">
      <c r="AA1124">
        <v>-22.56</v>
      </c>
      <c r="AB1124">
        <v>1.5</v>
      </c>
      <c r="AD1124">
        <v>5.6561085999999997E-2</v>
      </c>
      <c r="AE1124">
        <v>98</v>
      </c>
      <c r="AG1124">
        <v>30359.124125797101</v>
      </c>
      <c r="AH1124">
        <v>11237094</v>
      </c>
    </row>
    <row r="1125" spans="27:34">
      <c r="AA1125">
        <v>-22.56</v>
      </c>
      <c r="AB1125">
        <v>1.5</v>
      </c>
      <c r="AD1125">
        <v>5.6561085999999997E-2</v>
      </c>
      <c r="AG1125">
        <v>29617.386838750499</v>
      </c>
      <c r="AH1125">
        <v>11283293</v>
      </c>
    </row>
    <row r="1126" spans="27:34">
      <c r="AA1126">
        <v>-22.56</v>
      </c>
      <c r="AB1126">
        <v>1.5</v>
      </c>
      <c r="AD1126">
        <v>5.6561085999999997E-2</v>
      </c>
    </row>
    <row r="1127" spans="27:34">
      <c r="AA1127">
        <v>-22.56</v>
      </c>
      <c r="AB1127">
        <v>1.5</v>
      </c>
      <c r="AD1127">
        <v>5.6561085999999997E-2</v>
      </c>
    </row>
    <row r="1128" spans="27:34">
      <c r="AA1128">
        <v>-12.51</v>
      </c>
      <c r="AB1128">
        <v>4.5999999999999996</v>
      </c>
      <c r="AC1128">
        <v>5</v>
      </c>
      <c r="AD1128">
        <v>0.121297602</v>
      </c>
      <c r="AE1128">
        <v>97</v>
      </c>
      <c r="AG1128">
        <v>4154.3451086648602</v>
      </c>
      <c r="AH1128">
        <v>100165</v>
      </c>
    </row>
    <row r="1129" spans="27:34">
      <c r="AA1129">
        <v>-12.51</v>
      </c>
      <c r="AB1129">
        <v>4.5999999999999996</v>
      </c>
      <c r="AC1129">
        <v>5</v>
      </c>
      <c r="AD1129">
        <v>0.121297602</v>
      </c>
      <c r="AG1129">
        <v>4383.9007981648801</v>
      </c>
      <c r="AH1129">
        <v>100660</v>
      </c>
    </row>
    <row r="1130" spans="27:34">
      <c r="AA1130">
        <v>-12.51</v>
      </c>
      <c r="AB1130">
        <v>4.5999999999999996</v>
      </c>
      <c r="AC1130">
        <v>5</v>
      </c>
      <c r="AD1130">
        <v>0.121297602</v>
      </c>
      <c r="AG1130">
        <v>4655.2429362097801</v>
      </c>
      <c r="AH1130">
        <v>100920</v>
      </c>
    </row>
    <row r="1131" spans="27:34">
      <c r="AA1131">
        <v>-12.51</v>
      </c>
      <c r="AB1131">
        <v>4.5999999999999996</v>
      </c>
      <c r="AC1131">
        <v>5</v>
      </c>
      <c r="AD1131">
        <v>0.121297602</v>
      </c>
      <c r="AG1131">
        <v>5010.9229693113602</v>
      </c>
      <c r="AH1131">
        <v>101020</v>
      </c>
    </row>
    <row r="1132" spans="27:34">
      <c r="AA1132">
        <v>-12.51</v>
      </c>
      <c r="AB1132">
        <v>4.5999999999999996</v>
      </c>
      <c r="AC1132">
        <v>5</v>
      </c>
      <c r="AD1132">
        <v>0.121297602</v>
      </c>
      <c r="AG1132">
        <v>5592.8851323757899</v>
      </c>
      <c r="AH1132">
        <v>101085</v>
      </c>
    </row>
    <row r="1133" spans="27:34">
      <c r="AA1133">
        <v>-12.51</v>
      </c>
      <c r="AB1133">
        <v>4.5999999999999996</v>
      </c>
      <c r="AC1133">
        <v>5</v>
      </c>
      <c r="AD1133">
        <v>0.121297602</v>
      </c>
      <c r="AE1133">
        <v>97</v>
      </c>
      <c r="AG1133">
        <v>6426.9718410919504</v>
      </c>
      <c r="AH1133">
        <v>101208</v>
      </c>
    </row>
    <row r="1134" spans="27:34">
      <c r="AA1134">
        <v>-12.51</v>
      </c>
      <c r="AB1134">
        <v>4.5999999999999996</v>
      </c>
      <c r="AC1134">
        <v>5</v>
      </c>
      <c r="AD1134">
        <v>0.121297602</v>
      </c>
      <c r="AG1134">
        <v>6303.4728504413097</v>
      </c>
      <c r="AH1134">
        <v>101402</v>
      </c>
    </row>
    <row r="1135" spans="27:34">
      <c r="AA1135">
        <v>-12.51</v>
      </c>
      <c r="AB1135">
        <v>4.5999999999999996</v>
      </c>
      <c r="AC1135">
        <v>5</v>
      </c>
      <c r="AD1135">
        <v>0.121297602</v>
      </c>
      <c r="AE1135">
        <v>97</v>
      </c>
      <c r="AG1135">
        <v>6528.1388065335595</v>
      </c>
      <c r="AH1135">
        <v>101634</v>
      </c>
    </row>
    <row r="1136" spans="27:34">
      <c r="AA1136">
        <v>-12.51</v>
      </c>
      <c r="AB1136">
        <v>4.5999999999999996</v>
      </c>
      <c r="AC1136">
        <v>5</v>
      </c>
      <c r="AD1136">
        <v>0.121297602</v>
      </c>
      <c r="AG1136">
        <v>7212.8790194907297</v>
      </c>
      <c r="AH1136">
        <v>101903</v>
      </c>
    </row>
    <row r="1137" spans="27:34">
      <c r="AA1137">
        <v>-12.51</v>
      </c>
      <c r="AB1137">
        <v>4.5999999999999996</v>
      </c>
      <c r="AC1137">
        <v>5</v>
      </c>
      <c r="AD1137">
        <v>0.121297602</v>
      </c>
      <c r="AE1137">
        <v>96</v>
      </c>
      <c r="AG1137">
        <v>6917.5484307880997</v>
      </c>
      <c r="AH1137">
        <v>102194</v>
      </c>
    </row>
    <row r="1138" spans="27:34">
      <c r="AA1138">
        <v>-12.51</v>
      </c>
      <c r="AB1138">
        <v>4.5999999999999996</v>
      </c>
      <c r="AC1138">
        <v>5</v>
      </c>
      <c r="AD1138">
        <v>0.121297602</v>
      </c>
      <c r="AE1138">
        <v>97</v>
      </c>
      <c r="AG1138">
        <v>7984.9096598306796</v>
      </c>
      <c r="AH1138">
        <v>102500</v>
      </c>
    </row>
    <row r="1139" spans="27:34">
      <c r="AA1139">
        <v>-12.51</v>
      </c>
      <c r="AB1139">
        <v>4.5999999999999996</v>
      </c>
      <c r="AC1139">
        <v>5</v>
      </c>
      <c r="AD1139">
        <v>0.121297602</v>
      </c>
      <c r="AG1139">
        <v>8060.1724949775898</v>
      </c>
      <c r="AH1139">
        <v>102823</v>
      </c>
    </row>
    <row r="1140" spans="27:34">
      <c r="AA1140">
        <v>-12.51</v>
      </c>
      <c r="AB1140">
        <v>4.5999999999999996</v>
      </c>
      <c r="AC1140">
        <v>5</v>
      </c>
      <c r="AD1140">
        <v>0.121297602</v>
      </c>
      <c r="AG1140">
        <v>8685.1427203077692</v>
      </c>
      <c r="AH1140">
        <v>103169</v>
      </c>
    </row>
    <row r="1141" spans="27:34">
      <c r="AA1141">
        <v>-12.51</v>
      </c>
      <c r="AB1141">
        <v>4.5999999999999996</v>
      </c>
      <c r="AC1141">
        <v>5</v>
      </c>
      <c r="AD1141">
        <v>0.121297602</v>
      </c>
      <c r="AE1141">
        <v>97</v>
      </c>
      <c r="AG1141">
        <v>8923.1051895879391</v>
      </c>
      <c r="AH1141">
        <v>103538</v>
      </c>
    </row>
    <row r="1142" spans="27:34">
      <c r="AA1142">
        <v>-12.51</v>
      </c>
      <c r="AB1142">
        <v>4.5999999999999996</v>
      </c>
      <c r="AC1142">
        <v>5</v>
      </c>
      <c r="AD1142">
        <v>0.121297602</v>
      </c>
      <c r="AG1142">
        <v>8361.8365760256402</v>
      </c>
      <c r="AH1142">
        <v>103930</v>
      </c>
    </row>
    <row r="1143" spans="27:34">
      <c r="AA1143">
        <v>-12.51</v>
      </c>
      <c r="AB1143">
        <v>4.5999999999999996</v>
      </c>
      <c r="AC1143">
        <v>5</v>
      </c>
      <c r="AD1143">
        <v>0.121297602</v>
      </c>
    </row>
    <row r="1144" spans="27:34">
      <c r="AA1144">
        <v>-12.51</v>
      </c>
      <c r="AB1144">
        <v>4.5999999999999996</v>
      </c>
      <c r="AC1144">
        <v>5</v>
      </c>
      <c r="AD1144">
        <v>0.121297602</v>
      </c>
    </row>
    <row r="1145" spans="27:34">
      <c r="AA1145">
        <v>-12.99</v>
      </c>
      <c r="AB1145">
        <v>3.9</v>
      </c>
      <c r="AC1145">
        <v>126</v>
      </c>
      <c r="AD1145">
        <v>0.27239709400000001</v>
      </c>
      <c r="AE1145">
        <v>69</v>
      </c>
      <c r="AG1145">
        <v>2986.3266021059899</v>
      </c>
      <c r="AH1145">
        <v>10006653</v>
      </c>
    </row>
    <row r="1146" spans="27:34">
      <c r="AA1146">
        <v>-12.99</v>
      </c>
      <c r="AB1146">
        <v>3.9</v>
      </c>
      <c r="AC1146">
        <v>126</v>
      </c>
      <c r="AD1146">
        <v>0.27239709400000001</v>
      </c>
      <c r="AG1146">
        <v>3062.6117135903</v>
      </c>
      <c r="AH1146">
        <v>10238102</v>
      </c>
    </row>
    <row r="1147" spans="27:34">
      <c r="AA1147">
        <v>-12.99</v>
      </c>
      <c r="AB1147">
        <v>3.9</v>
      </c>
      <c r="AC1147">
        <v>126</v>
      </c>
      <c r="AD1147">
        <v>0.27239709400000001</v>
      </c>
      <c r="AG1147">
        <v>3179.7304133339999</v>
      </c>
      <c r="AH1147">
        <v>10473834</v>
      </c>
    </row>
    <row r="1148" spans="27:34">
      <c r="AA1148">
        <v>-12.99</v>
      </c>
      <c r="AB1148">
        <v>3.9</v>
      </c>
      <c r="AC1148">
        <v>126</v>
      </c>
      <c r="AD1148">
        <v>0.27239709400000001</v>
      </c>
      <c r="AG1148">
        <v>3299.9653478280202</v>
      </c>
      <c r="AH1148">
        <v>10716036</v>
      </c>
    </row>
    <row r="1149" spans="27:34">
      <c r="AA1149">
        <v>-12.99</v>
      </c>
      <c r="AB1149">
        <v>3.9</v>
      </c>
      <c r="AC1149">
        <v>126</v>
      </c>
      <c r="AD1149">
        <v>0.27239709400000001</v>
      </c>
      <c r="AG1149">
        <v>3397.3755213198201</v>
      </c>
      <c r="AH1149">
        <v>10967633</v>
      </c>
    </row>
    <row r="1150" spans="27:34">
      <c r="AA1150">
        <v>-12.99</v>
      </c>
      <c r="AB1150">
        <v>3.9</v>
      </c>
      <c r="AC1150">
        <v>126</v>
      </c>
      <c r="AD1150">
        <v>0.27239709400000001</v>
      </c>
      <c r="AE1150">
        <v>74</v>
      </c>
      <c r="AF1150">
        <v>2.6349999999999998</v>
      </c>
      <c r="AG1150">
        <v>3511.9030559673602</v>
      </c>
      <c r="AH1150">
        <v>11230704</v>
      </c>
    </row>
    <row r="1151" spans="27:34">
      <c r="AA1151">
        <v>-12.99</v>
      </c>
      <c r="AB1151">
        <v>3.9</v>
      </c>
      <c r="AC1151">
        <v>126</v>
      </c>
      <c r="AD1151">
        <v>0.27239709400000001</v>
      </c>
      <c r="AG1151">
        <v>3587.3155258961701</v>
      </c>
      <c r="AH1151">
        <v>11506144</v>
      </c>
    </row>
    <row r="1152" spans="27:34">
      <c r="AA1152">
        <v>-12.99</v>
      </c>
      <c r="AB1152">
        <v>3.9</v>
      </c>
      <c r="AC1152">
        <v>126</v>
      </c>
      <c r="AD1152">
        <v>0.27239709400000001</v>
      </c>
      <c r="AG1152">
        <v>3694.3456901884902</v>
      </c>
      <c r="AH1152">
        <v>11793335</v>
      </c>
    </row>
    <row r="1153" spans="27:34">
      <c r="AA1153">
        <v>-12.99</v>
      </c>
      <c r="AB1153">
        <v>3.9</v>
      </c>
      <c r="AC1153">
        <v>126</v>
      </c>
      <c r="AD1153">
        <v>0.27239709400000001</v>
      </c>
      <c r="AG1153">
        <v>3774.2380839371199</v>
      </c>
      <c r="AH1153">
        <v>12090955</v>
      </c>
    </row>
    <row r="1154" spans="27:34">
      <c r="AA1154">
        <v>-12.99</v>
      </c>
      <c r="AB1154">
        <v>3.9</v>
      </c>
      <c r="AC1154">
        <v>126</v>
      </c>
      <c r="AD1154">
        <v>0.27239709400000001</v>
      </c>
      <c r="AG1154">
        <v>3904.74361065943</v>
      </c>
      <c r="AH1154">
        <v>12396934</v>
      </c>
    </row>
    <row r="1155" spans="27:34">
      <c r="AA1155">
        <v>-12.99</v>
      </c>
      <c r="AB1155">
        <v>3.9</v>
      </c>
      <c r="AC1155">
        <v>126</v>
      </c>
      <c r="AD1155">
        <v>0.27239709400000001</v>
      </c>
      <c r="AE1155">
        <v>78</v>
      </c>
      <c r="AG1155">
        <v>4063.95632869783</v>
      </c>
      <c r="AH1155">
        <v>12709738</v>
      </c>
    </row>
    <row r="1156" spans="27:34">
      <c r="AA1156">
        <v>-12.99</v>
      </c>
      <c r="AB1156">
        <v>3.9</v>
      </c>
      <c r="AC1156">
        <v>126</v>
      </c>
      <c r="AD1156">
        <v>0.27239709400000001</v>
      </c>
      <c r="AG1156">
        <v>4313.6674274168699</v>
      </c>
      <c r="AH1156">
        <v>13028578</v>
      </c>
    </row>
    <row r="1157" spans="27:34">
      <c r="AA1157">
        <v>-12.99</v>
      </c>
      <c r="AB1157">
        <v>3.9</v>
      </c>
      <c r="AC1157">
        <v>126</v>
      </c>
      <c r="AD1157">
        <v>0.27239709400000001</v>
      </c>
      <c r="AG1157">
        <v>4627.2406335669302</v>
      </c>
      <c r="AH1157">
        <v>13353769</v>
      </c>
    </row>
    <row r="1158" spans="27:34">
      <c r="AA1158">
        <v>-12.99</v>
      </c>
      <c r="AB1158">
        <v>3.9</v>
      </c>
      <c r="AC1158">
        <v>126</v>
      </c>
      <c r="AD1158">
        <v>0.27239709400000001</v>
      </c>
      <c r="AE1158">
        <v>81</v>
      </c>
      <c r="AG1158">
        <v>4765.7947385389398</v>
      </c>
      <c r="AH1158">
        <v>13686128</v>
      </c>
    </row>
    <row r="1159" spans="27:34">
      <c r="AA1159">
        <v>-12.99</v>
      </c>
      <c r="AB1159">
        <v>3.9</v>
      </c>
      <c r="AC1159">
        <v>126</v>
      </c>
      <c r="AD1159">
        <v>0.27239709400000001</v>
      </c>
      <c r="AG1159">
        <v>4719.51309542123</v>
      </c>
      <c r="AH1159">
        <v>14026947</v>
      </c>
    </row>
    <row r="1160" spans="27:34">
      <c r="AA1160">
        <v>-12.99</v>
      </c>
      <c r="AB1160">
        <v>3.9</v>
      </c>
      <c r="AC1160">
        <v>126</v>
      </c>
      <c r="AD1160">
        <v>0.27239709400000001</v>
      </c>
    </row>
    <row r="1161" spans="27:34">
      <c r="AA1161">
        <v>-12.99</v>
      </c>
      <c r="AB1161">
        <v>3.9</v>
      </c>
      <c r="AC1161">
        <v>126</v>
      </c>
      <c r="AD1161">
        <v>0.27239709400000001</v>
      </c>
    </row>
    <row r="1162" spans="27:34">
      <c r="AA1162">
        <v>18.190000000000001</v>
      </c>
      <c r="AB1162">
        <v>4.5</v>
      </c>
      <c r="AC1162">
        <v>480</v>
      </c>
      <c r="AD1162">
        <v>0.41887417199999999</v>
      </c>
      <c r="AE1162">
        <v>12</v>
      </c>
      <c r="AG1162">
        <v>655.19491190727899</v>
      </c>
      <c r="AH1162">
        <v>7478431</v>
      </c>
    </row>
    <row r="1163" spans="27:34">
      <c r="AA1163">
        <v>18.190000000000001</v>
      </c>
      <c r="AB1163">
        <v>4.5</v>
      </c>
      <c r="AC1163">
        <v>480</v>
      </c>
      <c r="AD1163">
        <v>0.41887417199999999</v>
      </c>
      <c r="AG1163">
        <v>682.68905024830406</v>
      </c>
      <c r="AH1163">
        <v>7696484</v>
      </c>
    </row>
    <row r="1164" spans="27:34">
      <c r="AA1164">
        <v>18.190000000000001</v>
      </c>
      <c r="AB1164">
        <v>4.5</v>
      </c>
      <c r="AC1164">
        <v>480</v>
      </c>
      <c r="AD1164">
        <v>0.41887417199999999</v>
      </c>
      <c r="AG1164">
        <v>709.42842134148805</v>
      </c>
      <c r="AH1164">
        <v>7888284</v>
      </c>
    </row>
    <row r="1165" spans="27:34">
      <c r="AA1165">
        <v>18.190000000000001</v>
      </c>
      <c r="AB1165">
        <v>4.5</v>
      </c>
      <c r="AC1165">
        <v>480</v>
      </c>
      <c r="AD1165">
        <v>0.41887417199999999</v>
      </c>
      <c r="AG1165">
        <v>736.09121942595903</v>
      </c>
      <c r="AH1165">
        <v>8060137</v>
      </c>
    </row>
    <row r="1166" spans="27:34">
      <c r="AA1166">
        <v>18.190000000000001</v>
      </c>
      <c r="AB1166">
        <v>4.5</v>
      </c>
      <c r="AC1166">
        <v>480</v>
      </c>
      <c r="AD1166">
        <v>0.41887417199999999</v>
      </c>
      <c r="AG1166">
        <v>766.33981460036603</v>
      </c>
      <c r="AH1166">
        <v>8222478</v>
      </c>
    </row>
    <row r="1167" spans="27:34">
      <c r="AA1167">
        <v>18.190000000000001</v>
      </c>
      <c r="AB1167">
        <v>4.5</v>
      </c>
      <c r="AC1167">
        <v>480</v>
      </c>
      <c r="AD1167">
        <v>0.41887417199999999</v>
      </c>
      <c r="AE1167">
        <v>15</v>
      </c>
      <c r="AF1167">
        <v>0.71679999999999999</v>
      </c>
      <c r="AG1167">
        <v>782.330993502914</v>
      </c>
      <c r="AH1167">
        <v>8383554</v>
      </c>
    </row>
    <row r="1168" spans="27:34">
      <c r="AA1168">
        <v>18.190000000000001</v>
      </c>
      <c r="AB1168">
        <v>4.5</v>
      </c>
      <c r="AC1168">
        <v>480</v>
      </c>
      <c r="AD1168">
        <v>0.41887417199999999</v>
      </c>
      <c r="AG1168">
        <v>807.59205377997398</v>
      </c>
      <c r="AH1168">
        <v>8544970</v>
      </c>
    </row>
    <row r="1169" spans="27:34">
      <c r="AA1169">
        <v>18.190000000000001</v>
      </c>
      <c r="AB1169">
        <v>4.5</v>
      </c>
      <c r="AC1169">
        <v>480</v>
      </c>
      <c r="AD1169">
        <v>0.41887417199999999</v>
      </c>
      <c r="AG1169">
        <v>835.89431757572402</v>
      </c>
      <c r="AH1169">
        <v>8705975</v>
      </c>
    </row>
    <row r="1170" spans="27:34">
      <c r="AA1170">
        <v>18.190000000000001</v>
      </c>
      <c r="AB1170">
        <v>4.5</v>
      </c>
      <c r="AC1170">
        <v>480</v>
      </c>
      <c r="AD1170">
        <v>0.41887417199999999</v>
      </c>
      <c r="AG1170">
        <v>883.53436587955798</v>
      </c>
      <c r="AH1170">
        <v>8869959</v>
      </c>
    </row>
    <row r="1171" spans="27:34">
      <c r="AA1171">
        <v>18.190000000000001</v>
      </c>
      <c r="AB1171">
        <v>4.5</v>
      </c>
      <c r="AC1171">
        <v>480</v>
      </c>
      <c r="AD1171">
        <v>0.41887417199999999</v>
      </c>
      <c r="AG1171">
        <v>912.29670634676597</v>
      </c>
      <c r="AH1171">
        <v>9040537</v>
      </c>
    </row>
    <row r="1172" spans="27:34">
      <c r="AA1172">
        <v>18.190000000000001</v>
      </c>
      <c r="AB1172">
        <v>4.5</v>
      </c>
      <c r="AC1172">
        <v>480</v>
      </c>
      <c r="AD1172">
        <v>0.41887417199999999</v>
      </c>
      <c r="AE1172">
        <v>17</v>
      </c>
      <c r="AG1172">
        <v>951.99564706288299</v>
      </c>
      <c r="AH1172">
        <v>9220768</v>
      </c>
    </row>
    <row r="1173" spans="27:34">
      <c r="AA1173">
        <v>18.190000000000001</v>
      </c>
      <c r="AB1173">
        <v>4.5</v>
      </c>
      <c r="AC1173">
        <v>480</v>
      </c>
      <c r="AD1173">
        <v>0.41887417199999999</v>
      </c>
      <c r="AG1173">
        <v>987.04278173913599</v>
      </c>
      <c r="AH1173">
        <v>9411881</v>
      </c>
    </row>
    <row r="1174" spans="27:34">
      <c r="AA1174">
        <v>18.190000000000001</v>
      </c>
      <c r="AB1174">
        <v>4.5</v>
      </c>
      <c r="AC1174">
        <v>480</v>
      </c>
      <c r="AD1174">
        <v>0.41887417199999999</v>
      </c>
      <c r="AG1174">
        <v>1016.85660309926</v>
      </c>
      <c r="AH1174">
        <v>9615073</v>
      </c>
    </row>
    <row r="1175" spans="27:34">
      <c r="AA1175">
        <v>18.190000000000001</v>
      </c>
      <c r="AB1175">
        <v>4.5</v>
      </c>
      <c r="AC1175">
        <v>480</v>
      </c>
      <c r="AD1175">
        <v>0.41887417199999999</v>
      </c>
      <c r="AE1175">
        <v>19</v>
      </c>
      <c r="AG1175">
        <v>1066.2136779651401</v>
      </c>
      <c r="AH1175">
        <v>9833055</v>
      </c>
    </row>
    <row r="1176" spans="27:34">
      <c r="AA1176">
        <v>18.190000000000001</v>
      </c>
      <c r="AB1176">
        <v>4.5</v>
      </c>
      <c r="AC1176">
        <v>480</v>
      </c>
      <c r="AD1176">
        <v>0.41887417199999999</v>
      </c>
      <c r="AG1176">
        <v>1047.7981889515399</v>
      </c>
      <c r="AH1176">
        <v>10068724</v>
      </c>
    </row>
    <row r="1177" spans="27:34">
      <c r="AA1177">
        <v>18.190000000000001</v>
      </c>
      <c r="AB1177">
        <v>4.5</v>
      </c>
      <c r="AC1177">
        <v>480</v>
      </c>
      <c r="AD1177">
        <v>0.41887417199999999</v>
      </c>
    </row>
    <row r="1178" spans="27:34">
      <c r="AA1178">
        <v>18.190000000000001</v>
      </c>
      <c r="AB1178">
        <v>4.5</v>
      </c>
      <c r="AC1178">
        <v>480</v>
      </c>
      <c r="AD1178">
        <v>0.41887417199999999</v>
      </c>
    </row>
    <row r="1179" spans="27:34">
      <c r="AA1179">
        <v>-3.62</v>
      </c>
      <c r="AB1179">
        <v>4.5</v>
      </c>
      <c r="AC1179">
        <v>873</v>
      </c>
      <c r="AD1179">
        <v>0.47492323400000003</v>
      </c>
      <c r="AE1179">
        <v>16</v>
      </c>
      <c r="AF1179">
        <v>0.5645</v>
      </c>
      <c r="AG1179">
        <v>1034.41190182999</v>
      </c>
      <c r="AH1179">
        <v>1165989</v>
      </c>
    </row>
    <row r="1180" spans="27:34">
      <c r="AA1180">
        <v>-3.62</v>
      </c>
      <c r="AB1180">
        <v>4.5</v>
      </c>
      <c r="AC1180">
        <v>873</v>
      </c>
      <c r="AD1180">
        <v>0.47492323400000003</v>
      </c>
      <c r="AG1180">
        <v>1149.2331537415901</v>
      </c>
      <c r="AH1180">
        <v>1193631</v>
      </c>
    </row>
    <row r="1181" spans="27:34">
      <c r="AA1181">
        <v>-3.62</v>
      </c>
      <c r="AB1181">
        <v>4.5</v>
      </c>
      <c r="AC1181">
        <v>873</v>
      </c>
      <c r="AD1181">
        <v>0.47492323400000003</v>
      </c>
      <c r="AG1181">
        <v>1218.38764020026</v>
      </c>
      <c r="AH1181">
        <v>1220326</v>
      </c>
    </row>
    <row r="1182" spans="27:34">
      <c r="AA1182">
        <v>-3.62</v>
      </c>
      <c r="AB1182">
        <v>4.5</v>
      </c>
      <c r="AC1182">
        <v>873</v>
      </c>
      <c r="AD1182">
        <v>0.47492323400000003</v>
      </c>
      <c r="AG1182">
        <v>867.07636577433595</v>
      </c>
      <c r="AH1182">
        <v>1246861</v>
      </c>
    </row>
    <row r="1183" spans="27:34">
      <c r="AA1183">
        <v>-3.62</v>
      </c>
      <c r="AB1183">
        <v>4.5</v>
      </c>
      <c r="AC1183">
        <v>873</v>
      </c>
      <c r="AD1183">
        <v>0.47492323400000003</v>
      </c>
      <c r="AG1183">
        <v>927.91264307560505</v>
      </c>
      <c r="AH1183">
        <v>1274400</v>
      </c>
    </row>
    <row r="1184" spans="27:34">
      <c r="AA1184">
        <v>-3.62</v>
      </c>
      <c r="AB1184">
        <v>4.5</v>
      </c>
      <c r="AC1184">
        <v>873</v>
      </c>
      <c r="AD1184">
        <v>0.47492323400000003</v>
      </c>
      <c r="AE1184">
        <v>18</v>
      </c>
      <c r="AF1184">
        <v>0.5645</v>
      </c>
      <c r="AG1184">
        <v>996.136314324041</v>
      </c>
      <c r="AH1184">
        <v>1303763</v>
      </c>
    </row>
    <row r="1185" spans="27:34">
      <c r="AA1185">
        <v>-3.62</v>
      </c>
      <c r="AB1185">
        <v>4.5</v>
      </c>
      <c r="AC1185">
        <v>873</v>
      </c>
      <c r="AD1185">
        <v>0.47492323400000003</v>
      </c>
      <c r="AG1185">
        <v>996.68596834483606</v>
      </c>
      <c r="AH1185">
        <v>1335251</v>
      </c>
    </row>
    <row r="1186" spans="27:34">
      <c r="AA1186">
        <v>-3.62</v>
      </c>
      <c r="AB1186">
        <v>4.5</v>
      </c>
      <c r="AC1186">
        <v>873</v>
      </c>
      <c r="AD1186">
        <v>0.47492323400000003</v>
      </c>
      <c r="AG1186">
        <v>918.07974133521304</v>
      </c>
      <c r="AH1186">
        <v>1368533</v>
      </c>
    </row>
    <row r="1187" spans="27:34">
      <c r="AA1187">
        <v>-3.62</v>
      </c>
      <c r="AB1187">
        <v>4.5</v>
      </c>
      <c r="AC1187">
        <v>873</v>
      </c>
      <c r="AD1187">
        <v>0.47492323400000003</v>
      </c>
      <c r="AG1187">
        <v>888.02915292730404</v>
      </c>
      <c r="AH1187">
        <v>1403045</v>
      </c>
    </row>
    <row r="1188" spans="27:34">
      <c r="AA1188">
        <v>-3.62</v>
      </c>
      <c r="AB1188">
        <v>4.5</v>
      </c>
      <c r="AC1188">
        <v>873</v>
      </c>
      <c r="AD1188">
        <v>0.47492323400000003</v>
      </c>
      <c r="AG1188">
        <v>918.37483475000795</v>
      </c>
      <c r="AH1188">
        <v>1437940</v>
      </c>
    </row>
    <row r="1189" spans="27:34">
      <c r="AA1189">
        <v>-3.62</v>
      </c>
      <c r="AB1189">
        <v>4.5</v>
      </c>
      <c r="AC1189">
        <v>873</v>
      </c>
      <c r="AD1189">
        <v>0.47492323400000003</v>
      </c>
      <c r="AE1189">
        <v>20</v>
      </c>
      <c r="AG1189">
        <v>973.32473818881795</v>
      </c>
      <c r="AH1189">
        <v>1472626</v>
      </c>
    </row>
    <row r="1190" spans="27:34">
      <c r="AA1190">
        <v>-3.62</v>
      </c>
      <c r="AB1190">
        <v>4.5</v>
      </c>
      <c r="AC1190">
        <v>873</v>
      </c>
      <c r="AD1190">
        <v>0.47492323400000003</v>
      </c>
      <c r="AG1190">
        <v>1003.9991174547901</v>
      </c>
      <c r="AH1190">
        <v>1506905</v>
      </c>
    </row>
    <row r="1191" spans="27:34">
      <c r="AA1191">
        <v>-3.62</v>
      </c>
      <c r="AB1191">
        <v>4.5</v>
      </c>
      <c r="AC1191">
        <v>873</v>
      </c>
      <c r="AD1191">
        <v>0.47492323400000003</v>
      </c>
      <c r="AG1191">
        <v>1018.62395555466</v>
      </c>
      <c r="AH1191">
        <v>1541040</v>
      </c>
    </row>
    <row r="1192" spans="27:34">
      <c r="AA1192">
        <v>-3.62</v>
      </c>
      <c r="AB1192">
        <v>4.5</v>
      </c>
      <c r="AC1192">
        <v>873</v>
      </c>
      <c r="AD1192">
        <v>0.47492323400000003</v>
      </c>
      <c r="AE1192">
        <v>21</v>
      </c>
      <c r="AG1192">
        <v>1053.6754720987501</v>
      </c>
      <c r="AH1192">
        <v>1575446</v>
      </c>
    </row>
    <row r="1193" spans="27:34">
      <c r="AA1193">
        <v>-3.62</v>
      </c>
      <c r="AB1193">
        <v>4.5</v>
      </c>
      <c r="AC1193">
        <v>873</v>
      </c>
      <c r="AD1193">
        <v>0.47492323400000003</v>
      </c>
      <c r="AG1193">
        <v>1071.16650779524</v>
      </c>
      <c r="AH1193">
        <v>1610746</v>
      </c>
    </row>
    <row r="1194" spans="27:34">
      <c r="AA1194">
        <v>-3.62</v>
      </c>
      <c r="AB1194">
        <v>4.5</v>
      </c>
      <c r="AC1194">
        <v>873</v>
      </c>
      <c r="AD1194">
        <v>0.47492323400000003</v>
      </c>
    </row>
    <row r="1195" spans="27:34">
      <c r="AA1195">
        <v>-3.62</v>
      </c>
      <c r="AB1195">
        <v>4.5</v>
      </c>
      <c r="AC1195">
        <v>873</v>
      </c>
      <c r="AD1195">
        <v>0.47492323400000003</v>
      </c>
    </row>
    <row r="1196" spans="27:34">
      <c r="AA1196">
        <v>-15.53</v>
      </c>
      <c r="AB1196">
        <v>4.5999999999999996</v>
      </c>
      <c r="AC1196">
        <v>132</v>
      </c>
      <c r="AD1196">
        <v>0.19695431499999999</v>
      </c>
      <c r="AE1196">
        <v>79</v>
      </c>
      <c r="AG1196">
        <v>1715.88869395237</v>
      </c>
      <c r="AH1196">
        <v>758853</v>
      </c>
    </row>
    <row r="1197" spans="27:34">
      <c r="AA1197">
        <v>-15.53</v>
      </c>
      <c r="AB1197">
        <v>4.5999999999999996</v>
      </c>
      <c r="AC1197">
        <v>132</v>
      </c>
      <c r="AD1197">
        <v>0.19695431499999999</v>
      </c>
      <c r="AG1197">
        <v>1885.5612822487601</v>
      </c>
      <c r="AH1197">
        <v>759254</v>
      </c>
    </row>
    <row r="1198" spans="27:34">
      <c r="AA1198">
        <v>-15.53</v>
      </c>
      <c r="AB1198">
        <v>4.5999999999999996</v>
      </c>
      <c r="AC1198">
        <v>132</v>
      </c>
      <c r="AD1198">
        <v>0.19695431499999999</v>
      </c>
      <c r="AG1198">
        <v>2040.3455427516701</v>
      </c>
      <c r="AH1198">
        <v>758564</v>
      </c>
    </row>
    <row r="1199" spans="27:34">
      <c r="AA1199">
        <v>-15.53</v>
      </c>
      <c r="AB1199">
        <v>4.5999999999999996</v>
      </c>
      <c r="AC1199">
        <v>132</v>
      </c>
      <c r="AD1199">
        <v>0.19695431499999999</v>
      </c>
      <c r="AG1199">
        <v>2031.4937893915701</v>
      </c>
      <c r="AH1199">
        <v>757323</v>
      </c>
    </row>
    <row r="1200" spans="27:34">
      <c r="AA1200">
        <v>-15.53</v>
      </c>
      <c r="AB1200">
        <v>4.5999999999999996</v>
      </c>
      <c r="AC1200">
        <v>132</v>
      </c>
      <c r="AD1200">
        <v>0.19695431499999999</v>
      </c>
      <c r="AG1200">
        <v>2125.1806806110499</v>
      </c>
      <c r="AH1200">
        <v>756362</v>
      </c>
    </row>
    <row r="1201" spans="27:34">
      <c r="AA1201">
        <v>-15.53</v>
      </c>
      <c r="AB1201">
        <v>4.5999999999999996</v>
      </c>
      <c r="AC1201">
        <v>132</v>
      </c>
      <c r="AD1201">
        <v>0.19695431499999999</v>
      </c>
      <c r="AE1201">
        <v>79</v>
      </c>
      <c r="AF1201">
        <v>0.68049999999999999</v>
      </c>
      <c r="AG1201">
        <v>2141.5613442775898</v>
      </c>
      <c r="AH1201">
        <v>756259</v>
      </c>
    </row>
    <row r="1202" spans="27:34">
      <c r="AA1202">
        <v>-15.53</v>
      </c>
      <c r="AB1202">
        <v>4.5999999999999996</v>
      </c>
      <c r="AC1202">
        <v>132</v>
      </c>
      <c r="AD1202">
        <v>0.19695431499999999</v>
      </c>
      <c r="AG1202">
        <v>2236.68194821933</v>
      </c>
      <c r="AH1202">
        <v>757175</v>
      </c>
    </row>
    <row r="1203" spans="27:34">
      <c r="AA1203">
        <v>-15.53</v>
      </c>
      <c r="AB1203">
        <v>4.5999999999999996</v>
      </c>
      <c r="AC1203">
        <v>132</v>
      </c>
      <c r="AD1203">
        <v>0.19695431499999999</v>
      </c>
      <c r="AE1203">
        <v>70</v>
      </c>
      <c r="AG1203">
        <v>2291.8861741572</v>
      </c>
      <c r="AH1203">
        <v>758834</v>
      </c>
    </row>
    <row r="1204" spans="27:34">
      <c r="AA1204">
        <v>-15.53</v>
      </c>
      <c r="AB1204">
        <v>4.5999999999999996</v>
      </c>
      <c r="AC1204">
        <v>132</v>
      </c>
      <c r="AD1204">
        <v>0.19695431499999999</v>
      </c>
      <c r="AG1204">
        <v>2311.6077697475498</v>
      </c>
      <c r="AH1204">
        <v>760850</v>
      </c>
    </row>
    <row r="1205" spans="27:34">
      <c r="AA1205">
        <v>-15.53</v>
      </c>
      <c r="AB1205">
        <v>4.5999999999999996</v>
      </c>
      <c r="AC1205">
        <v>132</v>
      </c>
      <c r="AD1205">
        <v>0.19695431499999999</v>
      </c>
      <c r="AE1205">
        <v>70</v>
      </c>
      <c r="AG1205">
        <v>2449.6246903128099</v>
      </c>
      <c r="AH1205">
        <v>762654</v>
      </c>
    </row>
    <row r="1206" spans="27:34">
      <c r="AA1206">
        <v>-15.53</v>
      </c>
      <c r="AB1206">
        <v>4.5999999999999996</v>
      </c>
      <c r="AC1206">
        <v>132</v>
      </c>
      <c r="AD1206">
        <v>0.19695431499999999</v>
      </c>
      <c r="AE1206">
        <v>80</v>
      </c>
      <c r="AG1206">
        <v>2477.9418811238702</v>
      </c>
      <c r="AH1206">
        <v>763834</v>
      </c>
    </row>
    <row r="1207" spans="27:34">
      <c r="AA1207">
        <v>-15.53</v>
      </c>
      <c r="AB1207">
        <v>4.5999999999999996</v>
      </c>
      <c r="AC1207">
        <v>132</v>
      </c>
      <c r="AD1207">
        <v>0.19695431499999999</v>
      </c>
      <c r="AG1207">
        <v>2688.2356514831399</v>
      </c>
      <c r="AH1207">
        <v>764273</v>
      </c>
    </row>
    <row r="1208" spans="27:34">
      <c r="AA1208">
        <v>-15.53</v>
      </c>
      <c r="AB1208">
        <v>4.5999999999999996</v>
      </c>
      <c r="AC1208">
        <v>132</v>
      </c>
      <c r="AD1208">
        <v>0.19695431499999999</v>
      </c>
      <c r="AG1208">
        <v>2975.6513565682299</v>
      </c>
      <c r="AH1208">
        <v>764100</v>
      </c>
    </row>
    <row r="1209" spans="27:34">
      <c r="AA1209">
        <v>-15.53</v>
      </c>
      <c r="AB1209">
        <v>4.5999999999999996</v>
      </c>
      <c r="AC1209">
        <v>132</v>
      </c>
      <c r="AD1209">
        <v>0.19695431499999999</v>
      </c>
      <c r="AE1209">
        <v>81</v>
      </c>
      <c r="AG1209">
        <v>3104.2103759625002</v>
      </c>
      <c r="AH1209">
        <v>763437</v>
      </c>
    </row>
    <row r="1210" spans="27:34">
      <c r="AA1210">
        <v>-15.53</v>
      </c>
      <c r="AB1210">
        <v>4.5999999999999996</v>
      </c>
      <c r="AC1210">
        <v>132</v>
      </c>
      <c r="AD1210">
        <v>0.19695431499999999</v>
      </c>
      <c r="AG1210">
        <v>3239.9976189641998</v>
      </c>
      <c r="AH1210">
        <v>762498</v>
      </c>
    </row>
    <row r="1211" spans="27:34">
      <c r="AA1211">
        <v>-15.53</v>
      </c>
      <c r="AB1211">
        <v>4.5999999999999996</v>
      </c>
      <c r="AC1211">
        <v>132</v>
      </c>
      <c r="AD1211">
        <v>0.19695431499999999</v>
      </c>
    </row>
    <row r="1212" spans="27:34">
      <c r="AA1212">
        <v>-15.53</v>
      </c>
      <c r="AB1212">
        <v>4.5999999999999996</v>
      </c>
      <c r="AC1212">
        <v>132</v>
      </c>
      <c r="AD1212">
        <v>0.19695431499999999</v>
      </c>
    </row>
    <row r="1213" spans="27:34">
      <c r="AA1213">
        <v>-4.43</v>
      </c>
      <c r="AB1213">
        <v>4.2</v>
      </c>
      <c r="AC1213">
        <v>428</v>
      </c>
      <c r="AD1213">
        <v>0.42117465199999998</v>
      </c>
      <c r="AE1213">
        <v>25</v>
      </c>
      <c r="AG1213">
        <v>900.31177216770902</v>
      </c>
      <c r="AH1213">
        <v>7860725</v>
      </c>
    </row>
    <row r="1214" spans="27:34">
      <c r="AA1214">
        <v>-4.43</v>
      </c>
      <c r="AB1214">
        <v>4.2</v>
      </c>
      <c r="AC1214">
        <v>428</v>
      </c>
      <c r="AD1214">
        <v>0.42117465199999998</v>
      </c>
      <c r="AG1214">
        <v>936.87858399033098</v>
      </c>
      <c r="AH1214">
        <v>8016832</v>
      </c>
    </row>
    <row r="1215" spans="27:34">
      <c r="AA1215">
        <v>-4.43</v>
      </c>
      <c r="AB1215">
        <v>4.2</v>
      </c>
      <c r="AC1215">
        <v>428</v>
      </c>
      <c r="AD1215">
        <v>0.42117465199999998</v>
      </c>
      <c r="AG1215">
        <v>960.37336555661</v>
      </c>
      <c r="AH1215">
        <v>8174788</v>
      </c>
    </row>
    <row r="1216" spans="27:34">
      <c r="AA1216">
        <v>-4.43</v>
      </c>
      <c r="AB1216">
        <v>4.2</v>
      </c>
      <c r="AC1216">
        <v>428</v>
      </c>
      <c r="AD1216">
        <v>0.42117465199999998</v>
      </c>
      <c r="AG1216">
        <v>973.54298841268906</v>
      </c>
      <c r="AH1216">
        <v>8333515</v>
      </c>
    </row>
    <row r="1217" spans="27:34">
      <c r="AA1217">
        <v>-4.43</v>
      </c>
      <c r="AB1217">
        <v>4.2</v>
      </c>
      <c r="AC1217">
        <v>428</v>
      </c>
      <c r="AD1217">
        <v>0.42117465199999998</v>
      </c>
      <c r="AG1217">
        <v>995.72478481933695</v>
      </c>
      <c r="AH1217">
        <v>8491550</v>
      </c>
    </row>
    <row r="1218" spans="27:34">
      <c r="AA1218">
        <v>-4.43</v>
      </c>
      <c r="AB1218">
        <v>4.2</v>
      </c>
      <c r="AC1218">
        <v>428</v>
      </c>
      <c r="AD1218">
        <v>0.42117465199999998</v>
      </c>
      <c r="AE1218">
        <v>22</v>
      </c>
      <c r="AF1218">
        <v>8.5530000000000008</v>
      </c>
      <c r="AG1218">
        <v>1007.54526449323</v>
      </c>
      <c r="AH1218">
        <v>8647874</v>
      </c>
    </row>
    <row r="1219" spans="27:34">
      <c r="AA1219">
        <v>-4.43</v>
      </c>
      <c r="AB1219">
        <v>4.2</v>
      </c>
      <c r="AC1219">
        <v>428</v>
      </c>
      <c r="AD1219">
        <v>0.42117465199999998</v>
      </c>
      <c r="AG1219">
        <v>1001.79083484828</v>
      </c>
      <c r="AH1219">
        <v>8801982</v>
      </c>
    </row>
    <row r="1220" spans="27:34">
      <c r="AA1220">
        <v>-4.43</v>
      </c>
      <c r="AB1220">
        <v>4.2</v>
      </c>
      <c r="AC1220">
        <v>428</v>
      </c>
      <c r="AD1220">
        <v>0.42117465199999998</v>
      </c>
      <c r="AG1220">
        <v>998.21589044258997</v>
      </c>
      <c r="AH1220">
        <v>8954225</v>
      </c>
    </row>
    <row r="1221" spans="27:34">
      <c r="AA1221">
        <v>-4.43</v>
      </c>
      <c r="AB1221">
        <v>4.2</v>
      </c>
      <c r="AC1221">
        <v>428</v>
      </c>
      <c r="AD1221">
        <v>0.42117465199999998</v>
      </c>
      <c r="AG1221">
        <v>1006.42565353798</v>
      </c>
      <c r="AH1221">
        <v>9105487</v>
      </c>
    </row>
    <row r="1222" spans="27:34">
      <c r="AA1222">
        <v>-4.43</v>
      </c>
      <c r="AB1222">
        <v>4.2</v>
      </c>
      <c r="AC1222">
        <v>428</v>
      </c>
      <c r="AD1222">
        <v>0.42117465199999998</v>
      </c>
      <c r="AG1222">
        <v>982.17972429406404</v>
      </c>
      <c r="AH1222">
        <v>9257096</v>
      </c>
    </row>
    <row r="1223" spans="27:34">
      <c r="AA1223">
        <v>-4.43</v>
      </c>
      <c r="AB1223">
        <v>4.2</v>
      </c>
      <c r="AC1223">
        <v>428</v>
      </c>
      <c r="AD1223">
        <v>0.42117465199999998</v>
      </c>
      <c r="AE1223">
        <v>19</v>
      </c>
      <c r="AG1223">
        <v>1016.41117694658</v>
      </c>
      <c r="AH1223">
        <v>9409991</v>
      </c>
    </row>
    <row r="1224" spans="27:34">
      <c r="AA1224">
        <v>-4.43</v>
      </c>
      <c r="AB1224">
        <v>4.2</v>
      </c>
      <c r="AC1224">
        <v>428</v>
      </c>
      <c r="AD1224">
        <v>0.42117465199999998</v>
      </c>
      <c r="AG1224">
        <v>1055.7848147776399</v>
      </c>
      <c r="AH1224">
        <v>9564449</v>
      </c>
    </row>
    <row r="1225" spans="27:34">
      <c r="AA1225">
        <v>-4.43</v>
      </c>
      <c r="AB1225">
        <v>4.2</v>
      </c>
      <c r="AC1225">
        <v>428</v>
      </c>
      <c r="AD1225">
        <v>0.42117465199999998</v>
      </c>
      <c r="AG1225">
        <v>1110.4016816206999</v>
      </c>
      <c r="AH1225">
        <v>9720086</v>
      </c>
    </row>
    <row r="1226" spans="27:34">
      <c r="AA1226">
        <v>-4.43</v>
      </c>
      <c r="AB1226">
        <v>4.2</v>
      </c>
      <c r="AC1226">
        <v>428</v>
      </c>
      <c r="AD1226">
        <v>0.42117465199999998</v>
      </c>
      <c r="AE1226">
        <v>17</v>
      </c>
      <c r="AG1226">
        <v>1126.14215801608</v>
      </c>
      <c r="AH1226">
        <v>9876402</v>
      </c>
    </row>
    <row r="1227" spans="27:34">
      <c r="AA1227">
        <v>-4.43</v>
      </c>
      <c r="AB1227">
        <v>4.2</v>
      </c>
      <c r="AC1227">
        <v>428</v>
      </c>
      <c r="AD1227">
        <v>0.42117465199999998</v>
      </c>
      <c r="AG1227">
        <v>1151.0352132201101</v>
      </c>
      <c r="AH1227">
        <v>10032619</v>
      </c>
    </row>
    <row r="1228" spans="27:34">
      <c r="AA1228">
        <v>-4.43</v>
      </c>
      <c r="AB1228">
        <v>4.2</v>
      </c>
      <c r="AC1228">
        <v>428</v>
      </c>
      <c r="AD1228">
        <v>0.42117465199999998</v>
      </c>
    </row>
    <row r="1229" spans="27:34">
      <c r="AA1229">
        <v>-4.43</v>
      </c>
      <c r="AB1229">
        <v>4.2</v>
      </c>
      <c r="AC1229">
        <v>428</v>
      </c>
      <c r="AD1229">
        <v>0.42117465199999998</v>
      </c>
    </row>
    <row r="1230" spans="27:34">
      <c r="AA1230">
        <v>-6.96</v>
      </c>
      <c r="AB1230">
        <v>3.9</v>
      </c>
      <c r="AC1230">
        <v>106</v>
      </c>
      <c r="AD1230">
        <v>0.16135881099999999</v>
      </c>
      <c r="AE1230">
        <v>51</v>
      </c>
      <c r="AG1230">
        <v>2255.9558233862599</v>
      </c>
      <c r="AH1230">
        <v>5587997</v>
      </c>
    </row>
    <row r="1231" spans="27:34">
      <c r="AA1231">
        <v>-6.96</v>
      </c>
      <c r="AB1231">
        <v>3.9</v>
      </c>
      <c r="AC1231">
        <v>106</v>
      </c>
      <c r="AD1231">
        <v>0.16135881099999999</v>
      </c>
      <c r="AG1231">
        <v>2327.0507220821801</v>
      </c>
      <c r="AH1231">
        <v>5719352</v>
      </c>
    </row>
    <row r="1232" spans="27:34">
      <c r="AA1232">
        <v>-6.96</v>
      </c>
      <c r="AB1232">
        <v>3.9</v>
      </c>
      <c r="AC1232">
        <v>106</v>
      </c>
      <c r="AD1232">
        <v>0.16135881099999999</v>
      </c>
      <c r="AG1232">
        <v>2431.8491934243002</v>
      </c>
      <c r="AH1232">
        <v>5848074</v>
      </c>
    </row>
    <row r="1233" spans="27:34">
      <c r="AA1233">
        <v>-6.96</v>
      </c>
      <c r="AB1233">
        <v>3.9</v>
      </c>
      <c r="AC1233">
        <v>106</v>
      </c>
      <c r="AD1233">
        <v>0.16135881099999999</v>
      </c>
      <c r="AG1233">
        <v>2476.8923187558198</v>
      </c>
      <c r="AH1233">
        <v>5975159</v>
      </c>
    </row>
    <row r="1234" spans="27:34">
      <c r="AA1234">
        <v>-6.96</v>
      </c>
      <c r="AB1234">
        <v>3.9</v>
      </c>
      <c r="AC1234">
        <v>106</v>
      </c>
      <c r="AD1234">
        <v>0.16135881099999999</v>
      </c>
      <c r="AG1234">
        <v>2414.42189990935</v>
      </c>
      <c r="AH1234">
        <v>6102074</v>
      </c>
    </row>
    <row r="1235" spans="27:34">
      <c r="AA1235">
        <v>-6.96</v>
      </c>
      <c r="AB1235">
        <v>3.9</v>
      </c>
      <c r="AC1235">
        <v>106</v>
      </c>
      <c r="AD1235">
        <v>0.16135881099999999</v>
      </c>
      <c r="AE1235">
        <v>59</v>
      </c>
      <c r="AF1235">
        <v>1.2450000000000001</v>
      </c>
      <c r="AG1235">
        <v>2554.8934076092301</v>
      </c>
      <c r="AH1235">
        <v>6229981</v>
      </c>
    </row>
    <row r="1236" spans="27:34">
      <c r="AA1236">
        <v>-6.96</v>
      </c>
      <c r="AB1236">
        <v>3.9</v>
      </c>
      <c r="AC1236">
        <v>106</v>
      </c>
      <c r="AD1236">
        <v>0.16135881099999999</v>
      </c>
      <c r="AG1236">
        <v>2629.4486257767999</v>
      </c>
      <c r="AH1236">
        <v>6359157</v>
      </c>
    </row>
    <row r="1237" spans="27:34">
      <c r="AA1237">
        <v>-6.96</v>
      </c>
      <c r="AB1237">
        <v>3.9</v>
      </c>
      <c r="AC1237">
        <v>106</v>
      </c>
      <c r="AD1237">
        <v>0.16135881099999999</v>
      </c>
      <c r="AG1237">
        <v>2716.7770684008901</v>
      </c>
      <c r="AH1237">
        <v>6489560</v>
      </c>
    </row>
    <row r="1238" spans="27:34">
      <c r="AA1238">
        <v>-6.96</v>
      </c>
      <c r="AB1238">
        <v>3.9</v>
      </c>
      <c r="AC1238">
        <v>106</v>
      </c>
      <c r="AD1238">
        <v>0.16135881099999999</v>
      </c>
      <c r="AG1238">
        <v>2843.6459506426299</v>
      </c>
      <c r="AH1238">
        <v>6621657</v>
      </c>
    </row>
    <row r="1239" spans="27:34">
      <c r="AA1239">
        <v>-6.96</v>
      </c>
      <c r="AB1239">
        <v>3.9</v>
      </c>
      <c r="AC1239">
        <v>106</v>
      </c>
      <c r="AD1239">
        <v>0.16135881099999999</v>
      </c>
      <c r="AG1239">
        <v>3044.76359335713</v>
      </c>
      <c r="AH1239">
        <v>6755919</v>
      </c>
    </row>
    <row r="1240" spans="27:34">
      <c r="AA1240">
        <v>-6.96</v>
      </c>
      <c r="AB1240">
        <v>3.9</v>
      </c>
      <c r="AC1240">
        <v>106</v>
      </c>
      <c r="AD1240">
        <v>0.16135881099999999</v>
      </c>
      <c r="AE1240">
        <v>66</v>
      </c>
      <c r="AG1240">
        <v>3270.46489033947</v>
      </c>
      <c r="AH1240">
        <v>6892691</v>
      </c>
    </row>
    <row r="1241" spans="27:34">
      <c r="AA1241">
        <v>-6.96</v>
      </c>
      <c r="AB1241">
        <v>3.9</v>
      </c>
      <c r="AC1241">
        <v>106</v>
      </c>
      <c r="AD1241">
        <v>0.16135881099999999</v>
      </c>
      <c r="AG1241">
        <v>3527.2521926885502</v>
      </c>
      <c r="AH1241">
        <v>7032097</v>
      </c>
    </row>
    <row r="1242" spans="27:34">
      <c r="AA1242">
        <v>-6.96</v>
      </c>
      <c r="AB1242">
        <v>3.9</v>
      </c>
      <c r="AC1242">
        <v>106</v>
      </c>
      <c r="AD1242">
        <v>0.16135881099999999</v>
      </c>
      <c r="AG1242">
        <v>3801.4406804953501</v>
      </c>
      <c r="AH1242">
        <v>7174129</v>
      </c>
    </row>
    <row r="1243" spans="27:34">
      <c r="AA1243">
        <v>-6.96</v>
      </c>
      <c r="AB1243">
        <v>3.9</v>
      </c>
      <c r="AC1243">
        <v>106</v>
      </c>
      <c r="AD1243">
        <v>0.16135881099999999</v>
      </c>
      <c r="AE1243">
        <v>71</v>
      </c>
      <c r="AG1243">
        <v>3958.9676580647601</v>
      </c>
      <c r="AH1243">
        <v>7318789</v>
      </c>
    </row>
    <row r="1244" spans="27:34">
      <c r="AA1244">
        <v>-6.96</v>
      </c>
      <c r="AB1244">
        <v>3.9</v>
      </c>
      <c r="AC1244">
        <v>106</v>
      </c>
      <c r="AD1244">
        <v>0.16135881099999999</v>
      </c>
      <c r="AG1244">
        <v>3841.5905704236998</v>
      </c>
      <c r="AH1244">
        <v>7465998</v>
      </c>
    </row>
    <row r="1245" spans="27:34">
      <c r="AA1245">
        <v>-6.96</v>
      </c>
      <c r="AB1245">
        <v>3.9</v>
      </c>
      <c r="AC1245">
        <v>106</v>
      </c>
      <c r="AD1245">
        <v>0.16135881099999999</v>
      </c>
    </row>
    <row r="1246" spans="27:34">
      <c r="AA1246">
        <v>-6.96</v>
      </c>
      <c r="AB1246">
        <v>3.9</v>
      </c>
      <c r="AC1246">
        <v>106</v>
      </c>
      <c r="AD1246">
        <v>0.16135881099999999</v>
      </c>
    </row>
    <row r="1247" spans="27:34">
      <c r="AA1247">
        <v>-1.28</v>
      </c>
      <c r="AB1247">
        <v>1.8</v>
      </c>
      <c r="AC1247">
        <v>0</v>
      </c>
      <c r="AD1247">
        <v>2.2377622E-2</v>
      </c>
      <c r="AE1247">
        <v>100</v>
      </c>
      <c r="AG1247">
        <v>8806.60681883914</v>
      </c>
      <c r="AH1247">
        <v>10328965</v>
      </c>
    </row>
    <row r="1248" spans="27:34">
      <c r="AA1248">
        <v>-1.28</v>
      </c>
      <c r="AB1248">
        <v>1.8</v>
      </c>
      <c r="AC1248">
        <v>0</v>
      </c>
      <c r="AD1248">
        <v>2.2377622E-2</v>
      </c>
      <c r="AG1248">
        <v>9134.4978874427106</v>
      </c>
      <c r="AH1248">
        <v>10311238</v>
      </c>
    </row>
    <row r="1249" spans="27:34">
      <c r="AA1249">
        <v>-1.28</v>
      </c>
      <c r="AB1249">
        <v>1.8</v>
      </c>
      <c r="AC1249">
        <v>0</v>
      </c>
      <c r="AD1249">
        <v>2.2377622E-2</v>
      </c>
      <c r="AG1249">
        <v>9760.2893695661296</v>
      </c>
      <c r="AH1249">
        <v>10290486</v>
      </c>
    </row>
    <row r="1250" spans="27:34">
      <c r="AA1250">
        <v>-1.28</v>
      </c>
      <c r="AB1250">
        <v>1.8</v>
      </c>
      <c r="AC1250">
        <v>0</v>
      </c>
      <c r="AD1250">
        <v>2.2377622E-2</v>
      </c>
      <c r="AG1250">
        <v>10434.090418026301</v>
      </c>
      <c r="AH1250">
        <v>10266570</v>
      </c>
    </row>
    <row r="1251" spans="27:34">
      <c r="AA1251">
        <v>-1.28</v>
      </c>
      <c r="AB1251">
        <v>1.8</v>
      </c>
      <c r="AC1251">
        <v>0</v>
      </c>
      <c r="AD1251">
        <v>2.2377622E-2</v>
      </c>
      <c r="AG1251">
        <v>11011.0783848217</v>
      </c>
      <c r="AH1251">
        <v>10237530</v>
      </c>
    </row>
    <row r="1252" spans="27:34">
      <c r="AA1252">
        <v>-1.28</v>
      </c>
      <c r="AB1252">
        <v>1.8</v>
      </c>
      <c r="AC1252">
        <v>0</v>
      </c>
      <c r="AD1252">
        <v>2.2377622E-2</v>
      </c>
      <c r="AE1252">
        <v>100</v>
      </c>
      <c r="AF1252">
        <v>5.6150000000000002</v>
      </c>
      <c r="AG1252">
        <v>12264.1451348548</v>
      </c>
      <c r="AH1252">
        <v>10210971</v>
      </c>
    </row>
    <row r="1253" spans="27:34">
      <c r="AA1253">
        <v>-1.28</v>
      </c>
      <c r="AB1253">
        <v>1.8</v>
      </c>
      <c r="AC1253">
        <v>0</v>
      </c>
      <c r="AD1253">
        <v>2.2377622E-2</v>
      </c>
      <c r="AG1253">
        <v>13515.4072961365</v>
      </c>
      <c r="AH1253">
        <v>10187576</v>
      </c>
    </row>
    <row r="1254" spans="27:34">
      <c r="AA1254">
        <v>-1.28</v>
      </c>
      <c r="AB1254">
        <v>1.8</v>
      </c>
      <c r="AC1254">
        <v>0</v>
      </c>
      <c r="AD1254">
        <v>2.2377622E-2</v>
      </c>
      <c r="AG1254">
        <v>14694.2491502433</v>
      </c>
      <c r="AH1254">
        <v>10158608</v>
      </c>
    </row>
    <row r="1255" spans="27:34">
      <c r="AA1255">
        <v>-1.28</v>
      </c>
      <c r="AB1255">
        <v>1.8</v>
      </c>
      <c r="AC1255">
        <v>0</v>
      </c>
      <c r="AD1255">
        <v>2.2377622E-2</v>
      </c>
      <c r="AG1255">
        <v>15487.1849306124</v>
      </c>
      <c r="AH1255">
        <v>10129552</v>
      </c>
    </row>
    <row r="1256" spans="27:34">
      <c r="AA1256">
        <v>-1.28</v>
      </c>
      <c r="AB1256">
        <v>1.8</v>
      </c>
      <c r="AC1256">
        <v>0</v>
      </c>
      <c r="AD1256">
        <v>2.2377622E-2</v>
      </c>
      <c r="AG1256">
        <v>16217.475105989</v>
      </c>
      <c r="AH1256">
        <v>10107146</v>
      </c>
    </row>
    <row r="1257" spans="27:34">
      <c r="AA1257">
        <v>-1.28</v>
      </c>
      <c r="AB1257">
        <v>1.8</v>
      </c>
      <c r="AC1257">
        <v>0</v>
      </c>
      <c r="AD1257">
        <v>2.2377622E-2</v>
      </c>
      <c r="AE1257">
        <v>100</v>
      </c>
      <c r="AF1257">
        <v>5.375</v>
      </c>
      <c r="AG1257">
        <v>16955.1568129343</v>
      </c>
      <c r="AH1257">
        <v>10087050</v>
      </c>
    </row>
    <row r="1258" spans="27:34">
      <c r="AA1258">
        <v>-1.28</v>
      </c>
      <c r="AB1258">
        <v>1.8</v>
      </c>
      <c r="AC1258">
        <v>0</v>
      </c>
      <c r="AD1258">
        <v>2.2377622E-2</v>
      </c>
      <c r="AG1258">
        <v>18364.095945111902</v>
      </c>
      <c r="AH1258">
        <v>10071370</v>
      </c>
    </row>
    <row r="1259" spans="27:34">
      <c r="AA1259">
        <v>-1.28</v>
      </c>
      <c r="AB1259">
        <v>1.8</v>
      </c>
      <c r="AC1259">
        <v>0</v>
      </c>
      <c r="AD1259">
        <v>2.2377622E-2</v>
      </c>
      <c r="AG1259">
        <v>19306.950719951499</v>
      </c>
      <c r="AH1259">
        <v>10055780</v>
      </c>
    </row>
    <row r="1260" spans="27:34">
      <c r="AA1260">
        <v>-1.28</v>
      </c>
      <c r="AB1260">
        <v>1.8</v>
      </c>
      <c r="AC1260">
        <v>0</v>
      </c>
      <c r="AD1260">
        <v>2.2377622E-2</v>
      </c>
      <c r="AE1260">
        <v>100</v>
      </c>
      <c r="AG1260">
        <v>20596.690531637501</v>
      </c>
      <c r="AH1260">
        <v>10038188</v>
      </c>
    </row>
    <row r="1261" spans="27:34">
      <c r="AA1261">
        <v>-1.28</v>
      </c>
      <c r="AB1261">
        <v>1.8</v>
      </c>
      <c r="AC1261">
        <v>0</v>
      </c>
      <c r="AD1261">
        <v>2.2377622E-2</v>
      </c>
      <c r="AG1261">
        <v>20311.7312842873</v>
      </c>
      <c r="AH1261">
        <v>10022302</v>
      </c>
    </row>
    <row r="1262" spans="27:34">
      <c r="AA1262">
        <v>-1.28</v>
      </c>
      <c r="AB1262">
        <v>1.8</v>
      </c>
      <c r="AC1262">
        <v>0</v>
      </c>
      <c r="AD1262">
        <v>2.2377622E-2</v>
      </c>
    </row>
    <row r="1263" spans="27:34">
      <c r="AA1263">
        <v>-1.28</v>
      </c>
      <c r="AB1263">
        <v>1.8</v>
      </c>
      <c r="AC1263">
        <v>0</v>
      </c>
      <c r="AD1263">
        <v>2.2377622E-2</v>
      </c>
    </row>
    <row r="1264" spans="27:34">
      <c r="AA1264">
        <v>8.3000000000000007</v>
      </c>
      <c r="AB1264">
        <v>1.2</v>
      </c>
      <c r="AC1264">
        <v>0</v>
      </c>
      <c r="AD1264">
        <v>4.6997389000000001E-2</v>
      </c>
      <c r="AE1264">
        <v>100</v>
      </c>
      <c r="AG1264">
        <v>23158.094605975501</v>
      </c>
      <c r="AH1264">
        <v>268000</v>
      </c>
    </row>
    <row r="1265" spans="27:34">
      <c r="AA1265">
        <v>8.3000000000000007</v>
      </c>
      <c r="AB1265">
        <v>1.2</v>
      </c>
      <c r="AC1265">
        <v>0</v>
      </c>
      <c r="AD1265">
        <v>4.6997389000000001E-2</v>
      </c>
      <c r="AG1265">
        <v>24065.303623430402</v>
      </c>
      <c r="AH1265">
        <v>270000</v>
      </c>
    </row>
    <row r="1266" spans="27:34">
      <c r="AA1266">
        <v>8.3000000000000007</v>
      </c>
      <c r="AB1266">
        <v>1.2</v>
      </c>
      <c r="AC1266">
        <v>0</v>
      </c>
      <c r="AD1266">
        <v>4.6997389000000001E-2</v>
      </c>
      <c r="AG1266">
        <v>25987.497807636701</v>
      </c>
      <c r="AH1266">
        <v>272000</v>
      </c>
    </row>
    <row r="1267" spans="27:34">
      <c r="AA1267">
        <v>8.3000000000000007</v>
      </c>
      <c r="AB1267">
        <v>1.2</v>
      </c>
      <c r="AC1267">
        <v>0</v>
      </c>
      <c r="AD1267">
        <v>4.6997389000000001E-2</v>
      </c>
      <c r="AG1267">
        <v>27803.540819608399</v>
      </c>
      <c r="AH1267">
        <v>274000</v>
      </c>
    </row>
    <row r="1268" spans="27:34">
      <c r="AA1268">
        <v>8.3000000000000007</v>
      </c>
      <c r="AB1268">
        <v>1.2</v>
      </c>
      <c r="AC1268">
        <v>0</v>
      </c>
      <c r="AD1268">
        <v>4.6997389000000001E-2</v>
      </c>
      <c r="AG1268">
        <v>28599.151159517802</v>
      </c>
      <c r="AH1268">
        <v>277500</v>
      </c>
    </row>
    <row r="1269" spans="27:34">
      <c r="AA1269">
        <v>8.3000000000000007</v>
      </c>
      <c r="AB1269">
        <v>1.2</v>
      </c>
      <c r="AC1269">
        <v>0</v>
      </c>
      <c r="AD1269">
        <v>4.6997389000000001E-2</v>
      </c>
      <c r="AE1269">
        <v>100</v>
      </c>
      <c r="AF1269">
        <v>9.5899999999999999E-2</v>
      </c>
      <c r="AG1269">
        <v>28856.2957508527</v>
      </c>
      <c r="AH1269">
        <v>281000</v>
      </c>
    </row>
    <row r="1270" spans="27:34">
      <c r="AA1270">
        <v>8.3000000000000007</v>
      </c>
      <c r="AB1270">
        <v>1.2</v>
      </c>
      <c r="AC1270">
        <v>0</v>
      </c>
      <c r="AD1270">
        <v>4.6997389000000001E-2</v>
      </c>
      <c r="AG1270">
        <v>30449.675810107299</v>
      </c>
      <c r="AH1270">
        <v>285000</v>
      </c>
    </row>
    <row r="1271" spans="27:34">
      <c r="AA1271">
        <v>8.3000000000000007</v>
      </c>
      <c r="AB1271">
        <v>1.2</v>
      </c>
      <c r="AC1271">
        <v>0</v>
      </c>
      <c r="AD1271">
        <v>4.6997389000000001E-2</v>
      </c>
      <c r="AG1271">
        <v>31036.1753497914</v>
      </c>
      <c r="AH1271">
        <v>288000</v>
      </c>
    </row>
    <row r="1272" spans="27:34">
      <c r="AA1272">
        <v>8.3000000000000007</v>
      </c>
      <c r="AB1272">
        <v>1.2</v>
      </c>
      <c r="AC1272">
        <v>0</v>
      </c>
      <c r="AD1272">
        <v>4.6997389000000001E-2</v>
      </c>
      <c r="AG1272">
        <v>30738.752357731701</v>
      </c>
      <c r="AH1272">
        <v>289548.09617747401</v>
      </c>
    </row>
    <row r="1273" spans="27:34">
      <c r="AA1273">
        <v>8.3000000000000007</v>
      </c>
      <c r="AB1273">
        <v>1.2</v>
      </c>
      <c r="AC1273">
        <v>0</v>
      </c>
      <c r="AD1273">
        <v>4.6997389000000001E-2</v>
      </c>
      <c r="AG1273">
        <v>33754.2994619163</v>
      </c>
      <c r="AH1273">
        <v>292096.148553862</v>
      </c>
    </row>
    <row r="1274" spans="27:34">
      <c r="AA1274">
        <v>8.3000000000000007</v>
      </c>
      <c r="AB1274">
        <v>1.2</v>
      </c>
      <c r="AC1274">
        <v>0</v>
      </c>
      <c r="AD1274">
        <v>4.6997389000000001E-2</v>
      </c>
      <c r="AE1274">
        <v>100</v>
      </c>
      <c r="AF1274">
        <v>9.7100000000000006E-2</v>
      </c>
      <c r="AG1274">
        <v>34920.560101179697</v>
      </c>
      <c r="AH1274">
        <v>296750</v>
      </c>
    </row>
    <row r="1275" spans="27:34">
      <c r="AA1275">
        <v>8.3000000000000007</v>
      </c>
      <c r="AB1275">
        <v>1.2</v>
      </c>
      <c r="AC1275">
        <v>0</v>
      </c>
      <c r="AD1275">
        <v>4.6997389000000001E-2</v>
      </c>
      <c r="AG1275">
        <v>35872.946396686697</v>
      </c>
      <c r="AH1275">
        <v>303782</v>
      </c>
    </row>
    <row r="1276" spans="27:34">
      <c r="AA1276">
        <v>8.3000000000000007</v>
      </c>
      <c r="AB1276">
        <v>1.2</v>
      </c>
      <c r="AC1276">
        <v>0</v>
      </c>
      <c r="AD1276">
        <v>4.6997389000000001E-2</v>
      </c>
      <c r="AG1276">
        <v>37158.686862506001</v>
      </c>
      <c r="AH1276">
        <v>311566</v>
      </c>
    </row>
    <row r="1277" spans="27:34">
      <c r="AA1277">
        <v>8.3000000000000007</v>
      </c>
      <c r="AB1277">
        <v>1.2</v>
      </c>
      <c r="AC1277">
        <v>0</v>
      </c>
      <c r="AD1277">
        <v>4.6997389000000001E-2</v>
      </c>
      <c r="AE1277">
        <v>100</v>
      </c>
      <c r="AG1277">
        <v>39260.173910792997</v>
      </c>
      <c r="AH1277">
        <v>317414</v>
      </c>
    </row>
    <row r="1278" spans="27:34">
      <c r="AA1278">
        <v>8.3000000000000007</v>
      </c>
      <c r="AB1278">
        <v>1.2</v>
      </c>
      <c r="AC1278">
        <v>0</v>
      </c>
      <c r="AD1278">
        <v>4.6997389000000001E-2</v>
      </c>
      <c r="AG1278">
        <v>36795.490728354504</v>
      </c>
      <c r="AH1278">
        <v>319062</v>
      </c>
    </row>
    <row r="1279" spans="27:34">
      <c r="AA1279">
        <v>8.3000000000000007</v>
      </c>
      <c r="AB1279">
        <v>1.2</v>
      </c>
      <c r="AC1279">
        <v>0</v>
      </c>
      <c r="AD1279">
        <v>4.6997389000000001E-2</v>
      </c>
    </row>
    <row r="1280" spans="27:34">
      <c r="AA1280">
        <v>8.3000000000000007</v>
      </c>
      <c r="AB1280">
        <v>1.2</v>
      </c>
      <c r="AC1280">
        <v>0</v>
      </c>
      <c r="AD1280">
        <v>4.6997389000000001E-2</v>
      </c>
    </row>
    <row r="1281" spans="27:34">
      <c r="AA1281">
        <v>11.34</v>
      </c>
      <c r="AB1281">
        <v>3.2</v>
      </c>
      <c r="AC1281">
        <v>316</v>
      </c>
      <c r="AD1281">
        <v>0.31647776799999999</v>
      </c>
      <c r="AE1281">
        <v>21</v>
      </c>
      <c r="AG1281">
        <v>1183.8226982306701</v>
      </c>
      <c r="AH1281">
        <v>932180000</v>
      </c>
    </row>
    <row r="1282" spans="27:34">
      <c r="AA1282">
        <v>11.34</v>
      </c>
      <c r="AB1282">
        <v>3.2</v>
      </c>
      <c r="AC1282">
        <v>316</v>
      </c>
      <c r="AD1282">
        <v>0.31647776799999999</v>
      </c>
      <c r="AG1282">
        <v>1274.9589913572599</v>
      </c>
      <c r="AH1282">
        <v>948758852.89054894</v>
      </c>
    </row>
    <row r="1283" spans="27:34">
      <c r="AA1283">
        <v>11.34</v>
      </c>
      <c r="AB1283">
        <v>3.2</v>
      </c>
      <c r="AC1283">
        <v>316</v>
      </c>
      <c r="AD1283">
        <v>0.31647776799999999</v>
      </c>
      <c r="AG1283">
        <v>1326.8641204282901</v>
      </c>
      <c r="AH1283">
        <v>965428183.11484802</v>
      </c>
    </row>
    <row r="1284" spans="27:34">
      <c r="AA1284">
        <v>11.34</v>
      </c>
      <c r="AB1284">
        <v>3.2</v>
      </c>
      <c r="AC1284">
        <v>316</v>
      </c>
      <c r="AD1284">
        <v>0.31647776799999999</v>
      </c>
      <c r="AG1284">
        <v>1400.67499740072</v>
      </c>
      <c r="AH1284">
        <v>982182462.14134896</v>
      </c>
    </row>
    <row r="1285" spans="27:34">
      <c r="AA1285">
        <v>11.34</v>
      </c>
      <c r="AB1285">
        <v>3.2</v>
      </c>
      <c r="AC1285">
        <v>316</v>
      </c>
      <c r="AD1285">
        <v>0.31647776799999999</v>
      </c>
      <c r="AG1285">
        <v>1500.4750440631201</v>
      </c>
      <c r="AH1285">
        <v>999016010.49748003</v>
      </c>
    </row>
    <row r="1286" spans="27:34">
      <c r="AA1286">
        <v>11.34</v>
      </c>
      <c r="AB1286">
        <v>3.2</v>
      </c>
      <c r="AC1286">
        <v>316</v>
      </c>
      <c r="AD1286">
        <v>0.31647776799999999</v>
      </c>
      <c r="AE1286">
        <v>25</v>
      </c>
      <c r="AF1286">
        <v>31.94</v>
      </c>
      <c r="AG1286">
        <v>1568.18337308781</v>
      </c>
      <c r="AH1286">
        <v>1015923000</v>
      </c>
    </row>
    <row r="1287" spans="27:34">
      <c r="AA1287">
        <v>11.34</v>
      </c>
      <c r="AB1287">
        <v>3.2</v>
      </c>
      <c r="AC1287">
        <v>316</v>
      </c>
      <c r="AD1287">
        <v>0.31647776799999999</v>
      </c>
      <c r="AG1287">
        <v>1660.3526691111399</v>
      </c>
      <c r="AH1287">
        <v>1032473426.104</v>
      </c>
    </row>
    <row r="1288" spans="27:34">
      <c r="AA1288">
        <v>11.34</v>
      </c>
      <c r="AB1288">
        <v>3.2</v>
      </c>
      <c r="AC1288">
        <v>316</v>
      </c>
      <c r="AD1288">
        <v>0.31647776799999999</v>
      </c>
      <c r="AG1288">
        <v>1723.8908805538999</v>
      </c>
      <c r="AH1288">
        <v>1048640720.5863</v>
      </c>
    </row>
    <row r="1289" spans="27:34">
      <c r="AA1289">
        <v>11.34</v>
      </c>
      <c r="AB1289">
        <v>3.2</v>
      </c>
      <c r="AC1289">
        <v>316</v>
      </c>
      <c r="AD1289">
        <v>0.31647776799999999</v>
      </c>
      <c r="AG1289">
        <v>1880.20880746593</v>
      </c>
      <c r="AH1289">
        <v>1064398611.55152</v>
      </c>
    </row>
    <row r="1290" spans="27:34">
      <c r="AA1290">
        <v>11.34</v>
      </c>
      <c r="AB1290">
        <v>3.2</v>
      </c>
      <c r="AC1290">
        <v>316</v>
      </c>
      <c r="AD1290">
        <v>0.31647776799999999</v>
      </c>
      <c r="AG1290">
        <v>2063.8532404112402</v>
      </c>
      <c r="AH1290">
        <v>1079721193.94537</v>
      </c>
    </row>
    <row r="1291" spans="27:34">
      <c r="AA1291">
        <v>11.34</v>
      </c>
      <c r="AB1291">
        <v>3.2</v>
      </c>
      <c r="AC1291">
        <v>316</v>
      </c>
      <c r="AD1291">
        <v>0.31647776799999999</v>
      </c>
      <c r="AE1291">
        <v>28</v>
      </c>
      <c r="AG1291">
        <v>2299.76310197557</v>
      </c>
      <c r="AH1291">
        <v>1094583000</v>
      </c>
    </row>
    <row r="1292" spans="27:34">
      <c r="AA1292">
        <v>11.34</v>
      </c>
      <c r="AB1292">
        <v>3.2</v>
      </c>
      <c r="AC1292">
        <v>316</v>
      </c>
      <c r="AD1292">
        <v>0.31647776799999999</v>
      </c>
      <c r="AG1292">
        <v>2559.1258527986402</v>
      </c>
      <c r="AH1292">
        <v>1109811147.4504001</v>
      </c>
    </row>
    <row r="1293" spans="27:34">
      <c r="AA1293">
        <v>11.34</v>
      </c>
      <c r="AB1293">
        <v>3.2</v>
      </c>
      <c r="AC1293">
        <v>316</v>
      </c>
      <c r="AD1293">
        <v>0.31647776799999999</v>
      </c>
      <c r="AG1293">
        <v>2867.9570533788901</v>
      </c>
      <c r="AH1293">
        <v>1124786997.09709</v>
      </c>
    </row>
    <row r="1294" spans="27:34">
      <c r="AA1294">
        <v>11.34</v>
      </c>
      <c r="AB1294">
        <v>3.2</v>
      </c>
      <c r="AC1294">
        <v>316</v>
      </c>
      <c r="AD1294">
        <v>0.31647776799999999</v>
      </c>
      <c r="AE1294">
        <v>31</v>
      </c>
      <c r="AG1294">
        <v>3034.2605935561301</v>
      </c>
      <c r="AH1294">
        <v>1139964931.64188</v>
      </c>
    </row>
    <row r="1295" spans="27:34">
      <c r="AA1295">
        <v>11.34</v>
      </c>
      <c r="AB1295">
        <v>3.2</v>
      </c>
      <c r="AC1295">
        <v>316</v>
      </c>
      <c r="AD1295">
        <v>0.31647776799999999</v>
      </c>
      <c r="AG1295">
        <v>3296.3610479295498</v>
      </c>
      <c r="AH1295">
        <v>1155347678.02895</v>
      </c>
    </row>
    <row r="1296" spans="27:34">
      <c r="AA1296">
        <v>11.34</v>
      </c>
      <c r="AB1296">
        <v>3.2</v>
      </c>
      <c r="AC1296">
        <v>316</v>
      </c>
      <c r="AD1296">
        <v>0.31647776799999999</v>
      </c>
      <c r="AF1296">
        <v>39.82</v>
      </c>
    </row>
    <row r="1297" spans="27:34">
      <c r="AA1297">
        <v>11.34</v>
      </c>
      <c r="AB1297">
        <v>3.2</v>
      </c>
      <c r="AC1297">
        <v>316</v>
      </c>
      <c r="AD1297">
        <v>0.31647776799999999</v>
      </c>
    </row>
    <row r="1298" spans="27:34">
      <c r="AA1298">
        <v>0.15</v>
      </c>
      <c r="AB1298">
        <v>4.5999999999999996</v>
      </c>
      <c r="AC1298">
        <v>130</v>
      </c>
      <c r="AD1298">
        <v>0.253902185</v>
      </c>
      <c r="AE1298">
        <v>38</v>
      </c>
      <c r="AG1298">
        <v>2301.3306935659798</v>
      </c>
      <c r="AH1298">
        <v>191501345</v>
      </c>
    </row>
    <row r="1299" spans="27:34">
      <c r="AA1299">
        <v>0.15</v>
      </c>
      <c r="AB1299">
        <v>4.5999999999999996</v>
      </c>
      <c r="AC1299">
        <v>130</v>
      </c>
      <c r="AD1299">
        <v>0.253902185</v>
      </c>
      <c r="AG1299">
        <v>2488.68334769993</v>
      </c>
      <c r="AH1299">
        <v>194263955</v>
      </c>
    </row>
    <row r="1300" spans="27:34">
      <c r="AA1300">
        <v>0.15</v>
      </c>
      <c r="AB1300">
        <v>4.5999999999999996</v>
      </c>
      <c r="AC1300">
        <v>130</v>
      </c>
      <c r="AD1300">
        <v>0.253902185</v>
      </c>
      <c r="AG1300">
        <v>2614.83934549984</v>
      </c>
      <c r="AH1300">
        <v>197013740</v>
      </c>
    </row>
    <row r="1301" spans="27:34">
      <c r="AA1301">
        <v>0.15</v>
      </c>
      <c r="AB1301">
        <v>4.5999999999999996</v>
      </c>
      <c r="AC1301">
        <v>130</v>
      </c>
      <c r="AD1301">
        <v>0.253902185</v>
      </c>
      <c r="AG1301">
        <v>2265.7119673372699</v>
      </c>
      <c r="AH1301">
        <v>199759782</v>
      </c>
    </row>
    <row r="1302" spans="27:34">
      <c r="AA1302">
        <v>0.15</v>
      </c>
      <c r="AB1302">
        <v>4.5999999999999996</v>
      </c>
      <c r="AC1302">
        <v>130</v>
      </c>
      <c r="AD1302">
        <v>0.253902185</v>
      </c>
      <c r="AG1302">
        <v>2285.6034664229101</v>
      </c>
      <c r="AH1302">
        <v>202512990</v>
      </c>
    </row>
    <row r="1303" spans="27:34">
      <c r="AA1303">
        <v>0.15</v>
      </c>
      <c r="AB1303">
        <v>4.5999999999999996</v>
      </c>
      <c r="AC1303">
        <v>130</v>
      </c>
      <c r="AD1303">
        <v>0.253902185</v>
      </c>
      <c r="AE1303">
        <v>44</v>
      </c>
      <c r="AF1303">
        <v>5.6120000000000001</v>
      </c>
      <c r="AG1303">
        <v>2416.9125527763699</v>
      </c>
      <c r="AH1303">
        <v>205280270</v>
      </c>
    </row>
    <row r="1304" spans="27:34">
      <c r="AA1304">
        <v>0.15</v>
      </c>
      <c r="AB1304">
        <v>4.5999999999999996</v>
      </c>
      <c r="AC1304">
        <v>130</v>
      </c>
      <c r="AD1304">
        <v>0.253902185</v>
      </c>
      <c r="AG1304">
        <v>2527.4957644856299</v>
      </c>
      <c r="AH1304">
        <v>208063567</v>
      </c>
    </row>
    <row r="1305" spans="27:34">
      <c r="AA1305">
        <v>0.15</v>
      </c>
      <c r="AB1305">
        <v>4.5999999999999996</v>
      </c>
      <c r="AC1305">
        <v>130</v>
      </c>
      <c r="AD1305">
        <v>0.253902185</v>
      </c>
      <c r="AG1305">
        <v>2648.55383357344</v>
      </c>
      <c r="AH1305">
        <v>210858191</v>
      </c>
    </row>
    <row r="1306" spans="27:34">
      <c r="AA1306">
        <v>0.15</v>
      </c>
      <c r="AB1306">
        <v>4.5999999999999996</v>
      </c>
      <c r="AC1306">
        <v>130</v>
      </c>
      <c r="AD1306">
        <v>0.253902185</v>
      </c>
      <c r="AG1306">
        <v>2797.86190407292</v>
      </c>
      <c r="AH1306">
        <v>213655540</v>
      </c>
    </row>
    <row r="1307" spans="27:34">
      <c r="AA1307">
        <v>0.15</v>
      </c>
      <c r="AB1307">
        <v>4.5999999999999996</v>
      </c>
      <c r="AC1307">
        <v>130</v>
      </c>
      <c r="AD1307">
        <v>0.253902185</v>
      </c>
      <c r="AG1307">
        <v>2982.9949587487999</v>
      </c>
      <c r="AH1307">
        <v>216443240</v>
      </c>
    </row>
    <row r="1308" spans="27:34">
      <c r="AA1308">
        <v>0.15</v>
      </c>
      <c r="AB1308">
        <v>4.5999999999999996</v>
      </c>
      <c r="AC1308">
        <v>130</v>
      </c>
      <c r="AD1308">
        <v>0.253902185</v>
      </c>
      <c r="AE1308">
        <v>49</v>
      </c>
      <c r="AG1308">
        <v>3216.8149781841398</v>
      </c>
      <c r="AH1308">
        <v>219210292</v>
      </c>
    </row>
    <row r="1309" spans="27:34">
      <c r="AA1309">
        <v>0.15</v>
      </c>
      <c r="AB1309">
        <v>4.5999999999999996</v>
      </c>
      <c r="AC1309">
        <v>130</v>
      </c>
      <c r="AD1309">
        <v>0.253902185</v>
      </c>
      <c r="AG1309">
        <v>3460.8418636976198</v>
      </c>
      <c r="AH1309">
        <v>221953678</v>
      </c>
    </row>
    <row r="1310" spans="27:34">
      <c r="AA1310">
        <v>0.15</v>
      </c>
      <c r="AB1310">
        <v>4.5999999999999996</v>
      </c>
      <c r="AC1310">
        <v>130</v>
      </c>
      <c r="AD1310">
        <v>0.253902185</v>
      </c>
      <c r="AG1310">
        <v>3760.53451907305</v>
      </c>
      <c r="AH1310">
        <v>224669595</v>
      </c>
    </row>
    <row r="1311" spans="27:34">
      <c r="AA1311">
        <v>0.15</v>
      </c>
      <c r="AB1311">
        <v>4.5999999999999996</v>
      </c>
      <c r="AC1311">
        <v>130</v>
      </c>
      <c r="AD1311">
        <v>0.253902185</v>
      </c>
      <c r="AE1311">
        <v>52</v>
      </c>
      <c r="AG1311">
        <v>4025.62217028945</v>
      </c>
      <c r="AH1311">
        <v>227345082</v>
      </c>
    </row>
    <row r="1312" spans="27:34">
      <c r="AA1312">
        <v>0.15</v>
      </c>
      <c r="AB1312">
        <v>4.5999999999999996</v>
      </c>
      <c r="AC1312">
        <v>130</v>
      </c>
      <c r="AD1312">
        <v>0.253902185</v>
      </c>
      <c r="AG1312">
        <v>4198.7789031763396</v>
      </c>
      <c r="AH1312">
        <v>229964723</v>
      </c>
    </row>
    <row r="1313" spans="27:34">
      <c r="AA1313">
        <v>0.15</v>
      </c>
      <c r="AB1313">
        <v>4.5999999999999996</v>
      </c>
      <c r="AC1313">
        <v>130</v>
      </c>
      <c r="AD1313">
        <v>0.253902185</v>
      </c>
    </row>
    <row r="1314" spans="27:34">
      <c r="AA1314">
        <v>0.15</v>
      </c>
      <c r="AB1314">
        <v>4.5999999999999996</v>
      </c>
      <c r="AC1314">
        <v>130</v>
      </c>
      <c r="AD1314">
        <v>0.253902185</v>
      </c>
    </row>
    <row r="1315" spans="27:34">
      <c r="AA1315">
        <v>-4.93</v>
      </c>
      <c r="AB1315">
        <v>1.7</v>
      </c>
      <c r="AC1315" t="e">
        <v>#N/A</v>
      </c>
      <c r="AD1315">
        <v>0.106355383</v>
      </c>
      <c r="AE1315">
        <v>83</v>
      </c>
      <c r="AF1315">
        <v>60.36</v>
      </c>
      <c r="AG1315">
        <v>5559.9202352803704</v>
      </c>
      <c r="AH1315">
        <v>58954000</v>
      </c>
    </row>
    <row r="1316" spans="27:34">
      <c r="AA1316">
        <v>-4.93</v>
      </c>
      <c r="AB1316">
        <v>1.7</v>
      </c>
      <c r="AD1316">
        <v>0.106355383</v>
      </c>
      <c r="AG1316">
        <v>5974.7994886842298</v>
      </c>
      <c r="AH1316">
        <v>59879344</v>
      </c>
    </row>
    <row r="1317" spans="27:34">
      <c r="AA1317">
        <v>-4.93</v>
      </c>
      <c r="AB1317">
        <v>1.7</v>
      </c>
      <c r="AD1317">
        <v>0.106355383</v>
      </c>
      <c r="AG1317">
        <v>6191.2809762531997</v>
      </c>
      <c r="AH1317">
        <v>60800910.248866796</v>
      </c>
    </row>
    <row r="1318" spans="27:34">
      <c r="AA1318">
        <v>-4.93</v>
      </c>
      <c r="AB1318">
        <v>1.7</v>
      </c>
      <c r="AD1318">
        <v>0.106355383</v>
      </c>
      <c r="AG1318">
        <v>6323.8807062042497</v>
      </c>
      <c r="AH1318">
        <v>61849186.159377098</v>
      </c>
    </row>
    <row r="1319" spans="27:34">
      <c r="AA1319">
        <v>-4.93</v>
      </c>
      <c r="AB1319">
        <v>1.7</v>
      </c>
      <c r="AD1319">
        <v>0.106355383</v>
      </c>
      <c r="AG1319">
        <v>6431.8547871332603</v>
      </c>
      <c r="AH1319">
        <v>62895335.9311276</v>
      </c>
    </row>
    <row r="1320" spans="27:34">
      <c r="AA1320">
        <v>-4.93</v>
      </c>
      <c r="AB1320">
        <v>1.7</v>
      </c>
      <c r="AD1320">
        <v>0.106355383</v>
      </c>
      <c r="AE1320">
        <v>83</v>
      </c>
      <c r="AF1320">
        <v>65.239999999999995</v>
      </c>
      <c r="AG1320">
        <v>6796.2348294565099</v>
      </c>
      <c r="AH1320">
        <v>63938646.1689509</v>
      </c>
    </row>
    <row r="1321" spans="27:34">
      <c r="AA1321">
        <v>-4.93</v>
      </c>
      <c r="AB1321">
        <v>1.7</v>
      </c>
      <c r="AD1321">
        <v>0.106355383</v>
      </c>
      <c r="AG1321">
        <v>7090.0724342958802</v>
      </c>
      <c r="AH1321">
        <v>64978394.2861128</v>
      </c>
    </row>
    <row r="1322" spans="27:34">
      <c r="AA1322">
        <v>-4.93</v>
      </c>
      <c r="AB1322">
        <v>1.7</v>
      </c>
      <c r="AD1322">
        <v>0.106355383</v>
      </c>
      <c r="AG1322">
        <v>7625.26112449221</v>
      </c>
      <c r="AH1322">
        <v>66013857.353539802</v>
      </c>
    </row>
    <row r="1323" spans="27:34">
      <c r="AA1323">
        <v>-4.93</v>
      </c>
      <c r="AB1323">
        <v>1.7</v>
      </c>
      <c r="AD1323">
        <v>0.106355383</v>
      </c>
      <c r="AG1323">
        <v>8215.58069237979</v>
      </c>
      <c r="AH1323">
        <v>67044288.962886497</v>
      </c>
    </row>
    <row r="1324" spans="27:34">
      <c r="AA1324">
        <v>-4.93</v>
      </c>
      <c r="AB1324">
        <v>1.7</v>
      </c>
      <c r="AD1324">
        <v>0.106355383</v>
      </c>
      <c r="AG1324">
        <v>8744.3389843954901</v>
      </c>
      <c r="AH1324">
        <v>68068943.754034504</v>
      </c>
    </row>
    <row r="1325" spans="27:34">
      <c r="AA1325">
        <v>-4.93</v>
      </c>
      <c r="AB1325">
        <v>1.7</v>
      </c>
      <c r="AD1325">
        <v>0.106355383</v>
      </c>
      <c r="AF1325">
        <v>67.709999999999994</v>
      </c>
      <c r="AG1325">
        <v>9314.3828456876709</v>
      </c>
      <c r="AH1325">
        <v>69087070.461565599</v>
      </c>
    </row>
    <row r="1326" spans="27:34">
      <c r="AA1326">
        <v>-4.93</v>
      </c>
      <c r="AB1326">
        <v>1.7</v>
      </c>
      <c r="AD1326">
        <v>0.106355383</v>
      </c>
      <c r="AG1326">
        <v>10037.3153239856</v>
      </c>
      <c r="AH1326">
        <v>70097912.796595499</v>
      </c>
    </row>
    <row r="1327" spans="27:34">
      <c r="AA1327">
        <v>-4.93</v>
      </c>
      <c r="AB1327">
        <v>1.7</v>
      </c>
      <c r="AD1327">
        <v>0.106355383</v>
      </c>
      <c r="AG1327">
        <v>11048.0813134905</v>
      </c>
      <c r="AH1327">
        <v>71021038.874550104</v>
      </c>
    </row>
    <row r="1328" spans="27:34">
      <c r="AA1328">
        <v>-4.93</v>
      </c>
      <c r="AB1328">
        <v>1.7</v>
      </c>
      <c r="AD1328">
        <v>0.106355383</v>
      </c>
      <c r="AG1328">
        <v>11399.1506999802</v>
      </c>
      <c r="AH1328">
        <v>71956321.687588602</v>
      </c>
    </row>
    <row r="1329" spans="27:34">
      <c r="AA1329">
        <v>-4.93</v>
      </c>
      <c r="AB1329">
        <v>1.7</v>
      </c>
      <c r="AD1329">
        <v>0.106355383</v>
      </c>
      <c r="AG1329">
        <v>11558.3826278546</v>
      </c>
      <c r="AH1329">
        <v>72903921.328911006</v>
      </c>
    </row>
    <row r="1330" spans="27:34">
      <c r="AA1330">
        <v>-4.93</v>
      </c>
      <c r="AB1330">
        <v>1.7</v>
      </c>
      <c r="AD1330">
        <v>0.106355383</v>
      </c>
    </row>
    <row r="1331" spans="27:34">
      <c r="AA1331">
        <v>-4.93</v>
      </c>
      <c r="AB1331">
        <v>1.7</v>
      </c>
      <c r="AD1331">
        <v>0.106355383</v>
      </c>
    </row>
    <row r="1332" spans="27:34">
      <c r="AA1332">
        <v>-23.72</v>
      </c>
      <c r="AB1332">
        <v>2.2999999999999998</v>
      </c>
      <c r="AC1332">
        <v>383</v>
      </c>
      <c r="AD1332">
        <v>0.14749780500000001</v>
      </c>
      <c r="AE1332">
        <v>67</v>
      </c>
      <c r="AF1332">
        <v>71.930000000000007</v>
      </c>
      <c r="AH1332">
        <v>21587514</v>
      </c>
    </row>
    <row r="1333" spans="27:34">
      <c r="AA1333">
        <v>-23.72</v>
      </c>
      <c r="AB1333">
        <v>2.2999999999999998</v>
      </c>
      <c r="AC1333">
        <v>383</v>
      </c>
      <c r="AD1333">
        <v>0.14749780500000001</v>
      </c>
      <c r="AH1333">
        <v>22249811.921172298</v>
      </c>
    </row>
    <row r="1334" spans="27:34">
      <c r="AA1334">
        <v>-23.72</v>
      </c>
      <c r="AB1334">
        <v>2.2999999999999998</v>
      </c>
      <c r="AC1334">
        <v>383</v>
      </c>
      <c r="AD1334">
        <v>0.14749780500000001</v>
      </c>
      <c r="AG1334">
        <v>2569.2633158495601</v>
      </c>
      <c r="AH1334">
        <v>22932428.927552201</v>
      </c>
    </row>
    <row r="1335" spans="27:34">
      <c r="AA1335">
        <v>-23.72</v>
      </c>
      <c r="AB1335">
        <v>2.2999999999999998</v>
      </c>
      <c r="AC1335">
        <v>383</v>
      </c>
      <c r="AD1335">
        <v>0.14749780500000001</v>
      </c>
      <c r="AG1335">
        <v>3398.2852002494801</v>
      </c>
      <c r="AH1335">
        <v>23635988.4020776</v>
      </c>
    </row>
    <row r="1336" spans="27:34">
      <c r="AA1336">
        <v>-23.72</v>
      </c>
      <c r="AB1336">
        <v>2.2999999999999998</v>
      </c>
      <c r="AC1336">
        <v>383</v>
      </c>
      <c r="AD1336">
        <v>0.14749780500000001</v>
      </c>
      <c r="AG1336">
        <v>4175.1242251877802</v>
      </c>
      <c r="AH1336">
        <v>24361132.852871999</v>
      </c>
    </row>
    <row r="1337" spans="27:34">
      <c r="AA1337">
        <v>-23.72</v>
      </c>
      <c r="AB1337">
        <v>2.2999999999999998</v>
      </c>
      <c r="AC1337">
        <v>383</v>
      </c>
      <c r="AD1337">
        <v>0.14749780500000001</v>
      </c>
      <c r="AE1337">
        <v>69</v>
      </c>
      <c r="AF1337">
        <v>87.28</v>
      </c>
      <c r="AG1337">
        <v>3960.5338819273602</v>
      </c>
      <c r="AH1337">
        <v>25108524.5</v>
      </c>
    </row>
    <row r="1338" spans="27:34">
      <c r="AA1338">
        <v>-23.72</v>
      </c>
      <c r="AB1338">
        <v>2.2999999999999998</v>
      </c>
      <c r="AC1338">
        <v>383</v>
      </c>
      <c r="AD1338">
        <v>0.14749780500000001</v>
      </c>
      <c r="AG1338">
        <v>3688.9531029506902</v>
      </c>
      <c r="AH1338">
        <v>25748668.575701699</v>
      </c>
    </row>
    <row r="1339" spans="27:34">
      <c r="AA1339">
        <v>-23.72</v>
      </c>
      <c r="AB1339">
        <v>2.2999999999999998</v>
      </c>
      <c r="AC1339">
        <v>383</v>
      </c>
      <c r="AD1339">
        <v>0.14749780500000001</v>
      </c>
      <c r="AG1339">
        <v>3370.5376171395401</v>
      </c>
      <c r="AH1339">
        <v>26405133.181813501</v>
      </c>
    </row>
    <row r="1340" spans="27:34">
      <c r="AA1340">
        <v>-23.72</v>
      </c>
      <c r="AB1340">
        <v>2.2999999999999998</v>
      </c>
      <c r="AC1340">
        <v>383</v>
      </c>
      <c r="AD1340">
        <v>0.14749780500000001</v>
      </c>
      <c r="AG1340">
        <v>1970.90149494037</v>
      </c>
      <c r="AH1340">
        <v>27078334.4117167</v>
      </c>
    </row>
    <row r="1341" spans="27:34">
      <c r="AA1341">
        <v>-23.72</v>
      </c>
      <c r="AB1341">
        <v>2.2999999999999998</v>
      </c>
      <c r="AC1341">
        <v>383</v>
      </c>
      <c r="AD1341">
        <v>0.14749780500000001</v>
      </c>
      <c r="AG1341">
        <v>2895.3968117212598</v>
      </c>
      <c r="AH1341">
        <v>27768698.967130098</v>
      </c>
    </row>
    <row r="1342" spans="27:34">
      <c r="AA1342">
        <v>-23.72</v>
      </c>
      <c r="AB1342">
        <v>2.2999999999999998</v>
      </c>
      <c r="AC1342">
        <v>383</v>
      </c>
      <c r="AD1342">
        <v>0.14749780500000001</v>
      </c>
      <c r="AE1342">
        <v>71</v>
      </c>
      <c r="AG1342">
        <v>2897.1419225751001</v>
      </c>
      <c r="AH1342">
        <v>28476664.428571399</v>
      </c>
    </row>
    <row r="1343" spans="27:34">
      <c r="AA1343">
        <v>-23.72</v>
      </c>
      <c r="AB1343">
        <v>2.2999999999999998</v>
      </c>
      <c r="AC1343">
        <v>383</v>
      </c>
      <c r="AD1343">
        <v>0.14749780500000001</v>
      </c>
      <c r="AG1343">
        <v>3097.8424292004502</v>
      </c>
      <c r="AH1343">
        <v>29202819.3715</v>
      </c>
    </row>
    <row r="1344" spans="27:34">
      <c r="AA1344">
        <v>-23.72</v>
      </c>
      <c r="AB1344">
        <v>2.2999999999999998</v>
      </c>
      <c r="AC1344">
        <v>383</v>
      </c>
      <c r="AD1344">
        <v>0.14749780500000001</v>
      </c>
      <c r="AG1344">
        <v>3171.1903787229398</v>
      </c>
      <c r="AH1344">
        <v>29947491.265473299</v>
      </c>
    </row>
    <row r="1345" spans="27:34">
      <c r="AA1345">
        <v>-23.72</v>
      </c>
      <c r="AB1345">
        <v>2.2999999999999998</v>
      </c>
      <c r="AC1345">
        <v>383</v>
      </c>
      <c r="AD1345">
        <v>0.14749780500000001</v>
      </c>
      <c r="AE1345">
        <v>73</v>
      </c>
      <c r="AG1345">
        <v>3460.1322880173502</v>
      </c>
      <c r="AH1345">
        <v>30711152.2927428</v>
      </c>
    </row>
    <row r="1346" spans="27:34">
      <c r="AA1346">
        <v>-23.72</v>
      </c>
      <c r="AB1346">
        <v>2.2999999999999998</v>
      </c>
      <c r="AC1346">
        <v>383</v>
      </c>
      <c r="AD1346">
        <v>0.14749780500000001</v>
      </c>
      <c r="AG1346">
        <v>3547.9989718767401</v>
      </c>
      <c r="AH1346">
        <v>31494286.676207799</v>
      </c>
    </row>
    <row r="1347" spans="27:34">
      <c r="AA1347">
        <v>-23.72</v>
      </c>
      <c r="AB1347">
        <v>2.2999999999999998</v>
      </c>
      <c r="AC1347">
        <v>383</v>
      </c>
      <c r="AD1347">
        <v>0.14749780500000001</v>
      </c>
    </row>
    <row r="1348" spans="27:34">
      <c r="AA1348">
        <v>-23.72</v>
      </c>
      <c r="AB1348">
        <v>2.2999999999999998</v>
      </c>
      <c r="AC1348">
        <v>383</v>
      </c>
      <c r="AD1348">
        <v>0.14749780500000001</v>
      </c>
    </row>
    <row r="1349" spans="27:34">
      <c r="AA1349">
        <v>1.88</v>
      </c>
      <c r="AB1349">
        <v>1.3</v>
      </c>
      <c r="AC1349" t="e">
        <v>#N/A</v>
      </c>
      <c r="AD1349">
        <v>6.4876956999999999E-2</v>
      </c>
      <c r="AE1349">
        <v>99</v>
      </c>
      <c r="AG1349">
        <v>17863.7310449695</v>
      </c>
      <c r="AH1349">
        <v>3608850</v>
      </c>
    </row>
    <row r="1350" spans="27:34">
      <c r="AA1350">
        <v>1.88</v>
      </c>
      <c r="AB1350">
        <v>1.3</v>
      </c>
      <c r="AD1350">
        <v>6.4876956999999999E-2</v>
      </c>
      <c r="AG1350">
        <v>19490.0569857831</v>
      </c>
      <c r="AH1350">
        <v>3637550</v>
      </c>
    </row>
    <row r="1351" spans="27:34">
      <c r="AA1351">
        <v>1.88</v>
      </c>
      <c r="AB1351">
        <v>1.3</v>
      </c>
      <c r="AD1351">
        <v>6.4876956999999999E-2</v>
      </c>
      <c r="AG1351">
        <v>21662.469188396601</v>
      </c>
      <c r="AH1351">
        <v>3674300</v>
      </c>
    </row>
    <row r="1352" spans="27:34">
      <c r="AA1352">
        <v>1.88</v>
      </c>
      <c r="AB1352">
        <v>1.3</v>
      </c>
      <c r="AD1352">
        <v>6.4876956999999999E-2</v>
      </c>
      <c r="AG1352">
        <v>23981.658176228</v>
      </c>
      <c r="AH1352">
        <v>3712900</v>
      </c>
    </row>
    <row r="1353" spans="27:34">
      <c r="AA1353">
        <v>1.88</v>
      </c>
      <c r="AB1353">
        <v>1.3</v>
      </c>
      <c r="AD1353">
        <v>6.4876956999999999E-2</v>
      </c>
      <c r="AG1353">
        <v>25884.359464581499</v>
      </c>
      <c r="AH1353">
        <v>3755000</v>
      </c>
    </row>
    <row r="1354" spans="27:34">
      <c r="AA1354">
        <v>1.88</v>
      </c>
      <c r="AB1354">
        <v>1.3</v>
      </c>
      <c r="AD1354">
        <v>6.4876956999999999E-2</v>
      </c>
      <c r="AE1354">
        <v>99</v>
      </c>
      <c r="AG1354">
        <v>28635.2258100402</v>
      </c>
      <c r="AH1354">
        <v>3805400</v>
      </c>
    </row>
    <row r="1355" spans="27:34">
      <c r="AA1355">
        <v>1.88</v>
      </c>
      <c r="AB1355">
        <v>1.3</v>
      </c>
      <c r="AD1355">
        <v>6.4876956999999999E-2</v>
      </c>
      <c r="AG1355">
        <v>30450.1217299944</v>
      </c>
      <c r="AH1355">
        <v>3866450</v>
      </c>
    </row>
    <row r="1356" spans="27:34">
      <c r="AA1356">
        <v>1.88</v>
      </c>
      <c r="AB1356">
        <v>1.3</v>
      </c>
      <c r="AD1356">
        <v>6.4876956999999999E-2</v>
      </c>
      <c r="AG1356">
        <v>33000.725282556799</v>
      </c>
      <c r="AH1356">
        <v>3931800</v>
      </c>
    </row>
    <row r="1357" spans="27:34">
      <c r="AA1357">
        <v>1.88</v>
      </c>
      <c r="AB1357">
        <v>1.3</v>
      </c>
      <c r="AD1357">
        <v>6.4876956999999999E-2</v>
      </c>
      <c r="AG1357">
        <v>34476.088396852901</v>
      </c>
      <c r="AH1357">
        <v>3995700</v>
      </c>
    </row>
    <row r="1358" spans="27:34">
      <c r="AA1358">
        <v>1.88</v>
      </c>
      <c r="AB1358">
        <v>1.3</v>
      </c>
      <c r="AD1358">
        <v>6.4876956999999999E-2</v>
      </c>
      <c r="AG1358">
        <v>36441.269529828402</v>
      </c>
      <c r="AH1358">
        <v>4068450</v>
      </c>
    </row>
    <row r="1359" spans="27:34">
      <c r="AA1359">
        <v>1.88</v>
      </c>
      <c r="AB1359">
        <v>1.3</v>
      </c>
      <c r="AD1359">
        <v>6.4876956999999999E-2</v>
      </c>
      <c r="AE1359">
        <v>99</v>
      </c>
      <c r="AG1359">
        <v>38577.825124807503</v>
      </c>
      <c r="AH1359">
        <v>4159100</v>
      </c>
    </row>
    <row r="1360" spans="27:34">
      <c r="AA1360">
        <v>1.88</v>
      </c>
      <c r="AB1360">
        <v>1.3</v>
      </c>
      <c r="AD1360">
        <v>6.4876956999999999E-2</v>
      </c>
      <c r="AG1360">
        <v>42131.974763888204</v>
      </c>
      <c r="AH1360">
        <v>4260773</v>
      </c>
    </row>
    <row r="1361" spans="27:34">
      <c r="AA1361">
        <v>1.88</v>
      </c>
      <c r="AB1361">
        <v>1.3</v>
      </c>
      <c r="AD1361">
        <v>6.4876956999999999E-2</v>
      </c>
      <c r="AG1361">
        <v>45472.226572213498</v>
      </c>
      <c r="AH1361">
        <v>4356931</v>
      </c>
    </row>
    <row r="1362" spans="27:34">
      <c r="AA1362">
        <v>1.88</v>
      </c>
      <c r="AB1362">
        <v>1.3</v>
      </c>
      <c r="AD1362">
        <v>6.4876956999999999E-2</v>
      </c>
      <c r="AE1362">
        <v>99</v>
      </c>
      <c r="AG1362">
        <v>43244.685351429798</v>
      </c>
      <c r="AH1362">
        <v>4425675</v>
      </c>
    </row>
    <row r="1363" spans="27:34">
      <c r="AA1363">
        <v>1.88</v>
      </c>
      <c r="AB1363">
        <v>1.3</v>
      </c>
      <c r="AD1363">
        <v>6.4876956999999999E-2</v>
      </c>
      <c r="AG1363">
        <v>40697.4622535421</v>
      </c>
      <c r="AH1363">
        <v>4450446</v>
      </c>
    </row>
    <row r="1364" spans="27:34">
      <c r="AA1364">
        <v>1.88</v>
      </c>
      <c r="AB1364">
        <v>1.3</v>
      </c>
      <c r="AD1364">
        <v>6.4876956999999999E-2</v>
      </c>
    </row>
    <row r="1365" spans="27:34">
      <c r="AA1365">
        <v>1.88</v>
      </c>
      <c r="AB1365">
        <v>1.3</v>
      </c>
      <c r="AD1365">
        <v>6.4876956999999999E-2</v>
      </c>
    </row>
    <row r="1366" spans="27:34">
      <c r="AA1366">
        <v>-12.64</v>
      </c>
      <c r="AB1366">
        <v>2.2999999999999998</v>
      </c>
      <c r="AC1366" t="e">
        <v>#N/A</v>
      </c>
      <c r="AD1366">
        <v>7.9081632999999998E-2</v>
      </c>
      <c r="AE1366">
        <v>100</v>
      </c>
      <c r="AG1366">
        <v>18905.1152387039</v>
      </c>
      <c r="AH1366">
        <v>5545000</v>
      </c>
    </row>
    <row r="1367" spans="27:34">
      <c r="AA1367">
        <v>-12.64</v>
      </c>
      <c r="AB1367">
        <v>2.2999999999999998</v>
      </c>
      <c r="AD1367">
        <v>7.9081632999999998E-2</v>
      </c>
      <c r="AG1367">
        <v>19838.474815586502</v>
      </c>
      <c r="AH1367">
        <v>5692000</v>
      </c>
    </row>
    <row r="1368" spans="27:34">
      <c r="AA1368">
        <v>-12.64</v>
      </c>
      <c r="AB1368">
        <v>2.2999999999999998</v>
      </c>
      <c r="AD1368">
        <v>7.9081632999999998E-2</v>
      </c>
      <c r="AG1368">
        <v>20280.268562980698</v>
      </c>
      <c r="AH1368">
        <v>5836000</v>
      </c>
    </row>
    <row r="1369" spans="27:34">
      <c r="AA1369">
        <v>-12.64</v>
      </c>
      <c r="AB1369">
        <v>2.2999999999999998</v>
      </c>
      <c r="AD1369">
        <v>7.9081632999999998E-2</v>
      </c>
      <c r="AG1369">
        <v>20903.763793294998</v>
      </c>
      <c r="AH1369">
        <v>5971000</v>
      </c>
    </row>
    <row r="1370" spans="27:34">
      <c r="AA1370">
        <v>-12.64</v>
      </c>
      <c r="AB1370">
        <v>2.2999999999999998</v>
      </c>
      <c r="AD1370">
        <v>7.9081632999999998E-2</v>
      </c>
      <c r="AG1370">
        <v>21365.956123011201</v>
      </c>
      <c r="AH1370">
        <v>6125000</v>
      </c>
    </row>
    <row r="1371" spans="27:34">
      <c r="AA1371">
        <v>-12.64</v>
      </c>
      <c r="AB1371">
        <v>2.2999999999999998</v>
      </c>
      <c r="AD1371">
        <v>7.9081632999999998E-2</v>
      </c>
      <c r="AE1371">
        <v>100</v>
      </c>
      <c r="AF1371">
        <v>101.4</v>
      </c>
      <c r="AG1371">
        <v>23508.932878167499</v>
      </c>
      <c r="AH1371">
        <v>6289000</v>
      </c>
    </row>
    <row r="1372" spans="27:34">
      <c r="AA1372">
        <v>-12.64</v>
      </c>
      <c r="AB1372">
        <v>2.2999999999999998</v>
      </c>
      <c r="AD1372">
        <v>7.9081632999999998E-2</v>
      </c>
      <c r="AG1372">
        <v>23476.9497666963</v>
      </c>
      <c r="AH1372">
        <v>6439000</v>
      </c>
    </row>
    <row r="1373" spans="27:34">
      <c r="AA1373">
        <v>-12.64</v>
      </c>
      <c r="AB1373">
        <v>2.2999999999999998</v>
      </c>
      <c r="AD1373">
        <v>7.9081632999999998E-2</v>
      </c>
      <c r="AG1373">
        <v>23535.168291654401</v>
      </c>
      <c r="AH1373">
        <v>6570000</v>
      </c>
    </row>
    <row r="1374" spans="27:34">
      <c r="AA1374">
        <v>-12.64</v>
      </c>
      <c r="AB1374">
        <v>2.2999999999999998</v>
      </c>
      <c r="AD1374">
        <v>7.9081632999999998E-2</v>
      </c>
      <c r="AG1374">
        <v>22303.265804482198</v>
      </c>
      <c r="AH1374">
        <v>6689700</v>
      </c>
    </row>
    <row r="1375" spans="27:34">
      <c r="AA1375">
        <v>-12.64</v>
      </c>
      <c r="AB1375">
        <v>2.2999999999999998</v>
      </c>
      <c r="AD1375">
        <v>7.9081632999999998E-2</v>
      </c>
      <c r="AG1375">
        <v>23645.229578013299</v>
      </c>
      <c r="AH1375">
        <v>6809000</v>
      </c>
    </row>
    <row r="1376" spans="27:34">
      <c r="AA1376">
        <v>-12.64</v>
      </c>
      <c r="AB1376">
        <v>2.2999999999999998</v>
      </c>
      <c r="AD1376">
        <v>7.9081632999999998E-2</v>
      </c>
      <c r="AE1376">
        <v>100</v>
      </c>
      <c r="AF1376">
        <v>101.9</v>
      </c>
      <c r="AG1376">
        <v>23390.111789903502</v>
      </c>
      <c r="AH1376">
        <v>6930100</v>
      </c>
    </row>
    <row r="1377" spans="27:34">
      <c r="AA1377">
        <v>-12.64</v>
      </c>
      <c r="AB1377">
        <v>2.2999999999999998</v>
      </c>
      <c r="AD1377">
        <v>7.9081632999999998E-2</v>
      </c>
      <c r="AG1377">
        <v>24900.0638717867</v>
      </c>
      <c r="AH1377">
        <v>7053700</v>
      </c>
    </row>
    <row r="1378" spans="27:34">
      <c r="AA1378">
        <v>-12.64</v>
      </c>
      <c r="AB1378">
        <v>2.2999999999999998</v>
      </c>
      <c r="AD1378">
        <v>7.9081632999999998E-2</v>
      </c>
      <c r="AG1378">
        <v>26424.136832475699</v>
      </c>
      <c r="AH1378">
        <v>7180100</v>
      </c>
    </row>
    <row r="1379" spans="27:34">
      <c r="AA1379">
        <v>-12.64</v>
      </c>
      <c r="AB1379">
        <v>2.2999999999999998</v>
      </c>
      <c r="AD1379">
        <v>7.9081632999999998E-2</v>
      </c>
      <c r="AE1379">
        <v>100</v>
      </c>
      <c r="AG1379">
        <v>27651.796365390001</v>
      </c>
      <c r="AH1379">
        <v>7308800</v>
      </c>
    </row>
    <row r="1380" spans="27:34">
      <c r="AA1380">
        <v>-12.64</v>
      </c>
      <c r="AB1380">
        <v>2.2999999999999998</v>
      </c>
      <c r="AD1380">
        <v>7.9081632999999998E-2</v>
      </c>
      <c r="AG1380">
        <v>27655.939891041398</v>
      </c>
      <c r="AH1380">
        <v>7441700</v>
      </c>
    </row>
    <row r="1381" spans="27:34">
      <c r="AA1381">
        <v>-12.64</v>
      </c>
      <c r="AB1381">
        <v>2.2999999999999998</v>
      </c>
      <c r="AD1381">
        <v>7.9081632999999998E-2</v>
      </c>
    </row>
    <row r="1382" spans="27:34">
      <c r="AA1382">
        <v>-12.64</v>
      </c>
      <c r="AB1382">
        <v>2.2999999999999998</v>
      </c>
      <c r="AD1382">
        <v>7.9081632999999998E-2</v>
      </c>
    </row>
    <row r="1383" spans="27:34">
      <c r="AA1383">
        <v>-8.02</v>
      </c>
      <c r="AB1383">
        <v>1.4</v>
      </c>
      <c r="AC1383" t="e">
        <v>#N/A</v>
      </c>
      <c r="AD1383">
        <v>4.1775457000000002E-2</v>
      </c>
      <c r="AG1383">
        <v>21103.593345915298</v>
      </c>
      <c r="AH1383">
        <v>56846100</v>
      </c>
    </row>
    <row r="1384" spans="27:34">
      <c r="AA1384">
        <v>-8.02</v>
      </c>
      <c r="AB1384">
        <v>1.4</v>
      </c>
      <c r="AD1384">
        <v>4.1775457000000002E-2</v>
      </c>
      <c r="AG1384">
        <v>21798.8795198925</v>
      </c>
      <c r="AH1384">
        <v>56862800</v>
      </c>
    </row>
    <row r="1385" spans="27:34">
      <c r="AA1385">
        <v>-8.02</v>
      </c>
      <c r="AB1385">
        <v>1.4</v>
      </c>
      <c r="AD1385">
        <v>4.1775457000000002E-2</v>
      </c>
      <c r="AG1385">
        <v>22578.488212108099</v>
      </c>
      <c r="AH1385">
        <v>56893800</v>
      </c>
    </row>
    <row r="1386" spans="27:34">
      <c r="AA1386">
        <v>-8.02</v>
      </c>
      <c r="AB1386">
        <v>1.4</v>
      </c>
      <c r="AD1386">
        <v>4.1775457000000002E-2</v>
      </c>
      <c r="AG1386">
        <v>23723.305537170501</v>
      </c>
      <c r="AH1386">
        <v>56910950</v>
      </c>
    </row>
    <row r="1387" spans="27:34">
      <c r="AA1387">
        <v>-8.02</v>
      </c>
      <c r="AB1387">
        <v>1.4</v>
      </c>
      <c r="AD1387">
        <v>4.1775457000000002E-2</v>
      </c>
      <c r="AG1387">
        <v>24194.2083578813</v>
      </c>
      <c r="AH1387">
        <v>56921550</v>
      </c>
    </row>
    <row r="1388" spans="27:34">
      <c r="AA1388">
        <v>-8.02</v>
      </c>
      <c r="AB1388">
        <v>1.4</v>
      </c>
      <c r="AD1388">
        <v>4.1775457000000002E-2</v>
      </c>
      <c r="AF1388">
        <v>23.69</v>
      </c>
      <c r="AG1388">
        <v>25591.424371587302</v>
      </c>
      <c r="AH1388">
        <v>56948600</v>
      </c>
    </row>
    <row r="1389" spans="27:34">
      <c r="AA1389">
        <v>-8.02</v>
      </c>
      <c r="AB1389">
        <v>1.4</v>
      </c>
      <c r="AD1389">
        <v>4.1775457000000002E-2</v>
      </c>
      <c r="AG1389">
        <v>27125.763601963099</v>
      </c>
      <c r="AH1389">
        <v>56980700</v>
      </c>
    </row>
    <row r="1390" spans="27:34">
      <c r="AA1390">
        <v>-8.02</v>
      </c>
      <c r="AB1390">
        <v>1.4</v>
      </c>
      <c r="AD1390">
        <v>4.1775457000000002E-2</v>
      </c>
      <c r="AG1390">
        <v>26803.970192759702</v>
      </c>
      <c r="AH1390">
        <v>57157400</v>
      </c>
    </row>
    <row r="1391" spans="27:34">
      <c r="AA1391">
        <v>-8.02</v>
      </c>
      <c r="AB1391">
        <v>1.4</v>
      </c>
      <c r="AD1391">
        <v>4.1775457000000002E-2</v>
      </c>
      <c r="AG1391">
        <v>27137.560090718402</v>
      </c>
      <c r="AH1391">
        <v>57604650</v>
      </c>
    </row>
    <row r="1392" spans="27:34">
      <c r="AA1392">
        <v>-8.02</v>
      </c>
      <c r="AB1392">
        <v>1.4</v>
      </c>
      <c r="AD1392">
        <v>4.1775457000000002E-2</v>
      </c>
      <c r="AG1392">
        <v>27416.0961888321</v>
      </c>
      <c r="AH1392">
        <v>58175300</v>
      </c>
    </row>
    <row r="1393" spans="27:34">
      <c r="AA1393">
        <v>-8.02</v>
      </c>
      <c r="AB1393">
        <v>1.4</v>
      </c>
      <c r="AD1393">
        <v>4.1775457000000002E-2</v>
      </c>
      <c r="AG1393">
        <v>28144.013910883699</v>
      </c>
      <c r="AH1393">
        <v>58607050</v>
      </c>
    </row>
    <row r="1394" spans="27:34">
      <c r="AA1394">
        <v>-8.02</v>
      </c>
      <c r="AB1394">
        <v>1.4</v>
      </c>
      <c r="AD1394">
        <v>4.1775457000000002E-2</v>
      </c>
      <c r="AG1394">
        <v>30224.247440769199</v>
      </c>
      <c r="AH1394">
        <v>58941499</v>
      </c>
    </row>
    <row r="1395" spans="27:34">
      <c r="AA1395">
        <v>-8.02</v>
      </c>
      <c r="AB1395">
        <v>1.4</v>
      </c>
      <c r="AD1395">
        <v>4.1775457000000002E-2</v>
      </c>
      <c r="AG1395">
        <v>31897.749338959198</v>
      </c>
      <c r="AH1395">
        <v>59375289</v>
      </c>
    </row>
    <row r="1396" spans="27:34">
      <c r="AA1396">
        <v>-8.02</v>
      </c>
      <c r="AB1396">
        <v>1.4</v>
      </c>
      <c r="AD1396">
        <v>4.1775457000000002E-2</v>
      </c>
      <c r="AG1396">
        <v>33270.758168006498</v>
      </c>
      <c r="AH1396">
        <v>59832179</v>
      </c>
    </row>
    <row r="1397" spans="27:34">
      <c r="AA1397">
        <v>-8.02</v>
      </c>
      <c r="AB1397">
        <v>1.4</v>
      </c>
      <c r="AD1397">
        <v>4.1775457000000002E-2</v>
      </c>
      <c r="AG1397">
        <v>32429.991740697398</v>
      </c>
      <c r="AH1397">
        <v>60221211</v>
      </c>
    </row>
    <row r="1398" spans="27:34">
      <c r="AA1398">
        <v>-8.02</v>
      </c>
      <c r="AB1398">
        <v>1.4</v>
      </c>
      <c r="AD1398">
        <v>4.1775457000000002E-2</v>
      </c>
    </row>
    <row r="1399" spans="27:34">
      <c r="AA1399">
        <v>-8.02</v>
      </c>
      <c r="AB1399">
        <v>1.4</v>
      </c>
      <c r="AD1399">
        <v>4.1775457000000002E-2</v>
      </c>
    </row>
    <row r="1400" spans="27:34">
      <c r="AA1400">
        <v>-7.19</v>
      </c>
      <c r="AB1400">
        <v>4.3</v>
      </c>
      <c r="AC1400">
        <v>47</v>
      </c>
      <c r="AD1400">
        <v>0.20811518300000001</v>
      </c>
      <c r="AE1400">
        <v>82</v>
      </c>
      <c r="AF1400">
        <v>9.5649999999999995</v>
      </c>
      <c r="AG1400">
        <v>5656.5223836441201</v>
      </c>
      <c r="AH1400">
        <v>2480000</v>
      </c>
    </row>
    <row r="1401" spans="27:34">
      <c r="AA1401">
        <v>-7.19</v>
      </c>
      <c r="AB1401">
        <v>4.3</v>
      </c>
      <c r="AC1401">
        <v>47</v>
      </c>
      <c r="AD1401">
        <v>0.20811518300000001</v>
      </c>
      <c r="AG1401">
        <v>5689.48017547777</v>
      </c>
      <c r="AH1401">
        <v>2509923.42512675</v>
      </c>
    </row>
    <row r="1402" spans="27:34">
      <c r="AA1402">
        <v>-7.19</v>
      </c>
      <c r="AB1402">
        <v>4.3</v>
      </c>
      <c r="AC1402">
        <v>47</v>
      </c>
      <c r="AD1402">
        <v>0.20811518300000001</v>
      </c>
      <c r="AG1402">
        <v>5669.7873604935003</v>
      </c>
      <c r="AH1402">
        <v>2534068.6750757201</v>
      </c>
    </row>
    <row r="1403" spans="27:34">
      <c r="AA1403">
        <v>-7.19</v>
      </c>
      <c r="AB1403">
        <v>4.3</v>
      </c>
      <c r="AC1403">
        <v>47</v>
      </c>
      <c r="AD1403">
        <v>0.20811518300000001</v>
      </c>
      <c r="AG1403">
        <v>5550.3165168994601</v>
      </c>
      <c r="AH1403">
        <v>2556780.0511580999</v>
      </c>
    </row>
    <row r="1404" spans="27:34">
      <c r="AA1404">
        <v>-7.19</v>
      </c>
      <c r="AB1404">
        <v>4.3</v>
      </c>
      <c r="AC1404">
        <v>47</v>
      </c>
      <c r="AD1404">
        <v>0.20811518300000001</v>
      </c>
      <c r="AG1404">
        <v>5651.9561253791999</v>
      </c>
      <c r="AH1404">
        <v>2574289.3640770102</v>
      </c>
    </row>
    <row r="1405" spans="27:34">
      <c r="AA1405">
        <v>-7.19</v>
      </c>
      <c r="AB1405">
        <v>4.3</v>
      </c>
      <c r="AC1405">
        <v>47</v>
      </c>
      <c r="AD1405">
        <v>0.20811518300000001</v>
      </c>
      <c r="AE1405">
        <v>82</v>
      </c>
      <c r="AF1405">
        <v>6.2119999999999997</v>
      </c>
      <c r="AG1405">
        <v>5791.0127125418403</v>
      </c>
      <c r="AH1405">
        <v>2589388.5513765598</v>
      </c>
    </row>
    <row r="1406" spans="27:34">
      <c r="AA1406">
        <v>-7.19</v>
      </c>
      <c r="AB1406">
        <v>4.3</v>
      </c>
      <c r="AC1406">
        <v>47</v>
      </c>
      <c r="AD1406">
        <v>0.20811518300000001</v>
      </c>
      <c r="AG1406">
        <v>5966.4690380275297</v>
      </c>
      <c r="AH1406">
        <v>2604788.6190629802</v>
      </c>
    </row>
    <row r="1407" spans="27:34">
      <c r="AA1407">
        <v>-7.19</v>
      </c>
      <c r="AB1407">
        <v>4.3</v>
      </c>
      <c r="AC1407">
        <v>47</v>
      </c>
      <c r="AD1407">
        <v>0.20811518300000001</v>
      </c>
      <c r="AE1407">
        <v>80</v>
      </c>
      <c r="AG1407">
        <v>6092.5177434986199</v>
      </c>
      <c r="AH1407">
        <v>2617495.2244464499</v>
      </c>
    </row>
    <row r="1408" spans="27:34">
      <c r="AA1408">
        <v>-7.19</v>
      </c>
      <c r="AB1408">
        <v>4.3</v>
      </c>
      <c r="AC1408">
        <v>47</v>
      </c>
      <c r="AD1408">
        <v>0.20811518300000001</v>
      </c>
      <c r="AG1408">
        <v>6516.6261181667196</v>
      </c>
      <c r="AH1408">
        <v>2625700</v>
      </c>
    </row>
    <row r="1409" spans="27:34">
      <c r="AA1409">
        <v>-7.19</v>
      </c>
      <c r="AB1409">
        <v>4.3</v>
      </c>
      <c r="AC1409">
        <v>47</v>
      </c>
      <c r="AD1409">
        <v>0.20811518300000001</v>
      </c>
      <c r="AE1409">
        <v>80</v>
      </c>
      <c r="AG1409">
        <v>6762.7417132121</v>
      </c>
      <c r="AH1409">
        <v>2638100</v>
      </c>
    </row>
    <row r="1410" spans="27:34">
      <c r="AA1410">
        <v>-7.19</v>
      </c>
      <c r="AB1410">
        <v>4.3</v>
      </c>
      <c r="AC1410">
        <v>47</v>
      </c>
      <c r="AD1410">
        <v>0.20811518300000001</v>
      </c>
      <c r="AE1410">
        <v>83</v>
      </c>
      <c r="AG1410">
        <v>7027.4444450913597</v>
      </c>
      <c r="AH1410">
        <v>2650400</v>
      </c>
    </row>
    <row r="1411" spans="27:34">
      <c r="AA1411">
        <v>-7.19</v>
      </c>
      <c r="AB1411">
        <v>4.3</v>
      </c>
      <c r="AC1411">
        <v>47</v>
      </c>
      <c r="AD1411">
        <v>0.20811518300000001</v>
      </c>
      <c r="AG1411">
        <v>7417.13598834614</v>
      </c>
      <c r="AH1411">
        <v>2663100</v>
      </c>
    </row>
    <row r="1412" spans="27:34">
      <c r="AA1412">
        <v>-7.19</v>
      </c>
      <c r="AB1412">
        <v>4.3</v>
      </c>
      <c r="AC1412">
        <v>47</v>
      </c>
      <c r="AD1412">
        <v>0.20811518300000001</v>
      </c>
      <c r="AG1412">
        <v>7743.97166473162</v>
      </c>
      <c r="AH1412">
        <v>2675800</v>
      </c>
    </row>
    <row r="1413" spans="27:34">
      <c r="AA1413">
        <v>-7.19</v>
      </c>
      <c r="AB1413">
        <v>4.3</v>
      </c>
      <c r="AC1413">
        <v>47</v>
      </c>
      <c r="AD1413">
        <v>0.20811518300000001</v>
      </c>
      <c r="AE1413">
        <v>83</v>
      </c>
      <c r="AG1413">
        <v>7836.9520560802603</v>
      </c>
      <c r="AH1413">
        <v>2687200</v>
      </c>
    </row>
    <row r="1414" spans="27:34">
      <c r="AA1414">
        <v>-7.19</v>
      </c>
      <c r="AB1414">
        <v>4.3</v>
      </c>
      <c r="AC1414">
        <v>47</v>
      </c>
      <c r="AD1414">
        <v>0.20811518300000001</v>
      </c>
      <c r="AG1414">
        <v>7632.5612897245301</v>
      </c>
      <c r="AH1414">
        <v>2699616.59025065</v>
      </c>
    </row>
    <row r="1415" spans="27:34">
      <c r="AA1415">
        <v>-7.19</v>
      </c>
      <c r="AB1415">
        <v>4.3</v>
      </c>
      <c r="AC1415">
        <v>47</v>
      </c>
      <c r="AD1415">
        <v>0.20811518300000001</v>
      </c>
    </row>
    <row r="1416" spans="27:34">
      <c r="AA1416">
        <v>-7.19</v>
      </c>
      <c r="AB1416">
        <v>4.3</v>
      </c>
      <c r="AC1416">
        <v>47</v>
      </c>
      <c r="AD1416">
        <v>0.20811518300000001</v>
      </c>
    </row>
    <row r="1417" spans="27:34">
      <c r="AA1417">
        <v>3.7</v>
      </c>
      <c r="AB1417">
        <v>0.9</v>
      </c>
      <c r="AC1417">
        <v>0</v>
      </c>
      <c r="AD1417">
        <v>0.11461318099999999</v>
      </c>
      <c r="AE1417">
        <v>100</v>
      </c>
      <c r="AF1417">
        <v>20.7</v>
      </c>
      <c r="AG1417">
        <v>22561.027817177201</v>
      </c>
      <c r="AH1417">
        <v>125439000</v>
      </c>
    </row>
    <row r="1418" spans="27:34">
      <c r="AA1418">
        <v>3.7</v>
      </c>
      <c r="AB1418">
        <v>0.9</v>
      </c>
      <c r="AC1418">
        <v>0</v>
      </c>
      <c r="AD1418">
        <v>0.11461318099999999</v>
      </c>
      <c r="AG1418">
        <v>23538.3884960127</v>
      </c>
      <c r="AH1418">
        <v>125761000</v>
      </c>
    </row>
    <row r="1419" spans="27:34">
      <c r="AA1419">
        <v>3.7</v>
      </c>
      <c r="AB1419">
        <v>0.9</v>
      </c>
      <c r="AC1419">
        <v>0</v>
      </c>
      <c r="AD1419">
        <v>0.11461318099999999</v>
      </c>
      <c r="AG1419">
        <v>24266.663544178198</v>
      </c>
      <c r="AH1419">
        <v>126091000</v>
      </c>
    </row>
    <row r="1420" spans="27:34">
      <c r="AA1420">
        <v>3.7</v>
      </c>
      <c r="AB1420">
        <v>0.9</v>
      </c>
      <c r="AC1420">
        <v>0</v>
      </c>
      <c r="AD1420">
        <v>0.11461318099999999</v>
      </c>
      <c r="AG1420">
        <v>23977.682990490299</v>
      </c>
      <c r="AH1420">
        <v>126410000</v>
      </c>
    </row>
    <row r="1421" spans="27:34">
      <c r="AA1421">
        <v>3.7</v>
      </c>
      <c r="AB1421">
        <v>0.9</v>
      </c>
      <c r="AC1421">
        <v>0</v>
      </c>
      <c r="AD1421">
        <v>0.11461318099999999</v>
      </c>
      <c r="AG1421">
        <v>24248.748068463301</v>
      </c>
      <c r="AH1421">
        <v>126650000</v>
      </c>
    </row>
    <row r="1422" spans="27:34">
      <c r="AA1422">
        <v>3.7</v>
      </c>
      <c r="AB1422">
        <v>0.9</v>
      </c>
      <c r="AC1422">
        <v>0</v>
      </c>
      <c r="AD1422">
        <v>0.11461318099999999</v>
      </c>
      <c r="AE1422">
        <v>100</v>
      </c>
      <c r="AF1422">
        <v>20.93</v>
      </c>
      <c r="AG1422">
        <v>25618.991932878798</v>
      </c>
      <c r="AH1422">
        <v>126870000</v>
      </c>
    </row>
    <row r="1423" spans="27:34">
      <c r="AA1423">
        <v>3.7</v>
      </c>
      <c r="AB1423">
        <v>0.9</v>
      </c>
      <c r="AC1423">
        <v>0</v>
      </c>
      <c r="AD1423">
        <v>0.11461318099999999</v>
      </c>
      <c r="AG1423">
        <v>26190.524369968101</v>
      </c>
      <c r="AH1423">
        <v>127149000</v>
      </c>
    </row>
    <row r="1424" spans="27:34">
      <c r="AA1424">
        <v>3.7</v>
      </c>
      <c r="AB1424">
        <v>0.9</v>
      </c>
      <c r="AC1424">
        <v>0</v>
      </c>
      <c r="AD1424">
        <v>0.11461318099999999</v>
      </c>
      <c r="AG1424">
        <v>26813.5164710356</v>
      </c>
      <c r="AH1424">
        <v>127445000</v>
      </c>
    </row>
    <row r="1425" spans="27:34">
      <c r="AA1425">
        <v>3.7</v>
      </c>
      <c r="AB1425">
        <v>0.9</v>
      </c>
      <c r="AC1425">
        <v>0</v>
      </c>
      <c r="AD1425">
        <v>0.11461318099999999</v>
      </c>
      <c r="AG1425">
        <v>27482.018275529001</v>
      </c>
      <c r="AH1425">
        <v>127718000</v>
      </c>
    </row>
    <row r="1426" spans="27:34">
      <c r="AA1426">
        <v>3.7</v>
      </c>
      <c r="AB1426">
        <v>0.9</v>
      </c>
      <c r="AC1426">
        <v>0</v>
      </c>
      <c r="AD1426">
        <v>0.11461318099999999</v>
      </c>
      <c r="AG1426">
        <v>29026.798715393499</v>
      </c>
      <c r="AH1426">
        <v>127761000</v>
      </c>
    </row>
    <row r="1427" spans="27:34">
      <c r="AA1427">
        <v>3.7</v>
      </c>
      <c r="AB1427">
        <v>0.9</v>
      </c>
      <c r="AC1427">
        <v>0</v>
      </c>
      <c r="AD1427">
        <v>0.11461318099999999</v>
      </c>
      <c r="AE1427">
        <v>100</v>
      </c>
      <c r="AG1427">
        <v>30310.340560768102</v>
      </c>
      <c r="AH1427">
        <v>127773000</v>
      </c>
    </row>
    <row r="1428" spans="27:34">
      <c r="AA1428">
        <v>3.7</v>
      </c>
      <c r="AB1428">
        <v>0.9</v>
      </c>
      <c r="AC1428">
        <v>0</v>
      </c>
      <c r="AD1428">
        <v>0.11461318099999999</v>
      </c>
      <c r="AG1428">
        <v>31868.643037466201</v>
      </c>
      <c r="AH1428">
        <v>127756000</v>
      </c>
    </row>
    <row r="1429" spans="27:34">
      <c r="AA1429">
        <v>3.7</v>
      </c>
      <c r="AB1429">
        <v>0.9</v>
      </c>
      <c r="AC1429">
        <v>0</v>
      </c>
      <c r="AD1429">
        <v>0.11461318099999999</v>
      </c>
      <c r="AG1429">
        <v>33577.196233270297</v>
      </c>
      <c r="AH1429">
        <v>127770750</v>
      </c>
    </row>
    <row r="1430" spans="27:34">
      <c r="AA1430">
        <v>3.7</v>
      </c>
      <c r="AB1430">
        <v>0.9</v>
      </c>
      <c r="AC1430">
        <v>0</v>
      </c>
      <c r="AD1430">
        <v>0.11461318099999999</v>
      </c>
      <c r="AE1430">
        <v>100</v>
      </c>
      <c r="AG1430">
        <v>33850.878338447001</v>
      </c>
      <c r="AH1430">
        <v>127704000</v>
      </c>
    </row>
    <row r="1431" spans="27:34">
      <c r="AA1431">
        <v>3.7</v>
      </c>
      <c r="AB1431">
        <v>0.9</v>
      </c>
      <c r="AC1431">
        <v>0</v>
      </c>
      <c r="AD1431">
        <v>0.11461318099999999</v>
      </c>
      <c r="AG1431">
        <v>32418.424123393699</v>
      </c>
      <c r="AH1431">
        <v>127560000</v>
      </c>
    </row>
    <row r="1432" spans="27:34">
      <c r="AA1432">
        <v>3.7</v>
      </c>
      <c r="AB1432">
        <v>0.9</v>
      </c>
      <c r="AC1432">
        <v>0</v>
      </c>
      <c r="AD1432">
        <v>0.11461318099999999</v>
      </c>
    </row>
    <row r="1433" spans="27:34">
      <c r="AA1433">
        <v>3.7</v>
      </c>
      <c r="AB1433">
        <v>0.9</v>
      </c>
      <c r="AC1433">
        <v>0</v>
      </c>
      <c r="AD1433">
        <v>0.11461318099999999</v>
      </c>
    </row>
    <row r="1434" spans="27:34">
      <c r="AA1434">
        <v>-15.71</v>
      </c>
      <c r="AB1434">
        <v>2</v>
      </c>
      <c r="AC1434">
        <v>59</v>
      </c>
      <c r="AD1434">
        <v>9.6219930999999995E-2</v>
      </c>
      <c r="AE1434">
        <v>97</v>
      </c>
      <c r="AG1434">
        <v>2858.7037667902</v>
      </c>
      <c r="AH1434">
        <v>4195000</v>
      </c>
    </row>
    <row r="1435" spans="27:34">
      <c r="AA1435">
        <v>-15.71</v>
      </c>
      <c r="AB1435">
        <v>2</v>
      </c>
      <c r="AC1435">
        <v>59</v>
      </c>
      <c r="AD1435">
        <v>9.6219930999999995E-2</v>
      </c>
      <c r="AG1435">
        <v>2884.7561363763998</v>
      </c>
      <c r="AH1435">
        <v>4325045</v>
      </c>
    </row>
    <row r="1436" spans="27:34">
      <c r="AA1436">
        <v>-15.71</v>
      </c>
      <c r="AB1436">
        <v>2</v>
      </c>
      <c r="AC1436">
        <v>59</v>
      </c>
      <c r="AD1436">
        <v>9.6219930999999995E-2</v>
      </c>
      <c r="AG1436">
        <v>2941.8214970888198</v>
      </c>
      <c r="AH1436">
        <v>4459121.3949999996</v>
      </c>
    </row>
    <row r="1437" spans="27:34">
      <c r="AA1437">
        <v>-15.71</v>
      </c>
      <c r="AB1437">
        <v>2</v>
      </c>
      <c r="AC1437">
        <v>59</v>
      </c>
      <c r="AD1437">
        <v>9.6219930999999995E-2</v>
      </c>
      <c r="AG1437">
        <v>2972.5394713466299</v>
      </c>
      <c r="AH1437">
        <v>4597400</v>
      </c>
    </row>
    <row r="1438" spans="27:34">
      <c r="AA1438">
        <v>-15.71</v>
      </c>
      <c r="AB1438">
        <v>2</v>
      </c>
      <c r="AC1438">
        <v>59</v>
      </c>
      <c r="AD1438">
        <v>9.6219930999999995E-2</v>
      </c>
      <c r="AG1438">
        <v>3063.0149838421398</v>
      </c>
      <c r="AH1438">
        <v>4680500</v>
      </c>
    </row>
    <row r="1439" spans="27:34">
      <c r="AA1439">
        <v>-15.71</v>
      </c>
      <c r="AB1439">
        <v>2</v>
      </c>
      <c r="AC1439">
        <v>59</v>
      </c>
      <c r="AD1439">
        <v>9.6219930999999995E-2</v>
      </c>
      <c r="AE1439">
        <v>98</v>
      </c>
      <c r="AG1439">
        <v>3182.5549057722601</v>
      </c>
      <c r="AH1439">
        <v>4797500</v>
      </c>
    </row>
    <row r="1440" spans="27:34">
      <c r="AA1440">
        <v>-15.71</v>
      </c>
      <c r="AB1440">
        <v>2</v>
      </c>
      <c r="AC1440">
        <v>59</v>
      </c>
      <c r="AD1440">
        <v>9.6219930999999995E-2</v>
      </c>
      <c r="AG1440">
        <v>3342.5995427744101</v>
      </c>
      <c r="AH1440">
        <v>4917500</v>
      </c>
    </row>
    <row r="1441" spans="27:34">
      <c r="AA1441">
        <v>-15.71</v>
      </c>
      <c r="AB1441">
        <v>2</v>
      </c>
      <c r="AC1441">
        <v>59</v>
      </c>
      <c r="AD1441">
        <v>9.6219930999999995E-2</v>
      </c>
      <c r="AG1441">
        <v>3507.4914456742399</v>
      </c>
      <c r="AH1441">
        <v>5038000</v>
      </c>
    </row>
    <row r="1442" spans="27:34">
      <c r="AA1442">
        <v>-15.71</v>
      </c>
      <c r="AB1442">
        <v>2</v>
      </c>
      <c r="AC1442">
        <v>59</v>
      </c>
      <c r="AD1442">
        <v>9.6219930999999995E-2</v>
      </c>
      <c r="AG1442">
        <v>3641.7162320403099</v>
      </c>
      <c r="AH1442">
        <v>5164000</v>
      </c>
    </row>
    <row r="1443" spans="27:34">
      <c r="AA1443">
        <v>-15.71</v>
      </c>
      <c r="AB1443">
        <v>2</v>
      </c>
      <c r="AC1443">
        <v>59</v>
      </c>
      <c r="AD1443">
        <v>9.6219930999999995E-2</v>
      </c>
      <c r="AG1443">
        <v>3968.6375338512598</v>
      </c>
      <c r="AH1443">
        <v>5290000</v>
      </c>
    </row>
    <row r="1444" spans="27:34">
      <c r="AA1444">
        <v>-15.71</v>
      </c>
      <c r="AB1444">
        <v>2</v>
      </c>
      <c r="AC1444">
        <v>59</v>
      </c>
      <c r="AD1444">
        <v>9.6219930999999995E-2</v>
      </c>
      <c r="AE1444">
        <v>98</v>
      </c>
      <c r="AF1444">
        <v>99.37</v>
      </c>
      <c r="AG1444">
        <v>4334.4774449259503</v>
      </c>
      <c r="AH1444">
        <v>5411500</v>
      </c>
    </row>
    <row r="1445" spans="27:34">
      <c r="AA1445">
        <v>-15.71</v>
      </c>
      <c r="AB1445">
        <v>2</v>
      </c>
      <c r="AC1445">
        <v>59</v>
      </c>
      <c r="AD1445">
        <v>9.6219930999999995E-2</v>
      </c>
      <c r="AG1445">
        <v>4717.2178965196599</v>
      </c>
      <c r="AH1445">
        <v>5542000</v>
      </c>
    </row>
    <row r="1446" spans="27:34">
      <c r="AA1446">
        <v>-15.71</v>
      </c>
      <c r="AB1446">
        <v>2</v>
      </c>
      <c r="AC1446">
        <v>59</v>
      </c>
      <c r="AD1446">
        <v>9.6219930999999995E-2</v>
      </c>
      <c r="AG1446">
        <v>5168.8844073165701</v>
      </c>
      <c r="AH1446">
        <v>5675000</v>
      </c>
    </row>
    <row r="1447" spans="27:34">
      <c r="AA1447">
        <v>-15.71</v>
      </c>
      <c r="AB1447">
        <v>2</v>
      </c>
      <c r="AC1447">
        <v>59</v>
      </c>
      <c r="AD1447">
        <v>9.6219930999999995E-2</v>
      </c>
      <c r="AE1447">
        <v>98</v>
      </c>
      <c r="AG1447">
        <v>5549.7964910562396</v>
      </c>
      <c r="AH1447">
        <v>5812000</v>
      </c>
    </row>
    <row r="1448" spans="27:34">
      <c r="AA1448">
        <v>-15.71</v>
      </c>
      <c r="AB1448">
        <v>2</v>
      </c>
      <c r="AC1448">
        <v>59</v>
      </c>
      <c r="AD1448">
        <v>9.6219930999999995E-2</v>
      </c>
      <c r="AG1448">
        <v>5596.9912676449103</v>
      </c>
      <c r="AH1448">
        <v>5951000</v>
      </c>
    </row>
    <row r="1449" spans="27:34">
      <c r="AA1449">
        <v>-15.71</v>
      </c>
      <c r="AB1449">
        <v>2</v>
      </c>
      <c r="AC1449">
        <v>59</v>
      </c>
      <c r="AD1449">
        <v>9.6219930999999995E-2</v>
      </c>
    </row>
    <row r="1450" spans="27:34">
      <c r="AA1450">
        <v>-15.71</v>
      </c>
      <c r="AB1450">
        <v>2</v>
      </c>
      <c r="AC1450">
        <v>59</v>
      </c>
      <c r="AD1450">
        <v>9.6219930999999995E-2</v>
      </c>
    </row>
    <row r="1451" spans="27:34">
      <c r="AA1451">
        <v>1.83</v>
      </c>
      <c r="AB1451">
        <v>3</v>
      </c>
      <c r="AC1451">
        <v>249</v>
      </c>
      <c r="AD1451">
        <v>7.6923077000000006E-2</v>
      </c>
      <c r="AE1451">
        <v>96</v>
      </c>
      <c r="AF1451">
        <v>29.51</v>
      </c>
      <c r="AG1451">
        <v>3667.83951377623</v>
      </c>
      <c r="AH1451">
        <v>15815626.3821576</v>
      </c>
    </row>
    <row r="1452" spans="27:34">
      <c r="AA1452">
        <v>1.83</v>
      </c>
      <c r="AB1452">
        <v>3</v>
      </c>
      <c r="AC1452">
        <v>249</v>
      </c>
      <c r="AD1452">
        <v>7.6923077000000006E-2</v>
      </c>
      <c r="AG1452">
        <v>3813.9949266426902</v>
      </c>
      <c r="AH1452">
        <v>15577894.256927</v>
      </c>
    </row>
    <row r="1453" spans="27:34">
      <c r="AA1453">
        <v>1.83</v>
      </c>
      <c r="AB1453">
        <v>3</v>
      </c>
      <c r="AC1453">
        <v>249</v>
      </c>
      <c r="AD1453">
        <v>7.6923077000000006E-2</v>
      </c>
      <c r="AG1453">
        <v>4010.4792419222499</v>
      </c>
      <c r="AH1453">
        <v>15333703.0400357</v>
      </c>
    </row>
    <row r="1454" spans="27:34">
      <c r="AA1454">
        <v>1.83</v>
      </c>
      <c r="AB1454">
        <v>3</v>
      </c>
      <c r="AC1454">
        <v>249</v>
      </c>
      <c r="AD1454">
        <v>7.6923077000000006E-2</v>
      </c>
      <c r="AG1454">
        <v>4048.0571757504599</v>
      </c>
      <c r="AH1454">
        <v>15071300.1250722</v>
      </c>
    </row>
    <row r="1455" spans="27:34">
      <c r="AA1455">
        <v>1.83</v>
      </c>
      <c r="AB1455">
        <v>3</v>
      </c>
      <c r="AC1455">
        <v>249</v>
      </c>
      <c r="AD1455">
        <v>7.6923077000000006E-2</v>
      </c>
      <c r="AG1455">
        <v>4258.6552959291303</v>
      </c>
      <c r="AH1455">
        <v>14928425.854054401</v>
      </c>
    </row>
    <row r="1456" spans="27:34">
      <c r="AA1456">
        <v>1.83</v>
      </c>
      <c r="AB1456">
        <v>3</v>
      </c>
      <c r="AC1456">
        <v>249</v>
      </c>
      <c r="AD1456">
        <v>7.6923077000000006E-2</v>
      </c>
      <c r="AE1456">
        <v>97</v>
      </c>
      <c r="AF1456">
        <v>28.94</v>
      </c>
      <c r="AG1456">
        <v>4791.5603222772097</v>
      </c>
      <c r="AH1456">
        <v>14883600</v>
      </c>
    </row>
    <row r="1457" spans="27:34">
      <c r="AA1457">
        <v>1.83</v>
      </c>
      <c r="AB1457">
        <v>3</v>
      </c>
      <c r="AC1457">
        <v>249</v>
      </c>
      <c r="AD1457">
        <v>7.6923077000000006E-2</v>
      </c>
      <c r="AG1457">
        <v>5571.1878002357398</v>
      </c>
      <c r="AH1457">
        <v>14858300</v>
      </c>
    </row>
    <row r="1458" spans="27:34">
      <c r="AA1458">
        <v>1.83</v>
      </c>
      <c r="AB1458">
        <v>3</v>
      </c>
      <c r="AC1458">
        <v>249</v>
      </c>
      <c r="AD1458">
        <v>7.6923077000000006E-2</v>
      </c>
      <c r="AG1458">
        <v>6216.2906151135903</v>
      </c>
      <c r="AH1458">
        <v>14858900</v>
      </c>
    </row>
    <row r="1459" spans="27:34">
      <c r="AA1459">
        <v>1.83</v>
      </c>
      <c r="AB1459">
        <v>3</v>
      </c>
      <c r="AC1459">
        <v>249</v>
      </c>
      <c r="AD1459">
        <v>7.6923077000000006E-2</v>
      </c>
      <c r="AG1459">
        <v>6917.5266533636704</v>
      </c>
      <c r="AH1459">
        <v>14909000</v>
      </c>
    </row>
    <row r="1460" spans="27:34">
      <c r="AA1460">
        <v>1.83</v>
      </c>
      <c r="AB1460">
        <v>3</v>
      </c>
      <c r="AC1460">
        <v>249</v>
      </c>
      <c r="AD1460">
        <v>7.6923077000000006E-2</v>
      </c>
      <c r="AG1460">
        <v>7742.5061456641497</v>
      </c>
      <c r="AH1460">
        <v>15013000</v>
      </c>
    </row>
    <row r="1461" spans="27:34">
      <c r="AA1461">
        <v>1.83</v>
      </c>
      <c r="AB1461">
        <v>3</v>
      </c>
      <c r="AC1461">
        <v>249</v>
      </c>
      <c r="AD1461">
        <v>7.6923077000000006E-2</v>
      </c>
      <c r="AE1461">
        <v>97</v>
      </c>
      <c r="AG1461">
        <v>8699.1147357966402</v>
      </c>
      <c r="AH1461">
        <v>15147000</v>
      </c>
    </row>
    <row r="1462" spans="27:34">
      <c r="AA1462">
        <v>1.83</v>
      </c>
      <c r="AB1462">
        <v>3</v>
      </c>
      <c r="AC1462">
        <v>249</v>
      </c>
      <c r="AD1462">
        <v>7.6923077000000006E-2</v>
      </c>
      <c r="AG1462">
        <v>9838.4960545300401</v>
      </c>
      <c r="AH1462">
        <v>15308100</v>
      </c>
    </row>
    <row r="1463" spans="27:34">
      <c r="AA1463">
        <v>1.83</v>
      </c>
      <c r="AB1463">
        <v>3</v>
      </c>
      <c r="AC1463">
        <v>249</v>
      </c>
      <c r="AD1463">
        <v>7.6923077000000006E-2</v>
      </c>
      <c r="AG1463">
        <v>10955.2357521349</v>
      </c>
      <c r="AH1463">
        <v>15484200</v>
      </c>
    </row>
    <row r="1464" spans="27:34">
      <c r="AA1464">
        <v>1.83</v>
      </c>
      <c r="AB1464">
        <v>3</v>
      </c>
      <c r="AC1464">
        <v>249</v>
      </c>
      <c r="AD1464">
        <v>7.6923077000000006E-2</v>
      </c>
      <c r="AE1464">
        <v>97</v>
      </c>
      <c r="AG1464">
        <v>11424.1241098967</v>
      </c>
      <c r="AH1464">
        <v>15674000</v>
      </c>
    </row>
    <row r="1465" spans="27:34">
      <c r="AA1465">
        <v>1.83</v>
      </c>
      <c r="AB1465">
        <v>3</v>
      </c>
      <c r="AC1465">
        <v>249</v>
      </c>
      <c r="AD1465">
        <v>7.6923077000000006E-2</v>
      </c>
      <c r="AG1465">
        <v>11509.9321713134</v>
      </c>
      <c r="AH1465">
        <v>15888000</v>
      </c>
    </row>
    <row r="1466" spans="27:34">
      <c r="AA1466">
        <v>1.83</v>
      </c>
      <c r="AB1466">
        <v>3</v>
      </c>
      <c r="AC1466">
        <v>249</v>
      </c>
      <c r="AD1466">
        <v>7.6923077000000006E-2</v>
      </c>
    </row>
    <row r="1467" spans="27:34">
      <c r="AA1467">
        <v>1.83</v>
      </c>
      <c r="AB1467">
        <v>3</v>
      </c>
      <c r="AC1467">
        <v>249</v>
      </c>
      <c r="AD1467">
        <v>7.6923077000000006E-2</v>
      </c>
    </row>
    <row r="1468" spans="27:34">
      <c r="AA1468">
        <v>21.14</v>
      </c>
      <c r="AB1468">
        <v>4.5999999999999996</v>
      </c>
      <c r="AC1468">
        <v>362</v>
      </c>
      <c r="AD1468">
        <v>0.43912737499999999</v>
      </c>
      <c r="AE1468">
        <v>27</v>
      </c>
      <c r="AG1468">
        <v>1069.09624383036</v>
      </c>
      <c r="AH1468">
        <v>27492083</v>
      </c>
    </row>
    <row r="1469" spans="27:34">
      <c r="AA1469">
        <v>21.14</v>
      </c>
      <c r="AB1469">
        <v>4.5999999999999996</v>
      </c>
      <c r="AC1469">
        <v>362</v>
      </c>
      <c r="AD1469">
        <v>0.43912737499999999</v>
      </c>
      <c r="AG1469">
        <v>1102.97429555337</v>
      </c>
      <c r="AH1469">
        <v>28283375</v>
      </c>
    </row>
    <row r="1470" spans="27:34">
      <c r="AA1470">
        <v>21.14</v>
      </c>
      <c r="AB1470">
        <v>4.5999999999999996</v>
      </c>
      <c r="AC1470">
        <v>362</v>
      </c>
      <c r="AD1470">
        <v>0.43912737499999999</v>
      </c>
      <c r="AG1470">
        <v>1097.54553550227</v>
      </c>
      <c r="AH1470">
        <v>29064655</v>
      </c>
    </row>
    <row r="1471" spans="27:34">
      <c r="AA1471">
        <v>21.14</v>
      </c>
      <c r="AB1471">
        <v>4.5999999999999996</v>
      </c>
      <c r="AC1471">
        <v>362</v>
      </c>
      <c r="AD1471">
        <v>0.43912737499999999</v>
      </c>
      <c r="AG1471">
        <v>1116.5421941198799</v>
      </c>
      <c r="AH1471">
        <v>29843983</v>
      </c>
    </row>
    <row r="1472" spans="27:34">
      <c r="AA1472">
        <v>21.14</v>
      </c>
      <c r="AB1472">
        <v>4.5999999999999996</v>
      </c>
      <c r="AC1472">
        <v>362</v>
      </c>
      <c r="AD1472">
        <v>0.43912737499999999</v>
      </c>
      <c r="AG1472">
        <v>1129.17230061032</v>
      </c>
      <c r="AH1472">
        <v>30632957</v>
      </c>
    </row>
    <row r="1473" spans="27:34">
      <c r="AA1473">
        <v>21.14</v>
      </c>
      <c r="AB1473">
        <v>4.5999999999999996</v>
      </c>
      <c r="AC1473">
        <v>362</v>
      </c>
      <c r="AD1473">
        <v>0.43912737499999999</v>
      </c>
      <c r="AE1473">
        <v>29</v>
      </c>
      <c r="AG1473">
        <v>1130.7082787228401</v>
      </c>
      <c r="AH1473">
        <v>31440637</v>
      </c>
    </row>
    <row r="1474" spans="27:34">
      <c r="AA1474">
        <v>21.14</v>
      </c>
      <c r="AB1474">
        <v>4.5999999999999996</v>
      </c>
      <c r="AC1474">
        <v>362</v>
      </c>
      <c r="AD1474">
        <v>0.43912737499999999</v>
      </c>
      <c r="AG1474">
        <v>1169.23132859318</v>
      </c>
      <c r="AH1474">
        <v>32269397</v>
      </c>
    </row>
    <row r="1475" spans="27:34">
      <c r="AA1475">
        <v>21.14</v>
      </c>
      <c r="AB1475">
        <v>4.5999999999999996</v>
      </c>
      <c r="AC1475">
        <v>362</v>
      </c>
      <c r="AD1475">
        <v>0.43912737499999999</v>
      </c>
      <c r="AG1475">
        <v>1164.0835597033799</v>
      </c>
      <c r="AH1475">
        <v>33118782</v>
      </c>
    </row>
    <row r="1476" spans="27:34">
      <c r="AA1476">
        <v>21.14</v>
      </c>
      <c r="AB1476">
        <v>4.5999999999999996</v>
      </c>
      <c r="AC1476">
        <v>362</v>
      </c>
      <c r="AD1476">
        <v>0.43912737499999999</v>
      </c>
      <c r="AG1476">
        <v>1192.61559187479</v>
      </c>
      <c r="AH1476">
        <v>33991605</v>
      </c>
    </row>
    <row r="1477" spans="27:34">
      <c r="AA1477">
        <v>21.14</v>
      </c>
      <c r="AB1477">
        <v>4.5999999999999996</v>
      </c>
      <c r="AC1477">
        <v>362</v>
      </c>
      <c r="AD1477">
        <v>0.43912737499999999</v>
      </c>
      <c r="AG1477">
        <v>1255.81667540801</v>
      </c>
      <c r="AH1477">
        <v>34890366</v>
      </c>
    </row>
    <row r="1478" spans="27:34">
      <c r="AA1478">
        <v>21.14</v>
      </c>
      <c r="AB1478">
        <v>4.5999999999999996</v>
      </c>
      <c r="AC1478">
        <v>362</v>
      </c>
      <c r="AD1478">
        <v>0.43912737499999999</v>
      </c>
      <c r="AE1478">
        <v>30</v>
      </c>
      <c r="AF1478">
        <v>8.9090000000000007</v>
      </c>
      <c r="AG1478">
        <v>1338.79626822256</v>
      </c>
      <c r="AH1478">
        <v>35816784</v>
      </c>
    </row>
    <row r="1479" spans="27:34">
      <c r="AA1479">
        <v>21.14</v>
      </c>
      <c r="AB1479">
        <v>4.5999999999999996</v>
      </c>
      <c r="AC1479">
        <v>362</v>
      </c>
      <c r="AD1479">
        <v>0.43912737499999999</v>
      </c>
      <c r="AG1479">
        <v>1431.52581160152</v>
      </c>
      <c r="AH1479">
        <v>36771613</v>
      </c>
    </row>
    <row r="1480" spans="27:34">
      <c r="AA1480">
        <v>21.14</v>
      </c>
      <c r="AB1480">
        <v>4.5999999999999996</v>
      </c>
      <c r="AC1480">
        <v>362</v>
      </c>
      <c r="AD1480">
        <v>0.43912737499999999</v>
      </c>
      <c r="AG1480">
        <v>1543.07275492437</v>
      </c>
      <c r="AH1480">
        <v>37754701</v>
      </c>
    </row>
    <row r="1481" spans="27:34">
      <c r="AA1481">
        <v>21.14</v>
      </c>
      <c r="AB1481">
        <v>4.5999999999999996</v>
      </c>
      <c r="AC1481">
        <v>362</v>
      </c>
      <c r="AD1481">
        <v>0.43912737499999999</v>
      </c>
      <c r="AE1481">
        <v>31</v>
      </c>
      <c r="AG1481">
        <v>1559.5533510554801</v>
      </c>
      <c r="AH1481">
        <v>38765312</v>
      </c>
    </row>
    <row r="1482" spans="27:34">
      <c r="AA1482">
        <v>21.14</v>
      </c>
      <c r="AB1482">
        <v>4.5999999999999996</v>
      </c>
      <c r="AC1482">
        <v>362</v>
      </c>
      <c r="AD1482">
        <v>0.43912737499999999</v>
      </c>
      <c r="AG1482">
        <v>1572.5747560382999</v>
      </c>
      <c r="AH1482">
        <v>39802015</v>
      </c>
    </row>
    <row r="1483" spans="27:34">
      <c r="AA1483">
        <v>21.14</v>
      </c>
      <c r="AB1483">
        <v>4.5999999999999996</v>
      </c>
      <c r="AC1483">
        <v>362</v>
      </c>
      <c r="AD1483">
        <v>0.43912737499999999</v>
      </c>
    </row>
    <row r="1484" spans="27:34">
      <c r="AA1484">
        <v>21.14</v>
      </c>
      <c r="AB1484">
        <v>4.5999999999999996</v>
      </c>
      <c r="AC1484">
        <v>362</v>
      </c>
      <c r="AD1484">
        <v>0.43912737499999999</v>
      </c>
    </row>
    <row r="1485" spans="27:34">
      <c r="AA1485">
        <v>15.62</v>
      </c>
      <c r="AB1485">
        <v>5.0999999999999996</v>
      </c>
      <c r="AC1485">
        <v>206</v>
      </c>
      <c r="AD1485">
        <v>0.26592517700000001</v>
      </c>
      <c r="AE1485">
        <v>28</v>
      </c>
      <c r="AG1485">
        <v>1547.01355511826</v>
      </c>
      <c r="AH1485">
        <v>77259</v>
      </c>
    </row>
    <row r="1486" spans="27:34">
      <c r="AA1486">
        <v>15.62</v>
      </c>
      <c r="AB1486">
        <v>5.0999999999999996</v>
      </c>
      <c r="AC1486">
        <v>206</v>
      </c>
      <c r="AD1486">
        <v>0.26592517700000001</v>
      </c>
      <c r="AG1486">
        <v>1646.4514244633499</v>
      </c>
      <c r="AH1486">
        <v>78442</v>
      </c>
    </row>
    <row r="1487" spans="27:34">
      <c r="AA1487">
        <v>15.62</v>
      </c>
      <c r="AB1487">
        <v>5.0999999999999996</v>
      </c>
      <c r="AC1487">
        <v>206</v>
      </c>
      <c r="AD1487">
        <v>0.26592517700000001</v>
      </c>
      <c r="AG1487">
        <v>1738.9544888708699</v>
      </c>
      <c r="AH1487">
        <v>79725</v>
      </c>
    </row>
    <row r="1488" spans="27:34">
      <c r="AA1488">
        <v>15.62</v>
      </c>
      <c r="AB1488">
        <v>5.0999999999999996</v>
      </c>
      <c r="AC1488">
        <v>206</v>
      </c>
      <c r="AD1488">
        <v>0.26592517700000001</v>
      </c>
      <c r="AG1488">
        <v>1918.60231527818</v>
      </c>
      <c r="AH1488">
        <v>81097</v>
      </c>
    </row>
    <row r="1489" spans="27:34">
      <c r="AA1489">
        <v>15.62</v>
      </c>
      <c r="AB1489">
        <v>5.0999999999999996</v>
      </c>
      <c r="AC1489">
        <v>206</v>
      </c>
      <c r="AD1489">
        <v>0.26592517700000001</v>
      </c>
      <c r="AG1489">
        <v>1939.42550467161</v>
      </c>
      <c r="AH1489">
        <v>82537</v>
      </c>
    </row>
    <row r="1490" spans="27:34">
      <c r="AA1490">
        <v>15.62</v>
      </c>
      <c r="AB1490">
        <v>5.0999999999999996</v>
      </c>
      <c r="AC1490">
        <v>206</v>
      </c>
      <c r="AD1490">
        <v>0.26592517700000001</v>
      </c>
      <c r="AE1490">
        <v>33</v>
      </c>
      <c r="AG1490">
        <v>2087.2860816302</v>
      </c>
      <c r="AH1490">
        <v>84023</v>
      </c>
    </row>
    <row r="1491" spans="27:34">
      <c r="AA1491">
        <v>15.62</v>
      </c>
      <c r="AB1491">
        <v>5.0999999999999996</v>
      </c>
      <c r="AC1491">
        <v>206</v>
      </c>
      <c r="AD1491">
        <v>0.26592517700000001</v>
      </c>
      <c r="AG1491">
        <v>2031.75756080785</v>
      </c>
      <c r="AH1491">
        <v>85563</v>
      </c>
    </row>
    <row r="1492" spans="27:34">
      <c r="AA1492">
        <v>15.62</v>
      </c>
      <c r="AB1492">
        <v>5.0999999999999996</v>
      </c>
      <c r="AC1492">
        <v>206</v>
      </c>
      <c r="AD1492">
        <v>0.26592517700000001</v>
      </c>
      <c r="AG1492">
        <v>2152.3956102000402</v>
      </c>
      <c r="AH1492">
        <v>87161</v>
      </c>
    </row>
    <row r="1493" spans="27:34">
      <c r="AA1493">
        <v>15.62</v>
      </c>
      <c r="AB1493">
        <v>5.0999999999999996</v>
      </c>
      <c r="AC1493">
        <v>206</v>
      </c>
      <c r="AD1493">
        <v>0.26592517700000001</v>
      </c>
      <c r="AG1493">
        <v>2255.6386636545699</v>
      </c>
      <c r="AH1493">
        <v>88789</v>
      </c>
    </row>
    <row r="1494" spans="27:34">
      <c r="AA1494">
        <v>15.62</v>
      </c>
      <c r="AB1494">
        <v>5.0999999999999996</v>
      </c>
      <c r="AC1494">
        <v>206</v>
      </c>
      <c r="AD1494">
        <v>0.26592517700000001</v>
      </c>
      <c r="AG1494">
        <v>2298.6714670377301</v>
      </c>
      <c r="AH1494">
        <v>90412</v>
      </c>
    </row>
    <row r="1495" spans="27:34">
      <c r="AA1495">
        <v>15.62</v>
      </c>
      <c r="AB1495">
        <v>5.0999999999999996</v>
      </c>
      <c r="AC1495">
        <v>206</v>
      </c>
      <c r="AD1495">
        <v>0.26592517700000001</v>
      </c>
      <c r="AE1495">
        <v>31</v>
      </c>
      <c r="AG1495">
        <v>2341.2261922986499</v>
      </c>
      <c r="AH1495">
        <v>92004</v>
      </c>
    </row>
    <row r="1496" spans="27:34">
      <c r="AA1496">
        <v>15.62</v>
      </c>
      <c r="AB1496">
        <v>5.0999999999999996</v>
      </c>
      <c r="AC1496">
        <v>206</v>
      </c>
      <c r="AD1496">
        <v>0.26592517700000001</v>
      </c>
      <c r="AG1496">
        <v>2422.4743416927499</v>
      </c>
      <c r="AH1496">
        <v>93554</v>
      </c>
    </row>
    <row r="1497" spans="27:34">
      <c r="AA1497">
        <v>15.62</v>
      </c>
      <c r="AB1497">
        <v>5.0999999999999996</v>
      </c>
      <c r="AC1497">
        <v>206</v>
      </c>
      <c r="AD1497">
        <v>0.26592517700000001</v>
      </c>
      <c r="AG1497">
        <v>2475.6257005817401</v>
      </c>
      <c r="AH1497">
        <v>95068</v>
      </c>
    </row>
    <row r="1498" spans="27:34">
      <c r="AA1498">
        <v>15.62</v>
      </c>
      <c r="AB1498">
        <v>5.0999999999999996</v>
      </c>
      <c r="AC1498">
        <v>206</v>
      </c>
      <c r="AD1498">
        <v>0.26592517700000001</v>
      </c>
      <c r="AG1498">
        <v>2463.3475623760401</v>
      </c>
      <c r="AH1498">
        <v>96558</v>
      </c>
    </row>
    <row r="1499" spans="27:34">
      <c r="AA1499">
        <v>15.62</v>
      </c>
      <c r="AB1499">
        <v>5.0999999999999996</v>
      </c>
      <c r="AC1499">
        <v>206</v>
      </c>
      <c r="AD1499">
        <v>0.26592517700000001</v>
      </c>
      <c r="AG1499">
        <v>2432.2090225028401</v>
      </c>
      <c r="AH1499">
        <v>98045</v>
      </c>
    </row>
    <row r="1500" spans="27:34">
      <c r="AA1500">
        <v>15.62</v>
      </c>
      <c r="AB1500">
        <v>5.0999999999999996</v>
      </c>
      <c r="AC1500">
        <v>206</v>
      </c>
      <c r="AD1500">
        <v>0.26592517700000001</v>
      </c>
    </row>
    <row r="1501" spans="27:34">
      <c r="AA1501">
        <v>15.62</v>
      </c>
      <c r="AB1501">
        <v>5.0999999999999996</v>
      </c>
      <c r="AC1501">
        <v>206</v>
      </c>
      <c r="AD1501">
        <v>0.26592517700000001</v>
      </c>
    </row>
    <row r="1502" spans="27:34">
      <c r="AA1502">
        <v>11.97</v>
      </c>
      <c r="AB1502">
        <v>2.2000000000000002</v>
      </c>
      <c r="AC1502" t="e">
        <v>#N/A</v>
      </c>
      <c r="AD1502">
        <v>0.30769230800000003</v>
      </c>
      <c r="AE1502">
        <v>59</v>
      </c>
      <c r="AH1502">
        <v>21717418</v>
      </c>
    </row>
    <row r="1503" spans="27:34">
      <c r="AA1503">
        <v>11.97</v>
      </c>
      <c r="AB1503">
        <v>2.2000000000000002</v>
      </c>
      <c r="AD1503">
        <v>0.30769230800000003</v>
      </c>
      <c r="AH1503">
        <v>21988734</v>
      </c>
    </row>
    <row r="1504" spans="27:34">
      <c r="AA1504">
        <v>11.97</v>
      </c>
      <c r="AB1504">
        <v>2.2000000000000002</v>
      </c>
      <c r="AD1504">
        <v>0.30769230800000003</v>
      </c>
      <c r="AH1504">
        <v>22238115</v>
      </c>
    </row>
    <row r="1505" spans="27:34">
      <c r="AA1505">
        <v>11.97</v>
      </c>
      <c r="AB1505">
        <v>2.2000000000000002</v>
      </c>
      <c r="AD1505">
        <v>0.30769230800000003</v>
      </c>
      <c r="AH1505">
        <v>22465445</v>
      </c>
    </row>
    <row r="1506" spans="27:34">
      <c r="AA1506">
        <v>11.97</v>
      </c>
      <c r="AB1506">
        <v>2.2000000000000002</v>
      </c>
      <c r="AD1506">
        <v>0.30769230800000003</v>
      </c>
      <c r="AH1506">
        <v>22671897</v>
      </c>
    </row>
    <row r="1507" spans="27:34">
      <c r="AA1507">
        <v>11.97</v>
      </c>
      <c r="AB1507">
        <v>2.2000000000000002</v>
      </c>
      <c r="AD1507">
        <v>0.30769230800000003</v>
      </c>
      <c r="AE1507">
        <v>59</v>
      </c>
      <c r="AF1507">
        <v>8.9510000000000005</v>
      </c>
      <c r="AH1507">
        <v>22858710</v>
      </c>
    </row>
    <row r="1508" spans="27:34">
      <c r="AA1508">
        <v>11.97</v>
      </c>
      <c r="AB1508">
        <v>2.2000000000000002</v>
      </c>
      <c r="AD1508">
        <v>0.30769230800000003</v>
      </c>
      <c r="AH1508">
        <v>23025293</v>
      </c>
    </row>
    <row r="1509" spans="27:34">
      <c r="AA1509">
        <v>11.97</v>
      </c>
      <c r="AB1509">
        <v>2.2000000000000002</v>
      </c>
      <c r="AD1509">
        <v>0.30769230800000003</v>
      </c>
      <c r="AH1509">
        <v>23171871</v>
      </c>
    </row>
    <row r="1510" spans="27:34">
      <c r="AA1510">
        <v>11.97</v>
      </c>
      <c r="AB1510">
        <v>2.2000000000000002</v>
      </c>
      <c r="AD1510">
        <v>0.30769230800000003</v>
      </c>
      <c r="AH1510">
        <v>23301815</v>
      </c>
    </row>
    <row r="1511" spans="27:34">
      <c r="AA1511">
        <v>11.97</v>
      </c>
      <c r="AB1511">
        <v>2.2000000000000002</v>
      </c>
      <c r="AD1511">
        <v>0.30769230800000003</v>
      </c>
      <c r="AH1511">
        <v>23419659</v>
      </c>
    </row>
    <row r="1512" spans="27:34">
      <c r="AA1512">
        <v>11.97</v>
      </c>
      <c r="AB1512">
        <v>2.2000000000000002</v>
      </c>
      <c r="AD1512">
        <v>0.30769230800000003</v>
      </c>
      <c r="AH1512">
        <v>23529081</v>
      </c>
    </row>
    <row r="1513" spans="27:34">
      <c r="AA1513">
        <v>11.97</v>
      </c>
      <c r="AB1513">
        <v>2.2000000000000002</v>
      </c>
      <c r="AD1513">
        <v>0.30769230800000003</v>
      </c>
      <c r="AH1513">
        <v>23631592</v>
      </c>
    </row>
    <row r="1514" spans="27:34">
      <c r="AA1514">
        <v>11.97</v>
      </c>
      <c r="AB1514">
        <v>2.2000000000000002</v>
      </c>
      <c r="AD1514">
        <v>0.30769230800000003</v>
      </c>
      <c r="AH1514">
        <v>23727676</v>
      </c>
    </row>
    <row r="1515" spans="27:34">
      <c r="AA1515">
        <v>11.97</v>
      </c>
      <c r="AB1515">
        <v>2.2000000000000002</v>
      </c>
      <c r="AD1515">
        <v>0.30769230800000003</v>
      </c>
      <c r="AH1515">
        <v>23818753</v>
      </c>
    </row>
    <row r="1516" spans="27:34">
      <c r="AA1516">
        <v>11.97</v>
      </c>
      <c r="AB1516">
        <v>2.2000000000000002</v>
      </c>
      <c r="AD1516">
        <v>0.30769230800000003</v>
      </c>
      <c r="AH1516">
        <v>23906070</v>
      </c>
    </row>
    <row r="1517" spans="27:34">
      <c r="AA1517">
        <v>11.97</v>
      </c>
      <c r="AB1517">
        <v>2.2000000000000002</v>
      </c>
      <c r="AD1517">
        <v>0.30769230800000003</v>
      </c>
    </row>
    <row r="1518" spans="27:34">
      <c r="AA1518">
        <v>11.97</v>
      </c>
      <c r="AB1518">
        <v>2.2000000000000002</v>
      </c>
      <c r="AD1518">
        <v>0.30769230800000003</v>
      </c>
    </row>
    <row r="1519" spans="27:34">
      <c r="AA1519">
        <v>6.79</v>
      </c>
      <c r="AB1519">
        <v>1.2</v>
      </c>
      <c r="AC1519" t="e">
        <v>#N/A</v>
      </c>
      <c r="AD1519">
        <v>6.6513761000000005E-2</v>
      </c>
      <c r="AE1519">
        <v>100</v>
      </c>
      <c r="AG1519">
        <v>12465.1034762444</v>
      </c>
      <c r="AH1519">
        <v>45093000</v>
      </c>
    </row>
    <row r="1520" spans="27:34">
      <c r="AA1520">
        <v>6.79</v>
      </c>
      <c r="AB1520">
        <v>1.2</v>
      </c>
      <c r="AD1520">
        <v>6.6513761000000005E-2</v>
      </c>
      <c r="AG1520">
        <v>13481.518839239699</v>
      </c>
      <c r="AH1520">
        <v>45525000</v>
      </c>
    </row>
    <row r="1521" spans="27:34">
      <c r="AA1521">
        <v>6.79</v>
      </c>
      <c r="AB1521">
        <v>1.2</v>
      </c>
      <c r="AD1521">
        <v>6.6513761000000005E-2</v>
      </c>
      <c r="AG1521">
        <v>14329.4545600115</v>
      </c>
      <c r="AH1521">
        <v>45954000</v>
      </c>
    </row>
    <row r="1522" spans="27:34">
      <c r="AA1522">
        <v>6.79</v>
      </c>
      <c r="AB1522">
        <v>1.2</v>
      </c>
      <c r="AD1522">
        <v>6.6513761000000005E-2</v>
      </c>
      <c r="AG1522">
        <v>13512.0699129349</v>
      </c>
      <c r="AH1522">
        <v>46287000</v>
      </c>
    </row>
    <row r="1523" spans="27:34">
      <c r="AA1523">
        <v>6.79</v>
      </c>
      <c r="AB1523">
        <v>1.2</v>
      </c>
      <c r="AD1523">
        <v>6.6513761000000005E-2</v>
      </c>
      <c r="AG1523">
        <v>15046.5154001149</v>
      </c>
      <c r="AH1523">
        <v>46617000</v>
      </c>
    </row>
    <row r="1524" spans="27:34">
      <c r="AA1524">
        <v>6.79</v>
      </c>
      <c r="AB1524">
        <v>1.2</v>
      </c>
      <c r="AD1524">
        <v>6.6513761000000005E-2</v>
      </c>
      <c r="AE1524">
        <v>100</v>
      </c>
      <c r="AF1524">
        <v>36.54</v>
      </c>
      <c r="AG1524">
        <v>17197.080061946799</v>
      </c>
      <c r="AH1524">
        <v>47008000</v>
      </c>
    </row>
    <row r="1525" spans="27:34">
      <c r="AA1525">
        <v>6.79</v>
      </c>
      <c r="AB1525">
        <v>1.2</v>
      </c>
      <c r="AD1525">
        <v>6.6513761000000005E-2</v>
      </c>
      <c r="AG1525">
        <v>18151.012914852199</v>
      </c>
      <c r="AH1525">
        <v>47357000</v>
      </c>
    </row>
    <row r="1526" spans="27:34">
      <c r="AA1526">
        <v>6.79</v>
      </c>
      <c r="AB1526">
        <v>1.2</v>
      </c>
      <c r="AD1526">
        <v>6.6513761000000005E-2</v>
      </c>
      <c r="AG1526">
        <v>19655.668101943498</v>
      </c>
      <c r="AH1526">
        <v>47622000</v>
      </c>
    </row>
    <row r="1527" spans="27:34">
      <c r="AA1527">
        <v>6.79</v>
      </c>
      <c r="AB1527">
        <v>1.2</v>
      </c>
      <c r="AD1527">
        <v>6.6513761000000005E-2</v>
      </c>
      <c r="AG1527">
        <v>20181.063967510301</v>
      </c>
      <c r="AH1527">
        <v>47859000</v>
      </c>
    </row>
    <row r="1528" spans="27:34">
      <c r="AA1528">
        <v>6.79</v>
      </c>
      <c r="AB1528">
        <v>1.2</v>
      </c>
      <c r="AD1528">
        <v>6.6513761000000005E-2</v>
      </c>
      <c r="AG1528">
        <v>21630.348726790598</v>
      </c>
      <c r="AH1528">
        <v>48039000</v>
      </c>
    </row>
    <row r="1529" spans="27:34">
      <c r="AA1529">
        <v>6.79</v>
      </c>
      <c r="AB1529">
        <v>1.2</v>
      </c>
      <c r="AD1529">
        <v>6.6513761000000005E-2</v>
      </c>
      <c r="AE1529">
        <v>100</v>
      </c>
      <c r="AG1529">
        <v>22783.2700526441</v>
      </c>
      <c r="AH1529">
        <v>48138000</v>
      </c>
    </row>
    <row r="1530" spans="27:34">
      <c r="AA1530">
        <v>6.79</v>
      </c>
      <c r="AB1530">
        <v>1.2</v>
      </c>
      <c r="AD1530">
        <v>6.6513761000000005E-2</v>
      </c>
      <c r="AG1530">
        <v>24286.271542230599</v>
      </c>
      <c r="AH1530">
        <v>48297000</v>
      </c>
    </row>
    <row r="1531" spans="27:34">
      <c r="AA1531">
        <v>6.79</v>
      </c>
      <c r="AB1531">
        <v>1.2</v>
      </c>
      <c r="AD1531">
        <v>6.6513761000000005E-2</v>
      </c>
      <c r="AG1531">
        <v>26190.811406845602</v>
      </c>
      <c r="AH1531">
        <v>48456000</v>
      </c>
    </row>
    <row r="1532" spans="27:34">
      <c r="AA1532">
        <v>6.79</v>
      </c>
      <c r="AB1532">
        <v>1.2</v>
      </c>
      <c r="AD1532">
        <v>6.6513761000000005E-2</v>
      </c>
      <c r="AE1532">
        <v>100</v>
      </c>
      <c r="AG1532">
        <v>26876.5242262416</v>
      </c>
      <c r="AH1532">
        <v>48607000</v>
      </c>
    </row>
    <row r="1533" spans="27:34">
      <c r="AA1533">
        <v>6.79</v>
      </c>
      <c r="AB1533">
        <v>1.2</v>
      </c>
      <c r="AD1533">
        <v>6.6513761000000005E-2</v>
      </c>
      <c r="AG1533">
        <v>27099.777575974698</v>
      </c>
      <c r="AH1533">
        <v>48747000</v>
      </c>
    </row>
    <row r="1534" spans="27:34">
      <c r="AA1534">
        <v>6.79</v>
      </c>
      <c r="AB1534">
        <v>1.2</v>
      </c>
      <c r="AD1534">
        <v>6.6513761000000005E-2</v>
      </c>
    </row>
    <row r="1535" spans="27:34">
      <c r="AA1535">
        <v>6.79</v>
      </c>
      <c r="AB1535">
        <v>1.2</v>
      </c>
      <c r="AD1535">
        <v>6.6513761000000005E-2</v>
      </c>
    </row>
    <row r="1536" spans="27:34">
      <c r="AA1536">
        <v>-22.44</v>
      </c>
      <c r="AB1536">
        <v>2.8</v>
      </c>
      <c r="AC1536" t="e">
        <v>#N/A</v>
      </c>
      <c r="AD1536">
        <v>0.110416667</v>
      </c>
      <c r="AE1536">
        <v>100</v>
      </c>
      <c r="AF1536">
        <v>1535</v>
      </c>
      <c r="AG1536">
        <v>30648.792223397399</v>
      </c>
      <c r="AH1536">
        <v>1802000</v>
      </c>
    </row>
    <row r="1537" spans="27:34">
      <c r="AA1537">
        <v>-22.44</v>
      </c>
      <c r="AB1537">
        <v>2.8</v>
      </c>
      <c r="AD1537">
        <v>0.110416667</v>
      </c>
      <c r="AG1537">
        <v>29897.465215008899</v>
      </c>
      <c r="AH1537">
        <v>1894000</v>
      </c>
    </row>
    <row r="1538" spans="27:34">
      <c r="AA1538">
        <v>-22.44</v>
      </c>
      <c r="AB1538">
        <v>2.8</v>
      </c>
      <c r="AD1538">
        <v>0.110416667</v>
      </c>
      <c r="AG1538">
        <v>29825.895218893002</v>
      </c>
      <c r="AH1538">
        <v>1980000</v>
      </c>
    </row>
    <row r="1539" spans="27:34">
      <c r="AA1539">
        <v>-22.44</v>
      </c>
      <c r="AB1539">
        <v>2.8</v>
      </c>
      <c r="AD1539">
        <v>0.110416667</v>
      </c>
      <c r="AG1539">
        <v>30542.864944779201</v>
      </c>
      <c r="AH1539">
        <v>2027000</v>
      </c>
    </row>
    <row r="1540" spans="27:34">
      <c r="AA1540">
        <v>-22.44</v>
      </c>
      <c r="AB1540">
        <v>2.8</v>
      </c>
      <c r="AD1540">
        <v>0.110416667</v>
      </c>
      <c r="AG1540">
        <v>29280.4523337461</v>
      </c>
      <c r="AH1540">
        <v>2107000</v>
      </c>
    </row>
    <row r="1541" spans="27:34">
      <c r="AA1541">
        <v>-22.44</v>
      </c>
      <c r="AB1541">
        <v>2.8</v>
      </c>
      <c r="AD1541">
        <v>0.110416667</v>
      </c>
      <c r="AE1541">
        <v>100</v>
      </c>
      <c r="AF1541">
        <v>2465</v>
      </c>
      <c r="AG1541">
        <v>30131.344808050901</v>
      </c>
      <c r="AH1541">
        <v>2190000</v>
      </c>
    </row>
    <row r="1542" spans="27:34">
      <c r="AA1542">
        <v>-22.44</v>
      </c>
      <c r="AB1542">
        <v>2.8</v>
      </c>
      <c r="AD1542">
        <v>0.110416667</v>
      </c>
      <c r="AG1542">
        <v>29879.4071192704</v>
      </c>
      <c r="AH1542">
        <v>2275000</v>
      </c>
    </row>
    <row r="1543" spans="27:34">
      <c r="AA1543">
        <v>-22.44</v>
      </c>
      <c r="AB1543">
        <v>2.8</v>
      </c>
      <c r="AD1543">
        <v>0.110416667</v>
      </c>
      <c r="AG1543">
        <v>30473.1564917246</v>
      </c>
      <c r="AH1543">
        <v>2334919.2616910301</v>
      </c>
    </row>
    <row r="1544" spans="27:34">
      <c r="AA1544">
        <v>-22.44</v>
      </c>
      <c r="AB1544">
        <v>2.8</v>
      </c>
      <c r="AD1544">
        <v>0.110416667</v>
      </c>
      <c r="AG1544">
        <v>35584.449669840702</v>
      </c>
      <c r="AH1544">
        <v>2396416.68510585</v>
      </c>
    </row>
    <row r="1545" spans="27:34">
      <c r="AA1545">
        <v>-22.44</v>
      </c>
      <c r="AB1545">
        <v>2.8</v>
      </c>
      <c r="AD1545">
        <v>0.110416667</v>
      </c>
      <c r="AG1545">
        <v>39290.767704704398</v>
      </c>
      <c r="AH1545">
        <v>2459533.83608414</v>
      </c>
    </row>
    <row r="1546" spans="27:34">
      <c r="AA1546">
        <v>-22.44</v>
      </c>
      <c r="AB1546">
        <v>2.8</v>
      </c>
      <c r="AD1546">
        <v>0.110416667</v>
      </c>
      <c r="AE1546">
        <v>100</v>
      </c>
      <c r="AG1546">
        <v>43560.221723293304</v>
      </c>
      <c r="AH1546">
        <v>2535446.0557540702</v>
      </c>
    </row>
    <row r="1547" spans="27:34">
      <c r="AA1547">
        <v>-22.44</v>
      </c>
      <c r="AB1547">
        <v>2.8</v>
      </c>
      <c r="AD1547">
        <v>0.110416667</v>
      </c>
      <c r="AG1547">
        <v>46150.935680329902</v>
      </c>
      <c r="AH1547">
        <v>2599443.5284223901</v>
      </c>
    </row>
    <row r="1548" spans="27:34">
      <c r="AA1548">
        <v>-22.44</v>
      </c>
      <c r="AB1548">
        <v>2.8</v>
      </c>
      <c r="AD1548">
        <v>0.110416667</v>
      </c>
      <c r="AG1548">
        <v>48631.319212014401</v>
      </c>
      <c r="AH1548">
        <v>2662966.03535596</v>
      </c>
    </row>
    <row r="1549" spans="27:34">
      <c r="AA1549">
        <v>-22.44</v>
      </c>
      <c r="AB1549">
        <v>2.8</v>
      </c>
      <c r="AD1549">
        <v>0.110416667</v>
      </c>
      <c r="AE1549">
        <v>100</v>
      </c>
      <c r="AH1549">
        <v>2728040.8394804602</v>
      </c>
    </row>
    <row r="1550" spans="27:34">
      <c r="AA1550">
        <v>-22.44</v>
      </c>
      <c r="AB1550">
        <v>2.8</v>
      </c>
      <c r="AD1550">
        <v>0.110416667</v>
      </c>
      <c r="AH1550">
        <v>2794705.87422586</v>
      </c>
    </row>
    <row r="1551" spans="27:34">
      <c r="AA1551">
        <v>-22.44</v>
      </c>
      <c r="AB1551">
        <v>2.8</v>
      </c>
      <c r="AD1551">
        <v>0.110416667</v>
      </c>
    </row>
    <row r="1552" spans="27:34">
      <c r="AA1552">
        <v>-22.44</v>
      </c>
      <c r="AB1552">
        <v>2.8</v>
      </c>
      <c r="AD1552">
        <v>0.110416667</v>
      </c>
    </row>
    <row r="1553" spans="27:34">
      <c r="AA1553">
        <v>-1.52</v>
      </c>
      <c r="AB1553">
        <v>2.9</v>
      </c>
      <c r="AC1553">
        <v>244</v>
      </c>
      <c r="AD1553">
        <v>0.100810081</v>
      </c>
      <c r="AE1553">
        <v>93</v>
      </c>
      <c r="AF1553">
        <v>43.72</v>
      </c>
      <c r="AG1553">
        <v>997.85203497919804</v>
      </c>
      <c r="AH1553">
        <v>4589900</v>
      </c>
    </row>
    <row r="1554" spans="27:34">
      <c r="AA1554">
        <v>-1.52</v>
      </c>
      <c r="AB1554">
        <v>2.9</v>
      </c>
      <c r="AC1554">
        <v>244</v>
      </c>
      <c r="AD1554">
        <v>0.100810081</v>
      </c>
      <c r="AG1554">
        <v>1073.28691594971</v>
      </c>
      <c r="AH1554">
        <v>4657000</v>
      </c>
    </row>
    <row r="1555" spans="27:34">
      <c r="AA1555">
        <v>-1.52</v>
      </c>
      <c r="AB1555">
        <v>2.9</v>
      </c>
      <c r="AC1555">
        <v>244</v>
      </c>
      <c r="AD1555">
        <v>0.100810081</v>
      </c>
      <c r="AG1555">
        <v>1183.3450416251701</v>
      </c>
      <c r="AH1555">
        <v>4725000</v>
      </c>
    </row>
    <row r="1556" spans="27:34">
      <c r="AA1556">
        <v>-1.52</v>
      </c>
      <c r="AB1556">
        <v>2.9</v>
      </c>
      <c r="AC1556">
        <v>244</v>
      </c>
      <c r="AD1556">
        <v>0.100810081</v>
      </c>
      <c r="AG1556">
        <v>1203.7800140694701</v>
      </c>
      <c r="AH1556">
        <v>4797000</v>
      </c>
    </row>
    <row r="1557" spans="27:34">
      <c r="AA1557">
        <v>-1.52</v>
      </c>
      <c r="AB1557">
        <v>2.9</v>
      </c>
      <c r="AC1557">
        <v>244</v>
      </c>
      <c r="AD1557">
        <v>0.100810081</v>
      </c>
      <c r="AG1557">
        <v>1248.4811206808599</v>
      </c>
      <c r="AH1557">
        <v>4864600</v>
      </c>
    </row>
    <row r="1558" spans="27:34">
      <c r="AA1558">
        <v>-1.52</v>
      </c>
      <c r="AB1558">
        <v>2.9</v>
      </c>
      <c r="AC1558">
        <v>244</v>
      </c>
      <c r="AD1558">
        <v>0.100810081</v>
      </c>
      <c r="AE1558">
        <v>93</v>
      </c>
      <c r="AF1558">
        <v>43.67</v>
      </c>
      <c r="AG1558">
        <v>1331.0487370870001</v>
      </c>
      <c r="AH1558">
        <v>4915300</v>
      </c>
    </row>
    <row r="1559" spans="27:34">
      <c r="AA1559">
        <v>-1.52</v>
      </c>
      <c r="AB1559">
        <v>2.9</v>
      </c>
      <c r="AC1559">
        <v>244</v>
      </c>
      <c r="AD1559">
        <v>0.100810081</v>
      </c>
      <c r="AG1559">
        <v>1422.30934741593</v>
      </c>
      <c r="AH1559">
        <v>4954800</v>
      </c>
    </row>
    <row r="1560" spans="27:34">
      <c r="AA1560">
        <v>-1.52</v>
      </c>
      <c r="AB1560">
        <v>2.9</v>
      </c>
      <c r="AC1560">
        <v>244</v>
      </c>
      <c r="AD1560">
        <v>0.100810081</v>
      </c>
      <c r="AG1560">
        <v>1434.0509112859099</v>
      </c>
      <c r="AH1560">
        <v>4993200</v>
      </c>
    </row>
    <row r="1561" spans="27:34">
      <c r="AA1561">
        <v>-1.52</v>
      </c>
      <c r="AB1561">
        <v>2.9</v>
      </c>
      <c r="AC1561">
        <v>244</v>
      </c>
      <c r="AD1561">
        <v>0.100810081</v>
      </c>
      <c r="AG1561">
        <v>1553.4977389789899</v>
      </c>
      <c r="AH1561">
        <v>5038600</v>
      </c>
    </row>
    <row r="1562" spans="27:34">
      <c r="AA1562">
        <v>-1.52</v>
      </c>
      <c r="AB1562">
        <v>2.9</v>
      </c>
      <c r="AC1562">
        <v>244</v>
      </c>
      <c r="AD1562">
        <v>0.100810081</v>
      </c>
      <c r="AG1562">
        <v>1691.59203716774</v>
      </c>
      <c r="AH1562">
        <v>5092802</v>
      </c>
    </row>
    <row r="1563" spans="27:34">
      <c r="AA1563">
        <v>-1.52</v>
      </c>
      <c r="AB1563">
        <v>2.9</v>
      </c>
      <c r="AC1563">
        <v>244</v>
      </c>
      <c r="AD1563">
        <v>0.100810081</v>
      </c>
      <c r="AE1563">
        <v>93</v>
      </c>
      <c r="AG1563">
        <v>1727.73299491745</v>
      </c>
      <c r="AH1563">
        <v>5143500</v>
      </c>
    </row>
    <row r="1564" spans="27:34">
      <c r="AA1564">
        <v>-1.52</v>
      </c>
      <c r="AB1564">
        <v>2.9</v>
      </c>
      <c r="AC1564">
        <v>244</v>
      </c>
      <c r="AD1564">
        <v>0.100810081</v>
      </c>
      <c r="AG1564">
        <v>1822.06514197503</v>
      </c>
      <c r="AH1564">
        <v>5192100</v>
      </c>
    </row>
    <row r="1565" spans="27:34">
      <c r="AA1565">
        <v>-1.52</v>
      </c>
      <c r="AB1565">
        <v>2.9</v>
      </c>
      <c r="AC1565">
        <v>244</v>
      </c>
      <c r="AD1565">
        <v>0.100810081</v>
      </c>
      <c r="AG1565">
        <v>2028.80724861305</v>
      </c>
      <c r="AH1565">
        <v>5234800</v>
      </c>
    </row>
    <row r="1566" spans="27:34">
      <c r="AA1566">
        <v>-1.52</v>
      </c>
      <c r="AB1566">
        <v>2.9</v>
      </c>
      <c r="AC1566">
        <v>244</v>
      </c>
      <c r="AD1566">
        <v>0.100810081</v>
      </c>
      <c r="AE1566">
        <v>93</v>
      </c>
      <c r="AG1566">
        <v>2228.98637870009</v>
      </c>
      <c r="AH1566">
        <v>5277900</v>
      </c>
    </row>
    <row r="1567" spans="27:34">
      <c r="AA1567">
        <v>-1.52</v>
      </c>
      <c r="AB1567">
        <v>2.9</v>
      </c>
      <c r="AC1567">
        <v>244</v>
      </c>
      <c r="AD1567">
        <v>0.100810081</v>
      </c>
      <c r="AG1567">
        <v>2283.3054419981299</v>
      </c>
      <c r="AH1567">
        <v>5321354.8578742296</v>
      </c>
    </row>
    <row r="1568" spans="27:34">
      <c r="AA1568">
        <v>-1.52</v>
      </c>
      <c r="AB1568">
        <v>2.9</v>
      </c>
      <c r="AC1568">
        <v>244</v>
      </c>
      <c r="AD1568">
        <v>0.100810081</v>
      </c>
    </row>
    <row r="1569" spans="27:34">
      <c r="AA1569">
        <v>-1.52</v>
      </c>
      <c r="AB1569">
        <v>2.9</v>
      </c>
      <c r="AC1569">
        <v>244</v>
      </c>
      <c r="AD1569">
        <v>0.100810081</v>
      </c>
    </row>
    <row r="1570" spans="27:34">
      <c r="AA1570">
        <v>-1.02</v>
      </c>
      <c r="AB1570">
        <v>3.5</v>
      </c>
      <c r="AC1570">
        <v>242</v>
      </c>
      <c r="AD1570">
        <v>0.29984051</v>
      </c>
      <c r="AE1570">
        <v>18</v>
      </c>
      <c r="AG1570">
        <v>900.97030242833603</v>
      </c>
      <c r="AH1570">
        <v>4808652</v>
      </c>
    </row>
    <row r="1571" spans="27:34">
      <c r="AA1571">
        <v>-1.02</v>
      </c>
      <c r="AB1571">
        <v>3.5</v>
      </c>
      <c r="AC1571">
        <v>242</v>
      </c>
      <c r="AD1571">
        <v>0.29984051</v>
      </c>
      <c r="AG1571">
        <v>957.27308056932497</v>
      </c>
      <c r="AH1571">
        <v>4931929</v>
      </c>
    </row>
    <row r="1572" spans="27:34">
      <c r="AA1572">
        <v>-1.02</v>
      </c>
      <c r="AB1572">
        <v>3.5</v>
      </c>
      <c r="AC1572">
        <v>242</v>
      </c>
      <c r="AD1572">
        <v>0.29984051</v>
      </c>
      <c r="AG1572">
        <v>1015.73965803099</v>
      </c>
      <c r="AH1572">
        <v>5055546</v>
      </c>
    </row>
    <row r="1573" spans="27:34">
      <c r="AA1573">
        <v>-1.02</v>
      </c>
      <c r="AB1573">
        <v>3.5</v>
      </c>
      <c r="AC1573">
        <v>242</v>
      </c>
      <c r="AD1573">
        <v>0.29984051</v>
      </c>
      <c r="AG1573">
        <v>1042.89932975135</v>
      </c>
      <c r="AH1573">
        <v>5177155</v>
      </c>
    </row>
    <row r="1574" spans="27:34">
      <c r="AA1574">
        <v>-1.02</v>
      </c>
      <c r="AB1574">
        <v>3.5</v>
      </c>
      <c r="AC1574">
        <v>242</v>
      </c>
      <c r="AD1574">
        <v>0.29984051</v>
      </c>
      <c r="AG1574">
        <v>1110.49827581825</v>
      </c>
      <c r="AH1574">
        <v>5293707</v>
      </c>
    </row>
    <row r="1575" spans="27:34">
      <c r="AA1575">
        <v>-1.02</v>
      </c>
      <c r="AB1575">
        <v>3.5</v>
      </c>
      <c r="AC1575">
        <v>242</v>
      </c>
      <c r="AD1575">
        <v>0.29984051</v>
      </c>
      <c r="AE1575">
        <v>26</v>
      </c>
      <c r="AF1575">
        <v>0.89959999999999996</v>
      </c>
      <c r="AG1575">
        <v>1175.8428112900001</v>
      </c>
      <c r="AH1575">
        <v>5403262</v>
      </c>
    </row>
    <row r="1576" spans="27:34">
      <c r="AA1576">
        <v>-1.02</v>
      </c>
      <c r="AB1576">
        <v>3.5</v>
      </c>
      <c r="AC1576">
        <v>242</v>
      </c>
      <c r="AD1576">
        <v>0.29984051</v>
      </c>
      <c r="AG1576">
        <v>1248.4225856354001</v>
      </c>
      <c r="AH1576">
        <v>5504654</v>
      </c>
    </row>
    <row r="1577" spans="27:34">
      <c r="AA1577">
        <v>-1.02</v>
      </c>
      <c r="AB1577">
        <v>3.5</v>
      </c>
      <c r="AC1577">
        <v>242</v>
      </c>
      <c r="AD1577">
        <v>0.29984051</v>
      </c>
      <c r="AG1577">
        <v>1321.0634383102799</v>
      </c>
      <c r="AH1577">
        <v>5599120</v>
      </c>
    </row>
    <row r="1578" spans="27:34">
      <c r="AA1578">
        <v>-1.02</v>
      </c>
      <c r="AB1578">
        <v>3.5</v>
      </c>
      <c r="AC1578">
        <v>242</v>
      </c>
      <c r="AD1578">
        <v>0.29984051</v>
      </c>
      <c r="AG1578">
        <v>1409.15217023172</v>
      </c>
      <c r="AH1578">
        <v>5690114</v>
      </c>
    </row>
    <row r="1579" spans="27:34">
      <c r="AA1579">
        <v>-1.02</v>
      </c>
      <c r="AB1579">
        <v>3.5</v>
      </c>
      <c r="AC1579">
        <v>242</v>
      </c>
      <c r="AD1579">
        <v>0.29984051</v>
      </c>
      <c r="AG1579">
        <v>1517.20033402637</v>
      </c>
      <c r="AH1579">
        <v>5782514</v>
      </c>
    </row>
    <row r="1580" spans="27:34">
      <c r="AA1580">
        <v>-1.02</v>
      </c>
      <c r="AB1580">
        <v>3.5</v>
      </c>
      <c r="AC1580">
        <v>242</v>
      </c>
      <c r="AD1580">
        <v>0.29984051</v>
      </c>
      <c r="AE1580">
        <v>43</v>
      </c>
      <c r="AG1580">
        <v>1651.3025212520499</v>
      </c>
      <c r="AH1580">
        <v>5879880</v>
      </c>
    </row>
    <row r="1581" spans="27:34">
      <c r="AA1581">
        <v>-1.02</v>
      </c>
      <c r="AB1581">
        <v>3.5</v>
      </c>
      <c r="AC1581">
        <v>242</v>
      </c>
      <c r="AD1581">
        <v>0.29984051</v>
      </c>
      <c r="AG1581">
        <v>1818.13285207337</v>
      </c>
      <c r="AH1581">
        <v>5983451</v>
      </c>
    </row>
    <row r="1582" spans="27:34">
      <c r="AA1582">
        <v>-1.02</v>
      </c>
      <c r="AB1582">
        <v>3.5</v>
      </c>
      <c r="AC1582">
        <v>242</v>
      </c>
      <c r="AD1582">
        <v>0.29984051</v>
      </c>
      <c r="AG1582">
        <v>1987.70639468289</v>
      </c>
      <c r="AH1582">
        <v>6092332</v>
      </c>
    </row>
    <row r="1583" spans="27:34">
      <c r="AA1583">
        <v>-1.02</v>
      </c>
      <c r="AB1583">
        <v>3.5</v>
      </c>
      <c r="AC1583">
        <v>242</v>
      </c>
      <c r="AD1583">
        <v>0.29984051</v>
      </c>
      <c r="AE1583">
        <v>53</v>
      </c>
      <c r="AG1583">
        <v>2138.9844730933801</v>
      </c>
      <c r="AH1583">
        <v>6205341</v>
      </c>
    </row>
    <row r="1584" spans="27:34">
      <c r="AA1584">
        <v>-1.02</v>
      </c>
      <c r="AB1584">
        <v>3.5</v>
      </c>
      <c r="AC1584">
        <v>242</v>
      </c>
      <c r="AD1584">
        <v>0.29984051</v>
      </c>
      <c r="AG1584">
        <v>2255.4408179493598</v>
      </c>
      <c r="AH1584">
        <v>6320429</v>
      </c>
    </row>
    <row r="1585" spans="27:34">
      <c r="AA1585">
        <v>-1.02</v>
      </c>
      <c r="AB1585">
        <v>3.5</v>
      </c>
      <c r="AC1585">
        <v>242</v>
      </c>
      <c r="AD1585">
        <v>0.29984051</v>
      </c>
    </row>
    <row r="1586" spans="27:34">
      <c r="AA1586">
        <v>-1.02</v>
      </c>
      <c r="AB1586">
        <v>3.5</v>
      </c>
      <c r="AC1586">
        <v>242</v>
      </c>
      <c r="AD1586">
        <v>0.29984051</v>
      </c>
    </row>
    <row r="1587" spans="27:34">
      <c r="AA1587">
        <v>6.72</v>
      </c>
      <c r="AB1587">
        <v>2.8</v>
      </c>
      <c r="AC1587">
        <v>0</v>
      </c>
      <c r="AD1587">
        <v>3.8314175999999998E-2</v>
      </c>
      <c r="AF1587">
        <v>0.80389999999999995</v>
      </c>
      <c r="AG1587">
        <v>5326.3586197416598</v>
      </c>
      <c r="AH1587">
        <v>2515000</v>
      </c>
    </row>
    <row r="1588" spans="27:34">
      <c r="AA1588">
        <v>6.72</v>
      </c>
      <c r="AB1588">
        <v>2.8</v>
      </c>
      <c r="AC1588">
        <v>0</v>
      </c>
      <c r="AD1588">
        <v>3.8314175999999998E-2</v>
      </c>
      <c r="AG1588">
        <v>5688.8546482258498</v>
      </c>
      <c r="AH1588">
        <v>2491000</v>
      </c>
    </row>
    <row r="1589" spans="27:34">
      <c r="AA1589">
        <v>6.72</v>
      </c>
      <c r="AB1589">
        <v>2.8</v>
      </c>
      <c r="AC1589">
        <v>0</v>
      </c>
      <c r="AD1589">
        <v>3.8314175999999998E-2</v>
      </c>
      <c r="AG1589">
        <v>6386.1266745133598</v>
      </c>
      <c r="AH1589">
        <v>2450000</v>
      </c>
    </row>
    <row r="1590" spans="27:34">
      <c r="AA1590">
        <v>6.72</v>
      </c>
      <c r="AB1590">
        <v>2.8</v>
      </c>
      <c r="AC1590">
        <v>0</v>
      </c>
      <c r="AD1590">
        <v>3.8314175999999998E-2</v>
      </c>
      <c r="AG1590">
        <v>6928.1269636020397</v>
      </c>
      <c r="AH1590">
        <v>2410000</v>
      </c>
    </row>
    <row r="1591" spans="27:34">
      <c r="AA1591">
        <v>6.72</v>
      </c>
      <c r="AB1591">
        <v>2.8</v>
      </c>
      <c r="AC1591">
        <v>0</v>
      </c>
      <c r="AD1591">
        <v>3.8314175999999998E-2</v>
      </c>
      <c r="AG1591">
        <v>7415.0901341072804</v>
      </c>
      <c r="AH1591">
        <v>2390000</v>
      </c>
    </row>
    <row r="1592" spans="27:34">
      <c r="AA1592">
        <v>6.72</v>
      </c>
      <c r="AB1592">
        <v>2.8</v>
      </c>
      <c r="AC1592">
        <v>0</v>
      </c>
      <c r="AD1592">
        <v>3.8314175999999998E-2</v>
      </c>
      <c r="AE1592">
        <v>78</v>
      </c>
      <c r="AF1592">
        <v>1.165</v>
      </c>
      <c r="AG1592">
        <v>8040.2349277744297</v>
      </c>
      <c r="AH1592">
        <v>2372000</v>
      </c>
    </row>
    <row r="1593" spans="27:34">
      <c r="AA1593">
        <v>6.72</v>
      </c>
      <c r="AB1593">
        <v>2.8</v>
      </c>
      <c r="AC1593">
        <v>0</v>
      </c>
      <c r="AD1593">
        <v>3.8314175999999998E-2</v>
      </c>
      <c r="AG1593">
        <v>8901.1058601197492</v>
      </c>
      <c r="AH1593">
        <v>2359000</v>
      </c>
    </row>
    <row r="1594" spans="27:34">
      <c r="AA1594">
        <v>6.72</v>
      </c>
      <c r="AB1594">
        <v>2.8</v>
      </c>
      <c r="AC1594">
        <v>0</v>
      </c>
      <c r="AD1594">
        <v>3.8314175999999998E-2</v>
      </c>
      <c r="AG1594">
        <v>9869.1383534417801</v>
      </c>
      <c r="AH1594">
        <v>2338000</v>
      </c>
    </row>
    <row r="1595" spans="27:34">
      <c r="AA1595">
        <v>6.72</v>
      </c>
      <c r="AB1595">
        <v>2.8</v>
      </c>
      <c r="AC1595">
        <v>0</v>
      </c>
      <c r="AD1595">
        <v>3.8314175999999998E-2</v>
      </c>
      <c r="AG1595">
        <v>10616.917592755401</v>
      </c>
      <c r="AH1595">
        <v>2325341.8673390802</v>
      </c>
    </row>
    <row r="1596" spans="27:34">
      <c r="AA1596">
        <v>6.72</v>
      </c>
      <c r="AB1596">
        <v>2.8</v>
      </c>
      <c r="AC1596">
        <v>0</v>
      </c>
      <c r="AD1596">
        <v>3.8314175999999998E-2</v>
      </c>
      <c r="AG1596">
        <v>11734.658374701399</v>
      </c>
      <c r="AH1596">
        <v>2312791.1449155998</v>
      </c>
    </row>
    <row r="1597" spans="27:34">
      <c r="AA1597">
        <v>6.72</v>
      </c>
      <c r="AB1597">
        <v>2.8</v>
      </c>
      <c r="AC1597">
        <v>0</v>
      </c>
      <c r="AD1597">
        <v>3.8314175999999998E-2</v>
      </c>
      <c r="AE1597">
        <v>78</v>
      </c>
      <c r="AG1597">
        <v>13037.8603149388</v>
      </c>
      <c r="AH1597">
        <v>2300500</v>
      </c>
    </row>
    <row r="1598" spans="27:34">
      <c r="AA1598">
        <v>6.72</v>
      </c>
      <c r="AB1598">
        <v>2.8</v>
      </c>
      <c r="AC1598">
        <v>0</v>
      </c>
      <c r="AD1598">
        <v>3.8314175999999998E-2</v>
      </c>
      <c r="AG1598">
        <v>14983.9700878737</v>
      </c>
      <c r="AH1598">
        <v>2287948</v>
      </c>
    </row>
    <row r="1599" spans="27:34">
      <c r="AA1599">
        <v>6.72</v>
      </c>
      <c r="AB1599">
        <v>2.8</v>
      </c>
      <c r="AC1599">
        <v>0</v>
      </c>
      <c r="AD1599">
        <v>3.8314175999999998E-2</v>
      </c>
      <c r="AG1599">
        <v>17175.144019528099</v>
      </c>
      <c r="AH1599">
        <v>2276100</v>
      </c>
    </row>
    <row r="1600" spans="27:34">
      <c r="AA1600">
        <v>6.72</v>
      </c>
      <c r="AB1600">
        <v>2.8</v>
      </c>
      <c r="AC1600">
        <v>0</v>
      </c>
      <c r="AD1600">
        <v>3.8314175999999998E-2</v>
      </c>
      <c r="AE1600">
        <v>78</v>
      </c>
      <c r="AG1600">
        <v>18324.187860358899</v>
      </c>
      <c r="AH1600">
        <v>2266094</v>
      </c>
    </row>
    <row r="1601" spans="27:34">
      <c r="AA1601">
        <v>6.72</v>
      </c>
      <c r="AB1601">
        <v>2.8</v>
      </c>
      <c r="AC1601">
        <v>0</v>
      </c>
      <c r="AD1601">
        <v>3.8314175999999998E-2</v>
      </c>
      <c r="AG1601">
        <v>16437.411064003001</v>
      </c>
      <c r="AH1601">
        <v>2255128</v>
      </c>
    </row>
    <row r="1602" spans="27:34">
      <c r="AA1602">
        <v>6.72</v>
      </c>
      <c r="AB1602">
        <v>2.8</v>
      </c>
      <c r="AC1602">
        <v>0</v>
      </c>
      <c r="AD1602">
        <v>3.8314175999999998E-2</v>
      </c>
    </row>
    <row r="1603" spans="27:34">
      <c r="AA1603">
        <v>6.72</v>
      </c>
      <c r="AB1603">
        <v>2.8</v>
      </c>
      <c r="AC1603">
        <v>0</v>
      </c>
      <c r="AD1603">
        <v>3.8314175999999998E-2</v>
      </c>
    </row>
    <row r="1604" spans="27:34">
      <c r="AA1604">
        <v>-16.2</v>
      </c>
      <c r="AB1604">
        <v>1.9</v>
      </c>
      <c r="AC1604">
        <v>40</v>
      </c>
      <c r="AD1604">
        <v>6.6666666999999999E-2</v>
      </c>
      <c r="AE1604">
        <v>98</v>
      </c>
      <c r="AF1604">
        <v>28.71</v>
      </c>
      <c r="AG1604">
        <v>7026.02990817112</v>
      </c>
      <c r="AH1604">
        <v>3490743</v>
      </c>
    </row>
    <row r="1605" spans="27:34">
      <c r="AA1605">
        <v>-16.2</v>
      </c>
      <c r="AB1605">
        <v>1.9</v>
      </c>
      <c r="AC1605">
        <v>40</v>
      </c>
      <c r="AD1605">
        <v>6.6666666999999999E-2</v>
      </c>
      <c r="AG1605">
        <v>7366.8709902087403</v>
      </c>
      <c r="AH1605">
        <v>3567175</v>
      </c>
    </row>
    <row r="1606" spans="27:34">
      <c r="AA1606">
        <v>-16.2</v>
      </c>
      <c r="AB1606">
        <v>1.9</v>
      </c>
      <c r="AC1606">
        <v>40</v>
      </c>
      <c r="AD1606">
        <v>6.6666666999999999E-2</v>
      </c>
      <c r="AG1606">
        <v>7207.4469710554004</v>
      </c>
      <c r="AH1606">
        <v>3625875</v>
      </c>
    </row>
    <row r="1607" spans="27:34">
      <c r="AA1607">
        <v>-16.2</v>
      </c>
      <c r="AB1607">
        <v>1.9</v>
      </c>
      <c r="AC1607">
        <v>40</v>
      </c>
      <c r="AD1607">
        <v>6.6666666999999999E-2</v>
      </c>
      <c r="AG1607">
        <v>7453.3675274263496</v>
      </c>
      <c r="AH1607">
        <v>3673294</v>
      </c>
    </row>
    <row r="1608" spans="27:34">
      <c r="AA1608">
        <v>-16.2</v>
      </c>
      <c r="AB1608">
        <v>1.9</v>
      </c>
      <c r="AC1608">
        <v>40</v>
      </c>
      <c r="AD1608">
        <v>6.6666666999999999E-2</v>
      </c>
      <c r="AG1608">
        <v>7434.4601359385997</v>
      </c>
      <c r="AH1608">
        <v>3719678</v>
      </c>
    </row>
    <row r="1609" spans="27:34">
      <c r="AA1609">
        <v>-16.2</v>
      </c>
      <c r="AB1609">
        <v>1.9</v>
      </c>
      <c r="AC1609">
        <v>40</v>
      </c>
      <c r="AD1609">
        <v>6.6666666999999999E-2</v>
      </c>
      <c r="AE1609">
        <v>98</v>
      </c>
      <c r="AF1609">
        <v>31.82</v>
      </c>
      <c r="AG1609">
        <v>7590.0554531197504</v>
      </c>
      <c r="AH1609">
        <v>3772283</v>
      </c>
    </row>
    <row r="1610" spans="27:34">
      <c r="AA1610">
        <v>-16.2</v>
      </c>
      <c r="AB1610">
        <v>1.9</v>
      </c>
      <c r="AC1610">
        <v>40</v>
      </c>
      <c r="AD1610">
        <v>6.6666666999999999E-2</v>
      </c>
      <c r="AG1610">
        <v>7941.2167365415598</v>
      </c>
      <c r="AH1610">
        <v>3832988</v>
      </c>
    </row>
    <row r="1611" spans="27:34">
      <c r="AA1611">
        <v>-16.2</v>
      </c>
      <c r="AB1611">
        <v>1.9</v>
      </c>
      <c r="AC1611">
        <v>40</v>
      </c>
      <c r="AD1611">
        <v>6.6666666999999999E-2</v>
      </c>
      <c r="AG1611">
        <v>8202.0695517044296</v>
      </c>
      <c r="AH1611">
        <v>3898617</v>
      </c>
    </row>
    <row r="1612" spans="27:34">
      <c r="AA1612">
        <v>-16.2</v>
      </c>
      <c r="AB1612">
        <v>1.9</v>
      </c>
      <c r="AC1612">
        <v>40</v>
      </c>
      <c r="AD1612">
        <v>6.6666666999999999E-2</v>
      </c>
      <c r="AG1612">
        <v>8504.3902122659201</v>
      </c>
      <c r="AH1612">
        <v>3965419</v>
      </c>
    </row>
    <row r="1613" spans="27:34">
      <c r="AA1613">
        <v>-16.2</v>
      </c>
      <c r="AB1613">
        <v>1.9</v>
      </c>
      <c r="AC1613">
        <v>40</v>
      </c>
      <c r="AD1613">
        <v>6.6666666999999999E-2</v>
      </c>
      <c r="AG1613">
        <v>9254.0930894310004</v>
      </c>
      <c r="AH1613">
        <v>4027730</v>
      </c>
    </row>
    <row r="1614" spans="27:34">
      <c r="AA1614">
        <v>-16.2</v>
      </c>
      <c r="AB1614">
        <v>1.9</v>
      </c>
      <c r="AC1614">
        <v>40</v>
      </c>
      <c r="AD1614">
        <v>6.6666666999999999E-2</v>
      </c>
      <c r="AE1614">
        <v>98</v>
      </c>
      <c r="AF1614">
        <v>28.05</v>
      </c>
      <c r="AG1614">
        <v>9517.1669908853892</v>
      </c>
      <c r="AH1614">
        <v>4081594</v>
      </c>
    </row>
    <row r="1615" spans="27:34">
      <c r="AA1615">
        <v>-16.2</v>
      </c>
      <c r="AB1615">
        <v>1.9</v>
      </c>
      <c r="AC1615">
        <v>40</v>
      </c>
      <c r="AD1615">
        <v>6.6666666999999999E-2</v>
      </c>
      <c r="AG1615">
        <v>9785.8671383920391</v>
      </c>
      <c r="AH1615">
        <v>4125896</v>
      </c>
    </row>
    <row r="1616" spans="27:34">
      <c r="AA1616">
        <v>-16.2</v>
      </c>
      <c r="AB1616">
        <v>1.9</v>
      </c>
      <c r="AC1616">
        <v>40</v>
      </c>
      <c r="AD1616">
        <v>6.6666666999999999E-2</v>
      </c>
      <c r="AG1616">
        <v>10797.529668785201</v>
      </c>
      <c r="AH1616">
        <v>4162450</v>
      </c>
    </row>
    <row r="1617" spans="27:34">
      <c r="AA1617">
        <v>-16.2</v>
      </c>
      <c r="AB1617">
        <v>1.9</v>
      </c>
      <c r="AC1617">
        <v>40</v>
      </c>
      <c r="AD1617">
        <v>6.6666666999999999E-2</v>
      </c>
      <c r="AG1617">
        <v>11966.195920718201</v>
      </c>
      <c r="AH1617">
        <v>4193758</v>
      </c>
    </row>
    <row r="1618" spans="27:34">
      <c r="AA1618">
        <v>-16.2</v>
      </c>
      <c r="AB1618">
        <v>1.9</v>
      </c>
      <c r="AC1618">
        <v>40</v>
      </c>
      <c r="AD1618">
        <v>6.6666666999999999E-2</v>
      </c>
      <c r="AG1618">
        <v>13069.7341190795</v>
      </c>
      <c r="AH1618">
        <v>4223553</v>
      </c>
    </row>
    <row r="1619" spans="27:34">
      <c r="AA1619">
        <v>-16.2</v>
      </c>
      <c r="AB1619">
        <v>1.9</v>
      </c>
      <c r="AC1619">
        <v>40</v>
      </c>
      <c r="AD1619">
        <v>6.6666666999999999E-2</v>
      </c>
    </row>
    <row r="1620" spans="27:34">
      <c r="AA1620">
        <v>-16.2</v>
      </c>
      <c r="AB1620">
        <v>1.9</v>
      </c>
      <c r="AC1620">
        <v>40</v>
      </c>
      <c r="AD1620">
        <v>6.6666666999999999E-2</v>
      </c>
    </row>
    <row r="1621" spans="27:34">
      <c r="AA1621">
        <v>-7.4</v>
      </c>
      <c r="AB1621">
        <v>3</v>
      </c>
      <c r="AC1621">
        <v>44</v>
      </c>
      <c r="AD1621">
        <v>0.57834101400000004</v>
      </c>
      <c r="AE1621">
        <v>31</v>
      </c>
      <c r="AG1621">
        <v>823.31864788183304</v>
      </c>
      <c r="AH1621">
        <v>1725707</v>
      </c>
    </row>
    <row r="1622" spans="27:34">
      <c r="AA1622">
        <v>-7.4</v>
      </c>
      <c r="AB1622">
        <v>3</v>
      </c>
      <c r="AC1622">
        <v>44</v>
      </c>
      <c r="AD1622">
        <v>0.57834101400000004</v>
      </c>
      <c r="AG1622">
        <v>862.67964204357702</v>
      </c>
      <c r="AH1622">
        <v>1756889</v>
      </c>
    </row>
    <row r="1623" spans="27:34">
      <c r="AA1623">
        <v>-7.4</v>
      </c>
      <c r="AB1623">
        <v>3</v>
      </c>
      <c r="AC1623">
        <v>44</v>
      </c>
      <c r="AD1623">
        <v>0.57834101400000004</v>
      </c>
      <c r="AG1623">
        <v>891.01192950805398</v>
      </c>
      <c r="AH1623">
        <v>1790692</v>
      </c>
    </row>
    <row r="1624" spans="27:34">
      <c r="AA1624">
        <v>-7.4</v>
      </c>
      <c r="AB1624">
        <v>3</v>
      </c>
      <c r="AC1624">
        <v>44</v>
      </c>
      <c r="AD1624">
        <v>0.57834101400000004</v>
      </c>
      <c r="AG1624">
        <v>932.48268405643103</v>
      </c>
      <c r="AH1624">
        <v>1825395</v>
      </c>
    </row>
    <row r="1625" spans="27:34">
      <c r="AA1625">
        <v>-7.4</v>
      </c>
      <c r="AB1625">
        <v>3</v>
      </c>
      <c r="AC1625">
        <v>44</v>
      </c>
      <c r="AD1625">
        <v>0.57834101400000004</v>
      </c>
      <c r="AG1625">
        <v>932.75196794640101</v>
      </c>
      <c r="AH1625">
        <v>1858582</v>
      </c>
    </row>
    <row r="1626" spans="27:34">
      <c r="AA1626">
        <v>-7.4</v>
      </c>
      <c r="AB1626">
        <v>3</v>
      </c>
      <c r="AC1626">
        <v>44</v>
      </c>
      <c r="AD1626">
        <v>0.57834101400000004</v>
      </c>
      <c r="AE1626">
        <v>29</v>
      </c>
      <c r="AF1626">
        <v>1.655</v>
      </c>
      <c r="AG1626">
        <v>990.91121017955402</v>
      </c>
      <c r="AH1626">
        <v>1888520</v>
      </c>
    </row>
    <row r="1627" spans="27:34">
      <c r="AA1627">
        <v>-7.4</v>
      </c>
      <c r="AB1627">
        <v>3</v>
      </c>
      <c r="AC1627">
        <v>44</v>
      </c>
      <c r="AD1627">
        <v>0.57834101400000004</v>
      </c>
      <c r="AG1627">
        <v>1041.2019252969001</v>
      </c>
      <c r="AH1627">
        <v>1914608</v>
      </c>
    </row>
    <row r="1628" spans="27:34">
      <c r="AA1628">
        <v>-7.4</v>
      </c>
      <c r="AB1628">
        <v>3</v>
      </c>
      <c r="AC1628">
        <v>44</v>
      </c>
      <c r="AD1628">
        <v>0.57834101400000004</v>
      </c>
      <c r="AG1628">
        <v>1056.8692989163001</v>
      </c>
      <c r="AH1628">
        <v>1937371</v>
      </c>
    </row>
    <row r="1629" spans="27:34">
      <c r="AA1629">
        <v>-7.4</v>
      </c>
      <c r="AB1629">
        <v>3</v>
      </c>
      <c r="AC1629">
        <v>44</v>
      </c>
      <c r="AD1629">
        <v>0.57834101400000004</v>
      </c>
      <c r="AG1629">
        <v>1114.9342463574999</v>
      </c>
      <c r="AH1629">
        <v>1957590</v>
      </c>
    </row>
    <row r="1630" spans="27:34">
      <c r="AA1630">
        <v>-7.4</v>
      </c>
      <c r="AB1630">
        <v>3</v>
      </c>
      <c r="AC1630">
        <v>44</v>
      </c>
      <c r="AD1630">
        <v>0.57834101400000004</v>
      </c>
      <c r="AG1630">
        <v>1161.1455676200801</v>
      </c>
      <c r="AH1630">
        <v>1976535</v>
      </c>
    </row>
    <row r="1631" spans="27:34">
      <c r="AA1631">
        <v>-7.4</v>
      </c>
      <c r="AB1631">
        <v>3</v>
      </c>
      <c r="AC1631">
        <v>44</v>
      </c>
      <c r="AD1631">
        <v>0.57834101400000004</v>
      </c>
      <c r="AE1631">
        <v>28</v>
      </c>
      <c r="AG1631">
        <v>1201.18541676222</v>
      </c>
      <c r="AH1631">
        <v>1995159</v>
      </c>
    </row>
    <row r="1632" spans="27:34">
      <c r="AA1632">
        <v>-7.4</v>
      </c>
      <c r="AB1632">
        <v>3</v>
      </c>
      <c r="AC1632">
        <v>44</v>
      </c>
      <c r="AD1632">
        <v>0.57834101400000004</v>
      </c>
      <c r="AG1632">
        <v>1308.7591915005501</v>
      </c>
      <c r="AH1632">
        <v>2013620</v>
      </c>
    </row>
    <row r="1633" spans="27:34">
      <c r="AA1633">
        <v>-7.4</v>
      </c>
      <c r="AB1633">
        <v>3</v>
      </c>
      <c r="AC1633">
        <v>44</v>
      </c>
      <c r="AD1633">
        <v>0.57834101400000004</v>
      </c>
      <c r="AG1633">
        <v>1374.18610255158</v>
      </c>
      <c r="AH1633">
        <v>2031676</v>
      </c>
    </row>
    <row r="1634" spans="27:34">
      <c r="AA1634">
        <v>-7.4</v>
      </c>
      <c r="AB1634">
        <v>3</v>
      </c>
      <c r="AC1634">
        <v>44</v>
      </c>
      <c r="AD1634">
        <v>0.57834101400000004</v>
      </c>
      <c r="AE1634">
        <v>29</v>
      </c>
      <c r="AG1634">
        <v>1454.2046021536501</v>
      </c>
      <c r="AH1634">
        <v>2049429</v>
      </c>
    </row>
    <row r="1635" spans="27:34">
      <c r="AA1635">
        <v>-7.4</v>
      </c>
      <c r="AB1635">
        <v>3</v>
      </c>
      <c r="AC1635">
        <v>44</v>
      </c>
      <c r="AD1635">
        <v>0.57834101400000004</v>
      </c>
      <c r="AG1635">
        <v>1467.56182931893</v>
      </c>
      <c r="AH1635">
        <v>2066919</v>
      </c>
    </row>
    <row r="1636" spans="27:34">
      <c r="AA1636">
        <v>-7.4</v>
      </c>
      <c r="AB1636">
        <v>3</v>
      </c>
      <c r="AC1636">
        <v>44</v>
      </c>
      <c r="AD1636">
        <v>0.57834101400000004</v>
      </c>
    </row>
    <row r="1637" spans="27:34">
      <c r="AA1637">
        <v>-7.4</v>
      </c>
      <c r="AB1637">
        <v>3</v>
      </c>
      <c r="AC1637">
        <v>44</v>
      </c>
      <c r="AD1637">
        <v>0.57834101400000004</v>
      </c>
    </row>
    <row r="1638" spans="27:34">
      <c r="AA1638">
        <v>6.67</v>
      </c>
      <c r="AB1638">
        <v>4.5999999999999996</v>
      </c>
      <c r="AC1638">
        <v>885</v>
      </c>
      <c r="AD1638">
        <v>0.48541278700000001</v>
      </c>
      <c r="AE1638">
        <v>13</v>
      </c>
      <c r="AG1638">
        <v>122.936491529968</v>
      </c>
      <c r="AH1638">
        <v>1944765</v>
      </c>
    </row>
    <row r="1639" spans="27:34">
      <c r="AA1639">
        <v>6.67</v>
      </c>
      <c r="AB1639">
        <v>4.5999999999999996</v>
      </c>
      <c r="AC1639">
        <v>885</v>
      </c>
      <c r="AD1639">
        <v>0.48541278700000001</v>
      </c>
      <c r="AG1639">
        <v>133.05694028037601</v>
      </c>
      <c r="AH1639">
        <v>2053167</v>
      </c>
    </row>
    <row r="1640" spans="27:34">
      <c r="AA1640">
        <v>6.67</v>
      </c>
      <c r="AB1640">
        <v>4.5999999999999996</v>
      </c>
      <c r="AC1640">
        <v>885</v>
      </c>
      <c r="AD1640">
        <v>0.48541278700000001</v>
      </c>
      <c r="AG1640">
        <v>257.48056900626801</v>
      </c>
      <c r="AH1640">
        <v>2227448</v>
      </c>
    </row>
    <row r="1641" spans="27:34">
      <c r="AA1641">
        <v>6.67</v>
      </c>
      <c r="AB1641">
        <v>4.5999999999999996</v>
      </c>
      <c r="AC1641">
        <v>885</v>
      </c>
      <c r="AD1641">
        <v>0.48541278700000001</v>
      </c>
      <c r="AG1641">
        <v>308.38692869636498</v>
      </c>
      <c r="AH1641">
        <v>2439389</v>
      </c>
    </row>
    <row r="1642" spans="27:34">
      <c r="AA1642">
        <v>6.67</v>
      </c>
      <c r="AB1642">
        <v>4.5999999999999996</v>
      </c>
      <c r="AC1642">
        <v>885</v>
      </c>
      <c r="AD1642">
        <v>0.48541278700000001</v>
      </c>
      <c r="AG1642">
        <v>354.24820839153602</v>
      </c>
      <c r="AH1642">
        <v>2648134</v>
      </c>
    </row>
    <row r="1643" spans="27:34">
      <c r="AA1643">
        <v>6.67</v>
      </c>
      <c r="AB1643">
        <v>4.5999999999999996</v>
      </c>
      <c r="AC1643">
        <v>885</v>
      </c>
      <c r="AD1643">
        <v>0.48541278700000001</v>
      </c>
      <c r="AE1643">
        <v>14</v>
      </c>
      <c r="AF1643">
        <v>7.6899999999999996E-2</v>
      </c>
      <c r="AG1643">
        <v>426.529072090623</v>
      </c>
      <c r="AH1643">
        <v>2824427</v>
      </c>
    </row>
    <row r="1644" spans="27:34">
      <c r="AA1644">
        <v>6.67</v>
      </c>
      <c r="AB1644">
        <v>4.5999999999999996</v>
      </c>
      <c r="AC1644">
        <v>885</v>
      </c>
      <c r="AD1644">
        <v>0.48541278700000001</v>
      </c>
      <c r="AG1644">
        <v>428.65141301270398</v>
      </c>
      <c r="AH1644">
        <v>2957510</v>
      </c>
    </row>
    <row r="1645" spans="27:34">
      <c r="AA1645">
        <v>6.67</v>
      </c>
      <c r="AB1645">
        <v>4.5999999999999996</v>
      </c>
      <c r="AC1645">
        <v>885</v>
      </c>
      <c r="AD1645">
        <v>0.48541278700000001</v>
      </c>
      <c r="AG1645">
        <v>437.05130835063801</v>
      </c>
      <c r="AH1645">
        <v>3056860</v>
      </c>
    </row>
    <row r="1646" spans="27:34">
      <c r="AA1646">
        <v>6.67</v>
      </c>
      <c r="AB1646">
        <v>4.5999999999999996</v>
      </c>
      <c r="AC1646">
        <v>885</v>
      </c>
      <c r="AD1646">
        <v>0.48541278700000001</v>
      </c>
      <c r="AG1646">
        <v>298.808861390554</v>
      </c>
      <c r="AH1646">
        <v>3137852</v>
      </c>
    </row>
    <row r="1647" spans="27:34">
      <c r="AA1647">
        <v>6.67</v>
      </c>
      <c r="AB1647">
        <v>4.5999999999999996</v>
      </c>
      <c r="AC1647">
        <v>885</v>
      </c>
      <c r="AD1647">
        <v>0.48541278700000001</v>
      </c>
      <c r="AG1647">
        <v>306.78263465084899</v>
      </c>
      <c r="AH1647">
        <v>3224643</v>
      </c>
    </row>
    <row r="1648" spans="27:34">
      <c r="AA1648">
        <v>6.67</v>
      </c>
      <c r="AB1648">
        <v>4.5999999999999996</v>
      </c>
      <c r="AC1648">
        <v>885</v>
      </c>
      <c r="AD1648">
        <v>0.48541278700000001</v>
      </c>
      <c r="AE1648">
        <v>16</v>
      </c>
      <c r="AG1648">
        <v>322.84367853323403</v>
      </c>
      <c r="AH1648">
        <v>3334222</v>
      </c>
    </row>
    <row r="1649" spans="27:34">
      <c r="AA1649">
        <v>6.67</v>
      </c>
      <c r="AB1649">
        <v>4.5999999999999996</v>
      </c>
      <c r="AC1649">
        <v>885</v>
      </c>
      <c r="AD1649">
        <v>0.48541278700000001</v>
      </c>
      <c r="AG1649">
        <v>345.18278640573197</v>
      </c>
      <c r="AH1649">
        <v>3471020</v>
      </c>
    </row>
    <row r="1650" spans="27:34">
      <c r="AA1650">
        <v>6.67</v>
      </c>
      <c r="AB1650">
        <v>4.5999999999999996</v>
      </c>
      <c r="AC1650">
        <v>885</v>
      </c>
      <c r="AD1650">
        <v>0.48541278700000001</v>
      </c>
      <c r="AG1650">
        <v>373.74424920812203</v>
      </c>
      <c r="AH1650">
        <v>3627285</v>
      </c>
    </row>
    <row r="1651" spans="27:34">
      <c r="AA1651">
        <v>6.67</v>
      </c>
      <c r="AB1651">
        <v>4.5999999999999996</v>
      </c>
      <c r="AC1651">
        <v>885</v>
      </c>
      <c r="AD1651">
        <v>0.48541278700000001</v>
      </c>
      <c r="AE1651">
        <v>17</v>
      </c>
      <c r="AG1651">
        <v>391.11904448221401</v>
      </c>
      <c r="AH1651">
        <v>3793400</v>
      </c>
    </row>
    <row r="1652" spans="27:34">
      <c r="AA1652">
        <v>6.67</v>
      </c>
      <c r="AB1652">
        <v>4.5999999999999996</v>
      </c>
      <c r="AC1652">
        <v>885</v>
      </c>
      <c r="AD1652">
        <v>0.48541278700000001</v>
      </c>
      <c r="AG1652">
        <v>395.98964898204298</v>
      </c>
      <c r="AH1652">
        <v>3954979</v>
      </c>
    </row>
    <row r="1653" spans="27:34">
      <c r="AA1653">
        <v>6.67</v>
      </c>
      <c r="AB1653">
        <v>4.5999999999999996</v>
      </c>
      <c r="AC1653">
        <v>885</v>
      </c>
      <c r="AD1653">
        <v>0.48541278700000001</v>
      </c>
    </row>
    <row r="1654" spans="27:34">
      <c r="AA1654">
        <v>6.67</v>
      </c>
      <c r="AB1654">
        <v>4.5999999999999996</v>
      </c>
      <c r="AC1654">
        <v>885</v>
      </c>
      <c r="AD1654">
        <v>0.48541278700000001</v>
      </c>
    </row>
    <row r="1655" spans="27:34">
      <c r="AA1655">
        <v>-14.76</v>
      </c>
      <c r="AB1655">
        <v>2.5</v>
      </c>
      <c r="AC1655" t="e">
        <v>#N/A</v>
      </c>
      <c r="AD1655">
        <v>8.8010203999999995E-2</v>
      </c>
      <c r="AE1655">
        <v>97</v>
      </c>
      <c r="AF1655">
        <v>766.7</v>
      </c>
      <c r="AH1655">
        <v>4834163</v>
      </c>
    </row>
    <row r="1656" spans="27:34">
      <c r="AA1656">
        <v>-14.76</v>
      </c>
      <c r="AB1656">
        <v>2.5</v>
      </c>
      <c r="AD1656">
        <v>8.8010203999999995E-2</v>
      </c>
      <c r="AH1656">
        <v>4931620</v>
      </c>
    </row>
    <row r="1657" spans="27:34">
      <c r="AA1657">
        <v>-14.76</v>
      </c>
      <c r="AB1657">
        <v>2.5</v>
      </c>
      <c r="AD1657">
        <v>8.8010203999999995E-2</v>
      </c>
      <c r="AH1657">
        <v>5031470</v>
      </c>
    </row>
    <row r="1658" spans="27:34">
      <c r="AA1658">
        <v>-14.76</v>
      </c>
      <c r="AB1658">
        <v>2.5</v>
      </c>
      <c r="AD1658">
        <v>8.8010203999999995E-2</v>
      </c>
      <c r="AH1658">
        <v>5133872</v>
      </c>
    </row>
    <row r="1659" spans="27:34">
      <c r="AA1659">
        <v>-14.76</v>
      </c>
      <c r="AB1659">
        <v>2.5</v>
      </c>
      <c r="AD1659">
        <v>8.8010203999999995E-2</v>
      </c>
      <c r="AG1659">
        <v>10545.354460659601</v>
      </c>
      <c r="AH1659">
        <v>5238843</v>
      </c>
    </row>
    <row r="1660" spans="27:34">
      <c r="AA1660">
        <v>-14.76</v>
      </c>
      <c r="AB1660">
        <v>2.5</v>
      </c>
      <c r="AD1660">
        <v>8.8010203999999995E-2</v>
      </c>
      <c r="AE1660">
        <v>97</v>
      </c>
      <c r="AF1660">
        <v>718</v>
      </c>
      <c r="AG1660">
        <v>10947.4257966041</v>
      </c>
      <c r="AH1660">
        <v>5346375</v>
      </c>
    </row>
    <row r="1661" spans="27:34">
      <c r="AA1661">
        <v>-14.76</v>
      </c>
      <c r="AB1661">
        <v>2.5</v>
      </c>
      <c r="AD1661">
        <v>8.8010203999999995E-2</v>
      </c>
      <c r="AG1661">
        <v>10497.908153262901</v>
      </c>
      <c r="AH1661">
        <v>5456532</v>
      </c>
    </row>
    <row r="1662" spans="27:34">
      <c r="AA1662">
        <v>-14.76</v>
      </c>
      <c r="AB1662">
        <v>2.5</v>
      </c>
      <c r="AD1662">
        <v>8.8010203999999995E-2</v>
      </c>
      <c r="AG1662">
        <v>10316.4222439571</v>
      </c>
      <c r="AH1662">
        <v>5569372</v>
      </c>
    </row>
    <row r="1663" spans="27:34">
      <c r="AA1663">
        <v>-14.76</v>
      </c>
      <c r="AB1663">
        <v>2.5</v>
      </c>
      <c r="AD1663">
        <v>8.8010203999999995E-2</v>
      </c>
      <c r="AG1663">
        <v>11666.996025218299</v>
      </c>
      <c r="AH1663">
        <v>5684810</v>
      </c>
    </row>
    <row r="1664" spans="27:34">
      <c r="AA1664">
        <v>-14.76</v>
      </c>
      <c r="AB1664">
        <v>2.5</v>
      </c>
      <c r="AD1664">
        <v>8.8010203999999995E-2</v>
      </c>
      <c r="AG1664">
        <v>12271.128893813901</v>
      </c>
      <c r="AH1664">
        <v>5802700</v>
      </c>
    </row>
    <row r="1665" spans="27:34">
      <c r="AA1665">
        <v>-14.76</v>
      </c>
      <c r="AB1665">
        <v>2.5</v>
      </c>
      <c r="AD1665">
        <v>8.8010203999999995E-2</v>
      </c>
      <c r="AE1665">
        <v>97</v>
      </c>
      <c r="AG1665">
        <v>13653.0263279018</v>
      </c>
      <c r="AH1665">
        <v>5922832</v>
      </c>
    </row>
    <row r="1666" spans="27:34">
      <c r="AA1666">
        <v>-14.76</v>
      </c>
      <c r="AB1666">
        <v>2.5</v>
      </c>
      <c r="AD1666">
        <v>8.8010203999999995E-2</v>
      </c>
      <c r="AG1666">
        <v>14627.035891425099</v>
      </c>
      <c r="AH1666">
        <v>6045033</v>
      </c>
    </row>
    <row r="1667" spans="27:34">
      <c r="AA1667">
        <v>-14.76</v>
      </c>
      <c r="AB1667">
        <v>2.5</v>
      </c>
      <c r="AD1667">
        <v>8.8010203999999995E-2</v>
      </c>
      <c r="AG1667">
        <v>15713.7168499376</v>
      </c>
      <c r="AH1667">
        <v>6168997</v>
      </c>
    </row>
    <row r="1668" spans="27:34">
      <c r="AA1668">
        <v>-14.76</v>
      </c>
      <c r="AB1668">
        <v>2.5</v>
      </c>
      <c r="AD1668">
        <v>8.8010203999999995E-2</v>
      </c>
      <c r="AE1668">
        <v>97</v>
      </c>
      <c r="AG1668">
        <v>16335.917879647801</v>
      </c>
      <c r="AH1668">
        <v>6294181</v>
      </c>
    </row>
    <row r="1669" spans="27:34">
      <c r="AA1669">
        <v>-14.76</v>
      </c>
      <c r="AB1669">
        <v>2.5</v>
      </c>
      <c r="AD1669">
        <v>8.8010203999999995E-2</v>
      </c>
      <c r="AG1669">
        <v>16502.026672867501</v>
      </c>
      <c r="AH1669">
        <v>6419925</v>
      </c>
    </row>
    <row r="1670" spans="27:34">
      <c r="AA1670">
        <v>-14.76</v>
      </c>
      <c r="AB1670">
        <v>2.5</v>
      </c>
      <c r="AD1670">
        <v>8.8010203999999995E-2</v>
      </c>
    </row>
    <row r="1671" spans="27:34">
      <c r="AA1671">
        <v>-14.76</v>
      </c>
      <c r="AB1671">
        <v>2.5</v>
      </c>
      <c r="AD1671">
        <v>8.8010203999999995E-2</v>
      </c>
    </row>
    <row r="1672" spans="27:34">
      <c r="AA1672">
        <v>4.55</v>
      </c>
      <c r="AB1672">
        <v>1.6</v>
      </c>
      <c r="AC1672" t="e">
        <v>#N/A</v>
      </c>
      <c r="AH1672">
        <v>30951</v>
      </c>
    </row>
    <row r="1673" spans="27:34">
      <c r="AA1673">
        <v>4.55</v>
      </c>
      <c r="AB1673">
        <v>1.6</v>
      </c>
      <c r="AH1673">
        <v>31338</v>
      </c>
    </row>
    <row r="1674" spans="27:34">
      <c r="AA1674">
        <v>4.55</v>
      </c>
      <c r="AB1674">
        <v>1.6</v>
      </c>
      <c r="AH1674">
        <v>31720</v>
      </c>
    </row>
    <row r="1675" spans="27:34">
      <c r="AA1675">
        <v>4.55</v>
      </c>
      <c r="AB1675">
        <v>1.6</v>
      </c>
      <c r="AH1675">
        <v>32101</v>
      </c>
    </row>
    <row r="1676" spans="27:34">
      <c r="AA1676">
        <v>4.55</v>
      </c>
      <c r="AB1676">
        <v>1.6</v>
      </c>
      <c r="AH1676">
        <v>32481</v>
      </c>
    </row>
    <row r="1677" spans="27:34">
      <c r="AA1677">
        <v>4.55</v>
      </c>
      <c r="AB1677">
        <v>1.6</v>
      </c>
      <c r="AH1677">
        <v>32863</v>
      </c>
    </row>
    <row r="1678" spans="27:34">
      <c r="AA1678">
        <v>4.55</v>
      </c>
      <c r="AB1678">
        <v>1.6</v>
      </c>
      <c r="AH1678">
        <v>33247</v>
      </c>
    </row>
    <row r="1679" spans="27:34">
      <c r="AA1679">
        <v>4.55</v>
      </c>
      <c r="AB1679">
        <v>1.6</v>
      </c>
      <c r="AH1679">
        <v>33630</v>
      </c>
    </row>
    <row r="1680" spans="27:34">
      <c r="AA1680">
        <v>4.55</v>
      </c>
      <c r="AB1680">
        <v>1.6</v>
      </c>
      <c r="AH1680">
        <v>34008</v>
      </c>
    </row>
    <row r="1681" spans="27:34">
      <c r="AA1681">
        <v>4.55</v>
      </c>
      <c r="AB1681">
        <v>1.6</v>
      </c>
      <c r="AH1681">
        <v>34371</v>
      </c>
    </row>
    <row r="1682" spans="27:34">
      <c r="AA1682">
        <v>4.55</v>
      </c>
      <c r="AB1682">
        <v>1.6</v>
      </c>
      <c r="AH1682">
        <v>34716</v>
      </c>
    </row>
    <row r="1683" spans="27:34">
      <c r="AA1683">
        <v>4.55</v>
      </c>
      <c r="AB1683">
        <v>1.6</v>
      </c>
      <c r="AH1683">
        <v>35039</v>
      </c>
    </row>
    <row r="1684" spans="27:34">
      <c r="AA1684">
        <v>4.55</v>
      </c>
      <c r="AB1684">
        <v>1.6</v>
      </c>
      <c r="AH1684">
        <v>35341</v>
      </c>
    </row>
    <row r="1685" spans="27:34">
      <c r="AA1685">
        <v>4.55</v>
      </c>
      <c r="AB1685">
        <v>1.6</v>
      </c>
      <c r="AH1685">
        <v>35629</v>
      </c>
    </row>
    <row r="1686" spans="27:34">
      <c r="AA1686">
        <v>4.55</v>
      </c>
      <c r="AB1686">
        <v>1.6</v>
      </c>
      <c r="AH1686">
        <v>35911</v>
      </c>
    </row>
    <row r="1687" spans="27:34">
      <c r="AA1687">
        <v>4.55</v>
      </c>
      <c r="AB1687">
        <v>1.6</v>
      </c>
    </row>
    <row r="1688" spans="27:34">
      <c r="AA1688">
        <v>4.55</v>
      </c>
      <c r="AB1688">
        <v>1.6</v>
      </c>
    </row>
    <row r="1689" spans="27:34">
      <c r="AA1689">
        <v>6.18</v>
      </c>
      <c r="AB1689">
        <v>2.8</v>
      </c>
      <c r="AC1689" t="e">
        <v>#N/A</v>
      </c>
      <c r="AD1689">
        <v>4.2983565000000001E-2</v>
      </c>
      <c r="AF1689">
        <v>1.016</v>
      </c>
      <c r="AG1689">
        <v>6197.9022656023599</v>
      </c>
      <c r="AH1689">
        <v>3632000</v>
      </c>
    </row>
    <row r="1690" spans="27:34">
      <c r="AA1690">
        <v>6.18</v>
      </c>
      <c r="AB1690">
        <v>2.8</v>
      </c>
      <c r="AD1690">
        <v>4.2983565000000001E-2</v>
      </c>
      <c r="AG1690">
        <v>6658.6760152696597</v>
      </c>
      <c r="AH1690">
        <v>3605000</v>
      </c>
    </row>
    <row r="1691" spans="27:34">
      <c r="AA1691">
        <v>6.18</v>
      </c>
      <c r="AB1691">
        <v>2.8</v>
      </c>
      <c r="AD1691">
        <v>4.2983565000000001E-2</v>
      </c>
      <c r="AG1691">
        <v>7307.4413438666797</v>
      </c>
      <c r="AH1691">
        <v>3580000</v>
      </c>
    </row>
    <row r="1692" spans="27:34">
      <c r="AA1692">
        <v>6.18</v>
      </c>
      <c r="AB1692">
        <v>2.8</v>
      </c>
      <c r="AD1692">
        <v>4.2983565000000001E-2</v>
      </c>
      <c r="AG1692">
        <v>7996.0092353089703</v>
      </c>
      <c r="AH1692">
        <v>3555000</v>
      </c>
    </row>
    <row r="1693" spans="27:34">
      <c r="AA1693">
        <v>6.18</v>
      </c>
      <c r="AB1693">
        <v>2.8</v>
      </c>
      <c r="AD1693">
        <v>4.2983565000000001E-2</v>
      </c>
      <c r="AG1693">
        <v>7999.7868704907496</v>
      </c>
      <c r="AH1693">
        <v>3531000</v>
      </c>
    </row>
    <row r="1694" spans="27:34">
      <c r="AA1694">
        <v>6.18</v>
      </c>
      <c r="AB1694">
        <v>2.8</v>
      </c>
      <c r="AD1694">
        <v>4.2983565000000001E-2</v>
      </c>
      <c r="AF1694">
        <v>11.08</v>
      </c>
      <c r="AG1694">
        <v>8612.2156356916894</v>
      </c>
      <c r="AH1694">
        <v>3499527.4966772301</v>
      </c>
    </row>
    <row r="1695" spans="27:34">
      <c r="AA1695">
        <v>6.18</v>
      </c>
      <c r="AB1695">
        <v>2.8</v>
      </c>
      <c r="AD1695">
        <v>4.2983565000000001E-2</v>
      </c>
      <c r="AG1695">
        <v>9552.1462031401406</v>
      </c>
      <c r="AH1695">
        <v>3481295.3336366001</v>
      </c>
    </row>
    <row r="1696" spans="27:34">
      <c r="AA1696">
        <v>6.18</v>
      </c>
      <c r="AB1696">
        <v>2.8</v>
      </c>
      <c r="AD1696">
        <v>4.2983565000000001E-2</v>
      </c>
      <c r="AG1696">
        <v>10566.0055719784</v>
      </c>
      <c r="AH1696">
        <v>3469093.9105190001</v>
      </c>
    </row>
    <row r="1697" spans="27:34">
      <c r="AA1697">
        <v>6.18</v>
      </c>
      <c r="AB1697">
        <v>2.8</v>
      </c>
      <c r="AD1697">
        <v>4.2983565000000001E-2</v>
      </c>
      <c r="AG1697">
        <v>12025.8603947053</v>
      </c>
      <c r="AH1697">
        <v>3454239.9077076302</v>
      </c>
    </row>
    <row r="1698" spans="27:34">
      <c r="AA1698">
        <v>6.18</v>
      </c>
      <c r="AB1698">
        <v>2.8</v>
      </c>
      <c r="AD1698">
        <v>4.2983565000000001E-2</v>
      </c>
      <c r="AG1698">
        <v>12971.486432018401</v>
      </c>
      <c r="AH1698">
        <v>3435584.5601585801</v>
      </c>
    </row>
    <row r="1699" spans="27:34">
      <c r="AA1699">
        <v>6.18</v>
      </c>
      <c r="AB1699">
        <v>2.8</v>
      </c>
      <c r="AD1699">
        <v>4.2983565000000001E-2</v>
      </c>
      <c r="AF1699">
        <v>9.5500000000000007</v>
      </c>
      <c r="AG1699">
        <v>14194.391531121801</v>
      </c>
      <c r="AH1699">
        <v>3414300</v>
      </c>
    </row>
    <row r="1700" spans="27:34">
      <c r="AA1700">
        <v>6.18</v>
      </c>
      <c r="AB1700">
        <v>2.8</v>
      </c>
      <c r="AD1700">
        <v>4.2983565000000001E-2</v>
      </c>
      <c r="AG1700">
        <v>16045.6175516613</v>
      </c>
      <c r="AH1700">
        <v>3394082</v>
      </c>
    </row>
    <row r="1701" spans="27:34">
      <c r="AA1701">
        <v>6.18</v>
      </c>
      <c r="AB1701">
        <v>2.8</v>
      </c>
      <c r="AD1701">
        <v>4.2983565000000001E-2</v>
      </c>
      <c r="AG1701">
        <v>18187.876573654299</v>
      </c>
      <c r="AH1701">
        <v>3375618</v>
      </c>
    </row>
    <row r="1702" spans="27:34">
      <c r="AA1702">
        <v>6.18</v>
      </c>
      <c r="AB1702">
        <v>2.8</v>
      </c>
      <c r="AD1702">
        <v>4.2983565000000001E-2</v>
      </c>
      <c r="AG1702">
        <v>19676.6420835426</v>
      </c>
      <c r="AH1702">
        <v>3358115</v>
      </c>
    </row>
    <row r="1703" spans="27:34">
      <c r="AA1703">
        <v>6.18</v>
      </c>
      <c r="AB1703">
        <v>2.8</v>
      </c>
      <c r="AD1703">
        <v>4.2983565000000001E-2</v>
      </c>
      <c r="AG1703">
        <v>17308.004374939799</v>
      </c>
      <c r="AH1703">
        <v>3339550</v>
      </c>
    </row>
    <row r="1704" spans="27:34">
      <c r="AA1704">
        <v>6.18</v>
      </c>
      <c r="AB1704">
        <v>2.8</v>
      </c>
      <c r="AD1704">
        <v>4.2983565000000001E-2</v>
      </c>
    </row>
    <row r="1705" spans="27:34">
      <c r="AA1705">
        <v>6.18</v>
      </c>
      <c r="AB1705">
        <v>2.8</v>
      </c>
      <c r="AD1705">
        <v>4.2983565000000001E-2</v>
      </c>
    </row>
    <row r="1706" spans="27:34">
      <c r="AA1706">
        <v>-5.18</v>
      </c>
      <c r="AB1706">
        <v>1.8</v>
      </c>
      <c r="AC1706">
        <v>2</v>
      </c>
      <c r="AD1706">
        <v>5.8962264E-2</v>
      </c>
      <c r="AE1706">
        <v>100</v>
      </c>
      <c r="AF1706">
        <v>1.823</v>
      </c>
      <c r="AG1706">
        <v>38930.300802790101</v>
      </c>
      <c r="AH1706">
        <v>408625</v>
      </c>
    </row>
    <row r="1707" spans="27:34">
      <c r="AA1707">
        <v>-5.18</v>
      </c>
      <c r="AB1707">
        <v>1.8</v>
      </c>
      <c r="AC1707">
        <v>2</v>
      </c>
      <c r="AD1707">
        <v>5.8962264E-2</v>
      </c>
      <c r="AG1707">
        <v>40224.614443633502</v>
      </c>
      <c r="AH1707">
        <v>414225</v>
      </c>
    </row>
    <row r="1708" spans="27:34">
      <c r="AA1708">
        <v>-5.18</v>
      </c>
      <c r="AB1708">
        <v>1.8</v>
      </c>
      <c r="AC1708">
        <v>2</v>
      </c>
      <c r="AD1708">
        <v>5.8962264E-2</v>
      </c>
      <c r="AG1708">
        <v>40857.679858510601</v>
      </c>
      <c r="AH1708">
        <v>419450</v>
      </c>
    </row>
    <row r="1709" spans="27:34">
      <c r="AA1709">
        <v>-5.18</v>
      </c>
      <c r="AB1709">
        <v>1.8</v>
      </c>
      <c r="AC1709">
        <v>2</v>
      </c>
      <c r="AD1709">
        <v>5.8962264E-2</v>
      </c>
      <c r="AG1709">
        <v>43253.715710033102</v>
      </c>
      <c r="AH1709">
        <v>424700</v>
      </c>
    </row>
    <row r="1710" spans="27:34">
      <c r="AA1710">
        <v>-5.18</v>
      </c>
      <c r="AB1710">
        <v>1.8</v>
      </c>
      <c r="AC1710">
        <v>2</v>
      </c>
      <c r="AD1710">
        <v>5.8962264E-2</v>
      </c>
      <c r="AG1710">
        <v>49075.148990810398</v>
      </c>
      <c r="AH1710">
        <v>430475</v>
      </c>
    </row>
    <row r="1711" spans="27:34">
      <c r="AA1711">
        <v>-5.18</v>
      </c>
      <c r="AB1711">
        <v>1.8</v>
      </c>
      <c r="AC1711">
        <v>2</v>
      </c>
      <c r="AD1711">
        <v>5.8962264E-2</v>
      </c>
      <c r="AE1711">
        <v>100</v>
      </c>
      <c r="AF1711">
        <v>1.9419999999999999</v>
      </c>
      <c r="AG1711">
        <v>53645.722959577499</v>
      </c>
      <c r="AH1711">
        <v>436300</v>
      </c>
    </row>
    <row r="1712" spans="27:34">
      <c r="AA1712">
        <v>-5.18</v>
      </c>
      <c r="AB1712">
        <v>1.8</v>
      </c>
      <c r="AC1712">
        <v>2</v>
      </c>
      <c r="AD1712">
        <v>5.8962264E-2</v>
      </c>
      <c r="AG1712">
        <v>53904.975654600101</v>
      </c>
      <c r="AH1712">
        <v>441525</v>
      </c>
    </row>
    <row r="1713" spans="27:34">
      <c r="AA1713">
        <v>-5.18</v>
      </c>
      <c r="AB1713">
        <v>1.8</v>
      </c>
      <c r="AC1713">
        <v>2</v>
      </c>
      <c r="AD1713">
        <v>5.8962264E-2</v>
      </c>
      <c r="AG1713">
        <v>57549.534981314202</v>
      </c>
      <c r="AH1713">
        <v>446175</v>
      </c>
    </row>
    <row r="1714" spans="27:34">
      <c r="AA1714">
        <v>-5.18</v>
      </c>
      <c r="AB1714">
        <v>1.8</v>
      </c>
      <c r="AC1714">
        <v>2</v>
      </c>
      <c r="AD1714">
        <v>5.8962264E-2</v>
      </c>
      <c r="AG1714">
        <v>60706.506990166599</v>
      </c>
      <c r="AH1714">
        <v>451630</v>
      </c>
    </row>
    <row r="1715" spans="27:34">
      <c r="AA1715">
        <v>-5.18</v>
      </c>
      <c r="AB1715">
        <v>1.8</v>
      </c>
      <c r="AC1715">
        <v>2</v>
      </c>
      <c r="AD1715">
        <v>5.8962264E-2</v>
      </c>
      <c r="AG1715">
        <v>64979.821973669597</v>
      </c>
      <c r="AH1715">
        <v>458095</v>
      </c>
    </row>
    <row r="1716" spans="27:34">
      <c r="AA1716">
        <v>-5.18</v>
      </c>
      <c r="AB1716">
        <v>1.8</v>
      </c>
      <c r="AC1716">
        <v>2</v>
      </c>
      <c r="AD1716">
        <v>5.8962264E-2</v>
      </c>
      <c r="AE1716">
        <v>100</v>
      </c>
      <c r="AG1716">
        <v>68319.185996831802</v>
      </c>
      <c r="AH1716">
        <v>465158</v>
      </c>
    </row>
    <row r="1717" spans="27:34">
      <c r="AA1717">
        <v>-5.18</v>
      </c>
      <c r="AB1717">
        <v>1.8</v>
      </c>
      <c r="AC1717">
        <v>2</v>
      </c>
      <c r="AD1717">
        <v>5.8962264E-2</v>
      </c>
      <c r="AG1717">
        <v>78983.103166561399</v>
      </c>
      <c r="AH1717">
        <v>472637</v>
      </c>
    </row>
    <row r="1718" spans="27:34">
      <c r="AA1718">
        <v>-5.18</v>
      </c>
      <c r="AB1718">
        <v>1.8</v>
      </c>
      <c r="AC1718">
        <v>2</v>
      </c>
      <c r="AD1718">
        <v>5.8962264E-2</v>
      </c>
      <c r="AG1718">
        <v>84486.835519604094</v>
      </c>
      <c r="AH1718">
        <v>479993</v>
      </c>
    </row>
    <row r="1719" spans="27:34">
      <c r="AA1719">
        <v>-5.18</v>
      </c>
      <c r="AB1719">
        <v>1.8</v>
      </c>
      <c r="AC1719">
        <v>2</v>
      </c>
      <c r="AD1719">
        <v>5.8962264E-2</v>
      </c>
      <c r="AE1719">
        <v>100</v>
      </c>
      <c r="AG1719">
        <v>88972.401675457993</v>
      </c>
      <c r="AH1719">
        <v>488650</v>
      </c>
    </row>
    <row r="1720" spans="27:34">
      <c r="AA1720">
        <v>-5.18</v>
      </c>
      <c r="AB1720">
        <v>1.8</v>
      </c>
      <c r="AC1720">
        <v>2</v>
      </c>
      <c r="AD1720">
        <v>5.8962264E-2</v>
      </c>
      <c r="AG1720">
        <v>83820.4182999943</v>
      </c>
      <c r="AH1720">
        <v>497854</v>
      </c>
    </row>
    <row r="1721" spans="27:34">
      <c r="AA1721">
        <v>-5.18</v>
      </c>
      <c r="AB1721">
        <v>1.8</v>
      </c>
      <c r="AC1721">
        <v>2</v>
      </c>
      <c r="AD1721">
        <v>5.8962264E-2</v>
      </c>
    </row>
    <row r="1722" spans="27:34">
      <c r="AA1722">
        <v>-5.18</v>
      </c>
      <c r="AB1722">
        <v>1.8</v>
      </c>
      <c r="AC1722">
        <v>2</v>
      </c>
      <c r="AD1722">
        <v>5.8962264E-2</v>
      </c>
    </row>
    <row r="1723" spans="27:34">
      <c r="AA1723">
        <v>-6.85</v>
      </c>
      <c r="AB1723">
        <v>4.4000000000000004</v>
      </c>
      <c r="AC1723">
        <v>540</v>
      </c>
      <c r="AD1723">
        <v>0.349016253</v>
      </c>
      <c r="AE1723">
        <v>9</v>
      </c>
      <c r="AG1723">
        <v>714.62869919302796</v>
      </c>
      <c r="AH1723">
        <v>13121371</v>
      </c>
    </row>
    <row r="1724" spans="27:34">
      <c r="AA1724">
        <v>-6.85</v>
      </c>
      <c r="AB1724">
        <v>4.4000000000000004</v>
      </c>
      <c r="AC1724">
        <v>540</v>
      </c>
      <c r="AD1724">
        <v>0.349016253</v>
      </c>
      <c r="AG1724">
        <v>721.417955726488</v>
      </c>
      <c r="AH1724">
        <v>13531083</v>
      </c>
    </row>
    <row r="1725" spans="27:34">
      <c r="AA1725">
        <v>-6.85</v>
      </c>
      <c r="AB1725">
        <v>4.4000000000000004</v>
      </c>
      <c r="AC1725">
        <v>540</v>
      </c>
      <c r="AD1725">
        <v>0.349016253</v>
      </c>
      <c r="AG1725">
        <v>738.29720382513801</v>
      </c>
      <c r="AH1725">
        <v>13953183</v>
      </c>
    </row>
    <row r="1726" spans="27:34">
      <c r="AA1726">
        <v>-6.85</v>
      </c>
      <c r="AB1726">
        <v>4.4000000000000004</v>
      </c>
      <c r="AC1726">
        <v>540</v>
      </c>
      <c r="AD1726">
        <v>0.349016253</v>
      </c>
      <c r="AG1726">
        <v>752.66472908211995</v>
      </c>
      <c r="AH1726">
        <v>14385954</v>
      </c>
    </row>
    <row r="1727" spans="27:34">
      <c r="AA1727">
        <v>-6.85</v>
      </c>
      <c r="AB1727">
        <v>4.4000000000000004</v>
      </c>
      <c r="AC1727">
        <v>540</v>
      </c>
      <c r="AD1727">
        <v>0.349016253</v>
      </c>
      <c r="AG1727">
        <v>775.48995753170004</v>
      </c>
      <c r="AH1727">
        <v>14827223</v>
      </c>
    </row>
    <row r="1728" spans="27:34">
      <c r="AA1728">
        <v>-6.85</v>
      </c>
      <c r="AB1728">
        <v>4.4000000000000004</v>
      </c>
      <c r="AC1728">
        <v>540</v>
      </c>
      <c r="AD1728">
        <v>0.349016253</v>
      </c>
      <c r="AE1728">
        <v>10</v>
      </c>
      <c r="AF1728">
        <v>4.3559999999999999</v>
      </c>
      <c r="AG1728">
        <v>805.63133803536005</v>
      </c>
      <c r="AH1728">
        <v>15275362</v>
      </c>
    </row>
    <row r="1729" spans="27:34">
      <c r="AA1729">
        <v>-6.85</v>
      </c>
      <c r="AB1729">
        <v>4.4000000000000004</v>
      </c>
      <c r="AC1729">
        <v>540</v>
      </c>
      <c r="AD1729">
        <v>0.349016253</v>
      </c>
      <c r="AG1729">
        <v>848.25698689641297</v>
      </c>
      <c r="AH1729">
        <v>15729518</v>
      </c>
    </row>
    <row r="1730" spans="27:34">
      <c r="AA1730">
        <v>-6.85</v>
      </c>
      <c r="AB1730">
        <v>4.4000000000000004</v>
      </c>
      <c r="AC1730">
        <v>540</v>
      </c>
      <c r="AD1730">
        <v>0.349016253</v>
      </c>
      <c r="AG1730">
        <v>731.38291890643302</v>
      </c>
      <c r="AH1730">
        <v>16189796</v>
      </c>
    </row>
    <row r="1731" spans="27:34">
      <c r="AA1731">
        <v>-6.85</v>
      </c>
      <c r="AB1731">
        <v>4.4000000000000004</v>
      </c>
      <c r="AC1731">
        <v>540</v>
      </c>
      <c r="AD1731">
        <v>0.349016253</v>
      </c>
      <c r="AG1731">
        <v>797.26064333955196</v>
      </c>
      <c r="AH1731">
        <v>16656727</v>
      </c>
    </row>
    <row r="1732" spans="27:34">
      <c r="AA1732">
        <v>-6.85</v>
      </c>
      <c r="AB1732">
        <v>4.4000000000000004</v>
      </c>
      <c r="AC1732">
        <v>540</v>
      </c>
      <c r="AD1732">
        <v>0.349016253</v>
      </c>
      <c r="AG1732">
        <v>839.05296830419695</v>
      </c>
      <c r="AH1732">
        <v>17131317</v>
      </c>
    </row>
    <row r="1733" spans="27:34">
      <c r="AA1733">
        <v>-6.85</v>
      </c>
      <c r="AB1733">
        <v>4.4000000000000004</v>
      </c>
      <c r="AC1733">
        <v>540</v>
      </c>
      <c r="AD1733">
        <v>0.349016253</v>
      </c>
      <c r="AE1733">
        <v>11</v>
      </c>
      <c r="AG1733">
        <v>882.07468440204298</v>
      </c>
      <c r="AH1733">
        <v>17614261</v>
      </c>
    </row>
    <row r="1734" spans="27:34">
      <c r="AA1734">
        <v>-6.85</v>
      </c>
      <c r="AB1734">
        <v>4.4000000000000004</v>
      </c>
      <c r="AC1734">
        <v>540</v>
      </c>
      <c r="AD1734">
        <v>0.349016253</v>
      </c>
      <c r="AG1734">
        <v>930.55953609583901</v>
      </c>
      <c r="AH1734">
        <v>18105439</v>
      </c>
    </row>
    <row r="1735" spans="27:34">
      <c r="AA1735">
        <v>-6.85</v>
      </c>
      <c r="AB1735">
        <v>4.4000000000000004</v>
      </c>
      <c r="AC1735">
        <v>540</v>
      </c>
      <c r="AD1735">
        <v>0.349016253</v>
      </c>
      <c r="AG1735">
        <v>995.088985797487</v>
      </c>
      <c r="AH1735">
        <v>18604365</v>
      </c>
    </row>
    <row r="1736" spans="27:34">
      <c r="AA1736">
        <v>-6.85</v>
      </c>
      <c r="AB1736">
        <v>4.4000000000000004</v>
      </c>
      <c r="AC1736">
        <v>540</v>
      </c>
      <c r="AD1736">
        <v>0.349016253</v>
      </c>
      <c r="AE1736">
        <v>11</v>
      </c>
      <c r="AG1736">
        <v>1060.45197217554</v>
      </c>
      <c r="AH1736">
        <v>19110941</v>
      </c>
    </row>
    <row r="1737" spans="27:34">
      <c r="AA1737">
        <v>-6.85</v>
      </c>
      <c r="AB1737">
        <v>4.4000000000000004</v>
      </c>
      <c r="AC1737">
        <v>540</v>
      </c>
      <c r="AD1737">
        <v>0.349016253</v>
      </c>
      <c r="AG1737">
        <v>1003.96376141734</v>
      </c>
      <c r="AH1737">
        <v>19625030</v>
      </c>
    </row>
    <row r="1738" spans="27:34">
      <c r="AA1738">
        <v>-6.85</v>
      </c>
      <c r="AB1738">
        <v>4.4000000000000004</v>
      </c>
      <c r="AC1738">
        <v>540</v>
      </c>
      <c r="AD1738">
        <v>0.349016253</v>
      </c>
    </row>
    <row r="1739" spans="27:34">
      <c r="AA1739">
        <v>-6.85</v>
      </c>
      <c r="AB1739">
        <v>4.4000000000000004</v>
      </c>
      <c r="AC1739">
        <v>540</v>
      </c>
      <c r="AD1739">
        <v>0.349016253</v>
      </c>
    </row>
    <row r="1740" spans="27:34">
      <c r="AA1740">
        <v>-0.45</v>
      </c>
      <c r="AB1740">
        <v>4.2</v>
      </c>
      <c r="AC1740">
        <v>617</v>
      </c>
      <c r="AD1740">
        <v>0.493174061</v>
      </c>
      <c r="AE1740">
        <v>47</v>
      </c>
      <c r="AF1740">
        <v>5.4169999999999998</v>
      </c>
      <c r="AG1740">
        <v>497.08137809252099</v>
      </c>
      <c r="AH1740">
        <v>10144031</v>
      </c>
    </row>
    <row r="1741" spans="27:34">
      <c r="AA1741">
        <v>-0.45</v>
      </c>
      <c r="AB1741">
        <v>4.2</v>
      </c>
      <c r="AC1741">
        <v>617</v>
      </c>
      <c r="AD1741">
        <v>0.493174061</v>
      </c>
      <c r="AG1741">
        <v>530.63876375967197</v>
      </c>
      <c r="AH1741">
        <v>10392796</v>
      </c>
    </row>
    <row r="1742" spans="27:34">
      <c r="AA1742">
        <v>-0.45</v>
      </c>
      <c r="AB1742">
        <v>4.2</v>
      </c>
      <c r="AC1742">
        <v>617</v>
      </c>
      <c r="AD1742">
        <v>0.493174061</v>
      </c>
      <c r="AG1742">
        <v>543.92565551873599</v>
      </c>
      <c r="AH1742">
        <v>10710037</v>
      </c>
    </row>
    <row r="1743" spans="27:34">
      <c r="AA1743">
        <v>-0.45</v>
      </c>
      <c r="AB1743">
        <v>4.2</v>
      </c>
      <c r="AC1743">
        <v>617</v>
      </c>
      <c r="AD1743">
        <v>0.493174061</v>
      </c>
      <c r="AG1743">
        <v>552.63149962842499</v>
      </c>
      <c r="AH1743">
        <v>11075813</v>
      </c>
    </row>
    <row r="1744" spans="27:34">
      <c r="AA1744">
        <v>-0.45</v>
      </c>
      <c r="AB1744">
        <v>4.2</v>
      </c>
      <c r="AC1744">
        <v>617</v>
      </c>
      <c r="AD1744">
        <v>0.493174061</v>
      </c>
      <c r="AG1744">
        <v>558.53957287441403</v>
      </c>
      <c r="AH1744">
        <v>11457542</v>
      </c>
    </row>
    <row r="1745" spans="27:34">
      <c r="AA1745">
        <v>-0.45</v>
      </c>
      <c r="AB1745">
        <v>4.2</v>
      </c>
      <c r="AC1745">
        <v>617</v>
      </c>
      <c r="AD1745">
        <v>0.493174061</v>
      </c>
      <c r="AE1745">
        <v>50</v>
      </c>
      <c r="AF1745">
        <v>5.6109999999999998</v>
      </c>
      <c r="AG1745">
        <v>561.30081903247401</v>
      </c>
      <c r="AH1745">
        <v>11831431</v>
      </c>
    </row>
    <row r="1746" spans="27:34">
      <c r="AA1746">
        <v>-0.45</v>
      </c>
      <c r="AB1746">
        <v>4.2</v>
      </c>
      <c r="AC1746">
        <v>617</v>
      </c>
      <c r="AD1746">
        <v>0.493174061</v>
      </c>
      <c r="AG1746">
        <v>529.26824400308794</v>
      </c>
      <c r="AH1746">
        <v>12193581</v>
      </c>
    </row>
    <row r="1747" spans="27:34">
      <c r="AA1747">
        <v>-0.45</v>
      </c>
      <c r="AB1747">
        <v>4.2</v>
      </c>
      <c r="AC1747">
        <v>617</v>
      </c>
      <c r="AD1747">
        <v>0.493174061</v>
      </c>
      <c r="AG1747">
        <v>531.364779656461</v>
      </c>
      <c r="AH1747">
        <v>12552609</v>
      </c>
    </row>
    <row r="1748" spans="27:34">
      <c r="AA1748">
        <v>-0.45</v>
      </c>
      <c r="AB1748">
        <v>4.2</v>
      </c>
      <c r="AC1748">
        <v>617</v>
      </c>
      <c r="AD1748">
        <v>0.493174061</v>
      </c>
      <c r="AG1748">
        <v>556.74235864613399</v>
      </c>
      <c r="AH1748">
        <v>12911782</v>
      </c>
    </row>
    <row r="1749" spans="27:34">
      <c r="AA1749">
        <v>-0.45</v>
      </c>
      <c r="AB1749">
        <v>4.2</v>
      </c>
      <c r="AC1749">
        <v>617</v>
      </c>
      <c r="AD1749">
        <v>0.493174061</v>
      </c>
      <c r="AG1749">
        <v>587.37563697227404</v>
      </c>
      <c r="AH1749">
        <v>13277494</v>
      </c>
    </row>
    <row r="1750" spans="27:34">
      <c r="AA1750">
        <v>-0.45</v>
      </c>
      <c r="AB1750">
        <v>4.2</v>
      </c>
      <c r="AC1750">
        <v>617</v>
      </c>
      <c r="AD1750">
        <v>0.493174061</v>
      </c>
      <c r="AE1750">
        <v>54</v>
      </c>
      <c r="AG1750">
        <v>605.55056044287005</v>
      </c>
      <c r="AH1750">
        <v>13654475</v>
      </c>
    </row>
    <row r="1751" spans="27:34">
      <c r="AA1751">
        <v>-0.45</v>
      </c>
      <c r="AB1751">
        <v>4.2</v>
      </c>
      <c r="AC1751">
        <v>617</v>
      </c>
      <c r="AD1751">
        <v>0.493174061</v>
      </c>
      <c r="AG1751">
        <v>654.782244216251</v>
      </c>
      <c r="AH1751">
        <v>14042516</v>
      </c>
    </row>
    <row r="1752" spans="27:34">
      <c r="AA1752">
        <v>-0.45</v>
      </c>
      <c r="AB1752">
        <v>4.2</v>
      </c>
      <c r="AC1752">
        <v>617</v>
      </c>
      <c r="AD1752">
        <v>0.493174061</v>
      </c>
      <c r="AG1752">
        <v>696.79988177283997</v>
      </c>
      <c r="AH1752">
        <v>14439496</v>
      </c>
    </row>
    <row r="1753" spans="27:34">
      <c r="AA1753">
        <v>-0.45</v>
      </c>
      <c r="AB1753">
        <v>4.2</v>
      </c>
      <c r="AC1753">
        <v>617</v>
      </c>
      <c r="AD1753">
        <v>0.493174061</v>
      </c>
      <c r="AE1753">
        <v>56</v>
      </c>
      <c r="AG1753">
        <v>752.08526761639996</v>
      </c>
      <c r="AH1753">
        <v>14846182</v>
      </c>
    </row>
    <row r="1754" spans="27:34">
      <c r="AA1754">
        <v>-0.45</v>
      </c>
      <c r="AB1754">
        <v>4.2</v>
      </c>
      <c r="AC1754">
        <v>617</v>
      </c>
      <c r="AD1754">
        <v>0.493174061</v>
      </c>
      <c r="AG1754">
        <v>794.33023139015404</v>
      </c>
      <c r="AH1754">
        <v>15263417</v>
      </c>
    </row>
    <row r="1755" spans="27:34">
      <c r="AA1755">
        <v>-0.45</v>
      </c>
      <c r="AB1755">
        <v>4.2</v>
      </c>
      <c r="AC1755">
        <v>617</v>
      </c>
      <c r="AD1755">
        <v>0.493174061</v>
      </c>
    </row>
    <row r="1756" spans="27:34">
      <c r="AA1756">
        <v>-0.45</v>
      </c>
      <c r="AB1756">
        <v>4.2</v>
      </c>
      <c r="AC1756">
        <v>617</v>
      </c>
      <c r="AD1756">
        <v>0.493174061</v>
      </c>
    </row>
    <row r="1757" spans="27:34">
      <c r="AA1757">
        <v>0.21</v>
      </c>
      <c r="AB1757">
        <v>4.5</v>
      </c>
      <c r="AC1757">
        <v>33</v>
      </c>
      <c r="AD1757">
        <v>0.242782152</v>
      </c>
      <c r="AE1757">
        <v>88</v>
      </c>
      <c r="AG1757">
        <v>7487.7661235422102</v>
      </c>
      <c r="AH1757">
        <v>20593952</v>
      </c>
    </row>
    <row r="1758" spans="27:34">
      <c r="AA1758">
        <v>0.21</v>
      </c>
      <c r="AB1758">
        <v>4.5</v>
      </c>
      <c r="AC1758">
        <v>33</v>
      </c>
      <c r="AD1758">
        <v>0.242782152</v>
      </c>
      <c r="AG1758">
        <v>8182.9736100821601</v>
      </c>
      <c r="AH1758">
        <v>21125658</v>
      </c>
    </row>
    <row r="1759" spans="27:34">
      <c r="AA1759">
        <v>0.21</v>
      </c>
      <c r="AB1759">
        <v>4.5</v>
      </c>
      <c r="AC1759">
        <v>33</v>
      </c>
      <c r="AD1759">
        <v>0.242782152</v>
      </c>
      <c r="AG1759">
        <v>8713.6131537451893</v>
      </c>
      <c r="AH1759">
        <v>21669475</v>
      </c>
    </row>
    <row r="1760" spans="27:34">
      <c r="AA1760">
        <v>0.21</v>
      </c>
      <c r="AB1760">
        <v>4.5</v>
      </c>
      <c r="AC1760">
        <v>33</v>
      </c>
      <c r="AD1760">
        <v>0.242782152</v>
      </c>
      <c r="AG1760">
        <v>7962.6823541695603</v>
      </c>
      <c r="AH1760">
        <v>22216395</v>
      </c>
    </row>
    <row r="1761" spans="27:34">
      <c r="AA1761">
        <v>0.21</v>
      </c>
      <c r="AB1761">
        <v>4.5</v>
      </c>
      <c r="AC1761">
        <v>33</v>
      </c>
      <c r="AD1761">
        <v>0.242782152</v>
      </c>
      <c r="AG1761">
        <v>8372.6376948607904</v>
      </c>
      <c r="AH1761">
        <v>22754049</v>
      </c>
    </row>
    <row r="1762" spans="27:34">
      <c r="AA1762">
        <v>0.21</v>
      </c>
      <c r="AB1762">
        <v>4.5</v>
      </c>
      <c r="AC1762">
        <v>33</v>
      </c>
      <c r="AD1762">
        <v>0.242782152</v>
      </c>
      <c r="AE1762">
        <v>92</v>
      </c>
      <c r="AF1762">
        <v>2.1379999999999999</v>
      </c>
      <c r="AG1762">
        <v>9103.6816310163995</v>
      </c>
      <c r="AH1762">
        <v>23273615</v>
      </c>
    </row>
    <row r="1763" spans="27:34">
      <c r="AA1763">
        <v>0.21</v>
      </c>
      <c r="AB1763">
        <v>4.5</v>
      </c>
      <c r="AC1763">
        <v>33</v>
      </c>
      <c r="AD1763">
        <v>0.242782152</v>
      </c>
      <c r="AG1763">
        <v>9162.3131657154499</v>
      </c>
      <c r="AH1763">
        <v>23771376</v>
      </c>
    </row>
    <row r="1764" spans="27:34">
      <c r="AA1764">
        <v>0.21</v>
      </c>
      <c r="AB1764">
        <v>4.5</v>
      </c>
      <c r="AC1764">
        <v>33</v>
      </c>
      <c r="AD1764">
        <v>0.242782152</v>
      </c>
      <c r="AG1764">
        <v>9619.4601919177203</v>
      </c>
      <c r="AH1764">
        <v>24249955</v>
      </c>
    </row>
    <row r="1765" spans="27:34">
      <c r="AA1765">
        <v>0.21</v>
      </c>
      <c r="AB1765">
        <v>4.5</v>
      </c>
      <c r="AC1765">
        <v>33</v>
      </c>
      <c r="AD1765">
        <v>0.242782152</v>
      </c>
      <c r="AG1765">
        <v>10200.1544844236</v>
      </c>
      <c r="AH1765">
        <v>24714656</v>
      </c>
    </row>
    <row r="1766" spans="27:34">
      <c r="AA1766">
        <v>0.21</v>
      </c>
      <c r="AB1766">
        <v>4.5</v>
      </c>
      <c r="AC1766">
        <v>33</v>
      </c>
      <c r="AD1766">
        <v>0.242782152</v>
      </c>
      <c r="AG1766">
        <v>10996.5285928348</v>
      </c>
      <c r="AH1766">
        <v>25173798</v>
      </c>
    </row>
    <row r="1767" spans="27:34">
      <c r="AA1767">
        <v>0.21</v>
      </c>
      <c r="AB1767">
        <v>4.5</v>
      </c>
      <c r="AC1767">
        <v>33</v>
      </c>
      <c r="AD1767">
        <v>0.242782152</v>
      </c>
      <c r="AE1767">
        <v>96</v>
      </c>
      <c r="AG1767">
        <v>11754.5333543945</v>
      </c>
      <c r="AH1767">
        <v>25633380</v>
      </c>
    </row>
    <row r="1768" spans="27:34">
      <c r="AA1768">
        <v>0.21</v>
      </c>
      <c r="AB1768">
        <v>4.5</v>
      </c>
      <c r="AC1768">
        <v>33</v>
      </c>
      <c r="AD1768">
        <v>0.242782152</v>
      </c>
      <c r="AG1768">
        <v>12619.587056263001</v>
      </c>
      <c r="AH1768">
        <v>26094742</v>
      </c>
    </row>
    <row r="1769" spans="27:34">
      <c r="AA1769">
        <v>0.21</v>
      </c>
      <c r="AB1769">
        <v>4.5</v>
      </c>
      <c r="AC1769">
        <v>33</v>
      </c>
      <c r="AD1769">
        <v>0.242782152</v>
      </c>
      <c r="AG1769">
        <v>13656.600062153801</v>
      </c>
      <c r="AH1769">
        <v>26555654</v>
      </c>
    </row>
    <row r="1770" spans="27:34">
      <c r="AA1770">
        <v>0.21</v>
      </c>
      <c r="AB1770">
        <v>4.5</v>
      </c>
      <c r="AC1770">
        <v>33</v>
      </c>
      <c r="AD1770">
        <v>0.242782152</v>
      </c>
      <c r="AE1770">
        <v>96</v>
      </c>
      <c r="AG1770">
        <v>14364.0952959233</v>
      </c>
      <c r="AH1770">
        <v>27014337</v>
      </c>
    </row>
    <row r="1771" spans="27:34">
      <c r="AA1771">
        <v>0.21</v>
      </c>
      <c r="AB1771">
        <v>4.5</v>
      </c>
      <c r="AC1771">
        <v>33</v>
      </c>
      <c r="AD1771">
        <v>0.242782152</v>
      </c>
      <c r="AG1771">
        <v>14011.9830592177</v>
      </c>
      <c r="AH1771">
        <v>27467837</v>
      </c>
    </row>
    <row r="1772" spans="27:34">
      <c r="AA1772">
        <v>0.21</v>
      </c>
      <c r="AB1772">
        <v>4.5</v>
      </c>
      <c r="AC1772">
        <v>33</v>
      </c>
      <c r="AD1772">
        <v>0.242782152</v>
      </c>
    </row>
    <row r="1773" spans="27:34">
      <c r="AA1773">
        <v>0.21</v>
      </c>
      <c r="AB1773">
        <v>4.5</v>
      </c>
      <c r="AC1773">
        <v>33</v>
      </c>
      <c r="AD1773">
        <v>0.242782152</v>
      </c>
    </row>
    <row r="1774" spans="27:34">
      <c r="AA1774">
        <v>0.56999999999999995</v>
      </c>
      <c r="AB1774">
        <v>4.9000000000000004</v>
      </c>
      <c r="AC1774">
        <v>167</v>
      </c>
      <c r="AD1774">
        <v>8.3098591999999999E-2</v>
      </c>
      <c r="AE1774">
        <v>70</v>
      </c>
      <c r="AG1774">
        <v>2091.5554152800401</v>
      </c>
      <c r="AH1774">
        <v>247840</v>
      </c>
    </row>
    <row r="1775" spans="27:34">
      <c r="AA1775">
        <v>0.56999999999999995</v>
      </c>
      <c r="AB1775">
        <v>4.9000000000000004</v>
      </c>
      <c r="AC1775">
        <v>167</v>
      </c>
      <c r="AD1775">
        <v>8.3098591999999999E-2</v>
      </c>
      <c r="AG1775">
        <v>2274.30291158614</v>
      </c>
      <c r="AH1775">
        <v>253382</v>
      </c>
    </row>
    <row r="1776" spans="27:34">
      <c r="AA1776">
        <v>0.56999999999999995</v>
      </c>
      <c r="AB1776">
        <v>4.9000000000000004</v>
      </c>
      <c r="AC1776">
        <v>167</v>
      </c>
      <c r="AD1776">
        <v>8.3098591999999999E-2</v>
      </c>
      <c r="AG1776">
        <v>2504.5816878240698</v>
      </c>
      <c r="AH1776">
        <v>258528</v>
      </c>
    </row>
    <row r="1777" spans="27:34">
      <c r="AA1777">
        <v>0.56999999999999995</v>
      </c>
      <c r="AB1777">
        <v>4.9000000000000004</v>
      </c>
      <c r="AC1777">
        <v>167</v>
      </c>
      <c r="AD1777">
        <v>8.3098591999999999E-2</v>
      </c>
      <c r="AG1777">
        <v>2730.1994260393699</v>
      </c>
      <c r="AH1777">
        <v>263330</v>
      </c>
    </row>
    <row r="1778" spans="27:34">
      <c r="AA1778">
        <v>0.56999999999999995</v>
      </c>
      <c r="AB1778">
        <v>4.9000000000000004</v>
      </c>
      <c r="AC1778">
        <v>167</v>
      </c>
      <c r="AD1778">
        <v>8.3098591999999999E-2</v>
      </c>
      <c r="AG1778">
        <v>2919.97564990198</v>
      </c>
      <c r="AH1778">
        <v>267879</v>
      </c>
    </row>
    <row r="1779" spans="27:34">
      <c r="AA1779">
        <v>0.56999999999999995</v>
      </c>
      <c r="AB1779">
        <v>4.9000000000000004</v>
      </c>
      <c r="AC1779">
        <v>167</v>
      </c>
      <c r="AD1779">
        <v>8.3098591999999999E-2</v>
      </c>
      <c r="AE1779">
        <v>81</v>
      </c>
      <c r="AG1779">
        <v>3075.24747770354</v>
      </c>
      <c r="AH1779">
        <v>272248</v>
      </c>
    </row>
    <row r="1780" spans="27:34">
      <c r="AA1780">
        <v>0.56999999999999995</v>
      </c>
      <c r="AB1780">
        <v>4.9000000000000004</v>
      </c>
      <c r="AC1780">
        <v>167</v>
      </c>
      <c r="AD1780">
        <v>8.3098591999999999E-2</v>
      </c>
      <c r="AG1780">
        <v>3204.1586089776401</v>
      </c>
      <c r="AH1780">
        <v>276450</v>
      </c>
    </row>
    <row r="1781" spans="27:34">
      <c r="AA1781">
        <v>0.56999999999999995</v>
      </c>
      <c r="AB1781">
        <v>4.9000000000000004</v>
      </c>
      <c r="AC1781">
        <v>167</v>
      </c>
      <c r="AD1781">
        <v>8.3098591999999999E-2</v>
      </c>
      <c r="AG1781">
        <v>3418.7429507919801</v>
      </c>
      <c r="AH1781">
        <v>280491</v>
      </c>
    </row>
    <row r="1782" spans="27:34">
      <c r="AA1782">
        <v>0.56999999999999995</v>
      </c>
      <c r="AB1782">
        <v>4.9000000000000004</v>
      </c>
      <c r="AC1782">
        <v>167</v>
      </c>
      <c r="AD1782">
        <v>8.3098591999999999E-2</v>
      </c>
      <c r="AG1782">
        <v>3737.9741997717601</v>
      </c>
      <c r="AH1782">
        <v>284443</v>
      </c>
    </row>
    <row r="1783" spans="27:34">
      <c r="AA1783">
        <v>0.56999999999999995</v>
      </c>
      <c r="AB1783">
        <v>4.9000000000000004</v>
      </c>
      <c r="AC1783">
        <v>167</v>
      </c>
      <c r="AD1783">
        <v>8.3098591999999999E-2</v>
      </c>
      <c r="AG1783">
        <v>4152.0961764314197</v>
      </c>
      <c r="AH1783">
        <v>288392</v>
      </c>
    </row>
    <row r="1784" spans="27:34">
      <c r="AA1784">
        <v>0.56999999999999995</v>
      </c>
      <c r="AB1784">
        <v>4.9000000000000004</v>
      </c>
      <c r="AC1784">
        <v>167</v>
      </c>
      <c r="AD1784">
        <v>8.3098591999999999E-2</v>
      </c>
      <c r="AE1784">
        <v>92</v>
      </c>
      <c r="AG1784">
        <v>4035.1748677217302</v>
      </c>
      <c r="AH1784">
        <v>292404</v>
      </c>
    </row>
    <row r="1785" spans="27:34">
      <c r="AA1785">
        <v>0.56999999999999995</v>
      </c>
      <c r="AB1785">
        <v>4.9000000000000004</v>
      </c>
      <c r="AC1785">
        <v>167</v>
      </c>
      <c r="AD1785">
        <v>8.3098591999999999E-2</v>
      </c>
      <c r="AG1785">
        <v>4847.3372411607297</v>
      </c>
      <c r="AH1785">
        <v>296511</v>
      </c>
    </row>
    <row r="1786" spans="27:34">
      <c r="AA1786">
        <v>0.56999999999999995</v>
      </c>
      <c r="AB1786">
        <v>4.9000000000000004</v>
      </c>
      <c r="AC1786">
        <v>167</v>
      </c>
      <c r="AD1786">
        <v>8.3098591999999999E-2</v>
      </c>
      <c r="AG1786">
        <v>5301.3463863819497</v>
      </c>
      <c r="AH1786">
        <v>300718</v>
      </c>
    </row>
    <row r="1787" spans="27:34">
      <c r="AA1787">
        <v>0.56999999999999995</v>
      </c>
      <c r="AB1787">
        <v>4.9000000000000004</v>
      </c>
      <c r="AC1787">
        <v>167</v>
      </c>
      <c r="AD1787">
        <v>8.3098591999999999E-2</v>
      </c>
      <c r="AE1787">
        <v>98</v>
      </c>
      <c r="AG1787">
        <v>5674.7873601300098</v>
      </c>
      <c r="AH1787">
        <v>305027</v>
      </c>
    </row>
    <row r="1788" spans="27:34">
      <c r="AA1788">
        <v>0.56999999999999995</v>
      </c>
      <c r="AB1788">
        <v>4.9000000000000004</v>
      </c>
      <c r="AC1788">
        <v>167</v>
      </c>
      <c r="AD1788">
        <v>8.3098591999999999E-2</v>
      </c>
      <c r="AG1788">
        <v>5475.6779220602903</v>
      </c>
      <c r="AH1788">
        <v>309430</v>
      </c>
    </row>
    <row r="1789" spans="27:34">
      <c r="AA1789">
        <v>0.56999999999999995</v>
      </c>
      <c r="AB1789">
        <v>4.9000000000000004</v>
      </c>
      <c r="AC1789">
        <v>167</v>
      </c>
      <c r="AD1789">
        <v>8.3098591999999999E-2</v>
      </c>
      <c r="AF1789">
        <v>15.67</v>
      </c>
    </row>
    <row r="1790" spans="27:34">
      <c r="AA1790">
        <v>0.56999999999999995</v>
      </c>
      <c r="AB1790">
        <v>4.9000000000000004</v>
      </c>
      <c r="AC1790">
        <v>167</v>
      </c>
      <c r="AD1790">
        <v>8.3098591999999999E-2</v>
      </c>
    </row>
    <row r="1791" spans="27:34">
      <c r="AA1791">
        <v>4.95</v>
      </c>
      <c r="AB1791">
        <v>4.0999999999999996</v>
      </c>
      <c r="AC1791">
        <v>880</v>
      </c>
      <c r="AD1791">
        <v>0.50674019599999998</v>
      </c>
      <c r="AE1791">
        <v>29</v>
      </c>
      <c r="AG1791">
        <v>568.54193114310897</v>
      </c>
      <c r="AH1791">
        <v>9548965</v>
      </c>
    </row>
    <row r="1792" spans="27:34">
      <c r="AA1792">
        <v>4.95</v>
      </c>
      <c r="AB1792">
        <v>4.0999999999999996</v>
      </c>
      <c r="AC1792">
        <v>880</v>
      </c>
      <c r="AD1792">
        <v>0.50674019599999998</v>
      </c>
      <c r="AG1792">
        <v>586.85669242175402</v>
      </c>
      <c r="AH1792">
        <v>9731280</v>
      </c>
    </row>
    <row r="1793" spans="27:34">
      <c r="AA1793">
        <v>4.95</v>
      </c>
      <c r="AB1793">
        <v>4.0999999999999996</v>
      </c>
      <c r="AC1793">
        <v>880</v>
      </c>
      <c r="AD1793">
        <v>0.50674019599999998</v>
      </c>
      <c r="AG1793">
        <v>625.841017427785</v>
      </c>
      <c r="AH1793">
        <v>9914813</v>
      </c>
    </row>
    <row r="1794" spans="27:34">
      <c r="AA1794">
        <v>4.95</v>
      </c>
      <c r="AB1794">
        <v>4.0999999999999996</v>
      </c>
      <c r="AC1794">
        <v>880</v>
      </c>
      <c r="AD1794">
        <v>0.50674019599999998</v>
      </c>
      <c r="AG1794">
        <v>658.53098338310599</v>
      </c>
      <c r="AH1794">
        <v>10104129</v>
      </c>
    </row>
    <row r="1795" spans="27:34">
      <c r="AA1795">
        <v>4.95</v>
      </c>
      <c r="AB1795">
        <v>4.0999999999999996</v>
      </c>
      <c r="AC1795">
        <v>880</v>
      </c>
      <c r="AD1795">
        <v>0.50674019599999998</v>
      </c>
      <c r="AG1795">
        <v>699.25480815399203</v>
      </c>
      <c r="AH1795">
        <v>10305390</v>
      </c>
    </row>
    <row r="1796" spans="27:34">
      <c r="AA1796">
        <v>4.95</v>
      </c>
      <c r="AB1796">
        <v>4.0999999999999996</v>
      </c>
      <c r="AC1796">
        <v>880</v>
      </c>
      <c r="AD1796">
        <v>0.50674019599999998</v>
      </c>
      <c r="AE1796">
        <v>32</v>
      </c>
      <c r="AF1796">
        <v>6.5460000000000003</v>
      </c>
      <c r="AG1796">
        <v>722.00254031922998</v>
      </c>
      <c r="AH1796">
        <v>10522937</v>
      </c>
    </row>
    <row r="1797" spans="27:34">
      <c r="AA1797">
        <v>4.95</v>
      </c>
      <c r="AB1797">
        <v>4.0999999999999996</v>
      </c>
      <c r="AC1797">
        <v>880</v>
      </c>
      <c r="AD1797">
        <v>0.50674019599999998</v>
      </c>
      <c r="AG1797">
        <v>809.581861824935</v>
      </c>
      <c r="AH1797">
        <v>10758622</v>
      </c>
    </row>
    <row r="1798" spans="27:34">
      <c r="AA1798">
        <v>4.95</v>
      </c>
      <c r="AB1798">
        <v>4.0999999999999996</v>
      </c>
      <c r="AC1798">
        <v>880</v>
      </c>
      <c r="AD1798">
        <v>0.50674019599999998</v>
      </c>
      <c r="AG1798">
        <v>837.26373499577005</v>
      </c>
      <c r="AH1798">
        <v>11011005</v>
      </c>
    </row>
    <row r="1799" spans="27:34">
      <c r="AA1799">
        <v>4.95</v>
      </c>
      <c r="AB1799">
        <v>4.0999999999999996</v>
      </c>
      <c r="AC1799">
        <v>880</v>
      </c>
      <c r="AD1799">
        <v>0.50674019599999998</v>
      </c>
      <c r="AG1799">
        <v>897.27593400833302</v>
      </c>
      <c r="AH1799">
        <v>11277065</v>
      </c>
    </row>
    <row r="1800" spans="27:34">
      <c r="AA1800">
        <v>4.95</v>
      </c>
      <c r="AB1800">
        <v>4.0999999999999996</v>
      </c>
      <c r="AC1800">
        <v>880</v>
      </c>
      <c r="AD1800">
        <v>0.50674019599999998</v>
      </c>
      <c r="AG1800">
        <v>920.42318957675604</v>
      </c>
      <c r="AH1800">
        <v>11552156</v>
      </c>
    </row>
    <row r="1801" spans="27:34">
      <c r="AA1801">
        <v>4.95</v>
      </c>
      <c r="AB1801">
        <v>4.0999999999999996</v>
      </c>
      <c r="AC1801">
        <v>880</v>
      </c>
      <c r="AD1801">
        <v>0.50674019599999998</v>
      </c>
      <c r="AE1801">
        <v>35</v>
      </c>
      <c r="AG1801">
        <v>985.00870165485605</v>
      </c>
      <c r="AH1801">
        <v>11832846</v>
      </c>
    </row>
    <row r="1802" spans="27:34">
      <c r="AA1802">
        <v>4.95</v>
      </c>
      <c r="AB1802">
        <v>4.0999999999999996</v>
      </c>
      <c r="AC1802">
        <v>880</v>
      </c>
      <c r="AD1802">
        <v>0.50674019599999998</v>
      </c>
      <c r="AG1802">
        <v>1045.73980810429</v>
      </c>
      <c r="AH1802">
        <v>12118105</v>
      </c>
    </row>
    <row r="1803" spans="27:34">
      <c r="AA1803">
        <v>4.95</v>
      </c>
      <c r="AB1803">
        <v>4.0999999999999996</v>
      </c>
      <c r="AC1803">
        <v>880</v>
      </c>
      <c r="AD1803">
        <v>0.50674019599999998</v>
      </c>
      <c r="AG1803">
        <v>1101.6525633725801</v>
      </c>
      <c r="AH1803">
        <v>12408824</v>
      </c>
    </row>
    <row r="1804" spans="27:34">
      <c r="AA1804">
        <v>4.95</v>
      </c>
      <c r="AB1804">
        <v>4.0999999999999996</v>
      </c>
      <c r="AC1804">
        <v>880</v>
      </c>
      <c r="AD1804">
        <v>0.50674019599999998</v>
      </c>
      <c r="AE1804">
        <v>36</v>
      </c>
      <c r="AG1804">
        <v>1153.3015307418</v>
      </c>
      <c r="AH1804">
        <v>12705736</v>
      </c>
    </row>
    <row r="1805" spans="27:34">
      <c r="AA1805">
        <v>4.95</v>
      </c>
      <c r="AB1805">
        <v>4.0999999999999996</v>
      </c>
      <c r="AC1805">
        <v>880</v>
      </c>
      <c r="AD1805">
        <v>0.50674019599999998</v>
      </c>
      <c r="AG1805">
        <v>1185.4997286371699</v>
      </c>
      <c r="AH1805">
        <v>13010209</v>
      </c>
    </row>
    <row r="1806" spans="27:34">
      <c r="AA1806">
        <v>4.95</v>
      </c>
      <c r="AB1806">
        <v>4.0999999999999996</v>
      </c>
      <c r="AC1806">
        <v>880</v>
      </c>
      <c r="AD1806">
        <v>0.50674019599999998</v>
      </c>
    </row>
    <row r="1807" spans="27:34">
      <c r="AA1807">
        <v>4.95</v>
      </c>
      <c r="AB1807">
        <v>4.0999999999999996</v>
      </c>
      <c r="AC1807">
        <v>880</v>
      </c>
      <c r="AD1807">
        <v>0.50674019599999998</v>
      </c>
    </row>
    <row r="1808" spans="27:34">
      <c r="AA1808">
        <v>-16.62</v>
      </c>
      <c r="AB1808">
        <v>2.4</v>
      </c>
      <c r="AC1808" t="e">
        <v>#N/A</v>
      </c>
      <c r="AD1808">
        <v>5.9090908999999997E-2</v>
      </c>
      <c r="AE1808">
        <v>100</v>
      </c>
      <c r="AF1808">
        <v>62.38</v>
      </c>
      <c r="AG1808">
        <v>14965.7601238836</v>
      </c>
      <c r="AH1808">
        <v>378000</v>
      </c>
    </row>
    <row r="1809" spans="27:34">
      <c r="AA1809">
        <v>-16.62</v>
      </c>
      <c r="AB1809">
        <v>2.4</v>
      </c>
      <c r="AD1809">
        <v>5.9090908999999997E-2</v>
      </c>
      <c r="AG1809">
        <v>14362.064499944099</v>
      </c>
      <c r="AH1809">
        <v>380000</v>
      </c>
    </row>
    <row r="1810" spans="27:34">
      <c r="AA1810">
        <v>-16.62</v>
      </c>
      <c r="AB1810">
        <v>2.4</v>
      </c>
      <c r="AD1810">
        <v>5.9090908999999997E-2</v>
      </c>
      <c r="AG1810">
        <v>15253.9001166815</v>
      </c>
      <c r="AH1810">
        <v>383000</v>
      </c>
    </row>
    <row r="1811" spans="27:34">
      <c r="AA1811">
        <v>-16.62</v>
      </c>
      <c r="AB1811">
        <v>2.4</v>
      </c>
      <c r="AD1811">
        <v>5.9090908999999997E-2</v>
      </c>
      <c r="AG1811">
        <v>15962.7682905449</v>
      </c>
      <c r="AH1811">
        <v>385000</v>
      </c>
    </row>
    <row r="1812" spans="27:34">
      <c r="AA1812">
        <v>-16.62</v>
      </c>
      <c r="AB1812">
        <v>2.4</v>
      </c>
      <c r="AD1812">
        <v>5.9090908999999997E-2</v>
      </c>
      <c r="AG1812">
        <v>16648.738862066901</v>
      </c>
      <c r="AH1812">
        <v>388000</v>
      </c>
    </row>
    <row r="1813" spans="27:34">
      <c r="AA1813">
        <v>-16.62</v>
      </c>
      <c r="AB1813">
        <v>2.4</v>
      </c>
      <c r="AD1813">
        <v>5.9090908999999997E-2</v>
      </c>
      <c r="AE1813">
        <v>100</v>
      </c>
      <c r="AF1813">
        <v>71.290000000000006</v>
      </c>
      <c r="AG1813">
        <v>18312.671224899499</v>
      </c>
      <c r="AH1813">
        <v>390000</v>
      </c>
    </row>
    <row r="1814" spans="27:34">
      <c r="AA1814">
        <v>-16.62</v>
      </c>
      <c r="AB1814">
        <v>2.4</v>
      </c>
      <c r="AD1814">
        <v>5.9090908999999997E-2</v>
      </c>
      <c r="AG1814">
        <v>17937.120259855299</v>
      </c>
      <c r="AH1814">
        <v>393000</v>
      </c>
    </row>
    <row r="1815" spans="27:34">
      <c r="AA1815">
        <v>-16.62</v>
      </c>
      <c r="AB1815">
        <v>2.4</v>
      </c>
      <c r="AD1815">
        <v>5.9090908999999997E-2</v>
      </c>
      <c r="AG1815">
        <v>19043.934131148199</v>
      </c>
      <c r="AH1815">
        <v>395950</v>
      </c>
    </row>
    <row r="1816" spans="27:34">
      <c r="AA1816">
        <v>-16.62</v>
      </c>
      <c r="AB1816">
        <v>2.4</v>
      </c>
      <c r="AD1816">
        <v>5.9090908999999997E-2</v>
      </c>
      <c r="AG1816">
        <v>19199.236202618202</v>
      </c>
      <c r="AH1816">
        <v>398600</v>
      </c>
    </row>
    <row r="1817" spans="27:34">
      <c r="AA1817">
        <v>-16.62</v>
      </c>
      <c r="AB1817">
        <v>2.4</v>
      </c>
      <c r="AD1817">
        <v>5.9090908999999997E-2</v>
      </c>
      <c r="AG1817">
        <v>19816.712948853801</v>
      </c>
      <c r="AH1817">
        <v>401300</v>
      </c>
    </row>
    <row r="1818" spans="27:34">
      <c r="AA1818">
        <v>-16.62</v>
      </c>
      <c r="AB1818">
        <v>2.4</v>
      </c>
      <c r="AD1818">
        <v>5.9090908999999997E-2</v>
      </c>
      <c r="AE1818">
        <v>100</v>
      </c>
      <c r="AG1818">
        <v>20958.048466133299</v>
      </c>
      <c r="AH1818">
        <v>403500</v>
      </c>
    </row>
    <row r="1819" spans="27:34">
      <c r="AA1819">
        <v>-16.62</v>
      </c>
      <c r="AB1819">
        <v>2.4</v>
      </c>
      <c r="AD1819">
        <v>5.9090908999999997E-2</v>
      </c>
      <c r="AG1819">
        <v>22456.539173958699</v>
      </c>
      <c r="AH1819">
        <v>406408</v>
      </c>
    </row>
    <row r="1820" spans="27:34">
      <c r="AA1820">
        <v>-16.62</v>
      </c>
      <c r="AB1820">
        <v>2.4</v>
      </c>
      <c r="AD1820">
        <v>5.9090908999999997E-2</v>
      </c>
      <c r="AG1820">
        <v>23629.3227882299</v>
      </c>
      <c r="AH1820">
        <v>409050</v>
      </c>
    </row>
    <row r="1821" spans="27:34">
      <c r="AA1821">
        <v>-16.62</v>
      </c>
      <c r="AB1821">
        <v>2.4</v>
      </c>
      <c r="AD1821">
        <v>5.9090908999999997E-2</v>
      </c>
      <c r="AE1821">
        <v>100</v>
      </c>
      <c r="AG1821">
        <v>24905.449799390899</v>
      </c>
      <c r="AH1821">
        <v>411950</v>
      </c>
    </row>
    <row r="1822" spans="27:34">
      <c r="AA1822">
        <v>-16.62</v>
      </c>
      <c r="AB1822">
        <v>2.4</v>
      </c>
      <c r="AD1822">
        <v>5.9090908999999997E-2</v>
      </c>
      <c r="AG1822">
        <v>24814.319247907599</v>
      </c>
      <c r="AH1822">
        <v>414971</v>
      </c>
    </row>
    <row r="1823" spans="27:34">
      <c r="AA1823">
        <v>-16.62</v>
      </c>
      <c r="AB1823">
        <v>2.4</v>
      </c>
      <c r="AD1823">
        <v>5.9090908999999997E-2</v>
      </c>
    </row>
    <row r="1824" spans="27:34">
      <c r="AA1824">
        <v>-16.62</v>
      </c>
      <c r="AB1824">
        <v>2.4</v>
      </c>
      <c r="AD1824">
        <v>5.9090908999999997E-2</v>
      </c>
    </row>
    <row r="1825" spans="27:34">
      <c r="AA1825">
        <v>10.29</v>
      </c>
      <c r="AB1825">
        <v>4.9000000000000004</v>
      </c>
      <c r="AC1825">
        <v>202</v>
      </c>
      <c r="AD1825">
        <v>0.20200235599999999</v>
      </c>
      <c r="AE1825">
        <v>67</v>
      </c>
      <c r="AF1825" t="e">
        <v>#N/A</v>
      </c>
      <c r="AH1825">
        <v>51000</v>
      </c>
    </row>
    <row r="1826" spans="27:34">
      <c r="AA1826">
        <v>10.29</v>
      </c>
      <c r="AB1826">
        <v>4.9000000000000004</v>
      </c>
      <c r="AC1826">
        <v>202</v>
      </c>
      <c r="AD1826">
        <v>0.20200235599999999</v>
      </c>
      <c r="AH1826">
        <v>50977.212001228901</v>
      </c>
    </row>
    <row r="1827" spans="27:34">
      <c r="AA1827">
        <v>10.29</v>
      </c>
      <c r="AB1827">
        <v>4.9000000000000004</v>
      </c>
      <c r="AC1827">
        <v>202</v>
      </c>
      <c r="AD1827">
        <v>0.20200235599999999</v>
      </c>
      <c r="AH1827">
        <v>50954.4341846713</v>
      </c>
    </row>
    <row r="1828" spans="27:34">
      <c r="AA1828">
        <v>10.29</v>
      </c>
      <c r="AB1828">
        <v>4.9000000000000004</v>
      </c>
      <c r="AC1828">
        <v>202</v>
      </c>
      <c r="AD1828">
        <v>0.20200235599999999</v>
      </c>
      <c r="AH1828">
        <v>50931.666545777502</v>
      </c>
    </row>
    <row r="1829" spans="27:34">
      <c r="AA1829">
        <v>10.29</v>
      </c>
      <c r="AB1829">
        <v>4.9000000000000004</v>
      </c>
      <c r="AC1829">
        <v>202</v>
      </c>
      <c r="AD1829">
        <v>0.20200235599999999</v>
      </c>
      <c r="AH1829">
        <v>50908.909079999998</v>
      </c>
    </row>
    <row r="1830" spans="27:34">
      <c r="AA1830">
        <v>10.29</v>
      </c>
      <c r="AB1830">
        <v>4.9000000000000004</v>
      </c>
      <c r="AC1830">
        <v>202</v>
      </c>
      <c r="AD1830">
        <v>0.20200235599999999</v>
      </c>
      <c r="AE1830">
        <v>69</v>
      </c>
      <c r="AF1830" t="e">
        <v>#N/A</v>
      </c>
      <c r="AH1830">
        <v>51288.591414509603</v>
      </c>
    </row>
    <row r="1831" spans="27:34">
      <c r="AA1831">
        <v>10.29</v>
      </c>
      <c r="AB1831">
        <v>4.9000000000000004</v>
      </c>
      <c r="AC1831">
        <v>202</v>
      </c>
      <c r="AD1831">
        <v>0.20200235599999999</v>
      </c>
      <c r="AH1831">
        <v>51872.869411138403</v>
      </c>
    </row>
    <row r="1832" spans="27:34">
      <c r="AA1832">
        <v>10.29</v>
      </c>
      <c r="AB1832">
        <v>4.9000000000000004</v>
      </c>
      <c r="AC1832">
        <v>202</v>
      </c>
      <c r="AD1832">
        <v>0.20200235599999999</v>
      </c>
      <c r="AH1832">
        <v>52646.988575021998</v>
      </c>
    </row>
    <row r="1833" spans="27:34">
      <c r="AA1833">
        <v>10.29</v>
      </c>
      <c r="AB1833">
        <v>4.9000000000000004</v>
      </c>
      <c r="AC1833">
        <v>202</v>
      </c>
      <c r="AD1833">
        <v>0.20200235599999999</v>
      </c>
      <c r="AH1833">
        <v>53588.325347368402</v>
      </c>
    </row>
    <row r="1834" spans="27:34">
      <c r="AA1834">
        <v>10.29</v>
      </c>
      <c r="AB1834">
        <v>4.9000000000000004</v>
      </c>
      <c r="AC1834">
        <v>202</v>
      </c>
      <c r="AD1834">
        <v>0.20200235599999999</v>
      </c>
      <c r="AH1834">
        <v>54649.665344611603</v>
      </c>
    </row>
    <row r="1835" spans="27:34">
      <c r="AA1835">
        <v>10.29</v>
      </c>
      <c r="AB1835">
        <v>4.9000000000000004</v>
      </c>
      <c r="AC1835">
        <v>202</v>
      </c>
      <c r="AD1835">
        <v>0.20200235599999999</v>
      </c>
      <c r="AE1835">
        <v>71</v>
      </c>
      <c r="AF1835" t="e">
        <v>#N/A</v>
      </c>
      <c r="AH1835">
        <v>55791.6632471134</v>
      </c>
    </row>
    <row r="1836" spans="27:34">
      <c r="AA1836">
        <v>10.29</v>
      </c>
      <c r="AB1836">
        <v>4.9000000000000004</v>
      </c>
      <c r="AC1836">
        <v>202</v>
      </c>
      <c r="AD1836">
        <v>0.20200235599999999</v>
      </c>
      <c r="AH1836">
        <v>57013.335421882701</v>
      </c>
    </row>
    <row r="1837" spans="27:34">
      <c r="AA1837">
        <v>10.29</v>
      </c>
      <c r="AB1837">
        <v>4.9000000000000004</v>
      </c>
      <c r="AC1837">
        <v>202</v>
      </c>
      <c r="AD1837">
        <v>0.20200235599999999</v>
      </c>
      <c r="AH1837">
        <v>58315.665501910502</v>
      </c>
    </row>
    <row r="1838" spans="27:34">
      <c r="AA1838">
        <v>10.29</v>
      </c>
      <c r="AB1838">
        <v>4.9000000000000004</v>
      </c>
      <c r="AC1838">
        <v>202</v>
      </c>
      <c r="AD1838">
        <v>0.20200235599999999</v>
      </c>
      <c r="AE1838">
        <v>73</v>
      </c>
      <c r="AH1838">
        <v>59667.177231486203</v>
      </c>
    </row>
    <row r="1839" spans="27:34">
      <c r="AA1839">
        <v>10.29</v>
      </c>
      <c r="AB1839">
        <v>4.9000000000000004</v>
      </c>
      <c r="AC1839">
        <v>202</v>
      </c>
      <c r="AD1839">
        <v>0.20200235599999999</v>
      </c>
      <c r="AH1839">
        <v>61025.574391998598</v>
      </c>
    </row>
    <row r="1840" spans="27:34">
      <c r="AA1840">
        <v>10.29</v>
      </c>
      <c r="AB1840">
        <v>4.9000000000000004</v>
      </c>
      <c r="AC1840">
        <v>202</v>
      </c>
      <c r="AD1840">
        <v>0.20200235599999999</v>
      </c>
    </row>
    <row r="1841" spans="27:34">
      <c r="AA1841">
        <v>10.29</v>
      </c>
      <c r="AB1841">
        <v>4.9000000000000004</v>
      </c>
      <c r="AC1841">
        <v>202</v>
      </c>
      <c r="AD1841">
        <v>0.20200235599999999</v>
      </c>
    </row>
    <row r="1842" spans="27:34">
      <c r="AA1842">
        <v>-19.079999999999998</v>
      </c>
      <c r="AB1842">
        <v>3.9</v>
      </c>
      <c r="AC1842">
        <v>390</v>
      </c>
      <c r="AD1842">
        <v>0.40809084499999998</v>
      </c>
      <c r="AE1842">
        <v>18</v>
      </c>
      <c r="AG1842">
        <v>1297.9392510396201</v>
      </c>
      <c r="AH1842">
        <v>2269550</v>
      </c>
    </row>
    <row r="1843" spans="27:34">
      <c r="AA1843">
        <v>-19.079999999999998</v>
      </c>
      <c r="AB1843">
        <v>3.9</v>
      </c>
      <c r="AC1843">
        <v>390</v>
      </c>
      <c r="AD1843">
        <v>0.40809084499999998</v>
      </c>
      <c r="AG1843">
        <v>1362.20973740723</v>
      </c>
      <c r="AH1843">
        <v>2332057</v>
      </c>
    </row>
    <row r="1844" spans="27:34">
      <c r="AA1844">
        <v>-19.079999999999998</v>
      </c>
      <c r="AB1844">
        <v>3.9</v>
      </c>
      <c r="AC1844">
        <v>390</v>
      </c>
      <c r="AD1844">
        <v>0.40809084499999998</v>
      </c>
      <c r="AG1844">
        <v>1294.44862928102</v>
      </c>
      <c r="AH1844">
        <v>2396629</v>
      </c>
    </row>
    <row r="1845" spans="27:34">
      <c r="AA1845">
        <v>-19.079999999999998</v>
      </c>
      <c r="AB1845">
        <v>3.9</v>
      </c>
      <c r="AC1845">
        <v>390</v>
      </c>
      <c r="AD1845">
        <v>0.40809084499999998</v>
      </c>
      <c r="AG1845">
        <v>1309.0037790292599</v>
      </c>
      <c r="AH1845">
        <v>2463370</v>
      </c>
    </row>
    <row r="1846" spans="27:34">
      <c r="AA1846">
        <v>-19.079999999999998</v>
      </c>
      <c r="AB1846">
        <v>3.9</v>
      </c>
      <c r="AC1846">
        <v>390</v>
      </c>
      <c r="AD1846">
        <v>0.40809084499999998</v>
      </c>
      <c r="AG1846">
        <v>1378.16080429931</v>
      </c>
      <c r="AH1846">
        <v>2532405</v>
      </c>
    </row>
    <row r="1847" spans="27:34">
      <c r="AA1847">
        <v>-19.079999999999998</v>
      </c>
      <c r="AB1847">
        <v>3.9</v>
      </c>
      <c r="AC1847">
        <v>390</v>
      </c>
      <c r="AD1847">
        <v>0.40809084499999998</v>
      </c>
      <c r="AE1847">
        <v>21</v>
      </c>
      <c r="AF1847">
        <v>14.03</v>
      </c>
      <c r="AG1847">
        <v>1394.74233070798</v>
      </c>
      <c r="AH1847">
        <v>2603740</v>
      </c>
    </row>
    <row r="1848" spans="27:34">
      <c r="AA1848">
        <v>-19.079999999999998</v>
      </c>
      <c r="AB1848">
        <v>3.9</v>
      </c>
      <c r="AC1848">
        <v>390</v>
      </c>
      <c r="AD1848">
        <v>0.40809084499999998</v>
      </c>
      <c r="AG1848">
        <v>1427.2465916111801</v>
      </c>
      <c r="AH1848">
        <v>2677391</v>
      </c>
    </row>
    <row r="1849" spans="27:34">
      <c r="AA1849">
        <v>-19.079999999999998</v>
      </c>
      <c r="AB1849">
        <v>3.9</v>
      </c>
      <c r="AC1849">
        <v>390</v>
      </c>
      <c r="AD1849">
        <v>0.40809084499999998</v>
      </c>
      <c r="AG1849">
        <v>1426.03033652762</v>
      </c>
      <c r="AH1849">
        <v>2753081</v>
      </c>
    </row>
    <row r="1850" spans="27:34">
      <c r="AA1850">
        <v>-19.079999999999998</v>
      </c>
      <c r="AB1850">
        <v>3.9</v>
      </c>
      <c r="AC1850">
        <v>390</v>
      </c>
      <c r="AD1850">
        <v>0.40809084499999998</v>
      </c>
      <c r="AG1850">
        <v>1496.3687548909099</v>
      </c>
      <c r="AH1850">
        <v>2830156</v>
      </c>
    </row>
    <row r="1851" spans="27:34">
      <c r="AA1851">
        <v>-19.079999999999998</v>
      </c>
      <c r="AB1851">
        <v>3.9</v>
      </c>
      <c r="AC1851">
        <v>390</v>
      </c>
      <c r="AD1851">
        <v>0.40809084499999998</v>
      </c>
      <c r="AG1851">
        <v>1575.27774538986</v>
      </c>
      <c r="AH1851">
        <v>2907759</v>
      </c>
    </row>
    <row r="1852" spans="27:34">
      <c r="AA1852">
        <v>-19.079999999999998</v>
      </c>
      <c r="AB1852">
        <v>3.9</v>
      </c>
      <c r="AC1852">
        <v>390</v>
      </c>
      <c r="AD1852">
        <v>0.40809084499999998</v>
      </c>
      <c r="AE1852">
        <v>24</v>
      </c>
      <c r="AG1852">
        <v>1671.9013047559099</v>
      </c>
      <c r="AH1852">
        <v>2985224</v>
      </c>
    </row>
    <row r="1853" spans="27:34">
      <c r="AA1853">
        <v>-19.079999999999998</v>
      </c>
      <c r="AB1853">
        <v>3.9</v>
      </c>
      <c r="AC1853">
        <v>390</v>
      </c>
      <c r="AD1853">
        <v>0.40809084499999998</v>
      </c>
      <c r="AG1853">
        <v>2009.3075187566201</v>
      </c>
      <c r="AH1853">
        <v>3062283</v>
      </c>
    </row>
    <row r="1854" spans="27:34">
      <c r="AA1854">
        <v>-19.079999999999998</v>
      </c>
      <c r="AB1854">
        <v>3.9</v>
      </c>
      <c r="AC1854">
        <v>390</v>
      </c>
      <c r="AD1854">
        <v>0.40809084499999998</v>
      </c>
      <c r="AG1854">
        <v>1911.6977384980701</v>
      </c>
      <c r="AH1854">
        <v>3138922</v>
      </c>
    </row>
    <row r="1855" spans="27:34">
      <c r="AA1855">
        <v>-19.079999999999998</v>
      </c>
      <c r="AB1855">
        <v>3.9</v>
      </c>
      <c r="AC1855">
        <v>390</v>
      </c>
      <c r="AD1855">
        <v>0.40809084499999998</v>
      </c>
      <c r="AE1855">
        <v>26</v>
      </c>
      <c r="AG1855">
        <v>1977.16018284763</v>
      </c>
      <c r="AH1855">
        <v>3215043</v>
      </c>
    </row>
    <row r="1856" spans="27:34">
      <c r="AA1856">
        <v>-19.079999999999998</v>
      </c>
      <c r="AB1856">
        <v>3.9</v>
      </c>
      <c r="AC1856">
        <v>390</v>
      </c>
      <c r="AD1856">
        <v>0.40809084499999998</v>
      </c>
      <c r="AG1856">
        <v>1928.6762438982</v>
      </c>
      <c r="AH1856">
        <v>3290630</v>
      </c>
    </row>
    <row r="1857" spans="27:34">
      <c r="AA1857">
        <v>-19.079999999999998</v>
      </c>
      <c r="AB1857">
        <v>3.9</v>
      </c>
      <c r="AC1857">
        <v>390</v>
      </c>
      <c r="AD1857">
        <v>0.40809084499999998</v>
      </c>
    </row>
    <row r="1858" spans="27:34">
      <c r="AA1858">
        <v>-19.079999999999998</v>
      </c>
      <c r="AB1858">
        <v>3.9</v>
      </c>
      <c r="AC1858">
        <v>390</v>
      </c>
      <c r="AD1858">
        <v>0.40809084499999998</v>
      </c>
    </row>
    <row r="1859" spans="27:34">
      <c r="AA1859">
        <v>-8.98</v>
      </c>
      <c r="AB1859">
        <v>4.4000000000000004</v>
      </c>
      <c r="AC1859">
        <v>7</v>
      </c>
      <c r="AD1859">
        <v>6.8601582999999994E-2</v>
      </c>
      <c r="AE1859">
        <v>91</v>
      </c>
      <c r="AF1859">
        <v>22.36</v>
      </c>
      <c r="AG1859">
        <v>5958.5591836172898</v>
      </c>
      <c r="AH1859">
        <v>1122457</v>
      </c>
    </row>
    <row r="1860" spans="27:34">
      <c r="AA1860">
        <v>-8.98</v>
      </c>
      <c r="AB1860">
        <v>4.4000000000000004</v>
      </c>
      <c r="AC1860">
        <v>7</v>
      </c>
      <c r="AD1860">
        <v>6.8601582999999994E-2</v>
      </c>
      <c r="AG1860">
        <v>6346.5754573907598</v>
      </c>
      <c r="AH1860">
        <v>1133996</v>
      </c>
    </row>
    <row r="1861" spans="27:34">
      <c r="AA1861">
        <v>-8.98</v>
      </c>
      <c r="AB1861">
        <v>4.4000000000000004</v>
      </c>
      <c r="AC1861">
        <v>7</v>
      </c>
      <c r="AD1861">
        <v>6.8601582999999994E-2</v>
      </c>
      <c r="AG1861">
        <v>6741.5334698235201</v>
      </c>
      <c r="AH1861">
        <v>1148284</v>
      </c>
    </row>
    <row r="1862" spans="27:34">
      <c r="AA1862">
        <v>-8.98</v>
      </c>
      <c r="AB1862">
        <v>4.4000000000000004</v>
      </c>
      <c r="AC1862">
        <v>7</v>
      </c>
      <c r="AD1862">
        <v>6.8601582999999994E-2</v>
      </c>
      <c r="AG1862">
        <v>7156.0373287069096</v>
      </c>
      <c r="AH1862">
        <v>1160421</v>
      </c>
    </row>
    <row r="1863" spans="27:34">
      <c r="AA1863">
        <v>-8.98</v>
      </c>
      <c r="AB1863">
        <v>4.4000000000000004</v>
      </c>
      <c r="AC1863">
        <v>7</v>
      </c>
      <c r="AD1863">
        <v>6.8601582999999994E-2</v>
      </c>
      <c r="AG1863">
        <v>7356.36596459867</v>
      </c>
      <c r="AH1863">
        <v>1175267</v>
      </c>
    </row>
    <row r="1864" spans="27:34">
      <c r="AA1864">
        <v>-8.98</v>
      </c>
      <c r="AB1864">
        <v>4.4000000000000004</v>
      </c>
      <c r="AC1864">
        <v>7</v>
      </c>
      <c r="AD1864">
        <v>6.8601582999999994E-2</v>
      </c>
      <c r="AE1864">
        <v>91</v>
      </c>
      <c r="AF1864">
        <v>22.17</v>
      </c>
      <c r="AG1864">
        <v>8113.7990614824803</v>
      </c>
      <c r="AH1864">
        <v>1186873</v>
      </c>
    </row>
    <row r="1865" spans="27:34">
      <c r="AA1865">
        <v>-8.98</v>
      </c>
      <c r="AB1865">
        <v>4.4000000000000004</v>
      </c>
      <c r="AC1865">
        <v>7</v>
      </c>
      <c r="AD1865">
        <v>6.8601582999999994E-2</v>
      </c>
      <c r="AG1865">
        <v>8419.0270418722994</v>
      </c>
      <c r="AH1865">
        <v>1199881</v>
      </c>
    </row>
    <row r="1866" spans="27:34">
      <c r="AA1866">
        <v>-8.98</v>
      </c>
      <c r="AB1866">
        <v>4.4000000000000004</v>
      </c>
      <c r="AC1866">
        <v>7</v>
      </c>
      <c r="AD1866">
        <v>6.8601582999999994E-2</v>
      </c>
      <c r="AG1866">
        <v>8662.1448946365508</v>
      </c>
      <c r="AH1866">
        <v>1210196</v>
      </c>
    </row>
    <row r="1867" spans="27:34">
      <c r="AA1867">
        <v>-8.98</v>
      </c>
      <c r="AB1867">
        <v>4.4000000000000004</v>
      </c>
      <c r="AC1867">
        <v>7</v>
      </c>
      <c r="AD1867">
        <v>6.8601582999999994E-2</v>
      </c>
      <c r="AG1867">
        <v>9077.8097885960506</v>
      </c>
      <c r="AH1867">
        <v>1222811</v>
      </c>
    </row>
    <row r="1868" spans="27:34">
      <c r="AA1868">
        <v>-8.98</v>
      </c>
      <c r="AB1868">
        <v>4.4000000000000004</v>
      </c>
      <c r="AC1868">
        <v>7</v>
      </c>
      <c r="AD1868">
        <v>6.8601582999999994E-2</v>
      </c>
      <c r="AG1868">
        <v>9786.8634246932306</v>
      </c>
      <c r="AH1868">
        <v>1233386</v>
      </c>
    </row>
    <row r="1869" spans="27:34">
      <c r="AA1869">
        <v>-8.98</v>
      </c>
      <c r="AB1869">
        <v>4.4000000000000004</v>
      </c>
      <c r="AC1869">
        <v>7</v>
      </c>
      <c r="AD1869">
        <v>6.8601582999999994E-2</v>
      </c>
      <c r="AE1869">
        <v>91</v>
      </c>
      <c r="AF1869">
        <v>26.35</v>
      </c>
      <c r="AG1869">
        <v>10157.5069610502</v>
      </c>
      <c r="AH1869">
        <v>1243253</v>
      </c>
    </row>
    <row r="1870" spans="27:34">
      <c r="AA1870">
        <v>-8.98</v>
      </c>
      <c r="AB1870">
        <v>4.4000000000000004</v>
      </c>
      <c r="AC1870">
        <v>7</v>
      </c>
      <c r="AD1870">
        <v>6.8601582999999994E-2</v>
      </c>
      <c r="AG1870">
        <v>10817.215171514399</v>
      </c>
      <c r="AH1870">
        <v>1252987</v>
      </c>
    </row>
    <row r="1871" spans="27:34">
      <c r="AA1871">
        <v>-8.98</v>
      </c>
      <c r="AB1871">
        <v>4.4000000000000004</v>
      </c>
      <c r="AC1871">
        <v>7</v>
      </c>
      <c r="AD1871">
        <v>6.8601582999999994E-2</v>
      </c>
      <c r="AG1871">
        <v>11733.280697099701</v>
      </c>
      <c r="AH1871">
        <v>1260692</v>
      </c>
    </row>
    <row r="1872" spans="27:34">
      <c r="AA1872">
        <v>-8.98</v>
      </c>
      <c r="AB1872">
        <v>4.4000000000000004</v>
      </c>
      <c r="AC1872">
        <v>7</v>
      </c>
      <c r="AD1872">
        <v>6.8601582999999994E-2</v>
      </c>
      <c r="AE1872">
        <v>91</v>
      </c>
      <c r="AG1872">
        <v>12518.9354280064</v>
      </c>
      <c r="AH1872">
        <v>1268854</v>
      </c>
    </row>
    <row r="1873" spans="27:34">
      <c r="AA1873">
        <v>-8.98</v>
      </c>
      <c r="AB1873">
        <v>4.4000000000000004</v>
      </c>
      <c r="AC1873">
        <v>7</v>
      </c>
      <c r="AD1873">
        <v>6.8601582999999994E-2</v>
      </c>
      <c r="AG1873">
        <v>12838.379295098801</v>
      </c>
      <c r="AH1873">
        <v>1275323</v>
      </c>
    </row>
    <row r="1874" spans="27:34">
      <c r="AA1874">
        <v>-8.98</v>
      </c>
      <c r="AB1874">
        <v>4.4000000000000004</v>
      </c>
      <c r="AC1874">
        <v>7</v>
      </c>
      <c r="AD1874">
        <v>6.8601582999999994E-2</v>
      </c>
    </row>
    <row r="1875" spans="27:34">
      <c r="AA1875">
        <v>-8.98</v>
      </c>
      <c r="AB1875">
        <v>4.4000000000000004</v>
      </c>
      <c r="AC1875">
        <v>7</v>
      </c>
      <c r="AD1875">
        <v>6.8601582999999994E-2</v>
      </c>
    </row>
    <row r="1876" spans="27:34">
      <c r="AA1876">
        <v>-12.9</v>
      </c>
      <c r="AB1876">
        <v>2.9</v>
      </c>
      <c r="AC1876">
        <v>23</v>
      </c>
      <c r="AD1876">
        <v>0.11003236199999999</v>
      </c>
      <c r="AE1876">
        <v>72</v>
      </c>
      <c r="AG1876">
        <v>6884.3950411539399</v>
      </c>
      <c r="AH1876">
        <v>91145000</v>
      </c>
    </row>
    <row r="1877" spans="27:34">
      <c r="AA1877">
        <v>-12.9</v>
      </c>
      <c r="AB1877">
        <v>2.9</v>
      </c>
      <c r="AC1877">
        <v>23</v>
      </c>
      <c r="AD1877">
        <v>0.11003236199999999</v>
      </c>
      <c r="AG1877">
        <v>7262.9423911978301</v>
      </c>
      <c r="AH1877">
        <v>92570752</v>
      </c>
    </row>
    <row r="1878" spans="27:34">
      <c r="AA1878">
        <v>-12.9</v>
      </c>
      <c r="AB1878">
        <v>2.9</v>
      </c>
      <c r="AC1878">
        <v>23</v>
      </c>
      <c r="AD1878">
        <v>0.11003236199999999</v>
      </c>
      <c r="AG1878">
        <v>7776.9233271704697</v>
      </c>
      <c r="AH1878">
        <v>93926296</v>
      </c>
    </row>
    <row r="1879" spans="27:34">
      <c r="AA1879">
        <v>-12.9</v>
      </c>
      <c r="AB1879">
        <v>2.9</v>
      </c>
      <c r="AC1879">
        <v>23</v>
      </c>
      <c r="AD1879">
        <v>0.11003236199999999</v>
      </c>
      <c r="AG1879">
        <v>8137.1748203708803</v>
      </c>
      <c r="AH1879">
        <v>95251064</v>
      </c>
    </row>
    <row r="1880" spans="27:34">
      <c r="AA1880">
        <v>-12.9</v>
      </c>
      <c r="AB1880">
        <v>2.9</v>
      </c>
      <c r="AC1880">
        <v>23</v>
      </c>
      <c r="AD1880">
        <v>0.11003236199999999</v>
      </c>
      <c r="AG1880">
        <v>8454.83416152871</v>
      </c>
      <c r="AH1880">
        <v>96584488</v>
      </c>
    </row>
    <row r="1881" spans="27:34">
      <c r="AA1881">
        <v>-12.9</v>
      </c>
      <c r="AB1881">
        <v>2.9</v>
      </c>
      <c r="AC1881">
        <v>23</v>
      </c>
      <c r="AD1881">
        <v>0.11003236199999999</v>
      </c>
      <c r="AE1881">
        <v>76</v>
      </c>
      <c r="AF1881">
        <v>15.87</v>
      </c>
      <c r="AG1881">
        <v>9200.8959135444202</v>
      </c>
      <c r="AH1881">
        <v>97966000</v>
      </c>
    </row>
    <row r="1882" spans="27:34">
      <c r="AA1882">
        <v>-12.9</v>
      </c>
      <c r="AB1882">
        <v>2.9</v>
      </c>
      <c r="AC1882">
        <v>23</v>
      </c>
      <c r="AD1882">
        <v>0.11003236199999999</v>
      </c>
      <c r="AG1882">
        <v>9301.8525402447194</v>
      </c>
      <c r="AH1882">
        <v>98994087.383595794</v>
      </c>
    </row>
    <row r="1883" spans="27:34">
      <c r="AA1883">
        <v>-12.9</v>
      </c>
      <c r="AB1883">
        <v>2.9</v>
      </c>
      <c r="AC1883">
        <v>23</v>
      </c>
      <c r="AD1883">
        <v>0.11003236199999999</v>
      </c>
      <c r="AG1883">
        <v>9563.0408881850708</v>
      </c>
      <c r="AH1883">
        <v>100002340.26808199</v>
      </c>
    </row>
    <row r="1884" spans="27:34">
      <c r="AA1884">
        <v>-12.9</v>
      </c>
      <c r="AB1884">
        <v>2.9</v>
      </c>
      <c r="AC1884">
        <v>23</v>
      </c>
      <c r="AD1884">
        <v>0.11003236199999999</v>
      </c>
      <c r="AG1884">
        <v>10975.3172517901</v>
      </c>
      <c r="AH1884">
        <v>101020862.18889201</v>
      </c>
    </row>
    <row r="1885" spans="27:34">
      <c r="AA1885">
        <v>-12.9</v>
      </c>
      <c r="AB1885">
        <v>2.9</v>
      </c>
      <c r="AC1885">
        <v>23</v>
      </c>
      <c r="AD1885">
        <v>0.11003236199999999</v>
      </c>
      <c r="AG1885">
        <v>11645.6657831874</v>
      </c>
      <c r="AH1885">
        <v>102049757.735962</v>
      </c>
    </row>
    <row r="1886" spans="27:34">
      <c r="AA1886">
        <v>-12.9</v>
      </c>
      <c r="AB1886">
        <v>2.9</v>
      </c>
      <c r="AC1886">
        <v>23</v>
      </c>
      <c r="AD1886">
        <v>0.11003236199999999</v>
      </c>
      <c r="AE1886">
        <v>82</v>
      </c>
      <c r="AF1886">
        <v>17.260000000000002</v>
      </c>
      <c r="AG1886">
        <v>12592.503676435201</v>
      </c>
      <c r="AH1886">
        <v>103089132.564478</v>
      </c>
    </row>
    <row r="1887" spans="27:34">
      <c r="AA1887">
        <v>-12.9</v>
      </c>
      <c r="AB1887">
        <v>2.9</v>
      </c>
      <c r="AC1887">
        <v>23</v>
      </c>
      <c r="AD1887">
        <v>0.11003236199999999</v>
      </c>
      <c r="AG1887">
        <v>13792.9693571516</v>
      </c>
      <c r="AH1887">
        <v>104221360.86059</v>
      </c>
    </row>
    <row r="1888" spans="27:34">
      <c r="AA1888">
        <v>-12.9</v>
      </c>
      <c r="AB1888">
        <v>2.9</v>
      </c>
      <c r="AC1888">
        <v>23</v>
      </c>
      <c r="AD1888">
        <v>0.11003236199999999</v>
      </c>
      <c r="AG1888">
        <v>14528.9248126154</v>
      </c>
      <c r="AH1888">
        <v>105280515.41767301</v>
      </c>
    </row>
    <row r="1889" spans="27:34">
      <c r="AA1889">
        <v>-12.9</v>
      </c>
      <c r="AB1889">
        <v>2.9</v>
      </c>
      <c r="AC1889">
        <v>23</v>
      </c>
      <c r="AD1889">
        <v>0.11003236199999999</v>
      </c>
      <c r="AE1889">
        <v>85</v>
      </c>
      <c r="AG1889">
        <v>15269.6594652739</v>
      </c>
      <c r="AH1889">
        <v>106350433.683525</v>
      </c>
    </row>
    <row r="1890" spans="27:34">
      <c r="AA1890">
        <v>-12.9</v>
      </c>
      <c r="AB1890">
        <v>2.9</v>
      </c>
      <c r="AC1890">
        <v>23</v>
      </c>
      <c r="AD1890">
        <v>0.11003236199999999</v>
      </c>
      <c r="AG1890">
        <v>14258.2465388771</v>
      </c>
      <c r="AH1890">
        <v>107431225.04485001</v>
      </c>
    </row>
    <row r="1891" spans="27:34">
      <c r="AA1891">
        <v>-12.9</v>
      </c>
      <c r="AB1891">
        <v>2.9</v>
      </c>
      <c r="AC1891">
        <v>23</v>
      </c>
      <c r="AD1891">
        <v>0.11003236199999999</v>
      </c>
      <c r="AF1891">
        <v>17.45</v>
      </c>
    </row>
    <row r="1892" spans="27:34">
      <c r="AA1892">
        <v>-12.9</v>
      </c>
      <c r="AB1892">
        <v>2.9</v>
      </c>
      <c r="AC1892">
        <v>23</v>
      </c>
      <c r="AD1892">
        <v>0.11003236199999999</v>
      </c>
    </row>
    <row r="1893" spans="27:34">
      <c r="AB1893" t="e">
        <v>#N/A</v>
      </c>
      <c r="AC1893">
        <v>83</v>
      </c>
      <c r="AD1893">
        <v>0.215498938</v>
      </c>
      <c r="AE1893">
        <v>28</v>
      </c>
      <c r="AG1893">
        <v>2427.8645790890801</v>
      </c>
      <c r="AH1893">
        <v>107228</v>
      </c>
    </row>
    <row r="1894" spans="27:34">
      <c r="AB1894" t="e">
        <v>#N/A</v>
      </c>
      <c r="AC1894">
        <v>83</v>
      </c>
      <c r="AD1894">
        <v>0.215498938</v>
      </c>
      <c r="AG1894">
        <v>2400.7274683649298</v>
      </c>
      <c r="AH1894">
        <v>107899</v>
      </c>
    </row>
    <row r="1895" spans="27:34">
      <c r="AB1895" t="e">
        <v>#N/A</v>
      </c>
      <c r="AC1895">
        <v>83</v>
      </c>
      <c r="AD1895">
        <v>0.215498938</v>
      </c>
      <c r="AG1895">
        <v>2274.3291989003401</v>
      </c>
      <c r="AH1895">
        <v>107942</v>
      </c>
    </row>
    <row r="1896" spans="27:34">
      <c r="AB1896" t="e">
        <v>#N/A</v>
      </c>
      <c r="AC1896">
        <v>83</v>
      </c>
      <c r="AD1896">
        <v>0.215498938</v>
      </c>
      <c r="AG1896">
        <v>2363.4684947454798</v>
      </c>
      <c r="AH1896">
        <v>107601</v>
      </c>
    </row>
    <row r="1897" spans="27:34">
      <c r="AB1897" t="e">
        <v>#N/A</v>
      </c>
      <c r="AC1897">
        <v>83</v>
      </c>
      <c r="AD1897">
        <v>0.215498938</v>
      </c>
      <c r="AG1897">
        <v>2446.0864463111702</v>
      </c>
      <c r="AH1897">
        <v>107235</v>
      </c>
    </row>
    <row r="1898" spans="27:34">
      <c r="AB1898" t="e">
        <v>#N/A</v>
      </c>
      <c r="AC1898">
        <v>83</v>
      </c>
      <c r="AD1898">
        <v>0.215498938</v>
      </c>
      <c r="AE1898">
        <v>26</v>
      </c>
      <c r="AG1898">
        <v>2622.3720860605399</v>
      </c>
      <c r="AH1898">
        <v>107099</v>
      </c>
    </row>
    <row r="1899" spans="27:34">
      <c r="AB1899" t="e">
        <v>#N/A</v>
      </c>
      <c r="AC1899">
        <v>83</v>
      </c>
      <c r="AD1899">
        <v>0.215498938</v>
      </c>
      <c r="AG1899">
        <v>2705.0688144763799</v>
      </c>
      <c r="AH1899">
        <v>107284</v>
      </c>
    </row>
    <row r="1900" spans="27:34">
      <c r="AB1900" t="e">
        <v>#N/A</v>
      </c>
      <c r="AC1900">
        <v>83</v>
      </c>
      <c r="AD1900">
        <v>0.215498938</v>
      </c>
      <c r="AG1900">
        <v>2779.7701093280202</v>
      </c>
      <c r="AH1900">
        <v>107718</v>
      </c>
    </row>
    <row r="1901" spans="27:34">
      <c r="AB1901" t="e">
        <v>#N/A</v>
      </c>
      <c r="AC1901">
        <v>83</v>
      </c>
      <c r="AD1901">
        <v>0.215498938</v>
      </c>
      <c r="AG1901">
        <v>2842.62640845436</v>
      </c>
      <c r="AH1901">
        <v>108313</v>
      </c>
    </row>
    <row r="1902" spans="27:34">
      <c r="AB1902" t="e">
        <v>#N/A</v>
      </c>
      <c r="AC1902">
        <v>83</v>
      </c>
      <c r="AD1902">
        <v>0.215498938</v>
      </c>
      <c r="AG1902">
        <v>2799.4338978608398</v>
      </c>
      <c r="AH1902">
        <v>108914</v>
      </c>
    </row>
    <row r="1903" spans="27:34">
      <c r="AB1903" t="e">
        <v>#N/A</v>
      </c>
      <c r="AC1903">
        <v>83</v>
      </c>
      <c r="AD1903">
        <v>0.215498938</v>
      </c>
      <c r="AE1903">
        <v>27</v>
      </c>
      <c r="AG1903">
        <v>2971.87807345489</v>
      </c>
      <c r="AH1903">
        <v>109415</v>
      </c>
    </row>
    <row r="1904" spans="27:34">
      <c r="AB1904" t="e">
        <v>#N/A</v>
      </c>
      <c r="AC1904">
        <v>83</v>
      </c>
      <c r="AD1904">
        <v>0.215498938</v>
      </c>
      <c r="AG1904">
        <v>3051.9250436724301</v>
      </c>
      <c r="AH1904">
        <v>109801</v>
      </c>
    </row>
    <row r="1905" spans="27:34">
      <c r="AB1905" t="e">
        <v>#N/A</v>
      </c>
      <c r="AC1905">
        <v>83</v>
      </c>
      <c r="AD1905">
        <v>0.215498938</v>
      </c>
      <c r="AG1905">
        <v>3147.5199975549399</v>
      </c>
      <c r="AH1905">
        <v>110123</v>
      </c>
    </row>
    <row r="1906" spans="27:34">
      <c r="AB1906" t="e">
        <v>#N/A</v>
      </c>
      <c r="AC1906">
        <v>83</v>
      </c>
      <c r="AD1906">
        <v>0.215498938</v>
      </c>
      <c r="AG1906">
        <v>3115.3620958474698</v>
      </c>
      <c r="AH1906">
        <v>110414</v>
      </c>
    </row>
    <row r="1907" spans="27:34">
      <c r="AB1907" t="e">
        <v>#N/A</v>
      </c>
      <c r="AC1907">
        <v>83</v>
      </c>
      <c r="AD1907">
        <v>0.215498938</v>
      </c>
      <c r="AG1907">
        <v>3087.9494188587601</v>
      </c>
      <c r="AH1907">
        <v>110728</v>
      </c>
    </row>
    <row r="1908" spans="27:34">
      <c r="AB1908" t="e">
        <v>#N/A</v>
      </c>
      <c r="AC1908">
        <v>83</v>
      </c>
      <c r="AD1908">
        <v>0.215498938</v>
      </c>
    </row>
    <row r="1909" spans="27:34">
      <c r="AB1909" t="e">
        <v>#N/A</v>
      </c>
      <c r="AC1909">
        <v>83</v>
      </c>
      <c r="AD1909">
        <v>0.215498938</v>
      </c>
    </row>
    <row r="1910" spans="27:34">
      <c r="AA1910">
        <v>-1.1000000000000001</v>
      </c>
      <c r="AB1910">
        <v>2.1</v>
      </c>
      <c r="AC1910">
        <v>15</v>
      </c>
      <c r="AD1910">
        <v>6.0204081999999999E-2</v>
      </c>
      <c r="AG1910">
        <v>1509.70776021183</v>
      </c>
      <c r="AH1910">
        <v>4338750</v>
      </c>
    </row>
    <row r="1911" spans="27:34">
      <c r="AA1911">
        <v>-1.1000000000000001</v>
      </c>
      <c r="AB1911">
        <v>2.1</v>
      </c>
      <c r="AC1911">
        <v>15</v>
      </c>
      <c r="AD1911">
        <v>6.0204081999999999E-2</v>
      </c>
      <c r="AG1911">
        <v>1460.5838691881199</v>
      </c>
      <c r="AH1911">
        <v>4306724</v>
      </c>
    </row>
    <row r="1912" spans="27:34">
      <c r="AA1912">
        <v>-1.1000000000000001</v>
      </c>
      <c r="AB1912">
        <v>2.1</v>
      </c>
      <c r="AC1912">
        <v>15</v>
      </c>
      <c r="AD1912">
        <v>6.0204081999999999E-2</v>
      </c>
      <c r="AG1912">
        <v>1512.35208607959</v>
      </c>
      <c r="AH1912">
        <v>4266089</v>
      </c>
    </row>
    <row r="1913" spans="27:34">
      <c r="AA1913">
        <v>-1.1000000000000001</v>
      </c>
      <c r="AB1913">
        <v>2.1</v>
      </c>
      <c r="AC1913">
        <v>15</v>
      </c>
      <c r="AD1913">
        <v>6.0204081999999999E-2</v>
      </c>
      <c r="AG1913">
        <v>1431.6046101218701</v>
      </c>
      <c r="AH1913">
        <v>4217497</v>
      </c>
    </row>
    <row r="1914" spans="27:34">
      <c r="AA1914">
        <v>-1.1000000000000001</v>
      </c>
      <c r="AB1914">
        <v>2.1</v>
      </c>
      <c r="AC1914">
        <v>15</v>
      </c>
      <c r="AD1914">
        <v>6.0204081999999999E-2</v>
      </c>
      <c r="AG1914">
        <v>1405.40828914453</v>
      </c>
      <c r="AH1914">
        <v>4161844</v>
      </c>
    </row>
    <row r="1915" spans="27:34">
      <c r="AA1915">
        <v>-1.1000000000000001</v>
      </c>
      <c r="AB1915">
        <v>2.1</v>
      </c>
      <c r="AC1915">
        <v>15</v>
      </c>
      <c r="AD1915">
        <v>6.0204081999999999E-2</v>
      </c>
      <c r="AE1915">
        <v>79</v>
      </c>
      <c r="AF1915">
        <v>16.440000000000001</v>
      </c>
      <c r="AG1915">
        <v>1468.9517772325</v>
      </c>
      <c r="AH1915">
        <v>4100257</v>
      </c>
    </row>
    <row r="1916" spans="27:34">
      <c r="AA1916">
        <v>-1.1000000000000001</v>
      </c>
      <c r="AB1916">
        <v>2.1</v>
      </c>
      <c r="AC1916">
        <v>15</v>
      </c>
      <c r="AD1916">
        <v>6.0204081999999999E-2</v>
      </c>
      <c r="AG1916">
        <v>1597.46043762471</v>
      </c>
      <c r="AH1916">
        <v>4032765</v>
      </c>
    </row>
    <row r="1917" spans="27:34">
      <c r="AA1917">
        <v>-1.1000000000000001</v>
      </c>
      <c r="AB1917">
        <v>2.1</v>
      </c>
      <c r="AC1917">
        <v>15</v>
      </c>
      <c r="AD1917">
        <v>6.0204081999999999E-2</v>
      </c>
      <c r="AG1917">
        <v>1754.09583972613</v>
      </c>
      <c r="AH1917">
        <v>3960665</v>
      </c>
    </row>
    <row r="1918" spans="27:34">
      <c r="AA1918">
        <v>-1.1000000000000001</v>
      </c>
      <c r="AB1918">
        <v>2.1</v>
      </c>
      <c r="AC1918">
        <v>15</v>
      </c>
      <c r="AD1918">
        <v>6.0204081999999999E-2</v>
      </c>
      <c r="AG1918">
        <v>1915.5553161875</v>
      </c>
      <c r="AH1918">
        <v>3887928</v>
      </c>
    </row>
    <row r="1919" spans="27:34">
      <c r="AA1919">
        <v>-1.1000000000000001</v>
      </c>
      <c r="AB1919">
        <v>2.1</v>
      </c>
      <c r="AC1919">
        <v>15</v>
      </c>
      <c r="AD1919">
        <v>6.0204081999999999E-2</v>
      </c>
      <c r="AG1919">
        <v>2121.0677866502001</v>
      </c>
      <c r="AH1919">
        <v>3819598</v>
      </c>
    </row>
    <row r="1920" spans="27:34">
      <c r="AA1920">
        <v>-1.1000000000000001</v>
      </c>
      <c r="AB1920">
        <v>2.1</v>
      </c>
      <c r="AC1920">
        <v>15</v>
      </c>
      <c r="AD1920">
        <v>6.0204081999999999E-2</v>
      </c>
      <c r="AE1920">
        <v>79</v>
      </c>
      <c r="AG1920">
        <v>2361.9480748728001</v>
      </c>
      <c r="AH1920">
        <v>3759329</v>
      </c>
    </row>
    <row r="1921" spans="27:34">
      <c r="AA1921">
        <v>-1.1000000000000001</v>
      </c>
      <c r="AB1921">
        <v>2.1</v>
      </c>
      <c r="AC1921">
        <v>15</v>
      </c>
      <c r="AD1921">
        <v>6.0204081999999999E-2</v>
      </c>
      <c r="AG1921">
        <v>2562.34488589494</v>
      </c>
      <c r="AH1921">
        <v>3708848</v>
      </c>
    </row>
    <row r="1922" spans="27:34">
      <c r="AA1922">
        <v>-1.1000000000000001</v>
      </c>
      <c r="AB1922">
        <v>2.1</v>
      </c>
      <c r="AC1922">
        <v>15</v>
      </c>
      <c r="AD1922">
        <v>6.0204081999999999E-2</v>
      </c>
      <c r="AG1922">
        <v>2738.0329692105902</v>
      </c>
      <c r="AH1922">
        <v>3667469</v>
      </c>
    </row>
    <row r="1923" spans="27:34">
      <c r="AA1923">
        <v>-1.1000000000000001</v>
      </c>
      <c r="AB1923">
        <v>2.1</v>
      </c>
      <c r="AC1923">
        <v>15</v>
      </c>
      <c r="AD1923">
        <v>6.0204081999999999E-2</v>
      </c>
      <c r="AE1923">
        <v>79</v>
      </c>
      <c r="AG1923">
        <v>3020.8837661685302</v>
      </c>
      <c r="AH1923">
        <v>3633369</v>
      </c>
    </row>
    <row r="1924" spans="27:34">
      <c r="AA1924">
        <v>-1.1000000000000001</v>
      </c>
      <c r="AB1924">
        <v>2.1</v>
      </c>
      <c r="AC1924">
        <v>15</v>
      </c>
      <c r="AD1924">
        <v>6.0204081999999999E-2</v>
      </c>
      <c r="AG1924">
        <v>2854.30830545761</v>
      </c>
      <c r="AH1924">
        <v>3603506</v>
      </c>
    </row>
    <row r="1925" spans="27:34">
      <c r="AA1925">
        <v>-1.1000000000000001</v>
      </c>
      <c r="AB1925">
        <v>2.1</v>
      </c>
      <c r="AC1925">
        <v>15</v>
      </c>
      <c r="AD1925">
        <v>6.0204081999999999E-2</v>
      </c>
    </row>
    <row r="1926" spans="27:34">
      <c r="AA1926">
        <v>-1.1000000000000001</v>
      </c>
      <c r="AB1926">
        <v>2.1</v>
      </c>
      <c r="AC1926">
        <v>15</v>
      </c>
      <c r="AD1926">
        <v>6.0204081999999999E-2</v>
      </c>
    </row>
    <row r="1927" spans="27:34">
      <c r="AA1927">
        <v>-3.17</v>
      </c>
      <c r="AB1927">
        <v>1.5</v>
      </c>
      <c r="AC1927">
        <v>2</v>
      </c>
      <c r="AD1927">
        <v>5.7291666999999998E-2</v>
      </c>
      <c r="AE1927">
        <v>100</v>
      </c>
      <c r="AH1927">
        <v>30615</v>
      </c>
    </row>
    <row r="1928" spans="27:34">
      <c r="AA1928">
        <v>-3.17</v>
      </c>
      <c r="AB1928">
        <v>1.5</v>
      </c>
      <c r="AC1928">
        <v>2</v>
      </c>
      <c r="AD1928">
        <v>5.7291666999999998E-2</v>
      </c>
      <c r="AH1928">
        <v>30917</v>
      </c>
    </row>
    <row r="1929" spans="27:34">
      <c r="AA1929">
        <v>-3.17</v>
      </c>
      <c r="AB1929">
        <v>1.5</v>
      </c>
      <c r="AC1929">
        <v>2</v>
      </c>
      <c r="AD1929">
        <v>5.7291666999999998E-2</v>
      </c>
      <c r="AH1929">
        <v>31226</v>
      </c>
    </row>
    <row r="1930" spans="27:34">
      <c r="AA1930">
        <v>-3.17</v>
      </c>
      <c r="AB1930">
        <v>1.5</v>
      </c>
      <c r="AC1930">
        <v>2</v>
      </c>
      <c r="AD1930">
        <v>5.7291666999999998E-2</v>
      </c>
      <c r="AH1930">
        <v>31524</v>
      </c>
    </row>
    <row r="1931" spans="27:34">
      <c r="AA1931">
        <v>-3.17</v>
      </c>
      <c r="AB1931">
        <v>1.5</v>
      </c>
      <c r="AC1931">
        <v>2</v>
      </c>
      <c r="AD1931">
        <v>5.7291666999999998E-2</v>
      </c>
      <c r="AH1931">
        <v>31789</v>
      </c>
    </row>
    <row r="1932" spans="27:34">
      <c r="AA1932">
        <v>-3.17</v>
      </c>
      <c r="AB1932">
        <v>1.5</v>
      </c>
      <c r="AC1932">
        <v>2</v>
      </c>
      <c r="AD1932">
        <v>5.7291666999999998E-2</v>
      </c>
      <c r="AE1932">
        <v>100</v>
      </c>
      <c r="AH1932">
        <v>32002</v>
      </c>
    </row>
    <row r="1933" spans="27:34">
      <c r="AA1933">
        <v>-3.17</v>
      </c>
      <c r="AB1933">
        <v>1.5</v>
      </c>
      <c r="AC1933">
        <v>2</v>
      </c>
      <c r="AD1933">
        <v>5.7291666999999998E-2</v>
      </c>
      <c r="AH1933">
        <v>32157</v>
      </c>
    </row>
    <row r="1934" spans="27:34">
      <c r="AA1934">
        <v>-3.17</v>
      </c>
      <c r="AB1934">
        <v>1.5</v>
      </c>
      <c r="AC1934">
        <v>2</v>
      </c>
      <c r="AD1934">
        <v>5.7291666999999998E-2</v>
      </c>
      <c r="AH1934">
        <v>32260</v>
      </c>
    </row>
    <row r="1935" spans="27:34">
      <c r="AA1935">
        <v>-3.17</v>
      </c>
      <c r="AB1935">
        <v>1.5</v>
      </c>
      <c r="AC1935">
        <v>2</v>
      </c>
      <c r="AD1935">
        <v>5.7291666999999998E-2</v>
      </c>
      <c r="AH1935">
        <v>32329</v>
      </c>
    </row>
    <row r="1936" spans="27:34">
      <c r="AA1936">
        <v>-3.17</v>
      </c>
      <c r="AB1936">
        <v>1.5</v>
      </c>
      <c r="AC1936">
        <v>2</v>
      </c>
      <c r="AD1936">
        <v>5.7291666999999998E-2</v>
      </c>
      <c r="AH1936">
        <v>32387</v>
      </c>
    </row>
    <row r="1937" spans="27:34">
      <c r="AA1937">
        <v>-3.17</v>
      </c>
      <c r="AB1937">
        <v>1.5</v>
      </c>
      <c r="AC1937">
        <v>2</v>
      </c>
      <c r="AD1937">
        <v>5.7291666999999998E-2</v>
      </c>
      <c r="AE1937">
        <v>100</v>
      </c>
      <c r="AH1937">
        <v>32453</v>
      </c>
    </row>
    <row r="1938" spans="27:34">
      <c r="AA1938">
        <v>-3.17</v>
      </c>
      <c r="AB1938">
        <v>1.5</v>
      </c>
      <c r="AC1938">
        <v>2</v>
      </c>
      <c r="AD1938">
        <v>5.7291666999999998E-2</v>
      </c>
      <c r="AH1938">
        <v>32533</v>
      </c>
    </row>
    <row r="1939" spans="27:34">
      <c r="AA1939">
        <v>-3.17</v>
      </c>
      <c r="AB1939">
        <v>1.5</v>
      </c>
      <c r="AC1939">
        <v>2</v>
      </c>
      <c r="AD1939">
        <v>5.7291666999999998E-2</v>
      </c>
      <c r="AH1939">
        <v>32620</v>
      </c>
    </row>
    <row r="1940" spans="27:34">
      <c r="AA1940">
        <v>-3.17</v>
      </c>
      <c r="AB1940">
        <v>1.5</v>
      </c>
      <c r="AC1940">
        <v>2</v>
      </c>
      <c r="AD1940">
        <v>5.7291666999999998E-2</v>
      </c>
      <c r="AE1940">
        <v>100</v>
      </c>
      <c r="AH1940">
        <v>32715</v>
      </c>
    </row>
    <row r="1941" spans="27:34">
      <c r="AA1941">
        <v>-3.17</v>
      </c>
      <c r="AB1941">
        <v>1.5</v>
      </c>
      <c r="AC1941">
        <v>2</v>
      </c>
      <c r="AD1941">
        <v>5.7291666999999998E-2</v>
      </c>
      <c r="AH1941">
        <v>32812</v>
      </c>
    </row>
    <row r="1942" spans="27:34">
      <c r="AA1942">
        <v>-3.17</v>
      </c>
      <c r="AB1942">
        <v>1.5</v>
      </c>
      <c r="AC1942">
        <v>2</v>
      </c>
      <c r="AD1942">
        <v>5.7291666999999998E-2</v>
      </c>
    </row>
    <row r="1943" spans="27:34">
      <c r="AA1943">
        <v>-3.17</v>
      </c>
      <c r="AB1943">
        <v>1.5</v>
      </c>
      <c r="AC1943">
        <v>2</v>
      </c>
      <c r="AD1943">
        <v>5.7291666999999998E-2</v>
      </c>
    </row>
    <row r="1944" spans="27:34">
      <c r="AB1944">
        <v>1.1000000000000001</v>
      </c>
      <c r="AC1944" t="e">
        <v>#N/A</v>
      </c>
      <c r="AD1944">
        <v>3.2608696E-2</v>
      </c>
      <c r="AF1944">
        <v>24.3</v>
      </c>
      <c r="AG1944">
        <v>4803.4773865386196</v>
      </c>
      <c r="AH1944">
        <v>1963487</v>
      </c>
    </row>
    <row r="1945" spans="27:34">
      <c r="AB1945">
        <v>1.1000000000000001</v>
      </c>
      <c r="AD1945">
        <v>3.2608696E-2</v>
      </c>
      <c r="AG1945">
        <v>4927.4604303638998</v>
      </c>
      <c r="AH1945">
        <v>1973795</v>
      </c>
    </row>
    <row r="1946" spans="27:34">
      <c r="AB1946">
        <v>1.1000000000000001</v>
      </c>
      <c r="AD1946">
        <v>3.2608696E-2</v>
      </c>
      <c r="AG1946">
        <v>5060.41591191932</v>
      </c>
      <c r="AH1946">
        <v>1984186</v>
      </c>
    </row>
    <row r="1947" spans="27:34">
      <c r="AB1947">
        <v>1.1000000000000001</v>
      </c>
      <c r="AD1947">
        <v>3.2608696E-2</v>
      </c>
      <c r="AG1947">
        <v>5292.5033271927896</v>
      </c>
      <c r="AH1947">
        <v>1994293</v>
      </c>
    </row>
    <row r="1948" spans="27:34">
      <c r="AB1948">
        <v>1.1000000000000001</v>
      </c>
      <c r="AD1948">
        <v>3.2608696E-2</v>
      </c>
      <c r="AG1948">
        <v>5549.1226407546701</v>
      </c>
      <c r="AH1948">
        <v>2003566</v>
      </c>
    </row>
    <row r="1949" spans="27:34">
      <c r="AB1949">
        <v>1.1000000000000001</v>
      </c>
      <c r="AD1949">
        <v>3.2608696E-2</v>
      </c>
      <c r="AE1949">
        <v>88</v>
      </c>
      <c r="AF1949">
        <v>10.84</v>
      </c>
      <c r="AG1949">
        <v>5933.7214745125102</v>
      </c>
      <c r="AH1949">
        <v>2011614</v>
      </c>
    </row>
    <row r="1950" spans="27:34">
      <c r="AB1950">
        <v>1.1000000000000001</v>
      </c>
      <c r="AD1950">
        <v>3.2608696E-2</v>
      </c>
      <c r="AG1950">
        <v>5828.0239175819497</v>
      </c>
      <c r="AH1950">
        <v>2018347</v>
      </c>
    </row>
    <row r="1951" spans="27:34">
      <c r="AB1951">
        <v>1.1000000000000001</v>
      </c>
      <c r="AD1951">
        <v>3.2608696E-2</v>
      </c>
      <c r="AG1951">
        <v>6031.8983850745099</v>
      </c>
      <c r="AH1951">
        <v>2023913</v>
      </c>
    </row>
    <row r="1952" spans="27:34">
      <c r="AB1952">
        <v>1.1000000000000001</v>
      </c>
      <c r="AD1952">
        <v>3.2608696E-2</v>
      </c>
      <c r="AG1952">
        <v>6260.0835828251702</v>
      </c>
      <c r="AH1952">
        <v>2028451</v>
      </c>
    </row>
    <row r="1953" spans="27:34">
      <c r="AB1953">
        <v>1.1000000000000001</v>
      </c>
      <c r="AD1953">
        <v>3.2608696E-2</v>
      </c>
      <c r="AG1953">
        <v>6839.1443285770702</v>
      </c>
      <c r="AH1953">
        <v>2032188</v>
      </c>
    </row>
    <row r="1954" spans="27:34">
      <c r="AB1954">
        <v>1.1000000000000001</v>
      </c>
      <c r="AD1954">
        <v>3.2608696E-2</v>
      </c>
      <c r="AE1954">
        <v>89</v>
      </c>
      <c r="AF1954">
        <v>16.059999999999999</v>
      </c>
      <c r="AG1954">
        <v>7656.3974110067402</v>
      </c>
      <c r="AH1954">
        <v>2035312</v>
      </c>
    </row>
    <row r="1955" spans="27:34">
      <c r="AB1955">
        <v>1.1000000000000001</v>
      </c>
      <c r="AD1955">
        <v>3.2608696E-2</v>
      </c>
      <c r="AG1955">
        <v>8538.9424763492607</v>
      </c>
      <c r="AH1955">
        <v>2037863</v>
      </c>
    </row>
    <row r="1956" spans="27:34">
      <c r="AB1956">
        <v>1.1000000000000001</v>
      </c>
      <c r="AD1956">
        <v>3.2608696E-2</v>
      </c>
      <c r="AG1956">
        <v>9257.4378280525907</v>
      </c>
      <c r="AH1956">
        <v>2039838</v>
      </c>
    </row>
    <row r="1957" spans="27:34">
      <c r="AB1957">
        <v>1.1000000000000001</v>
      </c>
      <c r="AD1957">
        <v>3.2608696E-2</v>
      </c>
      <c r="AE1957">
        <v>89</v>
      </c>
      <c r="AG1957">
        <v>10687.002177905801</v>
      </c>
      <c r="AH1957">
        <v>2041342</v>
      </c>
    </row>
    <row r="1958" spans="27:34">
      <c r="AB1958">
        <v>1.1000000000000001</v>
      </c>
      <c r="AD1958">
        <v>3.2608696E-2</v>
      </c>
      <c r="AG1958">
        <v>11158.632001649101</v>
      </c>
      <c r="AH1958">
        <v>2042484</v>
      </c>
    </row>
    <row r="1959" spans="27:34">
      <c r="AB1959">
        <v>1.1000000000000001</v>
      </c>
      <c r="AD1959">
        <v>3.2608696E-2</v>
      </c>
    </row>
    <row r="1960" spans="27:34">
      <c r="AB1960">
        <v>1.1000000000000001</v>
      </c>
      <c r="AD1960">
        <v>3.2608696E-2</v>
      </c>
    </row>
    <row r="1961" spans="27:34">
      <c r="AA1961">
        <v>15.61</v>
      </c>
      <c r="AB1961">
        <v>3.8</v>
      </c>
      <c r="AC1961">
        <v>195</v>
      </c>
      <c r="AD1961">
        <v>0.10113636400000001</v>
      </c>
      <c r="AE1961">
        <v>49</v>
      </c>
      <c r="AF1961">
        <v>1.23</v>
      </c>
      <c r="AG1961">
        <v>1528.5775777575</v>
      </c>
      <c r="AH1961">
        <v>2269832</v>
      </c>
    </row>
    <row r="1962" spans="27:34">
      <c r="AA1962">
        <v>15.61</v>
      </c>
      <c r="AB1962">
        <v>3.8</v>
      </c>
      <c r="AC1962">
        <v>195</v>
      </c>
      <c r="AD1962">
        <v>0.10113636400000001</v>
      </c>
      <c r="AG1962">
        <v>1583.7747968087201</v>
      </c>
      <c r="AH1962">
        <v>2285148</v>
      </c>
    </row>
    <row r="1963" spans="27:34">
      <c r="AA1963">
        <v>15.61</v>
      </c>
      <c r="AB1963">
        <v>3.8</v>
      </c>
      <c r="AC1963">
        <v>195</v>
      </c>
      <c r="AD1963">
        <v>0.10113636400000001</v>
      </c>
      <c r="AG1963">
        <v>1661.0479898077399</v>
      </c>
      <c r="AH1963">
        <v>2306139</v>
      </c>
    </row>
    <row r="1964" spans="27:34">
      <c r="AA1964">
        <v>15.61</v>
      </c>
      <c r="AB1964">
        <v>3.8</v>
      </c>
      <c r="AC1964">
        <v>195</v>
      </c>
      <c r="AD1964">
        <v>0.10113636400000001</v>
      </c>
      <c r="AG1964">
        <v>1720.0419579859399</v>
      </c>
      <c r="AH1964">
        <v>2331793</v>
      </c>
    </row>
    <row r="1965" spans="27:34">
      <c r="AA1965">
        <v>15.61</v>
      </c>
      <c r="AB1965">
        <v>3.8</v>
      </c>
      <c r="AC1965">
        <v>195</v>
      </c>
      <c r="AD1965">
        <v>0.10113636400000001</v>
      </c>
      <c r="AG1965">
        <v>1779.83192853739</v>
      </c>
      <c r="AH1965">
        <v>2360014</v>
      </c>
    </row>
    <row r="1966" spans="27:34">
      <c r="AA1966">
        <v>15.61</v>
      </c>
      <c r="AB1966">
        <v>3.8</v>
      </c>
      <c r="AC1966">
        <v>195</v>
      </c>
      <c r="AD1966">
        <v>0.10113636400000001</v>
      </c>
      <c r="AE1966">
        <v>49</v>
      </c>
      <c r="AF1966">
        <v>1.4370000000000001</v>
      </c>
      <c r="AG1966">
        <v>1805.4487930964899</v>
      </c>
      <c r="AH1966">
        <v>2389197</v>
      </c>
    </row>
    <row r="1967" spans="27:34">
      <c r="AA1967">
        <v>15.61</v>
      </c>
      <c r="AB1967">
        <v>3.8</v>
      </c>
      <c r="AC1967">
        <v>195</v>
      </c>
      <c r="AD1967">
        <v>0.10113636400000001</v>
      </c>
      <c r="AG1967">
        <v>1877.1091663130001</v>
      </c>
      <c r="AH1967">
        <v>2419494</v>
      </c>
    </row>
    <row r="1968" spans="27:34">
      <c r="AA1968">
        <v>15.61</v>
      </c>
      <c r="AB1968">
        <v>3.8</v>
      </c>
      <c r="AC1968">
        <v>195</v>
      </c>
      <c r="AD1968">
        <v>0.10113636400000001</v>
      </c>
      <c r="AG1968">
        <v>1971.8115584263901</v>
      </c>
      <c r="AH1968">
        <v>2451494</v>
      </c>
    </row>
    <row r="1969" spans="27:34">
      <c r="AA1969">
        <v>15.61</v>
      </c>
      <c r="AB1969">
        <v>3.8</v>
      </c>
      <c r="AC1969">
        <v>195</v>
      </c>
      <c r="AD1969">
        <v>0.10113636400000001</v>
      </c>
      <c r="AG1969">
        <v>2126.8102536322399</v>
      </c>
      <c r="AH1969">
        <v>2484456</v>
      </c>
    </row>
    <row r="1970" spans="27:34">
      <c r="AA1970">
        <v>15.61</v>
      </c>
      <c r="AB1970">
        <v>3.8</v>
      </c>
      <c r="AC1970">
        <v>195</v>
      </c>
      <c r="AD1970">
        <v>0.10113636400000001</v>
      </c>
      <c r="AG1970">
        <v>2387.7758603562002</v>
      </c>
      <c r="AH1970">
        <v>2517448</v>
      </c>
    </row>
    <row r="1971" spans="27:34">
      <c r="AA1971">
        <v>15.61</v>
      </c>
      <c r="AB1971">
        <v>3.8</v>
      </c>
      <c r="AC1971">
        <v>195</v>
      </c>
      <c r="AD1971">
        <v>0.10113636400000001</v>
      </c>
      <c r="AE1971">
        <v>49</v>
      </c>
      <c r="AG1971">
        <v>2612.8160521743298</v>
      </c>
      <c r="AH1971">
        <v>2549784</v>
      </c>
    </row>
    <row r="1972" spans="27:34">
      <c r="AA1972">
        <v>15.61</v>
      </c>
      <c r="AB1972">
        <v>3.8</v>
      </c>
      <c r="AC1972">
        <v>195</v>
      </c>
      <c r="AD1972">
        <v>0.10113636400000001</v>
      </c>
      <c r="AG1972">
        <v>2893.1245805672002</v>
      </c>
      <c r="AH1972">
        <v>2581092</v>
      </c>
    </row>
    <row r="1973" spans="27:34">
      <c r="AA1973">
        <v>15.61</v>
      </c>
      <c r="AB1973">
        <v>3.8</v>
      </c>
      <c r="AC1973">
        <v>195</v>
      </c>
      <c r="AD1973">
        <v>0.10113636400000001</v>
      </c>
      <c r="AG1973">
        <v>3259.8125882557601</v>
      </c>
      <c r="AH1973">
        <v>2611453</v>
      </c>
    </row>
    <row r="1974" spans="27:34">
      <c r="AA1974">
        <v>15.61</v>
      </c>
      <c r="AB1974">
        <v>3.8</v>
      </c>
      <c r="AC1974">
        <v>195</v>
      </c>
      <c r="AD1974">
        <v>0.10113636400000001</v>
      </c>
      <c r="AE1974">
        <v>50</v>
      </c>
      <c r="AG1974">
        <v>3585.31313768584</v>
      </c>
      <c r="AH1974">
        <v>2641216</v>
      </c>
    </row>
    <row r="1975" spans="27:34">
      <c r="AA1975">
        <v>15.61</v>
      </c>
      <c r="AB1975">
        <v>3.8</v>
      </c>
      <c r="AC1975">
        <v>195</v>
      </c>
      <c r="AD1975">
        <v>0.10113636400000001</v>
      </c>
      <c r="AG1975">
        <v>3522.2527375089498</v>
      </c>
      <c r="AH1975">
        <v>2670966</v>
      </c>
    </row>
    <row r="1976" spans="27:34">
      <c r="AA1976">
        <v>15.61</v>
      </c>
      <c r="AB1976">
        <v>3.8</v>
      </c>
      <c r="AC1976">
        <v>195</v>
      </c>
      <c r="AD1976">
        <v>0.10113636400000001</v>
      </c>
    </row>
    <row r="1977" spans="27:34">
      <c r="AA1977">
        <v>15.61</v>
      </c>
      <c r="AB1977">
        <v>3.8</v>
      </c>
      <c r="AC1977">
        <v>195</v>
      </c>
      <c r="AD1977">
        <v>0.10113636400000001</v>
      </c>
    </row>
    <row r="1978" spans="27:34">
      <c r="AB1978" t="e">
        <v>#N/A</v>
      </c>
      <c r="AC1978" t="e">
        <v>#N/A</v>
      </c>
      <c r="AD1978">
        <v>2.4637681000000002E-2</v>
      </c>
      <c r="AH1978">
        <v>623734</v>
      </c>
    </row>
    <row r="1979" spans="27:34">
      <c r="AB1979" t="e">
        <v>#N/A</v>
      </c>
      <c r="AD1979">
        <v>2.4637681000000002E-2</v>
      </c>
      <c r="AH1979">
        <v>633381</v>
      </c>
    </row>
    <row r="1980" spans="27:34">
      <c r="AB1980" t="e">
        <v>#N/A</v>
      </c>
      <c r="AD1980">
        <v>2.4637681000000002E-2</v>
      </c>
      <c r="AH1980">
        <v>643509</v>
      </c>
    </row>
    <row r="1981" spans="27:34">
      <c r="AB1981" t="e">
        <v>#N/A</v>
      </c>
      <c r="AD1981">
        <v>2.4637681000000002E-2</v>
      </c>
      <c r="AH1981">
        <v>652623</v>
      </c>
    </row>
    <row r="1982" spans="27:34">
      <c r="AB1982" t="e">
        <v>#N/A</v>
      </c>
      <c r="AD1982">
        <v>2.4637681000000002E-2</v>
      </c>
      <c r="AH1982">
        <v>658756</v>
      </c>
    </row>
    <row r="1983" spans="27:34">
      <c r="AB1983" t="e">
        <v>#N/A</v>
      </c>
      <c r="AD1983">
        <v>2.4637681000000002E-2</v>
      </c>
      <c r="AE1983">
        <v>92</v>
      </c>
      <c r="AG1983">
        <v>6029.5569898726098</v>
      </c>
      <c r="AH1983">
        <v>660628</v>
      </c>
    </row>
    <row r="1984" spans="27:34">
      <c r="AB1984" t="e">
        <v>#N/A</v>
      </c>
      <c r="AD1984">
        <v>2.4637681000000002E-2</v>
      </c>
      <c r="AG1984">
        <v>6263.8567332413204</v>
      </c>
      <c r="AH1984">
        <v>657488</v>
      </c>
    </row>
    <row r="1985" spans="27:34">
      <c r="AB1985" t="e">
        <v>#N/A</v>
      </c>
      <c r="AD1985">
        <v>2.4637681000000002E-2</v>
      </c>
      <c r="AG1985">
        <v>6560.7441845369904</v>
      </c>
      <c r="AH1985">
        <v>650054</v>
      </c>
    </row>
    <row r="1986" spans="27:34">
      <c r="AB1986" t="e">
        <v>#N/A</v>
      </c>
      <c r="AD1986">
        <v>2.4637681000000002E-2</v>
      </c>
      <c r="AG1986">
        <v>6974.06216319743</v>
      </c>
      <c r="AH1986">
        <v>640327</v>
      </c>
    </row>
    <row r="1987" spans="27:34">
      <c r="AB1987" t="e">
        <v>#N/A</v>
      </c>
      <c r="AD1987">
        <v>2.4637681000000002E-2</v>
      </c>
      <c r="AG1987">
        <v>7596.0255537578996</v>
      </c>
      <c r="AH1987">
        <v>631162</v>
      </c>
    </row>
    <row r="1988" spans="27:34">
      <c r="AB1988" t="e">
        <v>#N/A</v>
      </c>
      <c r="AD1988">
        <v>2.4637681000000002E-2</v>
      </c>
      <c r="AE1988">
        <v>92</v>
      </c>
      <c r="AG1988">
        <v>8264.6754262889008</v>
      </c>
      <c r="AH1988">
        <v>624619</v>
      </c>
    </row>
    <row r="1989" spans="27:34">
      <c r="AB1989" t="e">
        <v>#N/A</v>
      </c>
      <c r="AD1989">
        <v>2.4637681000000002E-2</v>
      </c>
      <c r="AG1989">
        <v>10411.565013440901</v>
      </c>
      <c r="AH1989">
        <v>621413</v>
      </c>
    </row>
    <row r="1990" spans="27:34">
      <c r="AB1990" t="e">
        <v>#N/A</v>
      </c>
      <c r="AD1990">
        <v>2.4637681000000002E-2</v>
      </c>
      <c r="AG1990">
        <v>12401.6682878028</v>
      </c>
      <c r="AH1990">
        <v>620941</v>
      </c>
    </row>
    <row r="1991" spans="27:34">
      <c r="AB1991" t="e">
        <v>#N/A</v>
      </c>
      <c r="AD1991">
        <v>2.4637681000000002E-2</v>
      </c>
      <c r="AE1991">
        <v>92</v>
      </c>
      <c r="AG1991">
        <v>14024.1230794199</v>
      </c>
      <c r="AH1991">
        <v>622344</v>
      </c>
    </row>
    <row r="1992" spans="27:34">
      <c r="AB1992" t="e">
        <v>#N/A</v>
      </c>
      <c r="AD1992">
        <v>2.4637681000000002E-2</v>
      </c>
      <c r="AG1992">
        <v>13085.847439421899</v>
      </c>
      <c r="AH1992">
        <v>624213</v>
      </c>
    </row>
    <row r="1993" spans="27:34">
      <c r="AB1993" t="e">
        <v>#N/A</v>
      </c>
      <c r="AD1993">
        <v>2.4637681000000002E-2</v>
      </c>
    </row>
    <row r="1994" spans="27:34">
      <c r="AB1994" t="e">
        <v>#N/A</v>
      </c>
      <c r="AD1994">
        <v>2.4637681000000002E-2</v>
      </c>
    </row>
    <row r="1995" spans="27:34">
      <c r="AA1995">
        <v>-19.190000000000001</v>
      </c>
      <c r="AB1995">
        <v>2</v>
      </c>
      <c r="AC1995">
        <v>114</v>
      </c>
      <c r="AD1995">
        <v>0.140921409</v>
      </c>
      <c r="AE1995">
        <v>59</v>
      </c>
      <c r="AF1995">
        <v>38.83</v>
      </c>
      <c r="AG1995">
        <v>2107.0582071289</v>
      </c>
      <c r="AH1995">
        <v>26950605</v>
      </c>
    </row>
    <row r="1996" spans="27:34">
      <c r="AA1996">
        <v>-19.190000000000001</v>
      </c>
      <c r="AB1996">
        <v>2</v>
      </c>
      <c r="AC1996">
        <v>114</v>
      </c>
      <c r="AD1996">
        <v>0.140921409</v>
      </c>
      <c r="AG1996">
        <v>2374.48151605671</v>
      </c>
      <c r="AH1996">
        <v>27345877</v>
      </c>
    </row>
    <row r="1997" spans="27:34">
      <c r="AA1997">
        <v>-19.190000000000001</v>
      </c>
      <c r="AB1997">
        <v>2</v>
      </c>
      <c r="AC1997">
        <v>114</v>
      </c>
      <c r="AD1997">
        <v>0.140921409</v>
      </c>
      <c r="AG1997">
        <v>2329.4161219880102</v>
      </c>
      <c r="AH1997">
        <v>27732580</v>
      </c>
    </row>
    <row r="1998" spans="27:34">
      <c r="AA1998">
        <v>-19.190000000000001</v>
      </c>
      <c r="AB1998">
        <v>2</v>
      </c>
      <c r="AC1998">
        <v>114</v>
      </c>
      <c r="AD1998">
        <v>0.140921409</v>
      </c>
      <c r="AG1998">
        <v>2501.5771430210002</v>
      </c>
      <c r="AH1998">
        <v>28109476</v>
      </c>
    </row>
    <row r="1999" spans="27:34">
      <c r="AA1999">
        <v>-19.190000000000001</v>
      </c>
      <c r="AB1999">
        <v>2</v>
      </c>
      <c r="AC1999">
        <v>114</v>
      </c>
      <c r="AD1999">
        <v>0.140921409</v>
      </c>
      <c r="AG1999">
        <v>2518.1570099845899</v>
      </c>
      <c r="AH1999">
        <v>28474559</v>
      </c>
    </row>
    <row r="2000" spans="27:34">
      <c r="AA2000">
        <v>-19.190000000000001</v>
      </c>
      <c r="AB2000">
        <v>2</v>
      </c>
      <c r="AC2000">
        <v>114</v>
      </c>
      <c r="AD2000">
        <v>0.140921409</v>
      </c>
      <c r="AE2000">
        <v>64</v>
      </c>
      <c r="AF2000">
        <v>43.41</v>
      </c>
      <c r="AG2000">
        <v>2580.4799426929999</v>
      </c>
      <c r="AH2000">
        <v>28827115</v>
      </c>
    </row>
    <row r="2001" spans="27:34">
      <c r="AA2001">
        <v>-19.190000000000001</v>
      </c>
      <c r="AB2001">
        <v>2</v>
      </c>
      <c r="AC2001">
        <v>114</v>
      </c>
      <c r="AD2001">
        <v>0.140921409</v>
      </c>
      <c r="AG2001">
        <v>2803.5708330416601</v>
      </c>
      <c r="AH2001">
        <v>29166464</v>
      </c>
    </row>
    <row r="2002" spans="27:34">
      <c r="AA2002">
        <v>-19.190000000000001</v>
      </c>
      <c r="AB2002">
        <v>2</v>
      </c>
      <c r="AC2002">
        <v>114</v>
      </c>
      <c r="AD2002">
        <v>0.140921409</v>
      </c>
      <c r="AG2002">
        <v>2908.6712134003801</v>
      </c>
      <c r="AH2002">
        <v>29495378</v>
      </c>
    </row>
    <row r="2003" spans="27:34">
      <c r="AA2003">
        <v>-19.190000000000001</v>
      </c>
      <c r="AB2003">
        <v>2</v>
      </c>
      <c r="AC2003">
        <v>114</v>
      </c>
      <c r="AD2003">
        <v>0.140921409</v>
      </c>
      <c r="AG2003">
        <v>3122.1774966732801</v>
      </c>
      <c r="AH2003">
        <v>29820777</v>
      </c>
    </row>
    <row r="2004" spans="27:34">
      <c r="AA2004">
        <v>-19.190000000000001</v>
      </c>
      <c r="AB2004">
        <v>2</v>
      </c>
      <c r="AC2004">
        <v>114</v>
      </c>
      <c r="AD2004">
        <v>0.140921409</v>
      </c>
      <c r="AG2004">
        <v>3325.4682749879698</v>
      </c>
      <c r="AH2004">
        <v>30151789</v>
      </c>
    </row>
    <row r="2005" spans="27:34">
      <c r="AA2005">
        <v>-19.190000000000001</v>
      </c>
      <c r="AB2005">
        <v>2</v>
      </c>
      <c r="AC2005">
        <v>114</v>
      </c>
      <c r="AD2005">
        <v>0.140921409</v>
      </c>
      <c r="AE2005">
        <v>68</v>
      </c>
      <c r="AG2005">
        <v>3496.6781744060099</v>
      </c>
      <c r="AH2005">
        <v>30494991</v>
      </c>
    </row>
    <row r="2006" spans="27:34">
      <c r="AA2006">
        <v>-19.190000000000001</v>
      </c>
      <c r="AB2006">
        <v>2</v>
      </c>
      <c r="AC2006">
        <v>114</v>
      </c>
      <c r="AD2006">
        <v>0.140921409</v>
      </c>
      <c r="AG2006">
        <v>3843.4738198451901</v>
      </c>
      <c r="AH2006">
        <v>30852971</v>
      </c>
    </row>
    <row r="2007" spans="27:34">
      <c r="AA2007">
        <v>-19.190000000000001</v>
      </c>
      <c r="AB2007">
        <v>2</v>
      </c>
      <c r="AC2007">
        <v>114</v>
      </c>
      <c r="AD2007">
        <v>0.140921409</v>
      </c>
      <c r="AG2007">
        <v>4032.5606360540501</v>
      </c>
      <c r="AH2007">
        <v>31224136</v>
      </c>
    </row>
    <row r="2008" spans="27:34">
      <c r="AA2008">
        <v>-19.190000000000001</v>
      </c>
      <c r="AB2008">
        <v>2</v>
      </c>
      <c r="AC2008">
        <v>114</v>
      </c>
      <c r="AD2008">
        <v>0.140921409</v>
      </c>
      <c r="AE2008">
        <v>69</v>
      </c>
      <c r="AG2008">
        <v>4296.97119343944</v>
      </c>
      <c r="AH2008">
        <v>31605616</v>
      </c>
    </row>
    <row r="2009" spans="27:34">
      <c r="AA2009">
        <v>-19.190000000000001</v>
      </c>
      <c r="AB2009">
        <v>2</v>
      </c>
      <c r="AC2009">
        <v>114</v>
      </c>
      <c r="AD2009">
        <v>0.140921409</v>
      </c>
      <c r="AG2009">
        <v>4494.4248743956696</v>
      </c>
      <c r="AH2009">
        <v>31992592</v>
      </c>
    </row>
    <row r="2010" spans="27:34">
      <c r="AA2010">
        <v>-19.190000000000001</v>
      </c>
      <c r="AB2010">
        <v>2</v>
      </c>
      <c r="AC2010">
        <v>114</v>
      </c>
      <c r="AD2010">
        <v>0.140921409</v>
      </c>
    </row>
    <row r="2011" spans="27:34">
      <c r="AA2011">
        <v>-19.190000000000001</v>
      </c>
      <c r="AB2011">
        <v>2</v>
      </c>
      <c r="AC2011">
        <v>114</v>
      </c>
      <c r="AD2011">
        <v>0.140921409</v>
      </c>
    </row>
    <row r="2012" spans="27:34">
      <c r="AA2012">
        <v>-1.9</v>
      </c>
      <c r="AB2012">
        <v>4.7</v>
      </c>
      <c r="AC2012">
        <v>388</v>
      </c>
      <c r="AD2012">
        <v>0.474231913</v>
      </c>
      <c r="AE2012">
        <v>12</v>
      </c>
      <c r="AG2012">
        <v>328.50839762488698</v>
      </c>
      <c r="AH2012">
        <v>15945442</v>
      </c>
    </row>
    <row r="2013" spans="27:34">
      <c r="AA2013">
        <v>-1.9</v>
      </c>
      <c r="AB2013">
        <v>4.7</v>
      </c>
      <c r="AC2013">
        <v>388</v>
      </c>
      <c r="AD2013">
        <v>0.474231913</v>
      </c>
      <c r="AG2013">
        <v>348.93322077626101</v>
      </c>
      <c r="AH2013">
        <v>16431268</v>
      </c>
    </row>
    <row r="2014" spans="27:34">
      <c r="AA2014">
        <v>-1.9</v>
      </c>
      <c r="AB2014">
        <v>4.7</v>
      </c>
      <c r="AC2014">
        <v>388</v>
      </c>
      <c r="AD2014">
        <v>0.474231913</v>
      </c>
      <c r="AG2014">
        <v>380.88853198064601</v>
      </c>
      <c r="AH2014">
        <v>16888168</v>
      </c>
    </row>
    <row r="2015" spans="27:34">
      <c r="AA2015">
        <v>-1.9</v>
      </c>
      <c r="AB2015">
        <v>4.7</v>
      </c>
      <c r="AC2015">
        <v>388</v>
      </c>
      <c r="AD2015">
        <v>0.474231913</v>
      </c>
      <c r="AG2015">
        <v>415.867738096599</v>
      </c>
      <c r="AH2015">
        <v>17329259</v>
      </c>
    </row>
    <row r="2016" spans="27:34">
      <c r="AA2016">
        <v>-1.9</v>
      </c>
      <c r="AB2016">
        <v>4.7</v>
      </c>
      <c r="AC2016">
        <v>388</v>
      </c>
      <c r="AD2016">
        <v>0.474231913</v>
      </c>
      <c r="AG2016">
        <v>444.711544641952</v>
      </c>
      <c r="AH2016">
        <v>17777579</v>
      </c>
    </row>
    <row r="2017" spans="27:34">
      <c r="AA2017">
        <v>-1.9</v>
      </c>
      <c r="AB2017">
        <v>4.7</v>
      </c>
      <c r="AC2017">
        <v>388</v>
      </c>
      <c r="AD2017">
        <v>0.474231913</v>
      </c>
      <c r="AE2017">
        <v>14</v>
      </c>
      <c r="AF2017">
        <v>0.34279999999999999</v>
      </c>
      <c r="AG2017">
        <v>447.41495779248299</v>
      </c>
      <c r="AH2017">
        <v>18249419</v>
      </c>
    </row>
    <row r="2018" spans="27:34">
      <c r="AA2018">
        <v>-1.9</v>
      </c>
      <c r="AB2018">
        <v>4.7</v>
      </c>
      <c r="AC2018">
        <v>388</v>
      </c>
      <c r="AD2018">
        <v>0.474231913</v>
      </c>
      <c r="AG2018">
        <v>498.43324288402601</v>
      </c>
      <c r="AH2018">
        <v>18746257</v>
      </c>
    </row>
    <row r="2019" spans="27:34">
      <c r="AA2019">
        <v>-1.9</v>
      </c>
      <c r="AB2019">
        <v>4.7</v>
      </c>
      <c r="AC2019">
        <v>388</v>
      </c>
      <c r="AD2019">
        <v>0.474231913</v>
      </c>
      <c r="AG2019">
        <v>536.50359696523196</v>
      </c>
      <c r="AH2019">
        <v>19259465</v>
      </c>
    </row>
    <row r="2020" spans="27:34">
      <c r="AA2020">
        <v>-1.9</v>
      </c>
      <c r="AB2020">
        <v>4.7</v>
      </c>
      <c r="AC2020">
        <v>388</v>
      </c>
      <c r="AD2020">
        <v>0.474231913</v>
      </c>
      <c r="AG2020">
        <v>565.68575884696202</v>
      </c>
      <c r="AH2020">
        <v>19783627</v>
      </c>
    </row>
    <row r="2021" spans="27:34">
      <c r="AA2021">
        <v>-1.9</v>
      </c>
      <c r="AB2021">
        <v>4.7</v>
      </c>
      <c r="AC2021">
        <v>388</v>
      </c>
      <c r="AD2021">
        <v>0.474231913</v>
      </c>
      <c r="AG2021">
        <v>611.29856750181898</v>
      </c>
      <c r="AH2021">
        <v>20310610</v>
      </c>
    </row>
    <row r="2022" spans="27:34">
      <c r="AA2022">
        <v>-1.9</v>
      </c>
      <c r="AB2022">
        <v>4.7</v>
      </c>
      <c r="AC2022">
        <v>388</v>
      </c>
      <c r="AD2022">
        <v>0.474231913</v>
      </c>
      <c r="AE2022">
        <v>15</v>
      </c>
      <c r="AG2022">
        <v>667.45494818231498</v>
      </c>
      <c r="AH2022">
        <v>20834379</v>
      </c>
    </row>
    <row r="2023" spans="27:34">
      <c r="AA2023">
        <v>-1.9</v>
      </c>
      <c r="AB2023">
        <v>4.7</v>
      </c>
      <c r="AC2023">
        <v>388</v>
      </c>
      <c r="AD2023">
        <v>0.474231913</v>
      </c>
      <c r="AG2023">
        <v>730.79411922361498</v>
      </c>
      <c r="AH2023">
        <v>21353466</v>
      </c>
    </row>
    <row r="2024" spans="27:34">
      <c r="AA2024">
        <v>-1.9</v>
      </c>
      <c r="AB2024">
        <v>4.7</v>
      </c>
      <c r="AC2024">
        <v>388</v>
      </c>
      <c r="AD2024">
        <v>0.474231913</v>
      </c>
      <c r="AG2024">
        <v>791.74534425926197</v>
      </c>
      <c r="AH2024">
        <v>21869362</v>
      </c>
    </row>
    <row r="2025" spans="27:34">
      <c r="AA2025">
        <v>-1.9</v>
      </c>
      <c r="AB2025">
        <v>4.7</v>
      </c>
      <c r="AC2025">
        <v>388</v>
      </c>
      <c r="AD2025">
        <v>0.474231913</v>
      </c>
      <c r="AE2025">
        <v>17</v>
      </c>
      <c r="AG2025">
        <v>843.77552134943096</v>
      </c>
      <c r="AH2025">
        <v>22382533</v>
      </c>
    </row>
    <row r="2026" spans="27:34">
      <c r="AA2026">
        <v>-1.9</v>
      </c>
      <c r="AB2026">
        <v>4.7</v>
      </c>
      <c r="AC2026">
        <v>388</v>
      </c>
      <c r="AD2026">
        <v>0.474231913</v>
      </c>
      <c r="AG2026">
        <v>885.199519120932</v>
      </c>
      <c r="AH2026">
        <v>22894294</v>
      </c>
    </row>
    <row r="2027" spans="27:34">
      <c r="AA2027">
        <v>-1.9</v>
      </c>
      <c r="AB2027">
        <v>4.7</v>
      </c>
      <c r="AC2027">
        <v>388</v>
      </c>
      <c r="AD2027">
        <v>0.474231913</v>
      </c>
    </row>
    <row r="2028" spans="27:34">
      <c r="AA2028">
        <v>-1.9</v>
      </c>
      <c r="AB2028">
        <v>4.7</v>
      </c>
      <c r="AC2028">
        <v>388</v>
      </c>
      <c r="AD2028">
        <v>0.474231913</v>
      </c>
    </row>
    <row r="2029" spans="27:34">
      <c r="AA2029">
        <v>-1.52</v>
      </c>
      <c r="AB2029">
        <v>3.5</v>
      </c>
      <c r="AC2029">
        <v>378</v>
      </c>
      <c r="AD2029">
        <v>0.31254237299999998</v>
      </c>
      <c r="AE2029">
        <v>49</v>
      </c>
      <c r="AH2029">
        <v>43863723</v>
      </c>
    </row>
    <row r="2030" spans="27:34">
      <c r="AA2030">
        <v>-1.52</v>
      </c>
      <c r="AB2030">
        <v>3.5</v>
      </c>
      <c r="AC2030">
        <v>378</v>
      </c>
      <c r="AD2030">
        <v>0.31254237299999998</v>
      </c>
      <c r="AH2030">
        <v>44454324</v>
      </c>
    </row>
    <row r="2031" spans="27:34">
      <c r="AA2031">
        <v>-1.52</v>
      </c>
      <c r="AB2031">
        <v>3.5</v>
      </c>
      <c r="AC2031">
        <v>378</v>
      </c>
      <c r="AD2031">
        <v>0.31254237299999998</v>
      </c>
      <c r="AH2031">
        <v>45043447</v>
      </c>
    </row>
    <row r="2032" spans="27:34">
      <c r="AA2032">
        <v>-1.52</v>
      </c>
      <c r="AB2032">
        <v>3.5</v>
      </c>
      <c r="AC2032">
        <v>378</v>
      </c>
      <c r="AD2032">
        <v>0.31254237299999998</v>
      </c>
      <c r="AH2032">
        <v>45613609</v>
      </c>
    </row>
    <row r="2033" spans="27:34">
      <c r="AA2033">
        <v>-1.52</v>
      </c>
      <c r="AB2033">
        <v>3.5</v>
      </c>
      <c r="AC2033">
        <v>378</v>
      </c>
      <c r="AD2033">
        <v>0.31254237299999998</v>
      </c>
      <c r="AH2033">
        <v>46140860</v>
      </c>
    </row>
    <row r="2034" spans="27:34">
      <c r="AA2034">
        <v>-1.52</v>
      </c>
      <c r="AB2034">
        <v>3.5</v>
      </c>
      <c r="AC2034">
        <v>378</v>
      </c>
      <c r="AD2034">
        <v>0.31254237299999998</v>
      </c>
      <c r="AE2034">
        <v>65</v>
      </c>
      <c r="AF2034">
        <v>2.8450000000000002</v>
      </c>
      <c r="AH2034">
        <v>46609819</v>
      </c>
    </row>
    <row r="2035" spans="27:34">
      <c r="AA2035">
        <v>-1.52</v>
      </c>
      <c r="AB2035">
        <v>3.5</v>
      </c>
      <c r="AC2035">
        <v>378</v>
      </c>
      <c r="AD2035">
        <v>0.31254237299999998</v>
      </c>
      <c r="AH2035">
        <v>47013700</v>
      </c>
    </row>
    <row r="2036" spans="27:34">
      <c r="AA2036">
        <v>-1.52</v>
      </c>
      <c r="AB2036">
        <v>3.5</v>
      </c>
      <c r="AC2036">
        <v>378</v>
      </c>
      <c r="AD2036">
        <v>0.31254237299999998</v>
      </c>
      <c r="AH2036">
        <v>47362972</v>
      </c>
    </row>
    <row r="2037" spans="27:34">
      <c r="AA2037">
        <v>-1.52</v>
      </c>
      <c r="AB2037">
        <v>3.5</v>
      </c>
      <c r="AC2037">
        <v>378</v>
      </c>
      <c r="AD2037">
        <v>0.31254237299999998</v>
      </c>
      <c r="AH2037">
        <v>47680888</v>
      </c>
    </row>
    <row r="2038" spans="27:34">
      <c r="AA2038">
        <v>-1.52</v>
      </c>
      <c r="AB2038">
        <v>3.5</v>
      </c>
      <c r="AC2038">
        <v>378</v>
      </c>
      <c r="AD2038">
        <v>0.31254237299999998</v>
      </c>
      <c r="AH2038">
        <v>48000213</v>
      </c>
    </row>
    <row r="2039" spans="27:34">
      <c r="AA2039">
        <v>-1.52</v>
      </c>
      <c r="AB2039">
        <v>3.5</v>
      </c>
      <c r="AC2039">
        <v>378</v>
      </c>
      <c r="AD2039">
        <v>0.31254237299999998</v>
      </c>
      <c r="AE2039">
        <v>81</v>
      </c>
      <c r="AH2039">
        <v>48345422</v>
      </c>
    </row>
    <row r="2040" spans="27:34">
      <c r="AA2040">
        <v>-1.52</v>
      </c>
      <c r="AB2040">
        <v>3.5</v>
      </c>
      <c r="AC2040">
        <v>378</v>
      </c>
      <c r="AD2040">
        <v>0.31254237299999998</v>
      </c>
      <c r="AH2040">
        <v>48723325</v>
      </c>
    </row>
    <row r="2041" spans="27:34">
      <c r="AA2041">
        <v>-1.52</v>
      </c>
      <c r="AB2041">
        <v>3.5</v>
      </c>
      <c r="AC2041">
        <v>378</v>
      </c>
      <c r="AD2041">
        <v>0.31254237299999998</v>
      </c>
      <c r="AH2041">
        <v>49129445</v>
      </c>
    </row>
    <row r="2042" spans="27:34">
      <c r="AA2042">
        <v>-1.52</v>
      </c>
      <c r="AB2042">
        <v>3.5</v>
      </c>
      <c r="AC2042">
        <v>378</v>
      </c>
      <c r="AD2042">
        <v>0.31254237299999998</v>
      </c>
      <c r="AE2042">
        <v>81</v>
      </c>
      <c r="AH2042">
        <v>49563019</v>
      </c>
    </row>
    <row r="2043" spans="27:34">
      <c r="AA2043">
        <v>-1.52</v>
      </c>
      <c r="AB2043">
        <v>3.5</v>
      </c>
      <c r="AC2043">
        <v>378</v>
      </c>
      <c r="AD2043">
        <v>0.31254237299999998</v>
      </c>
      <c r="AH2043">
        <v>50019775</v>
      </c>
    </row>
    <row r="2044" spans="27:34">
      <c r="AA2044">
        <v>-1.52</v>
      </c>
      <c r="AB2044">
        <v>3.5</v>
      </c>
      <c r="AC2044">
        <v>378</v>
      </c>
      <c r="AD2044">
        <v>0.31254237299999998</v>
      </c>
    </row>
    <row r="2045" spans="27:34">
      <c r="AA2045">
        <v>-1.52</v>
      </c>
      <c r="AB2045">
        <v>3.5</v>
      </c>
      <c r="AC2045">
        <v>378</v>
      </c>
      <c r="AD2045">
        <v>0.31254237299999998</v>
      </c>
    </row>
    <row r="2046" spans="27:34">
      <c r="AA2046">
        <v>-22.08</v>
      </c>
      <c r="AB2046">
        <v>4.3</v>
      </c>
      <c r="AC2046">
        <v>21</v>
      </c>
      <c r="AD2046">
        <v>0.413325108</v>
      </c>
      <c r="AE2046">
        <v>27</v>
      </c>
      <c r="AF2046">
        <v>1.5389999999999999</v>
      </c>
      <c r="AG2046">
        <v>3603.1263652513499</v>
      </c>
      <c r="AH2046">
        <v>1620207</v>
      </c>
    </row>
    <row r="2047" spans="27:34">
      <c r="AA2047">
        <v>-22.08</v>
      </c>
      <c r="AB2047">
        <v>4.3</v>
      </c>
      <c r="AC2047">
        <v>21</v>
      </c>
      <c r="AD2047">
        <v>0.413325108</v>
      </c>
      <c r="AG2047">
        <v>3696.8840350990499</v>
      </c>
      <c r="AH2047">
        <v>1660735</v>
      </c>
    </row>
    <row r="2048" spans="27:34">
      <c r="AA2048">
        <v>-22.08</v>
      </c>
      <c r="AB2048">
        <v>4.3</v>
      </c>
      <c r="AC2048">
        <v>21</v>
      </c>
      <c r="AD2048">
        <v>0.413325108</v>
      </c>
      <c r="AG2048">
        <v>3825.8087346716902</v>
      </c>
      <c r="AH2048">
        <v>1702108</v>
      </c>
    </row>
    <row r="2049" spans="27:34">
      <c r="AA2049">
        <v>-22.08</v>
      </c>
      <c r="AB2049">
        <v>4.3</v>
      </c>
      <c r="AC2049">
        <v>21</v>
      </c>
      <c r="AD2049">
        <v>0.413325108</v>
      </c>
      <c r="AG2049">
        <v>3901.1498485257298</v>
      </c>
      <c r="AH2049">
        <v>1743709</v>
      </c>
    </row>
    <row r="2050" spans="27:34">
      <c r="AA2050">
        <v>-22.08</v>
      </c>
      <c r="AB2050">
        <v>4.3</v>
      </c>
      <c r="AC2050">
        <v>21</v>
      </c>
      <c r="AD2050">
        <v>0.413325108</v>
      </c>
      <c r="AG2050">
        <v>3998.14788036244</v>
      </c>
      <c r="AH2050">
        <v>1784558</v>
      </c>
    </row>
    <row r="2051" spans="27:34">
      <c r="AA2051">
        <v>-22.08</v>
      </c>
      <c r="AB2051">
        <v>4.3</v>
      </c>
      <c r="AC2051">
        <v>21</v>
      </c>
      <c r="AD2051">
        <v>0.413325108</v>
      </c>
      <c r="AE2051">
        <v>29</v>
      </c>
      <c r="AF2051">
        <v>1.6910000000000001</v>
      </c>
      <c r="AG2051">
        <v>4135.7416011306304</v>
      </c>
      <c r="AH2051">
        <v>1823997</v>
      </c>
    </row>
    <row r="2052" spans="27:34">
      <c r="AA2052">
        <v>-22.08</v>
      </c>
      <c r="AB2052">
        <v>4.3</v>
      </c>
      <c r="AC2052">
        <v>21</v>
      </c>
      <c r="AD2052">
        <v>0.413325108</v>
      </c>
      <c r="AG2052">
        <v>4192.47354835039</v>
      </c>
      <c r="AH2052">
        <v>1861828</v>
      </c>
    </row>
    <row r="2053" spans="27:34">
      <c r="AA2053">
        <v>-22.08</v>
      </c>
      <c r="AB2053">
        <v>4.3</v>
      </c>
      <c r="AC2053">
        <v>21</v>
      </c>
      <c r="AD2053">
        <v>0.413325108</v>
      </c>
      <c r="AG2053">
        <v>4378.3714335453296</v>
      </c>
      <c r="AH2053">
        <v>1898470</v>
      </c>
    </row>
    <row r="2054" spans="27:34">
      <c r="AA2054">
        <v>-22.08</v>
      </c>
      <c r="AB2054">
        <v>4.3</v>
      </c>
      <c r="AC2054">
        <v>21</v>
      </c>
      <c r="AD2054">
        <v>0.413325108</v>
      </c>
      <c r="AG2054">
        <v>4575.2456166085603</v>
      </c>
      <c r="AH2054">
        <v>1934616</v>
      </c>
    </row>
    <row r="2055" spans="27:34">
      <c r="AA2055">
        <v>-22.08</v>
      </c>
      <c r="AB2055">
        <v>4.3</v>
      </c>
      <c r="AC2055">
        <v>21</v>
      </c>
      <c r="AD2055">
        <v>0.413325108</v>
      </c>
      <c r="AG2055">
        <v>5184.1782329267198</v>
      </c>
      <c r="AH2055">
        <v>1971238</v>
      </c>
    </row>
    <row r="2056" spans="27:34">
      <c r="AA2056">
        <v>-22.08</v>
      </c>
      <c r="AB2056">
        <v>4.3</v>
      </c>
      <c r="AC2056">
        <v>21</v>
      </c>
      <c r="AD2056">
        <v>0.413325108</v>
      </c>
      <c r="AE2056">
        <v>31</v>
      </c>
      <c r="AG2056">
        <v>5389.1717355239798</v>
      </c>
      <c r="AH2056">
        <v>2009029</v>
      </c>
    </row>
    <row r="2057" spans="27:34">
      <c r="AA2057">
        <v>-22.08</v>
      </c>
      <c r="AB2057">
        <v>4.3</v>
      </c>
      <c r="AC2057">
        <v>21</v>
      </c>
      <c r="AD2057">
        <v>0.413325108</v>
      </c>
      <c r="AG2057">
        <v>5843.93357274356</v>
      </c>
      <c r="AH2057">
        <v>2048253</v>
      </c>
    </row>
    <row r="2058" spans="27:34">
      <c r="AA2058">
        <v>-22.08</v>
      </c>
      <c r="AB2058">
        <v>4.3</v>
      </c>
      <c r="AC2058">
        <v>21</v>
      </c>
      <c r="AD2058">
        <v>0.413325108</v>
      </c>
      <c r="AG2058">
        <v>6245.7697111241696</v>
      </c>
      <c r="AH2058">
        <v>2088671</v>
      </c>
    </row>
    <row r="2059" spans="27:34">
      <c r="AA2059">
        <v>-22.08</v>
      </c>
      <c r="AB2059">
        <v>4.3</v>
      </c>
      <c r="AC2059">
        <v>21</v>
      </c>
      <c r="AD2059">
        <v>0.413325108</v>
      </c>
      <c r="AE2059">
        <v>33</v>
      </c>
      <c r="AG2059">
        <v>6527.5329330455097</v>
      </c>
      <c r="AH2059">
        <v>2129854</v>
      </c>
    </row>
    <row r="2060" spans="27:34">
      <c r="AA2060">
        <v>-22.08</v>
      </c>
      <c r="AB2060">
        <v>4.3</v>
      </c>
      <c r="AC2060">
        <v>21</v>
      </c>
      <c r="AD2060">
        <v>0.413325108</v>
      </c>
      <c r="AG2060">
        <v>6410.0938990751902</v>
      </c>
      <c r="AH2060">
        <v>2171137</v>
      </c>
    </row>
    <row r="2061" spans="27:34">
      <c r="AA2061">
        <v>-22.08</v>
      </c>
      <c r="AB2061">
        <v>4.3</v>
      </c>
      <c r="AC2061">
        <v>21</v>
      </c>
      <c r="AD2061">
        <v>0.413325108</v>
      </c>
    </row>
    <row r="2062" spans="27:34">
      <c r="AA2062">
        <v>-22.08</v>
      </c>
      <c r="AB2062">
        <v>4.3</v>
      </c>
      <c r="AC2062">
        <v>21</v>
      </c>
      <c r="AD2062">
        <v>0.413325108</v>
      </c>
    </row>
    <row r="2063" spans="27:34">
      <c r="AA2063">
        <v>14.96</v>
      </c>
      <c r="AB2063">
        <v>5</v>
      </c>
      <c r="AC2063" t="e">
        <v>#N/A</v>
      </c>
      <c r="AD2063">
        <v>0.16205266700000001</v>
      </c>
    </row>
    <row r="2064" spans="27:34">
      <c r="AA2064">
        <v>14.96</v>
      </c>
      <c r="AB2064">
        <v>5</v>
      </c>
      <c r="AD2064">
        <v>0.16205266700000001</v>
      </c>
    </row>
    <row r="2065" spans="27:34">
      <c r="AA2065">
        <v>14.96</v>
      </c>
      <c r="AB2065">
        <v>5</v>
      </c>
      <c r="AD2065">
        <v>0.16205266700000001</v>
      </c>
    </row>
    <row r="2066" spans="27:34">
      <c r="AA2066">
        <v>14.96</v>
      </c>
      <c r="AB2066">
        <v>5</v>
      </c>
      <c r="AD2066">
        <v>0.16205266700000001</v>
      </c>
    </row>
    <row r="2067" spans="27:34">
      <c r="AA2067">
        <v>14.96</v>
      </c>
      <c r="AB2067">
        <v>5</v>
      </c>
      <c r="AD2067">
        <v>0.16205266700000001</v>
      </c>
    </row>
    <row r="2068" spans="27:34">
      <c r="AA2068">
        <v>14.96</v>
      </c>
      <c r="AB2068">
        <v>5</v>
      </c>
      <c r="AD2068">
        <v>0.16205266700000001</v>
      </c>
    </row>
    <row r="2069" spans="27:34">
      <c r="AA2069">
        <v>14.96</v>
      </c>
      <c r="AB2069">
        <v>5</v>
      </c>
      <c r="AD2069">
        <v>0.16205266700000001</v>
      </c>
    </row>
    <row r="2070" spans="27:34">
      <c r="AA2070">
        <v>14.96</v>
      </c>
      <c r="AB2070">
        <v>5</v>
      </c>
      <c r="AD2070">
        <v>0.16205266700000001</v>
      </c>
    </row>
    <row r="2071" spans="27:34">
      <c r="AA2071">
        <v>14.96</v>
      </c>
      <c r="AB2071">
        <v>5</v>
      </c>
      <c r="AD2071">
        <v>0.16205266700000001</v>
      </c>
    </row>
    <row r="2072" spans="27:34">
      <c r="AA2072">
        <v>14.96</v>
      </c>
      <c r="AB2072">
        <v>5</v>
      </c>
      <c r="AD2072">
        <v>0.16205266700000001</v>
      </c>
    </row>
    <row r="2073" spans="27:34">
      <c r="AA2073">
        <v>14.96</v>
      </c>
      <c r="AB2073">
        <v>5</v>
      </c>
      <c r="AD2073">
        <v>0.16205266700000001</v>
      </c>
    </row>
    <row r="2074" spans="27:34">
      <c r="AA2074">
        <v>14.96</v>
      </c>
      <c r="AB2074">
        <v>5</v>
      </c>
      <c r="AD2074">
        <v>0.16205266700000001</v>
      </c>
    </row>
    <row r="2075" spans="27:34">
      <c r="AA2075">
        <v>14.96</v>
      </c>
      <c r="AB2075">
        <v>5</v>
      </c>
      <c r="AD2075">
        <v>0.16205266700000001</v>
      </c>
    </row>
    <row r="2076" spans="27:34">
      <c r="AA2076">
        <v>14.96</v>
      </c>
      <c r="AB2076">
        <v>5</v>
      </c>
      <c r="AD2076">
        <v>0.16205266700000001</v>
      </c>
    </row>
    <row r="2077" spans="27:34">
      <c r="AA2077">
        <v>14.96</v>
      </c>
      <c r="AB2077">
        <v>5</v>
      </c>
      <c r="AD2077">
        <v>0.16205266700000001</v>
      </c>
    </row>
    <row r="2078" spans="27:34">
      <c r="AA2078">
        <v>14.96</v>
      </c>
      <c r="AB2078">
        <v>5</v>
      </c>
      <c r="AD2078">
        <v>0.16205266700000001</v>
      </c>
    </row>
    <row r="2079" spans="27:34">
      <c r="AA2079">
        <v>14.96</v>
      </c>
      <c r="AB2079">
        <v>5</v>
      </c>
      <c r="AD2079">
        <v>0.16205266700000001</v>
      </c>
    </row>
    <row r="2080" spans="27:34">
      <c r="AA2080">
        <v>6.57</v>
      </c>
      <c r="AB2080">
        <v>0.6</v>
      </c>
      <c r="AC2080">
        <v>337</v>
      </c>
      <c r="AD2080">
        <v>0.332677165</v>
      </c>
      <c r="AE2080">
        <v>16</v>
      </c>
      <c r="AG2080">
        <v>659.198118342979</v>
      </c>
      <c r="AH2080">
        <v>21624484</v>
      </c>
    </row>
    <row r="2081" spans="27:34">
      <c r="AA2081">
        <v>6.57</v>
      </c>
      <c r="AB2081">
        <v>0.6</v>
      </c>
      <c r="AC2081">
        <v>337</v>
      </c>
      <c r="AD2081">
        <v>0.332677165</v>
      </c>
      <c r="AG2081">
        <v>690.16807193081604</v>
      </c>
      <c r="AH2081">
        <v>22170625</v>
      </c>
    </row>
    <row r="2082" spans="27:34">
      <c r="AA2082">
        <v>6.57</v>
      </c>
      <c r="AB2082">
        <v>0.6</v>
      </c>
      <c r="AC2082">
        <v>337</v>
      </c>
      <c r="AD2082">
        <v>0.332677165</v>
      </c>
      <c r="AG2082">
        <v>719.75841339719705</v>
      </c>
      <c r="AH2082">
        <v>22728453</v>
      </c>
    </row>
    <row r="2083" spans="27:34">
      <c r="AA2083">
        <v>6.57</v>
      </c>
      <c r="AB2083">
        <v>0.6</v>
      </c>
      <c r="AC2083">
        <v>337</v>
      </c>
      <c r="AD2083">
        <v>0.332677165</v>
      </c>
      <c r="AG2083">
        <v>731.64329414624001</v>
      </c>
      <c r="AH2083">
        <v>23294242</v>
      </c>
    </row>
    <row r="2084" spans="27:34">
      <c r="AA2084">
        <v>6.57</v>
      </c>
      <c r="AB2084">
        <v>0.6</v>
      </c>
      <c r="AC2084">
        <v>337</v>
      </c>
      <c r="AD2084">
        <v>0.332677165</v>
      </c>
      <c r="AG2084">
        <v>756.64014910693402</v>
      </c>
      <c r="AH2084">
        <v>23863278</v>
      </c>
    </row>
    <row r="2085" spans="27:34">
      <c r="AA2085">
        <v>6.57</v>
      </c>
      <c r="AB2085">
        <v>0.6</v>
      </c>
      <c r="AC2085">
        <v>337</v>
      </c>
      <c r="AD2085">
        <v>0.332677165</v>
      </c>
      <c r="AE2085">
        <v>23</v>
      </c>
      <c r="AF2085">
        <v>4.7859999999999996</v>
      </c>
      <c r="AG2085">
        <v>801.83576316671304</v>
      </c>
      <c r="AH2085">
        <v>24431756</v>
      </c>
    </row>
    <row r="2086" spans="27:34">
      <c r="AA2086">
        <v>6.57</v>
      </c>
      <c r="AB2086">
        <v>0.6</v>
      </c>
      <c r="AC2086">
        <v>337</v>
      </c>
      <c r="AD2086">
        <v>0.332677165</v>
      </c>
      <c r="AG2086">
        <v>839.89535706112895</v>
      </c>
      <c r="AH2086">
        <v>24998406</v>
      </c>
    </row>
    <row r="2087" spans="27:34">
      <c r="AA2087">
        <v>6.57</v>
      </c>
      <c r="AB2087">
        <v>0.6</v>
      </c>
      <c r="AC2087">
        <v>337</v>
      </c>
      <c r="AD2087">
        <v>0.332677165</v>
      </c>
      <c r="AG2087">
        <v>835.69848963888296</v>
      </c>
      <c r="AH2087">
        <v>25562694</v>
      </c>
    </row>
    <row r="2088" spans="27:34">
      <c r="AA2088">
        <v>6.57</v>
      </c>
      <c r="AB2088">
        <v>0.6</v>
      </c>
      <c r="AC2088">
        <v>337</v>
      </c>
      <c r="AD2088">
        <v>0.332677165</v>
      </c>
      <c r="AG2088">
        <v>868.37341896117096</v>
      </c>
      <c r="AH2088">
        <v>26122557</v>
      </c>
    </row>
    <row r="2089" spans="27:34">
      <c r="AA2089">
        <v>6.57</v>
      </c>
      <c r="AB2089">
        <v>0.6</v>
      </c>
      <c r="AC2089">
        <v>337</v>
      </c>
      <c r="AD2089">
        <v>0.332677165</v>
      </c>
      <c r="AG2089">
        <v>915.41116179486005</v>
      </c>
      <c r="AH2089">
        <v>26675935</v>
      </c>
    </row>
    <row r="2090" spans="27:34">
      <c r="AA2090">
        <v>6.57</v>
      </c>
      <c r="AB2090">
        <v>0.6</v>
      </c>
      <c r="AC2090">
        <v>337</v>
      </c>
      <c r="AD2090">
        <v>0.332677165</v>
      </c>
      <c r="AE2090">
        <v>28</v>
      </c>
      <c r="AG2090">
        <v>955.92737374474405</v>
      </c>
      <c r="AH2090">
        <v>27221542</v>
      </c>
    </row>
    <row r="2091" spans="27:34">
      <c r="AA2091">
        <v>6.57</v>
      </c>
      <c r="AB2091">
        <v>0.6</v>
      </c>
      <c r="AC2091">
        <v>337</v>
      </c>
      <c r="AD2091">
        <v>0.332677165</v>
      </c>
      <c r="AG2091">
        <v>1003.9057503987</v>
      </c>
      <c r="AH2091">
        <v>27758280</v>
      </c>
    </row>
    <row r="2092" spans="27:34">
      <c r="AA2092">
        <v>6.57</v>
      </c>
      <c r="AB2092">
        <v>0.6</v>
      </c>
      <c r="AC2092">
        <v>337</v>
      </c>
      <c r="AD2092">
        <v>0.332677165</v>
      </c>
      <c r="AG2092">
        <v>1053.0178614711001</v>
      </c>
      <c r="AH2092">
        <v>28286728</v>
      </c>
    </row>
    <row r="2093" spans="27:34">
      <c r="AA2093">
        <v>6.57</v>
      </c>
      <c r="AB2093">
        <v>0.6</v>
      </c>
      <c r="AC2093">
        <v>337</v>
      </c>
      <c r="AD2093">
        <v>0.332677165</v>
      </c>
      <c r="AE2093">
        <v>31</v>
      </c>
      <c r="AG2093">
        <v>1113.0290426462</v>
      </c>
      <c r="AH2093">
        <v>28809526</v>
      </c>
    </row>
    <row r="2094" spans="27:34">
      <c r="AA2094">
        <v>6.57</v>
      </c>
      <c r="AB2094">
        <v>0.6</v>
      </c>
      <c r="AC2094">
        <v>337</v>
      </c>
      <c r="AD2094">
        <v>0.332677165</v>
      </c>
      <c r="AG2094">
        <v>1154.6985440655501</v>
      </c>
      <c r="AH2094">
        <v>29330505</v>
      </c>
    </row>
    <row r="2095" spans="27:34">
      <c r="AA2095">
        <v>6.57</v>
      </c>
      <c r="AB2095">
        <v>0.6</v>
      </c>
      <c r="AC2095">
        <v>337</v>
      </c>
      <c r="AD2095">
        <v>0.332677165</v>
      </c>
    </row>
    <row r="2096" spans="27:34">
      <c r="AA2096">
        <v>6.57</v>
      </c>
      <c r="AB2096">
        <v>0.6</v>
      </c>
      <c r="AC2096">
        <v>337</v>
      </c>
      <c r="AD2096">
        <v>0.332677165</v>
      </c>
    </row>
    <row r="2097" spans="27:34">
      <c r="AA2097">
        <v>0.16</v>
      </c>
      <c r="AB2097">
        <v>2</v>
      </c>
      <c r="AC2097">
        <v>0</v>
      </c>
      <c r="AD2097">
        <v>6.5573770000000003E-2</v>
      </c>
      <c r="AE2097">
        <v>100</v>
      </c>
      <c r="AG2097">
        <v>21544.328514184501</v>
      </c>
      <c r="AH2097">
        <v>15460000</v>
      </c>
    </row>
    <row r="2098" spans="27:34">
      <c r="AA2098">
        <v>0.16</v>
      </c>
      <c r="AB2098">
        <v>2</v>
      </c>
      <c r="AC2098">
        <v>0</v>
      </c>
      <c r="AD2098">
        <v>6.5573770000000003E-2</v>
      </c>
      <c r="AG2098">
        <v>22652.336178092901</v>
      </c>
      <c r="AH2098">
        <v>15517000</v>
      </c>
    </row>
    <row r="2099" spans="27:34">
      <c r="AA2099">
        <v>0.16</v>
      </c>
      <c r="AB2099">
        <v>2</v>
      </c>
      <c r="AC2099">
        <v>0</v>
      </c>
      <c r="AD2099">
        <v>6.5573770000000003E-2</v>
      </c>
      <c r="AG2099">
        <v>24092.5990605439</v>
      </c>
      <c r="AH2099">
        <v>15607000</v>
      </c>
    </row>
    <row r="2100" spans="27:34">
      <c r="AA2100">
        <v>0.16</v>
      </c>
      <c r="AB2100">
        <v>2</v>
      </c>
      <c r="AC2100">
        <v>0</v>
      </c>
      <c r="AD2100">
        <v>6.5573770000000003E-2</v>
      </c>
      <c r="AG2100">
        <v>25486.443193217099</v>
      </c>
      <c r="AH2100">
        <v>15698000</v>
      </c>
    </row>
    <row r="2101" spans="27:34">
      <c r="AA2101">
        <v>0.16</v>
      </c>
      <c r="AB2101">
        <v>2</v>
      </c>
      <c r="AC2101">
        <v>0</v>
      </c>
      <c r="AD2101">
        <v>6.5573770000000003E-2</v>
      </c>
      <c r="AG2101">
        <v>26939.705449029399</v>
      </c>
      <c r="AH2101">
        <v>15805000</v>
      </c>
    </row>
    <row r="2102" spans="27:34">
      <c r="AA2102">
        <v>0.16</v>
      </c>
      <c r="AB2102">
        <v>2</v>
      </c>
      <c r="AC2102">
        <v>0</v>
      </c>
      <c r="AD2102">
        <v>6.5573770000000003E-2</v>
      </c>
      <c r="AE2102">
        <v>100</v>
      </c>
      <c r="AF2102">
        <v>9.8320000000000007</v>
      </c>
      <c r="AG2102">
        <v>29399.213728059702</v>
      </c>
      <c r="AH2102">
        <v>15925431.058530301</v>
      </c>
    </row>
    <row r="2103" spans="27:34">
      <c r="AA2103">
        <v>0.16</v>
      </c>
      <c r="AB2103">
        <v>2</v>
      </c>
      <c r="AC2103">
        <v>0</v>
      </c>
      <c r="AD2103">
        <v>6.5573770000000003E-2</v>
      </c>
      <c r="AG2103">
        <v>30782.319761173501</v>
      </c>
      <c r="AH2103">
        <v>16046091.1635825</v>
      </c>
    </row>
    <row r="2104" spans="27:34">
      <c r="AA2104">
        <v>0.16</v>
      </c>
      <c r="AB2104">
        <v>2</v>
      </c>
      <c r="AC2104">
        <v>0</v>
      </c>
      <c r="AD2104">
        <v>6.5573770000000003E-2</v>
      </c>
      <c r="AG2104">
        <v>31939.7568762886</v>
      </c>
      <c r="AH2104">
        <v>16148891.007744201</v>
      </c>
    </row>
    <row r="2105" spans="27:34">
      <c r="AA2105">
        <v>0.16</v>
      </c>
      <c r="AB2105">
        <v>2</v>
      </c>
      <c r="AC2105">
        <v>0</v>
      </c>
      <c r="AD2105">
        <v>6.5573770000000003E-2</v>
      </c>
      <c r="AG2105">
        <v>31698.150221282602</v>
      </c>
      <c r="AH2105">
        <v>16225267.048649799</v>
      </c>
    </row>
    <row r="2106" spans="27:34">
      <c r="AA2106">
        <v>0.16</v>
      </c>
      <c r="AB2106">
        <v>2</v>
      </c>
      <c r="AC2106">
        <v>0</v>
      </c>
      <c r="AD2106">
        <v>6.5573770000000003E-2</v>
      </c>
      <c r="AG2106">
        <v>33197.166682324503</v>
      </c>
      <c r="AH2106">
        <v>16281732.6780659</v>
      </c>
    </row>
    <row r="2107" spans="27:34">
      <c r="AA2107">
        <v>0.16</v>
      </c>
      <c r="AB2107">
        <v>2</v>
      </c>
      <c r="AC2107">
        <v>0</v>
      </c>
      <c r="AD2107">
        <v>6.5573770000000003E-2</v>
      </c>
      <c r="AE2107">
        <v>100</v>
      </c>
      <c r="AF2107">
        <v>12.59</v>
      </c>
      <c r="AG2107">
        <v>35104.526248850198</v>
      </c>
      <c r="AH2107">
        <v>16319850</v>
      </c>
    </row>
    <row r="2108" spans="27:34">
      <c r="AA2108">
        <v>0.16</v>
      </c>
      <c r="AB2108">
        <v>2</v>
      </c>
      <c r="AC2108">
        <v>0</v>
      </c>
      <c r="AD2108">
        <v>6.5573770000000003E-2</v>
      </c>
      <c r="AG2108">
        <v>38051.809496095899</v>
      </c>
      <c r="AH2108">
        <v>16346101</v>
      </c>
    </row>
    <row r="2109" spans="27:34">
      <c r="AA2109">
        <v>0.16</v>
      </c>
      <c r="AB2109">
        <v>2</v>
      </c>
      <c r="AC2109">
        <v>0</v>
      </c>
      <c r="AD2109">
        <v>6.5573770000000003E-2</v>
      </c>
      <c r="AG2109">
        <v>40513.692796418502</v>
      </c>
      <c r="AH2109">
        <v>16381696</v>
      </c>
    </row>
    <row r="2110" spans="27:34">
      <c r="AA2110">
        <v>0.16</v>
      </c>
      <c r="AB2110">
        <v>2</v>
      </c>
      <c r="AC2110">
        <v>0</v>
      </c>
      <c r="AD2110">
        <v>6.5573770000000003E-2</v>
      </c>
      <c r="AE2110">
        <v>100</v>
      </c>
      <c r="AG2110">
        <v>42848.186429885798</v>
      </c>
      <c r="AH2110">
        <v>16445593</v>
      </c>
    </row>
    <row r="2111" spans="27:34">
      <c r="AA2111">
        <v>0.16</v>
      </c>
      <c r="AB2111">
        <v>2</v>
      </c>
      <c r="AC2111">
        <v>0</v>
      </c>
      <c r="AD2111">
        <v>6.5573770000000003E-2</v>
      </c>
      <c r="AG2111">
        <v>40676.111105562602</v>
      </c>
      <c r="AH2111">
        <v>16531294</v>
      </c>
    </row>
    <row r="2112" spans="27:34">
      <c r="AA2112">
        <v>0.16</v>
      </c>
      <c r="AB2112">
        <v>2</v>
      </c>
      <c r="AC2112">
        <v>0</v>
      </c>
      <c r="AD2112">
        <v>6.5573770000000003E-2</v>
      </c>
      <c r="AF2112">
        <v>11.66</v>
      </c>
    </row>
    <row r="2113" spans="27:34">
      <c r="AA2113">
        <v>0.16</v>
      </c>
      <c r="AB2113">
        <v>2</v>
      </c>
      <c r="AC2113">
        <v>0</v>
      </c>
      <c r="AD2113">
        <v>6.5573770000000003E-2</v>
      </c>
    </row>
    <row r="2114" spans="27:34">
      <c r="AA2114">
        <v>7.89</v>
      </c>
      <c r="AB2114">
        <v>2.7</v>
      </c>
      <c r="AC2114" t="e">
        <v>#N/A</v>
      </c>
      <c r="AD2114">
        <v>3.5629453999999998E-2</v>
      </c>
      <c r="AG2114">
        <v>17606.558821121602</v>
      </c>
      <c r="AH2114">
        <v>3673400</v>
      </c>
    </row>
    <row r="2115" spans="27:34">
      <c r="AA2115">
        <v>7.89</v>
      </c>
      <c r="AB2115">
        <v>2.7</v>
      </c>
      <c r="AD2115">
        <v>3.5629453999999998E-2</v>
      </c>
      <c r="AG2115">
        <v>18058.340483833901</v>
      </c>
      <c r="AH2115">
        <v>3732000</v>
      </c>
    </row>
    <row r="2116" spans="27:34">
      <c r="AA2116">
        <v>7.89</v>
      </c>
      <c r="AB2116">
        <v>2.7</v>
      </c>
      <c r="AD2116">
        <v>3.5629453999999998E-2</v>
      </c>
      <c r="AG2116">
        <v>18694.915938529299</v>
      </c>
      <c r="AH2116">
        <v>3781400</v>
      </c>
    </row>
    <row r="2117" spans="27:34">
      <c r="AA2117">
        <v>7.89</v>
      </c>
      <c r="AB2117">
        <v>2.7</v>
      </c>
      <c r="AD2117">
        <v>3.5629453999999998E-2</v>
      </c>
      <c r="AG2117">
        <v>18911.170892759699</v>
      </c>
      <c r="AH2117">
        <v>3815000</v>
      </c>
    </row>
    <row r="2118" spans="27:34">
      <c r="AA2118">
        <v>7.89</v>
      </c>
      <c r="AB2118">
        <v>2.7</v>
      </c>
      <c r="AD2118">
        <v>3.5629453999999998E-2</v>
      </c>
      <c r="AG2118">
        <v>20156.3918361332</v>
      </c>
      <c r="AH2118">
        <v>3835100</v>
      </c>
    </row>
    <row r="2119" spans="27:34">
      <c r="AA2119">
        <v>7.89</v>
      </c>
      <c r="AB2119">
        <v>2.7</v>
      </c>
      <c r="AD2119">
        <v>3.5629453999999998E-2</v>
      </c>
      <c r="AF2119">
        <v>1.454</v>
      </c>
      <c r="AG2119">
        <v>21032.915675813401</v>
      </c>
      <c r="AH2119">
        <v>3857800</v>
      </c>
    </row>
    <row r="2120" spans="27:34">
      <c r="AA2120">
        <v>7.89</v>
      </c>
      <c r="AB2120">
        <v>2.7</v>
      </c>
      <c r="AD2120">
        <v>3.5629453999999998E-2</v>
      </c>
      <c r="AG2120">
        <v>22057.566145736</v>
      </c>
      <c r="AH2120">
        <v>3880500</v>
      </c>
    </row>
    <row r="2121" spans="27:34">
      <c r="AA2121">
        <v>7.89</v>
      </c>
      <c r="AB2121">
        <v>2.7</v>
      </c>
      <c r="AD2121">
        <v>3.5629453999999998E-2</v>
      </c>
      <c r="AG2121">
        <v>22831.1418937493</v>
      </c>
      <c r="AH2121">
        <v>3948500</v>
      </c>
    </row>
    <row r="2122" spans="27:34">
      <c r="AA2122">
        <v>7.89</v>
      </c>
      <c r="AB2122">
        <v>2.7</v>
      </c>
      <c r="AD2122">
        <v>3.5629453999999998E-2</v>
      </c>
      <c r="AG2122">
        <v>23488.378792190699</v>
      </c>
      <c r="AH2122">
        <v>4027200</v>
      </c>
    </row>
    <row r="2123" spans="27:34">
      <c r="AA2123">
        <v>7.89</v>
      </c>
      <c r="AB2123">
        <v>2.7</v>
      </c>
      <c r="AD2123">
        <v>3.5629453999999998E-2</v>
      </c>
      <c r="AG2123">
        <v>24572.717473610501</v>
      </c>
      <c r="AH2123">
        <v>4087500</v>
      </c>
    </row>
    <row r="2124" spans="27:34">
      <c r="AA2124">
        <v>7.89</v>
      </c>
      <c r="AB2124">
        <v>2.7</v>
      </c>
      <c r="AD2124">
        <v>3.5629453999999998E-2</v>
      </c>
      <c r="AG2124">
        <v>25304.865621427401</v>
      </c>
      <c r="AH2124">
        <v>4133900</v>
      </c>
    </row>
    <row r="2125" spans="27:34">
      <c r="AA2125">
        <v>7.89</v>
      </c>
      <c r="AB2125">
        <v>2.7</v>
      </c>
      <c r="AD2125">
        <v>3.5629453999999998E-2</v>
      </c>
      <c r="AG2125">
        <v>27092.9887111112</v>
      </c>
      <c r="AH2125">
        <v>4184600</v>
      </c>
    </row>
    <row r="2126" spans="27:34">
      <c r="AA2126">
        <v>7.89</v>
      </c>
      <c r="AB2126">
        <v>2.7</v>
      </c>
      <c r="AD2126">
        <v>3.5629453999999998E-2</v>
      </c>
      <c r="AG2126">
        <v>28652.969559171499</v>
      </c>
      <c r="AH2126">
        <v>4228300</v>
      </c>
    </row>
    <row r="2127" spans="27:34">
      <c r="AA2127">
        <v>7.89</v>
      </c>
      <c r="AB2127">
        <v>2.7</v>
      </c>
      <c r="AD2127">
        <v>3.5629453999999998E-2</v>
      </c>
      <c r="AG2127">
        <v>29159.356422022101</v>
      </c>
      <c r="AH2127">
        <v>4268900</v>
      </c>
    </row>
    <row r="2128" spans="27:34">
      <c r="AA2128">
        <v>7.89</v>
      </c>
      <c r="AB2128">
        <v>2.7</v>
      </c>
      <c r="AD2128">
        <v>3.5629453999999998E-2</v>
      </c>
      <c r="AG2128">
        <v>28993.4464296488</v>
      </c>
      <c r="AH2128">
        <v>4315800</v>
      </c>
    </row>
    <row r="2129" spans="27:34">
      <c r="AA2129">
        <v>7.89</v>
      </c>
      <c r="AB2129">
        <v>2.7</v>
      </c>
      <c r="AD2129">
        <v>3.5629453999999998E-2</v>
      </c>
    </row>
    <row r="2130" spans="27:34">
      <c r="AA2130">
        <v>7.89</v>
      </c>
      <c r="AB2130">
        <v>2.7</v>
      </c>
      <c r="AD2130">
        <v>3.5629453999999998E-2</v>
      </c>
    </row>
    <row r="2131" spans="27:34">
      <c r="AA2131">
        <v>-4</v>
      </c>
      <c r="AB2131">
        <v>4.3</v>
      </c>
      <c r="AC2131">
        <v>102</v>
      </c>
      <c r="AD2131">
        <v>0.13530326600000001</v>
      </c>
      <c r="AE2131">
        <v>46</v>
      </c>
      <c r="AG2131">
        <v>1485.2663996629601</v>
      </c>
      <c r="AH2131">
        <v>4659448</v>
      </c>
    </row>
    <row r="2132" spans="27:34">
      <c r="AA2132">
        <v>-4</v>
      </c>
      <c r="AB2132">
        <v>4.3</v>
      </c>
      <c r="AC2132">
        <v>102</v>
      </c>
      <c r="AD2132">
        <v>0.13530326600000001</v>
      </c>
      <c r="AG2132">
        <v>1576.8121544175301</v>
      </c>
      <c r="AH2132">
        <v>4756622</v>
      </c>
    </row>
    <row r="2133" spans="27:34">
      <c r="AA2133">
        <v>-4</v>
      </c>
      <c r="AB2133">
        <v>4.3</v>
      </c>
      <c r="AC2133">
        <v>102</v>
      </c>
      <c r="AD2133">
        <v>0.13530326600000001</v>
      </c>
      <c r="AG2133">
        <v>1636.55562805711</v>
      </c>
      <c r="AH2133">
        <v>4849265</v>
      </c>
    </row>
    <row r="2134" spans="27:34">
      <c r="AA2134">
        <v>-4</v>
      </c>
      <c r="AB2134">
        <v>4.3</v>
      </c>
      <c r="AC2134">
        <v>102</v>
      </c>
      <c r="AD2134">
        <v>0.13530326600000001</v>
      </c>
      <c r="AG2134">
        <v>1685.8864925785799</v>
      </c>
      <c r="AH2134">
        <v>4937313</v>
      </c>
    </row>
    <row r="2135" spans="27:34">
      <c r="AA2135">
        <v>-4</v>
      </c>
      <c r="AB2135">
        <v>4.3</v>
      </c>
      <c r="AC2135">
        <v>102</v>
      </c>
      <c r="AD2135">
        <v>0.13530326600000001</v>
      </c>
      <c r="AG2135">
        <v>1800.40439104042</v>
      </c>
      <c r="AH2135">
        <v>5021072</v>
      </c>
    </row>
    <row r="2136" spans="27:34">
      <c r="AA2136">
        <v>-4</v>
      </c>
      <c r="AB2136">
        <v>4.3</v>
      </c>
      <c r="AC2136">
        <v>102</v>
      </c>
      <c r="AD2136">
        <v>0.13530326600000001</v>
      </c>
      <c r="AE2136">
        <v>48</v>
      </c>
      <c r="AF2136">
        <v>0.65510000000000002</v>
      </c>
      <c r="AG2136">
        <v>1884.83492398007</v>
      </c>
      <c r="AH2136">
        <v>5100914</v>
      </c>
    </row>
    <row r="2137" spans="27:34">
      <c r="AA2137">
        <v>-4</v>
      </c>
      <c r="AB2137">
        <v>4.3</v>
      </c>
      <c r="AC2137">
        <v>102</v>
      </c>
      <c r="AD2137">
        <v>0.13530326600000001</v>
      </c>
      <c r="AG2137">
        <v>1955.5821660003501</v>
      </c>
      <c r="AH2137">
        <v>5176700</v>
      </c>
    </row>
    <row r="2138" spans="27:34">
      <c r="AA2138">
        <v>-4</v>
      </c>
      <c r="AB2138">
        <v>4.3</v>
      </c>
      <c r="AC2138">
        <v>102</v>
      </c>
      <c r="AD2138">
        <v>0.13530326600000001</v>
      </c>
      <c r="AG2138">
        <v>1974.8895521090501</v>
      </c>
      <c r="AH2138">
        <v>5248641</v>
      </c>
    </row>
    <row r="2139" spans="27:34">
      <c r="AA2139">
        <v>-4</v>
      </c>
      <c r="AB2139">
        <v>4.3</v>
      </c>
      <c r="AC2139">
        <v>102</v>
      </c>
      <c r="AD2139">
        <v>0.13530326600000001</v>
      </c>
      <c r="AG2139">
        <v>2041.339650896</v>
      </c>
      <c r="AH2139">
        <v>5317982</v>
      </c>
    </row>
    <row r="2140" spans="27:34">
      <c r="AA2140">
        <v>-4</v>
      </c>
      <c r="AB2140">
        <v>4.3</v>
      </c>
      <c r="AC2140">
        <v>102</v>
      </c>
      <c r="AD2140">
        <v>0.13530326600000001</v>
      </c>
      <c r="AG2140">
        <v>2182.6428828056301</v>
      </c>
      <c r="AH2140">
        <v>5386388</v>
      </c>
    </row>
    <row r="2141" spans="27:34">
      <c r="AA2141">
        <v>-4</v>
      </c>
      <c r="AB2141">
        <v>4.3</v>
      </c>
      <c r="AC2141">
        <v>102</v>
      </c>
      <c r="AD2141">
        <v>0.13530326600000001</v>
      </c>
      <c r="AE2141">
        <v>50</v>
      </c>
      <c r="AG2141">
        <v>2322.34125841894</v>
      </c>
      <c r="AH2141">
        <v>5455216</v>
      </c>
    </row>
    <row r="2142" spans="27:34">
      <c r="AA2142">
        <v>-4</v>
      </c>
      <c r="AB2142">
        <v>4.3</v>
      </c>
      <c r="AC2142">
        <v>102</v>
      </c>
      <c r="AD2142">
        <v>0.13530326600000001</v>
      </c>
      <c r="AG2142">
        <v>2460.1229570779001</v>
      </c>
      <c r="AH2142">
        <v>5524718</v>
      </c>
    </row>
    <row r="2143" spans="27:34">
      <c r="AA2143">
        <v>-4</v>
      </c>
      <c r="AB2143">
        <v>4.3</v>
      </c>
      <c r="AC2143">
        <v>102</v>
      </c>
      <c r="AD2143">
        <v>0.13530326600000001</v>
      </c>
      <c r="AG2143">
        <v>2591.59707928846</v>
      </c>
      <c r="AH2143">
        <v>5595052</v>
      </c>
    </row>
    <row r="2144" spans="27:34">
      <c r="AA2144">
        <v>-4</v>
      </c>
      <c r="AB2144">
        <v>4.3</v>
      </c>
      <c r="AC2144">
        <v>102</v>
      </c>
      <c r="AD2144">
        <v>0.13530326600000001</v>
      </c>
      <c r="AE2144">
        <v>52</v>
      </c>
      <c r="AG2144">
        <v>2810.8011530342001</v>
      </c>
      <c r="AH2144">
        <v>5667325</v>
      </c>
    </row>
    <row r="2145" spans="27:34">
      <c r="AA2145">
        <v>-4</v>
      </c>
      <c r="AB2145">
        <v>4.3</v>
      </c>
      <c r="AC2145">
        <v>102</v>
      </c>
      <c r="AD2145">
        <v>0.13530326600000001</v>
      </c>
      <c r="AG2145">
        <v>2641.27778039245</v>
      </c>
      <c r="AH2145">
        <v>5742800</v>
      </c>
    </row>
    <row r="2146" spans="27:34">
      <c r="AA2146">
        <v>-4</v>
      </c>
      <c r="AB2146">
        <v>4.3</v>
      </c>
      <c r="AC2146">
        <v>102</v>
      </c>
      <c r="AD2146">
        <v>0.13530326600000001</v>
      </c>
    </row>
    <row r="2147" spans="27:34">
      <c r="AA2147">
        <v>-4</v>
      </c>
      <c r="AB2147">
        <v>4.3</v>
      </c>
      <c r="AC2147">
        <v>102</v>
      </c>
      <c r="AD2147">
        <v>0.13530326600000001</v>
      </c>
    </row>
    <row r="2148" spans="27:34">
      <c r="AA2148">
        <v>-5.68</v>
      </c>
      <c r="AB2148">
        <v>3.7</v>
      </c>
      <c r="AC2148">
        <v>1229</v>
      </c>
      <c r="AD2148">
        <v>0.51372273000000002</v>
      </c>
      <c r="AE2148">
        <v>5</v>
      </c>
      <c r="AG2148">
        <v>496.83342467086601</v>
      </c>
      <c r="AH2148">
        <v>9301826</v>
      </c>
    </row>
    <row r="2149" spans="27:34">
      <c r="AA2149">
        <v>-5.68</v>
      </c>
      <c r="AB2149">
        <v>3.7</v>
      </c>
      <c r="AC2149">
        <v>1229</v>
      </c>
      <c r="AD2149">
        <v>0.51372273000000002</v>
      </c>
      <c r="AG2149">
        <v>506.23088509669799</v>
      </c>
      <c r="AH2149">
        <v>9621819</v>
      </c>
    </row>
    <row r="2150" spans="27:34">
      <c r="AA2150">
        <v>-5.68</v>
      </c>
      <c r="AB2150">
        <v>3.7</v>
      </c>
      <c r="AC2150">
        <v>1229</v>
      </c>
      <c r="AD2150">
        <v>0.51372273000000002</v>
      </c>
      <c r="AG2150">
        <v>511.60794852325398</v>
      </c>
      <c r="AH2150">
        <v>9956361</v>
      </c>
    </row>
    <row r="2151" spans="27:34">
      <c r="AA2151">
        <v>-5.68</v>
      </c>
      <c r="AB2151">
        <v>3.7</v>
      </c>
      <c r="AC2151">
        <v>1229</v>
      </c>
      <c r="AD2151">
        <v>0.51372273000000002</v>
      </c>
      <c r="AG2151">
        <v>552.046359027329</v>
      </c>
      <c r="AH2151">
        <v>10303957</v>
      </c>
    </row>
    <row r="2152" spans="27:34">
      <c r="AA2152">
        <v>-5.68</v>
      </c>
      <c r="AB2152">
        <v>3.7</v>
      </c>
      <c r="AC2152">
        <v>1229</v>
      </c>
      <c r="AD2152">
        <v>0.51372273000000002</v>
      </c>
      <c r="AG2152">
        <v>538.22342963260701</v>
      </c>
      <c r="AH2152">
        <v>10662488</v>
      </c>
    </row>
    <row r="2153" spans="27:34">
      <c r="AA2153">
        <v>-5.68</v>
      </c>
      <c r="AB2153">
        <v>3.7</v>
      </c>
      <c r="AC2153">
        <v>1229</v>
      </c>
      <c r="AD2153">
        <v>0.51372273000000002</v>
      </c>
      <c r="AE2153">
        <v>7</v>
      </c>
      <c r="AF2153">
        <v>7.0250000000000004</v>
      </c>
      <c r="AG2153">
        <v>524.00519470866095</v>
      </c>
      <c r="AH2153">
        <v>11031046</v>
      </c>
    </row>
    <row r="2154" spans="27:34">
      <c r="AA2154">
        <v>-5.68</v>
      </c>
      <c r="AB2154">
        <v>3.7</v>
      </c>
      <c r="AC2154">
        <v>1229</v>
      </c>
      <c r="AD2154">
        <v>0.51372273000000002</v>
      </c>
      <c r="AG2154">
        <v>554.97039499855998</v>
      </c>
      <c r="AH2154">
        <v>11408424</v>
      </c>
    </row>
    <row r="2155" spans="27:34">
      <c r="AA2155">
        <v>-5.68</v>
      </c>
      <c r="AB2155">
        <v>3.7</v>
      </c>
      <c r="AC2155">
        <v>1229</v>
      </c>
      <c r="AD2155">
        <v>0.51372273000000002</v>
      </c>
      <c r="AG2155">
        <v>561.77348693438705</v>
      </c>
      <c r="AH2155">
        <v>11796861</v>
      </c>
    </row>
    <row r="2156" spans="27:34">
      <c r="AA2156">
        <v>-5.68</v>
      </c>
      <c r="AB2156">
        <v>3.7</v>
      </c>
      <c r="AC2156">
        <v>1229</v>
      </c>
      <c r="AD2156">
        <v>0.51372273000000002</v>
      </c>
      <c r="AG2156">
        <v>584.182700665482</v>
      </c>
      <c r="AH2156">
        <v>12203056</v>
      </c>
    </row>
    <row r="2157" spans="27:34">
      <c r="AA2157">
        <v>-5.68</v>
      </c>
      <c r="AB2157">
        <v>3.7</v>
      </c>
      <c r="AC2157">
        <v>1229</v>
      </c>
      <c r="AD2157">
        <v>0.51372273000000002</v>
      </c>
      <c r="AG2157">
        <v>580.73950637543805</v>
      </c>
      <c r="AH2157">
        <v>12635986</v>
      </c>
    </row>
    <row r="2158" spans="27:34">
      <c r="AA2158">
        <v>-5.68</v>
      </c>
      <c r="AB2158">
        <v>3.7</v>
      </c>
      <c r="AC2158">
        <v>1229</v>
      </c>
      <c r="AD2158">
        <v>0.51372273000000002</v>
      </c>
      <c r="AE2158">
        <v>9</v>
      </c>
      <c r="AG2158">
        <v>604.80778194835898</v>
      </c>
      <c r="AH2158">
        <v>13101935</v>
      </c>
    </row>
    <row r="2159" spans="27:34">
      <c r="AA2159">
        <v>-5.68</v>
      </c>
      <c r="AB2159">
        <v>3.7</v>
      </c>
      <c r="AC2159">
        <v>1229</v>
      </c>
      <c r="AD2159">
        <v>0.51372273000000002</v>
      </c>
      <c r="AG2159">
        <v>636.321660222172</v>
      </c>
      <c r="AH2159">
        <v>13603870</v>
      </c>
    </row>
    <row r="2160" spans="27:34">
      <c r="AA2160">
        <v>-5.68</v>
      </c>
      <c r="AB2160">
        <v>3.7</v>
      </c>
      <c r="AC2160">
        <v>1229</v>
      </c>
      <c r="AD2160">
        <v>0.51372273000000002</v>
      </c>
      <c r="AG2160">
        <v>654.082321993709</v>
      </c>
      <c r="AH2160">
        <v>14139684</v>
      </c>
    </row>
    <row r="2161" spans="27:34">
      <c r="AA2161">
        <v>-5.68</v>
      </c>
      <c r="AB2161">
        <v>3.7</v>
      </c>
      <c r="AC2161">
        <v>1229</v>
      </c>
      <c r="AD2161">
        <v>0.51372273000000002</v>
      </c>
      <c r="AE2161">
        <v>9</v>
      </c>
      <c r="AG2161">
        <v>703.774102455145</v>
      </c>
      <c r="AH2161">
        <v>14704318</v>
      </c>
    </row>
    <row r="2162" spans="27:34">
      <c r="AA2162">
        <v>-5.68</v>
      </c>
      <c r="AB2162">
        <v>3.7</v>
      </c>
      <c r="AC2162">
        <v>1229</v>
      </c>
      <c r="AD2162">
        <v>0.51372273000000002</v>
      </c>
      <c r="AG2162">
        <v>689.83922798940296</v>
      </c>
      <c r="AH2162">
        <v>15290102</v>
      </c>
    </row>
    <row r="2163" spans="27:34">
      <c r="AA2163">
        <v>-5.68</v>
      </c>
      <c r="AB2163">
        <v>3.7</v>
      </c>
      <c r="AC2163">
        <v>1229</v>
      </c>
      <c r="AD2163">
        <v>0.51372273000000002</v>
      </c>
    </row>
    <row r="2164" spans="27:34">
      <c r="AA2164">
        <v>-5.68</v>
      </c>
      <c r="AB2164">
        <v>3.7</v>
      </c>
      <c r="AC2164">
        <v>1229</v>
      </c>
      <c r="AD2164">
        <v>0.51372273000000002</v>
      </c>
    </row>
    <row r="2165" spans="27:34">
      <c r="AA2165">
        <v>14.59</v>
      </c>
      <c r="AB2165">
        <v>4.5999999999999996</v>
      </c>
      <c r="AC2165">
        <v>560</v>
      </c>
      <c r="AD2165">
        <v>0.484566104</v>
      </c>
      <c r="AE2165">
        <v>36</v>
      </c>
      <c r="AG2165">
        <v>1153.4202281589701</v>
      </c>
      <c r="AH2165">
        <v>110449331</v>
      </c>
    </row>
    <row r="2166" spans="27:34">
      <c r="AA2166">
        <v>14.59</v>
      </c>
      <c r="AB2166">
        <v>4.5999999999999996</v>
      </c>
      <c r="AC2166">
        <v>560</v>
      </c>
      <c r="AD2166">
        <v>0.484566104</v>
      </c>
      <c r="AG2166">
        <v>1196.10225573875</v>
      </c>
      <c r="AH2166">
        <v>113212070</v>
      </c>
    </row>
    <row r="2167" spans="27:34">
      <c r="AA2167">
        <v>14.59</v>
      </c>
      <c r="AB2167">
        <v>4.5999999999999996</v>
      </c>
      <c r="AC2167">
        <v>560</v>
      </c>
      <c r="AD2167">
        <v>0.484566104</v>
      </c>
      <c r="AG2167">
        <v>1219.85096055445</v>
      </c>
      <c r="AH2167">
        <v>116026774</v>
      </c>
    </row>
    <row r="2168" spans="27:34">
      <c r="AA2168">
        <v>14.59</v>
      </c>
      <c r="AB2168">
        <v>4.5999999999999996</v>
      </c>
      <c r="AC2168">
        <v>560</v>
      </c>
      <c r="AD2168">
        <v>0.484566104</v>
      </c>
      <c r="AG2168">
        <v>1226.4721901847199</v>
      </c>
      <c r="AH2168">
        <v>118899179</v>
      </c>
    </row>
    <row r="2169" spans="27:34">
      <c r="AA2169">
        <v>14.59</v>
      </c>
      <c r="AB2169">
        <v>4.5999999999999996</v>
      </c>
      <c r="AC2169">
        <v>560</v>
      </c>
      <c r="AD2169">
        <v>0.484566104</v>
      </c>
      <c r="AG2169">
        <v>1227.81200342594</v>
      </c>
      <c r="AH2169">
        <v>121836150</v>
      </c>
    </row>
    <row r="2170" spans="27:34">
      <c r="AA2170">
        <v>14.59</v>
      </c>
      <c r="AB2170">
        <v>4.5999999999999996</v>
      </c>
      <c r="AC2170">
        <v>560</v>
      </c>
      <c r="AD2170">
        <v>0.484566104</v>
      </c>
      <c r="AE2170">
        <v>34</v>
      </c>
      <c r="AF2170">
        <v>3.6019999999999999</v>
      </c>
      <c r="AG2170">
        <v>1290.2763881062499</v>
      </c>
      <c r="AH2170">
        <v>124842371</v>
      </c>
    </row>
    <row r="2171" spans="27:34">
      <c r="AA2171">
        <v>14.59</v>
      </c>
      <c r="AB2171">
        <v>4.5999999999999996</v>
      </c>
      <c r="AC2171">
        <v>560</v>
      </c>
      <c r="AD2171">
        <v>0.484566104</v>
      </c>
      <c r="AG2171">
        <v>1327.72460970152</v>
      </c>
      <c r="AH2171">
        <v>127917961</v>
      </c>
    </row>
    <row r="2172" spans="27:34">
      <c r="AA2172">
        <v>14.59</v>
      </c>
      <c r="AB2172">
        <v>4.5999999999999996</v>
      </c>
      <c r="AC2172">
        <v>560</v>
      </c>
      <c r="AD2172">
        <v>0.484566104</v>
      </c>
      <c r="AG2172">
        <v>1337.33674535773</v>
      </c>
      <c r="AH2172">
        <v>131060791</v>
      </c>
    </row>
    <row r="2173" spans="27:34">
      <c r="AA2173">
        <v>14.59</v>
      </c>
      <c r="AB2173">
        <v>4.5999999999999996</v>
      </c>
      <c r="AC2173">
        <v>560</v>
      </c>
      <c r="AD2173">
        <v>0.484566104</v>
      </c>
      <c r="AG2173">
        <v>1470.8605429115701</v>
      </c>
      <c r="AH2173">
        <v>134269942</v>
      </c>
    </row>
    <row r="2174" spans="27:34">
      <c r="AA2174">
        <v>14.59</v>
      </c>
      <c r="AB2174">
        <v>4.5999999999999996</v>
      </c>
      <c r="AC2174">
        <v>560</v>
      </c>
      <c r="AD2174">
        <v>0.484566104</v>
      </c>
      <c r="AG2174">
        <v>1633.0676483816101</v>
      </c>
      <c r="AH2174">
        <v>137543599</v>
      </c>
    </row>
    <row r="2175" spans="27:34">
      <c r="AA2175">
        <v>14.59</v>
      </c>
      <c r="AB2175">
        <v>4.5999999999999996</v>
      </c>
      <c r="AC2175">
        <v>560</v>
      </c>
      <c r="AD2175">
        <v>0.484566104</v>
      </c>
      <c r="AE2175">
        <v>32</v>
      </c>
      <c r="AG2175">
        <v>1736.5457667424</v>
      </c>
      <c r="AH2175">
        <v>140878575</v>
      </c>
    </row>
    <row r="2176" spans="27:34">
      <c r="AA2176">
        <v>14.59</v>
      </c>
      <c r="AB2176">
        <v>4.5999999999999996</v>
      </c>
      <c r="AC2176">
        <v>560</v>
      </c>
      <c r="AD2176">
        <v>0.484566104</v>
      </c>
      <c r="AG2176">
        <v>1859.39128530988</v>
      </c>
      <c r="AH2176">
        <v>144273182</v>
      </c>
    </row>
    <row r="2177" spans="27:34">
      <c r="AA2177">
        <v>14.59</v>
      </c>
      <c r="AB2177">
        <v>4.5999999999999996</v>
      </c>
      <c r="AC2177">
        <v>560</v>
      </c>
      <c r="AD2177">
        <v>0.484566104</v>
      </c>
      <c r="AG2177">
        <v>1999.35200542404</v>
      </c>
      <c r="AH2177">
        <v>147721843</v>
      </c>
    </row>
    <row r="2178" spans="27:34">
      <c r="AA2178">
        <v>14.59</v>
      </c>
      <c r="AB2178">
        <v>4.5999999999999996</v>
      </c>
      <c r="AC2178">
        <v>560</v>
      </c>
      <c r="AD2178">
        <v>0.484566104</v>
      </c>
      <c r="AE2178">
        <v>32</v>
      </c>
      <c r="AG2178">
        <v>2115.6547215553301</v>
      </c>
      <c r="AH2178">
        <v>151212254</v>
      </c>
    </row>
    <row r="2179" spans="27:34">
      <c r="AA2179">
        <v>14.59</v>
      </c>
      <c r="AB2179">
        <v>4.5999999999999996</v>
      </c>
      <c r="AC2179">
        <v>560</v>
      </c>
      <c r="AD2179">
        <v>0.484566104</v>
      </c>
      <c r="AG2179">
        <v>2203.3475614546901</v>
      </c>
      <c r="AH2179">
        <v>154728892</v>
      </c>
    </row>
    <row r="2180" spans="27:34">
      <c r="AA2180">
        <v>14.59</v>
      </c>
      <c r="AB2180">
        <v>4.5999999999999996</v>
      </c>
      <c r="AC2180">
        <v>560</v>
      </c>
      <c r="AD2180">
        <v>0.484566104</v>
      </c>
    </row>
    <row r="2181" spans="27:34">
      <c r="AA2181">
        <v>14.59</v>
      </c>
      <c r="AB2181">
        <v>4.5999999999999996</v>
      </c>
      <c r="AC2181">
        <v>560</v>
      </c>
      <c r="AD2181">
        <v>0.484566104</v>
      </c>
    </row>
    <row r="2182" spans="27:34">
      <c r="AA2182">
        <v>12.65</v>
      </c>
      <c r="AB2182">
        <v>2.4</v>
      </c>
      <c r="AC2182">
        <v>0</v>
      </c>
      <c r="AD2182">
        <v>6.3380281999999996E-2</v>
      </c>
      <c r="AE2182">
        <v>100</v>
      </c>
      <c r="AG2182">
        <v>23577.598825047098</v>
      </c>
      <c r="AH2182">
        <v>4360000</v>
      </c>
    </row>
    <row r="2183" spans="27:34">
      <c r="AA2183">
        <v>12.65</v>
      </c>
      <c r="AB2183">
        <v>2.4</v>
      </c>
      <c r="AC2183">
        <v>0</v>
      </c>
      <c r="AD2183">
        <v>6.3380281999999996E-2</v>
      </c>
      <c r="AG2183">
        <v>26039.2794738259</v>
      </c>
      <c r="AH2183">
        <v>4381000</v>
      </c>
    </row>
    <row r="2184" spans="27:34">
      <c r="AA2184">
        <v>12.65</v>
      </c>
      <c r="AB2184">
        <v>2.4</v>
      </c>
      <c r="AC2184">
        <v>0</v>
      </c>
      <c r="AD2184">
        <v>6.3380281999999996E-2</v>
      </c>
      <c r="AG2184">
        <v>27964.4803030037</v>
      </c>
      <c r="AH2184">
        <v>4404100</v>
      </c>
    </row>
    <row r="2185" spans="27:34">
      <c r="AA2185">
        <v>12.65</v>
      </c>
      <c r="AB2185">
        <v>2.4</v>
      </c>
      <c r="AC2185">
        <v>0</v>
      </c>
      <c r="AD2185">
        <v>6.3380281999999996E-2</v>
      </c>
      <c r="AG2185">
        <v>27413.372614685301</v>
      </c>
      <c r="AH2185">
        <v>4432000</v>
      </c>
    </row>
    <row r="2186" spans="27:34">
      <c r="AA2186">
        <v>12.65</v>
      </c>
      <c r="AB2186">
        <v>2.4</v>
      </c>
      <c r="AC2186">
        <v>0</v>
      </c>
      <c r="AD2186">
        <v>6.3380281999999996E-2</v>
      </c>
      <c r="AG2186">
        <v>29813.525601325298</v>
      </c>
      <c r="AH2186">
        <v>4460000</v>
      </c>
    </row>
    <row r="2187" spans="27:34">
      <c r="AA2187">
        <v>12.65</v>
      </c>
      <c r="AB2187">
        <v>2.4</v>
      </c>
      <c r="AC2187">
        <v>0</v>
      </c>
      <c r="AD2187">
        <v>6.3380281999999996E-2</v>
      </c>
      <c r="AE2187">
        <v>100</v>
      </c>
      <c r="AF2187">
        <v>0.61650000000000005</v>
      </c>
      <c r="AG2187">
        <v>36125.703607891701</v>
      </c>
      <c r="AH2187">
        <v>4491000</v>
      </c>
    </row>
    <row r="2188" spans="27:34">
      <c r="AA2188">
        <v>12.65</v>
      </c>
      <c r="AB2188">
        <v>2.4</v>
      </c>
      <c r="AC2188">
        <v>0</v>
      </c>
      <c r="AD2188">
        <v>6.3380281999999996E-2</v>
      </c>
      <c r="AG2188">
        <v>37091.715047850099</v>
      </c>
      <c r="AH2188">
        <v>4513000</v>
      </c>
    </row>
    <row r="2189" spans="27:34">
      <c r="AA2189">
        <v>12.65</v>
      </c>
      <c r="AB2189">
        <v>2.4</v>
      </c>
      <c r="AC2189">
        <v>0</v>
      </c>
      <c r="AD2189">
        <v>6.3380281999999996E-2</v>
      </c>
      <c r="AG2189">
        <v>37060.112189311498</v>
      </c>
      <c r="AH2189">
        <v>4538000</v>
      </c>
    </row>
    <row r="2190" spans="27:34">
      <c r="AA2190">
        <v>12.65</v>
      </c>
      <c r="AB2190">
        <v>2.4</v>
      </c>
      <c r="AC2190">
        <v>0</v>
      </c>
      <c r="AD2190">
        <v>6.3380281999999996E-2</v>
      </c>
      <c r="AG2190">
        <v>38299.702116289503</v>
      </c>
      <c r="AH2190">
        <v>4564900</v>
      </c>
    </row>
    <row r="2191" spans="27:34">
      <c r="AA2191">
        <v>12.65</v>
      </c>
      <c r="AB2191">
        <v>2.4</v>
      </c>
      <c r="AC2191">
        <v>0</v>
      </c>
      <c r="AD2191">
        <v>6.3380281999999996E-2</v>
      </c>
      <c r="AG2191">
        <v>42248.851967402399</v>
      </c>
      <c r="AH2191">
        <v>4591950</v>
      </c>
    </row>
    <row r="2192" spans="27:34">
      <c r="AA2192">
        <v>12.65</v>
      </c>
      <c r="AB2192">
        <v>2.4</v>
      </c>
      <c r="AC2192">
        <v>0</v>
      </c>
      <c r="AD2192">
        <v>6.3380281999999996E-2</v>
      </c>
      <c r="AE2192">
        <v>100</v>
      </c>
      <c r="AF2192">
        <v>0.76939999999999997</v>
      </c>
      <c r="AG2192">
        <v>47305.479168098696</v>
      </c>
      <c r="AH2192">
        <v>4623300</v>
      </c>
    </row>
    <row r="2193" spans="27:34">
      <c r="AA2193">
        <v>12.65</v>
      </c>
      <c r="AB2193">
        <v>2.4</v>
      </c>
      <c r="AC2193">
        <v>0</v>
      </c>
      <c r="AD2193">
        <v>6.3380281999999996E-2</v>
      </c>
      <c r="AG2193">
        <v>53291.668031142297</v>
      </c>
      <c r="AH2193">
        <v>4660677</v>
      </c>
    </row>
    <row r="2194" spans="27:34">
      <c r="AA2194">
        <v>12.65</v>
      </c>
      <c r="AB2194">
        <v>2.4</v>
      </c>
      <c r="AC2194">
        <v>0</v>
      </c>
      <c r="AD2194">
        <v>6.3380281999999996E-2</v>
      </c>
      <c r="AG2194">
        <v>55005.3559698924</v>
      </c>
      <c r="AH2194">
        <v>4709153</v>
      </c>
    </row>
    <row r="2195" spans="27:34">
      <c r="AA2195">
        <v>12.65</v>
      </c>
      <c r="AB2195">
        <v>2.4</v>
      </c>
      <c r="AC2195">
        <v>0</v>
      </c>
      <c r="AD2195">
        <v>6.3380281999999996E-2</v>
      </c>
      <c r="AE2195">
        <v>100</v>
      </c>
      <c r="AG2195">
        <v>61267.999959873399</v>
      </c>
      <c r="AH2195">
        <v>4768212</v>
      </c>
    </row>
    <row r="2196" spans="27:34">
      <c r="AA2196">
        <v>12.65</v>
      </c>
      <c r="AB2196">
        <v>2.4</v>
      </c>
      <c r="AC2196">
        <v>0</v>
      </c>
      <c r="AD2196">
        <v>6.3380281999999996E-2</v>
      </c>
      <c r="AG2196">
        <v>56213.519855050901</v>
      </c>
      <c r="AH2196">
        <v>4827038</v>
      </c>
    </row>
    <row r="2197" spans="27:34">
      <c r="AA2197">
        <v>12.65</v>
      </c>
      <c r="AB2197">
        <v>2.4</v>
      </c>
      <c r="AC2197">
        <v>0</v>
      </c>
      <c r="AD2197">
        <v>6.3380281999999996E-2</v>
      </c>
    </row>
    <row r="2198" spans="27:34">
      <c r="AA2198">
        <v>12.65</v>
      </c>
      <c r="AB2198">
        <v>2.4</v>
      </c>
      <c r="AC2198">
        <v>0</v>
      </c>
      <c r="AD2198">
        <v>6.3380281999999996E-2</v>
      </c>
    </row>
    <row r="2199" spans="27:34">
      <c r="AA2199">
        <v>12.37</v>
      </c>
      <c r="AB2199">
        <v>3.7</v>
      </c>
      <c r="AC2199" t="e">
        <v>#N/A</v>
      </c>
      <c r="AD2199">
        <v>3.1029619000000001E-2</v>
      </c>
      <c r="AE2199">
        <v>87</v>
      </c>
      <c r="AG2199">
        <v>13673.2019151848</v>
      </c>
      <c r="AH2199">
        <v>2171831</v>
      </c>
    </row>
    <row r="2200" spans="27:34">
      <c r="AA2200">
        <v>12.37</v>
      </c>
      <c r="AB2200">
        <v>3.7</v>
      </c>
      <c r="AD2200">
        <v>3.1029619000000001E-2</v>
      </c>
      <c r="AG2200">
        <v>14013.496220189199</v>
      </c>
      <c r="AH2200">
        <v>2225393</v>
      </c>
    </row>
    <row r="2201" spans="27:34">
      <c r="AA2201">
        <v>12.37</v>
      </c>
      <c r="AB2201">
        <v>3.7</v>
      </c>
      <c r="AD2201">
        <v>3.1029619000000001E-2</v>
      </c>
      <c r="AG2201">
        <v>14800.554677714899</v>
      </c>
      <c r="AH2201">
        <v>2273798</v>
      </c>
    </row>
    <row r="2202" spans="27:34">
      <c r="AA2202">
        <v>12.37</v>
      </c>
      <c r="AB2202">
        <v>3.7</v>
      </c>
      <c r="AD2202">
        <v>3.1029619000000001E-2</v>
      </c>
      <c r="AG2202">
        <v>15068.9841917387</v>
      </c>
      <c r="AH2202">
        <v>2318235</v>
      </c>
    </row>
    <row r="2203" spans="27:34">
      <c r="AA2203">
        <v>12.37</v>
      </c>
      <c r="AB2203">
        <v>3.7</v>
      </c>
      <c r="AD2203">
        <v>3.1029619000000001E-2</v>
      </c>
      <c r="AG2203">
        <v>14997.1458976581</v>
      </c>
      <c r="AH2203">
        <v>2360528</v>
      </c>
    </row>
    <row r="2204" spans="27:34">
      <c r="AA2204">
        <v>12.37</v>
      </c>
      <c r="AB2204">
        <v>3.7</v>
      </c>
      <c r="AD2204">
        <v>3.1029619000000001E-2</v>
      </c>
      <c r="AE2204">
        <v>87</v>
      </c>
      <c r="AF2204">
        <v>94.71</v>
      </c>
      <c r="AG2204">
        <v>15869.157671468</v>
      </c>
      <c r="AH2204">
        <v>2402184</v>
      </c>
    </row>
    <row r="2205" spans="27:34">
      <c r="AA2205">
        <v>12.37</v>
      </c>
      <c r="AB2205">
        <v>3.7</v>
      </c>
      <c r="AD2205">
        <v>3.1029619000000001E-2</v>
      </c>
      <c r="AG2205">
        <v>17149.253339706702</v>
      </c>
      <c r="AH2205">
        <v>2443347</v>
      </c>
    </row>
    <row r="2206" spans="27:34">
      <c r="AA2206">
        <v>12.37</v>
      </c>
      <c r="AB2206">
        <v>3.7</v>
      </c>
      <c r="AD2206">
        <v>3.1029619000000001E-2</v>
      </c>
      <c r="AG2206">
        <v>17582.3078642484</v>
      </c>
      <c r="AH2206">
        <v>2484085</v>
      </c>
    </row>
    <row r="2207" spans="27:34">
      <c r="AA2207">
        <v>12.37</v>
      </c>
      <c r="AB2207">
        <v>3.7</v>
      </c>
      <c r="AD2207">
        <v>3.1029619000000001E-2</v>
      </c>
      <c r="AG2207">
        <v>17717.969766189701</v>
      </c>
      <c r="AH2207">
        <v>2525751</v>
      </c>
    </row>
    <row r="2208" spans="27:34">
      <c r="AA2208">
        <v>12.37</v>
      </c>
      <c r="AB2208">
        <v>3.7</v>
      </c>
      <c r="AD2208">
        <v>3.1029619000000001E-2</v>
      </c>
      <c r="AG2208">
        <v>18515.578732870901</v>
      </c>
      <c r="AH2208">
        <v>2569963</v>
      </c>
    </row>
    <row r="2209" spans="27:34">
      <c r="AA2209">
        <v>12.37</v>
      </c>
      <c r="AB2209">
        <v>3.7</v>
      </c>
      <c r="AD2209">
        <v>3.1029619000000001E-2</v>
      </c>
      <c r="AF2209">
        <v>86.57</v>
      </c>
      <c r="AG2209">
        <v>19533.340491316099</v>
      </c>
      <c r="AH2209">
        <v>2617833</v>
      </c>
    </row>
    <row r="2210" spans="27:34">
      <c r="AA2210">
        <v>12.37</v>
      </c>
      <c r="AB2210">
        <v>3.7</v>
      </c>
      <c r="AD2210">
        <v>3.1029619000000001E-2</v>
      </c>
      <c r="AG2210">
        <v>20861.782433648499</v>
      </c>
      <c r="AH2210">
        <v>2670055</v>
      </c>
    </row>
    <row r="2211" spans="27:34">
      <c r="AA2211">
        <v>12.37</v>
      </c>
      <c r="AB2211">
        <v>3.7</v>
      </c>
      <c r="AD2211">
        <v>3.1029619000000001E-2</v>
      </c>
      <c r="AG2211">
        <v>22568.447413096099</v>
      </c>
      <c r="AH2211">
        <v>2726301</v>
      </c>
    </row>
    <row r="2212" spans="27:34">
      <c r="AA2212">
        <v>12.37</v>
      </c>
      <c r="AB2212">
        <v>3.7</v>
      </c>
      <c r="AD2212">
        <v>3.1029619000000001E-2</v>
      </c>
      <c r="AG2212">
        <v>25462.147435655501</v>
      </c>
      <c r="AH2212">
        <v>2785361</v>
      </c>
    </row>
    <row r="2213" spans="27:34">
      <c r="AA2213">
        <v>12.37</v>
      </c>
      <c r="AB2213">
        <v>3.7</v>
      </c>
      <c r="AD2213">
        <v>3.1029619000000001E-2</v>
      </c>
      <c r="AH2213">
        <v>2845415</v>
      </c>
    </row>
    <row r="2214" spans="27:34">
      <c r="AA2214">
        <v>12.37</v>
      </c>
      <c r="AB2214">
        <v>3.7</v>
      </c>
      <c r="AD2214">
        <v>3.1029619000000001E-2</v>
      </c>
    </row>
    <row r="2215" spans="27:34">
      <c r="AA2215">
        <v>12.37</v>
      </c>
      <c r="AB2215">
        <v>3.7</v>
      </c>
      <c r="AD2215">
        <v>3.1029619000000001E-2</v>
      </c>
    </row>
    <row r="2216" spans="27:34">
      <c r="AA2216">
        <v>23.89</v>
      </c>
      <c r="AB2216">
        <v>1.9</v>
      </c>
      <c r="AC2216">
        <v>205</v>
      </c>
      <c r="AD2216">
        <v>0.32521008400000001</v>
      </c>
      <c r="AE2216">
        <v>33</v>
      </c>
      <c r="AG2216">
        <v>1513.40107984166</v>
      </c>
      <c r="AH2216">
        <v>122374952.616864</v>
      </c>
    </row>
    <row r="2217" spans="27:34">
      <c r="AA2217">
        <v>23.89</v>
      </c>
      <c r="AB2217">
        <v>1.9</v>
      </c>
      <c r="AC2217">
        <v>205</v>
      </c>
      <c r="AD2217">
        <v>0.32521008400000001</v>
      </c>
      <c r="AG2217">
        <v>1577.95740499727</v>
      </c>
      <c r="AH2217">
        <v>125409851.441762</v>
      </c>
    </row>
    <row r="2218" spans="27:34">
      <c r="AA2218">
        <v>23.89</v>
      </c>
      <c r="AB2218">
        <v>1.9</v>
      </c>
      <c r="AC2218">
        <v>205</v>
      </c>
      <c r="AD2218">
        <v>0.32521008400000001</v>
      </c>
      <c r="AG2218">
        <v>1583.74362634465</v>
      </c>
      <c r="AH2218">
        <v>128457310.831797</v>
      </c>
    </row>
    <row r="2219" spans="27:34">
      <c r="AA2219">
        <v>23.89</v>
      </c>
      <c r="AB2219">
        <v>1.9</v>
      </c>
      <c r="AC2219">
        <v>205</v>
      </c>
      <c r="AD2219">
        <v>0.32521008400000001</v>
      </c>
      <c r="AG2219">
        <v>1603.4997914504299</v>
      </c>
      <c r="AH2219">
        <v>131582000</v>
      </c>
    </row>
    <row r="2220" spans="27:34">
      <c r="AA2220">
        <v>23.89</v>
      </c>
      <c r="AB2220">
        <v>1.9</v>
      </c>
      <c r="AC2220">
        <v>205</v>
      </c>
      <c r="AD2220">
        <v>0.32521008400000001</v>
      </c>
      <c r="AG2220">
        <v>1646.4107107352399</v>
      </c>
      <c r="AH2220">
        <v>134790000</v>
      </c>
    </row>
    <row r="2221" spans="27:34">
      <c r="AA2221">
        <v>23.89</v>
      </c>
      <c r="AB2221">
        <v>1.9</v>
      </c>
      <c r="AC2221">
        <v>205</v>
      </c>
      <c r="AD2221">
        <v>0.32521008400000001</v>
      </c>
      <c r="AE2221">
        <v>37</v>
      </c>
      <c r="AF2221">
        <v>74.78</v>
      </c>
      <c r="AG2221">
        <v>1711.9034620179</v>
      </c>
      <c r="AH2221">
        <v>138080000</v>
      </c>
    </row>
    <row r="2222" spans="27:34">
      <c r="AA2222">
        <v>23.89</v>
      </c>
      <c r="AB2222">
        <v>1.9</v>
      </c>
      <c r="AC2222">
        <v>205</v>
      </c>
      <c r="AD2222">
        <v>0.32521008400000001</v>
      </c>
      <c r="AG2222">
        <v>1742.8833527536499</v>
      </c>
      <c r="AH2222">
        <v>141450153.44529101</v>
      </c>
    </row>
    <row r="2223" spans="27:34">
      <c r="AA2223">
        <v>23.89</v>
      </c>
      <c r="AB2223">
        <v>1.9</v>
      </c>
      <c r="AC2223">
        <v>205</v>
      </c>
      <c r="AD2223">
        <v>0.32521008400000001</v>
      </c>
      <c r="AG2223">
        <v>1784.74978917058</v>
      </c>
      <c r="AH2223">
        <v>144902409.42682001</v>
      </c>
    </row>
    <row r="2224" spans="27:34">
      <c r="AA2224">
        <v>23.89</v>
      </c>
      <c r="AB2224">
        <v>1.9</v>
      </c>
      <c r="AC2224">
        <v>205</v>
      </c>
      <c r="AD2224">
        <v>0.32521008400000001</v>
      </c>
      <c r="AG2224">
        <v>1866.03607608789</v>
      </c>
      <c r="AH2224">
        <v>148438764.34206599</v>
      </c>
    </row>
    <row r="2225" spans="27:34">
      <c r="AA2225">
        <v>23.89</v>
      </c>
      <c r="AB2225">
        <v>1.9</v>
      </c>
      <c r="AC2225">
        <v>205</v>
      </c>
      <c r="AD2225">
        <v>0.32521008400000001</v>
      </c>
      <c r="AG2225">
        <v>2011.24547701553</v>
      </c>
      <c r="AH2225">
        <v>152061263.041042</v>
      </c>
    </row>
    <row r="2226" spans="27:34">
      <c r="AA2226">
        <v>23.89</v>
      </c>
      <c r="AB2226">
        <v>1.9</v>
      </c>
      <c r="AC2226">
        <v>205</v>
      </c>
      <c r="AD2226">
        <v>0.32521008400000001</v>
      </c>
      <c r="AE2226">
        <v>41</v>
      </c>
      <c r="AG2226">
        <v>2184.3595763337398</v>
      </c>
      <c r="AH2226">
        <v>155772000</v>
      </c>
    </row>
    <row r="2227" spans="27:34">
      <c r="AA2227">
        <v>23.89</v>
      </c>
      <c r="AB2227">
        <v>1.9</v>
      </c>
      <c r="AC2227">
        <v>205</v>
      </c>
      <c r="AD2227">
        <v>0.32521008400000001</v>
      </c>
      <c r="AG2227">
        <v>2343.9809404478601</v>
      </c>
      <c r="AH2227">
        <v>159144934.351383</v>
      </c>
    </row>
    <row r="2228" spans="27:34">
      <c r="AA2228">
        <v>23.89</v>
      </c>
      <c r="AB2228">
        <v>1.9</v>
      </c>
      <c r="AC2228">
        <v>205</v>
      </c>
      <c r="AD2228">
        <v>0.32521008400000001</v>
      </c>
      <c r="AG2228">
        <v>2507.7767820844401</v>
      </c>
      <c r="AH2228">
        <v>162590902.92033201</v>
      </c>
    </row>
    <row r="2229" spans="27:34">
      <c r="AA2229">
        <v>23.89</v>
      </c>
      <c r="AB2229">
        <v>1.9</v>
      </c>
      <c r="AC2229">
        <v>205</v>
      </c>
      <c r="AD2229">
        <v>0.32521008400000001</v>
      </c>
      <c r="AE2229">
        <v>45</v>
      </c>
      <c r="AG2229">
        <v>2548.3197180632601</v>
      </c>
      <c r="AH2229">
        <v>166111487.118278</v>
      </c>
    </row>
    <row r="2230" spans="27:34">
      <c r="AA2230">
        <v>23.89</v>
      </c>
      <c r="AB2230">
        <v>1.9</v>
      </c>
      <c r="AC2230">
        <v>205</v>
      </c>
      <c r="AD2230">
        <v>0.32521008400000001</v>
      </c>
      <c r="AG2230">
        <v>2608.5856470624799</v>
      </c>
      <c r="AH2230">
        <v>169708302.598984</v>
      </c>
    </row>
    <row r="2231" spans="27:34">
      <c r="AA2231">
        <v>23.89</v>
      </c>
      <c r="AB2231">
        <v>1.9</v>
      </c>
      <c r="AC2231">
        <v>205</v>
      </c>
      <c r="AD2231">
        <v>0.32521008400000001</v>
      </c>
      <c r="AF2231">
        <v>79.510000000000005</v>
      </c>
    </row>
    <row r="2232" spans="27:34">
      <c r="AA2232">
        <v>23.89</v>
      </c>
      <c r="AB2232">
        <v>1.9</v>
      </c>
      <c r="AC2232">
        <v>205</v>
      </c>
      <c r="AD2232">
        <v>0.32521008400000001</v>
      </c>
    </row>
    <row r="2233" spans="27:34">
      <c r="AA2233">
        <v>4.09</v>
      </c>
      <c r="AB2233">
        <v>4.9000000000000004</v>
      </c>
      <c r="AC2233">
        <v>40</v>
      </c>
      <c r="AD2233">
        <v>0.18848167499999999</v>
      </c>
      <c r="AE2233">
        <v>72</v>
      </c>
      <c r="AH2233">
        <v>17225</v>
      </c>
    </row>
    <row r="2234" spans="27:34">
      <c r="AA2234">
        <v>4.09</v>
      </c>
      <c r="AB2234">
        <v>4.9000000000000004</v>
      </c>
      <c r="AC2234">
        <v>40</v>
      </c>
      <c r="AD2234">
        <v>0.18848167499999999</v>
      </c>
      <c r="AH2234">
        <v>17600</v>
      </c>
    </row>
    <row r="2235" spans="27:34">
      <c r="AA2235">
        <v>4.09</v>
      </c>
      <c r="AB2235">
        <v>4.9000000000000004</v>
      </c>
      <c r="AC2235">
        <v>40</v>
      </c>
      <c r="AD2235">
        <v>0.18848167499999999</v>
      </c>
      <c r="AH2235">
        <v>18061</v>
      </c>
    </row>
    <row r="2236" spans="27:34">
      <c r="AA2236">
        <v>4.09</v>
      </c>
      <c r="AB2236">
        <v>4.9000000000000004</v>
      </c>
      <c r="AC2236">
        <v>40</v>
      </c>
      <c r="AD2236">
        <v>0.18848167499999999</v>
      </c>
      <c r="AH2236">
        <v>18494</v>
      </c>
    </row>
    <row r="2237" spans="27:34">
      <c r="AA2237">
        <v>4.09</v>
      </c>
      <c r="AB2237">
        <v>4.9000000000000004</v>
      </c>
      <c r="AC2237">
        <v>40</v>
      </c>
      <c r="AD2237">
        <v>0.18848167499999999</v>
      </c>
      <c r="AH2237">
        <v>18882</v>
      </c>
    </row>
    <row r="2238" spans="27:34">
      <c r="AA2238">
        <v>4.09</v>
      </c>
      <c r="AB2238">
        <v>4.9000000000000004</v>
      </c>
      <c r="AC2238">
        <v>40</v>
      </c>
      <c r="AD2238">
        <v>0.18848167499999999</v>
      </c>
      <c r="AE2238">
        <v>80</v>
      </c>
      <c r="AH2238">
        <v>19129</v>
      </c>
    </row>
    <row r="2239" spans="27:34">
      <c r="AA2239">
        <v>4.09</v>
      </c>
      <c r="AB2239">
        <v>4.9000000000000004</v>
      </c>
      <c r="AC2239">
        <v>40</v>
      </c>
      <c r="AD2239">
        <v>0.18848167499999999</v>
      </c>
      <c r="AH2239">
        <v>19626</v>
      </c>
    </row>
    <row r="2240" spans="27:34">
      <c r="AA2240">
        <v>4.09</v>
      </c>
      <c r="AB2240">
        <v>4.9000000000000004</v>
      </c>
      <c r="AC2240">
        <v>40</v>
      </c>
      <c r="AD2240">
        <v>0.18848167499999999</v>
      </c>
      <c r="AH2240">
        <v>19976</v>
      </c>
    </row>
    <row r="2241" spans="27:34">
      <c r="AA2241">
        <v>4.09</v>
      </c>
      <c r="AB2241">
        <v>4.9000000000000004</v>
      </c>
      <c r="AC2241">
        <v>40</v>
      </c>
      <c r="AD2241">
        <v>0.18848167499999999</v>
      </c>
      <c r="AH2241">
        <v>19700</v>
      </c>
    </row>
    <row r="2242" spans="27:34">
      <c r="AA2242">
        <v>4.09</v>
      </c>
      <c r="AB2242">
        <v>4.9000000000000004</v>
      </c>
      <c r="AC2242">
        <v>40</v>
      </c>
      <c r="AD2242">
        <v>0.18848167499999999</v>
      </c>
      <c r="AH2242">
        <v>19816</v>
      </c>
    </row>
    <row r="2243" spans="27:34">
      <c r="AA2243">
        <v>4.09</v>
      </c>
      <c r="AB2243">
        <v>4.9000000000000004</v>
      </c>
      <c r="AC2243">
        <v>40</v>
      </c>
      <c r="AD2243">
        <v>0.18848167499999999</v>
      </c>
      <c r="AE2243">
        <v>83</v>
      </c>
      <c r="AH2243">
        <v>19932</v>
      </c>
    </row>
    <row r="2244" spans="27:34">
      <c r="AA2244">
        <v>4.09</v>
      </c>
      <c r="AB2244">
        <v>4.9000000000000004</v>
      </c>
      <c r="AC2244">
        <v>40</v>
      </c>
      <c r="AD2244">
        <v>0.18848167499999999</v>
      </c>
      <c r="AH2244">
        <v>20046.791043466699</v>
      </c>
    </row>
    <row r="2245" spans="27:34">
      <c r="AA2245">
        <v>4.09</v>
      </c>
      <c r="AB2245">
        <v>4.9000000000000004</v>
      </c>
      <c r="AC2245">
        <v>40</v>
      </c>
      <c r="AD2245">
        <v>0.18848167499999999</v>
      </c>
      <c r="AH2245">
        <v>20162.029375116501</v>
      </c>
    </row>
    <row r="2246" spans="27:34">
      <c r="AA2246">
        <v>4.09</v>
      </c>
      <c r="AB2246">
        <v>4.9000000000000004</v>
      </c>
      <c r="AC2246">
        <v>40</v>
      </c>
      <c r="AD2246">
        <v>0.18848167499999999</v>
      </c>
      <c r="AH2246">
        <v>20278.739455421899</v>
      </c>
    </row>
    <row r="2247" spans="27:34">
      <c r="AA2247">
        <v>4.09</v>
      </c>
      <c r="AB2247">
        <v>4.9000000000000004</v>
      </c>
      <c r="AC2247">
        <v>40</v>
      </c>
      <c r="AD2247">
        <v>0.18848167499999999</v>
      </c>
      <c r="AH2247">
        <v>20397.662709480199</v>
      </c>
    </row>
    <row r="2248" spans="27:34">
      <c r="AA2248">
        <v>4.09</v>
      </c>
      <c r="AB2248">
        <v>4.9000000000000004</v>
      </c>
      <c r="AC2248">
        <v>40</v>
      </c>
      <c r="AD2248">
        <v>0.18848167499999999</v>
      </c>
    </row>
    <row r="2249" spans="27:34">
      <c r="AA2249">
        <v>4.09</v>
      </c>
      <c r="AB2249">
        <v>4.9000000000000004</v>
      </c>
      <c r="AC2249">
        <v>40</v>
      </c>
      <c r="AD2249">
        <v>0.18848167499999999</v>
      </c>
    </row>
    <row r="2250" spans="27:34">
      <c r="AA2250">
        <v>4.84</v>
      </c>
      <c r="AB2250">
        <v>4.5</v>
      </c>
      <c r="AC2250">
        <v>55</v>
      </c>
      <c r="AD2250">
        <v>0.168807339</v>
      </c>
      <c r="AE2250">
        <v>62</v>
      </c>
      <c r="AG2250">
        <v>5846.6553429481801</v>
      </c>
      <c r="AH2250">
        <v>2672699</v>
      </c>
    </row>
    <row r="2251" spans="27:34">
      <c r="AA2251">
        <v>4.84</v>
      </c>
      <c r="AB2251">
        <v>4.5</v>
      </c>
      <c r="AC2251">
        <v>55</v>
      </c>
      <c r="AD2251">
        <v>0.168807339</v>
      </c>
      <c r="AG2251">
        <v>6003.2989444434897</v>
      </c>
      <c r="AH2251">
        <v>2727291</v>
      </c>
    </row>
    <row r="2252" spans="27:34">
      <c r="AA2252">
        <v>4.84</v>
      </c>
      <c r="AB2252">
        <v>4.5</v>
      </c>
      <c r="AC2252">
        <v>55</v>
      </c>
      <c r="AD2252">
        <v>0.168807339</v>
      </c>
      <c r="AG2252">
        <v>6375.22871052548</v>
      </c>
      <c r="AH2252">
        <v>2782593</v>
      </c>
    </row>
    <row r="2253" spans="27:34">
      <c r="AA2253">
        <v>4.84</v>
      </c>
      <c r="AB2253">
        <v>4.5</v>
      </c>
      <c r="AC2253">
        <v>55</v>
      </c>
      <c r="AD2253">
        <v>0.168807339</v>
      </c>
      <c r="AG2253">
        <v>6784.5522030693101</v>
      </c>
      <c r="AH2253">
        <v>2838422</v>
      </c>
    </row>
    <row r="2254" spans="27:34">
      <c r="AA2254">
        <v>4.84</v>
      </c>
      <c r="AB2254">
        <v>4.5</v>
      </c>
      <c r="AC2254">
        <v>55</v>
      </c>
      <c r="AD2254">
        <v>0.168807339</v>
      </c>
      <c r="AG2254">
        <v>7014.9263284459803</v>
      </c>
      <c r="AH2254">
        <v>2894551</v>
      </c>
    </row>
    <row r="2255" spans="27:34">
      <c r="AA2255">
        <v>4.84</v>
      </c>
      <c r="AB2255">
        <v>4.5</v>
      </c>
      <c r="AC2255">
        <v>55</v>
      </c>
      <c r="AD2255">
        <v>0.168807339</v>
      </c>
      <c r="AE2255">
        <v>65</v>
      </c>
      <c r="AF2255">
        <v>0.30520000000000003</v>
      </c>
      <c r="AG2255">
        <v>7220.9768666411401</v>
      </c>
      <c r="AH2255">
        <v>2950801</v>
      </c>
    </row>
    <row r="2256" spans="27:34">
      <c r="AA2256">
        <v>4.84</v>
      </c>
      <c r="AB2256">
        <v>4.5</v>
      </c>
      <c r="AC2256">
        <v>55</v>
      </c>
      <c r="AD2256">
        <v>0.168807339</v>
      </c>
      <c r="AG2256">
        <v>7288.1463083640001</v>
      </c>
      <c r="AH2256">
        <v>3007058</v>
      </c>
    </row>
    <row r="2257" spans="27:34">
      <c r="AA2257">
        <v>4.84</v>
      </c>
      <c r="AB2257">
        <v>4.5</v>
      </c>
      <c r="AC2257">
        <v>55</v>
      </c>
      <c r="AD2257">
        <v>0.168807339</v>
      </c>
      <c r="AG2257">
        <v>7432.6524334529404</v>
      </c>
      <c r="AH2257">
        <v>3063285</v>
      </c>
    </row>
    <row r="2258" spans="27:34">
      <c r="AA2258">
        <v>4.84</v>
      </c>
      <c r="AB2258">
        <v>4.5</v>
      </c>
      <c r="AC2258">
        <v>55</v>
      </c>
      <c r="AD2258">
        <v>0.168807339</v>
      </c>
      <c r="AG2258">
        <v>7769.7267588596496</v>
      </c>
      <c r="AH2258">
        <v>3119453</v>
      </c>
    </row>
    <row r="2259" spans="27:34">
      <c r="AA2259">
        <v>4.84</v>
      </c>
      <c r="AB2259">
        <v>4.5</v>
      </c>
      <c r="AC2259">
        <v>55</v>
      </c>
      <c r="AD2259">
        <v>0.168807339</v>
      </c>
      <c r="AG2259">
        <v>8439.1587623205796</v>
      </c>
      <c r="AH2259">
        <v>3175571</v>
      </c>
    </row>
    <row r="2260" spans="27:34">
      <c r="AA2260">
        <v>4.84</v>
      </c>
      <c r="AB2260">
        <v>4.5</v>
      </c>
      <c r="AC2260">
        <v>55</v>
      </c>
      <c r="AD2260">
        <v>0.168807339</v>
      </c>
      <c r="AE2260">
        <v>68</v>
      </c>
      <c r="AG2260">
        <v>9185.5597258551898</v>
      </c>
      <c r="AH2260">
        <v>3231624</v>
      </c>
    </row>
    <row r="2261" spans="27:34">
      <c r="AA2261">
        <v>4.84</v>
      </c>
      <c r="AB2261">
        <v>4.5</v>
      </c>
      <c r="AC2261">
        <v>55</v>
      </c>
      <c r="AD2261">
        <v>0.168807339</v>
      </c>
      <c r="AG2261">
        <v>10117.9452729318</v>
      </c>
      <c r="AH2261">
        <v>3287575</v>
      </c>
    </row>
    <row r="2262" spans="27:34">
      <c r="AA2262">
        <v>4.84</v>
      </c>
      <c r="AB2262">
        <v>4.5</v>
      </c>
      <c r="AC2262">
        <v>55</v>
      </c>
      <c r="AD2262">
        <v>0.168807339</v>
      </c>
      <c r="AG2262">
        <v>11536.5139803564</v>
      </c>
      <c r="AH2262">
        <v>3343341</v>
      </c>
    </row>
    <row r="2263" spans="27:34">
      <c r="AA2263">
        <v>4.84</v>
      </c>
      <c r="AB2263">
        <v>4.5</v>
      </c>
      <c r="AC2263">
        <v>55</v>
      </c>
      <c r="AD2263">
        <v>0.168807339</v>
      </c>
      <c r="AE2263">
        <v>69</v>
      </c>
      <c r="AG2263">
        <v>12840.5895256391</v>
      </c>
      <c r="AH2263">
        <v>3398823</v>
      </c>
    </row>
    <row r="2264" spans="27:34">
      <c r="AA2264">
        <v>4.84</v>
      </c>
      <c r="AB2264">
        <v>4.5</v>
      </c>
      <c r="AC2264">
        <v>55</v>
      </c>
      <c r="AD2264">
        <v>0.168807339</v>
      </c>
      <c r="AG2264">
        <v>13057.092850781901</v>
      </c>
      <c r="AH2264">
        <v>3453898</v>
      </c>
    </row>
    <row r="2265" spans="27:34">
      <c r="AA2265">
        <v>4.84</v>
      </c>
      <c r="AB2265">
        <v>4.5</v>
      </c>
      <c r="AC2265">
        <v>55</v>
      </c>
      <c r="AD2265">
        <v>0.168807339</v>
      </c>
    </row>
    <row r="2266" spans="27:34">
      <c r="AA2266">
        <v>4.84</v>
      </c>
      <c r="AB2266">
        <v>4.5</v>
      </c>
      <c r="AC2266">
        <v>55</v>
      </c>
      <c r="AD2266">
        <v>0.168807339</v>
      </c>
    </row>
    <row r="2267" spans="27:34">
      <c r="AA2267">
        <v>8.25</v>
      </c>
      <c r="AB2267">
        <v>4.5999999999999996</v>
      </c>
      <c r="AC2267">
        <v>288</v>
      </c>
      <c r="AD2267">
        <v>0.308774834</v>
      </c>
      <c r="AE2267">
        <v>47</v>
      </c>
      <c r="AG2267">
        <v>1835.5227076753699</v>
      </c>
      <c r="AH2267">
        <v>4709349</v>
      </c>
    </row>
    <row r="2268" spans="27:34">
      <c r="AA2268">
        <v>8.25</v>
      </c>
      <c r="AB2268">
        <v>4.5999999999999996</v>
      </c>
      <c r="AC2268">
        <v>288</v>
      </c>
      <c r="AD2268">
        <v>0.308774834</v>
      </c>
      <c r="AG2268">
        <v>1961.74948301675</v>
      </c>
      <c r="AH2268">
        <v>4837876</v>
      </c>
    </row>
    <row r="2269" spans="27:34">
      <c r="AA2269">
        <v>8.25</v>
      </c>
      <c r="AB2269">
        <v>4.5999999999999996</v>
      </c>
      <c r="AC2269">
        <v>288</v>
      </c>
      <c r="AD2269">
        <v>0.308774834</v>
      </c>
      <c r="AG2269">
        <v>1867.2947982798801</v>
      </c>
      <c r="AH2269">
        <v>4970756</v>
      </c>
    </row>
    <row r="2270" spans="27:34">
      <c r="AA2270">
        <v>8.25</v>
      </c>
      <c r="AB2270">
        <v>4.5999999999999996</v>
      </c>
      <c r="AC2270">
        <v>288</v>
      </c>
      <c r="AD2270">
        <v>0.308774834</v>
      </c>
      <c r="AG2270">
        <v>1768.6619766644401</v>
      </c>
      <c r="AH2270">
        <v>5107284</v>
      </c>
    </row>
    <row r="2271" spans="27:34">
      <c r="AA2271">
        <v>8.25</v>
      </c>
      <c r="AB2271">
        <v>4.5999999999999996</v>
      </c>
      <c r="AC2271">
        <v>288</v>
      </c>
      <c r="AD2271">
        <v>0.308774834</v>
      </c>
      <c r="AG2271">
        <v>1779.3846142949999</v>
      </c>
      <c r="AH2271">
        <v>5246485</v>
      </c>
    </row>
    <row r="2272" spans="27:34">
      <c r="AA2272">
        <v>8.25</v>
      </c>
      <c r="AB2272">
        <v>4.5999999999999996</v>
      </c>
      <c r="AC2272">
        <v>288</v>
      </c>
      <c r="AD2272">
        <v>0.308774834</v>
      </c>
      <c r="AE2272">
        <v>46</v>
      </c>
      <c r="AF2272">
        <v>3.39E-2</v>
      </c>
      <c r="AG2272">
        <v>1726.0984848743001</v>
      </c>
      <c r="AH2272">
        <v>5387613</v>
      </c>
    </row>
    <row r="2273" spans="27:34">
      <c r="AA2273">
        <v>8.25</v>
      </c>
      <c r="AB2273">
        <v>4.5999999999999996</v>
      </c>
      <c r="AC2273">
        <v>288</v>
      </c>
      <c r="AD2273">
        <v>0.308774834</v>
      </c>
      <c r="AG2273">
        <v>1717.58868844874</v>
      </c>
      <c r="AH2273">
        <v>5530340</v>
      </c>
    </row>
    <row r="2274" spans="27:34">
      <c r="AA2274">
        <v>8.25</v>
      </c>
      <c r="AB2274">
        <v>4.5999999999999996</v>
      </c>
      <c r="AC2274">
        <v>288</v>
      </c>
      <c r="AD2274">
        <v>0.308774834</v>
      </c>
      <c r="AG2274">
        <v>1698.3865548870599</v>
      </c>
      <c r="AH2274">
        <v>5674695</v>
      </c>
    </row>
    <row r="2275" spans="27:34">
      <c r="AA2275">
        <v>8.25</v>
      </c>
      <c r="AB2275">
        <v>4.5999999999999996</v>
      </c>
      <c r="AC2275">
        <v>288</v>
      </c>
      <c r="AD2275">
        <v>0.308774834</v>
      </c>
      <c r="AG2275">
        <v>1728.0776317985999</v>
      </c>
      <c r="AH2275">
        <v>5820702</v>
      </c>
    </row>
    <row r="2276" spans="27:34">
      <c r="AA2276">
        <v>8.25</v>
      </c>
      <c r="AB2276">
        <v>4.5999999999999996</v>
      </c>
      <c r="AC2276">
        <v>288</v>
      </c>
      <c r="AD2276">
        <v>0.308774834</v>
      </c>
      <c r="AG2276">
        <v>1780.21082812142</v>
      </c>
      <c r="AH2276">
        <v>5968515</v>
      </c>
    </row>
    <row r="2277" spans="27:34">
      <c r="AA2277">
        <v>8.25</v>
      </c>
      <c r="AB2277">
        <v>4.5999999999999996</v>
      </c>
      <c r="AC2277">
        <v>288</v>
      </c>
      <c r="AD2277">
        <v>0.308774834</v>
      </c>
      <c r="AE2277">
        <v>47</v>
      </c>
      <c r="AG2277">
        <v>1859.10258015356</v>
      </c>
      <c r="AH2277">
        <v>6118202</v>
      </c>
    </row>
    <row r="2278" spans="27:34">
      <c r="AA2278">
        <v>8.25</v>
      </c>
      <c r="AB2278">
        <v>4.5999999999999996</v>
      </c>
      <c r="AC2278">
        <v>288</v>
      </c>
      <c r="AD2278">
        <v>0.308774834</v>
      </c>
      <c r="AG2278">
        <v>1921.61840015697</v>
      </c>
      <c r="AH2278">
        <v>6269638</v>
      </c>
    </row>
    <row r="2279" spans="27:34">
      <c r="AA2279">
        <v>8.25</v>
      </c>
      <c r="AB2279">
        <v>4.5999999999999996</v>
      </c>
      <c r="AC2279">
        <v>288</v>
      </c>
      <c r="AD2279">
        <v>0.308774834</v>
      </c>
      <c r="AG2279">
        <v>2079.8302812234901</v>
      </c>
      <c r="AH2279">
        <v>6422574</v>
      </c>
    </row>
    <row r="2280" spans="27:34">
      <c r="AA2280">
        <v>8.25</v>
      </c>
      <c r="AB2280">
        <v>4.5999999999999996</v>
      </c>
      <c r="AC2280">
        <v>288</v>
      </c>
      <c r="AD2280">
        <v>0.308774834</v>
      </c>
      <c r="AE2280">
        <v>45</v>
      </c>
      <c r="AG2280">
        <v>2214.5081287378298</v>
      </c>
      <c r="AH2280">
        <v>6576822</v>
      </c>
    </row>
    <row r="2281" spans="27:34">
      <c r="AA2281">
        <v>8.25</v>
      </c>
      <c r="AB2281">
        <v>4.5999999999999996</v>
      </c>
      <c r="AC2281">
        <v>288</v>
      </c>
      <c r="AD2281">
        <v>0.308774834</v>
      </c>
      <c r="AG2281">
        <v>2281.4661027485699</v>
      </c>
      <c r="AH2281">
        <v>6732159</v>
      </c>
    </row>
    <row r="2282" spans="27:34">
      <c r="AA2282">
        <v>8.25</v>
      </c>
      <c r="AB2282">
        <v>4.5999999999999996</v>
      </c>
      <c r="AC2282">
        <v>288</v>
      </c>
      <c r="AD2282">
        <v>0.308774834</v>
      </c>
    </row>
    <row r="2283" spans="27:34">
      <c r="AA2283">
        <v>8.25</v>
      </c>
      <c r="AB2283">
        <v>4.5999999999999996</v>
      </c>
      <c r="AC2283">
        <v>288</v>
      </c>
      <c r="AD2283">
        <v>0.308774834</v>
      </c>
    </row>
    <row r="2284" spans="27:34">
      <c r="AA2284">
        <v>0.75</v>
      </c>
      <c r="AB2284">
        <v>4.9000000000000004</v>
      </c>
      <c r="AC2284">
        <v>56</v>
      </c>
      <c r="AD2284">
        <v>0.14927768899999999</v>
      </c>
      <c r="AE2284">
        <v>48</v>
      </c>
      <c r="AG2284">
        <v>3475.0674806468401</v>
      </c>
      <c r="AH2284">
        <v>4801818</v>
      </c>
    </row>
    <row r="2285" spans="27:34">
      <c r="AA2285">
        <v>0.75</v>
      </c>
      <c r="AB2285">
        <v>4.9000000000000004</v>
      </c>
      <c r="AC2285">
        <v>56</v>
      </c>
      <c r="AD2285">
        <v>0.14927768899999999</v>
      </c>
      <c r="AG2285">
        <v>3476.2362565649901</v>
      </c>
      <c r="AH2285">
        <v>4911685</v>
      </c>
    </row>
    <row r="2286" spans="27:34">
      <c r="AA2286">
        <v>0.75</v>
      </c>
      <c r="AB2286">
        <v>4.9000000000000004</v>
      </c>
      <c r="AC2286">
        <v>56</v>
      </c>
      <c r="AD2286">
        <v>0.14927768899999999</v>
      </c>
      <c r="AG2286">
        <v>3564.2194789934501</v>
      </c>
      <c r="AH2286">
        <v>5021254</v>
      </c>
    </row>
    <row r="2287" spans="27:34">
      <c r="AA2287">
        <v>0.75</v>
      </c>
      <c r="AB2287">
        <v>4.9000000000000004</v>
      </c>
      <c r="AC2287">
        <v>56</v>
      </c>
      <c r="AD2287">
        <v>0.14927768899999999</v>
      </c>
      <c r="AG2287">
        <v>3548.0807503313499</v>
      </c>
      <c r="AH2287">
        <v>5130706</v>
      </c>
    </row>
    <row r="2288" spans="27:34">
      <c r="AA2288">
        <v>0.75</v>
      </c>
      <c r="AB2288">
        <v>4.9000000000000004</v>
      </c>
      <c r="AC2288">
        <v>56</v>
      </c>
      <c r="AD2288">
        <v>0.14927768899999999</v>
      </c>
      <c r="AG2288">
        <v>3472.5587370957501</v>
      </c>
      <c r="AH2288">
        <v>5240303</v>
      </c>
    </row>
    <row r="2289" spans="27:34">
      <c r="AA2289">
        <v>0.75</v>
      </c>
      <c r="AB2289">
        <v>4.9000000000000004</v>
      </c>
      <c r="AC2289">
        <v>56</v>
      </c>
      <c r="AD2289">
        <v>0.14927768899999999</v>
      </c>
      <c r="AE2289">
        <v>58</v>
      </c>
      <c r="AF2289">
        <v>0.14580000000000001</v>
      </c>
      <c r="AG2289">
        <v>3358.5430158387198</v>
      </c>
      <c r="AH2289">
        <v>5350235</v>
      </c>
    </row>
    <row r="2290" spans="27:34">
      <c r="AA2290">
        <v>0.75</v>
      </c>
      <c r="AB2290">
        <v>4.9000000000000004</v>
      </c>
      <c r="AC2290">
        <v>56</v>
      </c>
      <c r="AD2290">
        <v>0.14927768899999999</v>
      </c>
      <c r="AG2290">
        <v>3434.7776614100599</v>
      </c>
      <c r="AH2290">
        <v>5460533</v>
      </c>
    </row>
    <row r="2291" spans="27:34">
      <c r="AA2291">
        <v>0.75</v>
      </c>
      <c r="AB2291">
        <v>4.9000000000000004</v>
      </c>
      <c r="AC2291">
        <v>56</v>
      </c>
      <c r="AD2291">
        <v>0.14927768899999999</v>
      </c>
      <c r="AG2291">
        <v>3419.6250508317298</v>
      </c>
      <c r="AH2291">
        <v>5571125</v>
      </c>
    </row>
    <row r="2292" spans="27:34">
      <c r="AA2292">
        <v>0.75</v>
      </c>
      <c r="AB2292">
        <v>4.9000000000000004</v>
      </c>
      <c r="AC2292">
        <v>56</v>
      </c>
      <c r="AD2292">
        <v>0.14927768899999999</v>
      </c>
      <c r="AG2292">
        <v>3556.69322016963</v>
      </c>
      <c r="AH2292">
        <v>5681974</v>
      </c>
    </row>
    <row r="2293" spans="27:34">
      <c r="AA2293">
        <v>0.75</v>
      </c>
      <c r="AB2293">
        <v>4.9000000000000004</v>
      </c>
      <c r="AC2293">
        <v>56</v>
      </c>
      <c r="AD2293">
        <v>0.14927768899999999</v>
      </c>
      <c r="AG2293">
        <v>3735.75691176077</v>
      </c>
      <c r="AH2293">
        <v>5793007</v>
      </c>
    </row>
    <row r="2294" spans="27:34">
      <c r="AA2294">
        <v>0.75</v>
      </c>
      <c r="AB2294">
        <v>4.9000000000000004</v>
      </c>
      <c r="AC2294">
        <v>56</v>
      </c>
      <c r="AD2294">
        <v>0.14927768899999999</v>
      </c>
      <c r="AE2294">
        <v>68</v>
      </c>
      <c r="AG2294">
        <v>3896.5992782093399</v>
      </c>
      <c r="AH2294">
        <v>5904155</v>
      </c>
    </row>
    <row r="2295" spans="27:34">
      <c r="AA2295">
        <v>0.75</v>
      </c>
      <c r="AB2295">
        <v>4.9000000000000004</v>
      </c>
      <c r="AC2295">
        <v>56</v>
      </c>
      <c r="AD2295">
        <v>0.14927768899999999</v>
      </c>
      <c r="AG2295">
        <v>4119.6420703378199</v>
      </c>
      <c r="AH2295">
        <v>6015380</v>
      </c>
    </row>
    <row r="2296" spans="27:34">
      <c r="AA2296">
        <v>0.75</v>
      </c>
      <c r="AB2296">
        <v>4.9000000000000004</v>
      </c>
      <c r="AC2296">
        <v>56</v>
      </c>
      <c r="AD2296">
        <v>0.14927768899999999</v>
      </c>
      <c r="AG2296">
        <v>4466.2853102573799</v>
      </c>
      <c r="AH2296">
        <v>6126643</v>
      </c>
    </row>
    <row r="2297" spans="27:34">
      <c r="AA2297">
        <v>0.75</v>
      </c>
      <c r="AB2297">
        <v>4.9000000000000004</v>
      </c>
      <c r="AC2297">
        <v>56</v>
      </c>
      <c r="AD2297">
        <v>0.14927768899999999</v>
      </c>
      <c r="AE2297">
        <v>70</v>
      </c>
      <c r="AG2297">
        <v>4743.7472176555802</v>
      </c>
      <c r="AH2297">
        <v>6237855</v>
      </c>
    </row>
    <row r="2298" spans="27:34">
      <c r="AA2298">
        <v>0.75</v>
      </c>
      <c r="AB2298">
        <v>4.9000000000000004</v>
      </c>
      <c r="AC2298">
        <v>56</v>
      </c>
      <c r="AD2298">
        <v>0.14927768899999999</v>
      </c>
      <c r="AG2298">
        <v>4522.5207295504797</v>
      </c>
      <c r="AH2298">
        <v>6348917</v>
      </c>
    </row>
    <row r="2299" spans="27:34">
      <c r="AA2299">
        <v>0.75</v>
      </c>
      <c r="AB2299">
        <v>4.9000000000000004</v>
      </c>
      <c r="AC2299">
        <v>56</v>
      </c>
      <c r="AD2299">
        <v>0.14927768899999999</v>
      </c>
    </row>
    <row r="2300" spans="27:34">
      <c r="AA2300">
        <v>0.75</v>
      </c>
      <c r="AB2300">
        <v>4.9000000000000004</v>
      </c>
      <c r="AC2300">
        <v>56</v>
      </c>
      <c r="AD2300">
        <v>0.14927768899999999</v>
      </c>
    </row>
    <row r="2301" spans="27:34">
      <c r="AA2301">
        <v>6.3</v>
      </c>
      <c r="AB2301">
        <v>3.7</v>
      </c>
      <c r="AC2301">
        <v>69</v>
      </c>
      <c r="AD2301">
        <v>0.28267973899999999</v>
      </c>
      <c r="AE2301">
        <v>59</v>
      </c>
      <c r="AG2301">
        <v>4316.5509124344599</v>
      </c>
      <c r="AH2301">
        <v>23943275</v>
      </c>
    </row>
    <row r="2302" spans="27:34">
      <c r="AA2302">
        <v>6.3</v>
      </c>
      <c r="AB2302">
        <v>3.7</v>
      </c>
      <c r="AC2302">
        <v>69</v>
      </c>
      <c r="AD2302">
        <v>0.28267973899999999</v>
      </c>
      <c r="AG2302">
        <v>4431.4088974455599</v>
      </c>
      <c r="AH2302">
        <v>24367206</v>
      </c>
    </row>
    <row r="2303" spans="27:34">
      <c r="AA2303">
        <v>6.3</v>
      </c>
      <c r="AB2303">
        <v>3.7</v>
      </c>
      <c r="AC2303">
        <v>69</v>
      </c>
      <c r="AD2303">
        <v>0.28267973899999999</v>
      </c>
      <c r="AG2303">
        <v>4737.84238117732</v>
      </c>
      <c r="AH2303">
        <v>24787466</v>
      </c>
    </row>
    <row r="2304" spans="27:34">
      <c r="AA2304">
        <v>6.3</v>
      </c>
      <c r="AB2304">
        <v>3.7</v>
      </c>
      <c r="AC2304">
        <v>69</v>
      </c>
      <c r="AD2304">
        <v>0.28267973899999999</v>
      </c>
      <c r="AG2304">
        <v>4681.6119025240596</v>
      </c>
      <c r="AH2304">
        <v>25202027</v>
      </c>
    </row>
    <row r="2305" spans="27:34">
      <c r="AA2305">
        <v>6.3</v>
      </c>
      <c r="AB2305">
        <v>3.7</v>
      </c>
      <c r="AC2305">
        <v>69</v>
      </c>
      <c r="AD2305">
        <v>0.28267973899999999</v>
      </c>
      <c r="AG2305">
        <v>4717.6104443065296</v>
      </c>
      <c r="AH2305">
        <v>25608226</v>
      </c>
    </row>
    <row r="2306" spans="27:34">
      <c r="AA2306">
        <v>6.3</v>
      </c>
      <c r="AB2306">
        <v>3.7</v>
      </c>
      <c r="AC2306">
        <v>69</v>
      </c>
      <c r="AD2306">
        <v>0.28267973899999999</v>
      </c>
      <c r="AE2306">
        <v>62</v>
      </c>
      <c r="AF2306">
        <v>1.01</v>
      </c>
      <c r="AG2306">
        <v>4886.3397999805002</v>
      </c>
      <c r="AH2306">
        <v>26004162</v>
      </c>
    </row>
    <row r="2307" spans="27:34">
      <c r="AA2307">
        <v>6.3</v>
      </c>
      <c r="AB2307">
        <v>3.7</v>
      </c>
      <c r="AC2307">
        <v>69</v>
      </c>
      <c r="AD2307">
        <v>0.28267973899999999</v>
      </c>
      <c r="AG2307">
        <v>4934.7282384400596</v>
      </c>
      <c r="AH2307">
        <v>26389531</v>
      </c>
    </row>
    <row r="2308" spans="27:34">
      <c r="AA2308">
        <v>6.3</v>
      </c>
      <c r="AB2308">
        <v>3.7</v>
      </c>
      <c r="AC2308">
        <v>69</v>
      </c>
      <c r="AD2308">
        <v>0.28267973899999999</v>
      </c>
      <c r="AG2308">
        <v>5192.7792235808301</v>
      </c>
      <c r="AH2308">
        <v>26764956</v>
      </c>
    </row>
    <row r="2309" spans="27:34">
      <c r="AA2309">
        <v>6.3</v>
      </c>
      <c r="AB2309">
        <v>3.7</v>
      </c>
      <c r="AC2309">
        <v>69</v>
      </c>
      <c r="AD2309">
        <v>0.28267973899999999</v>
      </c>
      <c r="AG2309">
        <v>5444.2042470276201</v>
      </c>
      <c r="AH2309">
        <v>27130720</v>
      </c>
    </row>
    <row r="2310" spans="27:34">
      <c r="AA2310">
        <v>6.3</v>
      </c>
      <c r="AB2310">
        <v>3.7</v>
      </c>
      <c r="AC2310">
        <v>69</v>
      </c>
      <c r="AD2310">
        <v>0.28267973899999999</v>
      </c>
      <c r="AG2310">
        <v>5800.8768482764699</v>
      </c>
      <c r="AH2310">
        <v>27487438</v>
      </c>
    </row>
    <row r="2311" spans="27:34">
      <c r="AA2311">
        <v>6.3</v>
      </c>
      <c r="AB2311">
        <v>3.7</v>
      </c>
      <c r="AC2311">
        <v>69</v>
      </c>
      <c r="AD2311">
        <v>0.28267973899999999</v>
      </c>
      <c r="AE2311">
        <v>66</v>
      </c>
      <c r="AG2311">
        <v>6323.3613376028597</v>
      </c>
      <c r="AH2311">
        <v>27835927</v>
      </c>
    </row>
    <row r="2312" spans="27:34">
      <c r="AA2312">
        <v>6.3</v>
      </c>
      <c r="AB2312">
        <v>3.7</v>
      </c>
      <c r="AC2312">
        <v>69</v>
      </c>
      <c r="AD2312">
        <v>0.28267973899999999</v>
      </c>
      <c r="AG2312">
        <v>6949.5118553197499</v>
      </c>
      <c r="AH2312">
        <v>28175982</v>
      </c>
    </row>
    <row r="2313" spans="27:34">
      <c r="AA2313">
        <v>6.3</v>
      </c>
      <c r="AB2313">
        <v>3.7</v>
      </c>
      <c r="AC2313">
        <v>69</v>
      </c>
      <c r="AD2313">
        <v>0.28267973899999999</v>
      </c>
      <c r="AG2313">
        <v>7733.8232101728599</v>
      </c>
      <c r="AH2313">
        <v>28508481</v>
      </c>
    </row>
    <row r="2314" spans="27:34">
      <c r="AA2314">
        <v>6.3</v>
      </c>
      <c r="AB2314">
        <v>3.7</v>
      </c>
      <c r="AC2314">
        <v>69</v>
      </c>
      <c r="AD2314">
        <v>0.28267973899999999</v>
      </c>
      <c r="AE2314">
        <v>68</v>
      </c>
      <c r="AG2314">
        <v>8575.5860124060891</v>
      </c>
      <c r="AH2314">
        <v>28836700</v>
      </c>
    </row>
    <row r="2315" spans="27:34">
      <c r="AA2315">
        <v>6.3</v>
      </c>
      <c r="AB2315">
        <v>3.7</v>
      </c>
      <c r="AC2315">
        <v>69</v>
      </c>
      <c r="AD2315">
        <v>0.28267973899999999</v>
      </c>
      <c r="AG2315">
        <v>8629.4907904990196</v>
      </c>
      <c r="AH2315">
        <v>29164883</v>
      </c>
    </row>
    <row r="2316" spans="27:34">
      <c r="AA2316">
        <v>6.3</v>
      </c>
      <c r="AB2316">
        <v>3.7</v>
      </c>
      <c r="AC2316">
        <v>69</v>
      </c>
      <c r="AD2316">
        <v>0.28267973899999999</v>
      </c>
    </row>
    <row r="2317" spans="27:34">
      <c r="AA2317">
        <v>6.3</v>
      </c>
      <c r="AB2317">
        <v>3.7</v>
      </c>
      <c r="AC2317">
        <v>69</v>
      </c>
      <c r="AD2317">
        <v>0.28267973899999999</v>
      </c>
    </row>
    <row r="2318" spans="27:34">
      <c r="AA2318">
        <v>2.42</v>
      </c>
      <c r="AB2318">
        <v>4.5</v>
      </c>
      <c r="AC2318">
        <v>96</v>
      </c>
      <c r="AD2318">
        <v>0.261016949</v>
      </c>
      <c r="AE2318">
        <v>63</v>
      </c>
      <c r="AG2318">
        <v>1930.7765909351001</v>
      </c>
      <c r="AH2318">
        <v>69965048</v>
      </c>
    </row>
    <row r="2319" spans="27:34">
      <c r="AA2319">
        <v>2.42</v>
      </c>
      <c r="AB2319">
        <v>4.5</v>
      </c>
      <c r="AC2319">
        <v>96</v>
      </c>
      <c r="AD2319">
        <v>0.261016949</v>
      </c>
      <c r="AG2319">
        <v>2038.0857029086801</v>
      </c>
      <c r="AH2319">
        <v>71497479</v>
      </c>
    </row>
    <row r="2320" spans="27:34">
      <c r="AA2320">
        <v>2.42</v>
      </c>
      <c r="AB2320">
        <v>4.5</v>
      </c>
      <c r="AC2320">
        <v>96</v>
      </c>
      <c r="AD2320">
        <v>0.261016949</v>
      </c>
      <c r="AG2320">
        <v>2135.73100753361</v>
      </c>
      <c r="AH2320">
        <v>73039103</v>
      </c>
    </row>
    <row r="2321" spans="27:34">
      <c r="AA2321">
        <v>2.42</v>
      </c>
      <c r="AB2321">
        <v>4.5</v>
      </c>
      <c r="AC2321">
        <v>96</v>
      </c>
      <c r="AD2321">
        <v>0.261016949</v>
      </c>
      <c r="AG2321">
        <v>2102.8611257755902</v>
      </c>
      <c r="AH2321">
        <v>74587233</v>
      </c>
    </row>
    <row r="2322" spans="27:34">
      <c r="AA2322">
        <v>2.42</v>
      </c>
      <c r="AB2322">
        <v>4.5</v>
      </c>
      <c r="AC2322">
        <v>96</v>
      </c>
      <c r="AD2322">
        <v>0.261016949</v>
      </c>
      <c r="AG2322">
        <v>2161.2104479999398</v>
      </c>
      <c r="AH2322">
        <v>76138118</v>
      </c>
    </row>
    <row r="2323" spans="27:34">
      <c r="AA2323">
        <v>2.42</v>
      </c>
      <c r="AB2323">
        <v>4.5</v>
      </c>
      <c r="AC2323">
        <v>96</v>
      </c>
      <c r="AD2323">
        <v>0.261016949</v>
      </c>
      <c r="AE2323">
        <v>69</v>
      </c>
      <c r="AG2323">
        <v>2293.0331046215101</v>
      </c>
      <c r="AH2323">
        <v>77689369</v>
      </c>
    </row>
    <row r="2324" spans="27:34">
      <c r="AA2324">
        <v>2.42</v>
      </c>
      <c r="AB2324">
        <v>4.5</v>
      </c>
      <c r="AC2324">
        <v>96</v>
      </c>
      <c r="AD2324">
        <v>0.261016949</v>
      </c>
      <c r="AG2324">
        <v>2339.5212289249798</v>
      </c>
      <c r="AH2324">
        <v>79239125</v>
      </c>
    </row>
    <row r="2325" spans="27:34">
      <c r="AA2325">
        <v>2.42</v>
      </c>
      <c r="AB2325">
        <v>4.5</v>
      </c>
      <c r="AC2325">
        <v>96</v>
      </c>
      <c r="AD2325">
        <v>0.261016949</v>
      </c>
      <c r="AG2325">
        <v>2435.6753246610901</v>
      </c>
      <c r="AH2325">
        <v>80788948</v>
      </c>
    </row>
    <row r="2326" spans="27:34">
      <c r="AA2326">
        <v>2.42</v>
      </c>
      <c r="AB2326">
        <v>4.5</v>
      </c>
      <c r="AC2326">
        <v>96</v>
      </c>
      <c r="AD2326">
        <v>0.261016949</v>
      </c>
      <c r="AG2326">
        <v>2561.52943849845</v>
      </c>
      <c r="AH2326">
        <v>82343966</v>
      </c>
    </row>
    <row r="2327" spans="27:34">
      <c r="AA2327">
        <v>2.42</v>
      </c>
      <c r="AB2327">
        <v>4.5</v>
      </c>
      <c r="AC2327">
        <v>96</v>
      </c>
      <c r="AD2327">
        <v>0.261016949</v>
      </c>
      <c r="AG2327">
        <v>2749.8398755132598</v>
      </c>
      <c r="AH2327">
        <v>83911361</v>
      </c>
    </row>
    <row r="2328" spans="27:34">
      <c r="AA2328">
        <v>2.42</v>
      </c>
      <c r="AB2328">
        <v>4.5</v>
      </c>
      <c r="AC2328">
        <v>96</v>
      </c>
      <c r="AD2328">
        <v>0.261016949</v>
      </c>
      <c r="AE2328">
        <v>73</v>
      </c>
      <c r="AF2328">
        <v>16.47</v>
      </c>
      <c r="AG2328">
        <v>2926.9746180257698</v>
      </c>
      <c r="AH2328">
        <v>85495923</v>
      </c>
    </row>
    <row r="2329" spans="27:34">
      <c r="AA2329">
        <v>2.42</v>
      </c>
      <c r="AB2329">
        <v>4.5</v>
      </c>
      <c r="AC2329">
        <v>96</v>
      </c>
      <c r="AD2329">
        <v>0.261016949</v>
      </c>
      <c r="AG2329">
        <v>3124.9913496470799</v>
      </c>
      <c r="AH2329">
        <v>87099117</v>
      </c>
    </row>
    <row r="2330" spans="27:34">
      <c r="AA2330">
        <v>2.42</v>
      </c>
      <c r="AB2330">
        <v>4.5</v>
      </c>
      <c r="AC2330">
        <v>96</v>
      </c>
      <c r="AD2330">
        <v>0.261016949</v>
      </c>
      <c r="AG2330">
        <v>3396.68562084425</v>
      </c>
      <c r="AH2330">
        <v>88718185</v>
      </c>
    </row>
    <row r="2331" spans="27:34">
      <c r="AA2331">
        <v>2.42</v>
      </c>
      <c r="AB2331">
        <v>4.5</v>
      </c>
      <c r="AC2331">
        <v>96</v>
      </c>
      <c r="AD2331">
        <v>0.261016949</v>
      </c>
      <c r="AE2331">
        <v>76</v>
      </c>
      <c r="AG2331">
        <v>3535.5691839750298</v>
      </c>
      <c r="AH2331">
        <v>90348437</v>
      </c>
    </row>
    <row r="2332" spans="27:34">
      <c r="AA2332">
        <v>2.42</v>
      </c>
      <c r="AB2332">
        <v>4.5</v>
      </c>
      <c r="AC2332">
        <v>96</v>
      </c>
      <c r="AD2332">
        <v>0.261016949</v>
      </c>
      <c r="AG2332">
        <v>3541.7022197772899</v>
      </c>
      <c r="AH2332">
        <v>91983102</v>
      </c>
    </row>
    <row r="2333" spans="27:34">
      <c r="AA2333">
        <v>2.42</v>
      </c>
      <c r="AB2333">
        <v>4.5</v>
      </c>
      <c r="AC2333">
        <v>96</v>
      </c>
      <c r="AD2333">
        <v>0.261016949</v>
      </c>
      <c r="AF2333">
        <v>17.03</v>
      </c>
    </row>
    <row r="2334" spans="27:34">
      <c r="AA2334">
        <v>2.42</v>
      </c>
      <c r="AB2334">
        <v>4.5</v>
      </c>
      <c r="AC2334">
        <v>96</v>
      </c>
      <c r="AD2334">
        <v>0.261016949</v>
      </c>
    </row>
    <row r="2335" spans="27:34">
      <c r="AA2335">
        <v>5.53</v>
      </c>
      <c r="AB2335">
        <v>2.8</v>
      </c>
      <c r="AC2335" t="e">
        <v>#N/A</v>
      </c>
      <c r="AD2335">
        <v>4.4585987000000001E-2</v>
      </c>
      <c r="AG2335">
        <v>7419.7289013559002</v>
      </c>
      <c r="AH2335">
        <v>38587600</v>
      </c>
    </row>
    <row r="2336" spans="27:34">
      <c r="AA2336">
        <v>5.53</v>
      </c>
      <c r="AB2336">
        <v>2.8</v>
      </c>
      <c r="AD2336">
        <v>4.4585987000000001E-2</v>
      </c>
      <c r="AG2336">
        <v>8050.4203555496197</v>
      </c>
      <c r="AH2336">
        <v>38618000</v>
      </c>
    </row>
    <row r="2337" spans="27:34">
      <c r="AA2337">
        <v>5.53</v>
      </c>
      <c r="AB2337">
        <v>2.8</v>
      </c>
      <c r="AD2337">
        <v>4.4585987000000001E-2</v>
      </c>
      <c r="AG2337">
        <v>8787.7203195116908</v>
      </c>
      <c r="AH2337">
        <v>38650000</v>
      </c>
    </row>
    <row r="2338" spans="27:34">
      <c r="AA2338">
        <v>5.53</v>
      </c>
      <c r="AB2338">
        <v>2.8</v>
      </c>
      <c r="AD2338">
        <v>4.4585987000000001E-2</v>
      </c>
      <c r="AG2338">
        <v>9373.6301206252992</v>
      </c>
      <c r="AH2338">
        <v>38666145</v>
      </c>
    </row>
    <row r="2339" spans="27:34">
      <c r="AA2339">
        <v>5.53</v>
      </c>
      <c r="AB2339">
        <v>2.8</v>
      </c>
      <c r="AD2339">
        <v>4.4585987000000001E-2</v>
      </c>
      <c r="AG2339">
        <v>9905.2086974894701</v>
      </c>
      <c r="AH2339">
        <v>38658000</v>
      </c>
    </row>
    <row r="2340" spans="27:34">
      <c r="AA2340">
        <v>5.53</v>
      </c>
      <c r="AB2340">
        <v>2.8</v>
      </c>
      <c r="AD2340">
        <v>4.4585987000000001E-2</v>
      </c>
      <c r="AE2340">
        <v>90</v>
      </c>
      <c r="AF2340">
        <v>20.81</v>
      </c>
      <c r="AG2340">
        <v>10512.658499052401</v>
      </c>
      <c r="AH2340">
        <v>38453757</v>
      </c>
    </row>
    <row r="2341" spans="27:34">
      <c r="AA2341">
        <v>5.53</v>
      </c>
      <c r="AB2341">
        <v>2.8</v>
      </c>
      <c r="AD2341">
        <v>4.4585987000000001E-2</v>
      </c>
      <c r="AG2341">
        <v>10951.3082941292</v>
      </c>
      <c r="AH2341">
        <v>38248076</v>
      </c>
    </row>
    <row r="2342" spans="27:34">
      <c r="AA2342">
        <v>5.53</v>
      </c>
      <c r="AB2342">
        <v>2.8</v>
      </c>
      <c r="AD2342">
        <v>4.4585987000000001E-2</v>
      </c>
      <c r="AG2342">
        <v>11563.1250238709</v>
      </c>
      <c r="AH2342">
        <v>38230364</v>
      </c>
    </row>
    <row r="2343" spans="27:34">
      <c r="AA2343">
        <v>5.53</v>
      </c>
      <c r="AB2343">
        <v>2.8</v>
      </c>
      <c r="AD2343">
        <v>4.4585987000000001E-2</v>
      </c>
      <c r="AG2343">
        <v>11982.0049709785</v>
      </c>
      <c r="AH2343">
        <v>38204570</v>
      </c>
    </row>
    <row r="2344" spans="27:34">
      <c r="AA2344">
        <v>5.53</v>
      </c>
      <c r="AB2344">
        <v>2.8</v>
      </c>
      <c r="AD2344">
        <v>4.4585987000000001E-2</v>
      </c>
      <c r="AG2344">
        <v>13013.8365902195</v>
      </c>
      <c r="AH2344">
        <v>38182222</v>
      </c>
    </row>
    <row r="2345" spans="27:34">
      <c r="AA2345">
        <v>5.53</v>
      </c>
      <c r="AB2345">
        <v>2.8</v>
      </c>
      <c r="AD2345">
        <v>4.4585987000000001E-2</v>
      </c>
      <c r="AE2345">
        <v>90</v>
      </c>
      <c r="AF2345">
        <v>20.57</v>
      </c>
      <c r="AG2345">
        <v>13784.162463271399</v>
      </c>
      <c r="AH2345">
        <v>38165450</v>
      </c>
    </row>
    <row r="2346" spans="27:34">
      <c r="AA2346">
        <v>5.53</v>
      </c>
      <c r="AB2346">
        <v>2.8</v>
      </c>
      <c r="AD2346">
        <v>4.4585987000000001E-2</v>
      </c>
      <c r="AG2346">
        <v>15063.785118715199</v>
      </c>
      <c r="AH2346">
        <v>38141267</v>
      </c>
    </row>
    <row r="2347" spans="27:34">
      <c r="AA2347">
        <v>5.53</v>
      </c>
      <c r="AB2347">
        <v>2.8</v>
      </c>
      <c r="AD2347">
        <v>4.4585987000000001E-2</v>
      </c>
      <c r="AG2347">
        <v>16760.195219180401</v>
      </c>
      <c r="AH2347">
        <v>38120560</v>
      </c>
    </row>
    <row r="2348" spans="27:34">
      <c r="AA2348">
        <v>5.53</v>
      </c>
      <c r="AB2348">
        <v>2.8</v>
      </c>
      <c r="AD2348">
        <v>4.4585987000000001E-2</v>
      </c>
      <c r="AE2348">
        <v>90</v>
      </c>
      <c r="AG2348">
        <v>18020.831404811801</v>
      </c>
      <c r="AH2348">
        <v>38125759</v>
      </c>
    </row>
    <row r="2349" spans="27:34">
      <c r="AA2349">
        <v>5.53</v>
      </c>
      <c r="AB2349">
        <v>2.8</v>
      </c>
      <c r="AD2349">
        <v>4.4585987000000001E-2</v>
      </c>
      <c r="AG2349">
        <v>18905.341259502999</v>
      </c>
      <c r="AH2349">
        <v>38149886</v>
      </c>
    </row>
    <row r="2350" spans="27:34">
      <c r="AA2350">
        <v>5.53</v>
      </c>
      <c r="AB2350">
        <v>2.8</v>
      </c>
      <c r="AD2350">
        <v>4.4585987000000001E-2</v>
      </c>
      <c r="AF2350">
        <v>19.399999999999999</v>
      </c>
    </row>
    <row r="2351" spans="27:34">
      <c r="AA2351">
        <v>5.53</v>
      </c>
      <c r="AB2351">
        <v>2.8</v>
      </c>
      <c r="AD2351">
        <v>4.4585987000000001E-2</v>
      </c>
    </row>
    <row r="2352" spans="27:34">
      <c r="AA2352">
        <v>-19.420000000000002</v>
      </c>
      <c r="AB2352">
        <v>1.8</v>
      </c>
      <c r="AC2352" t="e">
        <v>#N/A</v>
      </c>
      <c r="AD2352">
        <v>9.8290598000000007E-2</v>
      </c>
      <c r="AE2352">
        <v>95</v>
      </c>
      <c r="AG2352">
        <v>13471.069141599701</v>
      </c>
      <c r="AH2352">
        <v>10027000</v>
      </c>
    </row>
    <row r="2353" spans="27:34">
      <c r="AA2353">
        <v>-19.420000000000002</v>
      </c>
      <c r="AB2353">
        <v>1.8</v>
      </c>
      <c r="AD2353">
        <v>9.8290598000000007E-2</v>
      </c>
      <c r="AG2353">
        <v>14009.803241985601</v>
      </c>
      <c r="AH2353">
        <v>10055000</v>
      </c>
    </row>
    <row r="2354" spans="27:34">
      <c r="AA2354">
        <v>-19.420000000000002</v>
      </c>
      <c r="AB2354">
        <v>1.8</v>
      </c>
      <c r="AD2354">
        <v>9.8290598000000007E-2</v>
      </c>
      <c r="AG2354">
        <v>14893.9502340706</v>
      </c>
      <c r="AH2354">
        <v>10089000</v>
      </c>
    </row>
    <row r="2355" spans="27:34">
      <c r="AA2355">
        <v>-19.420000000000002</v>
      </c>
      <c r="AB2355">
        <v>1.8</v>
      </c>
      <c r="AD2355">
        <v>9.8290598000000007E-2</v>
      </c>
      <c r="AG2355">
        <v>15686.3366785454</v>
      </c>
      <c r="AH2355">
        <v>10129000</v>
      </c>
    </row>
    <row r="2356" spans="27:34">
      <c r="AA2356">
        <v>-19.420000000000002</v>
      </c>
      <c r="AB2356">
        <v>1.8</v>
      </c>
      <c r="AD2356">
        <v>9.8290598000000007E-2</v>
      </c>
      <c r="AG2356">
        <v>16699.434749104101</v>
      </c>
      <c r="AH2356">
        <v>10174000</v>
      </c>
    </row>
    <row r="2357" spans="27:34">
      <c r="AA2357">
        <v>-19.420000000000002</v>
      </c>
      <c r="AB2357">
        <v>1.8</v>
      </c>
      <c r="AD2357">
        <v>9.8290598000000007E-2</v>
      </c>
      <c r="AE2357">
        <v>98</v>
      </c>
      <c r="AF2357">
        <v>12.32</v>
      </c>
      <c r="AG2357">
        <v>17748.687078093099</v>
      </c>
      <c r="AH2357">
        <v>10225803.464764999</v>
      </c>
    </row>
    <row r="2358" spans="27:34">
      <c r="AA2358">
        <v>-19.420000000000002</v>
      </c>
      <c r="AB2358">
        <v>1.8</v>
      </c>
      <c r="AD2358">
        <v>9.8290598000000007E-2</v>
      </c>
      <c r="AG2358">
        <v>18464.8344997409</v>
      </c>
      <c r="AH2358">
        <v>10292935.9907657</v>
      </c>
    </row>
    <row r="2359" spans="27:34">
      <c r="AA2359">
        <v>-19.420000000000002</v>
      </c>
      <c r="AB2359">
        <v>1.8</v>
      </c>
      <c r="AD2359">
        <v>9.8290598000000007E-2</v>
      </c>
      <c r="AG2359">
        <v>19088.2985832792</v>
      </c>
      <c r="AH2359">
        <v>10368326.275248099</v>
      </c>
    </row>
    <row r="2360" spans="27:34">
      <c r="AA2360">
        <v>-19.420000000000002</v>
      </c>
      <c r="AB2360">
        <v>1.8</v>
      </c>
      <c r="AD2360">
        <v>9.8290598000000007E-2</v>
      </c>
      <c r="AG2360">
        <v>19392.3459436755</v>
      </c>
      <c r="AH2360">
        <v>10441045.9365908</v>
      </c>
    </row>
    <row r="2361" spans="27:34">
      <c r="AA2361">
        <v>-19.420000000000002</v>
      </c>
      <c r="AB2361">
        <v>1.8</v>
      </c>
      <c r="AD2361">
        <v>9.8290598000000007E-2</v>
      </c>
      <c r="AG2361">
        <v>19796.295895374398</v>
      </c>
      <c r="AH2361">
        <v>10501964.5166988</v>
      </c>
    </row>
    <row r="2362" spans="27:34">
      <c r="AA2362">
        <v>-19.420000000000002</v>
      </c>
      <c r="AB2362">
        <v>1.8</v>
      </c>
      <c r="AD2362">
        <v>9.8290598000000007E-2</v>
      </c>
      <c r="AE2362">
        <v>99</v>
      </c>
      <c r="AG2362">
        <v>21294.078997355198</v>
      </c>
      <c r="AH2362">
        <v>10549450</v>
      </c>
    </row>
    <row r="2363" spans="27:34">
      <c r="AA2363">
        <v>-19.420000000000002</v>
      </c>
      <c r="AB2363">
        <v>1.8</v>
      </c>
      <c r="AD2363">
        <v>9.8290598000000007E-2</v>
      </c>
      <c r="AG2363">
        <v>22869.803671790902</v>
      </c>
      <c r="AH2363">
        <v>10584344</v>
      </c>
    </row>
    <row r="2364" spans="27:34">
      <c r="AA2364">
        <v>-19.420000000000002</v>
      </c>
      <c r="AB2364">
        <v>1.8</v>
      </c>
      <c r="AD2364">
        <v>9.8290598000000007E-2</v>
      </c>
      <c r="AG2364">
        <v>24122.923391430999</v>
      </c>
      <c r="AH2364">
        <v>10608335</v>
      </c>
    </row>
    <row r="2365" spans="27:34">
      <c r="AA2365">
        <v>-19.420000000000002</v>
      </c>
      <c r="AB2365">
        <v>1.8</v>
      </c>
      <c r="AD2365">
        <v>9.8290598000000007E-2</v>
      </c>
      <c r="AE2365">
        <v>100</v>
      </c>
      <c r="AG2365">
        <v>24947.5220720172</v>
      </c>
      <c r="AH2365">
        <v>10622413</v>
      </c>
    </row>
    <row r="2366" spans="27:34">
      <c r="AA2366">
        <v>-19.420000000000002</v>
      </c>
      <c r="AB2366">
        <v>1.8</v>
      </c>
      <c r="AD2366">
        <v>9.8290598000000007E-2</v>
      </c>
      <c r="AG2366">
        <v>24919.560142145299</v>
      </c>
      <c r="AH2366">
        <v>10632069</v>
      </c>
    </row>
    <row r="2367" spans="27:34">
      <c r="AA2367">
        <v>-19.420000000000002</v>
      </c>
      <c r="AB2367">
        <v>1.8</v>
      </c>
      <c r="AD2367">
        <v>9.8290598000000007E-2</v>
      </c>
    </row>
    <row r="2368" spans="27:34">
      <c r="AA2368">
        <v>-19.420000000000002</v>
      </c>
      <c r="AB2368">
        <v>1.8</v>
      </c>
      <c r="AD2368">
        <v>9.8290598000000007E-2</v>
      </c>
    </row>
    <row r="2369" spans="27:34">
      <c r="AA2369">
        <v>29.9</v>
      </c>
      <c r="AB2369">
        <v>3.4</v>
      </c>
      <c r="AC2369">
        <v>6</v>
      </c>
      <c r="AD2369">
        <v>6.7538126000000004E-2</v>
      </c>
      <c r="AE2369">
        <v>100</v>
      </c>
      <c r="AF2369">
        <v>320.5</v>
      </c>
      <c r="AH2369">
        <v>525736</v>
      </c>
    </row>
    <row r="2370" spans="27:34">
      <c r="AA2370">
        <v>29.9</v>
      </c>
      <c r="AB2370">
        <v>3.4</v>
      </c>
      <c r="AC2370">
        <v>6</v>
      </c>
      <c r="AD2370">
        <v>6.7538126000000004E-2</v>
      </c>
      <c r="AH2370">
        <v>537527</v>
      </c>
    </row>
    <row r="2371" spans="27:34">
      <c r="AA2371">
        <v>29.9</v>
      </c>
      <c r="AB2371">
        <v>3.4</v>
      </c>
      <c r="AC2371">
        <v>6</v>
      </c>
      <c r="AD2371">
        <v>6.7538126000000004E-2</v>
      </c>
      <c r="AH2371">
        <v>551277</v>
      </c>
    </row>
    <row r="2372" spans="27:34">
      <c r="AA2372">
        <v>29.9</v>
      </c>
      <c r="AB2372">
        <v>3.4</v>
      </c>
      <c r="AC2372">
        <v>6</v>
      </c>
      <c r="AD2372">
        <v>6.7538126000000004E-2</v>
      </c>
      <c r="AH2372">
        <v>568177</v>
      </c>
    </row>
    <row r="2373" spans="27:34">
      <c r="AA2373">
        <v>29.9</v>
      </c>
      <c r="AB2373">
        <v>3.4</v>
      </c>
      <c r="AC2373">
        <v>6</v>
      </c>
      <c r="AD2373">
        <v>6.7538126000000004E-2</v>
      </c>
      <c r="AH2373">
        <v>589575</v>
      </c>
    </row>
    <row r="2374" spans="27:34">
      <c r="AA2374">
        <v>29.9</v>
      </c>
      <c r="AB2374">
        <v>3.4</v>
      </c>
      <c r="AC2374">
        <v>6</v>
      </c>
      <c r="AD2374">
        <v>6.7538126000000004E-2</v>
      </c>
      <c r="AE2374">
        <v>100</v>
      </c>
      <c r="AF2374">
        <v>336</v>
      </c>
      <c r="AG2374">
        <v>55053.514699089697</v>
      </c>
      <c r="AH2374">
        <v>616817</v>
      </c>
    </row>
    <row r="2375" spans="27:34">
      <c r="AA2375">
        <v>29.9</v>
      </c>
      <c r="AB2375">
        <v>3.4</v>
      </c>
      <c r="AC2375">
        <v>6</v>
      </c>
      <c r="AD2375">
        <v>6.7538126000000004E-2</v>
      </c>
      <c r="AG2375">
        <v>55352.651240936902</v>
      </c>
      <c r="AH2375">
        <v>648270</v>
      </c>
    </row>
    <row r="2376" spans="27:34">
      <c r="AA2376">
        <v>29.9</v>
      </c>
      <c r="AB2376">
        <v>3.4</v>
      </c>
      <c r="AC2376">
        <v>6</v>
      </c>
      <c r="AD2376">
        <v>6.7538126000000004E-2</v>
      </c>
      <c r="AG2376">
        <v>57073.093021658497</v>
      </c>
      <c r="AH2376">
        <v>684521</v>
      </c>
    </row>
    <row r="2377" spans="27:34">
      <c r="AA2377">
        <v>29.9</v>
      </c>
      <c r="AB2377">
        <v>3.4</v>
      </c>
      <c r="AC2377">
        <v>6</v>
      </c>
      <c r="AD2377">
        <v>6.7538126000000004E-2</v>
      </c>
      <c r="AG2377">
        <v>56462.050346891599</v>
      </c>
      <c r="AH2377">
        <v>731512</v>
      </c>
    </row>
    <row r="2378" spans="27:34">
      <c r="AA2378">
        <v>29.9</v>
      </c>
      <c r="AB2378">
        <v>3.4</v>
      </c>
      <c r="AC2378">
        <v>6</v>
      </c>
      <c r="AD2378">
        <v>6.7538126000000004E-2</v>
      </c>
      <c r="AG2378">
        <v>64396.207892056504</v>
      </c>
      <c r="AH2378">
        <v>797038</v>
      </c>
    </row>
    <row r="2379" spans="27:34">
      <c r="AA2379">
        <v>29.9</v>
      </c>
      <c r="AB2379">
        <v>3.4</v>
      </c>
      <c r="AC2379">
        <v>6</v>
      </c>
      <c r="AD2379">
        <v>6.7538126000000004E-2</v>
      </c>
      <c r="AE2379">
        <v>100</v>
      </c>
      <c r="AF2379">
        <v>455.2</v>
      </c>
      <c r="AG2379">
        <v>64452.380019861601</v>
      </c>
      <c r="AH2379">
        <v>885439</v>
      </c>
    </row>
    <row r="2380" spans="27:34">
      <c r="AA2380">
        <v>29.9</v>
      </c>
      <c r="AB2380">
        <v>3.4</v>
      </c>
      <c r="AC2380">
        <v>6</v>
      </c>
      <c r="AD2380">
        <v>6.7538126000000004E-2</v>
      </c>
      <c r="AG2380">
        <v>69842.449018343294</v>
      </c>
      <c r="AH2380">
        <v>1000607</v>
      </c>
    </row>
    <row r="2381" spans="27:34">
      <c r="AA2381">
        <v>29.9</v>
      </c>
      <c r="AB2381">
        <v>3.4</v>
      </c>
      <c r="AC2381">
        <v>6</v>
      </c>
      <c r="AD2381">
        <v>6.7538126000000004E-2</v>
      </c>
      <c r="AG2381">
        <v>80536.349077617197</v>
      </c>
      <c r="AH2381">
        <v>1137553</v>
      </c>
    </row>
    <row r="2382" spans="27:34">
      <c r="AA2382">
        <v>29.9</v>
      </c>
      <c r="AB2382">
        <v>3.4</v>
      </c>
      <c r="AC2382">
        <v>6</v>
      </c>
      <c r="AD2382">
        <v>6.7538126000000004E-2</v>
      </c>
      <c r="AE2382">
        <v>100</v>
      </c>
      <c r="AG2382">
        <v>91712.320103233404</v>
      </c>
      <c r="AH2382">
        <v>1280862</v>
      </c>
    </row>
    <row r="2383" spans="27:34">
      <c r="AA2383">
        <v>29.9</v>
      </c>
      <c r="AB2383">
        <v>3.4</v>
      </c>
      <c r="AC2383">
        <v>6</v>
      </c>
      <c r="AD2383">
        <v>6.7538126000000004E-2</v>
      </c>
      <c r="AG2383">
        <v>91378.736172986901</v>
      </c>
      <c r="AH2383">
        <v>1409423</v>
      </c>
    </row>
    <row r="2384" spans="27:34">
      <c r="AA2384">
        <v>29.9</v>
      </c>
      <c r="AB2384">
        <v>3.4</v>
      </c>
      <c r="AC2384">
        <v>6</v>
      </c>
      <c r="AD2384">
        <v>6.7538126000000004E-2</v>
      </c>
    </row>
    <row r="2385" spans="27:34">
      <c r="AA2385">
        <v>29.9</v>
      </c>
      <c r="AB2385">
        <v>3.4</v>
      </c>
      <c r="AC2385">
        <v>6</v>
      </c>
      <c r="AD2385">
        <v>6.7538126000000004E-2</v>
      </c>
    </row>
    <row r="2386" spans="27:34">
      <c r="AA2386">
        <v>-4.9000000000000004</v>
      </c>
      <c r="AB2386">
        <v>1.6</v>
      </c>
      <c r="AC2386" t="e">
        <v>#N/A</v>
      </c>
      <c r="AD2386">
        <v>5.1841746000000001E-2</v>
      </c>
      <c r="AF2386">
        <v>5.88</v>
      </c>
      <c r="AG2386">
        <v>5371.2914412117498</v>
      </c>
      <c r="AH2386">
        <v>22681000</v>
      </c>
    </row>
    <row r="2387" spans="27:34">
      <c r="AA2387">
        <v>-4.9000000000000004</v>
      </c>
      <c r="AB2387">
        <v>1.6</v>
      </c>
      <c r="AD2387">
        <v>5.1841746000000001E-2</v>
      </c>
      <c r="AG2387">
        <v>5725.5253838299996</v>
      </c>
      <c r="AH2387">
        <v>22608000</v>
      </c>
    </row>
    <row r="2388" spans="27:34">
      <c r="AA2388">
        <v>-4.9000000000000004</v>
      </c>
      <c r="AB2388">
        <v>1.6</v>
      </c>
      <c r="AD2388">
        <v>5.1841746000000001E-2</v>
      </c>
      <c r="AG2388">
        <v>5504.6206406921601</v>
      </c>
      <c r="AH2388">
        <v>22554000</v>
      </c>
    </row>
    <row r="2389" spans="27:34">
      <c r="AA2389">
        <v>-4.9000000000000004</v>
      </c>
      <c r="AB2389">
        <v>1.6</v>
      </c>
      <c r="AD2389">
        <v>5.1841746000000001E-2</v>
      </c>
      <c r="AG2389">
        <v>5340.8679172716102</v>
      </c>
      <c r="AH2389">
        <v>22503000</v>
      </c>
    </row>
    <row r="2390" spans="27:34">
      <c r="AA2390">
        <v>-4.9000000000000004</v>
      </c>
      <c r="AB2390">
        <v>1.6</v>
      </c>
      <c r="AD2390">
        <v>5.1841746000000001E-2</v>
      </c>
      <c r="AG2390">
        <v>5343.4988026082001</v>
      </c>
      <c r="AH2390">
        <v>22457994</v>
      </c>
    </row>
    <row r="2391" spans="27:34">
      <c r="AA2391">
        <v>-4.9000000000000004</v>
      </c>
      <c r="AB2391">
        <v>1.6</v>
      </c>
      <c r="AD2391">
        <v>5.1841746000000001E-2</v>
      </c>
      <c r="AF2391">
        <v>4.2329999999999997</v>
      </c>
      <c r="AG2391">
        <v>5660.4156206002099</v>
      </c>
      <c r="AH2391">
        <v>22443000</v>
      </c>
    </row>
    <row r="2392" spans="27:34">
      <c r="AA2392">
        <v>-4.9000000000000004</v>
      </c>
      <c r="AB2392">
        <v>1.6</v>
      </c>
      <c r="AD2392">
        <v>5.1841746000000001E-2</v>
      </c>
      <c r="AG2392">
        <v>6417.2401197189001</v>
      </c>
      <c r="AH2392">
        <v>22132000</v>
      </c>
    </row>
    <row r="2393" spans="27:34">
      <c r="AA2393">
        <v>-4.9000000000000004</v>
      </c>
      <c r="AB2393">
        <v>1.6</v>
      </c>
      <c r="AD2393">
        <v>5.1841746000000001E-2</v>
      </c>
      <c r="AG2393">
        <v>7012.5541428746301</v>
      </c>
      <c r="AH2393">
        <v>21803128.876379199</v>
      </c>
    </row>
    <row r="2394" spans="27:34">
      <c r="AA2394">
        <v>-4.9000000000000004</v>
      </c>
      <c r="AB2394">
        <v>1.6</v>
      </c>
      <c r="AD2394">
        <v>5.1841746000000001E-2</v>
      </c>
      <c r="AG2394">
        <v>7676.5860438632099</v>
      </c>
      <c r="AH2394">
        <v>21742028.254972</v>
      </c>
    </row>
    <row r="2395" spans="27:34">
      <c r="AA2395">
        <v>-4.9000000000000004</v>
      </c>
      <c r="AB2395">
        <v>1.6</v>
      </c>
      <c r="AD2395">
        <v>5.1841746000000001E-2</v>
      </c>
      <c r="AG2395">
        <v>8733.3096074328496</v>
      </c>
      <c r="AH2395">
        <v>21684883.929825399</v>
      </c>
    </row>
    <row r="2396" spans="27:34">
      <c r="AA2396">
        <v>-4.9000000000000004</v>
      </c>
      <c r="AB2396">
        <v>1.6</v>
      </c>
      <c r="AD2396">
        <v>5.1841746000000001E-2</v>
      </c>
      <c r="AF2396">
        <v>3.9780000000000002</v>
      </c>
      <c r="AG2396">
        <v>9359.4701904779504</v>
      </c>
      <c r="AH2396">
        <v>21634350</v>
      </c>
    </row>
    <row r="2397" spans="27:34">
      <c r="AA2397">
        <v>-4.9000000000000004</v>
      </c>
      <c r="AB2397">
        <v>1.6</v>
      </c>
      <c r="AD2397">
        <v>5.1841746000000001E-2</v>
      </c>
      <c r="AG2397">
        <v>11127.6949109856</v>
      </c>
      <c r="AH2397">
        <v>21587666</v>
      </c>
    </row>
    <row r="2398" spans="27:34">
      <c r="AA2398">
        <v>-4.9000000000000004</v>
      </c>
      <c r="AB2398">
        <v>1.6</v>
      </c>
      <c r="AD2398">
        <v>5.1841746000000001E-2</v>
      </c>
      <c r="AG2398">
        <v>12686.135750738</v>
      </c>
      <c r="AH2398">
        <v>21546873</v>
      </c>
    </row>
    <row r="2399" spans="27:34">
      <c r="AA2399">
        <v>-4.9000000000000004</v>
      </c>
      <c r="AB2399">
        <v>1.6</v>
      </c>
      <c r="AD2399">
        <v>5.1841746000000001E-2</v>
      </c>
      <c r="AG2399">
        <v>14756.714407081799</v>
      </c>
      <c r="AH2399">
        <v>21513622</v>
      </c>
    </row>
    <row r="2400" spans="27:34">
      <c r="AA2400">
        <v>-4.9000000000000004</v>
      </c>
      <c r="AB2400">
        <v>1.6</v>
      </c>
      <c r="AD2400">
        <v>5.1841746000000001E-2</v>
      </c>
      <c r="AG2400">
        <v>14277.997334621399</v>
      </c>
      <c r="AH2400">
        <v>21482395</v>
      </c>
    </row>
    <row r="2401" spans="27:34">
      <c r="AA2401">
        <v>-4.9000000000000004</v>
      </c>
      <c r="AB2401">
        <v>1.6</v>
      </c>
      <c r="AD2401">
        <v>5.1841746000000001E-2</v>
      </c>
      <c r="AF2401">
        <v>3.2450000000000001</v>
      </c>
    </row>
    <row r="2402" spans="27:34">
      <c r="AA2402">
        <v>-4.9000000000000004</v>
      </c>
      <c r="AB2402">
        <v>1.6</v>
      </c>
      <c r="AD2402">
        <v>5.1841746000000001E-2</v>
      </c>
    </row>
    <row r="2403" spans="27:34">
      <c r="AA2403">
        <v>16.96</v>
      </c>
      <c r="AB2403">
        <v>4.5999999999999996</v>
      </c>
      <c r="AC2403">
        <v>5</v>
      </c>
      <c r="AD2403">
        <v>6.9133397999999999E-2</v>
      </c>
      <c r="AE2403">
        <v>87</v>
      </c>
      <c r="AF2403">
        <v>1.71</v>
      </c>
      <c r="AG2403">
        <v>5613.3999429734104</v>
      </c>
      <c r="AH2403">
        <v>148141000</v>
      </c>
    </row>
    <row r="2404" spans="27:34">
      <c r="AA2404">
        <v>16.96</v>
      </c>
      <c r="AB2404">
        <v>4.5999999999999996</v>
      </c>
      <c r="AC2404">
        <v>5</v>
      </c>
      <c r="AD2404">
        <v>6.9133397999999999E-2</v>
      </c>
      <c r="AG2404">
        <v>5529.3682608830004</v>
      </c>
      <c r="AH2404">
        <v>147739000</v>
      </c>
    </row>
    <row r="2405" spans="27:34">
      <c r="AA2405">
        <v>16.96</v>
      </c>
      <c r="AB2405">
        <v>4.5999999999999996</v>
      </c>
      <c r="AC2405">
        <v>5</v>
      </c>
      <c r="AD2405">
        <v>6.9133397999999999E-2</v>
      </c>
      <c r="AG2405">
        <v>5722.0238351221296</v>
      </c>
      <c r="AH2405">
        <v>147304000</v>
      </c>
    </row>
    <row r="2406" spans="27:34">
      <c r="AA2406">
        <v>16.96</v>
      </c>
      <c r="AB2406">
        <v>4.5999999999999996</v>
      </c>
      <c r="AC2406">
        <v>5</v>
      </c>
      <c r="AD2406">
        <v>6.9133397999999999E-2</v>
      </c>
      <c r="AG2406">
        <v>5492.5417803598702</v>
      </c>
      <c r="AH2406">
        <v>146899000</v>
      </c>
    </row>
    <row r="2407" spans="27:34">
      <c r="AA2407">
        <v>16.96</v>
      </c>
      <c r="AB2407">
        <v>4.5999999999999996</v>
      </c>
      <c r="AC2407">
        <v>5</v>
      </c>
      <c r="AD2407">
        <v>6.9133397999999999E-2</v>
      </c>
      <c r="AG2407">
        <v>5950.8998578762003</v>
      </c>
      <c r="AH2407">
        <v>146309000</v>
      </c>
    </row>
    <row r="2408" spans="27:34">
      <c r="AA2408">
        <v>16.96</v>
      </c>
      <c r="AB2408">
        <v>4.5999999999999996</v>
      </c>
      <c r="AC2408">
        <v>5</v>
      </c>
      <c r="AD2408">
        <v>6.9133397999999999E-2</v>
      </c>
      <c r="AE2408">
        <v>87</v>
      </c>
      <c r="AF2408">
        <v>1.4690000000000001</v>
      </c>
      <c r="AG2408">
        <v>6832.7471278436597</v>
      </c>
      <c r="AH2408">
        <v>146303000</v>
      </c>
    </row>
    <row r="2409" spans="27:34">
      <c r="AA2409">
        <v>16.96</v>
      </c>
      <c r="AB2409">
        <v>4.5999999999999996</v>
      </c>
      <c r="AC2409">
        <v>5</v>
      </c>
      <c r="AD2409">
        <v>6.9133397999999999E-2</v>
      </c>
      <c r="AG2409">
        <v>7361.2482088039797</v>
      </c>
      <c r="AH2409">
        <v>145949580.33512801</v>
      </c>
    </row>
    <row r="2410" spans="27:34">
      <c r="AA2410">
        <v>16.96</v>
      </c>
      <c r="AB2410">
        <v>4.5999999999999996</v>
      </c>
      <c r="AC2410">
        <v>5</v>
      </c>
      <c r="AD2410">
        <v>6.9133397999999999E-2</v>
      </c>
      <c r="AG2410">
        <v>8029.4736463828704</v>
      </c>
      <c r="AH2410">
        <v>145299690.295609</v>
      </c>
    </row>
    <row r="2411" spans="27:34">
      <c r="AA2411">
        <v>16.96</v>
      </c>
      <c r="AB2411">
        <v>4.5999999999999996</v>
      </c>
      <c r="AC2411">
        <v>5</v>
      </c>
      <c r="AD2411">
        <v>6.9133397999999999E-2</v>
      </c>
      <c r="AG2411">
        <v>9237.3749989000898</v>
      </c>
      <c r="AH2411">
        <v>144599446.74859601</v>
      </c>
    </row>
    <row r="2412" spans="27:34">
      <c r="AA2412">
        <v>16.96</v>
      </c>
      <c r="AB2412">
        <v>4.5999999999999996</v>
      </c>
      <c r="AC2412">
        <v>5</v>
      </c>
      <c r="AD2412">
        <v>6.9133397999999999E-2</v>
      </c>
      <c r="AG2412">
        <v>10246.117977813101</v>
      </c>
      <c r="AH2412">
        <v>143849574.20861599</v>
      </c>
    </row>
    <row r="2413" spans="27:34">
      <c r="AA2413">
        <v>16.96</v>
      </c>
      <c r="AB2413">
        <v>4.5999999999999996</v>
      </c>
      <c r="AC2413">
        <v>5</v>
      </c>
      <c r="AD2413">
        <v>6.9133397999999999E-2</v>
      </c>
      <c r="AE2413">
        <v>87</v>
      </c>
      <c r="AG2413">
        <v>11852.8059376448</v>
      </c>
      <c r="AH2413">
        <v>143150000</v>
      </c>
    </row>
    <row r="2414" spans="27:34">
      <c r="AA2414">
        <v>16.96</v>
      </c>
      <c r="AB2414">
        <v>4.5999999999999996</v>
      </c>
      <c r="AC2414">
        <v>5</v>
      </c>
      <c r="AD2414">
        <v>6.9133397999999999E-2</v>
      </c>
      <c r="AG2414">
        <v>15007.697709794</v>
      </c>
      <c r="AH2414">
        <v>142500000</v>
      </c>
    </row>
    <row r="2415" spans="27:34">
      <c r="AA2415">
        <v>16.96</v>
      </c>
      <c r="AB2415">
        <v>4.5999999999999996</v>
      </c>
      <c r="AC2415">
        <v>5</v>
      </c>
      <c r="AD2415">
        <v>6.9133397999999999E-2</v>
      </c>
      <c r="AG2415">
        <v>16801.6816366481</v>
      </c>
      <c r="AH2415">
        <v>142100000</v>
      </c>
    </row>
    <row r="2416" spans="27:34">
      <c r="AA2416">
        <v>16.96</v>
      </c>
      <c r="AB2416">
        <v>4.5999999999999996</v>
      </c>
      <c r="AC2416">
        <v>5</v>
      </c>
      <c r="AD2416">
        <v>6.9133397999999999E-2</v>
      </c>
      <c r="AE2416">
        <v>87</v>
      </c>
      <c r="AG2416">
        <v>20350.687159082299</v>
      </c>
      <c r="AH2416">
        <v>141950000</v>
      </c>
    </row>
    <row r="2417" spans="27:34">
      <c r="AA2417">
        <v>16.96</v>
      </c>
      <c r="AB2417">
        <v>4.5999999999999996</v>
      </c>
      <c r="AC2417">
        <v>5</v>
      </c>
      <c r="AD2417">
        <v>6.9133397999999999E-2</v>
      </c>
      <c r="AG2417">
        <v>18932.054636199398</v>
      </c>
      <c r="AH2417">
        <v>141850000</v>
      </c>
    </row>
    <row r="2418" spans="27:34">
      <c r="AA2418">
        <v>16.96</v>
      </c>
      <c r="AB2418">
        <v>4.5999999999999996</v>
      </c>
      <c r="AC2418">
        <v>5</v>
      </c>
      <c r="AD2418">
        <v>6.9133397999999999E-2</v>
      </c>
    </row>
    <row r="2419" spans="27:34">
      <c r="AA2419">
        <v>16.96</v>
      </c>
      <c r="AB2419">
        <v>4.5999999999999996</v>
      </c>
      <c r="AC2419">
        <v>5</v>
      </c>
      <c r="AD2419">
        <v>6.9133397999999999E-2</v>
      </c>
    </row>
    <row r="2420" spans="27:34">
      <c r="AA2420">
        <v>5.22</v>
      </c>
      <c r="AB2420">
        <v>3.3</v>
      </c>
      <c r="AC2420">
        <v>970</v>
      </c>
      <c r="AD2420">
        <v>0.41695865500000001</v>
      </c>
      <c r="AE2420">
        <v>32</v>
      </c>
      <c r="AG2420">
        <v>493.52888411142902</v>
      </c>
      <c r="AH2420">
        <v>5440441</v>
      </c>
    </row>
    <row r="2421" spans="27:34">
      <c r="AA2421">
        <v>5.22</v>
      </c>
      <c r="AB2421">
        <v>3.3</v>
      </c>
      <c r="AC2421">
        <v>970</v>
      </c>
      <c r="AD2421">
        <v>0.41695865500000001</v>
      </c>
      <c r="AG2421">
        <v>545.06233261115597</v>
      </c>
      <c r="AH2421">
        <v>5660132</v>
      </c>
    </row>
    <row r="2422" spans="27:34">
      <c r="AA2422">
        <v>5.22</v>
      </c>
      <c r="AB2422">
        <v>3.3</v>
      </c>
      <c r="AC2422">
        <v>970</v>
      </c>
      <c r="AD2422">
        <v>0.41695865500000001</v>
      </c>
      <c r="AG2422">
        <v>581.16981413404994</v>
      </c>
      <c r="AH2422">
        <v>6150852</v>
      </c>
    </row>
    <row r="2423" spans="27:34">
      <c r="AA2423">
        <v>5.22</v>
      </c>
      <c r="AB2423">
        <v>3.3</v>
      </c>
      <c r="AC2423">
        <v>970</v>
      </c>
      <c r="AD2423">
        <v>0.41695865500000001</v>
      </c>
      <c r="AG2423">
        <v>578.67621560126497</v>
      </c>
      <c r="AH2423">
        <v>6800655</v>
      </c>
    </row>
    <row r="2424" spans="27:34">
      <c r="AA2424">
        <v>5.22</v>
      </c>
      <c r="AB2424">
        <v>3.3</v>
      </c>
      <c r="AC2424">
        <v>970</v>
      </c>
      <c r="AD2424">
        <v>0.41695865500000001</v>
      </c>
      <c r="AG2424">
        <v>577.14947038318996</v>
      </c>
      <c r="AH2424">
        <v>7443081</v>
      </c>
    </row>
    <row r="2425" spans="27:34">
      <c r="AA2425">
        <v>5.22</v>
      </c>
      <c r="AB2425">
        <v>3.3</v>
      </c>
      <c r="AC2425">
        <v>970</v>
      </c>
      <c r="AD2425">
        <v>0.41695865500000001</v>
      </c>
      <c r="AE2425">
        <v>40</v>
      </c>
      <c r="AF2425">
        <v>1.579</v>
      </c>
      <c r="AG2425">
        <v>596.16982391131899</v>
      </c>
      <c r="AH2425">
        <v>7957797</v>
      </c>
    </row>
    <row r="2426" spans="27:34">
      <c r="AA2426">
        <v>5.22</v>
      </c>
      <c r="AB2426">
        <v>3.3</v>
      </c>
      <c r="AC2426">
        <v>970</v>
      </c>
      <c r="AD2426">
        <v>0.41695865500000001</v>
      </c>
      <c r="AG2426">
        <v>633.46847252240104</v>
      </c>
      <c r="AH2426">
        <v>8310051</v>
      </c>
    </row>
    <row r="2427" spans="27:34">
      <c r="AA2427">
        <v>5.22</v>
      </c>
      <c r="AB2427">
        <v>3.3</v>
      </c>
      <c r="AC2427">
        <v>970</v>
      </c>
      <c r="AD2427">
        <v>0.41695865500000001</v>
      </c>
      <c r="AG2427">
        <v>695.43857812259603</v>
      </c>
      <c r="AH2427">
        <v>8538697</v>
      </c>
    </row>
    <row r="2428" spans="27:34">
      <c r="AA2428">
        <v>5.22</v>
      </c>
      <c r="AB2428">
        <v>3.3</v>
      </c>
      <c r="AC2428">
        <v>970</v>
      </c>
      <c r="AD2428">
        <v>0.41695865500000001</v>
      </c>
      <c r="AG2428">
        <v>713.78896053360097</v>
      </c>
      <c r="AH2428">
        <v>8685457</v>
      </c>
    </row>
    <row r="2429" spans="27:34">
      <c r="AA2429">
        <v>5.22</v>
      </c>
      <c r="AB2429">
        <v>3.3</v>
      </c>
      <c r="AC2429">
        <v>970</v>
      </c>
      <c r="AD2429">
        <v>0.41695865500000001</v>
      </c>
      <c r="AG2429">
        <v>776.34130626783406</v>
      </c>
      <c r="AH2429">
        <v>8819688</v>
      </c>
    </row>
    <row r="2430" spans="27:34">
      <c r="AA2430">
        <v>5.22</v>
      </c>
      <c r="AB2430">
        <v>3.3</v>
      </c>
      <c r="AC2430">
        <v>970</v>
      </c>
      <c r="AD2430">
        <v>0.41695865500000001</v>
      </c>
      <c r="AE2430">
        <v>49</v>
      </c>
      <c r="AG2430">
        <v>860.020951655717</v>
      </c>
      <c r="AH2430">
        <v>8992140</v>
      </c>
    </row>
    <row r="2431" spans="27:34">
      <c r="AA2431">
        <v>5.22</v>
      </c>
      <c r="AB2431">
        <v>3.3</v>
      </c>
      <c r="AC2431">
        <v>970</v>
      </c>
      <c r="AD2431">
        <v>0.41695865500000001</v>
      </c>
      <c r="AG2431">
        <v>946.75136994337095</v>
      </c>
      <c r="AH2431">
        <v>9209997</v>
      </c>
    </row>
    <row r="2432" spans="27:34">
      <c r="AA2432">
        <v>5.22</v>
      </c>
      <c r="AB2432">
        <v>3.3</v>
      </c>
      <c r="AC2432">
        <v>970</v>
      </c>
      <c r="AD2432">
        <v>0.41695865500000001</v>
      </c>
      <c r="AG2432">
        <v>1006.32989976087</v>
      </c>
      <c r="AH2432">
        <v>9454534</v>
      </c>
    </row>
    <row r="2433" spans="27:34">
      <c r="AA2433">
        <v>5.22</v>
      </c>
      <c r="AB2433">
        <v>3.3</v>
      </c>
      <c r="AC2433">
        <v>970</v>
      </c>
      <c r="AD2433">
        <v>0.41695865500000001</v>
      </c>
      <c r="AE2433">
        <v>54</v>
      </c>
      <c r="AG2433">
        <v>1112.1924768654701</v>
      </c>
      <c r="AH2433">
        <v>9720694</v>
      </c>
    </row>
    <row r="2434" spans="27:34">
      <c r="AA2434">
        <v>5.22</v>
      </c>
      <c r="AB2434">
        <v>3.3</v>
      </c>
      <c r="AC2434">
        <v>970</v>
      </c>
      <c r="AD2434">
        <v>0.41695865500000001</v>
      </c>
      <c r="AG2434">
        <v>1136.03135342766</v>
      </c>
      <c r="AH2434">
        <v>9997614</v>
      </c>
    </row>
    <row r="2435" spans="27:34">
      <c r="AA2435">
        <v>5.22</v>
      </c>
      <c r="AB2435">
        <v>3.3</v>
      </c>
      <c r="AC2435">
        <v>970</v>
      </c>
      <c r="AD2435">
        <v>0.41695865500000001</v>
      </c>
    </row>
    <row r="2436" spans="27:34">
      <c r="AA2436">
        <v>5.22</v>
      </c>
      <c r="AB2436">
        <v>3.3</v>
      </c>
      <c r="AC2436">
        <v>970</v>
      </c>
      <c r="AD2436">
        <v>0.41695865500000001</v>
      </c>
    </row>
    <row r="2437" spans="27:34">
      <c r="AA2437">
        <v>-10.69</v>
      </c>
      <c r="AB2437">
        <v>4.2</v>
      </c>
      <c r="AC2437">
        <v>28</v>
      </c>
      <c r="AD2437">
        <v>7.8811370000000006E-2</v>
      </c>
      <c r="AE2437">
        <v>96</v>
      </c>
      <c r="AG2437">
        <v>8571.3922264185003</v>
      </c>
      <c r="AH2437">
        <v>41000</v>
      </c>
    </row>
    <row r="2438" spans="27:34">
      <c r="AA2438">
        <v>-10.69</v>
      </c>
      <c r="AB2438">
        <v>4.2</v>
      </c>
      <c r="AC2438">
        <v>28</v>
      </c>
      <c r="AD2438">
        <v>7.8811370000000006E-2</v>
      </c>
      <c r="AG2438">
        <v>9336.4807702208509</v>
      </c>
      <c r="AH2438">
        <v>40870</v>
      </c>
    </row>
    <row r="2439" spans="27:34">
      <c r="AA2439">
        <v>-10.69</v>
      </c>
      <c r="AB2439">
        <v>4.2</v>
      </c>
      <c r="AC2439">
        <v>28</v>
      </c>
      <c r="AD2439">
        <v>7.8811370000000006E-2</v>
      </c>
      <c r="AG2439">
        <v>10177.7143577066</v>
      </c>
      <c r="AH2439">
        <v>40740</v>
      </c>
    </row>
    <row r="2440" spans="27:34">
      <c r="AA2440">
        <v>-10.69</v>
      </c>
      <c r="AB2440">
        <v>4.2</v>
      </c>
      <c r="AC2440">
        <v>28</v>
      </c>
      <c r="AD2440">
        <v>7.8811370000000006E-2</v>
      </c>
      <c r="AG2440">
        <v>10568.7999058857</v>
      </c>
      <c r="AH2440">
        <v>40130</v>
      </c>
    </row>
    <row r="2441" spans="27:34">
      <c r="AA2441">
        <v>-10.69</v>
      </c>
      <c r="AB2441">
        <v>4.2</v>
      </c>
      <c r="AC2441">
        <v>28</v>
      </c>
      <c r="AD2441">
        <v>7.8811370000000006E-2</v>
      </c>
      <c r="AG2441">
        <v>10713.8028188672</v>
      </c>
      <c r="AH2441">
        <v>42260</v>
      </c>
    </row>
    <row r="2442" spans="27:34">
      <c r="AA2442">
        <v>-10.69</v>
      </c>
      <c r="AB2442">
        <v>4.2</v>
      </c>
      <c r="AC2442">
        <v>28</v>
      </c>
      <c r="AD2442">
        <v>7.8811370000000006E-2</v>
      </c>
      <c r="AE2442">
        <v>96</v>
      </c>
      <c r="AG2442">
        <v>10735.818006715701</v>
      </c>
      <c r="AH2442">
        <v>44286</v>
      </c>
    </row>
    <row r="2443" spans="27:34">
      <c r="AA2443">
        <v>-10.69</v>
      </c>
      <c r="AB2443">
        <v>4.2</v>
      </c>
      <c r="AC2443">
        <v>28</v>
      </c>
      <c r="AD2443">
        <v>7.8811370000000006E-2</v>
      </c>
      <c r="AG2443">
        <v>10760.599391264799</v>
      </c>
      <c r="AH2443">
        <v>46111</v>
      </c>
    </row>
    <row r="2444" spans="27:34">
      <c r="AA2444">
        <v>-10.69</v>
      </c>
      <c r="AB2444">
        <v>4.2</v>
      </c>
      <c r="AC2444">
        <v>28</v>
      </c>
      <c r="AD2444">
        <v>7.8811370000000006E-2</v>
      </c>
      <c r="AE2444">
        <v>96</v>
      </c>
      <c r="AG2444">
        <v>10905.785942190199</v>
      </c>
      <c r="AH2444">
        <v>46710</v>
      </c>
    </row>
    <row r="2445" spans="27:34">
      <c r="AA2445">
        <v>-10.69</v>
      </c>
      <c r="AB2445">
        <v>4.2</v>
      </c>
      <c r="AC2445">
        <v>28</v>
      </c>
      <c r="AD2445">
        <v>7.8811370000000006E-2</v>
      </c>
      <c r="AG2445">
        <v>11193.1644630008</v>
      </c>
      <c r="AH2445">
        <v>46710</v>
      </c>
    </row>
    <row r="2446" spans="27:34">
      <c r="AA2446">
        <v>-10.69</v>
      </c>
      <c r="AB2446">
        <v>4.2</v>
      </c>
      <c r="AC2446">
        <v>28</v>
      </c>
      <c r="AD2446">
        <v>7.8811370000000006E-2</v>
      </c>
      <c r="AE2446">
        <v>95</v>
      </c>
      <c r="AG2446">
        <v>12316.8309728598</v>
      </c>
      <c r="AH2446">
        <v>46984.811417035402</v>
      </c>
    </row>
    <row r="2447" spans="27:34">
      <c r="AA2447">
        <v>-10.69</v>
      </c>
      <c r="AB2447">
        <v>4.2</v>
      </c>
      <c r="AC2447">
        <v>28</v>
      </c>
      <c r="AD2447">
        <v>7.8811370000000006E-2</v>
      </c>
      <c r="AE2447">
        <v>96</v>
      </c>
      <c r="AG2447">
        <v>13157.513567387699</v>
      </c>
      <c r="AH2447">
        <v>48000</v>
      </c>
    </row>
    <row r="2448" spans="27:34">
      <c r="AA2448">
        <v>-10.69</v>
      </c>
      <c r="AB2448">
        <v>4.2</v>
      </c>
      <c r="AC2448">
        <v>28</v>
      </c>
      <c r="AD2448">
        <v>7.8811370000000006E-2</v>
      </c>
      <c r="AG2448">
        <v>14217.0792073344</v>
      </c>
      <c r="AH2448">
        <v>48393</v>
      </c>
    </row>
    <row r="2449" spans="27:34">
      <c r="AA2449">
        <v>-10.69</v>
      </c>
      <c r="AB2449">
        <v>4.2</v>
      </c>
      <c r="AC2449">
        <v>28</v>
      </c>
      <c r="AD2449">
        <v>7.8811370000000006E-2</v>
      </c>
      <c r="AG2449">
        <v>14880.252019278299</v>
      </c>
      <c r="AH2449">
        <v>48789.841867090297</v>
      </c>
    </row>
    <row r="2450" spans="27:34">
      <c r="AA2450">
        <v>-10.69</v>
      </c>
      <c r="AB2450">
        <v>4.2</v>
      </c>
      <c r="AC2450">
        <v>28</v>
      </c>
      <c r="AD2450">
        <v>7.8811370000000006E-2</v>
      </c>
      <c r="AE2450">
        <v>96</v>
      </c>
      <c r="AG2450">
        <v>15780.772652012</v>
      </c>
      <c r="AH2450">
        <v>49189.937995488501</v>
      </c>
    </row>
    <row r="2451" spans="27:34">
      <c r="AA2451">
        <v>-10.69</v>
      </c>
      <c r="AB2451">
        <v>4.2</v>
      </c>
      <c r="AC2451">
        <v>28</v>
      </c>
      <c r="AD2451">
        <v>7.8811370000000006E-2</v>
      </c>
      <c r="AG2451">
        <v>14526.7131928709</v>
      </c>
      <c r="AH2451">
        <v>49593.315071432997</v>
      </c>
    </row>
    <row r="2452" spans="27:34">
      <c r="AA2452">
        <v>-10.69</v>
      </c>
      <c r="AB2452">
        <v>4.2</v>
      </c>
      <c r="AC2452">
        <v>28</v>
      </c>
      <c r="AD2452">
        <v>7.8811370000000006E-2</v>
      </c>
    </row>
    <row r="2453" spans="27:34">
      <c r="AA2453">
        <v>-10.69</v>
      </c>
      <c r="AB2453">
        <v>4.2</v>
      </c>
      <c r="AC2453">
        <v>28</v>
      </c>
      <c r="AD2453">
        <v>7.8811370000000006E-2</v>
      </c>
    </row>
    <row r="2454" spans="27:34">
      <c r="AA2454">
        <v>-14.2</v>
      </c>
      <c r="AB2454">
        <v>4.4000000000000004</v>
      </c>
      <c r="AC2454">
        <v>2</v>
      </c>
      <c r="AD2454">
        <v>0.124423963</v>
      </c>
      <c r="AE2454">
        <v>89</v>
      </c>
      <c r="AG2454">
        <v>6328.1512544991001</v>
      </c>
      <c r="AH2454">
        <v>145437</v>
      </c>
    </row>
    <row r="2455" spans="27:34">
      <c r="AA2455">
        <v>-14.2</v>
      </c>
      <c r="AB2455">
        <v>4.4000000000000004</v>
      </c>
      <c r="AC2455">
        <v>2</v>
      </c>
      <c r="AD2455">
        <v>0.124423963</v>
      </c>
      <c r="AG2455">
        <v>6723.40061354932</v>
      </c>
      <c r="AH2455">
        <v>147062</v>
      </c>
    </row>
    <row r="2456" spans="27:34">
      <c r="AA2456">
        <v>-14.2</v>
      </c>
      <c r="AB2456">
        <v>4.4000000000000004</v>
      </c>
      <c r="AC2456">
        <v>2</v>
      </c>
      <c r="AD2456">
        <v>0.124423963</v>
      </c>
      <c r="AG2456">
        <v>6750.7079820027802</v>
      </c>
      <c r="AH2456">
        <v>149666</v>
      </c>
    </row>
    <row r="2457" spans="27:34">
      <c r="AA2457">
        <v>-14.2</v>
      </c>
      <c r="AB2457">
        <v>4.4000000000000004</v>
      </c>
      <c r="AC2457">
        <v>2</v>
      </c>
      <c r="AD2457">
        <v>0.124423963</v>
      </c>
      <c r="AG2457">
        <v>7151.5707393578105</v>
      </c>
      <c r="AH2457">
        <v>151952</v>
      </c>
    </row>
    <row r="2458" spans="27:34">
      <c r="AA2458">
        <v>-14.2</v>
      </c>
      <c r="AB2458">
        <v>4.4000000000000004</v>
      </c>
      <c r="AC2458">
        <v>2</v>
      </c>
      <c r="AD2458">
        <v>0.124423963</v>
      </c>
      <c r="AG2458">
        <v>7342.9149793870602</v>
      </c>
      <c r="AH2458">
        <v>153703</v>
      </c>
    </row>
    <row r="2459" spans="27:34">
      <c r="AA2459">
        <v>-14.2</v>
      </c>
      <c r="AB2459">
        <v>4.4000000000000004</v>
      </c>
      <c r="AC2459">
        <v>2</v>
      </c>
      <c r="AD2459">
        <v>0.124423963</v>
      </c>
      <c r="AE2459">
        <v>89</v>
      </c>
      <c r="AG2459">
        <v>7391.15838787352</v>
      </c>
      <c r="AH2459">
        <v>155996</v>
      </c>
    </row>
    <row r="2460" spans="27:34">
      <c r="AA2460">
        <v>-14.2</v>
      </c>
      <c r="AB2460">
        <v>4.4000000000000004</v>
      </c>
      <c r="AC2460">
        <v>2</v>
      </c>
      <c r="AD2460">
        <v>0.124423963</v>
      </c>
      <c r="AG2460">
        <v>7085.3785886041996</v>
      </c>
      <c r="AH2460">
        <v>157897</v>
      </c>
    </row>
    <row r="2461" spans="27:34">
      <c r="AA2461">
        <v>-14.2</v>
      </c>
      <c r="AB2461">
        <v>4.4000000000000004</v>
      </c>
      <c r="AC2461">
        <v>2</v>
      </c>
      <c r="AD2461">
        <v>0.124423963</v>
      </c>
      <c r="AE2461">
        <v>89</v>
      </c>
      <c r="AG2461">
        <v>7366.4422439711097</v>
      </c>
      <c r="AH2461">
        <v>159133</v>
      </c>
    </row>
    <row r="2462" spans="27:34">
      <c r="AA2462">
        <v>-14.2</v>
      </c>
      <c r="AB2462">
        <v>4.4000000000000004</v>
      </c>
      <c r="AC2462">
        <v>2</v>
      </c>
      <c r="AD2462">
        <v>0.124423963</v>
      </c>
      <c r="AG2462">
        <v>7606.9772251247896</v>
      </c>
      <c r="AH2462">
        <v>160620</v>
      </c>
    </row>
    <row r="2463" spans="27:34">
      <c r="AA2463">
        <v>-14.2</v>
      </c>
      <c r="AB2463">
        <v>4.4000000000000004</v>
      </c>
      <c r="AC2463">
        <v>2</v>
      </c>
      <c r="AD2463">
        <v>0.124423963</v>
      </c>
      <c r="AE2463">
        <v>89</v>
      </c>
      <c r="AG2463">
        <v>8170.5377620286199</v>
      </c>
      <c r="AH2463">
        <v>162434</v>
      </c>
    </row>
    <row r="2464" spans="27:34">
      <c r="AA2464">
        <v>-14.2</v>
      </c>
      <c r="AB2464">
        <v>4.4000000000000004</v>
      </c>
      <c r="AC2464">
        <v>2</v>
      </c>
      <c r="AD2464">
        <v>0.124423963</v>
      </c>
      <c r="AG2464">
        <v>8683.2694065649903</v>
      </c>
      <c r="AH2464">
        <v>164791</v>
      </c>
    </row>
    <row r="2465" spans="27:34">
      <c r="AA2465">
        <v>-14.2</v>
      </c>
      <c r="AB2465">
        <v>4.4000000000000004</v>
      </c>
      <c r="AC2465">
        <v>2</v>
      </c>
      <c r="AD2465">
        <v>0.124423963</v>
      </c>
      <c r="AG2465">
        <v>9376.73488151536</v>
      </c>
      <c r="AH2465">
        <v>166838</v>
      </c>
    </row>
    <row r="2466" spans="27:34">
      <c r="AA2466">
        <v>-14.2</v>
      </c>
      <c r="AB2466">
        <v>4.4000000000000004</v>
      </c>
      <c r="AC2466">
        <v>2</v>
      </c>
      <c r="AD2466">
        <v>0.124423963</v>
      </c>
      <c r="AG2466">
        <v>9818.5833130245901</v>
      </c>
      <c r="AH2466">
        <v>168338</v>
      </c>
    </row>
    <row r="2467" spans="27:34">
      <c r="AA2467">
        <v>-14.2</v>
      </c>
      <c r="AB2467">
        <v>4.4000000000000004</v>
      </c>
      <c r="AC2467">
        <v>2</v>
      </c>
      <c r="AD2467">
        <v>0.124423963</v>
      </c>
      <c r="AG2467">
        <v>10007.066729385</v>
      </c>
      <c r="AH2467">
        <v>170204.56010414899</v>
      </c>
    </row>
    <row r="2468" spans="27:34">
      <c r="AA2468">
        <v>-14.2</v>
      </c>
      <c r="AB2468">
        <v>4.4000000000000004</v>
      </c>
      <c r="AC2468">
        <v>2</v>
      </c>
      <c r="AD2468">
        <v>0.124423963</v>
      </c>
      <c r="AG2468">
        <v>9604.6588176220794</v>
      </c>
      <c r="AH2468">
        <v>172091.81694119601</v>
      </c>
    </row>
    <row r="2469" spans="27:34">
      <c r="AA2469">
        <v>-14.2</v>
      </c>
      <c r="AB2469">
        <v>4.4000000000000004</v>
      </c>
      <c r="AC2469">
        <v>2</v>
      </c>
      <c r="AD2469">
        <v>0.124423963</v>
      </c>
    </row>
    <row r="2470" spans="27:34">
      <c r="AA2470">
        <v>-14.2</v>
      </c>
      <c r="AB2470">
        <v>4.4000000000000004</v>
      </c>
      <c r="AC2470">
        <v>2</v>
      </c>
      <c r="AD2470">
        <v>0.124423963</v>
      </c>
    </row>
    <row r="2471" spans="27:34">
      <c r="AA2471">
        <v>-11.62</v>
      </c>
      <c r="AB2471">
        <v>4.5999999999999996</v>
      </c>
      <c r="AC2471" t="e">
        <v>#N/A</v>
      </c>
      <c r="AD2471">
        <v>0.149544863</v>
      </c>
      <c r="AG2471">
        <v>3840.2328284003302</v>
      </c>
      <c r="AH2471">
        <v>108058</v>
      </c>
    </row>
    <row r="2472" spans="27:34">
      <c r="AA2472">
        <v>-11.62</v>
      </c>
      <c r="AB2472">
        <v>4.5999999999999996</v>
      </c>
      <c r="AD2472">
        <v>0.149544863</v>
      </c>
      <c r="AG2472">
        <v>3967.5458752896302</v>
      </c>
      <c r="AH2472">
        <v>108019</v>
      </c>
    </row>
    <row r="2473" spans="27:34">
      <c r="AA2473">
        <v>-11.62</v>
      </c>
      <c r="AB2473">
        <v>4.5999999999999996</v>
      </c>
      <c r="AD2473">
        <v>0.149544863</v>
      </c>
      <c r="AG2473">
        <v>4576.9283174714101</v>
      </c>
      <c r="AH2473">
        <v>107948</v>
      </c>
    </row>
    <row r="2474" spans="27:34">
      <c r="AA2474">
        <v>-11.62</v>
      </c>
      <c r="AB2474">
        <v>4.5999999999999996</v>
      </c>
      <c r="AD2474">
        <v>0.149544863</v>
      </c>
      <c r="AG2474">
        <v>4871.5400258462396</v>
      </c>
      <c r="AH2474">
        <v>107875</v>
      </c>
    </row>
    <row r="2475" spans="27:34">
      <c r="AA2475">
        <v>-11.62</v>
      </c>
      <c r="AB2475">
        <v>4.5999999999999996</v>
      </c>
      <c r="AD2475">
        <v>0.149544863</v>
      </c>
      <c r="AG2475">
        <v>5162.5372950319597</v>
      </c>
      <c r="AH2475">
        <v>107836</v>
      </c>
    </row>
    <row r="2476" spans="27:34">
      <c r="AA2476">
        <v>-11.62</v>
      </c>
      <c r="AB2476">
        <v>4.5999999999999996</v>
      </c>
      <c r="AD2476">
        <v>0.149544863</v>
      </c>
      <c r="AG2476">
        <v>5367.9974614405501</v>
      </c>
      <c r="AH2476">
        <v>107857</v>
      </c>
    </row>
    <row r="2477" spans="27:34">
      <c r="AA2477">
        <v>-11.62</v>
      </c>
      <c r="AB2477">
        <v>4.5999999999999996</v>
      </c>
      <c r="AD2477">
        <v>0.149544863</v>
      </c>
      <c r="AG2477">
        <v>5606.8444528237596</v>
      </c>
      <c r="AH2477">
        <v>107953</v>
      </c>
    </row>
    <row r="2478" spans="27:34">
      <c r="AA2478">
        <v>-11.62</v>
      </c>
      <c r="AB2478">
        <v>4.5999999999999996</v>
      </c>
      <c r="AD2478">
        <v>0.149544863</v>
      </c>
      <c r="AG2478">
        <v>5907.89470818879</v>
      </c>
      <c r="AH2478">
        <v>108116</v>
      </c>
    </row>
    <row r="2479" spans="27:34">
      <c r="AA2479">
        <v>-11.62</v>
      </c>
      <c r="AB2479">
        <v>4.5999999999999996</v>
      </c>
      <c r="AD2479">
        <v>0.149544863</v>
      </c>
      <c r="AG2479">
        <v>6208.9372495826001</v>
      </c>
      <c r="AH2479">
        <v>108321</v>
      </c>
    </row>
    <row r="2480" spans="27:34">
      <c r="AA2480">
        <v>-11.62</v>
      </c>
      <c r="AB2480">
        <v>4.5999999999999996</v>
      </c>
      <c r="AD2480">
        <v>0.149544863</v>
      </c>
      <c r="AG2480">
        <v>6791.6302277681098</v>
      </c>
      <c r="AH2480">
        <v>108531</v>
      </c>
    </row>
    <row r="2481" spans="27:34">
      <c r="AA2481">
        <v>-11.62</v>
      </c>
      <c r="AB2481">
        <v>4.5999999999999996</v>
      </c>
      <c r="AD2481">
        <v>0.149544863</v>
      </c>
      <c r="AG2481">
        <v>7155.2252999703196</v>
      </c>
      <c r="AH2481">
        <v>108716</v>
      </c>
    </row>
    <row r="2482" spans="27:34">
      <c r="AA2482">
        <v>-11.62</v>
      </c>
      <c r="AB2482">
        <v>4.5999999999999996</v>
      </c>
      <c r="AD2482">
        <v>0.149544863</v>
      </c>
      <c r="AG2482">
        <v>8080.4039985725603</v>
      </c>
      <c r="AH2482">
        <v>108872</v>
      </c>
    </row>
    <row r="2483" spans="27:34">
      <c r="AA2483">
        <v>-11.62</v>
      </c>
      <c r="AB2483">
        <v>4.5999999999999996</v>
      </c>
      <c r="AD2483">
        <v>0.149544863</v>
      </c>
      <c r="AG2483">
        <v>9044.6306191425392</v>
      </c>
      <c r="AH2483">
        <v>109005</v>
      </c>
    </row>
    <row r="2484" spans="27:34">
      <c r="AA2484">
        <v>-11.62</v>
      </c>
      <c r="AB2484">
        <v>4.5999999999999996</v>
      </c>
      <c r="AD2484">
        <v>0.149544863</v>
      </c>
      <c r="AG2484">
        <v>9336.2853914828702</v>
      </c>
      <c r="AH2484">
        <v>109117</v>
      </c>
    </row>
    <row r="2485" spans="27:34">
      <c r="AA2485">
        <v>-11.62</v>
      </c>
      <c r="AB2485">
        <v>4.5999999999999996</v>
      </c>
      <c r="AD2485">
        <v>0.149544863</v>
      </c>
      <c r="AG2485">
        <v>9153.7000968697703</v>
      </c>
      <c r="AH2485">
        <v>109209</v>
      </c>
    </row>
    <row r="2486" spans="27:34">
      <c r="AA2486">
        <v>-11.62</v>
      </c>
      <c r="AB2486">
        <v>4.5999999999999996</v>
      </c>
      <c r="AD2486">
        <v>0.149544863</v>
      </c>
    </row>
    <row r="2487" spans="27:34">
      <c r="AA2487">
        <v>-11.62</v>
      </c>
      <c r="AB2487">
        <v>4.5999999999999996</v>
      </c>
      <c r="AD2487">
        <v>0.149544863</v>
      </c>
    </row>
    <row r="2488" spans="27:34">
      <c r="AA2488">
        <v>-5.73</v>
      </c>
      <c r="AB2488">
        <v>4.9000000000000004</v>
      </c>
      <c r="AC2488">
        <v>63</v>
      </c>
      <c r="AD2488">
        <v>0.212719298</v>
      </c>
      <c r="AE2488">
        <v>99</v>
      </c>
      <c r="AG2488">
        <v>2158.63096044139</v>
      </c>
      <c r="AH2488">
        <v>168285</v>
      </c>
    </row>
    <row r="2489" spans="27:34">
      <c r="AA2489">
        <v>-5.73</v>
      </c>
      <c r="AB2489">
        <v>4.9000000000000004</v>
      </c>
      <c r="AC2489">
        <v>63</v>
      </c>
      <c r="AD2489">
        <v>0.212719298</v>
      </c>
      <c r="AG2489">
        <v>2335.81267559255</v>
      </c>
      <c r="AH2489">
        <v>170023</v>
      </c>
    </row>
    <row r="2490" spans="27:34">
      <c r="AA2490">
        <v>-5.73</v>
      </c>
      <c r="AB2490">
        <v>4.9000000000000004</v>
      </c>
      <c r="AC2490">
        <v>63</v>
      </c>
      <c r="AD2490">
        <v>0.212719298</v>
      </c>
      <c r="AG2490">
        <v>2370.8696182417402</v>
      </c>
      <c r="AH2490">
        <v>171849</v>
      </c>
    </row>
    <row r="2491" spans="27:34">
      <c r="AA2491">
        <v>-5.73</v>
      </c>
      <c r="AB2491">
        <v>4.9000000000000004</v>
      </c>
      <c r="AC2491">
        <v>63</v>
      </c>
      <c r="AD2491">
        <v>0.212719298</v>
      </c>
      <c r="AG2491">
        <v>2429.75225337765</v>
      </c>
      <c r="AH2491">
        <v>173642</v>
      </c>
    </row>
    <row r="2492" spans="27:34">
      <c r="AA2492">
        <v>-5.73</v>
      </c>
      <c r="AB2492">
        <v>4.9000000000000004</v>
      </c>
      <c r="AC2492">
        <v>63</v>
      </c>
      <c r="AD2492">
        <v>0.212719298</v>
      </c>
      <c r="AG2492">
        <v>2498.4880583753402</v>
      </c>
      <c r="AH2492">
        <v>175249</v>
      </c>
    </row>
    <row r="2493" spans="27:34">
      <c r="AA2493">
        <v>-5.73</v>
      </c>
      <c r="AB2493">
        <v>4.9000000000000004</v>
      </c>
      <c r="AC2493">
        <v>63</v>
      </c>
      <c r="AD2493">
        <v>0.212719298</v>
      </c>
      <c r="AE2493">
        <v>100</v>
      </c>
      <c r="AG2493">
        <v>2711.6473250620102</v>
      </c>
      <c r="AH2493">
        <v>176556</v>
      </c>
    </row>
    <row r="2494" spans="27:34">
      <c r="AA2494">
        <v>-5.73</v>
      </c>
      <c r="AB2494">
        <v>4.9000000000000004</v>
      </c>
      <c r="AC2494">
        <v>63</v>
      </c>
      <c r="AD2494">
        <v>0.212719298</v>
      </c>
      <c r="AG2494">
        <v>2953.5714857000598</v>
      </c>
      <c r="AH2494">
        <v>177525</v>
      </c>
    </row>
    <row r="2495" spans="27:34">
      <c r="AA2495">
        <v>-5.73</v>
      </c>
      <c r="AB2495">
        <v>4.9000000000000004</v>
      </c>
      <c r="AC2495">
        <v>63</v>
      </c>
      <c r="AD2495">
        <v>0.212719298</v>
      </c>
      <c r="AG2495">
        <v>3122.2268751930701</v>
      </c>
      <c r="AH2495">
        <v>178187</v>
      </c>
    </row>
    <row r="2496" spans="27:34">
      <c r="AA2496">
        <v>-5.73</v>
      </c>
      <c r="AB2496">
        <v>4.9000000000000004</v>
      </c>
      <c r="AC2496">
        <v>63</v>
      </c>
      <c r="AD2496">
        <v>0.212719298</v>
      </c>
      <c r="AG2496">
        <v>3333.83340841577</v>
      </c>
      <c r="AH2496">
        <v>178595</v>
      </c>
    </row>
    <row r="2497" spans="27:34">
      <c r="AA2497">
        <v>-5.73</v>
      </c>
      <c r="AB2497">
        <v>4.9000000000000004</v>
      </c>
      <c r="AC2497">
        <v>63</v>
      </c>
      <c r="AD2497">
        <v>0.212719298</v>
      </c>
      <c r="AG2497">
        <v>3587.8799028979001</v>
      </c>
      <c r="AH2497">
        <v>178831</v>
      </c>
    </row>
    <row r="2498" spans="27:34">
      <c r="AA2498">
        <v>-5.73</v>
      </c>
      <c r="AB2498">
        <v>4.9000000000000004</v>
      </c>
      <c r="AC2498">
        <v>63</v>
      </c>
      <c r="AD2498">
        <v>0.212719298</v>
      </c>
      <c r="AE2498">
        <v>100</v>
      </c>
      <c r="AG2498">
        <v>3858.3146930350599</v>
      </c>
      <c r="AH2498">
        <v>178966</v>
      </c>
    </row>
    <row r="2499" spans="27:34">
      <c r="AA2499">
        <v>-5.73</v>
      </c>
      <c r="AB2499">
        <v>4.9000000000000004</v>
      </c>
      <c r="AC2499">
        <v>63</v>
      </c>
      <c r="AD2499">
        <v>0.212719298</v>
      </c>
      <c r="AG2499">
        <v>4068.6642801814901</v>
      </c>
      <c r="AH2499">
        <v>179004</v>
      </c>
    </row>
    <row r="2500" spans="27:34">
      <c r="AA2500">
        <v>-5.73</v>
      </c>
      <c r="AB2500">
        <v>4.9000000000000004</v>
      </c>
      <c r="AC2500">
        <v>63</v>
      </c>
      <c r="AD2500">
        <v>0.212719298</v>
      </c>
      <c r="AG2500">
        <v>4304.8498461064</v>
      </c>
      <c r="AH2500">
        <v>178948</v>
      </c>
    </row>
    <row r="2501" spans="27:34">
      <c r="AA2501">
        <v>-5.73</v>
      </c>
      <c r="AB2501">
        <v>4.9000000000000004</v>
      </c>
      <c r="AC2501">
        <v>63</v>
      </c>
      <c r="AD2501">
        <v>0.212719298</v>
      </c>
      <c r="AE2501">
        <v>100</v>
      </c>
      <c r="AG2501">
        <v>4620.5104896755101</v>
      </c>
      <c r="AH2501">
        <v>178869</v>
      </c>
    </row>
    <row r="2502" spans="27:34">
      <c r="AA2502">
        <v>-5.73</v>
      </c>
      <c r="AB2502">
        <v>4.9000000000000004</v>
      </c>
      <c r="AC2502">
        <v>63</v>
      </c>
      <c r="AD2502">
        <v>0.212719298</v>
      </c>
      <c r="AG2502">
        <v>4405.3351108906199</v>
      </c>
      <c r="AH2502">
        <v>178846</v>
      </c>
    </row>
    <row r="2503" spans="27:34">
      <c r="AA2503">
        <v>-5.73</v>
      </c>
      <c r="AB2503">
        <v>4.9000000000000004</v>
      </c>
      <c r="AC2503">
        <v>63</v>
      </c>
      <c r="AD2503">
        <v>0.212719298</v>
      </c>
    </row>
    <row r="2504" spans="27:34">
      <c r="AA2504">
        <v>-5.73</v>
      </c>
      <c r="AB2504">
        <v>4.9000000000000004</v>
      </c>
      <c r="AC2504">
        <v>63</v>
      </c>
      <c r="AD2504">
        <v>0.212719298</v>
      </c>
    </row>
    <row r="2505" spans="27:34">
      <c r="AA2505">
        <v>-5.1100000000000003</v>
      </c>
      <c r="AB2505">
        <v>1.2</v>
      </c>
      <c r="AC2505" t="e">
        <v>#N/A</v>
      </c>
      <c r="AD2505">
        <v>5.5072464000000002E-2</v>
      </c>
    </row>
    <row r="2506" spans="27:34">
      <c r="AA2506">
        <v>-5.1100000000000003</v>
      </c>
      <c r="AB2506">
        <v>1.2</v>
      </c>
      <c r="AD2506">
        <v>5.5072464000000002E-2</v>
      </c>
    </row>
    <row r="2507" spans="27:34">
      <c r="AA2507">
        <v>-5.1100000000000003</v>
      </c>
      <c r="AB2507">
        <v>1.2</v>
      </c>
      <c r="AD2507">
        <v>5.5072464000000002E-2</v>
      </c>
    </row>
    <row r="2508" spans="27:34">
      <c r="AA2508">
        <v>-5.1100000000000003</v>
      </c>
      <c r="AB2508">
        <v>1.2</v>
      </c>
      <c r="AD2508">
        <v>5.5072464000000002E-2</v>
      </c>
    </row>
    <row r="2509" spans="27:34">
      <c r="AA2509">
        <v>-5.1100000000000003</v>
      </c>
      <c r="AB2509">
        <v>1.2</v>
      </c>
      <c r="AD2509">
        <v>5.5072464000000002E-2</v>
      </c>
    </row>
    <row r="2510" spans="27:34">
      <c r="AA2510">
        <v>-5.1100000000000003</v>
      </c>
      <c r="AB2510">
        <v>1.2</v>
      </c>
      <c r="AD2510">
        <v>5.5072464000000002E-2</v>
      </c>
    </row>
    <row r="2511" spans="27:34">
      <c r="AA2511">
        <v>-5.1100000000000003</v>
      </c>
      <c r="AB2511">
        <v>1.2</v>
      </c>
      <c r="AD2511">
        <v>5.5072464000000002E-2</v>
      </c>
    </row>
    <row r="2512" spans="27:34">
      <c r="AA2512">
        <v>-5.1100000000000003</v>
      </c>
      <c r="AB2512">
        <v>1.2</v>
      </c>
      <c r="AD2512">
        <v>5.5072464000000002E-2</v>
      </c>
    </row>
    <row r="2513" spans="27:34">
      <c r="AA2513">
        <v>-5.1100000000000003</v>
      </c>
      <c r="AB2513">
        <v>1.2</v>
      </c>
      <c r="AD2513">
        <v>5.5072464000000002E-2</v>
      </c>
    </row>
    <row r="2514" spans="27:34">
      <c r="AA2514">
        <v>-5.1100000000000003</v>
      </c>
      <c r="AB2514">
        <v>1.2</v>
      </c>
      <c r="AD2514">
        <v>5.5072464000000002E-2</v>
      </c>
      <c r="AH2514">
        <v>29457</v>
      </c>
    </row>
    <row r="2515" spans="27:34">
      <c r="AA2515">
        <v>-5.1100000000000003</v>
      </c>
      <c r="AB2515">
        <v>1.2</v>
      </c>
      <c r="AD2515">
        <v>5.5072464000000002E-2</v>
      </c>
      <c r="AH2515">
        <v>29836</v>
      </c>
    </row>
    <row r="2516" spans="27:34">
      <c r="AA2516">
        <v>-5.1100000000000003</v>
      </c>
      <c r="AB2516">
        <v>1.2</v>
      </c>
      <c r="AD2516">
        <v>5.5072464000000002E-2</v>
      </c>
      <c r="AH2516">
        <v>30184</v>
      </c>
    </row>
    <row r="2517" spans="27:34">
      <c r="AA2517">
        <v>-5.1100000000000003</v>
      </c>
      <c r="AB2517">
        <v>1.2</v>
      </c>
      <c r="AD2517">
        <v>5.5072464000000002E-2</v>
      </c>
      <c r="AH2517">
        <v>30580</v>
      </c>
    </row>
    <row r="2518" spans="27:34">
      <c r="AA2518">
        <v>-5.1100000000000003</v>
      </c>
      <c r="AB2518">
        <v>1.2</v>
      </c>
      <c r="AD2518">
        <v>5.5072464000000002E-2</v>
      </c>
      <c r="AH2518">
        <v>31031</v>
      </c>
    </row>
    <row r="2519" spans="27:34">
      <c r="AA2519">
        <v>-5.1100000000000003</v>
      </c>
      <c r="AB2519">
        <v>1.2</v>
      </c>
      <c r="AD2519">
        <v>5.5072464000000002E-2</v>
      </c>
      <c r="AH2519">
        <v>31451</v>
      </c>
    </row>
    <row r="2520" spans="27:34">
      <c r="AA2520">
        <v>-5.1100000000000003</v>
      </c>
      <c r="AB2520">
        <v>1.2</v>
      </c>
      <c r="AD2520">
        <v>5.5072464000000002E-2</v>
      </c>
    </row>
    <row r="2521" spans="27:34">
      <c r="AA2521">
        <v>-5.1100000000000003</v>
      </c>
      <c r="AB2521">
        <v>1.2</v>
      </c>
      <c r="AD2521">
        <v>5.5072464000000002E-2</v>
      </c>
    </row>
    <row r="2522" spans="27:34">
      <c r="AA2522">
        <v>9.7899999999999991</v>
      </c>
      <c r="AB2522">
        <v>4.4000000000000004</v>
      </c>
      <c r="AC2522">
        <v>428</v>
      </c>
      <c r="AD2522">
        <v>0.30032292799999999</v>
      </c>
      <c r="AE2522">
        <v>20</v>
      </c>
      <c r="AF2522">
        <v>0.3211</v>
      </c>
      <c r="AH2522">
        <v>127935</v>
      </c>
    </row>
    <row r="2523" spans="27:34">
      <c r="AA2523">
        <v>9.7899999999999991</v>
      </c>
      <c r="AB2523">
        <v>4.4000000000000004</v>
      </c>
      <c r="AC2523">
        <v>428</v>
      </c>
      <c r="AD2523">
        <v>0.30032292799999999</v>
      </c>
      <c r="AH2523">
        <v>130337</v>
      </c>
    </row>
    <row r="2524" spans="27:34">
      <c r="AA2524">
        <v>9.7899999999999991</v>
      </c>
      <c r="AB2524">
        <v>4.4000000000000004</v>
      </c>
      <c r="AC2524">
        <v>428</v>
      </c>
      <c r="AD2524">
        <v>0.30032292799999999</v>
      </c>
      <c r="AH2524">
        <v>132761</v>
      </c>
    </row>
    <row r="2525" spans="27:34">
      <c r="AA2525">
        <v>9.7899999999999991</v>
      </c>
      <c r="AB2525">
        <v>4.4000000000000004</v>
      </c>
      <c r="AC2525">
        <v>428</v>
      </c>
      <c r="AD2525">
        <v>0.30032292799999999</v>
      </c>
      <c r="AH2525">
        <v>135205</v>
      </c>
    </row>
    <row r="2526" spans="27:34">
      <c r="AA2526">
        <v>9.7899999999999991</v>
      </c>
      <c r="AB2526">
        <v>4.4000000000000004</v>
      </c>
      <c r="AC2526">
        <v>428</v>
      </c>
      <c r="AD2526">
        <v>0.30032292799999999</v>
      </c>
      <c r="AH2526">
        <v>137664</v>
      </c>
    </row>
    <row r="2527" spans="27:34">
      <c r="AA2527">
        <v>9.7899999999999991</v>
      </c>
      <c r="AB2527">
        <v>4.4000000000000004</v>
      </c>
      <c r="AC2527">
        <v>428</v>
      </c>
      <c r="AD2527">
        <v>0.30032292799999999</v>
      </c>
      <c r="AE2527">
        <v>21</v>
      </c>
      <c r="AH2527">
        <v>140131</v>
      </c>
    </row>
    <row r="2528" spans="27:34">
      <c r="AA2528">
        <v>9.7899999999999991</v>
      </c>
      <c r="AB2528">
        <v>4.4000000000000004</v>
      </c>
      <c r="AC2528">
        <v>428</v>
      </c>
      <c r="AD2528">
        <v>0.30032292799999999</v>
      </c>
      <c r="AG2528">
        <v>1036.9981767408599</v>
      </c>
      <c r="AH2528">
        <v>142610</v>
      </c>
    </row>
    <row r="2529" spans="27:34">
      <c r="AA2529">
        <v>9.7899999999999991</v>
      </c>
      <c r="AB2529">
        <v>4.4000000000000004</v>
      </c>
      <c r="AC2529">
        <v>428</v>
      </c>
      <c r="AD2529">
        <v>0.30032292799999999</v>
      </c>
      <c r="AG2529">
        <v>1155.71175762658</v>
      </c>
      <c r="AH2529">
        <v>145106</v>
      </c>
    </row>
    <row r="2530" spans="27:34">
      <c r="AA2530">
        <v>9.7899999999999991</v>
      </c>
      <c r="AB2530">
        <v>4.4000000000000004</v>
      </c>
      <c r="AC2530">
        <v>428</v>
      </c>
      <c r="AD2530">
        <v>0.30032292799999999</v>
      </c>
      <c r="AG2530">
        <v>1223.5326111894799</v>
      </c>
      <c r="AH2530">
        <v>147611</v>
      </c>
    </row>
    <row r="2531" spans="27:34">
      <c r="AA2531">
        <v>9.7899999999999991</v>
      </c>
      <c r="AB2531">
        <v>4.4000000000000004</v>
      </c>
      <c r="AC2531">
        <v>428</v>
      </c>
      <c r="AD2531">
        <v>0.30032292799999999</v>
      </c>
      <c r="AG2531">
        <v>1318.8714675741301</v>
      </c>
      <c r="AH2531">
        <v>150118</v>
      </c>
    </row>
    <row r="2532" spans="27:34">
      <c r="AA2532">
        <v>9.7899999999999991</v>
      </c>
      <c r="AB2532">
        <v>4.4000000000000004</v>
      </c>
      <c r="AC2532">
        <v>428</v>
      </c>
      <c r="AD2532">
        <v>0.30032292799999999</v>
      </c>
      <c r="AE2532">
        <v>24</v>
      </c>
      <c r="AG2532">
        <v>1416.4898813096199</v>
      </c>
      <c r="AH2532">
        <v>152622</v>
      </c>
    </row>
    <row r="2533" spans="27:34">
      <c r="AA2533">
        <v>9.7899999999999991</v>
      </c>
      <c r="AB2533">
        <v>4.4000000000000004</v>
      </c>
      <c r="AC2533">
        <v>428</v>
      </c>
      <c r="AD2533">
        <v>0.30032292799999999</v>
      </c>
      <c r="AG2533">
        <v>1535.00379249301</v>
      </c>
      <c r="AH2533">
        <v>155126</v>
      </c>
    </row>
    <row r="2534" spans="27:34">
      <c r="AA2534">
        <v>9.7899999999999991</v>
      </c>
      <c r="AB2534">
        <v>4.4000000000000004</v>
      </c>
      <c r="AC2534">
        <v>428</v>
      </c>
      <c r="AD2534">
        <v>0.30032292799999999</v>
      </c>
      <c r="AG2534">
        <v>1656.0535078570099</v>
      </c>
      <c r="AH2534">
        <v>157637</v>
      </c>
    </row>
    <row r="2535" spans="27:34">
      <c r="AA2535">
        <v>9.7899999999999991</v>
      </c>
      <c r="AB2535">
        <v>4.4000000000000004</v>
      </c>
      <c r="AC2535">
        <v>428</v>
      </c>
      <c r="AD2535">
        <v>0.30032292799999999</v>
      </c>
      <c r="AE2535">
        <v>26</v>
      </c>
      <c r="AG2535">
        <v>1762.0494607415001</v>
      </c>
      <c r="AH2535">
        <v>160174</v>
      </c>
    </row>
    <row r="2536" spans="27:34">
      <c r="AA2536">
        <v>9.7899999999999991</v>
      </c>
      <c r="AB2536">
        <v>4.4000000000000004</v>
      </c>
      <c r="AC2536">
        <v>428</v>
      </c>
      <c r="AD2536">
        <v>0.30032292799999999</v>
      </c>
      <c r="AG2536">
        <v>1819.98514837316</v>
      </c>
      <c r="AH2536">
        <v>162755</v>
      </c>
    </row>
    <row r="2537" spans="27:34">
      <c r="AA2537">
        <v>9.7899999999999991</v>
      </c>
      <c r="AB2537">
        <v>4.4000000000000004</v>
      </c>
      <c r="AC2537">
        <v>428</v>
      </c>
      <c r="AD2537">
        <v>0.30032292799999999</v>
      </c>
    </row>
    <row r="2538" spans="27:34">
      <c r="AA2538">
        <v>9.7899999999999991</v>
      </c>
      <c r="AB2538">
        <v>4.4000000000000004</v>
      </c>
      <c r="AC2538">
        <v>428</v>
      </c>
      <c r="AD2538">
        <v>0.30032292799999999</v>
      </c>
    </row>
    <row r="2539" spans="27:34">
      <c r="AA2539">
        <v>2.48</v>
      </c>
      <c r="AB2539">
        <v>3</v>
      </c>
      <c r="AC2539" t="e">
        <v>#N/A</v>
      </c>
      <c r="AD2539">
        <v>0.107769424</v>
      </c>
      <c r="AG2539">
        <v>16009.3718913598</v>
      </c>
      <c r="AH2539">
        <v>18271615.871087398</v>
      </c>
    </row>
    <row r="2540" spans="27:34">
      <c r="AA2540">
        <v>2.48</v>
      </c>
      <c r="AB2540">
        <v>3</v>
      </c>
      <c r="AD2540">
        <v>0.107769424</v>
      </c>
      <c r="AG2540">
        <v>16450.158737011901</v>
      </c>
      <c r="AH2540">
        <v>18735263.659175601</v>
      </c>
    </row>
    <row r="2541" spans="27:34">
      <c r="AA2541">
        <v>2.48</v>
      </c>
      <c r="AB2541">
        <v>3</v>
      </c>
      <c r="AD2541">
        <v>0.107769424</v>
      </c>
      <c r="AG2541">
        <v>16750.857527313801</v>
      </c>
      <c r="AH2541">
        <v>19210676.6503479</v>
      </c>
    </row>
    <row r="2542" spans="27:34">
      <c r="AA2542">
        <v>2.48</v>
      </c>
      <c r="AB2542">
        <v>3</v>
      </c>
      <c r="AD2542">
        <v>0.107769424</v>
      </c>
      <c r="AG2542">
        <v>16989.4115165943</v>
      </c>
      <c r="AH2542">
        <v>19698153.390197001</v>
      </c>
    </row>
    <row r="2543" spans="27:34">
      <c r="AA2543">
        <v>2.48</v>
      </c>
      <c r="AB2543">
        <v>3</v>
      </c>
      <c r="AD2543">
        <v>0.107769424</v>
      </c>
      <c r="AG2543">
        <v>16685.960849797801</v>
      </c>
      <c r="AH2543">
        <v>20198000</v>
      </c>
    </row>
    <row r="2544" spans="27:34">
      <c r="AA2544">
        <v>2.48</v>
      </c>
      <c r="AB2544">
        <v>3</v>
      </c>
      <c r="AD2544">
        <v>0.107769424</v>
      </c>
      <c r="AG2544">
        <v>17489.930817806999</v>
      </c>
      <c r="AH2544">
        <v>20644120.996898599</v>
      </c>
    </row>
    <row r="2545" spans="27:34">
      <c r="AA2545">
        <v>2.48</v>
      </c>
      <c r="AB2545">
        <v>3</v>
      </c>
      <c r="AD2545">
        <v>0.107769424</v>
      </c>
      <c r="AG2545">
        <v>17595.725819737399</v>
      </c>
      <c r="AH2545">
        <v>21100095.639894601</v>
      </c>
    </row>
    <row r="2546" spans="27:34">
      <c r="AA2546">
        <v>2.48</v>
      </c>
      <c r="AB2546">
        <v>3</v>
      </c>
      <c r="AD2546">
        <v>0.107769424</v>
      </c>
      <c r="AG2546">
        <v>17517.560707144101</v>
      </c>
      <c r="AH2546">
        <v>21566141.570260301</v>
      </c>
    </row>
    <row r="2547" spans="27:34">
      <c r="AA2547">
        <v>2.48</v>
      </c>
      <c r="AB2547">
        <v>3</v>
      </c>
      <c r="AD2547">
        <v>0.107769424</v>
      </c>
      <c r="AG2547">
        <v>18849.398231293799</v>
      </c>
      <c r="AH2547">
        <v>22042481.2363947</v>
      </c>
    </row>
    <row r="2548" spans="27:34">
      <c r="AA2548">
        <v>2.48</v>
      </c>
      <c r="AB2548">
        <v>3</v>
      </c>
      <c r="AD2548">
        <v>0.107769424</v>
      </c>
      <c r="AE2548" t="s">
        <v>424</v>
      </c>
      <c r="AG2548">
        <v>19963.675376215699</v>
      </c>
      <c r="AH2548">
        <v>22529342</v>
      </c>
    </row>
    <row r="2549" spans="27:34">
      <c r="AA2549">
        <v>2.48</v>
      </c>
      <c r="AB2549">
        <v>3</v>
      </c>
      <c r="AD2549">
        <v>0.107769424</v>
      </c>
      <c r="AF2549">
        <v>943.3</v>
      </c>
      <c r="AG2549">
        <v>21219.710820570599</v>
      </c>
      <c r="AH2549">
        <v>23118994</v>
      </c>
    </row>
    <row r="2550" spans="27:34">
      <c r="AA2550">
        <v>2.48</v>
      </c>
      <c r="AB2550">
        <v>3</v>
      </c>
      <c r="AD2550">
        <v>0.107769424</v>
      </c>
      <c r="AG2550">
        <v>22067.364922983401</v>
      </c>
      <c r="AH2550">
        <v>23678849</v>
      </c>
    </row>
    <row r="2551" spans="27:34">
      <c r="AA2551">
        <v>2.48</v>
      </c>
      <c r="AB2551">
        <v>3</v>
      </c>
      <c r="AD2551">
        <v>0.107769424</v>
      </c>
      <c r="AG2551">
        <v>22748.3313939941</v>
      </c>
      <c r="AH2551">
        <v>24236361.2603666</v>
      </c>
    </row>
    <row r="2552" spans="27:34">
      <c r="AA2552">
        <v>2.48</v>
      </c>
      <c r="AB2552">
        <v>3</v>
      </c>
      <c r="AD2552">
        <v>0.107769424</v>
      </c>
      <c r="AG2552">
        <v>23671.290941763898</v>
      </c>
      <c r="AH2552">
        <v>24807000</v>
      </c>
    </row>
    <row r="2553" spans="27:34">
      <c r="AA2553">
        <v>2.48</v>
      </c>
      <c r="AB2553">
        <v>3</v>
      </c>
      <c r="AD2553">
        <v>0.107769424</v>
      </c>
      <c r="AG2553">
        <v>23479.510648571901</v>
      </c>
      <c r="AH2553">
        <v>25391100</v>
      </c>
    </row>
    <row r="2554" spans="27:34">
      <c r="AA2554">
        <v>2.48</v>
      </c>
      <c r="AB2554">
        <v>3</v>
      </c>
      <c r="AD2554">
        <v>0.107769424</v>
      </c>
    </row>
    <row r="2555" spans="27:34">
      <c r="AA2555">
        <v>2.48</v>
      </c>
      <c r="AB2555">
        <v>3</v>
      </c>
      <c r="AD2555">
        <v>0.107769424</v>
      </c>
    </row>
    <row r="2556" spans="27:34">
      <c r="AA2556">
        <v>-9.34</v>
      </c>
      <c r="AB2556">
        <v>4.5</v>
      </c>
      <c r="AC2556">
        <v>530</v>
      </c>
      <c r="AD2556">
        <v>0.413149351</v>
      </c>
      <c r="AE2556">
        <v>41</v>
      </c>
      <c r="AG2556">
        <v>1116.2117886572801</v>
      </c>
      <c r="AH2556">
        <v>8659906</v>
      </c>
    </row>
    <row r="2557" spans="27:34">
      <c r="AA2557">
        <v>-9.34</v>
      </c>
      <c r="AB2557">
        <v>4.5</v>
      </c>
      <c r="AC2557">
        <v>530</v>
      </c>
      <c r="AD2557">
        <v>0.413149351</v>
      </c>
      <c r="AG2557">
        <v>1129.3671520411001</v>
      </c>
      <c r="AH2557">
        <v>8898207</v>
      </c>
    </row>
    <row r="2558" spans="27:34">
      <c r="AA2558">
        <v>-9.34</v>
      </c>
      <c r="AB2558">
        <v>4.5</v>
      </c>
      <c r="AC2558">
        <v>530</v>
      </c>
      <c r="AD2558">
        <v>0.413149351</v>
      </c>
      <c r="AG2558">
        <v>1153.7394575942701</v>
      </c>
      <c r="AH2558">
        <v>9141623</v>
      </c>
    </row>
    <row r="2559" spans="27:34">
      <c r="AA2559">
        <v>-9.34</v>
      </c>
      <c r="AB2559">
        <v>4.5</v>
      </c>
      <c r="AC2559">
        <v>530</v>
      </c>
      <c r="AD2559">
        <v>0.413149351</v>
      </c>
      <c r="AG2559">
        <v>1202.9193697150699</v>
      </c>
      <c r="AH2559">
        <v>9390097</v>
      </c>
    </row>
    <row r="2560" spans="27:34">
      <c r="AA2560">
        <v>-9.34</v>
      </c>
      <c r="AB2560">
        <v>4.5</v>
      </c>
      <c r="AC2560">
        <v>530</v>
      </c>
      <c r="AD2560">
        <v>0.413149351</v>
      </c>
      <c r="AG2560">
        <v>1263.9128895071799</v>
      </c>
      <c r="AH2560">
        <v>9643482</v>
      </c>
    </row>
    <row r="2561" spans="27:34">
      <c r="AA2561">
        <v>-9.34</v>
      </c>
      <c r="AB2561">
        <v>4.5</v>
      </c>
      <c r="AC2561">
        <v>530</v>
      </c>
      <c r="AD2561">
        <v>0.413149351</v>
      </c>
      <c r="AE2561">
        <v>45</v>
      </c>
      <c r="AF2561">
        <v>5.7240000000000002</v>
      </c>
      <c r="AG2561">
        <v>1297.8036203465499</v>
      </c>
      <c r="AH2561">
        <v>9901787</v>
      </c>
    </row>
    <row r="2562" spans="27:34">
      <c r="AA2562">
        <v>-9.34</v>
      </c>
      <c r="AB2562">
        <v>4.5</v>
      </c>
      <c r="AC2562">
        <v>530</v>
      </c>
      <c r="AD2562">
        <v>0.413149351</v>
      </c>
      <c r="AG2562">
        <v>1352.1202276296001</v>
      </c>
      <c r="AH2562">
        <v>10164729</v>
      </c>
    </row>
    <row r="2563" spans="27:34">
      <c r="AA2563">
        <v>-9.34</v>
      </c>
      <c r="AB2563">
        <v>4.5</v>
      </c>
      <c r="AC2563">
        <v>530</v>
      </c>
      <c r="AD2563">
        <v>0.413149351</v>
      </c>
      <c r="AG2563">
        <v>1347.5633523783799</v>
      </c>
      <c r="AH2563">
        <v>10432662</v>
      </c>
    </row>
    <row r="2564" spans="27:34">
      <c r="AA2564">
        <v>-9.34</v>
      </c>
      <c r="AB2564">
        <v>4.5</v>
      </c>
      <c r="AC2564">
        <v>530</v>
      </c>
      <c r="AD2564">
        <v>0.413149351</v>
      </c>
      <c r="AG2564">
        <v>1430.6915594201701</v>
      </c>
      <c r="AH2564">
        <v>10706962</v>
      </c>
    </row>
    <row r="2565" spans="27:34">
      <c r="AA2565">
        <v>-9.34</v>
      </c>
      <c r="AB2565">
        <v>4.5</v>
      </c>
      <c r="AC2565">
        <v>530</v>
      </c>
      <c r="AD2565">
        <v>0.413149351</v>
      </c>
      <c r="AG2565">
        <v>1518.00604368266</v>
      </c>
      <c r="AH2565">
        <v>10989452</v>
      </c>
    </row>
    <row r="2566" spans="27:34">
      <c r="AA2566">
        <v>-9.34</v>
      </c>
      <c r="AB2566">
        <v>4.5</v>
      </c>
      <c r="AC2566">
        <v>530</v>
      </c>
      <c r="AD2566">
        <v>0.413149351</v>
      </c>
      <c r="AE2566">
        <v>49</v>
      </c>
      <c r="AG2566">
        <v>1614.0309793726799</v>
      </c>
      <c r="AH2566">
        <v>11281296</v>
      </c>
    </row>
    <row r="2567" spans="27:34">
      <c r="AA2567">
        <v>-9.34</v>
      </c>
      <c r="AB2567">
        <v>4.5</v>
      </c>
      <c r="AC2567">
        <v>530</v>
      </c>
      <c r="AD2567">
        <v>0.413149351</v>
      </c>
      <c r="AG2567">
        <v>1664.1715458321801</v>
      </c>
      <c r="AH2567">
        <v>11582863</v>
      </c>
    </row>
    <row r="2568" spans="27:34">
      <c r="AA2568">
        <v>-9.34</v>
      </c>
      <c r="AB2568">
        <v>4.5</v>
      </c>
      <c r="AC2568">
        <v>530</v>
      </c>
      <c r="AD2568">
        <v>0.413149351</v>
      </c>
      <c r="AG2568">
        <v>1757.67213954062</v>
      </c>
      <c r="AH2568">
        <v>11893335</v>
      </c>
    </row>
    <row r="2569" spans="27:34">
      <c r="AA2569">
        <v>-9.34</v>
      </c>
      <c r="AB2569">
        <v>4.5</v>
      </c>
      <c r="AC2569">
        <v>530</v>
      </c>
      <c r="AD2569">
        <v>0.413149351</v>
      </c>
      <c r="AE2569">
        <v>51</v>
      </c>
      <c r="AG2569">
        <v>1807.5519011545</v>
      </c>
      <c r="AH2569">
        <v>12211181</v>
      </c>
    </row>
    <row r="2570" spans="27:34">
      <c r="AA2570">
        <v>-9.34</v>
      </c>
      <c r="AB2570">
        <v>4.5</v>
      </c>
      <c r="AC2570">
        <v>530</v>
      </c>
      <c r="AD2570">
        <v>0.413149351</v>
      </c>
      <c r="AG2570">
        <v>1816.57491991906</v>
      </c>
      <c r="AH2570">
        <v>12534228</v>
      </c>
    </row>
    <row r="2571" spans="27:34">
      <c r="AA2571">
        <v>-9.34</v>
      </c>
      <c r="AB2571">
        <v>4.5</v>
      </c>
      <c r="AC2571">
        <v>530</v>
      </c>
      <c r="AD2571">
        <v>0.413149351</v>
      </c>
    </row>
    <row r="2572" spans="27:34">
      <c r="AA2572">
        <v>-9.34</v>
      </c>
      <c r="AB2572">
        <v>4.5</v>
      </c>
      <c r="AC2572">
        <v>530</v>
      </c>
      <c r="AD2572">
        <v>0.413149351</v>
      </c>
    </row>
    <row r="2573" spans="27:34">
      <c r="AB2573" t="e">
        <v>#N/A</v>
      </c>
      <c r="AC2573" t="e">
        <v>#N/A</v>
      </c>
      <c r="AD2573">
        <v>2.2222222E-2</v>
      </c>
      <c r="AH2573">
        <v>7738986.5975478403</v>
      </c>
    </row>
    <row r="2574" spans="27:34">
      <c r="AB2574" t="e">
        <v>#N/A</v>
      </c>
      <c r="AD2574">
        <v>2.2222222E-2</v>
      </c>
      <c r="AH2574">
        <v>7708878.20504981</v>
      </c>
    </row>
    <row r="2575" spans="27:34">
      <c r="AB2575" t="e">
        <v>#N/A</v>
      </c>
      <c r="AD2575">
        <v>2.2222222E-2</v>
      </c>
      <c r="AG2575">
        <v>5788.3502009009399</v>
      </c>
      <c r="AH2575">
        <v>7649630.75190691</v>
      </c>
    </row>
    <row r="2576" spans="27:34">
      <c r="AB2576" t="e">
        <v>#N/A</v>
      </c>
      <c r="AD2576">
        <v>2.2222222E-2</v>
      </c>
      <c r="AG2576">
        <v>5958.5869255713096</v>
      </c>
      <c r="AH2576">
        <v>7567745</v>
      </c>
    </row>
    <row r="2577" spans="27:34">
      <c r="AB2577" t="e">
        <v>#N/A</v>
      </c>
      <c r="AD2577">
        <v>2.2222222E-2</v>
      </c>
      <c r="AG2577">
        <v>5388.2408111254499</v>
      </c>
      <c r="AH2577">
        <v>7540401</v>
      </c>
    </row>
    <row r="2578" spans="27:34">
      <c r="AB2578" t="e">
        <v>#N/A</v>
      </c>
      <c r="AD2578">
        <v>2.2222222E-2</v>
      </c>
      <c r="AE2578">
        <v>92</v>
      </c>
      <c r="AG2578">
        <v>5815.1263048859601</v>
      </c>
      <c r="AH2578">
        <v>7516346</v>
      </c>
    </row>
    <row r="2579" spans="27:34">
      <c r="AB2579" t="e">
        <v>#N/A</v>
      </c>
      <c r="AD2579">
        <v>2.2222222E-2</v>
      </c>
      <c r="AG2579">
        <v>6290.8008249351096</v>
      </c>
      <c r="AH2579">
        <v>7503433</v>
      </c>
    </row>
    <row r="2580" spans="27:34">
      <c r="AB2580" t="e">
        <v>#N/A</v>
      </c>
      <c r="AD2580">
        <v>2.2222222E-2</v>
      </c>
      <c r="AG2580">
        <v>6645.3390132592303</v>
      </c>
      <c r="AH2580">
        <v>7500031</v>
      </c>
    </row>
    <row r="2581" spans="27:34">
      <c r="AB2581" t="e">
        <v>#N/A</v>
      </c>
      <c r="AD2581">
        <v>2.2222222E-2</v>
      </c>
      <c r="AG2581">
        <v>6969.56175217078</v>
      </c>
      <c r="AH2581">
        <v>7480591</v>
      </c>
    </row>
    <row r="2582" spans="27:34">
      <c r="AB2582" t="e">
        <v>#N/A</v>
      </c>
      <c r="AD2582">
        <v>2.2222222E-2</v>
      </c>
      <c r="AG2582">
        <v>7780.1217440435203</v>
      </c>
      <c r="AH2582">
        <v>7463157</v>
      </c>
    </row>
    <row r="2583" spans="27:34">
      <c r="AB2583" t="e">
        <v>#N/A</v>
      </c>
      <c r="AD2583">
        <v>2.2222222E-2</v>
      </c>
      <c r="AE2583">
        <v>92</v>
      </c>
      <c r="AG2583">
        <v>8515.3221036281902</v>
      </c>
      <c r="AH2583">
        <v>7440769</v>
      </c>
    </row>
    <row r="2584" spans="27:34">
      <c r="AB2584" t="e">
        <v>#N/A</v>
      </c>
      <c r="AD2584">
        <v>2.2222222E-2</v>
      </c>
      <c r="AG2584">
        <v>9439.83629748147</v>
      </c>
      <c r="AH2584">
        <v>7411569</v>
      </c>
    </row>
    <row r="2585" spans="27:34">
      <c r="AB2585" t="e">
        <v>#N/A</v>
      </c>
      <c r="AD2585">
        <v>2.2222222E-2</v>
      </c>
      <c r="AG2585">
        <v>10234.7774538988</v>
      </c>
      <c r="AH2585">
        <v>7381579</v>
      </c>
    </row>
    <row r="2586" spans="27:34">
      <c r="AB2586" t="e">
        <v>#N/A</v>
      </c>
      <c r="AD2586">
        <v>2.2222222E-2</v>
      </c>
      <c r="AE2586">
        <v>92</v>
      </c>
      <c r="AG2586">
        <v>11827.4696703469</v>
      </c>
      <c r="AH2586">
        <v>7350221</v>
      </c>
    </row>
    <row r="2587" spans="27:34">
      <c r="AB2587" t="e">
        <v>#N/A</v>
      </c>
      <c r="AD2587">
        <v>2.2222222E-2</v>
      </c>
      <c r="AG2587">
        <v>11893.165855122499</v>
      </c>
      <c r="AH2587">
        <v>7319712.44757964</v>
      </c>
    </row>
    <row r="2588" spans="27:34">
      <c r="AB2588" t="e">
        <v>#N/A</v>
      </c>
      <c r="AD2588">
        <v>2.2222222E-2</v>
      </c>
    </row>
    <row r="2589" spans="27:34">
      <c r="AB2589" t="e">
        <v>#N/A</v>
      </c>
      <c r="AD2589">
        <v>2.2222222E-2</v>
      </c>
    </row>
    <row r="2590" spans="27:34">
      <c r="AA2590">
        <v>0.43</v>
      </c>
      <c r="AB2590">
        <v>4.9000000000000004</v>
      </c>
      <c r="AC2590" t="e">
        <v>#N/A</v>
      </c>
      <c r="AD2590">
        <v>0.18908629399999999</v>
      </c>
      <c r="AG2590">
        <v>11847.029729071601</v>
      </c>
      <c r="AH2590">
        <v>75304</v>
      </c>
    </row>
    <row r="2591" spans="27:34">
      <c r="AA2591">
        <v>0.43</v>
      </c>
      <c r="AB2591">
        <v>4.9000000000000004</v>
      </c>
      <c r="AD2591">
        <v>0.18908629399999999</v>
      </c>
      <c r="AG2591">
        <v>12482.789659431201</v>
      </c>
      <c r="AH2591">
        <v>76417</v>
      </c>
    </row>
    <row r="2592" spans="27:34">
      <c r="AA2592">
        <v>0.43</v>
      </c>
      <c r="AB2592">
        <v>4.9000000000000004</v>
      </c>
      <c r="AD2592">
        <v>0.18908629399999999</v>
      </c>
      <c r="AG2592">
        <v>14057.815677459799</v>
      </c>
      <c r="AH2592">
        <v>77319</v>
      </c>
    </row>
    <row r="2593" spans="27:34">
      <c r="AA2593">
        <v>0.43</v>
      </c>
      <c r="AB2593">
        <v>4.9000000000000004</v>
      </c>
      <c r="AD2593">
        <v>0.18908629399999999</v>
      </c>
      <c r="AG2593">
        <v>15113.057421096801</v>
      </c>
      <c r="AH2593">
        <v>78846</v>
      </c>
    </row>
    <row r="2594" spans="27:34">
      <c r="AA2594">
        <v>0.43</v>
      </c>
      <c r="AB2594">
        <v>4.9000000000000004</v>
      </c>
      <c r="AD2594">
        <v>0.18908629399999999</v>
      </c>
      <c r="AG2594">
        <v>15317.7682665333</v>
      </c>
      <c r="AH2594">
        <v>80410</v>
      </c>
    </row>
    <row r="2595" spans="27:34">
      <c r="AA2595">
        <v>0.43</v>
      </c>
      <c r="AB2595">
        <v>4.9000000000000004</v>
      </c>
      <c r="AD2595">
        <v>0.18908629399999999</v>
      </c>
      <c r="AG2595">
        <v>16169.7835507087</v>
      </c>
      <c r="AH2595">
        <v>81131</v>
      </c>
    </row>
    <row r="2596" spans="27:34">
      <c r="AA2596">
        <v>0.43</v>
      </c>
      <c r="AB2596">
        <v>4.9000000000000004</v>
      </c>
      <c r="AD2596">
        <v>0.18908629399999999</v>
      </c>
      <c r="AG2596">
        <v>16146.676697324499</v>
      </c>
      <c r="AH2596">
        <v>81202</v>
      </c>
    </row>
    <row r="2597" spans="27:34">
      <c r="AA2597">
        <v>0.43</v>
      </c>
      <c r="AB2597">
        <v>4.9000000000000004</v>
      </c>
      <c r="AD2597">
        <v>0.18908629399999999</v>
      </c>
      <c r="AG2597">
        <v>16112.3432433415</v>
      </c>
      <c r="AH2597">
        <v>83700</v>
      </c>
    </row>
    <row r="2598" spans="27:34">
      <c r="AA2598">
        <v>0.43</v>
      </c>
      <c r="AB2598">
        <v>4.9000000000000004</v>
      </c>
      <c r="AD2598">
        <v>0.18908629399999999</v>
      </c>
      <c r="AG2598">
        <v>15659.0019297773</v>
      </c>
      <c r="AH2598">
        <v>82800</v>
      </c>
    </row>
    <row r="2599" spans="27:34">
      <c r="AA2599">
        <v>0.43</v>
      </c>
      <c r="AB2599">
        <v>4.9000000000000004</v>
      </c>
      <c r="AD2599">
        <v>0.18908629399999999</v>
      </c>
      <c r="AG2599">
        <v>15700.749159167801</v>
      </c>
      <c r="AH2599">
        <v>82500</v>
      </c>
    </row>
    <row r="2600" spans="27:34">
      <c r="AA2600">
        <v>0.43</v>
      </c>
      <c r="AB2600">
        <v>4.9000000000000004</v>
      </c>
      <c r="AD2600">
        <v>0.18908629399999999</v>
      </c>
      <c r="AG2600">
        <v>17352.223693927499</v>
      </c>
      <c r="AH2600">
        <v>82900</v>
      </c>
    </row>
    <row r="2601" spans="27:34">
      <c r="AA2601">
        <v>0.43</v>
      </c>
      <c r="AB2601">
        <v>4.9000000000000004</v>
      </c>
      <c r="AD2601">
        <v>0.18908629399999999</v>
      </c>
      <c r="AG2601">
        <v>19013.8766220623</v>
      </c>
      <c r="AH2601">
        <v>84600</v>
      </c>
    </row>
    <row r="2602" spans="27:34">
      <c r="AA2602">
        <v>0.43</v>
      </c>
      <c r="AB2602">
        <v>4.9000000000000004</v>
      </c>
      <c r="AD2602">
        <v>0.18908629399999999</v>
      </c>
      <c r="AG2602">
        <v>21463.077115907301</v>
      </c>
      <c r="AH2602">
        <v>85032</v>
      </c>
    </row>
    <row r="2603" spans="27:34">
      <c r="AA2603">
        <v>0.43</v>
      </c>
      <c r="AB2603">
        <v>4.9000000000000004</v>
      </c>
      <c r="AD2603">
        <v>0.18908629399999999</v>
      </c>
      <c r="AG2603">
        <v>21255.265468309099</v>
      </c>
      <c r="AH2603">
        <v>86956</v>
      </c>
    </row>
    <row r="2604" spans="27:34">
      <c r="AA2604">
        <v>0.43</v>
      </c>
      <c r="AB2604">
        <v>4.9000000000000004</v>
      </c>
      <c r="AD2604">
        <v>0.18908629399999999</v>
      </c>
      <c r="AG2604">
        <v>19587.023927178299</v>
      </c>
      <c r="AH2604">
        <v>87972.063747533</v>
      </c>
    </row>
    <row r="2605" spans="27:34">
      <c r="AA2605">
        <v>0.43</v>
      </c>
      <c r="AB2605">
        <v>4.9000000000000004</v>
      </c>
      <c r="AD2605">
        <v>0.18908629399999999</v>
      </c>
    </row>
    <row r="2606" spans="27:34">
      <c r="AA2606">
        <v>0.43</v>
      </c>
      <c r="AB2606">
        <v>4.9000000000000004</v>
      </c>
      <c r="AD2606">
        <v>0.18908629399999999</v>
      </c>
    </row>
    <row r="2607" spans="27:34">
      <c r="AA2607">
        <v>14.08</v>
      </c>
      <c r="AB2607">
        <v>4.5999999999999996</v>
      </c>
      <c r="AC2607">
        <v>1473</v>
      </c>
      <c r="AD2607">
        <v>0.54928834999999998</v>
      </c>
      <c r="AE2607">
        <v>10</v>
      </c>
      <c r="AG2607">
        <v>434.504516980196</v>
      </c>
      <c r="AH2607">
        <v>3988533</v>
      </c>
    </row>
    <row r="2608" spans="27:34">
      <c r="AA2608">
        <v>14.08</v>
      </c>
      <c r="AB2608">
        <v>4.5999999999999996</v>
      </c>
      <c r="AC2608">
        <v>1473</v>
      </c>
      <c r="AD2608">
        <v>0.54928834999999998</v>
      </c>
      <c r="AG2608">
        <v>464.75499176357903</v>
      </c>
      <c r="AH2608">
        <v>3990238</v>
      </c>
    </row>
    <row r="2609" spans="27:34">
      <c r="AA2609">
        <v>14.08</v>
      </c>
      <c r="AB2609">
        <v>4.5999999999999996</v>
      </c>
      <c r="AC2609">
        <v>1473</v>
      </c>
      <c r="AD2609">
        <v>0.54928834999999998</v>
      </c>
      <c r="AG2609">
        <v>391.899686171685</v>
      </c>
      <c r="AH2609">
        <v>4009756</v>
      </c>
    </row>
    <row r="2610" spans="27:34">
      <c r="AA2610">
        <v>14.08</v>
      </c>
      <c r="AB2610">
        <v>4.5999999999999996</v>
      </c>
      <c r="AC2610">
        <v>1473</v>
      </c>
      <c r="AD2610">
        <v>0.54928834999999998</v>
      </c>
      <c r="AG2610">
        <v>388.85234306370302</v>
      </c>
      <c r="AH2610">
        <v>4052667</v>
      </c>
    </row>
    <row r="2611" spans="27:34">
      <c r="AA2611">
        <v>14.08</v>
      </c>
      <c r="AB2611">
        <v>4.5999999999999996</v>
      </c>
      <c r="AC2611">
        <v>1473</v>
      </c>
      <c r="AD2611">
        <v>0.54928834999999998</v>
      </c>
      <c r="AG2611">
        <v>356.19269283890702</v>
      </c>
      <c r="AH2611">
        <v>4124506</v>
      </c>
    </row>
    <row r="2612" spans="27:34">
      <c r="AA2612">
        <v>14.08</v>
      </c>
      <c r="AB2612">
        <v>4.5999999999999996</v>
      </c>
      <c r="AC2612">
        <v>1473</v>
      </c>
      <c r="AD2612">
        <v>0.54928834999999998</v>
      </c>
      <c r="AE2612">
        <v>11</v>
      </c>
      <c r="AF2612">
        <v>0.30830000000000002</v>
      </c>
      <c r="AG2612">
        <v>368.491618657228</v>
      </c>
      <c r="AH2612">
        <v>4228178</v>
      </c>
    </row>
    <row r="2613" spans="27:34">
      <c r="AA2613">
        <v>14.08</v>
      </c>
      <c r="AB2613">
        <v>4.5999999999999996</v>
      </c>
      <c r="AC2613">
        <v>1473</v>
      </c>
      <c r="AD2613">
        <v>0.54928834999999998</v>
      </c>
      <c r="AG2613">
        <v>431.08522416454701</v>
      </c>
      <c r="AH2613">
        <v>4367781</v>
      </c>
    </row>
    <row r="2614" spans="27:34">
      <c r="AA2614">
        <v>14.08</v>
      </c>
      <c r="AB2614">
        <v>4.5999999999999996</v>
      </c>
      <c r="AC2614">
        <v>1473</v>
      </c>
      <c r="AD2614">
        <v>0.54928834999999998</v>
      </c>
      <c r="AG2614">
        <v>537.17501582467503</v>
      </c>
      <c r="AH2614">
        <v>4540322</v>
      </c>
    </row>
    <row r="2615" spans="27:34">
      <c r="AA2615">
        <v>14.08</v>
      </c>
      <c r="AB2615">
        <v>4.5999999999999996</v>
      </c>
      <c r="AC2615">
        <v>1473</v>
      </c>
      <c r="AD2615">
        <v>0.54928834999999998</v>
      </c>
      <c r="AG2615">
        <v>575.36490136710404</v>
      </c>
      <c r="AH2615">
        <v>4732526</v>
      </c>
    </row>
    <row r="2616" spans="27:34">
      <c r="AA2616">
        <v>14.08</v>
      </c>
      <c r="AB2616">
        <v>4.5999999999999996</v>
      </c>
      <c r="AC2616">
        <v>1473</v>
      </c>
      <c r="AD2616">
        <v>0.54928834999999998</v>
      </c>
      <c r="AG2616">
        <v>611.15697035200606</v>
      </c>
      <c r="AH2616">
        <v>4925922</v>
      </c>
    </row>
    <row r="2617" spans="27:34">
      <c r="AA2617">
        <v>14.08</v>
      </c>
      <c r="AB2617">
        <v>4.5999999999999996</v>
      </c>
      <c r="AC2617">
        <v>1473</v>
      </c>
      <c r="AD2617">
        <v>0.54928834999999998</v>
      </c>
      <c r="AE2617">
        <v>12</v>
      </c>
      <c r="AG2617">
        <v>652.87375317501596</v>
      </c>
      <c r="AH2617">
        <v>5106977</v>
      </c>
    </row>
    <row r="2618" spans="27:34">
      <c r="AA2618">
        <v>14.08</v>
      </c>
      <c r="AB2618">
        <v>4.5999999999999996</v>
      </c>
      <c r="AC2618">
        <v>1473</v>
      </c>
      <c r="AD2618">
        <v>0.54928834999999998</v>
      </c>
      <c r="AG2618">
        <v>700.712376687453</v>
      </c>
      <c r="AH2618">
        <v>5270799</v>
      </c>
    </row>
    <row r="2619" spans="27:34">
      <c r="AA2619">
        <v>14.08</v>
      </c>
      <c r="AB2619">
        <v>4.5999999999999996</v>
      </c>
      <c r="AC2619">
        <v>1473</v>
      </c>
      <c r="AD2619">
        <v>0.54928834999999998</v>
      </c>
      <c r="AG2619">
        <v>750.11979276436705</v>
      </c>
      <c r="AH2619">
        <v>5420400</v>
      </c>
    </row>
    <row r="2620" spans="27:34">
      <c r="AA2620">
        <v>14.08</v>
      </c>
      <c r="AB2620">
        <v>4.5999999999999996</v>
      </c>
      <c r="AC2620">
        <v>1473</v>
      </c>
      <c r="AD2620">
        <v>0.54928834999999998</v>
      </c>
      <c r="AE2620">
        <v>13</v>
      </c>
      <c r="AG2620">
        <v>788.64809867450197</v>
      </c>
      <c r="AH2620">
        <v>5559853</v>
      </c>
    </row>
    <row r="2621" spans="27:34">
      <c r="AA2621">
        <v>14.08</v>
      </c>
      <c r="AB2621">
        <v>4.5999999999999996</v>
      </c>
      <c r="AC2621">
        <v>1473</v>
      </c>
      <c r="AD2621">
        <v>0.54928834999999998</v>
      </c>
      <c r="AG2621">
        <v>807.95513778933196</v>
      </c>
      <c r="AH2621">
        <v>5696471</v>
      </c>
    </row>
    <row r="2622" spans="27:34">
      <c r="AA2622">
        <v>14.08</v>
      </c>
      <c r="AB2622">
        <v>4.5999999999999996</v>
      </c>
      <c r="AC2622">
        <v>1473</v>
      </c>
      <c r="AD2622">
        <v>0.54928834999999998</v>
      </c>
    </row>
    <row r="2623" spans="27:34">
      <c r="AA2623">
        <v>14.08</v>
      </c>
      <c r="AB2623">
        <v>4.5999999999999996</v>
      </c>
      <c r="AC2623">
        <v>1473</v>
      </c>
      <c r="AD2623">
        <v>0.54928834999999998</v>
      </c>
    </row>
    <row r="2624" spans="27:34">
      <c r="AA2624">
        <v>-4.76</v>
      </c>
      <c r="AB2624">
        <v>4.7</v>
      </c>
      <c r="AC2624">
        <v>0</v>
      </c>
      <c r="AD2624">
        <v>0.16500000000000001</v>
      </c>
      <c r="AE2624">
        <v>99</v>
      </c>
      <c r="AG2624">
        <v>25224.2183668496</v>
      </c>
      <c r="AH2624">
        <v>3524500</v>
      </c>
    </row>
    <row r="2625" spans="27:34">
      <c r="AA2625">
        <v>-4.76</v>
      </c>
      <c r="AB2625">
        <v>4.7</v>
      </c>
      <c r="AC2625">
        <v>0</v>
      </c>
      <c r="AD2625">
        <v>0.16500000000000001</v>
      </c>
      <c r="AG2625">
        <v>26605.550598365</v>
      </c>
      <c r="AH2625">
        <v>3670700</v>
      </c>
    </row>
    <row r="2626" spans="27:34">
      <c r="AA2626">
        <v>-4.76</v>
      </c>
      <c r="AB2626">
        <v>4.7</v>
      </c>
      <c r="AC2626">
        <v>0</v>
      </c>
      <c r="AD2626">
        <v>0.16500000000000001</v>
      </c>
      <c r="AG2626">
        <v>28367.506767488401</v>
      </c>
      <c r="AH2626">
        <v>3796000</v>
      </c>
    </row>
    <row r="2627" spans="27:34">
      <c r="AA2627">
        <v>-4.76</v>
      </c>
      <c r="AB2627">
        <v>4.7</v>
      </c>
      <c r="AC2627">
        <v>0</v>
      </c>
      <c r="AD2627">
        <v>0.16500000000000001</v>
      </c>
      <c r="AG2627">
        <v>27348.147697529199</v>
      </c>
      <c r="AH2627">
        <v>3927200</v>
      </c>
    </row>
    <row r="2628" spans="27:34">
      <c r="AA2628">
        <v>-4.76</v>
      </c>
      <c r="AB2628">
        <v>4.7</v>
      </c>
      <c r="AC2628">
        <v>0</v>
      </c>
      <c r="AD2628">
        <v>0.16500000000000001</v>
      </c>
      <c r="AG2628">
        <v>29510.823078981899</v>
      </c>
      <c r="AH2628">
        <v>3958700</v>
      </c>
    </row>
    <row r="2629" spans="27:34">
      <c r="AA2629">
        <v>-4.76</v>
      </c>
      <c r="AB2629">
        <v>4.7</v>
      </c>
      <c r="AC2629">
        <v>0</v>
      </c>
      <c r="AD2629">
        <v>0.16500000000000001</v>
      </c>
      <c r="AE2629">
        <v>100</v>
      </c>
      <c r="AG2629">
        <v>32612.354722301199</v>
      </c>
      <c r="AH2629">
        <v>4027900</v>
      </c>
    </row>
    <row r="2630" spans="27:34">
      <c r="AA2630">
        <v>-4.76</v>
      </c>
      <c r="AB2630">
        <v>4.7</v>
      </c>
      <c r="AC2630">
        <v>0</v>
      </c>
      <c r="AD2630">
        <v>0.16500000000000001</v>
      </c>
      <c r="AG2630">
        <v>31685.607642414499</v>
      </c>
      <c r="AH2630">
        <v>4138000</v>
      </c>
    </row>
    <row r="2631" spans="27:34">
      <c r="AA2631">
        <v>-4.76</v>
      </c>
      <c r="AB2631">
        <v>4.7</v>
      </c>
      <c r="AC2631">
        <v>0</v>
      </c>
      <c r="AD2631">
        <v>0.16500000000000001</v>
      </c>
      <c r="AG2631">
        <v>33233.763349255598</v>
      </c>
      <c r="AH2631">
        <v>4176000</v>
      </c>
    </row>
    <row r="2632" spans="27:34">
      <c r="AA2632">
        <v>-4.76</v>
      </c>
      <c r="AB2632">
        <v>4.7</v>
      </c>
      <c r="AC2632">
        <v>0</v>
      </c>
      <c r="AD2632">
        <v>0.16500000000000001</v>
      </c>
      <c r="AG2632">
        <v>35654.731581836</v>
      </c>
      <c r="AH2632">
        <v>4114800</v>
      </c>
    </row>
    <row r="2633" spans="27:34">
      <c r="AA2633">
        <v>-4.76</v>
      </c>
      <c r="AB2633">
        <v>4.7</v>
      </c>
      <c r="AC2633">
        <v>0</v>
      </c>
      <c r="AD2633">
        <v>0.16500000000000001</v>
      </c>
      <c r="AG2633">
        <v>39677.1323327137</v>
      </c>
      <c r="AH2633">
        <v>4166700</v>
      </c>
    </row>
    <row r="2634" spans="27:34">
      <c r="AA2634">
        <v>-4.76</v>
      </c>
      <c r="AB2634">
        <v>4.7</v>
      </c>
      <c r="AC2634">
        <v>0</v>
      </c>
      <c r="AD2634">
        <v>0.16500000000000001</v>
      </c>
      <c r="AE2634">
        <v>100</v>
      </c>
      <c r="AG2634">
        <v>45374.3027520654</v>
      </c>
      <c r="AH2634">
        <v>4265800</v>
      </c>
    </row>
    <row r="2635" spans="27:34">
      <c r="AA2635">
        <v>-4.76</v>
      </c>
      <c r="AB2635">
        <v>4.7</v>
      </c>
      <c r="AC2635">
        <v>0</v>
      </c>
      <c r="AD2635">
        <v>0.16500000000000001</v>
      </c>
      <c r="AG2635">
        <v>49330.298433828597</v>
      </c>
      <c r="AH2635">
        <v>4401400</v>
      </c>
    </row>
    <row r="2636" spans="27:34">
      <c r="AA2636">
        <v>-4.76</v>
      </c>
      <c r="AB2636">
        <v>4.7</v>
      </c>
      <c r="AC2636">
        <v>0</v>
      </c>
      <c r="AD2636">
        <v>0.16500000000000001</v>
      </c>
      <c r="AG2636">
        <v>53116.496107925697</v>
      </c>
      <c r="AH2636">
        <v>4588600</v>
      </c>
    </row>
    <row r="2637" spans="27:34">
      <c r="AA2637">
        <v>-4.76</v>
      </c>
      <c r="AB2637">
        <v>4.7</v>
      </c>
      <c r="AC2637">
        <v>0</v>
      </c>
      <c r="AD2637">
        <v>0.16500000000000001</v>
      </c>
      <c r="AE2637">
        <v>100</v>
      </c>
      <c r="AG2637">
        <v>52382.121594159798</v>
      </c>
      <c r="AH2637">
        <v>4839400</v>
      </c>
    </row>
    <row r="2638" spans="27:34">
      <c r="AA2638">
        <v>-4.76</v>
      </c>
      <c r="AB2638">
        <v>4.7</v>
      </c>
      <c r="AC2638">
        <v>0</v>
      </c>
      <c r="AD2638">
        <v>0.16500000000000001</v>
      </c>
      <c r="AG2638">
        <v>50632.8066320582</v>
      </c>
      <c r="AH2638">
        <v>4987600</v>
      </c>
    </row>
    <row r="2639" spans="27:34">
      <c r="AA2639">
        <v>-4.76</v>
      </c>
      <c r="AB2639">
        <v>4.7</v>
      </c>
      <c r="AC2639">
        <v>0</v>
      </c>
      <c r="AD2639">
        <v>0.16500000000000001</v>
      </c>
    </row>
    <row r="2640" spans="27:34">
      <c r="AA2640">
        <v>-4.76</v>
      </c>
      <c r="AB2640">
        <v>4.7</v>
      </c>
      <c r="AC2640">
        <v>0</v>
      </c>
      <c r="AD2640">
        <v>0.16500000000000001</v>
      </c>
    </row>
    <row r="2641" spans="27:34">
      <c r="AA2641">
        <v>1.62</v>
      </c>
      <c r="AB2641">
        <v>2.2000000000000002</v>
      </c>
      <c r="AC2641">
        <v>0</v>
      </c>
      <c r="AD2641">
        <v>5.1698671000000002E-2</v>
      </c>
      <c r="AE2641">
        <v>100</v>
      </c>
      <c r="AF2641">
        <v>2.6150000000000002</v>
      </c>
      <c r="AG2641">
        <v>8304.6509660087195</v>
      </c>
      <c r="AH2641">
        <v>5363676</v>
      </c>
    </row>
    <row r="2642" spans="27:34">
      <c r="AA2642">
        <v>1.62</v>
      </c>
      <c r="AB2642">
        <v>2.2000000000000002</v>
      </c>
      <c r="AC2642">
        <v>0</v>
      </c>
      <c r="AD2642">
        <v>5.1698671000000002E-2</v>
      </c>
      <c r="AG2642">
        <v>9023.9264099084103</v>
      </c>
      <c r="AH2642">
        <v>5373793</v>
      </c>
    </row>
    <row r="2643" spans="27:34">
      <c r="AA2643">
        <v>1.62</v>
      </c>
      <c r="AB2643">
        <v>2.2000000000000002</v>
      </c>
      <c r="AC2643">
        <v>0</v>
      </c>
      <c r="AD2643">
        <v>5.1698671000000002E-2</v>
      </c>
      <c r="AG2643">
        <v>9738.4109444900496</v>
      </c>
      <c r="AH2643">
        <v>5383233</v>
      </c>
    </row>
    <row r="2644" spans="27:34">
      <c r="AA2644">
        <v>1.62</v>
      </c>
      <c r="AB2644">
        <v>2.2000000000000002</v>
      </c>
      <c r="AC2644">
        <v>0</v>
      </c>
      <c r="AD2644">
        <v>5.1698671000000002E-2</v>
      </c>
      <c r="AG2644">
        <v>10316.422172881399</v>
      </c>
      <c r="AH2644">
        <v>5390657</v>
      </c>
    </row>
    <row r="2645" spans="27:34">
      <c r="AA2645">
        <v>1.62</v>
      </c>
      <c r="AB2645">
        <v>2.2000000000000002</v>
      </c>
      <c r="AC2645">
        <v>0</v>
      </c>
      <c r="AD2645">
        <v>5.1698671000000002E-2</v>
      </c>
      <c r="AG2645">
        <v>10399.9908508137</v>
      </c>
      <c r="AH2645">
        <v>5395115</v>
      </c>
    </row>
    <row r="2646" spans="27:34">
      <c r="AA2646">
        <v>1.62</v>
      </c>
      <c r="AB2646">
        <v>2.2000000000000002</v>
      </c>
      <c r="AC2646">
        <v>0</v>
      </c>
      <c r="AD2646">
        <v>5.1698671000000002E-2</v>
      </c>
      <c r="AE2646">
        <v>100</v>
      </c>
      <c r="AF2646">
        <v>2.3370000000000002</v>
      </c>
      <c r="AG2646">
        <v>10995.597923503899</v>
      </c>
      <c r="AH2646">
        <v>5388740.8139564497</v>
      </c>
    </row>
    <row r="2647" spans="27:34">
      <c r="AA2647">
        <v>1.62</v>
      </c>
      <c r="AB2647">
        <v>2.2000000000000002</v>
      </c>
      <c r="AC2647">
        <v>0</v>
      </c>
      <c r="AD2647">
        <v>5.1698671000000002E-2</v>
      </c>
      <c r="AG2647">
        <v>12062.931096897601</v>
      </c>
      <c r="AH2647">
        <v>5378899.9990704404</v>
      </c>
    </row>
    <row r="2648" spans="27:34">
      <c r="AA2648">
        <v>1.62</v>
      </c>
      <c r="AB2648">
        <v>2.2000000000000002</v>
      </c>
      <c r="AC2648">
        <v>0</v>
      </c>
      <c r="AD2648">
        <v>5.1698671000000002E-2</v>
      </c>
      <c r="AG2648">
        <v>12955.509313472799</v>
      </c>
      <c r="AH2648">
        <v>5379099.9990704795</v>
      </c>
    </row>
    <row r="2649" spans="27:34">
      <c r="AA2649">
        <v>1.62</v>
      </c>
      <c r="AB2649">
        <v>2.2000000000000002</v>
      </c>
      <c r="AC2649">
        <v>0</v>
      </c>
      <c r="AD2649">
        <v>5.1698671000000002E-2</v>
      </c>
      <c r="AG2649">
        <v>13587.622622179801</v>
      </c>
      <c r="AH2649">
        <v>5379649.9811790697</v>
      </c>
    </row>
    <row r="2650" spans="27:34">
      <c r="AA2650">
        <v>1.62</v>
      </c>
      <c r="AB2650">
        <v>2.2000000000000002</v>
      </c>
      <c r="AC2650">
        <v>0</v>
      </c>
      <c r="AD2650">
        <v>5.1698671000000002E-2</v>
      </c>
      <c r="AG2650">
        <v>14648.1408366006</v>
      </c>
      <c r="AH2650">
        <v>5382449.4869900998</v>
      </c>
    </row>
    <row r="2651" spans="27:34">
      <c r="AA2651">
        <v>1.62</v>
      </c>
      <c r="AB2651">
        <v>2.2000000000000002</v>
      </c>
      <c r="AC2651">
        <v>0</v>
      </c>
      <c r="AD2651">
        <v>5.1698671000000002E-2</v>
      </c>
      <c r="AE2651">
        <v>100</v>
      </c>
      <c r="AF2651">
        <v>1.373</v>
      </c>
      <c r="AG2651">
        <v>16163.601212351899</v>
      </c>
      <c r="AH2651">
        <v>5387000</v>
      </c>
    </row>
    <row r="2652" spans="27:34">
      <c r="AA2652">
        <v>1.62</v>
      </c>
      <c r="AB2652">
        <v>2.2000000000000002</v>
      </c>
      <c r="AC2652">
        <v>0</v>
      </c>
      <c r="AD2652">
        <v>5.1698671000000002E-2</v>
      </c>
      <c r="AG2652">
        <v>18384.405481471</v>
      </c>
      <c r="AH2652">
        <v>5391409</v>
      </c>
    </row>
    <row r="2653" spans="27:34">
      <c r="AA2653">
        <v>1.62</v>
      </c>
      <c r="AB2653">
        <v>2.2000000000000002</v>
      </c>
      <c r="AC2653">
        <v>0</v>
      </c>
      <c r="AD2653">
        <v>5.1698671000000002E-2</v>
      </c>
      <c r="AG2653">
        <v>20910.942324205302</v>
      </c>
      <c r="AH2653">
        <v>5397318</v>
      </c>
    </row>
    <row r="2654" spans="27:34">
      <c r="AA2654">
        <v>1.62</v>
      </c>
      <c r="AB2654">
        <v>2.2000000000000002</v>
      </c>
      <c r="AC2654">
        <v>0</v>
      </c>
      <c r="AD2654">
        <v>5.1698671000000002E-2</v>
      </c>
      <c r="AE2654">
        <v>100</v>
      </c>
      <c r="AG2654">
        <v>23312.0329065447</v>
      </c>
      <c r="AH2654">
        <v>5406626</v>
      </c>
    </row>
    <row r="2655" spans="27:34">
      <c r="AA2655">
        <v>1.62</v>
      </c>
      <c r="AB2655">
        <v>2.2000000000000002</v>
      </c>
      <c r="AC2655">
        <v>0</v>
      </c>
      <c r="AD2655">
        <v>5.1698671000000002E-2</v>
      </c>
      <c r="AG2655">
        <v>22881.6842244947</v>
      </c>
      <c r="AH2655">
        <v>5418156</v>
      </c>
    </row>
    <row r="2656" spans="27:34">
      <c r="AA2656">
        <v>1.62</v>
      </c>
      <c r="AB2656">
        <v>2.2000000000000002</v>
      </c>
      <c r="AC2656">
        <v>0</v>
      </c>
      <c r="AD2656">
        <v>5.1698671000000002E-2</v>
      </c>
    </row>
    <row r="2657" spans="27:34">
      <c r="AA2657">
        <v>1.62</v>
      </c>
      <c r="AB2657">
        <v>2.2000000000000002</v>
      </c>
      <c r="AC2657">
        <v>0</v>
      </c>
      <c r="AD2657">
        <v>5.1698671000000002E-2</v>
      </c>
    </row>
    <row r="2658" spans="27:34">
      <c r="AA2658">
        <v>-1.34</v>
      </c>
      <c r="AB2658">
        <v>1.7</v>
      </c>
      <c r="AC2658" t="e">
        <v>#N/A</v>
      </c>
      <c r="AD2658">
        <v>4.4117647000000003E-2</v>
      </c>
      <c r="AE2658">
        <v>100</v>
      </c>
      <c r="AG2658">
        <v>12940.160934064599</v>
      </c>
      <c r="AH2658">
        <v>1990000</v>
      </c>
    </row>
    <row r="2659" spans="27:34">
      <c r="AA2659">
        <v>-1.34</v>
      </c>
      <c r="AB2659">
        <v>1.7</v>
      </c>
      <c r="AD2659">
        <v>4.4117647000000003E-2</v>
      </c>
      <c r="AG2659">
        <v>13714.6097016125</v>
      </c>
      <c r="AH2659">
        <v>1991000</v>
      </c>
    </row>
    <row r="2660" spans="27:34">
      <c r="AA2660">
        <v>-1.34</v>
      </c>
      <c r="AB2660">
        <v>1.7</v>
      </c>
      <c r="AD2660">
        <v>4.4117647000000003E-2</v>
      </c>
      <c r="AG2660">
        <v>14735.314382536601</v>
      </c>
      <c r="AH2660">
        <v>1985956</v>
      </c>
    </row>
    <row r="2661" spans="27:34">
      <c r="AA2661">
        <v>-1.34</v>
      </c>
      <c r="AB2661">
        <v>1.7</v>
      </c>
      <c r="AD2661">
        <v>4.4117647000000003E-2</v>
      </c>
      <c r="AG2661">
        <v>15573.752152680299</v>
      </c>
      <c r="AH2661">
        <v>1982600</v>
      </c>
    </row>
    <row r="2662" spans="27:34">
      <c r="AA2662">
        <v>-1.34</v>
      </c>
      <c r="AB2662">
        <v>1.7</v>
      </c>
      <c r="AD2662">
        <v>4.4117647000000003E-2</v>
      </c>
      <c r="AG2662">
        <v>16578.511837772101</v>
      </c>
      <c r="AH2662">
        <v>1985500</v>
      </c>
    </row>
    <row r="2663" spans="27:34">
      <c r="AA2663">
        <v>-1.34</v>
      </c>
      <c r="AB2663">
        <v>1.7</v>
      </c>
      <c r="AD2663">
        <v>4.4117647000000003E-2</v>
      </c>
      <c r="AE2663">
        <v>100</v>
      </c>
      <c r="AG2663">
        <v>17471.9803997331</v>
      </c>
      <c r="AH2663">
        <v>1989000</v>
      </c>
    </row>
    <row r="2664" spans="27:34">
      <c r="AA2664">
        <v>-1.34</v>
      </c>
      <c r="AB2664">
        <v>1.7</v>
      </c>
      <c r="AD2664">
        <v>4.4117647000000003E-2</v>
      </c>
      <c r="AG2664">
        <v>18342.417295338699</v>
      </c>
      <c r="AH2664">
        <v>1992000</v>
      </c>
    </row>
    <row r="2665" spans="27:34">
      <c r="AA2665">
        <v>-1.34</v>
      </c>
      <c r="AB2665">
        <v>1.7</v>
      </c>
      <c r="AD2665">
        <v>4.4117647000000003E-2</v>
      </c>
      <c r="AG2665">
        <v>19712.254606652401</v>
      </c>
      <c r="AH2665">
        <v>1994000</v>
      </c>
    </row>
    <row r="2666" spans="27:34">
      <c r="AA2666">
        <v>-1.34</v>
      </c>
      <c r="AB2666">
        <v>1.7</v>
      </c>
      <c r="AD2666">
        <v>4.4117647000000003E-2</v>
      </c>
      <c r="AG2666">
        <v>20454.173703957</v>
      </c>
      <c r="AH2666">
        <v>1995699.8772360501</v>
      </c>
    </row>
    <row r="2667" spans="27:34">
      <c r="AA2667">
        <v>-1.34</v>
      </c>
      <c r="AB2667">
        <v>1.7</v>
      </c>
      <c r="AD2667">
        <v>4.4117647000000003E-2</v>
      </c>
      <c r="AG2667">
        <v>22203.786656460401</v>
      </c>
      <c r="AH2667">
        <v>1996999.9098648001</v>
      </c>
    </row>
    <row r="2668" spans="27:34">
      <c r="AA2668">
        <v>-1.34</v>
      </c>
      <c r="AB2668">
        <v>1.7</v>
      </c>
      <c r="AD2668">
        <v>4.4117647000000003E-2</v>
      </c>
      <c r="AE2668">
        <v>100</v>
      </c>
      <c r="AG2668">
        <v>23497.610034364501</v>
      </c>
      <c r="AH2668">
        <v>2000500</v>
      </c>
    </row>
    <row r="2669" spans="27:34">
      <c r="AA2669">
        <v>-1.34</v>
      </c>
      <c r="AB2669">
        <v>1.7</v>
      </c>
      <c r="AD2669">
        <v>4.4117647000000003E-2</v>
      </c>
      <c r="AG2669">
        <v>25444.741684137</v>
      </c>
      <c r="AH2669">
        <v>2006868</v>
      </c>
    </row>
    <row r="2670" spans="27:34">
      <c r="AA2670">
        <v>-1.34</v>
      </c>
      <c r="AB2670">
        <v>1.7</v>
      </c>
      <c r="AD2670">
        <v>4.4117647000000003E-2</v>
      </c>
      <c r="AG2670">
        <v>27238.3621680775</v>
      </c>
      <c r="AH2670">
        <v>2018122</v>
      </c>
    </row>
    <row r="2671" spans="27:34">
      <c r="AA2671">
        <v>-1.34</v>
      </c>
      <c r="AB2671">
        <v>1.7</v>
      </c>
      <c r="AD2671">
        <v>4.4117647000000003E-2</v>
      </c>
      <c r="AE2671">
        <v>100</v>
      </c>
      <c r="AG2671">
        <v>29117.3553476171</v>
      </c>
      <c r="AH2671">
        <v>2021316</v>
      </c>
    </row>
    <row r="2672" spans="27:34">
      <c r="AA2672">
        <v>-1.34</v>
      </c>
      <c r="AB2672">
        <v>1.7</v>
      </c>
      <c r="AD2672">
        <v>4.4117647000000003E-2</v>
      </c>
      <c r="AG2672">
        <v>27132.966933002401</v>
      </c>
      <c r="AH2672">
        <v>2043241</v>
      </c>
    </row>
    <row r="2673" spans="27:34">
      <c r="AA2673">
        <v>-1.34</v>
      </c>
      <c r="AB2673">
        <v>1.7</v>
      </c>
      <c r="AD2673">
        <v>4.4117647000000003E-2</v>
      </c>
      <c r="AF2673">
        <v>2.956</v>
      </c>
    </row>
    <row r="2674" spans="27:34">
      <c r="AA2674">
        <v>-1.34</v>
      </c>
      <c r="AB2674">
        <v>1.7</v>
      </c>
      <c r="AD2674">
        <v>4.4117647000000003E-2</v>
      </c>
    </row>
    <row r="2675" spans="27:34">
      <c r="AA2675">
        <v>8.2899999999999991</v>
      </c>
      <c r="AB2675">
        <v>4.7</v>
      </c>
      <c r="AC2675">
        <v>84</v>
      </c>
      <c r="AD2675">
        <v>0.23167848699999999</v>
      </c>
      <c r="AE2675">
        <v>29</v>
      </c>
      <c r="AG2675">
        <v>2394.7092740164699</v>
      </c>
      <c r="AH2675">
        <v>361854</v>
      </c>
    </row>
    <row r="2676" spans="27:34">
      <c r="AA2676">
        <v>8.2899999999999991</v>
      </c>
      <c r="AB2676">
        <v>4.7</v>
      </c>
      <c r="AC2676">
        <v>84</v>
      </c>
      <c r="AD2676">
        <v>0.23167848699999999</v>
      </c>
      <c r="AG2676">
        <v>2410.8446589579498</v>
      </c>
      <c r="AH2676">
        <v>372185</v>
      </c>
    </row>
    <row r="2677" spans="27:34">
      <c r="AA2677">
        <v>8.2899999999999991</v>
      </c>
      <c r="AB2677">
        <v>4.7</v>
      </c>
      <c r="AC2677">
        <v>84</v>
      </c>
      <c r="AD2677">
        <v>0.23167848699999999</v>
      </c>
      <c r="AG2677">
        <v>2351.65438605699</v>
      </c>
      <c r="AH2677">
        <v>382728</v>
      </c>
    </row>
    <row r="2678" spans="27:34">
      <c r="AA2678">
        <v>8.2899999999999991</v>
      </c>
      <c r="AB2678">
        <v>4.7</v>
      </c>
      <c r="AC2678">
        <v>84</v>
      </c>
      <c r="AD2678">
        <v>0.23167848699999999</v>
      </c>
      <c r="AG2678">
        <v>2354.57033629543</v>
      </c>
      <c r="AH2678">
        <v>393474</v>
      </c>
    </row>
    <row r="2679" spans="27:34">
      <c r="AA2679">
        <v>8.2899999999999991</v>
      </c>
      <c r="AB2679">
        <v>4.7</v>
      </c>
      <c r="AC2679">
        <v>84</v>
      </c>
      <c r="AD2679">
        <v>0.23167848699999999</v>
      </c>
      <c r="AG2679">
        <v>2313.2265827568799</v>
      </c>
      <c r="AH2679">
        <v>404415</v>
      </c>
    </row>
    <row r="2680" spans="27:34">
      <c r="AA2680">
        <v>8.2899999999999991</v>
      </c>
      <c r="AB2680">
        <v>4.7</v>
      </c>
      <c r="AC2680">
        <v>84</v>
      </c>
      <c r="AD2680">
        <v>0.23167848699999999</v>
      </c>
      <c r="AE2680">
        <v>31</v>
      </c>
      <c r="AG2680">
        <v>1971.83282242421</v>
      </c>
      <c r="AH2680">
        <v>415544</v>
      </c>
    </row>
    <row r="2681" spans="27:34">
      <c r="AA2681">
        <v>8.2899999999999991</v>
      </c>
      <c r="AB2681">
        <v>4.7</v>
      </c>
      <c r="AC2681">
        <v>84</v>
      </c>
      <c r="AD2681">
        <v>0.23167848699999999</v>
      </c>
      <c r="AG2681">
        <v>1806.50839952253</v>
      </c>
      <c r="AH2681">
        <v>426847</v>
      </c>
    </row>
    <row r="2682" spans="27:34">
      <c r="AA2682">
        <v>8.2899999999999991</v>
      </c>
      <c r="AB2682">
        <v>4.7</v>
      </c>
      <c r="AC2682">
        <v>84</v>
      </c>
      <c r="AD2682">
        <v>0.23167848699999999</v>
      </c>
      <c r="AG2682">
        <v>1737.75632106073</v>
      </c>
      <c r="AH2682">
        <v>438317</v>
      </c>
    </row>
    <row r="2683" spans="27:34">
      <c r="AA2683">
        <v>8.2899999999999991</v>
      </c>
      <c r="AB2683">
        <v>4.7</v>
      </c>
      <c r="AC2683">
        <v>84</v>
      </c>
      <c r="AD2683">
        <v>0.23167848699999999</v>
      </c>
      <c r="AG2683">
        <v>1841.6961345065999</v>
      </c>
      <c r="AH2683">
        <v>449956</v>
      </c>
    </row>
    <row r="2684" spans="27:34">
      <c r="AA2684">
        <v>8.2899999999999991</v>
      </c>
      <c r="AB2684">
        <v>4.7</v>
      </c>
      <c r="AC2684">
        <v>84</v>
      </c>
      <c r="AD2684">
        <v>0.23167848699999999</v>
      </c>
      <c r="AG2684">
        <v>1935.83904856857</v>
      </c>
      <c r="AH2684">
        <v>461771</v>
      </c>
    </row>
    <row r="2685" spans="27:34">
      <c r="AA2685">
        <v>8.2899999999999991</v>
      </c>
      <c r="AB2685">
        <v>4.7</v>
      </c>
      <c r="AC2685">
        <v>84</v>
      </c>
      <c r="AD2685">
        <v>0.23167848699999999</v>
      </c>
      <c r="AE2685">
        <v>29</v>
      </c>
      <c r="AG2685">
        <v>2055.4671255066401</v>
      </c>
      <c r="AH2685">
        <v>473761</v>
      </c>
    </row>
    <row r="2686" spans="27:34">
      <c r="AA2686">
        <v>8.2899999999999991</v>
      </c>
      <c r="AB2686">
        <v>4.7</v>
      </c>
      <c r="AC2686">
        <v>84</v>
      </c>
      <c r="AD2686">
        <v>0.23167848699999999</v>
      </c>
      <c r="AG2686">
        <v>2212.9386741747699</v>
      </c>
      <c r="AH2686">
        <v>485924</v>
      </c>
    </row>
    <row r="2687" spans="27:34">
      <c r="AA2687">
        <v>8.2899999999999991</v>
      </c>
      <c r="AB2687">
        <v>4.7</v>
      </c>
      <c r="AC2687">
        <v>84</v>
      </c>
      <c r="AD2687">
        <v>0.23167848699999999</v>
      </c>
      <c r="AG2687">
        <v>2471.0377048812502</v>
      </c>
      <c r="AH2687">
        <v>498240</v>
      </c>
    </row>
    <row r="2688" spans="27:34">
      <c r="AA2688">
        <v>8.2899999999999991</v>
      </c>
      <c r="AB2688">
        <v>4.7</v>
      </c>
      <c r="AC2688">
        <v>84</v>
      </c>
      <c r="AD2688">
        <v>0.23167848699999999</v>
      </c>
      <c r="AG2688">
        <v>2643.42852586135</v>
      </c>
      <c r="AH2688">
        <v>510672</v>
      </c>
    </row>
    <row r="2689" spans="27:34">
      <c r="AA2689">
        <v>8.2899999999999991</v>
      </c>
      <c r="AB2689">
        <v>4.7</v>
      </c>
      <c r="AC2689">
        <v>84</v>
      </c>
      <c r="AD2689">
        <v>0.23167848699999999</v>
      </c>
      <c r="AG2689">
        <v>2546.6213098467501</v>
      </c>
      <c r="AH2689">
        <v>523170</v>
      </c>
    </row>
    <row r="2690" spans="27:34">
      <c r="AA2690">
        <v>8.2899999999999991</v>
      </c>
      <c r="AB2690">
        <v>4.7</v>
      </c>
      <c r="AC2690">
        <v>84</v>
      </c>
      <c r="AD2690">
        <v>0.23167848699999999</v>
      </c>
    </row>
    <row r="2691" spans="27:34">
      <c r="AA2691">
        <v>8.2899999999999991</v>
      </c>
      <c r="AB2691">
        <v>4.7</v>
      </c>
      <c r="AC2691">
        <v>84</v>
      </c>
      <c r="AD2691">
        <v>0.23167848699999999</v>
      </c>
    </row>
    <row r="2692" spans="27:34">
      <c r="AA2692">
        <v>7.44</v>
      </c>
      <c r="AB2692">
        <v>4.5999999999999996</v>
      </c>
      <c r="AC2692">
        <v>885</v>
      </c>
      <c r="AD2692">
        <v>0.38696109400000001</v>
      </c>
      <c r="AE2692">
        <v>21</v>
      </c>
      <c r="AH2692">
        <v>6520695</v>
      </c>
    </row>
    <row r="2693" spans="27:34">
      <c r="AA2693">
        <v>7.44</v>
      </c>
      <c r="AB2693">
        <v>4.5999999999999996</v>
      </c>
      <c r="AC2693">
        <v>885</v>
      </c>
      <c r="AD2693">
        <v>0.38696109400000001</v>
      </c>
      <c r="AH2693">
        <v>6624489</v>
      </c>
    </row>
    <row r="2694" spans="27:34">
      <c r="AA2694">
        <v>7.44</v>
      </c>
      <c r="AB2694">
        <v>4.5999999999999996</v>
      </c>
      <c r="AC2694">
        <v>885</v>
      </c>
      <c r="AD2694">
        <v>0.38696109400000001</v>
      </c>
      <c r="AH2694">
        <v>6782620</v>
      </c>
    </row>
    <row r="2695" spans="27:34">
      <c r="AA2695">
        <v>7.44</v>
      </c>
      <c r="AB2695">
        <v>4.5999999999999996</v>
      </c>
      <c r="AC2695">
        <v>885</v>
      </c>
      <c r="AD2695">
        <v>0.38696109400000001</v>
      </c>
      <c r="AH2695">
        <v>6978932</v>
      </c>
    </row>
    <row r="2696" spans="27:34">
      <c r="AA2696">
        <v>7.44</v>
      </c>
      <c r="AB2696">
        <v>4.5999999999999996</v>
      </c>
      <c r="AC2696">
        <v>885</v>
      </c>
      <c r="AD2696">
        <v>0.38696109400000001</v>
      </c>
      <c r="AH2696">
        <v>7188869</v>
      </c>
    </row>
    <row r="2697" spans="27:34">
      <c r="AA2697">
        <v>7.44</v>
      </c>
      <c r="AB2697">
        <v>4.5999999999999996</v>
      </c>
      <c r="AC2697">
        <v>885</v>
      </c>
      <c r="AD2697">
        <v>0.38696109400000001</v>
      </c>
      <c r="AE2697">
        <v>22</v>
      </c>
      <c r="AF2697">
        <v>22.38</v>
      </c>
      <c r="AH2697">
        <v>7394196</v>
      </c>
    </row>
    <row r="2698" spans="27:34">
      <c r="AA2698">
        <v>7.44</v>
      </c>
      <c r="AB2698">
        <v>4.5999999999999996</v>
      </c>
      <c r="AC2698">
        <v>885</v>
      </c>
      <c r="AD2698">
        <v>0.38696109400000001</v>
      </c>
      <c r="AH2698">
        <v>7591172</v>
      </c>
    </row>
    <row r="2699" spans="27:34">
      <c r="AA2699">
        <v>7.44</v>
      </c>
      <c r="AB2699">
        <v>4.5999999999999996</v>
      </c>
      <c r="AC2699">
        <v>885</v>
      </c>
      <c r="AD2699">
        <v>0.38696109400000001</v>
      </c>
      <c r="AH2699">
        <v>7784510</v>
      </c>
    </row>
    <row r="2700" spans="27:34">
      <c r="AA2700">
        <v>7.44</v>
      </c>
      <c r="AB2700">
        <v>4.5999999999999996</v>
      </c>
      <c r="AC2700">
        <v>885</v>
      </c>
      <c r="AD2700">
        <v>0.38696109400000001</v>
      </c>
      <c r="AH2700">
        <v>7974524</v>
      </c>
    </row>
    <row r="2701" spans="27:34">
      <c r="AA2701">
        <v>7.44</v>
      </c>
      <c r="AB2701">
        <v>4.5999999999999996</v>
      </c>
      <c r="AC2701">
        <v>885</v>
      </c>
      <c r="AD2701">
        <v>0.38696109400000001</v>
      </c>
      <c r="AH2701">
        <v>8163616</v>
      </c>
    </row>
    <row r="2702" spans="27:34">
      <c r="AA2702">
        <v>7.44</v>
      </c>
      <c r="AB2702">
        <v>4.5999999999999996</v>
      </c>
      <c r="AC2702">
        <v>885</v>
      </c>
      <c r="AD2702">
        <v>0.38696109400000001</v>
      </c>
      <c r="AE2702">
        <v>22</v>
      </c>
      <c r="AF2702">
        <v>22.44</v>
      </c>
      <c r="AH2702">
        <v>8354003</v>
      </c>
    </row>
    <row r="2703" spans="27:34">
      <c r="AA2703">
        <v>7.44</v>
      </c>
      <c r="AB2703">
        <v>4.5999999999999996</v>
      </c>
      <c r="AC2703">
        <v>885</v>
      </c>
      <c r="AD2703">
        <v>0.38696109400000001</v>
      </c>
      <c r="AH2703">
        <v>8543774</v>
      </c>
    </row>
    <row r="2704" spans="27:34">
      <c r="AA2704">
        <v>7.44</v>
      </c>
      <c r="AB2704">
        <v>4.5999999999999996</v>
      </c>
      <c r="AC2704">
        <v>885</v>
      </c>
      <c r="AD2704">
        <v>0.38696109400000001</v>
      </c>
      <c r="AH2704">
        <v>8732569</v>
      </c>
    </row>
    <row r="2705" spans="27:34">
      <c r="AA2705">
        <v>7.44</v>
      </c>
      <c r="AB2705">
        <v>4.5999999999999996</v>
      </c>
      <c r="AC2705">
        <v>885</v>
      </c>
      <c r="AD2705">
        <v>0.38696109400000001</v>
      </c>
      <c r="AE2705">
        <v>23</v>
      </c>
      <c r="AH2705">
        <v>8926326</v>
      </c>
    </row>
    <row r="2706" spans="27:34">
      <c r="AA2706">
        <v>7.44</v>
      </c>
      <c r="AB2706">
        <v>4.5999999999999996</v>
      </c>
      <c r="AC2706">
        <v>885</v>
      </c>
      <c r="AD2706">
        <v>0.38696109400000001</v>
      </c>
      <c r="AH2706">
        <v>9133124</v>
      </c>
    </row>
    <row r="2707" spans="27:34">
      <c r="AA2707">
        <v>7.44</v>
      </c>
      <c r="AB2707">
        <v>4.5999999999999996</v>
      </c>
      <c r="AC2707">
        <v>885</v>
      </c>
      <c r="AD2707">
        <v>0.38696109400000001</v>
      </c>
    </row>
    <row r="2708" spans="27:34">
      <c r="AA2708">
        <v>7.44</v>
      </c>
      <c r="AB2708">
        <v>4.5999999999999996</v>
      </c>
      <c r="AC2708">
        <v>885</v>
      </c>
      <c r="AD2708">
        <v>0.38696109400000001</v>
      </c>
    </row>
    <row r="2709" spans="27:34">
      <c r="AA2709">
        <v>-9.49</v>
      </c>
      <c r="AB2709">
        <v>4.0999999999999996</v>
      </c>
      <c r="AC2709">
        <v>104</v>
      </c>
      <c r="AD2709">
        <v>0.58165680500000005</v>
      </c>
      <c r="AE2709">
        <v>71</v>
      </c>
      <c r="AF2709">
        <v>25.76</v>
      </c>
      <c r="AG2709">
        <v>6106.0994447087396</v>
      </c>
      <c r="AH2709">
        <v>39120000</v>
      </c>
    </row>
    <row r="2710" spans="27:34">
      <c r="AA2710">
        <v>-9.49</v>
      </c>
      <c r="AB2710">
        <v>4.0999999999999996</v>
      </c>
      <c r="AC2710">
        <v>104</v>
      </c>
      <c r="AD2710">
        <v>0.58165680500000005</v>
      </c>
      <c r="AG2710">
        <v>6348.0204235921901</v>
      </c>
      <c r="AH2710">
        <v>40000246.953756399</v>
      </c>
    </row>
    <row r="2711" spans="27:34">
      <c r="AA2711">
        <v>-9.49</v>
      </c>
      <c r="AB2711">
        <v>4.0999999999999996</v>
      </c>
      <c r="AC2711">
        <v>104</v>
      </c>
      <c r="AD2711">
        <v>0.58165680500000005</v>
      </c>
      <c r="AG2711">
        <v>6481.5636248314404</v>
      </c>
      <c r="AH2711">
        <v>40926063.038341902</v>
      </c>
    </row>
    <row r="2712" spans="27:34">
      <c r="AA2712">
        <v>-9.49</v>
      </c>
      <c r="AB2712">
        <v>4.0999999999999996</v>
      </c>
      <c r="AC2712">
        <v>104</v>
      </c>
      <c r="AD2712">
        <v>0.58165680500000005</v>
      </c>
      <c r="AG2712">
        <v>6435.6915686764496</v>
      </c>
      <c r="AH2712">
        <v>41899682.777234197</v>
      </c>
    </row>
    <row r="2713" spans="27:34">
      <c r="AA2713">
        <v>-9.49</v>
      </c>
      <c r="AB2713">
        <v>4.0999999999999996</v>
      </c>
      <c r="AC2713">
        <v>104</v>
      </c>
      <c r="AD2713">
        <v>0.58165680500000005</v>
      </c>
      <c r="AG2713">
        <v>6524.5719989660101</v>
      </c>
      <c r="AH2713">
        <v>42923484.534140103</v>
      </c>
    </row>
    <row r="2714" spans="27:34">
      <c r="AA2714">
        <v>-9.49</v>
      </c>
      <c r="AB2714">
        <v>4.0999999999999996</v>
      </c>
      <c r="AC2714">
        <v>104</v>
      </c>
      <c r="AD2714">
        <v>0.58165680500000005</v>
      </c>
      <c r="AE2714">
        <v>73</v>
      </c>
      <c r="AF2714">
        <v>24.96</v>
      </c>
      <c r="AG2714">
        <v>6772.8091074047397</v>
      </c>
      <c r="AH2714">
        <v>44000000</v>
      </c>
    </row>
    <row r="2715" spans="27:34">
      <c r="AA2715">
        <v>-9.49</v>
      </c>
      <c r="AB2715">
        <v>4.0999999999999996</v>
      </c>
      <c r="AC2715">
        <v>104</v>
      </c>
      <c r="AD2715">
        <v>0.58165680500000005</v>
      </c>
      <c r="AG2715">
        <v>6971.6779043343104</v>
      </c>
      <c r="AH2715">
        <v>44909738</v>
      </c>
    </row>
    <row r="2716" spans="27:34">
      <c r="AA2716">
        <v>-9.49</v>
      </c>
      <c r="AB2716">
        <v>4.0999999999999996</v>
      </c>
      <c r="AC2716">
        <v>104</v>
      </c>
      <c r="AD2716">
        <v>0.58165680500000005</v>
      </c>
      <c r="AG2716">
        <v>7244.2183724450597</v>
      </c>
      <c r="AH2716">
        <v>45533292</v>
      </c>
    </row>
    <row r="2717" spans="27:34">
      <c r="AA2717">
        <v>-9.49</v>
      </c>
      <c r="AB2717">
        <v>4.0999999999999996</v>
      </c>
      <c r="AC2717">
        <v>104</v>
      </c>
      <c r="AD2717">
        <v>0.58165680500000005</v>
      </c>
      <c r="AG2717">
        <v>7522.2536153061001</v>
      </c>
      <c r="AH2717">
        <v>46116494</v>
      </c>
    </row>
    <row r="2718" spans="27:34">
      <c r="AA2718">
        <v>-9.49</v>
      </c>
      <c r="AB2718">
        <v>4.0999999999999996</v>
      </c>
      <c r="AC2718">
        <v>104</v>
      </c>
      <c r="AD2718">
        <v>0.58165680500000005</v>
      </c>
      <c r="AG2718">
        <v>7992.7671043357504</v>
      </c>
      <c r="AH2718">
        <v>46664771</v>
      </c>
    </row>
    <row r="2719" spans="27:34">
      <c r="AA2719">
        <v>-9.49</v>
      </c>
      <c r="AB2719">
        <v>4.0999999999999996</v>
      </c>
      <c r="AC2719">
        <v>104</v>
      </c>
      <c r="AD2719">
        <v>0.58165680500000005</v>
      </c>
      <c r="AE2719">
        <v>75</v>
      </c>
      <c r="AG2719">
        <v>8596.83087140524</v>
      </c>
      <c r="AH2719">
        <v>47198469</v>
      </c>
    </row>
    <row r="2720" spans="27:34">
      <c r="AA2720">
        <v>-9.49</v>
      </c>
      <c r="AB2720">
        <v>4.0999999999999996</v>
      </c>
      <c r="AC2720">
        <v>104</v>
      </c>
      <c r="AD2720">
        <v>0.58165680500000005</v>
      </c>
      <c r="AG2720">
        <v>9269.2834078979595</v>
      </c>
      <c r="AH2720">
        <v>47730946</v>
      </c>
    </row>
    <row r="2721" spans="27:34">
      <c r="AA2721">
        <v>-9.49</v>
      </c>
      <c r="AB2721">
        <v>4.0999999999999996</v>
      </c>
      <c r="AC2721">
        <v>104</v>
      </c>
      <c r="AD2721">
        <v>0.58165680500000005</v>
      </c>
      <c r="AG2721">
        <v>10002.5433355572</v>
      </c>
      <c r="AH2721">
        <v>48257282</v>
      </c>
    </row>
    <row r="2722" spans="27:34">
      <c r="AA2722">
        <v>-9.49</v>
      </c>
      <c r="AB2722">
        <v>4.0999999999999996</v>
      </c>
      <c r="AC2722">
        <v>104</v>
      </c>
      <c r="AD2722">
        <v>0.58165680500000005</v>
      </c>
      <c r="AE2722">
        <v>77</v>
      </c>
      <c r="AG2722">
        <v>10480.8612481488</v>
      </c>
      <c r="AH2722">
        <v>48793022</v>
      </c>
    </row>
    <row r="2723" spans="27:34">
      <c r="AA2723">
        <v>-9.49</v>
      </c>
      <c r="AB2723">
        <v>4.0999999999999996</v>
      </c>
      <c r="AC2723">
        <v>104</v>
      </c>
      <c r="AD2723">
        <v>0.58165680500000005</v>
      </c>
      <c r="AG2723">
        <v>10277.7624710369</v>
      </c>
      <c r="AH2723">
        <v>49320150</v>
      </c>
    </row>
    <row r="2724" spans="27:34">
      <c r="AA2724">
        <v>-9.49</v>
      </c>
      <c r="AB2724">
        <v>4.0999999999999996</v>
      </c>
      <c r="AC2724">
        <v>104</v>
      </c>
      <c r="AD2724">
        <v>0.58165680500000005</v>
      </c>
    </row>
    <row r="2725" spans="27:34">
      <c r="AA2725">
        <v>-9.49</v>
      </c>
      <c r="AB2725">
        <v>4.0999999999999996</v>
      </c>
      <c r="AC2725">
        <v>104</v>
      </c>
      <c r="AD2725">
        <v>0.58165680500000005</v>
      </c>
    </row>
    <row r="2726" spans="27:34">
      <c r="AA2726">
        <v>-15.11</v>
      </c>
      <c r="AB2726">
        <v>1.4</v>
      </c>
      <c r="AC2726">
        <v>0</v>
      </c>
      <c r="AD2726">
        <v>6.0301507999999997E-2</v>
      </c>
      <c r="AE2726">
        <v>100</v>
      </c>
      <c r="AG2726">
        <v>15983.659567311999</v>
      </c>
      <c r="AH2726">
        <v>39387000</v>
      </c>
    </row>
    <row r="2727" spans="27:34">
      <c r="AA2727">
        <v>-15.11</v>
      </c>
      <c r="AB2727">
        <v>1.4</v>
      </c>
      <c r="AC2727">
        <v>0</v>
      </c>
      <c r="AD2727">
        <v>6.0301507999999997E-2</v>
      </c>
      <c r="AG2727">
        <v>16703.116419449801</v>
      </c>
      <c r="AH2727">
        <v>39478150</v>
      </c>
    </row>
    <row r="2728" spans="27:34">
      <c r="AA2728">
        <v>-15.11</v>
      </c>
      <c r="AB2728">
        <v>1.4</v>
      </c>
      <c r="AC2728">
        <v>0</v>
      </c>
      <c r="AD2728">
        <v>6.0301507999999997E-2</v>
      </c>
      <c r="AG2728">
        <v>17693.956093129698</v>
      </c>
      <c r="AH2728">
        <v>39582400</v>
      </c>
    </row>
    <row r="2729" spans="27:34">
      <c r="AA2729">
        <v>-15.11</v>
      </c>
      <c r="AB2729">
        <v>1.4</v>
      </c>
      <c r="AC2729">
        <v>0</v>
      </c>
      <c r="AD2729">
        <v>6.0301507999999997E-2</v>
      </c>
      <c r="AG2729">
        <v>18890.802144394998</v>
      </c>
      <c r="AH2729">
        <v>39721100</v>
      </c>
    </row>
    <row r="2730" spans="27:34">
      <c r="AA2730">
        <v>-15.11</v>
      </c>
      <c r="AB2730">
        <v>1.4</v>
      </c>
      <c r="AC2730">
        <v>0</v>
      </c>
      <c r="AD2730">
        <v>6.0301507999999997E-2</v>
      </c>
      <c r="AG2730">
        <v>19824.8816186767</v>
      </c>
      <c r="AH2730">
        <v>39926250</v>
      </c>
    </row>
    <row r="2731" spans="27:34">
      <c r="AA2731">
        <v>-15.11</v>
      </c>
      <c r="AB2731">
        <v>1.4</v>
      </c>
      <c r="AC2731">
        <v>0</v>
      </c>
      <c r="AD2731">
        <v>6.0301507999999997E-2</v>
      </c>
      <c r="AE2731">
        <v>100</v>
      </c>
      <c r="AF2731">
        <v>32.82</v>
      </c>
      <c r="AG2731">
        <v>21320.598521620101</v>
      </c>
      <c r="AH2731">
        <v>40263200</v>
      </c>
    </row>
    <row r="2732" spans="27:34">
      <c r="AA2732">
        <v>-15.11</v>
      </c>
      <c r="AB2732">
        <v>1.4</v>
      </c>
      <c r="AC2732">
        <v>0</v>
      </c>
      <c r="AD2732">
        <v>6.0301507999999997E-2</v>
      </c>
      <c r="AG2732">
        <v>22591.912585234801</v>
      </c>
      <c r="AH2732">
        <v>40720450</v>
      </c>
    </row>
    <row r="2733" spans="27:34">
      <c r="AA2733">
        <v>-15.11</v>
      </c>
      <c r="AB2733">
        <v>1.4</v>
      </c>
      <c r="AC2733">
        <v>0</v>
      </c>
      <c r="AD2733">
        <v>6.0301507999999997E-2</v>
      </c>
      <c r="AG2733">
        <v>24066.529426404799</v>
      </c>
      <c r="AH2733">
        <v>41313950</v>
      </c>
    </row>
    <row r="2734" spans="27:34">
      <c r="AA2734">
        <v>-15.11</v>
      </c>
      <c r="AB2734">
        <v>1.4</v>
      </c>
      <c r="AC2734">
        <v>0</v>
      </c>
      <c r="AD2734">
        <v>6.0301507999999997E-2</v>
      </c>
      <c r="AG2734">
        <v>24748.340864868998</v>
      </c>
      <c r="AH2734">
        <v>42004500</v>
      </c>
    </row>
    <row r="2735" spans="27:34">
      <c r="AA2735">
        <v>-15.11</v>
      </c>
      <c r="AB2735">
        <v>1.4</v>
      </c>
      <c r="AC2735">
        <v>0</v>
      </c>
      <c r="AD2735">
        <v>6.0301507999999997E-2</v>
      </c>
      <c r="AG2735">
        <v>25958.192914601499</v>
      </c>
      <c r="AH2735">
        <v>42691650</v>
      </c>
    </row>
    <row r="2736" spans="27:34">
      <c r="AA2736">
        <v>-15.11</v>
      </c>
      <c r="AB2736">
        <v>1.4</v>
      </c>
      <c r="AC2736">
        <v>0</v>
      </c>
      <c r="AD2736">
        <v>6.0301507999999997E-2</v>
      </c>
      <c r="AE2736">
        <v>100</v>
      </c>
      <c r="AF2736">
        <v>29.17</v>
      </c>
      <c r="AG2736">
        <v>27376.796039760698</v>
      </c>
      <c r="AH2736">
        <v>43398150</v>
      </c>
    </row>
    <row r="2737" spans="27:34">
      <c r="AA2737">
        <v>-15.11</v>
      </c>
      <c r="AB2737">
        <v>1.4</v>
      </c>
      <c r="AC2737">
        <v>0</v>
      </c>
      <c r="AD2737">
        <v>6.0301507999999997E-2</v>
      </c>
      <c r="AG2737">
        <v>30314.750464450499</v>
      </c>
      <c r="AH2737">
        <v>44116441</v>
      </c>
    </row>
    <row r="2738" spans="27:34">
      <c r="AA2738">
        <v>-15.11</v>
      </c>
      <c r="AB2738">
        <v>1.4</v>
      </c>
      <c r="AC2738">
        <v>0</v>
      </c>
      <c r="AD2738">
        <v>6.0301507999999997E-2</v>
      </c>
      <c r="AG2738">
        <v>32223.304130614</v>
      </c>
      <c r="AH2738">
        <v>44878945</v>
      </c>
    </row>
    <row r="2739" spans="27:34">
      <c r="AA2739">
        <v>-15.11</v>
      </c>
      <c r="AB2739">
        <v>1.4</v>
      </c>
      <c r="AC2739">
        <v>0</v>
      </c>
      <c r="AD2739">
        <v>6.0301507999999997E-2</v>
      </c>
      <c r="AE2739">
        <v>100</v>
      </c>
      <c r="AG2739">
        <v>33212.308176611601</v>
      </c>
      <c r="AH2739">
        <v>45555716</v>
      </c>
    </row>
    <row r="2740" spans="27:34">
      <c r="AA2740">
        <v>-15.11</v>
      </c>
      <c r="AB2740">
        <v>1.4</v>
      </c>
      <c r="AC2740">
        <v>0</v>
      </c>
      <c r="AD2740">
        <v>6.0301507999999997E-2</v>
      </c>
      <c r="AG2740">
        <v>32149.7944004249</v>
      </c>
      <c r="AH2740">
        <v>45957671</v>
      </c>
    </row>
    <row r="2741" spans="27:34">
      <c r="AA2741">
        <v>-15.11</v>
      </c>
      <c r="AB2741">
        <v>1.4</v>
      </c>
      <c r="AC2741">
        <v>0</v>
      </c>
      <c r="AD2741">
        <v>6.0301507999999997E-2</v>
      </c>
      <c r="AF2741">
        <v>29.02</v>
      </c>
    </row>
    <row r="2742" spans="27:34">
      <c r="AA2742">
        <v>-15.11</v>
      </c>
      <c r="AB2742">
        <v>1.4</v>
      </c>
      <c r="AC2742">
        <v>0</v>
      </c>
      <c r="AD2742">
        <v>6.0301507999999997E-2</v>
      </c>
    </row>
    <row r="2743" spans="27:34">
      <c r="AA2743">
        <v>5.35</v>
      </c>
      <c r="AB2743">
        <v>4.5999999999999996</v>
      </c>
      <c r="AC2743">
        <v>42</v>
      </c>
      <c r="AD2743">
        <v>8.4491978999999995E-2</v>
      </c>
      <c r="AE2743">
        <v>76</v>
      </c>
      <c r="AG2743">
        <v>2024.6022567561599</v>
      </c>
      <c r="AH2743">
        <v>18080315</v>
      </c>
    </row>
    <row r="2744" spans="27:34">
      <c r="AA2744">
        <v>5.35</v>
      </c>
      <c r="AB2744">
        <v>4.5999999999999996</v>
      </c>
      <c r="AC2744">
        <v>42</v>
      </c>
      <c r="AD2744">
        <v>8.4491978999999995E-2</v>
      </c>
      <c r="AG2744">
        <v>2123.6387502480502</v>
      </c>
      <c r="AH2744">
        <v>18234275</v>
      </c>
    </row>
    <row r="2745" spans="27:34">
      <c r="AA2745">
        <v>5.35</v>
      </c>
      <c r="AB2745">
        <v>4.5999999999999996</v>
      </c>
      <c r="AC2745">
        <v>42</v>
      </c>
      <c r="AD2745">
        <v>8.4491978999999995E-2</v>
      </c>
      <c r="AG2745">
        <v>2282.3291089383602</v>
      </c>
      <c r="AH2745">
        <v>18373340</v>
      </c>
    </row>
    <row r="2746" spans="27:34">
      <c r="AA2746">
        <v>5.35</v>
      </c>
      <c r="AB2746">
        <v>4.5999999999999996</v>
      </c>
      <c r="AC2746">
        <v>42</v>
      </c>
      <c r="AD2746">
        <v>8.4491978999999995E-2</v>
      </c>
      <c r="AG2746">
        <v>2400.2451948831799</v>
      </c>
      <c r="AH2746">
        <v>18498471</v>
      </c>
    </row>
    <row r="2747" spans="27:34">
      <c r="AA2747">
        <v>5.35</v>
      </c>
      <c r="AB2747">
        <v>4.5999999999999996</v>
      </c>
      <c r="AC2747">
        <v>42</v>
      </c>
      <c r="AD2747">
        <v>8.4491978999999995E-2</v>
      </c>
      <c r="AG2747">
        <v>2524.7527045084398</v>
      </c>
      <c r="AH2747">
        <v>18611355</v>
      </c>
    </row>
    <row r="2748" spans="27:34">
      <c r="AA2748">
        <v>5.35</v>
      </c>
      <c r="AB2748">
        <v>4.5999999999999996</v>
      </c>
      <c r="AC2748">
        <v>42</v>
      </c>
      <c r="AD2748">
        <v>8.4491978999999995E-2</v>
      </c>
      <c r="AE2748">
        <v>82</v>
      </c>
      <c r="AF2748">
        <v>24.64</v>
      </c>
      <c r="AG2748">
        <v>2719.1858493130198</v>
      </c>
      <c r="AH2748">
        <v>18713711</v>
      </c>
    </row>
    <row r="2749" spans="27:34">
      <c r="AA2749">
        <v>5.35</v>
      </c>
      <c r="AB2749">
        <v>4.5999999999999996</v>
      </c>
      <c r="AC2749">
        <v>42</v>
      </c>
      <c r="AD2749">
        <v>8.4491978999999995E-2</v>
      </c>
      <c r="AG2749">
        <v>2725.72796645162</v>
      </c>
      <c r="AH2749">
        <v>18797000</v>
      </c>
    </row>
    <row r="2750" spans="27:34">
      <c r="AA2750">
        <v>5.35</v>
      </c>
      <c r="AB2750">
        <v>4.5999999999999996</v>
      </c>
      <c r="AC2750">
        <v>42</v>
      </c>
      <c r="AD2750">
        <v>8.4491978999999995E-2</v>
      </c>
      <c r="AG2750">
        <v>2860.9574395404002</v>
      </c>
      <c r="AH2750">
        <v>18921000</v>
      </c>
    </row>
    <row r="2751" spans="27:34">
      <c r="AA2751">
        <v>5.35</v>
      </c>
      <c r="AB2751">
        <v>4.5999999999999996</v>
      </c>
      <c r="AC2751">
        <v>42</v>
      </c>
      <c r="AD2751">
        <v>8.4491978999999995E-2</v>
      </c>
      <c r="AG2751">
        <v>3055.5381221042599</v>
      </c>
      <c r="AH2751">
        <v>19173000</v>
      </c>
    </row>
    <row r="2752" spans="27:34">
      <c r="AA2752">
        <v>5.35</v>
      </c>
      <c r="AB2752">
        <v>4.5999999999999996</v>
      </c>
      <c r="AC2752">
        <v>42</v>
      </c>
      <c r="AD2752">
        <v>8.4491978999999995E-2</v>
      </c>
      <c r="AG2752">
        <v>3264.0416167779399</v>
      </c>
      <c r="AH2752">
        <v>19462000</v>
      </c>
    </row>
    <row r="2753" spans="27:34">
      <c r="AA2753">
        <v>5.35</v>
      </c>
      <c r="AB2753">
        <v>4.5999999999999996</v>
      </c>
      <c r="AC2753">
        <v>42</v>
      </c>
      <c r="AD2753">
        <v>8.4491978999999995E-2</v>
      </c>
      <c r="AE2753">
        <v>88</v>
      </c>
      <c r="AF2753">
        <v>24.53</v>
      </c>
      <c r="AG2753">
        <v>3545.88116831959</v>
      </c>
      <c r="AH2753">
        <v>19668000</v>
      </c>
    </row>
    <row r="2754" spans="27:34">
      <c r="AA2754">
        <v>5.35</v>
      </c>
      <c r="AB2754">
        <v>4.5999999999999996</v>
      </c>
      <c r="AC2754">
        <v>42</v>
      </c>
      <c r="AD2754">
        <v>8.4491978999999995E-2</v>
      </c>
      <c r="AG2754">
        <v>3898.72086442202</v>
      </c>
      <c r="AH2754">
        <v>19886000</v>
      </c>
    </row>
    <row r="2755" spans="27:34">
      <c r="AA2755">
        <v>5.35</v>
      </c>
      <c r="AB2755">
        <v>4.5999999999999996</v>
      </c>
      <c r="AC2755">
        <v>42</v>
      </c>
      <c r="AD2755">
        <v>8.4491978999999995E-2</v>
      </c>
      <c r="AG2755">
        <v>4279.7339567945901</v>
      </c>
      <c r="AH2755">
        <v>20010000</v>
      </c>
    </row>
    <row r="2756" spans="27:34">
      <c r="AA2756">
        <v>5.35</v>
      </c>
      <c r="AB2756">
        <v>4.5999999999999996</v>
      </c>
      <c r="AC2756">
        <v>42</v>
      </c>
      <c r="AD2756">
        <v>8.4491978999999995E-2</v>
      </c>
      <c r="AE2756">
        <v>91</v>
      </c>
      <c r="AG2756">
        <v>4599.8977818625899</v>
      </c>
      <c r="AH2756">
        <v>20156204.3380748</v>
      </c>
    </row>
    <row r="2757" spans="27:34">
      <c r="AA2757">
        <v>5.35</v>
      </c>
      <c r="AB2757">
        <v>4.5999999999999996</v>
      </c>
      <c r="AC2757">
        <v>42</v>
      </c>
      <c r="AD2757">
        <v>8.4491978999999995E-2</v>
      </c>
      <c r="AG2757">
        <v>4771.6104878226097</v>
      </c>
      <c r="AH2757">
        <v>20303476.927447598</v>
      </c>
    </row>
    <row r="2758" spans="27:34">
      <c r="AA2758">
        <v>5.35</v>
      </c>
      <c r="AB2758">
        <v>4.5999999999999996</v>
      </c>
      <c r="AC2758">
        <v>42</v>
      </c>
      <c r="AD2758">
        <v>8.4491978999999995E-2</v>
      </c>
    </row>
    <row r="2759" spans="27:34">
      <c r="AA2759">
        <v>5.35</v>
      </c>
      <c r="AB2759">
        <v>4.5999999999999996</v>
      </c>
      <c r="AC2759">
        <v>42</v>
      </c>
      <c r="AD2759">
        <v>8.4491978999999995E-2</v>
      </c>
    </row>
    <row r="2760" spans="27:34">
      <c r="AA2760">
        <v>19.64</v>
      </c>
      <c r="AB2760">
        <v>4.0999999999999996</v>
      </c>
      <c r="AC2760">
        <v>255</v>
      </c>
      <c r="AD2760">
        <v>0.26511954999999998</v>
      </c>
      <c r="AE2760">
        <v>33</v>
      </c>
      <c r="AF2760">
        <v>27.6</v>
      </c>
      <c r="AG2760">
        <v>895.62065314359597</v>
      </c>
      <c r="AH2760">
        <v>30841262</v>
      </c>
    </row>
    <row r="2761" spans="27:34">
      <c r="AA2761">
        <v>19.64</v>
      </c>
      <c r="AB2761">
        <v>4.0999999999999996</v>
      </c>
      <c r="AC2761">
        <v>255</v>
      </c>
      <c r="AD2761">
        <v>0.26511954999999998</v>
      </c>
      <c r="AG2761">
        <v>942.087325817237</v>
      </c>
      <c r="AH2761">
        <v>31649405</v>
      </c>
    </row>
    <row r="2762" spans="27:34">
      <c r="AA2762">
        <v>19.64</v>
      </c>
      <c r="AB2762">
        <v>4.0999999999999996</v>
      </c>
      <c r="AC2762">
        <v>255</v>
      </c>
      <c r="AD2762">
        <v>0.26511954999999998</v>
      </c>
      <c r="AG2762">
        <v>1033.24093704094</v>
      </c>
      <c r="AH2762">
        <v>32472304</v>
      </c>
    </row>
    <row r="2763" spans="27:34">
      <c r="AA2763">
        <v>19.64</v>
      </c>
      <c r="AB2763">
        <v>4.0999999999999996</v>
      </c>
      <c r="AC2763">
        <v>255</v>
      </c>
      <c r="AD2763">
        <v>0.26511954999999998</v>
      </c>
      <c r="AG2763">
        <v>1062.91681557469</v>
      </c>
      <c r="AH2763">
        <v>33298155</v>
      </c>
    </row>
    <row r="2764" spans="27:34">
      <c r="AA2764">
        <v>19.64</v>
      </c>
      <c r="AB2764">
        <v>4.0999999999999996</v>
      </c>
      <c r="AC2764">
        <v>255</v>
      </c>
      <c r="AD2764">
        <v>0.26511954999999998</v>
      </c>
      <c r="AG2764">
        <v>1085.4453651542899</v>
      </c>
      <c r="AH2764">
        <v>34111916</v>
      </c>
    </row>
    <row r="2765" spans="27:34">
      <c r="AA2765">
        <v>19.64</v>
      </c>
      <c r="AB2765">
        <v>4.0999999999999996</v>
      </c>
      <c r="AC2765">
        <v>255</v>
      </c>
      <c r="AD2765">
        <v>0.26511954999999998</v>
      </c>
      <c r="AE2765">
        <v>34</v>
      </c>
      <c r="AF2765">
        <v>57.58</v>
      </c>
      <c r="AG2765">
        <v>1174.57630705819</v>
      </c>
      <c r="AH2765">
        <v>34903970</v>
      </c>
    </row>
    <row r="2766" spans="27:34">
      <c r="AA2766">
        <v>19.64</v>
      </c>
      <c r="AB2766">
        <v>4.0999999999999996</v>
      </c>
      <c r="AC2766">
        <v>255</v>
      </c>
      <c r="AD2766">
        <v>0.26511954999999998</v>
      </c>
      <c r="AG2766">
        <v>1247.97986110285</v>
      </c>
      <c r="AH2766">
        <v>35667097</v>
      </c>
    </row>
    <row r="2767" spans="27:34">
      <c r="AA2767">
        <v>19.64</v>
      </c>
      <c r="AB2767">
        <v>4.0999999999999996</v>
      </c>
      <c r="AC2767">
        <v>255</v>
      </c>
      <c r="AD2767">
        <v>0.26511954999999998</v>
      </c>
      <c r="AG2767">
        <v>1309.0880216251901</v>
      </c>
      <c r="AH2767">
        <v>36406858</v>
      </c>
    </row>
    <row r="2768" spans="27:34">
      <c r="AA2768">
        <v>19.64</v>
      </c>
      <c r="AB2768">
        <v>4.0999999999999996</v>
      </c>
      <c r="AC2768">
        <v>255</v>
      </c>
      <c r="AD2768">
        <v>0.26511954999999998</v>
      </c>
      <c r="AG2768">
        <v>1404.4858393879699</v>
      </c>
      <c r="AH2768">
        <v>37142156</v>
      </c>
    </row>
    <row r="2769" spans="27:34">
      <c r="AA2769">
        <v>19.64</v>
      </c>
      <c r="AB2769">
        <v>4.0999999999999996</v>
      </c>
      <c r="AC2769">
        <v>255</v>
      </c>
      <c r="AD2769">
        <v>0.26511954999999998</v>
      </c>
      <c r="AG2769">
        <v>1487.8066874272599</v>
      </c>
      <c r="AH2769">
        <v>37899766</v>
      </c>
    </row>
    <row r="2770" spans="27:34">
      <c r="AA2770">
        <v>19.64</v>
      </c>
      <c r="AB2770">
        <v>4.0999999999999996</v>
      </c>
      <c r="AC2770">
        <v>255</v>
      </c>
      <c r="AD2770">
        <v>0.26511954999999998</v>
      </c>
      <c r="AE2770">
        <v>34</v>
      </c>
      <c r="AG2770">
        <v>1600.9781063958201</v>
      </c>
      <c r="AH2770">
        <v>38698472</v>
      </c>
    </row>
    <row r="2771" spans="27:34">
      <c r="AA2771">
        <v>19.64</v>
      </c>
      <c r="AB2771">
        <v>4.0999999999999996</v>
      </c>
      <c r="AC2771">
        <v>255</v>
      </c>
      <c r="AD2771">
        <v>0.26511954999999998</v>
      </c>
      <c r="AG2771">
        <v>1800.2831661595201</v>
      </c>
      <c r="AH2771">
        <v>39545065</v>
      </c>
    </row>
    <row r="2772" spans="27:34">
      <c r="AA2772">
        <v>19.64</v>
      </c>
      <c r="AB2772">
        <v>4.0999999999999996</v>
      </c>
      <c r="AC2772">
        <v>255</v>
      </c>
      <c r="AD2772">
        <v>0.26511954999999998</v>
      </c>
      <c r="AG2772">
        <v>2006.1874517763399</v>
      </c>
      <c r="AH2772">
        <v>40432296</v>
      </c>
    </row>
    <row r="2773" spans="27:34">
      <c r="AA2773">
        <v>19.64</v>
      </c>
      <c r="AB2773">
        <v>4.0999999999999996</v>
      </c>
      <c r="AC2773">
        <v>255</v>
      </c>
      <c r="AD2773">
        <v>0.26511954999999998</v>
      </c>
      <c r="AE2773">
        <v>34</v>
      </c>
      <c r="AG2773">
        <v>2141.8013356910701</v>
      </c>
      <c r="AH2773">
        <v>41347723</v>
      </c>
    </row>
    <row r="2774" spans="27:34">
      <c r="AA2774">
        <v>19.64</v>
      </c>
      <c r="AB2774">
        <v>4.0999999999999996</v>
      </c>
      <c r="AC2774">
        <v>255</v>
      </c>
      <c r="AD2774">
        <v>0.26511954999999998</v>
      </c>
      <c r="AG2774">
        <v>2209.6949311824201</v>
      </c>
      <c r="AH2774">
        <v>42272435</v>
      </c>
    </row>
    <row r="2775" spans="27:34">
      <c r="AA2775">
        <v>19.64</v>
      </c>
      <c r="AB2775">
        <v>4.0999999999999996</v>
      </c>
      <c r="AC2775">
        <v>255</v>
      </c>
      <c r="AD2775">
        <v>0.26511954999999998</v>
      </c>
    </row>
    <row r="2776" spans="27:34">
      <c r="AA2776">
        <v>19.64</v>
      </c>
      <c r="AB2776">
        <v>4.0999999999999996</v>
      </c>
      <c r="AC2776">
        <v>255</v>
      </c>
      <c r="AD2776">
        <v>0.26511954999999998</v>
      </c>
    </row>
    <row r="2777" spans="27:34">
      <c r="AA2777">
        <v>-14.12</v>
      </c>
      <c r="AB2777">
        <v>4.5</v>
      </c>
      <c r="AC2777">
        <v>43</v>
      </c>
      <c r="AD2777">
        <v>0.16321243499999999</v>
      </c>
      <c r="AE2777">
        <v>82</v>
      </c>
      <c r="AG2777">
        <v>4036.70940985159</v>
      </c>
      <c r="AH2777">
        <v>435841</v>
      </c>
    </row>
    <row r="2778" spans="27:34">
      <c r="AA2778">
        <v>-14.12</v>
      </c>
      <c r="AB2778">
        <v>4.5</v>
      </c>
      <c r="AC2778">
        <v>43</v>
      </c>
      <c r="AD2778">
        <v>0.16321243499999999</v>
      </c>
      <c r="AG2778">
        <v>4109.24749250492</v>
      </c>
      <c r="AH2778">
        <v>441879</v>
      </c>
    </row>
    <row r="2779" spans="27:34">
      <c r="AA2779">
        <v>-14.12</v>
      </c>
      <c r="AB2779">
        <v>4.5</v>
      </c>
      <c r="AC2779">
        <v>43</v>
      </c>
      <c r="AD2779">
        <v>0.16321243499999999</v>
      </c>
      <c r="AG2779">
        <v>4361.4260976404803</v>
      </c>
      <c r="AH2779">
        <v>448017</v>
      </c>
    </row>
    <row r="2780" spans="27:34">
      <c r="AA2780">
        <v>-14.12</v>
      </c>
      <c r="AB2780">
        <v>4.5</v>
      </c>
      <c r="AC2780">
        <v>43</v>
      </c>
      <c r="AD2780">
        <v>0.16321243499999999</v>
      </c>
      <c r="AG2780">
        <v>4417.4638684536303</v>
      </c>
      <c r="AH2780">
        <v>454271</v>
      </c>
    </row>
    <row r="2781" spans="27:34">
      <c r="AA2781">
        <v>-14.12</v>
      </c>
      <c r="AB2781">
        <v>4.5</v>
      </c>
      <c r="AC2781">
        <v>43</v>
      </c>
      <c r="AD2781">
        <v>0.16321243499999999</v>
      </c>
      <c r="AG2781">
        <v>4381.7168008901399</v>
      </c>
      <c r="AH2781">
        <v>460655</v>
      </c>
    </row>
    <row r="2782" spans="27:34">
      <c r="AA2782">
        <v>-14.12</v>
      </c>
      <c r="AB2782">
        <v>4.5</v>
      </c>
      <c r="AC2782">
        <v>43</v>
      </c>
      <c r="AD2782">
        <v>0.16321243499999999</v>
      </c>
      <c r="AE2782">
        <v>83</v>
      </c>
      <c r="AF2782">
        <v>0.54920000000000002</v>
      </c>
      <c r="AG2782">
        <v>4411.40518619249</v>
      </c>
      <c r="AH2782">
        <v>467162</v>
      </c>
    </row>
    <row r="2783" spans="27:34">
      <c r="AA2783">
        <v>-14.12</v>
      </c>
      <c r="AB2783">
        <v>4.5</v>
      </c>
      <c r="AC2783">
        <v>43</v>
      </c>
      <c r="AD2783">
        <v>0.16321243499999999</v>
      </c>
      <c r="AG2783">
        <v>4650.3924050679498</v>
      </c>
      <c r="AH2783">
        <v>473821</v>
      </c>
    </row>
    <row r="2784" spans="27:34">
      <c r="AA2784">
        <v>-14.12</v>
      </c>
      <c r="AB2784">
        <v>4.5</v>
      </c>
      <c r="AC2784">
        <v>43</v>
      </c>
      <c r="AD2784">
        <v>0.16321243499999999</v>
      </c>
      <c r="AE2784">
        <v>93</v>
      </c>
      <c r="AG2784">
        <v>4884.37382843451</v>
      </c>
      <c r="AH2784">
        <v>480588</v>
      </c>
    </row>
    <row r="2785" spans="27:34">
      <c r="AA2785">
        <v>-14.12</v>
      </c>
      <c r="AB2785">
        <v>4.5</v>
      </c>
      <c r="AC2785">
        <v>43</v>
      </c>
      <c r="AD2785">
        <v>0.16321243499999999</v>
      </c>
      <c r="AG2785">
        <v>5216.3175750045402</v>
      </c>
      <c r="AH2785">
        <v>487301</v>
      </c>
    </row>
    <row r="2786" spans="27:34">
      <c r="AA2786">
        <v>-14.12</v>
      </c>
      <c r="AB2786">
        <v>4.5</v>
      </c>
      <c r="AC2786">
        <v>43</v>
      </c>
      <c r="AD2786">
        <v>0.16321243499999999</v>
      </c>
      <c r="AE2786">
        <v>94</v>
      </c>
      <c r="AG2786">
        <v>5718.7458360894798</v>
      </c>
      <c r="AH2786">
        <v>493742</v>
      </c>
    </row>
    <row r="2787" spans="27:34">
      <c r="AA2787">
        <v>-14.12</v>
      </c>
      <c r="AB2787">
        <v>4.5</v>
      </c>
      <c r="AC2787">
        <v>43</v>
      </c>
      <c r="AD2787">
        <v>0.16321243499999999</v>
      </c>
      <c r="AE2787">
        <v>84</v>
      </c>
      <c r="AG2787">
        <v>6067.3603818086303</v>
      </c>
      <c r="AH2787">
        <v>499759</v>
      </c>
    </row>
    <row r="2788" spans="27:34">
      <c r="AA2788">
        <v>-14.12</v>
      </c>
      <c r="AB2788">
        <v>4.5</v>
      </c>
      <c r="AC2788">
        <v>43</v>
      </c>
      <c r="AD2788">
        <v>0.16321243499999999</v>
      </c>
      <c r="AG2788">
        <v>6506.0683855887501</v>
      </c>
      <c r="AH2788">
        <v>505283</v>
      </c>
    </row>
    <row r="2789" spans="27:34">
      <c r="AA2789">
        <v>-14.12</v>
      </c>
      <c r="AB2789">
        <v>4.5</v>
      </c>
      <c r="AC2789">
        <v>43</v>
      </c>
      <c r="AD2789">
        <v>0.16321243499999999</v>
      </c>
      <c r="AG2789">
        <v>7007.2066948746897</v>
      </c>
      <c r="AH2789">
        <v>510366</v>
      </c>
    </row>
    <row r="2790" spans="27:34">
      <c r="AA2790">
        <v>-14.12</v>
      </c>
      <c r="AB2790">
        <v>4.5</v>
      </c>
      <c r="AC2790">
        <v>43</v>
      </c>
      <c r="AD2790">
        <v>0.16321243499999999</v>
      </c>
      <c r="AE2790">
        <v>84</v>
      </c>
      <c r="AG2790">
        <v>7458.9968654447703</v>
      </c>
      <c r="AH2790">
        <v>515124</v>
      </c>
    </row>
    <row r="2791" spans="27:34">
      <c r="AA2791">
        <v>-14.12</v>
      </c>
      <c r="AB2791">
        <v>4.5</v>
      </c>
      <c r="AC2791">
        <v>43</v>
      </c>
      <c r="AD2791">
        <v>0.16321243499999999</v>
      </c>
      <c r="AH2791">
        <v>519740</v>
      </c>
    </row>
    <row r="2792" spans="27:34">
      <c r="AA2792">
        <v>-14.12</v>
      </c>
      <c r="AB2792">
        <v>4.5</v>
      </c>
      <c r="AC2792">
        <v>43</v>
      </c>
      <c r="AD2792">
        <v>0.16321243499999999</v>
      </c>
    </row>
    <row r="2793" spans="27:34">
      <c r="AA2793">
        <v>-14.12</v>
      </c>
      <c r="AB2793">
        <v>4.5</v>
      </c>
      <c r="AC2793">
        <v>43</v>
      </c>
      <c r="AD2793">
        <v>0.16321243499999999</v>
      </c>
    </row>
    <row r="2794" spans="27:34">
      <c r="AA2794">
        <v>-2.7</v>
      </c>
      <c r="AB2794">
        <v>4.5</v>
      </c>
      <c r="AC2794">
        <v>252</v>
      </c>
      <c r="AD2794">
        <v>0.52747252700000002</v>
      </c>
      <c r="AE2794">
        <v>48</v>
      </c>
      <c r="AG2794">
        <v>2910.38785174951</v>
      </c>
      <c r="AH2794">
        <v>969227</v>
      </c>
    </row>
    <row r="2795" spans="27:34">
      <c r="AA2795">
        <v>-2.7</v>
      </c>
      <c r="AB2795">
        <v>4.5</v>
      </c>
      <c r="AC2795">
        <v>252</v>
      </c>
      <c r="AD2795">
        <v>0.52747252700000002</v>
      </c>
      <c r="AG2795">
        <v>3001.6989775305101</v>
      </c>
      <c r="AH2795">
        <v>992083</v>
      </c>
    </row>
    <row r="2796" spans="27:34">
      <c r="AA2796">
        <v>-2.7</v>
      </c>
      <c r="AB2796">
        <v>4.5</v>
      </c>
      <c r="AC2796">
        <v>252</v>
      </c>
      <c r="AD2796">
        <v>0.52747252700000002</v>
      </c>
      <c r="AG2796">
        <v>3094.5708689261201</v>
      </c>
      <c r="AH2796">
        <v>1016421</v>
      </c>
    </row>
    <row r="2797" spans="27:34">
      <c r="AA2797">
        <v>-2.7</v>
      </c>
      <c r="AB2797">
        <v>4.5</v>
      </c>
      <c r="AC2797">
        <v>252</v>
      </c>
      <c r="AD2797">
        <v>0.52747252700000002</v>
      </c>
      <c r="AG2797">
        <v>3141.0695594368999</v>
      </c>
      <c r="AH2797">
        <v>1040587</v>
      </c>
    </row>
    <row r="2798" spans="27:34">
      <c r="AA2798">
        <v>-2.7</v>
      </c>
      <c r="AB2798">
        <v>4.5</v>
      </c>
      <c r="AC2798">
        <v>252</v>
      </c>
      <c r="AD2798">
        <v>0.52747252700000002</v>
      </c>
      <c r="AG2798">
        <v>3230.6960696706401</v>
      </c>
      <c r="AH2798">
        <v>1062208</v>
      </c>
    </row>
    <row r="2799" spans="27:34">
      <c r="AA2799">
        <v>-2.7</v>
      </c>
      <c r="AB2799">
        <v>4.5</v>
      </c>
      <c r="AC2799">
        <v>252</v>
      </c>
      <c r="AD2799">
        <v>0.52747252700000002</v>
      </c>
      <c r="AE2799">
        <v>49</v>
      </c>
      <c r="AF2799">
        <v>23.1</v>
      </c>
      <c r="AG2799">
        <v>3574.2427972016098</v>
      </c>
      <c r="AH2799">
        <v>1079690</v>
      </c>
    </row>
    <row r="2800" spans="27:34">
      <c r="AA2800">
        <v>-2.7</v>
      </c>
      <c r="AB2800">
        <v>4.5</v>
      </c>
      <c r="AC2800">
        <v>252</v>
      </c>
      <c r="AD2800">
        <v>0.52747252700000002</v>
      </c>
      <c r="AG2800">
        <v>3648.9020940085802</v>
      </c>
      <c r="AH2800">
        <v>1092393</v>
      </c>
    </row>
    <row r="2801" spans="27:34">
      <c r="AA2801">
        <v>-2.7</v>
      </c>
      <c r="AB2801">
        <v>4.5</v>
      </c>
      <c r="AC2801">
        <v>252</v>
      </c>
      <c r="AD2801">
        <v>0.52747252700000002</v>
      </c>
      <c r="AG2801">
        <v>3745.8941746062801</v>
      </c>
      <c r="AH2801">
        <v>1101198</v>
      </c>
    </row>
    <row r="2802" spans="27:34">
      <c r="AA2802">
        <v>-2.7</v>
      </c>
      <c r="AB2802">
        <v>4.5</v>
      </c>
      <c r="AC2802">
        <v>252</v>
      </c>
      <c r="AD2802">
        <v>0.52747252700000002</v>
      </c>
      <c r="AG2802">
        <v>3951.32298400427</v>
      </c>
      <c r="AH2802">
        <v>1107886</v>
      </c>
    </row>
    <row r="2803" spans="27:34">
      <c r="AA2803">
        <v>-2.7</v>
      </c>
      <c r="AB2803">
        <v>4.5</v>
      </c>
      <c r="AC2803">
        <v>252</v>
      </c>
      <c r="AD2803">
        <v>0.52747252700000002</v>
      </c>
      <c r="AG2803">
        <v>4138.7677341622502</v>
      </c>
      <c r="AH2803">
        <v>1115005</v>
      </c>
    </row>
    <row r="2804" spans="27:34">
      <c r="AA2804">
        <v>-2.7</v>
      </c>
      <c r="AB2804">
        <v>4.5</v>
      </c>
      <c r="AC2804">
        <v>252</v>
      </c>
      <c r="AD2804">
        <v>0.52747252700000002</v>
      </c>
      <c r="AE2804">
        <v>53</v>
      </c>
      <c r="AG2804">
        <v>4334.6775678091999</v>
      </c>
      <c r="AH2804">
        <v>1124410</v>
      </c>
    </row>
    <row r="2805" spans="27:34">
      <c r="AA2805">
        <v>-2.7</v>
      </c>
      <c r="AB2805">
        <v>4.5</v>
      </c>
      <c r="AC2805">
        <v>252</v>
      </c>
      <c r="AD2805">
        <v>0.52747252700000002</v>
      </c>
      <c r="AG2805">
        <v>4554.3602967960896</v>
      </c>
      <c r="AH2805">
        <v>1136712</v>
      </c>
    </row>
    <row r="2806" spans="27:34">
      <c r="AA2806">
        <v>-2.7</v>
      </c>
      <c r="AB2806">
        <v>4.5</v>
      </c>
      <c r="AC2806">
        <v>252</v>
      </c>
      <c r="AD2806">
        <v>0.52747252700000002</v>
      </c>
      <c r="AG2806">
        <v>4813.59420016903</v>
      </c>
      <c r="AH2806">
        <v>1151399</v>
      </c>
    </row>
    <row r="2807" spans="27:34">
      <c r="AA2807">
        <v>-2.7</v>
      </c>
      <c r="AB2807">
        <v>4.5</v>
      </c>
      <c r="AC2807">
        <v>252</v>
      </c>
      <c r="AD2807">
        <v>0.52747252700000002</v>
      </c>
      <c r="AE2807">
        <v>55</v>
      </c>
      <c r="AG2807">
        <v>4965.9929445186199</v>
      </c>
      <c r="AH2807">
        <v>1167834</v>
      </c>
    </row>
    <row r="2808" spans="27:34">
      <c r="AA2808">
        <v>-2.7</v>
      </c>
      <c r="AB2808">
        <v>4.5</v>
      </c>
      <c r="AC2808">
        <v>252</v>
      </c>
      <c r="AD2808">
        <v>0.52747252700000002</v>
      </c>
      <c r="AG2808">
        <v>4998.4063494657403</v>
      </c>
      <c r="AH2808">
        <v>1184936</v>
      </c>
    </row>
    <row r="2809" spans="27:34">
      <c r="AA2809">
        <v>-2.7</v>
      </c>
      <c r="AB2809">
        <v>4.5</v>
      </c>
      <c r="AC2809">
        <v>252</v>
      </c>
      <c r="AD2809">
        <v>0.52747252700000002</v>
      </c>
    </row>
    <row r="2810" spans="27:34">
      <c r="AA2810">
        <v>-2.7</v>
      </c>
      <c r="AB2810">
        <v>4.5</v>
      </c>
      <c r="AC2810">
        <v>252</v>
      </c>
      <c r="AD2810">
        <v>0.52747252700000002</v>
      </c>
    </row>
    <row r="2811" spans="27:34">
      <c r="AA2811">
        <v>12.93</v>
      </c>
      <c r="AB2811">
        <v>3.1</v>
      </c>
      <c r="AC2811">
        <v>0</v>
      </c>
      <c r="AD2811">
        <v>4.8780487999999997E-2</v>
      </c>
      <c r="AE2811">
        <v>100</v>
      </c>
      <c r="AG2811">
        <v>21847.372658321801</v>
      </c>
      <c r="AH2811">
        <v>8831000</v>
      </c>
    </row>
    <row r="2812" spans="27:34">
      <c r="AA2812">
        <v>12.93</v>
      </c>
      <c r="AB2812">
        <v>3.1</v>
      </c>
      <c r="AC2812">
        <v>0</v>
      </c>
      <c r="AD2812">
        <v>4.8780487999999997E-2</v>
      </c>
      <c r="AG2812">
        <v>22646.8226490829</v>
      </c>
      <c r="AH2812">
        <v>8843000</v>
      </c>
    </row>
    <row r="2813" spans="27:34">
      <c r="AA2813">
        <v>12.93</v>
      </c>
      <c r="AB2813">
        <v>3.1</v>
      </c>
      <c r="AC2813">
        <v>0</v>
      </c>
      <c r="AD2813">
        <v>4.8780487999999997E-2</v>
      </c>
      <c r="AG2813">
        <v>23479.232860811098</v>
      </c>
      <c r="AH2813">
        <v>8849437</v>
      </c>
    </row>
    <row r="2814" spans="27:34">
      <c r="AA2814">
        <v>12.93</v>
      </c>
      <c r="AB2814">
        <v>3.1</v>
      </c>
      <c r="AC2814">
        <v>0</v>
      </c>
      <c r="AD2814">
        <v>4.8780487999999997E-2</v>
      </c>
      <c r="AG2814">
        <v>24415.567003904001</v>
      </c>
      <c r="AH2814">
        <v>8851800</v>
      </c>
    </row>
    <row r="2815" spans="27:34">
      <c r="AA2815">
        <v>12.93</v>
      </c>
      <c r="AB2815">
        <v>3.1</v>
      </c>
      <c r="AC2815">
        <v>0</v>
      </c>
      <c r="AD2815">
        <v>4.8780487999999997E-2</v>
      </c>
      <c r="AG2815">
        <v>25978.100898970901</v>
      </c>
      <c r="AH2815">
        <v>8857400</v>
      </c>
    </row>
    <row r="2816" spans="27:34">
      <c r="AA2816">
        <v>12.93</v>
      </c>
      <c r="AB2816">
        <v>3.1</v>
      </c>
      <c r="AC2816">
        <v>0</v>
      </c>
      <c r="AD2816">
        <v>4.8780487999999997E-2</v>
      </c>
      <c r="AE2816">
        <v>100</v>
      </c>
      <c r="AF2816">
        <v>1.5449999999999999</v>
      </c>
      <c r="AG2816">
        <v>27957.928746663001</v>
      </c>
      <c r="AH2816">
        <v>8869000</v>
      </c>
    </row>
    <row r="2817" spans="27:34">
      <c r="AA2817">
        <v>12.93</v>
      </c>
      <c r="AB2817">
        <v>3.1</v>
      </c>
      <c r="AC2817">
        <v>0</v>
      </c>
      <c r="AD2817">
        <v>4.8780487999999997E-2</v>
      </c>
      <c r="AG2817">
        <v>28237.7442361457</v>
      </c>
      <c r="AH2817">
        <v>8894000</v>
      </c>
    </row>
    <row r="2818" spans="27:34">
      <c r="AA2818">
        <v>12.93</v>
      </c>
      <c r="AB2818">
        <v>3.1</v>
      </c>
      <c r="AC2818">
        <v>0</v>
      </c>
      <c r="AD2818">
        <v>4.8780487999999997E-2</v>
      </c>
      <c r="AG2818">
        <v>29281.0544168903</v>
      </c>
      <c r="AH2818">
        <v>8924000</v>
      </c>
    </row>
    <row r="2819" spans="27:34">
      <c r="AA2819">
        <v>12.93</v>
      </c>
      <c r="AB2819">
        <v>3.1</v>
      </c>
      <c r="AC2819">
        <v>0</v>
      </c>
      <c r="AD2819">
        <v>4.8780487999999997E-2</v>
      </c>
      <c r="AG2819">
        <v>30424.836874909</v>
      </c>
      <c r="AH2819">
        <v>8956000</v>
      </c>
    </row>
    <row r="2820" spans="27:34">
      <c r="AA2820">
        <v>12.93</v>
      </c>
      <c r="AB2820">
        <v>3.1</v>
      </c>
      <c r="AC2820">
        <v>0</v>
      </c>
      <c r="AD2820">
        <v>4.8780487999999997E-2</v>
      </c>
      <c r="AG2820">
        <v>32512.898285470201</v>
      </c>
      <c r="AH2820">
        <v>8991994</v>
      </c>
    </row>
    <row r="2821" spans="27:34">
      <c r="AA2821">
        <v>12.93</v>
      </c>
      <c r="AB2821">
        <v>3.1</v>
      </c>
      <c r="AC2821">
        <v>0</v>
      </c>
      <c r="AD2821">
        <v>4.8780487999999997E-2</v>
      </c>
      <c r="AE2821">
        <v>100</v>
      </c>
      <c r="AF2821">
        <v>1.5029999999999999</v>
      </c>
      <c r="AG2821">
        <v>32723.0306672107</v>
      </c>
      <c r="AH2821">
        <v>9024040</v>
      </c>
    </row>
    <row r="2822" spans="27:34">
      <c r="AA2822">
        <v>12.93</v>
      </c>
      <c r="AB2822">
        <v>3.1</v>
      </c>
      <c r="AC2822">
        <v>0</v>
      </c>
      <c r="AD2822">
        <v>4.8780487999999997E-2</v>
      </c>
      <c r="AG2822">
        <v>35682.123811371603</v>
      </c>
      <c r="AH2822">
        <v>9080505</v>
      </c>
    </row>
    <row r="2823" spans="27:34">
      <c r="AA2823">
        <v>12.93</v>
      </c>
      <c r="AB2823">
        <v>3.1</v>
      </c>
      <c r="AC2823">
        <v>0</v>
      </c>
      <c r="AD2823">
        <v>4.8780487999999997E-2</v>
      </c>
      <c r="AG2823">
        <v>38485.969359579598</v>
      </c>
      <c r="AH2823">
        <v>9148092</v>
      </c>
    </row>
    <row r="2824" spans="27:34">
      <c r="AA2824">
        <v>12.93</v>
      </c>
      <c r="AB2824">
        <v>3.1</v>
      </c>
      <c r="AC2824">
        <v>0</v>
      </c>
      <c r="AD2824">
        <v>4.8780487999999997E-2</v>
      </c>
      <c r="AE2824">
        <v>100</v>
      </c>
      <c r="AG2824">
        <v>39591.441916702199</v>
      </c>
      <c r="AH2824">
        <v>9219637</v>
      </c>
    </row>
    <row r="2825" spans="27:34">
      <c r="AA2825">
        <v>12.93</v>
      </c>
      <c r="AB2825">
        <v>3.1</v>
      </c>
      <c r="AC2825">
        <v>0</v>
      </c>
      <c r="AD2825">
        <v>4.8780487999999997E-2</v>
      </c>
      <c r="AG2825">
        <v>37377.102886468798</v>
      </c>
      <c r="AH2825">
        <v>9302123</v>
      </c>
    </row>
    <row r="2826" spans="27:34">
      <c r="AA2826">
        <v>12.93</v>
      </c>
      <c r="AB2826">
        <v>3.1</v>
      </c>
      <c r="AC2826">
        <v>0</v>
      </c>
      <c r="AD2826">
        <v>4.8780487999999997E-2</v>
      </c>
    </row>
    <row r="2827" spans="27:34">
      <c r="AA2827">
        <v>12.93</v>
      </c>
      <c r="AB2827">
        <v>3.1</v>
      </c>
      <c r="AC2827">
        <v>0</v>
      </c>
      <c r="AD2827">
        <v>4.8780487999999997E-2</v>
      </c>
    </row>
    <row r="2828" spans="27:34">
      <c r="AA2828">
        <v>3.67</v>
      </c>
      <c r="AB2828">
        <v>1.5</v>
      </c>
      <c r="AC2828">
        <v>0</v>
      </c>
      <c r="AD2828">
        <v>4.5945946000000001E-2</v>
      </c>
      <c r="AE2828">
        <v>100</v>
      </c>
      <c r="AG2828">
        <v>26763.681511681902</v>
      </c>
      <c r="AH2828">
        <v>7041000</v>
      </c>
    </row>
    <row r="2829" spans="27:34">
      <c r="AA2829">
        <v>3.67</v>
      </c>
      <c r="AB2829">
        <v>1.5</v>
      </c>
      <c r="AC2829">
        <v>0</v>
      </c>
      <c r="AD2829">
        <v>4.5945946000000001E-2</v>
      </c>
      <c r="AG2829">
        <v>27437.767850437602</v>
      </c>
      <c r="AH2829">
        <v>7074000</v>
      </c>
    </row>
    <row r="2830" spans="27:34">
      <c r="AA2830">
        <v>3.67</v>
      </c>
      <c r="AB2830">
        <v>1.5</v>
      </c>
      <c r="AC2830">
        <v>0</v>
      </c>
      <c r="AD2830">
        <v>4.5945946000000001E-2</v>
      </c>
      <c r="AG2830">
        <v>28585.038907311999</v>
      </c>
      <c r="AH2830">
        <v>7088000</v>
      </c>
    </row>
    <row r="2831" spans="27:34">
      <c r="AA2831">
        <v>3.67</v>
      </c>
      <c r="AB2831">
        <v>1.5</v>
      </c>
      <c r="AC2831">
        <v>0</v>
      </c>
      <c r="AD2831">
        <v>4.5945946000000001E-2</v>
      </c>
      <c r="AG2831">
        <v>29591.026079641601</v>
      </c>
      <c r="AH2831">
        <v>7110000</v>
      </c>
    </row>
    <row r="2832" spans="27:34">
      <c r="AA2832">
        <v>3.67</v>
      </c>
      <c r="AB2832">
        <v>1.5</v>
      </c>
      <c r="AC2832">
        <v>0</v>
      </c>
      <c r="AD2832">
        <v>4.5945946000000001E-2</v>
      </c>
      <c r="AG2832">
        <v>30140.720803920402</v>
      </c>
      <c r="AH2832">
        <v>7140000</v>
      </c>
    </row>
    <row r="2833" spans="27:34">
      <c r="AA2833">
        <v>3.67</v>
      </c>
      <c r="AB2833">
        <v>1.5</v>
      </c>
      <c r="AC2833">
        <v>0</v>
      </c>
      <c r="AD2833">
        <v>4.5945946000000001E-2</v>
      </c>
      <c r="AE2833">
        <v>100</v>
      </c>
      <c r="AF2833">
        <v>4.8860000000000001</v>
      </c>
      <c r="AG2833">
        <v>31727.3289034392</v>
      </c>
      <c r="AH2833">
        <v>7184222.2001007199</v>
      </c>
    </row>
    <row r="2834" spans="27:34">
      <c r="AA2834">
        <v>3.67</v>
      </c>
      <c r="AB2834">
        <v>1.5</v>
      </c>
      <c r="AC2834">
        <v>0</v>
      </c>
      <c r="AD2834">
        <v>4.5945946000000001E-2</v>
      </c>
      <c r="AG2834">
        <v>32349.508062215398</v>
      </c>
      <c r="AH2834">
        <v>7229807.9692973197</v>
      </c>
    </row>
    <row r="2835" spans="27:34">
      <c r="AA2835">
        <v>3.67</v>
      </c>
      <c r="AB2835">
        <v>1.5</v>
      </c>
      <c r="AC2835">
        <v>0</v>
      </c>
      <c r="AD2835">
        <v>4.5945946000000001E-2</v>
      </c>
      <c r="AG2835">
        <v>33658.083498685803</v>
      </c>
      <c r="AH2835">
        <v>7284694.8776876703</v>
      </c>
    </row>
    <row r="2836" spans="27:34">
      <c r="AA2836">
        <v>3.67</v>
      </c>
      <c r="AB2836">
        <v>1.5</v>
      </c>
      <c r="AC2836">
        <v>0</v>
      </c>
      <c r="AD2836">
        <v>4.5945946000000001E-2</v>
      </c>
      <c r="AG2836">
        <v>33565.895721641798</v>
      </c>
      <c r="AH2836">
        <v>7338957.4152085101</v>
      </c>
    </row>
    <row r="2837" spans="27:34">
      <c r="AA2837">
        <v>3.67</v>
      </c>
      <c r="AB2837">
        <v>1.5</v>
      </c>
      <c r="AC2837">
        <v>0</v>
      </c>
      <c r="AD2837">
        <v>4.5945946000000001E-2</v>
      </c>
      <c r="AG2837">
        <v>34838.447187056001</v>
      </c>
      <c r="AH2837">
        <v>7389581.0817052396</v>
      </c>
    </row>
    <row r="2838" spans="27:34">
      <c r="AA2838">
        <v>3.67</v>
      </c>
      <c r="AB2838">
        <v>1.5</v>
      </c>
      <c r="AC2838">
        <v>0</v>
      </c>
      <c r="AD2838">
        <v>4.5945946000000001E-2</v>
      </c>
      <c r="AE2838">
        <v>100</v>
      </c>
      <c r="AG2838">
        <v>35784.085360620396</v>
      </c>
      <c r="AH2838">
        <v>7437100</v>
      </c>
    </row>
    <row r="2839" spans="27:34">
      <c r="AA2839">
        <v>3.67</v>
      </c>
      <c r="AB2839">
        <v>1.5</v>
      </c>
      <c r="AC2839">
        <v>0</v>
      </c>
      <c r="AD2839">
        <v>4.5945946000000001E-2</v>
      </c>
      <c r="AG2839">
        <v>39501.472791743101</v>
      </c>
      <c r="AH2839">
        <v>7483934</v>
      </c>
    </row>
    <row r="2840" spans="27:34">
      <c r="AA2840">
        <v>3.67</v>
      </c>
      <c r="AB2840">
        <v>1.5</v>
      </c>
      <c r="AC2840">
        <v>0</v>
      </c>
      <c r="AD2840">
        <v>4.5945946000000001E-2</v>
      </c>
      <c r="AG2840">
        <v>43137.6501083154</v>
      </c>
      <c r="AH2840">
        <v>7551117</v>
      </c>
    </row>
    <row r="2841" spans="27:34">
      <c r="AA2841">
        <v>3.67</v>
      </c>
      <c r="AB2841">
        <v>1.5</v>
      </c>
      <c r="AC2841">
        <v>0</v>
      </c>
      <c r="AD2841">
        <v>4.5945946000000001E-2</v>
      </c>
      <c r="AE2841">
        <v>100</v>
      </c>
      <c r="AG2841">
        <v>45893.450708103097</v>
      </c>
      <c r="AH2841">
        <v>7647675</v>
      </c>
    </row>
    <row r="2842" spans="27:34">
      <c r="AA2842">
        <v>3.67</v>
      </c>
      <c r="AB2842">
        <v>1.5</v>
      </c>
      <c r="AC2842">
        <v>0</v>
      </c>
      <c r="AD2842">
        <v>4.5945946000000001E-2</v>
      </c>
      <c r="AG2842">
        <v>45223.681025707301</v>
      </c>
      <c r="AH2842">
        <v>7731167</v>
      </c>
    </row>
    <row r="2843" spans="27:34">
      <c r="AA2843">
        <v>3.67</v>
      </c>
      <c r="AB2843">
        <v>1.5</v>
      </c>
      <c r="AC2843">
        <v>0</v>
      </c>
      <c r="AD2843">
        <v>4.5945946000000001E-2</v>
      </c>
    </row>
    <row r="2844" spans="27:34">
      <c r="AA2844">
        <v>3.67</v>
      </c>
      <c r="AB2844">
        <v>1.5</v>
      </c>
      <c r="AC2844">
        <v>0</v>
      </c>
      <c r="AD2844">
        <v>4.5945946000000001E-2</v>
      </c>
    </row>
    <row r="2845" spans="27:34">
      <c r="AA2845">
        <v>-19.77</v>
      </c>
      <c r="AB2845">
        <v>1.8</v>
      </c>
      <c r="AC2845">
        <v>54</v>
      </c>
      <c r="AD2845">
        <v>7.7777778000000006E-2</v>
      </c>
      <c r="AE2845">
        <v>84</v>
      </c>
      <c r="AF2845">
        <v>85.89</v>
      </c>
      <c r="AG2845">
        <v>3064.4868913610999</v>
      </c>
      <c r="AH2845">
        <v>14610348</v>
      </c>
    </row>
    <row r="2846" spans="27:34">
      <c r="AA2846">
        <v>-19.77</v>
      </c>
      <c r="AB2846">
        <v>1.8</v>
      </c>
      <c r="AC2846">
        <v>54</v>
      </c>
      <c r="AD2846">
        <v>7.7777778000000006E-2</v>
      </c>
      <c r="AG2846">
        <v>3181.4588240500898</v>
      </c>
      <c r="AH2846">
        <v>14973337</v>
      </c>
    </row>
    <row r="2847" spans="27:34">
      <c r="AA2847">
        <v>-19.77</v>
      </c>
      <c r="AB2847">
        <v>1.8</v>
      </c>
      <c r="AC2847">
        <v>54</v>
      </c>
      <c r="AD2847">
        <v>7.7777778000000006E-2</v>
      </c>
      <c r="AG2847">
        <v>3218.6804928492302</v>
      </c>
      <c r="AH2847">
        <v>15333748</v>
      </c>
    </row>
    <row r="2848" spans="27:34">
      <c r="AA2848">
        <v>-19.77</v>
      </c>
      <c r="AB2848">
        <v>1.8</v>
      </c>
      <c r="AC2848">
        <v>54</v>
      </c>
      <c r="AD2848">
        <v>7.7777778000000006E-2</v>
      </c>
      <c r="AG2848">
        <v>3380.25483971319</v>
      </c>
      <c r="AH2848">
        <v>15701721</v>
      </c>
    </row>
    <row r="2849" spans="27:34">
      <c r="AA2849">
        <v>-19.77</v>
      </c>
      <c r="AB2849">
        <v>1.8</v>
      </c>
      <c r="AC2849">
        <v>54</v>
      </c>
      <c r="AD2849">
        <v>7.7777778000000006E-2</v>
      </c>
      <c r="AG2849">
        <v>3227.9473862161599</v>
      </c>
      <c r="AH2849">
        <v>16090692</v>
      </c>
    </row>
    <row r="2850" spans="27:34">
      <c r="AA2850">
        <v>-19.77</v>
      </c>
      <c r="AB2850">
        <v>1.8</v>
      </c>
      <c r="AC2850">
        <v>54</v>
      </c>
      <c r="AD2850">
        <v>7.7777778000000006E-2</v>
      </c>
      <c r="AE2850">
        <v>89</v>
      </c>
      <c r="AF2850">
        <v>97.38</v>
      </c>
      <c r="AG2850">
        <v>3302.01615056022</v>
      </c>
      <c r="AH2850">
        <v>16510861</v>
      </c>
    </row>
    <row r="2851" spans="27:34">
      <c r="AA2851">
        <v>-19.77</v>
      </c>
      <c r="AB2851">
        <v>1.8</v>
      </c>
      <c r="AC2851">
        <v>54</v>
      </c>
      <c r="AD2851">
        <v>7.7777778000000006E-2</v>
      </c>
      <c r="AG2851">
        <v>3458.2872467901202</v>
      </c>
      <c r="AH2851">
        <v>16960693</v>
      </c>
    </row>
    <row r="2852" spans="27:34">
      <c r="AA2852">
        <v>-19.77</v>
      </c>
      <c r="AB2852">
        <v>1.8</v>
      </c>
      <c r="AC2852">
        <v>54</v>
      </c>
      <c r="AD2852">
        <v>7.7777778000000006E-2</v>
      </c>
      <c r="AG2852">
        <v>3553.4461583543698</v>
      </c>
      <c r="AH2852">
        <v>17438241</v>
      </c>
    </row>
    <row r="2853" spans="27:34">
      <c r="AA2853">
        <v>-19.77</v>
      </c>
      <c r="AB2853">
        <v>1.8</v>
      </c>
      <c r="AC2853">
        <v>54</v>
      </c>
      <c r="AD2853">
        <v>7.7777778000000006E-2</v>
      </c>
      <c r="AG2853">
        <v>3583.9853572410598</v>
      </c>
      <c r="AH2853">
        <v>17951881</v>
      </c>
    </row>
    <row r="2854" spans="27:34">
      <c r="AA2854">
        <v>-19.77</v>
      </c>
      <c r="AB2854">
        <v>1.8</v>
      </c>
      <c r="AC2854">
        <v>54</v>
      </c>
      <c r="AD2854">
        <v>7.7777778000000006E-2</v>
      </c>
      <c r="AG2854">
        <v>3782.3160750403899</v>
      </c>
      <c r="AH2854">
        <v>18511689</v>
      </c>
    </row>
    <row r="2855" spans="27:34">
      <c r="AA2855">
        <v>-19.77</v>
      </c>
      <c r="AB2855">
        <v>1.8</v>
      </c>
      <c r="AC2855">
        <v>54</v>
      </c>
      <c r="AD2855">
        <v>7.7777778000000006E-2</v>
      </c>
      <c r="AE2855">
        <v>93</v>
      </c>
      <c r="AF2855">
        <v>99.76</v>
      </c>
      <c r="AG2855">
        <v>3954.1886927812602</v>
      </c>
      <c r="AH2855">
        <v>19121454</v>
      </c>
    </row>
    <row r="2856" spans="27:34">
      <c r="AA2856">
        <v>-19.77</v>
      </c>
      <c r="AB2856">
        <v>1.8</v>
      </c>
      <c r="AC2856">
        <v>54</v>
      </c>
      <c r="AD2856">
        <v>7.7777778000000006E-2</v>
      </c>
      <c r="AG2856">
        <v>4187.0668806742096</v>
      </c>
      <c r="AH2856">
        <v>19596182.338458002</v>
      </c>
    </row>
    <row r="2857" spans="27:34">
      <c r="AA2857">
        <v>-19.77</v>
      </c>
      <c r="AB2857">
        <v>1.8</v>
      </c>
      <c r="AC2857">
        <v>54</v>
      </c>
      <c r="AD2857">
        <v>7.7777778000000006E-2</v>
      </c>
      <c r="AG2857">
        <v>4403.1111915942201</v>
      </c>
      <c r="AH2857">
        <v>20082696.757374901</v>
      </c>
    </row>
    <row r="2858" spans="27:34">
      <c r="AA2858">
        <v>-19.77</v>
      </c>
      <c r="AB2858">
        <v>1.8</v>
      </c>
      <c r="AC2858">
        <v>54</v>
      </c>
      <c r="AD2858">
        <v>7.7777778000000006E-2</v>
      </c>
      <c r="AE2858">
        <v>96</v>
      </c>
      <c r="AG2858">
        <v>4618.6682337660905</v>
      </c>
      <c r="AH2858">
        <v>20581289.869770199</v>
      </c>
    </row>
    <row r="2859" spans="27:34">
      <c r="AA2859">
        <v>-19.77</v>
      </c>
      <c r="AB2859">
        <v>1.8</v>
      </c>
      <c r="AC2859">
        <v>54</v>
      </c>
      <c r="AD2859">
        <v>7.7777778000000006E-2</v>
      </c>
      <c r="AG2859">
        <v>4729.9694793840799</v>
      </c>
      <c r="AH2859">
        <v>21092261.553367</v>
      </c>
    </row>
    <row r="2860" spans="27:34">
      <c r="AA2860">
        <v>-19.77</v>
      </c>
      <c r="AB2860">
        <v>1.8</v>
      </c>
      <c r="AC2860">
        <v>54</v>
      </c>
      <c r="AD2860">
        <v>7.7777778000000006E-2</v>
      </c>
    </row>
    <row r="2861" spans="27:34">
      <c r="AA2861">
        <v>-19.77</v>
      </c>
      <c r="AB2861">
        <v>1.8</v>
      </c>
      <c r="AC2861">
        <v>54</v>
      </c>
      <c r="AD2861">
        <v>7.7777778000000006E-2</v>
      </c>
    </row>
    <row r="2862" spans="27:34">
      <c r="AA2862">
        <v>-5.71</v>
      </c>
      <c r="AB2862">
        <v>2.2000000000000002</v>
      </c>
      <c r="AC2862">
        <v>551</v>
      </c>
      <c r="AD2862">
        <v>0.23178137700000001</v>
      </c>
      <c r="AE2862">
        <v>89</v>
      </c>
      <c r="AF2862">
        <v>74.28</v>
      </c>
      <c r="AG2862">
        <v>871.73351502140599</v>
      </c>
      <c r="AH2862">
        <v>5775467</v>
      </c>
    </row>
    <row r="2863" spans="27:34">
      <c r="AA2863">
        <v>-5.71</v>
      </c>
      <c r="AB2863">
        <v>2.2000000000000002</v>
      </c>
      <c r="AC2863">
        <v>551</v>
      </c>
      <c r="AD2863">
        <v>0.23178137700000001</v>
      </c>
      <c r="AG2863">
        <v>729.56592252271503</v>
      </c>
      <c r="AH2863">
        <v>5858378</v>
      </c>
    </row>
    <row r="2864" spans="27:34">
      <c r="AA2864">
        <v>-5.71</v>
      </c>
      <c r="AB2864">
        <v>2.2000000000000002</v>
      </c>
      <c r="AC2864">
        <v>551</v>
      </c>
      <c r="AD2864">
        <v>0.23178137700000001</v>
      </c>
      <c r="AG2864">
        <v>744.67054736616501</v>
      </c>
      <c r="AH2864">
        <v>5940626</v>
      </c>
    </row>
    <row r="2865" spans="27:34">
      <c r="AA2865">
        <v>-5.71</v>
      </c>
      <c r="AB2865">
        <v>2.2000000000000002</v>
      </c>
      <c r="AC2865">
        <v>551</v>
      </c>
      <c r="AD2865">
        <v>0.23178137700000001</v>
      </c>
      <c r="AG2865">
        <v>782.37125691388303</v>
      </c>
      <c r="AH2865">
        <v>6021392</v>
      </c>
    </row>
    <row r="2866" spans="27:34">
      <c r="AA2866">
        <v>-5.71</v>
      </c>
      <c r="AB2866">
        <v>2.2000000000000002</v>
      </c>
      <c r="AC2866">
        <v>551</v>
      </c>
      <c r="AD2866">
        <v>0.23178137700000001</v>
      </c>
      <c r="AG2866">
        <v>812.72435574384303</v>
      </c>
      <c r="AH2866">
        <v>6099075</v>
      </c>
    </row>
    <row r="2867" spans="27:34">
      <c r="AA2867">
        <v>-5.71</v>
      </c>
      <c r="AB2867">
        <v>2.2000000000000002</v>
      </c>
      <c r="AC2867">
        <v>551</v>
      </c>
      <c r="AD2867">
        <v>0.23178137700000001</v>
      </c>
      <c r="AE2867">
        <v>90</v>
      </c>
      <c r="AF2867">
        <v>74.84</v>
      </c>
      <c r="AG2867">
        <v>888.47087671598001</v>
      </c>
      <c r="AH2867">
        <v>6172891</v>
      </c>
    </row>
    <row r="2868" spans="27:34">
      <c r="AA2868">
        <v>-5.71</v>
      </c>
      <c r="AB2868">
        <v>2.2000000000000002</v>
      </c>
      <c r="AC2868">
        <v>551</v>
      </c>
      <c r="AD2868">
        <v>0.23178137700000001</v>
      </c>
      <c r="AG2868">
        <v>990.08114340921497</v>
      </c>
      <c r="AH2868">
        <v>6242790</v>
      </c>
    </row>
    <row r="2869" spans="27:34">
      <c r="AA2869">
        <v>-5.71</v>
      </c>
      <c r="AB2869">
        <v>2.2000000000000002</v>
      </c>
      <c r="AC2869">
        <v>551</v>
      </c>
      <c r="AD2869">
        <v>0.23178137700000001</v>
      </c>
      <c r="AG2869">
        <v>1085.94275455959</v>
      </c>
      <c r="AH2869">
        <v>6310533</v>
      </c>
    </row>
    <row r="2870" spans="27:34">
      <c r="AA2870">
        <v>-5.71</v>
      </c>
      <c r="AB2870">
        <v>2.2000000000000002</v>
      </c>
      <c r="AC2870">
        <v>551</v>
      </c>
      <c r="AD2870">
        <v>0.23178137700000001</v>
      </c>
      <c r="AG2870">
        <v>1209.32217882441</v>
      </c>
      <c r="AH2870">
        <v>6379311</v>
      </c>
    </row>
    <row r="2871" spans="27:34">
      <c r="AA2871">
        <v>-5.71</v>
      </c>
      <c r="AB2871">
        <v>2.2000000000000002</v>
      </c>
      <c r="AC2871">
        <v>551</v>
      </c>
      <c r="AD2871">
        <v>0.23178137700000001</v>
      </c>
      <c r="AG2871">
        <v>1359.65630335009</v>
      </c>
      <c r="AH2871">
        <v>6453286</v>
      </c>
    </row>
    <row r="2872" spans="27:34">
      <c r="AA2872">
        <v>-5.71</v>
      </c>
      <c r="AB2872">
        <v>2.2000000000000002</v>
      </c>
      <c r="AC2872">
        <v>551</v>
      </c>
      <c r="AD2872">
        <v>0.23178137700000001</v>
      </c>
      <c r="AE2872">
        <v>93</v>
      </c>
      <c r="AG2872">
        <v>1480.2638797304</v>
      </c>
      <c r="AH2872">
        <v>6535538</v>
      </c>
    </row>
    <row r="2873" spans="27:34">
      <c r="AA2873">
        <v>-5.71</v>
      </c>
      <c r="AB2873">
        <v>2.2000000000000002</v>
      </c>
      <c r="AC2873">
        <v>551</v>
      </c>
      <c r="AD2873">
        <v>0.23178137700000001</v>
      </c>
      <c r="AG2873">
        <v>1612.8107405175899</v>
      </c>
      <c r="AH2873">
        <v>6627070</v>
      </c>
    </row>
    <row r="2874" spans="27:34">
      <c r="AA2874">
        <v>-5.71</v>
      </c>
      <c r="AB2874">
        <v>2.2000000000000002</v>
      </c>
      <c r="AC2874">
        <v>551</v>
      </c>
      <c r="AD2874">
        <v>0.23178137700000001</v>
      </c>
      <c r="AG2874">
        <v>1771.37525506309</v>
      </c>
      <c r="AH2874">
        <v>6727377</v>
      </c>
    </row>
    <row r="2875" spans="27:34">
      <c r="AA2875">
        <v>-5.71</v>
      </c>
      <c r="AB2875">
        <v>2.2000000000000002</v>
      </c>
      <c r="AC2875">
        <v>551</v>
      </c>
      <c r="AD2875">
        <v>0.23178137700000001</v>
      </c>
      <c r="AE2875">
        <v>94</v>
      </c>
      <c r="AG2875">
        <v>1922.0398633130001</v>
      </c>
      <c r="AH2875">
        <v>6836083</v>
      </c>
    </row>
    <row r="2876" spans="27:34">
      <c r="AA2876">
        <v>-5.71</v>
      </c>
      <c r="AB2876">
        <v>2.2000000000000002</v>
      </c>
      <c r="AC2876">
        <v>551</v>
      </c>
      <c r="AD2876">
        <v>0.23178137700000001</v>
      </c>
      <c r="AG2876">
        <v>1972.0834588008499</v>
      </c>
      <c r="AH2876">
        <v>6952223</v>
      </c>
    </row>
    <row r="2877" spans="27:34">
      <c r="AA2877">
        <v>-5.71</v>
      </c>
      <c r="AB2877">
        <v>2.2000000000000002</v>
      </c>
      <c r="AC2877">
        <v>551</v>
      </c>
      <c r="AD2877">
        <v>0.23178137700000001</v>
      </c>
    </row>
    <row r="2878" spans="27:34">
      <c r="AA2878">
        <v>-5.71</v>
      </c>
      <c r="AB2878">
        <v>2.2000000000000002</v>
      </c>
      <c r="AC2878">
        <v>551</v>
      </c>
      <c r="AD2878">
        <v>0.23178137700000001</v>
      </c>
    </row>
    <row r="2879" spans="27:34">
      <c r="AA2879">
        <v>3.35</v>
      </c>
      <c r="AB2879">
        <v>4.2</v>
      </c>
      <c r="AC2879">
        <v>322</v>
      </c>
      <c r="AD2879">
        <v>0.47480267199999998</v>
      </c>
      <c r="AE2879">
        <v>24</v>
      </c>
      <c r="AG2879">
        <v>650.89030185600598</v>
      </c>
      <c r="AH2879">
        <v>29971801</v>
      </c>
    </row>
    <row r="2880" spans="27:34">
      <c r="AA2880">
        <v>3.35</v>
      </c>
      <c r="AB2880">
        <v>4.2</v>
      </c>
      <c r="AC2880">
        <v>322</v>
      </c>
      <c r="AD2880">
        <v>0.47480267199999998</v>
      </c>
      <c r="AG2880">
        <v>674.32548897317997</v>
      </c>
      <c r="AH2880">
        <v>30823204</v>
      </c>
    </row>
    <row r="2881" spans="27:34">
      <c r="AA2881">
        <v>3.35</v>
      </c>
      <c r="AB2881">
        <v>4.2</v>
      </c>
      <c r="AC2881">
        <v>322</v>
      </c>
      <c r="AD2881">
        <v>0.47480267199999998</v>
      </c>
      <c r="AG2881">
        <v>692.037946479168</v>
      </c>
      <c r="AH2881">
        <v>31644436</v>
      </c>
    </row>
    <row r="2882" spans="27:34">
      <c r="AA2882">
        <v>3.35</v>
      </c>
      <c r="AB2882">
        <v>4.2</v>
      </c>
      <c r="AC2882">
        <v>322</v>
      </c>
      <c r="AD2882">
        <v>0.47480267199999998</v>
      </c>
      <c r="AG2882">
        <v>707.73595419457604</v>
      </c>
      <c r="AH2882">
        <v>32453044</v>
      </c>
    </row>
    <row r="2883" spans="27:34">
      <c r="AA2883">
        <v>3.35</v>
      </c>
      <c r="AB2883">
        <v>4.2</v>
      </c>
      <c r="AC2883">
        <v>322</v>
      </c>
      <c r="AD2883">
        <v>0.47480267199999998</v>
      </c>
      <c r="AG2883">
        <v>734.264470969331</v>
      </c>
      <c r="AH2883">
        <v>33275262</v>
      </c>
    </row>
    <row r="2884" spans="27:34">
      <c r="AA2884">
        <v>3.35</v>
      </c>
      <c r="AB2884">
        <v>4.2</v>
      </c>
      <c r="AC2884">
        <v>322</v>
      </c>
      <c r="AD2884">
        <v>0.47480267199999998</v>
      </c>
      <c r="AE2884">
        <v>24</v>
      </c>
      <c r="AF2884">
        <v>5.3849999999999998</v>
      </c>
      <c r="AG2884">
        <v>767.41929440203398</v>
      </c>
      <c r="AH2884">
        <v>34131312</v>
      </c>
    </row>
    <row r="2885" spans="27:34">
      <c r="AA2885">
        <v>3.35</v>
      </c>
      <c r="AB2885">
        <v>4.2</v>
      </c>
      <c r="AC2885">
        <v>322</v>
      </c>
      <c r="AD2885">
        <v>0.47480267199999998</v>
      </c>
      <c r="AG2885">
        <v>810.63849412474201</v>
      </c>
      <c r="AH2885">
        <v>35026198</v>
      </c>
    </row>
    <row r="2886" spans="27:34">
      <c r="AA2886">
        <v>3.35</v>
      </c>
      <c r="AB2886">
        <v>4.2</v>
      </c>
      <c r="AC2886">
        <v>322</v>
      </c>
      <c r="AD2886">
        <v>0.47480267199999998</v>
      </c>
      <c r="AG2886">
        <v>859.954831762617</v>
      </c>
      <c r="AH2886">
        <v>35957575</v>
      </c>
    </row>
    <row r="2887" spans="27:34">
      <c r="AA2887">
        <v>3.35</v>
      </c>
      <c r="AB2887">
        <v>4.2</v>
      </c>
      <c r="AC2887">
        <v>322</v>
      </c>
      <c r="AD2887">
        <v>0.47480267199999998</v>
      </c>
      <c r="AG2887">
        <v>913.82803754176098</v>
      </c>
      <c r="AH2887">
        <v>36929648</v>
      </c>
    </row>
    <row r="2888" spans="27:34">
      <c r="AA2888">
        <v>3.35</v>
      </c>
      <c r="AB2888">
        <v>4.2</v>
      </c>
      <c r="AC2888">
        <v>322</v>
      </c>
      <c r="AD2888">
        <v>0.47480267199999998</v>
      </c>
      <c r="AG2888">
        <v>986.26870301043698</v>
      </c>
      <c r="AH2888">
        <v>37945476</v>
      </c>
    </row>
    <row r="2889" spans="27:34">
      <c r="AA2889">
        <v>3.35</v>
      </c>
      <c r="AB2889">
        <v>4.2</v>
      </c>
      <c r="AC2889">
        <v>322</v>
      </c>
      <c r="AD2889">
        <v>0.47480267199999998</v>
      </c>
      <c r="AE2889">
        <v>24</v>
      </c>
      <c r="AG2889">
        <v>1064.5751624752199</v>
      </c>
      <c r="AH2889">
        <v>39007359</v>
      </c>
    </row>
    <row r="2890" spans="27:34">
      <c r="AA2890">
        <v>3.35</v>
      </c>
      <c r="AB2890">
        <v>4.2</v>
      </c>
      <c r="AC2890">
        <v>322</v>
      </c>
      <c r="AD2890">
        <v>0.47480267199999998</v>
      </c>
      <c r="AG2890">
        <v>1140.8870837811301</v>
      </c>
      <c r="AH2890">
        <v>40117243</v>
      </c>
    </row>
    <row r="2891" spans="27:34">
      <c r="AA2891">
        <v>3.35</v>
      </c>
      <c r="AB2891">
        <v>4.2</v>
      </c>
      <c r="AC2891">
        <v>322</v>
      </c>
      <c r="AD2891">
        <v>0.47480267199999998</v>
      </c>
      <c r="AG2891">
        <v>1228.9118981254201</v>
      </c>
      <c r="AH2891">
        <v>41276209</v>
      </c>
    </row>
    <row r="2892" spans="27:34">
      <c r="AA2892">
        <v>3.35</v>
      </c>
      <c r="AB2892">
        <v>4.2</v>
      </c>
      <c r="AC2892">
        <v>322</v>
      </c>
      <c r="AD2892">
        <v>0.47480267199999998</v>
      </c>
      <c r="AE2892">
        <v>24</v>
      </c>
      <c r="AG2892">
        <v>1310.8904865306499</v>
      </c>
      <c r="AH2892">
        <v>42483923</v>
      </c>
    </row>
    <row r="2893" spans="27:34">
      <c r="AA2893">
        <v>3.35</v>
      </c>
      <c r="AB2893">
        <v>4.2</v>
      </c>
      <c r="AC2893">
        <v>322</v>
      </c>
      <c r="AD2893">
        <v>0.47480267199999998</v>
      </c>
      <c r="AG2893">
        <v>1362.37530805246</v>
      </c>
      <c r="AH2893">
        <v>43739051</v>
      </c>
    </row>
    <row r="2894" spans="27:34">
      <c r="AA2894">
        <v>3.35</v>
      </c>
      <c r="AB2894">
        <v>4.2</v>
      </c>
      <c r="AC2894">
        <v>322</v>
      </c>
      <c r="AD2894">
        <v>0.47480267199999998</v>
      </c>
    </row>
    <row r="2895" spans="27:34">
      <c r="AA2895">
        <v>3.35</v>
      </c>
      <c r="AB2895">
        <v>4.2</v>
      </c>
      <c r="AC2895">
        <v>322</v>
      </c>
      <c r="AD2895">
        <v>0.47480267199999998</v>
      </c>
    </row>
    <row r="2896" spans="27:34">
      <c r="AA2896">
        <v>-1.97</v>
      </c>
      <c r="AB2896">
        <v>4.3</v>
      </c>
      <c r="AC2896">
        <v>59</v>
      </c>
      <c r="AD2896">
        <v>0.16381156299999999</v>
      </c>
      <c r="AE2896">
        <v>86</v>
      </c>
      <c r="AG2896">
        <v>4601.3493419741999</v>
      </c>
      <c r="AH2896">
        <v>60140056</v>
      </c>
    </row>
    <row r="2897" spans="27:34">
      <c r="AA2897">
        <v>-1.97</v>
      </c>
      <c r="AB2897">
        <v>4.3</v>
      </c>
      <c r="AC2897">
        <v>59</v>
      </c>
      <c r="AD2897">
        <v>0.16381156299999999</v>
      </c>
      <c r="AG2897">
        <v>4926.6958240370604</v>
      </c>
      <c r="AH2897">
        <v>60620685</v>
      </c>
    </row>
    <row r="2898" spans="27:34">
      <c r="AA2898">
        <v>-1.97</v>
      </c>
      <c r="AB2898">
        <v>4.3</v>
      </c>
      <c r="AC2898">
        <v>59</v>
      </c>
      <c r="AD2898">
        <v>0.16381156299999999</v>
      </c>
      <c r="AG2898">
        <v>4912.7243122331702</v>
      </c>
      <c r="AH2898">
        <v>61022597</v>
      </c>
    </row>
    <row r="2899" spans="27:34">
      <c r="AA2899">
        <v>-1.97</v>
      </c>
      <c r="AB2899">
        <v>4.3</v>
      </c>
      <c r="AC2899">
        <v>59</v>
      </c>
      <c r="AD2899">
        <v>0.16381156299999999</v>
      </c>
      <c r="AG2899">
        <v>4418.8560951444697</v>
      </c>
      <c r="AH2899">
        <v>61399225</v>
      </c>
    </row>
    <row r="2900" spans="27:34">
      <c r="AA2900">
        <v>-1.97</v>
      </c>
      <c r="AB2900">
        <v>4.3</v>
      </c>
      <c r="AC2900">
        <v>59</v>
      </c>
      <c r="AD2900">
        <v>0.16381156299999999</v>
      </c>
      <c r="AG2900">
        <v>4650.8571784763799</v>
      </c>
      <c r="AH2900">
        <v>61823995</v>
      </c>
    </row>
    <row r="2901" spans="27:34">
      <c r="AA2901">
        <v>-1.97</v>
      </c>
      <c r="AB2901">
        <v>4.3</v>
      </c>
      <c r="AC2901">
        <v>59</v>
      </c>
      <c r="AD2901">
        <v>0.16381156299999999</v>
      </c>
      <c r="AE2901">
        <v>93</v>
      </c>
      <c r="AG2901">
        <v>4935.4434003831002</v>
      </c>
      <c r="AH2901">
        <v>62346822</v>
      </c>
    </row>
    <row r="2902" spans="27:34">
      <c r="AA2902">
        <v>-1.97</v>
      </c>
      <c r="AB2902">
        <v>4.3</v>
      </c>
      <c r="AC2902">
        <v>59</v>
      </c>
      <c r="AD2902">
        <v>0.16381156299999999</v>
      </c>
      <c r="AG2902">
        <v>5103.9693196014296</v>
      </c>
      <c r="AH2902">
        <v>62991263</v>
      </c>
    </row>
    <row r="2903" spans="27:34">
      <c r="AA2903">
        <v>-1.97</v>
      </c>
      <c r="AB2903">
        <v>4.3</v>
      </c>
      <c r="AC2903">
        <v>59</v>
      </c>
      <c r="AD2903">
        <v>0.16381156299999999</v>
      </c>
      <c r="AG2903">
        <v>5399.0055187345397</v>
      </c>
      <c r="AH2903">
        <v>63734437</v>
      </c>
    </row>
    <row r="2904" spans="27:34">
      <c r="AA2904">
        <v>-1.97</v>
      </c>
      <c r="AB2904">
        <v>4.3</v>
      </c>
      <c r="AC2904">
        <v>59</v>
      </c>
      <c r="AD2904">
        <v>0.16381156299999999</v>
      </c>
      <c r="AG2904">
        <v>5836.9632760451595</v>
      </c>
      <c r="AH2904">
        <v>64522878</v>
      </c>
    </row>
    <row r="2905" spans="27:34">
      <c r="AA2905">
        <v>-1.97</v>
      </c>
      <c r="AB2905">
        <v>4.3</v>
      </c>
      <c r="AC2905">
        <v>59</v>
      </c>
      <c r="AD2905">
        <v>0.16381156299999999</v>
      </c>
      <c r="AG2905">
        <v>6309.3107637266603</v>
      </c>
      <c r="AH2905">
        <v>65278655</v>
      </c>
    </row>
    <row r="2906" spans="27:34">
      <c r="AA2906">
        <v>-1.97</v>
      </c>
      <c r="AB2906">
        <v>4.3</v>
      </c>
      <c r="AC2906">
        <v>59</v>
      </c>
      <c r="AD2906">
        <v>0.16381156299999999</v>
      </c>
      <c r="AE2906">
        <v>96</v>
      </c>
      <c r="AF2906">
        <v>13.07</v>
      </c>
      <c r="AG2906">
        <v>6750.9362370756398</v>
      </c>
      <c r="AH2906">
        <v>65945675</v>
      </c>
    </row>
    <row r="2907" spans="27:34">
      <c r="AA2907">
        <v>-1.97</v>
      </c>
      <c r="AB2907">
        <v>4.3</v>
      </c>
      <c r="AC2907">
        <v>59</v>
      </c>
      <c r="AD2907">
        <v>0.16381156299999999</v>
      </c>
      <c r="AG2907">
        <v>7267.3997675422997</v>
      </c>
      <c r="AH2907">
        <v>66506554</v>
      </c>
    </row>
    <row r="2908" spans="27:34">
      <c r="AA2908">
        <v>-1.97</v>
      </c>
      <c r="AB2908">
        <v>4.3</v>
      </c>
      <c r="AC2908">
        <v>59</v>
      </c>
      <c r="AD2908">
        <v>0.16381156299999999</v>
      </c>
      <c r="AG2908">
        <v>7831.3648518530099</v>
      </c>
      <c r="AH2908">
        <v>66979359</v>
      </c>
    </row>
    <row r="2909" spans="27:34">
      <c r="AA2909">
        <v>-1.97</v>
      </c>
      <c r="AB2909">
        <v>4.3</v>
      </c>
      <c r="AC2909">
        <v>59</v>
      </c>
      <c r="AD2909">
        <v>0.16381156299999999</v>
      </c>
      <c r="AE2909">
        <v>96</v>
      </c>
      <c r="AG2909">
        <v>8150.1309230995903</v>
      </c>
      <c r="AH2909">
        <v>67386383</v>
      </c>
    </row>
    <row r="2910" spans="27:34">
      <c r="AA2910">
        <v>-1.97</v>
      </c>
      <c r="AB2910">
        <v>4.3</v>
      </c>
      <c r="AC2910">
        <v>59</v>
      </c>
      <c r="AD2910">
        <v>0.16381156299999999</v>
      </c>
      <c r="AG2910">
        <v>7995.0835184954203</v>
      </c>
      <c r="AH2910">
        <v>67764033</v>
      </c>
    </row>
    <row r="2911" spans="27:34">
      <c r="AA2911">
        <v>-1.97</v>
      </c>
      <c r="AB2911">
        <v>4.3</v>
      </c>
      <c r="AC2911">
        <v>59</v>
      </c>
      <c r="AD2911">
        <v>0.16381156299999999</v>
      </c>
    </row>
    <row r="2912" spans="27:34">
      <c r="AA2912">
        <v>-1.97</v>
      </c>
      <c r="AB2912">
        <v>4.3</v>
      </c>
      <c r="AC2912">
        <v>59</v>
      </c>
      <c r="AD2912">
        <v>0.16381156299999999</v>
      </c>
    </row>
    <row r="2913" spans="28:34">
      <c r="AB2913" t="e">
        <v>#N/A</v>
      </c>
      <c r="AC2913">
        <v>149</v>
      </c>
      <c r="AD2913">
        <v>0.42085308100000002</v>
      </c>
      <c r="AH2913">
        <v>848603</v>
      </c>
    </row>
    <row r="2914" spans="28:34">
      <c r="AB2914" t="e">
        <v>#N/A</v>
      </c>
      <c r="AC2914">
        <v>149</v>
      </c>
      <c r="AD2914">
        <v>0.42085308100000002</v>
      </c>
      <c r="AH2914">
        <v>846618</v>
      </c>
    </row>
    <row r="2915" spans="28:34">
      <c r="AB2915" t="e">
        <v>#N/A</v>
      </c>
      <c r="AC2915">
        <v>149</v>
      </c>
      <c r="AD2915">
        <v>0.42085308100000002</v>
      </c>
      <c r="AH2915">
        <v>834891</v>
      </c>
    </row>
    <row r="2916" spans="28:34">
      <c r="AB2916" t="e">
        <v>#N/A</v>
      </c>
      <c r="AC2916">
        <v>149</v>
      </c>
      <c r="AD2916">
        <v>0.42085308100000002</v>
      </c>
      <c r="AH2916">
        <v>820034</v>
      </c>
    </row>
    <row r="2917" spans="28:34">
      <c r="AB2917" t="e">
        <v>#N/A</v>
      </c>
      <c r="AC2917">
        <v>149</v>
      </c>
      <c r="AD2917">
        <v>0.42085308100000002</v>
      </c>
      <c r="AG2917">
        <v>670.10017493441296</v>
      </c>
      <c r="AH2917">
        <v>811323</v>
      </c>
    </row>
    <row r="2918" spans="28:34">
      <c r="AB2918" t="e">
        <v>#N/A</v>
      </c>
      <c r="AC2918">
        <v>149</v>
      </c>
      <c r="AD2918">
        <v>0.42085308100000002</v>
      </c>
      <c r="AG2918">
        <v>774.30416501290301</v>
      </c>
      <c r="AH2918">
        <v>815310</v>
      </c>
    </row>
    <row r="2919" spans="28:34">
      <c r="AB2919" t="e">
        <v>#N/A</v>
      </c>
      <c r="AC2919">
        <v>149</v>
      </c>
      <c r="AD2919">
        <v>0.42085308100000002</v>
      </c>
      <c r="AG2919">
        <v>677.47659298660801</v>
      </c>
      <c r="AH2919">
        <v>834521</v>
      </c>
    </row>
    <row r="2920" spans="28:34">
      <c r="AB2920" t="e">
        <v>#N/A</v>
      </c>
      <c r="AC2920">
        <v>149</v>
      </c>
      <c r="AD2920">
        <v>0.42085308100000002</v>
      </c>
      <c r="AG2920">
        <v>678.99612653331405</v>
      </c>
      <c r="AH2920">
        <v>866655</v>
      </c>
    </row>
    <row r="2921" spans="28:34">
      <c r="AB2921" t="e">
        <v>#N/A</v>
      </c>
      <c r="AC2921">
        <v>149</v>
      </c>
      <c r="AD2921">
        <v>0.42085308100000002</v>
      </c>
      <c r="AG2921">
        <v>663.08413454301206</v>
      </c>
      <c r="AH2921">
        <v>907539</v>
      </c>
    </row>
    <row r="2922" spans="28:34">
      <c r="AB2922" t="e">
        <v>#N/A</v>
      </c>
      <c r="AC2922">
        <v>149</v>
      </c>
      <c r="AD2922">
        <v>0.42085308100000002</v>
      </c>
      <c r="AG2922">
        <v>677.94219504901105</v>
      </c>
      <c r="AH2922">
        <v>950750</v>
      </c>
    </row>
    <row r="2923" spans="28:34">
      <c r="AB2923" t="e">
        <v>#N/A</v>
      </c>
      <c r="AC2923">
        <v>149</v>
      </c>
      <c r="AD2923">
        <v>0.42085308100000002</v>
      </c>
      <c r="AG2923">
        <v>713.48470656838401</v>
      </c>
      <c r="AH2923">
        <v>991601</v>
      </c>
    </row>
    <row r="2924" spans="28:34">
      <c r="AB2924" t="e">
        <v>#N/A</v>
      </c>
      <c r="AC2924">
        <v>149</v>
      </c>
      <c r="AD2924">
        <v>0.42085308100000002</v>
      </c>
      <c r="AG2924">
        <v>669.06561697048903</v>
      </c>
      <c r="AH2924">
        <v>1028910</v>
      </c>
    </row>
    <row r="2925" spans="28:34">
      <c r="AB2925" t="e">
        <v>#N/A</v>
      </c>
      <c r="AC2925">
        <v>149</v>
      </c>
      <c r="AD2925">
        <v>0.42085308100000002</v>
      </c>
      <c r="AG2925">
        <v>721.07179774818303</v>
      </c>
      <c r="AH2925">
        <v>1064141</v>
      </c>
    </row>
    <row r="2926" spans="28:34">
      <c r="AB2926" t="e">
        <v>#N/A</v>
      </c>
      <c r="AC2926">
        <v>149</v>
      </c>
      <c r="AD2926">
        <v>0.42085308100000002</v>
      </c>
      <c r="AG2926">
        <v>807.85078218961996</v>
      </c>
      <c r="AH2926">
        <v>1098386</v>
      </c>
    </row>
    <row r="2927" spans="28:34">
      <c r="AB2927" t="e">
        <v>#N/A</v>
      </c>
      <c r="AC2927">
        <v>149</v>
      </c>
      <c r="AD2927">
        <v>0.42085308100000002</v>
      </c>
      <c r="AG2927">
        <v>804.93629792120396</v>
      </c>
      <c r="AH2927">
        <v>1133594</v>
      </c>
    </row>
    <row r="2928" spans="28:34">
      <c r="AB2928" t="e">
        <v>#N/A</v>
      </c>
      <c r="AC2928">
        <v>149</v>
      </c>
      <c r="AD2928">
        <v>0.42085308100000002</v>
      </c>
    </row>
    <row r="2929" spans="27:34">
      <c r="AB2929" t="e">
        <v>#N/A</v>
      </c>
      <c r="AC2929">
        <v>149</v>
      </c>
      <c r="AD2929">
        <v>0.42085308100000002</v>
      </c>
    </row>
    <row r="2930" spans="27:34">
      <c r="AA2930">
        <v>18.149999999999999</v>
      </c>
      <c r="AB2930">
        <v>5</v>
      </c>
      <c r="AC2930">
        <v>419</v>
      </c>
      <c r="AD2930">
        <v>0.44908062199999998</v>
      </c>
      <c r="AE2930">
        <v>13</v>
      </c>
      <c r="AG2930">
        <v>618.33482864542702</v>
      </c>
      <c r="AH2930">
        <v>4432026</v>
      </c>
    </row>
    <row r="2931" spans="27:34">
      <c r="AA2931">
        <v>18.149999999999999</v>
      </c>
      <c r="AB2931">
        <v>5</v>
      </c>
      <c r="AC2931">
        <v>419</v>
      </c>
      <c r="AD2931">
        <v>0.44908062199999998</v>
      </c>
      <c r="AG2931">
        <v>664.41806287035899</v>
      </c>
      <c r="AH2931">
        <v>4574926</v>
      </c>
    </row>
    <row r="2932" spans="27:34">
      <c r="AA2932">
        <v>18.149999999999999</v>
      </c>
      <c r="AB2932">
        <v>5</v>
      </c>
      <c r="AC2932">
        <v>419</v>
      </c>
      <c r="AD2932">
        <v>0.44908062199999998</v>
      </c>
      <c r="AG2932">
        <v>747.08249614889996</v>
      </c>
      <c r="AH2932">
        <v>4736206</v>
      </c>
    </row>
    <row r="2933" spans="27:34">
      <c r="AA2933">
        <v>18.149999999999999</v>
      </c>
      <c r="AB2933">
        <v>5</v>
      </c>
      <c r="AC2933">
        <v>419</v>
      </c>
      <c r="AD2933">
        <v>0.44908062199999998</v>
      </c>
      <c r="AG2933">
        <v>712.22718367496896</v>
      </c>
      <c r="AH2933">
        <v>4908635</v>
      </c>
    </row>
    <row r="2934" spans="27:34">
      <c r="AA2934">
        <v>18.149999999999999</v>
      </c>
      <c r="AB2934">
        <v>5</v>
      </c>
      <c r="AC2934">
        <v>419</v>
      </c>
      <c r="AD2934">
        <v>0.44908062199999998</v>
      </c>
      <c r="AG2934">
        <v>715.38956189663998</v>
      </c>
      <c r="AH2934">
        <v>5081617</v>
      </c>
    </row>
    <row r="2935" spans="27:34">
      <c r="AA2935">
        <v>18.149999999999999</v>
      </c>
      <c r="AB2935">
        <v>5</v>
      </c>
      <c r="AC2935">
        <v>419</v>
      </c>
      <c r="AD2935">
        <v>0.44908062199999998</v>
      </c>
      <c r="AE2935">
        <v>12</v>
      </c>
      <c r="AF2935">
        <v>1.1499999999999999</v>
      </c>
      <c r="AG2935">
        <v>702.22023060039999</v>
      </c>
      <c r="AH2935">
        <v>5247486</v>
      </c>
    </row>
    <row r="2936" spans="27:34">
      <c r="AA2936">
        <v>18.149999999999999</v>
      </c>
      <c r="AB2936">
        <v>5</v>
      </c>
      <c r="AC2936">
        <v>419</v>
      </c>
      <c r="AD2936">
        <v>0.44908062199999998</v>
      </c>
      <c r="AG2936">
        <v>696.104857211688</v>
      </c>
      <c r="AH2936">
        <v>5403883</v>
      </c>
    </row>
    <row r="2937" spans="27:34">
      <c r="AA2937">
        <v>18.149999999999999</v>
      </c>
      <c r="AB2937">
        <v>5</v>
      </c>
      <c r="AC2937">
        <v>419</v>
      </c>
      <c r="AD2937">
        <v>0.44908062199999998</v>
      </c>
      <c r="AG2937">
        <v>716.86251978124801</v>
      </c>
      <c r="AH2937">
        <v>5553171</v>
      </c>
    </row>
    <row r="2938" spans="27:34">
      <c r="AA2938">
        <v>18.149999999999999</v>
      </c>
      <c r="AB2938">
        <v>5</v>
      </c>
      <c r="AC2938">
        <v>419</v>
      </c>
      <c r="AD2938">
        <v>0.44908062199999998</v>
      </c>
      <c r="AG2938">
        <v>732.95588114976795</v>
      </c>
      <c r="AH2938">
        <v>5698109</v>
      </c>
    </row>
    <row r="2939" spans="27:34">
      <c r="AA2939">
        <v>18.149999999999999</v>
      </c>
      <c r="AB2939">
        <v>5</v>
      </c>
      <c r="AC2939">
        <v>419</v>
      </c>
      <c r="AD2939">
        <v>0.44908062199999998</v>
      </c>
      <c r="AG2939">
        <v>757.05483199614605</v>
      </c>
      <c r="AH2939">
        <v>5843292</v>
      </c>
    </row>
    <row r="2940" spans="27:34">
      <c r="AA2940">
        <v>18.149999999999999</v>
      </c>
      <c r="AB2940">
        <v>5</v>
      </c>
      <c r="AC2940">
        <v>419</v>
      </c>
      <c r="AD2940">
        <v>0.44908062199999998</v>
      </c>
      <c r="AE2940">
        <v>12</v>
      </c>
      <c r="AG2940">
        <v>772.02941569558004</v>
      </c>
      <c r="AH2940">
        <v>5992080</v>
      </c>
    </row>
    <row r="2941" spans="27:34">
      <c r="AA2941">
        <v>18.149999999999999</v>
      </c>
      <c r="AB2941">
        <v>5</v>
      </c>
      <c r="AC2941">
        <v>419</v>
      </c>
      <c r="AD2941">
        <v>0.44908062199999998</v>
      </c>
      <c r="AG2941">
        <v>807.63094454334203</v>
      </c>
      <c r="AH2941">
        <v>6144899</v>
      </c>
    </row>
    <row r="2942" spans="27:34">
      <c r="AA2942">
        <v>18.149999999999999</v>
      </c>
      <c r="AB2942">
        <v>5</v>
      </c>
      <c r="AC2942">
        <v>419</v>
      </c>
      <c r="AD2942">
        <v>0.44908062199999998</v>
      </c>
      <c r="AG2942">
        <v>830.15622026512199</v>
      </c>
      <c r="AH2942">
        <v>6300495</v>
      </c>
    </row>
    <row r="2943" spans="27:34">
      <c r="AA2943">
        <v>18.149999999999999</v>
      </c>
      <c r="AB2943">
        <v>5</v>
      </c>
      <c r="AC2943">
        <v>419</v>
      </c>
      <c r="AD2943">
        <v>0.44908062199999998</v>
      </c>
      <c r="AE2943">
        <v>12</v>
      </c>
      <c r="AG2943">
        <v>842.43322074067703</v>
      </c>
      <c r="AH2943">
        <v>6458605</v>
      </c>
    </row>
    <row r="2944" spans="27:34">
      <c r="AA2944">
        <v>18.149999999999999</v>
      </c>
      <c r="AB2944">
        <v>5</v>
      </c>
      <c r="AC2944">
        <v>419</v>
      </c>
      <c r="AD2944">
        <v>0.44908062199999998</v>
      </c>
      <c r="AG2944">
        <v>850.33452874036504</v>
      </c>
      <c r="AH2944">
        <v>6618613</v>
      </c>
    </row>
    <row r="2945" spans="27:34">
      <c r="AA2945">
        <v>18.149999999999999</v>
      </c>
      <c r="AB2945">
        <v>5</v>
      </c>
      <c r="AC2945">
        <v>419</v>
      </c>
      <c r="AD2945">
        <v>0.44908062199999998</v>
      </c>
    </row>
    <row r="2946" spans="27:34">
      <c r="AA2946">
        <v>18.149999999999999</v>
      </c>
      <c r="AB2946">
        <v>5</v>
      </c>
      <c r="AC2946">
        <v>419</v>
      </c>
      <c r="AD2946">
        <v>0.44908062199999998</v>
      </c>
    </row>
    <row r="2947" spans="27:34">
      <c r="AA2947">
        <v>2.5099999999999998</v>
      </c>
      <c r="AB2947">
        <v>4.8</v>
      </c>
      <c r="AC2947">
        <v>55</v>
      </c>
      <c r="AD2947">
        <v>0.198394495</v>
      </c>
      <c r="AE2947">
        <v>96</v>
      </c>
      <c r="AG2947">
        <v>2889.0097798613201</v>
      </c>
      <c r="AH2947">
        <v>97378</v>
      </c>
    </row>
    <row r="2948" spans="27:34">
      <c r="AA2948">
        <v>2.5099999999999998</v>
      </c>
      <c r="AB2948">
        <v>4.8</v>
      </c>
      <c r="AC2948">
        <v>55</v>
      </c>
      <c r="AD2948">
        <v>0.198394495</v>
      </c>
      <c r="AG2948">
        <v>2931.98617809606</v>
      </c>
      <c r="AH2948">
        <v>97684</v>
      </c>
    </row>
    <row r="2949" spans="27:34">
      <c r="AA2949">
        <v>2.5099999999999998</v>
      </c>
      <c r="AB2949">
        <v>4.8</v>
      </c>
      <c r="AC2949">
        <v>55</v>
      </c>
      <c r="AD2949">
        <v>0.198394495</v>
      </c>
      <c r="AG2949">
        <v>2956.6089299845298</v>
      </c>
      <c r="AH2949">
        <v>97873</v>
      </c>
    </row>
    <row r="2950" spans="27:34">
      <c r="AA2950">
        <v>2.5099999999999998</v>
      </c>
      <c r="AB2950">
        <v>4.8</v>
      </c>
      <c r="AC2950">
        <v>55</v>
      </c>
      <c r="AD2950">
        <v>0.198394495</v>
      </c>
      <c r="AG2950">
        <v>3077.7621266277001</v>
      </c>
      <c r="AH2950">
        <v>98022</v>
      </c>
    </row>
    <row r="2951" spans="27:34">
      <c r="AA2951">
        <v>2.5099999999999998</v>
      </c>
      <c r="AB2951">
        <v>4.8</v>
      </c>
      <c r="AC2951">
        <v>55</v>
      </c>
      <c r="AD2951">
        <v>0.198394495</v>
      </c>
      <c r="AG2951">
        <v>3246.12492121779</v>
      </c>
      <c r="AH2951">
        <v>98235</v>
      </c>
    </row>
    <row r="2952" spans="27:34">
      <c r="AA2952">
        <v>2.5099999999999998</v>
      </c>
      <c r="AB2952">
        <v>4.8</v>
      </c>
      <c r="AC2952">
        <v>55</v>
      </c>
      <c r="AD2952">
        <v>0.198394495</v>
      </c>
      <c r="AE2952">
        <v>96</v>
      </c>
      <c r="AG2952">
        <v>3408.7204507512602</v>
      </c>
      <c r="AH2952">
        <v>98587</v>
      </c>
    </row>
    <row r="2953" spans="27:34">
      <c r="AA2953">
        <v>2.5099999999999998</v>
      </c>
      <c r="AB2953">
        <v>4.8</v>
      </c>
      <c r="AC2953">
        <v>55</v>
      </c>
      <c r="AD2953">
        <v>0.198394495</v>
      </c>
      <c r="AG2953">
        <v>3590.9181318606302</v>
      </c>
      <c r="AH2953">
        <v>99102</v>
      </c>
    </row>
    <row r="2954" spans="27:34">
      <c r="AA2954">
        <v>2.5099999999999998</v>
      </c>
      <c r="AB2954">
        <v>4.8</v>
      </c>
      <c r="AC2954">
        <v>55</v>
      </c>
      <c r="AD2954">
        <v>0.198394495</v>
      </c>
      <c r="AG2954">
        <v>3757.5120929125201</v>
      </c>
      <c r="AH2954">
        <v>99749</v>
      </c>
    </row>
    <row r="2955" spans="27:34">
      <c r="AA2955">
        <v>2.5099999999999998</v>
      </c>
      <c r="AB2955">
        <v>4.8</v>
      </c>
      <c r="AC2955">
        <v>55</v>
      </c>
      <c r="AD2955">
        <v>0.198394495</v>
      </c>
      <c r="AG2955">
        <v>3908.10429493539</v>
      </c>
      <c r="AH2955">
        <v>100475</v>
      </c>
    </row>
    <row r="2956" spans="27:34">
      <c r="AA2956">
        <v>2.5099999999999998</v>
      </c>
      <c r="AB2956">
        <v>4.8</v>
      </c>
      <c r="AC2956">
        <v>55</v>
      </c>
      <c r="AD2956">
        <v>0.198394495</v>
      </c>
      <c r="AG2956">
        <v>4030.6063629700002</v>
      </c>
      <c r="AH2956">
        <v>101205</v>
      </c>
    </row>
    <row r="2957" spans="27:34">
      <c r="AA2957">
        <v>2.5099999999999998</v>
      </c>
      <c r="AB2957">
        <v>4.8</v>
      </c>
      <c r="AC2957">
        <v>55</v>
      </c>
      <c r="AD2957">
        <v>0.198394495</v>
      </c>
      <c r="AE2957">
        <v>96</v>
      </c>
      <c r="AG2957">
        <v>4097.88306981816</v>
      </c>
      <c r="AH2957">
        <v>101879</v>
      </c>
    </row>
    <row r="2958" spans="27:34">
      <c r="AA2958">
        <v>2.5099999999999998</v>
      </c>
      <c r="AB2958">
        <v>4.8</v>
      </c>
      <c r="AC2958">
        <v>55</v>
      </c>
      <c r="AD2958">
        <v>0.198394495</v>
      </c>
      <c r="AG2958">
        <v>4228.7856314228502</v>
      </c>
      <c r="AH2958">
        <v>102495</v>
      </c>
    </row>
    <row r="2959" spans="27:34">
      <c r="AA2959">
        <v>2.5099999999999998</v>
      </c>
      <c r="AB2959">
        <v>4.8</v>
      </c>
      <c r="AC2959">
        <v>55</v>
      </c>
      <c r="AD2959">
        <v>0.198394495</v>
      </c>
      <c r="AG2959">
        <v>4298.8184228007603</v>
      </c>
      <c r="AH2959">
        <v>103066</v>
      </c>
    </row>
    <row r="2960" spans="27:34">
      <c r="AA2960">
        <v>2.5099999999999998</v>
      </c>
      <c r="AB2960">
        <v>4.8</v>
      </c>
      <c r="AC2960">
        <v>55</v>
      </c>
      <c r="AD2960">
        <v>0.198394495</v>
      </c>
      <c r="AE2960">
        <v>96</v>
      </c>
      <c r="AG2960">
        <v>4460.2692082348503</v>
      </c>
      <c r="AH2960">
        <v>103566</v>
      </c>
    </row>
    <row r="2961" spans="27:34">
      <c r="AA2961">
        <v>2.5099999999999998</v>
      </c>
      <c r="AB2961">
        <v>4.8</v>
      </c>
      <c r="AC2961">
        <v>55</v>
      </c>
      <c r="AD2961">
        <v>0.198394495</v>
      </c>
      <c r="AG2961">
        <v>4465.5779583479698</v>
      </c>
      <c r="AH2961">
        <v>103967</v>
      </c>
    </row>
    <row r="2962" spans="27:34">
      <c r="AA2962">
        <v>2.5099999999999998</v>
      </c>
      <c r="AB2962">
        <v>4.8</v>
      </c>
      <c r="AC2962">
        <v>55</v>
      </c>
      <c r="AD2962">
        <v>0.198394495</v>
      </c>
    </row>
    <row r="2963" spans="27:34">
      <c r="AA2963">
        <v>2.5099999999999998</v>
      </c>
      <c r="AB2963">
        <v>4.8</v>
      </c>
      <c r="AC2963">
        <v>55</v>
      </c>
      <c r="AD2963">
        <v>0.198394495</v>
      </c>
    </row>
    <row r="2964" spans="27:34">
      <c r="AA2964">
        <v>-12.19</v>
      </c>
      <c r="AB2964">
        <v>4.5</v>
      </c>
      <c r="AC2964">
        <v>5</v>
      </c>
      <c r="AD2964">
        <v>0.122641509</v>
      </c>
      <c r="AE2964">
        <v>92</v>
      </c>
      <c r="AF2964">
        <v>7.734</v>
      </c>
      <c r="AG2964">
        <v>9083.9579185884195</v>
      </c>
      <c r="AH2964">
        <v>1264623</v>
      </c>
    </row>
    <row r="2965" spans="27:34">
      <c r="AA2965">
        <v>-12.19</v>
      </c>
      <c r="AB2965">
        <v>4.5</v>
      </c>
      <c r="AC2965">
        <v>5</v>
      </c>
      <c r="AD2965">
        <v>0.122641509</v>
      </c>
      <c r="AG2965">
        <v>9567.1891966776802</v>
      </c>
      <c r="AH2965">
        <v>1272004</v>
      </c>
    </row>
    <row r="2966" spans="27:34">
      <c r="AA2966">
        <v>-12.19</v>
      </c>
      <c r="AB2966">
        <v>4.5</v>
      </c>
      <c r="AC2966">
        <v>5</v>
      </c>
      <c r="AD2966">
        <v>0.122641509</v>
      </c>
      <c r="AG2966">
        <v>9948.7170776171497</v>
      </c>
      <c r="AH2966">
        <v>1278582</v>
      </c>
    </row>
    <row r="2967" spans="27:34">
      <c r="AA2967">
        <v>-12.19</v>
      </c>
      <c r="AB2967">
        <v>4.5</v>
      </c>
      <c r="AC2967">
        <v>5</v>
      </c>
      <c r="AD2967">
        <v>0.122641509</v>
      </c>
      <c r="AG2967">
        <v>10793.091211683601</v>
      </c>
      <c r="AH2967">
        <v>1284486</v>
      </c>
    </row>
    <row r="2968" spans="27:34">
      <c r="AA2968">
        <v>-12.19</v>
      </c>
      <c r="AB2968">
        <v>4.5</v>
      </c>
      <c r="AC2968">
        <v>5</v>
      </c>
      <c r="AD2968">
        <v>0.122641509</v>
      </c>
      <c r="AG2968">
        <v>11383.595879828899</v>
      </c>
      <c r="AH2968">
        <v>1289934</v>
      </c>
    </row>
    <row r="2969" spans="27:34">
      <c r="AA2969">
        <v>-12.19</v>
      </c>
      <c r="AB2969">
        <v>4.5</v>
      </c>
      <c r="AC2969">
        <v>5</v>
      </c>
      <c r="AD2969">
        <v>0.122641509</v>
      </c>
      <c r="AE2969">
        <v>92</v>
      </c>
      <c r="AF2969">
        <v>6.0309999999999997</v>
      </c>
      <c r="AG2969">
        <v>12294.0261798096</v>
      </c>
      <c r="AH2969">
        <v>1295100</v>
      </c>
    </row>
    <row r="2970" spans="27:34">
      <c r="AA2970">
        <v>-12.19</v>
      </c>
      <c r="AB2970">
        <v>4.5</v>
      </c>
      <c r="AC2970">
        <v>5</v>
      </c>
      <c r="AD2970">
        <v>0.122641509</v>
      </c>
      <c r="AG2970">
        <v>13038.238748178401</v>
      </c>
      <c r="AH2970">
        <v>1299999</v>
      </c>
    </row>
    <row r="2971" spans="27:34">
      <c r="AA2971">
        <v>-12.19</v>
      </c>
      <c r="AB2971">
        <v>4.5</v>
      </c>
      <c r="AC2971">
        <v>5</v>
      </c>
      <c r="AD2971">
        <v>0.122641509</v>
      </c>
      <c r="AE2971">
        <v>100</v>
      </c>
      <c r="AG2971">
        <v>14261.124841492499</v>
      </c>
      <c r="AH2971">
        <v>1304624</v>
      </c>
    </row>
    <row r="2972" spans="27:34">
      <c r="AA2972">
        <v>-12.19</v>
      </c>
      <c r="AB2972">
        <v>4.5</v>
      </c>
      <c r="AC2972">
        <v>5</v>
      </c>
      <c r="AD2972">
        <v>0.122641509</v>
      </c>
      <c r="AG2972">
        <v>16614.078009913599</v>
      </c>
      <c r="AH2972">
        <v>1309114</v>
      </c>
    </row>
    <row r="2973" spans="27:34">
      <c r="AA2973">
        <v>-12.19</v>
      </c>
      <c r="AB2973">
        <v>4.5</v>
      </c>
      <c r="AC2973">
        <v>5</v>
      </c>
      <c r="AD2973">
        <v>0.122641509</v>
      </c>
      <c r="AE2973">
        <v>100</v>
      </c>
      <c r="AG2973">
        <v>18371.3008868996</v>
      </c>
      <c r="AH2973">
        <v>1313634</v>
      </c>
    </row>
    <row r="2974" spans="27:34">
      <c r="AA2974">
        <v>-12.19</v>
      </c>
      <c r="AB2974">
        <v>4.5</v>
      </c>
      <c r="AC2974">
        <v>5</v>
      </c>
      <c r="AD2974">
        <v>0.122641509</v>
      </c>
      <c r="AE2974">
        <v>92</v>
      </c>
      <c r="AG2974">
        <v>20013.899733474602</v>
      </c>
      <c r="AH2974">
        <v>1318300</v>
      </c>
    </row>
    <row r="2975" spans="27:34">
      <c r="AA2975">
        <v>-12.19</v>
      </c>
      <c r="AB2975">
        <v>4.5</v>
      </c>
      <c r="AC2975">
        <v>5</v>
      </c>
      <c r="AD2975">
        <v>0.122641509</v>
      </c>
      <c r="AG2975">
        <v>23368.322912703701</v>
      </c>
      <c r="AH2975">
        <v>1323168</v>
      </c>
    </row>
    <row r="2976" spans="27:34">
      <c r="AA2976">
        <v>-12.19</v>
      </c>
      <c r="AB2976">
        <v>4.5</v>
      </c>
      <c r="AC2976">
        <v>5</v>
      </c>
      <c r="AD2976">
        <v>0.122641509</v>
      </c>
      <c r="AG2976">
        <v>25184.777905110899</v>
      </c>
      <c r="AH2976">
        <v>1328216</v>
      </c>
    </row>
    <row r="2977" spans="27:34">
      <c r="AA2977">
        <v>-12.19</v>
      </c>
      <c r="AB2977">
        <v>4.5</v>
      </c>
      <c r="AC2977">
        <v>5</v>
      </c>
      <c r="AD2977">
        <v>0.122641509</v>
      </c>
      <c r="AE2977">
        <v>92</v>
      </c>
      <c r="AG2977">
        <v>26225.142561169501</v>
      </c>
      <c r="AH2977">
        <v>1333388</v>
      </c>
    </row>
    <row r="2978" spans="27:34">
      <c r="AA2978">
        <v>-12.19</v>
      </c>
      <c r="AB2978">
        <v>4.5</v>
      </c>
      <c r="AC2978">
        <v>5</v>
      </c>
      <c r="AD2978">
        <v>0.122641509</v>
      </c>
      <c r="AG2978">
        <v>25571.659221747301</v>
      </c>
      <c r="AH2978">
        <v>1338585</v>
      </c>
    </row>
    <row r="2979" spans="27:34">
      <c r="AA2979">
        <v>-12.19</v>
      </c>
      <c r="AB2979">
        <v>4.5</v>
      </c>
      <c r="AC2979">
        <v>5</v>
      </c>
      <c r="AD2979">
        <v>0.122641509</v>
      </c>
    </row>
    <row r="2980" spans="27:34">
      <c r="AA2980">
        <v>-12.19</v>
      </c>
      <c r="AB2980">
        <v>4.5</v>
      </c>
      <c r="AC2980">
        <v>5</v>
      </c>
      <c r="AD2980">
        <v>0.122641509</v>
      </c>
    </row>
    <row r="2981" spans="27:34">
      <c r="AA2981">
        <v>-20.79</v>
      </c>
      <c r="AB2981">
        <v>2.2000000000000002</v>
      </c>
      <c r="AC2981">
        <v>64</v>
      </c>
      <c r="AD2981">
        <v>0.21102362199999999</v>
      </c>
      <c r="AE2981">
        <v>78</v>
      </c>
      <c r="AF2981">
        <v>62</v>
      </c>
      <c r="AG2981">
        <v>3604.9815190238401</v>
      </c>
      <c r="AH2981">
        <v>8957500</v>
      </c>
    </row>
    <row r="2982" spans="27:34">
      <c r="AA2982">
        <v>-20.79</v>
      </c>
      <c r="AB2982">
        <v>2.2000000000000002</v>
      </c>
      <c r="AC2982">
        <v>64</v>
      </c>
      <c r="AD2982">
        <v>0.21102362199999999</v>
      </c>
      <c r="AG2982">
        <v>3879.3752366899998</v>
      </c>
      <c r="AH2982">
        <v>9089300</v>
      </c>
    </row>
    <row r="2983" spans="27:34">
      <c r="AA2983">
        <v>-20.79</v>
      </c>
      <c r="AB2983">
        <v>2.2000000000000002</v>
      </c>
      <c r="AC2983">
        <v>64</v>
      </c>
      <c r="AD2983">
        <v>0.21102362199999999</v>
      </c>
      <c r="AG2983">
        <v>4106.1960060564097</v>
      </c>
      <c r="AH2983">
        <v>9215000</v>
      </c>
    </row>
    <row r="2984" spans="27:34">
      <c r="AA2984">
        <v>-20.79</v>
      </c>
      <c r="AB2984">
        <v>2.2000000000000002</v>
      </c>
      <c r="AC2984">
        <v>64</v>
      </c>
      <c r="AD2984">
        <v>0.21102362199999999</v>
      </c>
      <c r="AG2984">
        <v>4296.14377501332</v>
      </c>
      <c r="AH2984">
        <v>9333300</v>
      </c>
    </row>
    <row r="2985" spans="27:34">
      <c r="AA2985">
        <v>-20.79</v>
      </c>
      <c r="AB2985">
        <v>2.2000000000000002</v>
      </c>
      <c r="AC2985">
        <v>64</v>
      </c>
      <c r="AD2985">
        <v>0.21102362199999999</v>
      </c>
      <c r="AG2985">
        <v>4563.0672779118804</v>
      </c>
      <c r="AH2985">
        <v>9455900</v>
      </c>
    </row>
    <row r="2986" spans="27:34">
      <c r="AA2986">
        <v>-20.79</v>
      </c>
      <c r="AB2986">
        <v>2.2000000000000002</v>
      </c>
      <c r="AC2986">
        <v>64</v>
      </c>
      <c r="AD2986">
        <v>0.21102362199999999</v>
      </c>
      <c r="AE2986">
        <v>81</v>
      </c>
      <c r="AF2986">
        <v>61.74</v>
      </c>
      <c r="AG2986">
        <v>4825.7635311508402</v>
      </c>
      <c r="AH2986">
        <v>9563500</v>
      </c>
    </row>
    <row r="2987" spans="27:34">
      <c r="AA2987">
        <v>-20.79</v>
      </c>
      <c r="AB2987">
        <v>2.2000000000000002</v>
      </c>
      <c r="AC2987">
        <v>64</v>
      </c>
      <c r="AD2987">
        <v>0.21102362199999999</v>
      </c>
      <c r="AG2987">
        <v>5119.2727365266701</v>
      </c>
      <c r="AH2987">
        <v>9673600</v>
      </c>
    </row>
    <row r="2988" spans="27:34">
      <c r="AA2988">
        <v>-20.79</v>
      </c>
      <c r="AB2988">
        <v>2.2000000000000002</v>
      </c>
      <c r="AC2988">
        <v>64</v>
      </c>
      <c r="AD2988">
        <v>0.21102362199999999</v>
      </c>
      <c r="AG2988">
        <v>5229.9245422574004</v>
      </c>
      <c r="AH2988">
        <v>9781900</v>
      </c>
    </row>
    <row r="2989" spans="27:34">
      <c r="AA2989">
        <v>-20.79</v>
      </c>
      <c r="AB2989">
        <v>2.2000000000000002</v>
      </c>
      <c r="AC2989">
        <v>64</v>
      </c>
      <c r="AD2989">
        <v>0.21102362199999999</v>
      </c>
      <c r="AG2989">
        <v>5606.5363539725704</v>
      </c>
      <c r="AH2989">
        <v>9839800</v>
      </c>
    </row>
    <row r="2990" spans="27:34">
      <c r="AA2990">
        <v>-20.79</v>
      </c>
      <c r="AB2990">
        <v>2.2000000000000002</v>
      </c>
      <c r="AC2990">
        <v>64</v>
      </c>
      <c r="AD2990">
        <v>0.21102362199999999</v>
      </c>
      <c r="AG2990">
        <v>6056.6140856128304</v>
      </c>
      <c r="AH2990">
        <v>9932400</v>
      </c>
    </row>
    <row r="2991" spans="27:34">
      <c r="AA2991">
        <v>-20.79</v>
      </c>
      <c r="AB2991">
        <v>2.2000000000000002</v>
      </c>
      <c r="AC2991">
        <v>64</v>
      </c>
      <c r="AD2991">
        <v>0.21102362199999999</v>
      </c>
      <c r="AE2991">
        <v>85</v>
      </c>
      <c r="AG2991">
        <v>6444.8141577733704</v>
      </c>
      <c r="AH2991">
        <v>10029000</v>
      </c>
    </row>
    <row r="2992" spans="27:34">
      <c r="AA2992">
        <v>-20.79</v>
      </c>
      <c r="AB2992">
        <v>2.2000000000000002</v>
      </c>
      <c r="AC2992">
        <v>64</v>
      </c>
      <c r="AD2992">
        <v>0.21102362199999999</v>
      </c>
      <c r="AG2992">
        <v>6962.3214541696798</v>
      </c>
      <c r="AH2992">
        <v>10128100</v>
      </c>
    </row>
    <row r="2993" spans="27:34">
      <c r="AA2993">
        <v>-20.79</v>
      </c>
      <c r="AB2993">
        <v>2.2000000000000002</v>
      </c>
      <c r="AC2993">
        <v>64</v>
      </c>
      <c r="AD2993">
        <v>0.21102362199999999</v>
      </c>
      <c r="AG2993">
        <v>7584.0371920520302</v>
      </c>
      <c r="AH2993">
        <v>10225400</v>
      </c>
    </row>
    <row r="2994" spans="27:34">
      <c r="AA2994">
        <v>-20.79</v>
      </c>
      <c r="AB2994">
        <v>2.2000000000000002</v>
      </c>
      <c r="AC2994">
        <v>64</v>
      </c>
      <c r="AD2994">
        <v>0.21102362199999999</v>
      </c>
      <c r="AE2994">
        <v>85</v>
      </c>
      <c r="AG2994">
        <v>8028.9173349726398</v>
      </c>
      <c r="AH2994">
        <v>10327800</v>
      </c>
    </row>
    <row r="2995" spans="27:34">
      <c r="AA2995">
        <v>-20.79</v>
      </c>
      <c r="AB2995">
        <v>2.2000000000000002</v>
      </c>
      <c r="AC2995">
        <v>64</v>
      </c>
      <c r="AD2995">
        <v>0.21102362199999999</v>
      </c>
      <c r="AG2995">
        <v>8272.50200855802</v>
      </c>
      <c r="AH2995">
        <v>10432500</v>
      </c>
    </row>
    <row r="2996" spans="27:34">
      <c r="AA2996">
        <v>-20.79</v>
      </c>
      <c r="AB2996">
        <v>2.2000000000000002</v>
      </c>
      <c r="AC2996">
        <v>64</v>
      </c>
      <c r="AD2996">
        <v>0.21102362199999999</v>
      </c>
    </row>
    <row r="2997" spans="27:34">
      <c r="AA2997">
        <v>-20.79</v>
      </c>
      <c r="AB2997">
        <v>2.2000000000000002</v>
      </c>
      <c r="AC2997">
        <v>64</v>
      </c>
      <c r="AD2997">
        <v>0.21102362199999999</v>
      </c>
    </row>
    <row r="2998" spans="27:34">
      <c r="AA2998">
        <v>-21.34</v>
      </c>
      <c r="AB2998">
        <v>1.6</v>
      </c>
      <c r="AC2998">
        <v>85</v>
      </c>
      <c r="AD2998">
        <v>7.8635015000000003E-2</v>
      </c>
      <c r="AE2998">
        <v>85</v>
      </c>
      <c r="AG2998">
        <v>5174.0018166769596</v>
      </c>
      <c r="AH2998">
        <v>61206099</v>
      </c>
    </row>
    <row r="2999" spans="27:34">
      <c r="AA2999">
        <v>-21.34</v>
      </c>
      <c r="AB2999">
        <v>1.6</v>
      </c>
      <c r="AC2999">
        <v>85</v>
      </c>
      <c r="AD2999">
        <v>7.8635015000000003E-2</v>
      </c>
      <c r="AG2999">
        <v>5563.27819680025</v>
      </c>
      <c r="AH2999">
        <v>62264906</v>
      </c>
    </row>
    <row r="3000" spans="27:34">
      <c r="AA3000">
        <v>-21.34</v>
      </c>
      <c r="AB3000">
        <v>1.6</v>
      </c>
      <c r="AC3000">
        <v>85</v>
      </c>
      <c r="AD3000">
        <v>7.8635015000000003E-2</v>
      </c>
      <c r="AG3000">
        <v>6000.1642923829304</v>
      </c>
      <c r="AH3000">
        <v>63331833</v>
      </c>
    </row>
    <row r="3001" spans="27:34">
      <c r="AA3001">
        <v>-21.34</v>
      </c>
      <c r="AB3001">
        <v>1.6</v>
      </c>
      <c r="AC3001">
        <v>85</v>
      </c>
      <c r="AD3001">
        <v>7.8635015000000003E-2</v>
      </c>
      <c r="AG3001">
        <v>8313.9960496888398</v>
      </c>
      <c r="AH3001">
        <v>64395635</v>
      </c>
    </row>
    <row r="3002" spans="27:34">
      <c r="AA3002">
        <v>-21.34</v>
      </c>
      <c r="AB3002">
        <v>1.6</v>
      </c>
      <c r="AC3002">
        <v>85</v>
      </c>
      <c r="AD3002">
        <v>7.8635015000000003E-2</v>
      </c>
      <c r="AG3002">
        <v>7911.4948936862302</v>
      </c>
      <c r="AH3002">
        <v>65441666</v>
      </c>
    </row>
    <row r="3003" spans="27:34">
      <c r="AA3003">
        <v>-21.34</v>
      </c>
      <c r="AB3003">
        <v>1.6</v>
      </c>
      <c r="AC3003">
        <v>85</v>
      </c>
      <c r="AD3003">
        <v>7.8635015000000003E-2</v>
      </c>
      <c r="AE3003">
        <v>87</v>
      </c>
      <c r="AF3003">
        <v>19.66</v>
      </c>
      <c r="AG3003">
        <v>8866.0944397006097</v>
      </c>
      <c r="AH3003">
        <v>66459578</v>
      </c>
    </row>
    <row r="3004" spans="27:34">
      <c r="AA3004">
        <v>-21.34</v>
      </c>
      <c r="AB3004">
        <v>1.6</v>
      </c>
      <c r="AC3004">
        <v>85</v>
      </c>
      <c r="AD3004">
        <v>7.8635015000000003E-2</v>
      </c>
      <c r="AG3004">
        <v>8318.3167269647802</v>
      </c>
      <c r="AH3004">
        <v>67444118</v>
      </c>
    </row>
    <row r="3005" spans="27:34">
      <c r="AA3005">
        <v>-21.34</v>
      </c>
      <c r="AB3005">
        <v>1.6</v>
      </c>
      <c r="AC3005">
        <v>85</v>
      </c>
      <c r="AD3005">
        <v>7.8635015000000003E-2</v>
      </c>
      <c r="AG3005">
        <v>8364.1700581348705</v>
      </c>
      <c r="AH3005">
        <v>68398135</v>
      </c>
    </row>
    <row r="3006" spans="27:34">
      <c r="AA3006">
        <v>-21.34</v>
      </c>
      <c r="AB3006">
        <v>1.6</v>
      </c>
      <c r="AC3006">
        <v>85</v>
      </c>
      <c r="AD3006">
        <v>7.8635015000000003E-2</v>
      </c>
      <c r="AG3006">
        <v>8478.5660313054905</v>
      </c>
      <c r="AH3006">
        <v>69329456</v>
      </c>
    </row>
    <row r="3007" spans="27:34">
      <c r="AA3007">
        <v>-21.34</v>
      </c>
      <c r="AB3007">
        <v>1.6</v>
      </c>
      <c r="AC3007">
        <v>85</v>
      </c>
      <c r="AD3007">
        <v>7.8635015000000003E-2</v>
      </c>
      <c r="AG3007">
        <v>9801.9739879745393</v>
      </c>
      <c r="AH3007">
        <v>70250173</v>
      </c>
    </row>
    <row r="3008" spans="27:34">
      <c r="AA3008">
        <v>-21.34</v>
      </c>
      <c r="AB3008">
        <v>1.6</v>
      </c>
      <c r="AC3008">
        <v>85</v>
      </c>
      <c r="AD3008">
        <v>7.8635015000000003E-2</v>
      </c>
      <c r="AE3008">
        <v>89</v>
      </c>
      <c r="AF3008">
        <v>18.77</v>
      </c>
      <c r="AG3008">
        <v>10977.2934588065</v>
      </c>
      <c r="AH3008">
        <v>71169037</v>
      </c>
    </row>
    <row r="3009" spans="27:34">
      <c r="AA3009">
        <v>-21.34</v>
      </c>
      <c r="AB3009">
        <v>1.6</v>
      </c>
      <c r="AC3009">
        <v>85</v>
      </c>
      <c r="AD3009">
        <v>7.8635015000000003E-2</v>
      </c>
      <c r="AG3009">
        <v>12409.872826898199</v>
      </c>
      <c r="AH3009">
        <v>72087928</v>
      </c>
    </row>
    <row r="3010" spans="27:34">
      <c r="AA3010">
        <v>-21.34</v>
      </c>
      <c r="AB3010">
        <v>1.6</v>
      </c>
      <c r="AC3010">
        <v>85</v>
      </c>
      <c r="AD3010">
        <v>7.8635015000000003E-2</v>
      </c>
      <c r="AG3010">
        <v>13374.3082889488</v>
      </c>
      <c r="AH3010">
        <v>73003736</v>
      </c>
    </row>
    <row r="3011" spans="27:34">
      <c r="AA3011">
        <v>-21.34</v>
      </c>
      <c r="AB3011">
        <v>1.6</v>
      </c>
      <c r="AC3011">
        <v>85</v>
      </c>
      <c r="AD3011">
        <v>7.8635015000000003E-2</v>
      </c>
      <c r="AE3011">
        <v>90</v>
      </c>
      <c r="AG3011">
        <v>14388.5516162108</v>
      </c>
      <c r="AH3011">
        <v>73914260</v>
      </c>
    </row>
    <row r="3012" spans="27:34">
      <c r="AA3012">
        <v>-21.34</v>
      </c>
      <c r="AB3012">
        <v>1.6</v>
      </c>
      <c r="AC3012">
        <v>85</v>
      </c>
      <c r="AD3012">
        <v>7.8635015000000003E-2</v>
      </c>
      <c r="AG3012">
        <v>13667.879548372101</v>
      </c>
      <c r="AH3012">
        <v>74815703</v>
      </c>
    </row>
    <row r="3013" spans="27:34">
      <c r="AA3013">
        <v>-21.34</v>
      </c>
      <c r="AB3013">
        <v>1.6</v>
      </c>
      <c r="AC3013">
        <v>85</v>
      </c>
      <c r="AD3013">
        <v>7.8635015000000003E-2</v>
      </c>
    </row>
    <row r="3014" spans="27:34">
      <c r="AA3014">
        <v>-21.34</v>
      </c>
      <c r="AB3014">
        <v>1.6</v>
      </c>
      <c r="AC3014">
        <v>85</v>
      </c>
      <c r="AD3014">
        <v>7.8635015000000003E-2</v>
      </c>
    </row>
    <row r="3015" spans="27:34">
      <c r="AA3015">
        <v>-7.35</v>
      </c>
      <c r="AB3015">
        <v>2.2999999999999998</v>
      </c>
      <c r="AC3015">
        <v>449</v>
      </c>
      <c r="AD3015">
        <v>0.13216560499999999</v>
      </c>
      <c r="AE3015">
        <v>98</v>
      </c>
      <c r="AF3015">
        <v>96.2</v>
      </c>
      <c r="AG3015">
        <v>1668.7901153954899</v>
      </c>
      <c r="AH3015">
        <v>4187416</v>
      </c>
    </row>
    <row r="3016" spans="27:34">
      <c r="AA3016">
        <v>-7.35</v>
      </c>
      <c r="AB3016">
        <v>2.2999999999999998</v>
      </c>
      <c r="AC3016">
        <v>449</v>
      </c>
      <c r="AD3016">
        <v>0.13216560499999999</v>
      </c>
      <c r="AG3016">
        <v>1558.0365956083101</v>
      </c>
      <c r="AH3016">
        <v>4264596</v>
      </c>
    </row>
    <row r="3017" spans="27:34">
      <c r="AA3017">
        <v>-7.35</v>
      </c>
      <c r="AB3017">
        <v>2.2999999999999998</v>
      </c>
      <c r="AC3017">
        <v>449</v>
      </c>
      <c r="AD3017">
        <v>0.13216560499999999</v>
      </c>
      <c r="AG3017">
        <v>1385.39311520921</v>
      </c>
      <c r="AH3017">
        <v>4329519</v>
      </c>
    </row>
    <row r="3018" spans="27:34">
      <c r="AA3018">
        <v>-7.35</v>
      </c>
      <c r="AB3018">
        <v>2.2999999999999998</v>
      </c>
      <c r="AC3018">
        <v>449</v>
      </c>
      <c r="AD3018">
        <v>0.13216560499999999</v>
      </c>
      <c r="AG3018">
        <v>1475.4846032077601</v>
      </c>
      <c r="AH3018">
        <v>4386594</v>
      </c>
    </row>
    <row r="3019" spans="27:34">
      <c r="AA3019">
        <v>-7.35</v>
      </c>
      <c r="AB3019">
        <v>2.2999999999999998</v>
      </c>
      <c r="AC3019">
        <v>449</v>
      </c>
      <c r="AD3019">
        <v>0.13216560499999999</v>
      </c>
      <c r="AG3019">
        <v>1721.57189212921</v>
      </c>
      <c r="AH3019">
        <v>4442394</v>
      </c>
    </row>
    <row r="3020" spans="27:34">
      <c r="AA3020">
        <v>-7.35</v>
      </c>
      <c r="AB3020">
        <v>2.2999999999999998</v>
      </c>
      <c r="AC3020">
        <v>449</v>
      </c>
      <c r="AD3020">
        <v>0.13216560499999999</v>
      </c>
      <c r="AE3020">
        <v>98</v>
      </c>
      <c r="AF3020">
        <v>100.8</v>
      </c>
      <c r="AG3020">
        <v>2058.3443092378002</v>
      </c>
      <c r="AH3020">
        <v>4501727</v>
      </c>
    </row>
    <row r="3021" spans="27:34">
      <c r="AA3021">
        <v>-7.35</v>
      </c>
      <c r="AB3021">
        <v>2.2999999999999998</v>
      </c>
      <c r="AC3021">
        <v>449</v>
      </c>
      <c r="AD3021">
        <v>0.13216560499999999</v>
      </c>
      <c r="AG3021">
        <v>2499.3277876603402</v>
      </c>
      <c r="AH3021">
        <v>4565962</v>
      </c>
    </row>
    <row r="3022" spans="27:34">
      <c r="AA3022">
        <v>-7.35</v>
      </c>
      <c r="AB3022">
        <v>2.2999999999999998</v>
      </c>
      <c r="AC3022">
        <v>449</v>
      </c>
      <c r="AD3022">
        <v>0.13216560499999999</v>
      </c>
      <c r="AG3022">
        <v>2898.22094919856</v>
      </c>
      <c r="AH3022">
        <v>4633736</v>
      </c>
    </row>
    <row r="3023" spans="27:34">
      <c r="AA3023">
        <v>-7.35</v>
      </c>
      <c r="AB3023">
        <v>2.2999999999999998</v>
      </c>
      <c r="AC3023">
        <v>449</v>
      </c>
      <c r="AD3023">
        <v>0.13216560499999999</v>
      </c>
      <c r="AG3023">
        <v>3415.28080916622</v>
      </c>
      <c r="AH3023">
        <v>4703861</v>
      </c>
    </row>
    <row r="3024" spans="27:34">
      <c r="AA3024">
        <v>-7.35</v>
      </c>
      <c r="AB3024">
        <v>2.2999999999999998</v>
      </c>
      <c r="AC3024">
        <v>449</v>
      </c>
      <c r="AD3024">
        <v>0.13216560499999999</v>
      </c>
      <c r="AG3024">
        <v>4055.5296408256399</v>
      </c>
      <c r="AH3024">
        <v>4774194</v>
      </c>
    </row>
    <row r="3025" spans="27:34">
      <c r="AA3025">
        <v>-7.35</v>
      </c>
      <c r="AB3025">
        <v>2.2999999999999998</v>
      </c>
      <c r="AC3025">
        <v>449</v>
      </c>
      <c r="AD3025">
        <v>0.13216560499999999</v>
      </c>
      <c r="AE3025">
        <v>98</v>
      </c>
      <c r="AG3025">
        <v>4668.1076385162596</v>
      </c>
      <c r="AH3025">
        <v>4843187</v>
      </c>
    </row>
    <row r="3026" spans="27:34">
      <c r="AA3026">
        <v>-7.35</v>
      </c>
      <c r="AB3026">
        <v>2.2999999999999998</v>
      </c>
      <c r="AC3026">
        <v>449</v>
      </c>
      <c r="AD3026">
        <v>0.13216560499999999</v>
      </c>
      <c r="AG3026">
        <v>5295.6155069574797</v>
      </c>
      <c r="AH3026">
        <v>4910679</v>
      </c>
    </row>
    <row r="3027" spans="27:34">
      <c r="AA3027">
        <v>-7.35</v>
      </c>
      <c r="AB3027">
        <v>2.2999999999999998</v>
      </c>
      <c r="AC3027">
        <v>449</v>
      </c>
      <c r="AD3027">
        <v>0.13216560499999999</v>
      </c>
      <c r="AG3027">
        <v>6041.3095208619598</v>
      </c>
      <c r="AH3027">
        <v>4977386</v>
      </c>
    </row>
    <row r="3028" spans="27:34">
      <c r="AA3028">
        <v>-7.35</v>
      </c>
      <c r="AB3028">
        <v>2.2999999999999998</v>
      </c>
      <c r="AC3028">
        <v>449</v>
      </c>
      <c r="AD3028">
        <v>0.13216560499999999</v>
      </c>
      <c r="AE3028">
        <v>98</v>
      </c>
      <c r="AG3028">
        <v>6732.0050695750497</v>
      </c>
      <c r="AH3028">
        <v>5043618</v>
      </c>
    </row>
    <row r="3029" spans="27:34">
      <c r="AA3029">
        <v>-7.35</v>
      </c>
      <c r="AB3029">
        <v>2.2999999999999998</v>
      </c>
      <c r="AC3029">
        <v>449</v>
      </c>
      <c r="AD3029">
        <v>0.13216560499999999</v>
      </c>
      <c r="AG3029">
        <v>7241.9966150519103</v>
      </c>
      <c r="AH3029">
        <v>5109881</v>
      </c>
    </row>
    <row r="3030" spans="27:34">
      <c r="AA3030">
        <v>-7.35</v>
      </c>
      <c r="AB3030">
        <v>2.2999999999999998</v>
      </c>
      <c r="AC3030">
        <v>449</v>
      </c>
      <c r="AD3030">
        <v>0.13216560499999999</v>
      </c>
    </row>
    <row r="3031" spans="27:34">
      <c r="AA3031">
        <v>-7.35</v>
      </c>
      <c r="AB3031">
        <v>2.2999999999999998</v>
      </c>
      <c r="AC3031">
        <v>449</v>
      </c>
      <c r="AD3031">
        <v>0.13216560499999999</v>
      </c>
    </row>
    <row r="3032" spans="27:34">
      <c r="AA3032">
        <v>9.2200000000000006</v>
      </c>
      <c r="AB3032">
        <v>5</v>
      </c>
      <c r="AC3032">
        <v>148</v>
      </c>
      <c r="AD3032">
        <v>0.199101796</v>
      </c>
      <c r="AE3032">
        <v>81</v>
      </c>
    </row>
    <row r="3033" spans="27:34">
      <c r="AA3033">
        <v>9.2200000000000006</v>
      </c>
      <c r="AB3033">
        <v>5</v>
      </c>
      <c r="AC3033">
        <v>148</v>
      </c>
      <c r="AD3033">
        <v>0.199101796</v>
      </c>
    </row>
    <row r="3034" spans="27:34">
      <c r="AA3034">
        <v>9.2200000000000006</v>
      </c>
      <c r="AB3034">
        <v>5</v>
      </c>
      <c r="AC3034">
        <v>148</v>
      </c>
      <c r="AD3034">
        <v>0.199101796</v>
      </c>
    </row>
    <row r="3035" spans="27:34">
      <c r="AA3035">
        <v>9.2200000000000006</v>
      </c>
      <c r="AB3035">
        <v>5</v>
      </c>
      <c r="AC3035">
        <v>148</v>
      </c>
      <c r="AD3035">
        <v>0.199101796</v>
      </c>
    </row>
    <row r="3036" spans="27:34">
      <c r="AA3036">
        <v>9.2200000000000006</v>
      </c>
      <c r="AB3036">
        <v>5</v>
      </c>
      <c r="AC3036">
        <v>148</v>
      </c>
      <c r="AD3036">
        <v>0.199101796</v>
      </c>
    </row>
    <row r="3037" spans="27:34">
      <c r="AA3037">
        <v>9.2200000000000006</v>
      </c>
      <c r="AB3037">
        <v>5</v>
      </c>
      <c r="AC3037">
        <v>148</v>
      </c>
      <c r="AD3037">
        <v>0.199101796</v>
      </c>
      <c r="AE3037">
        <v>83</v>
      </c>
    </row>
    <row r="3038" spans="27:34">
      <c r="AA3038">
        <v>9.2200000000000006</v>
      </c>
      <c r="AB3038">
        <v>5</v>
      </c>
      <c r="AC3038">
        <v>148</v>
      </c>
      <c r="AD3038">
        <v>0.199101796</v>
      </c>
    </row>
    <row r="3039" spans="27:34">
      <c r="AA3039">
        <v>9.2200000000000006</v>
      </c>
      <c r="AB3039">
        <v>5</v>
      </c>
      <c r="AC3039">
        <v>148</v>
      </c>
      <c r="AD3039">
        <v>0.199101796</v>
      </c>
    </row>
    <row r="3040" spans="27:34">
      <c r="AA3040">
        <v>9.2200000000000006</v>
      </c>
      <c r="AB3040">
        <v>5</v>
      </c>
      <c r="AC3040">
        <v>148</v>
      </c>
      <c r="AD3040">
        <v>0.199101796</v>
      </c>
    </row>
    <row r="3041" spans="27:34">
      <c r="AA3041">
        <v>9.2200000000000006</v>
      </c>
      <c r="AB3041">
        <v>5</v>
      </c>
      <c r="AC3041">
        <v>148</v>
      </c>
      <c r="AD3041">
        <v>0.199101796</v>
      </c>
    </row>
    <row r="3042" spans="27:34">
      <c r="AA3042">
        <v>9.2200000000000006</v>
      </c>
      <c r="AB3042">
        <v>5</v>
      </c>
      <c r="AC3042">
        <v>148</v>
      </c>
      <c r="AD3042">
        <v>0.199101796</v>
      </c>
      <c r="AE3042">
        <v>83</v>
      </c>
      <c r="AH3042">
        <v>10441</v>
      </c>
    </row>
    <row r="3043" spans="27:34">
      <c r="AA3043">
        <v>9.2200000000000006</v>
      </c>
      <c r="AB3043">
        <v>5</v>
      </c>
      <c r="AC3043">
        <v>148</v>
      </c>
      <c r="AD3043">
        <v>0.199101796</v>
      </c>
    </row>
    <row r="3044" spans="27:34">
      <c r="AA3044">
        <v>9.2200000000000006</v>
      </c>
      <c r="AB3044">
        <v>5</v>
      </c>
      <c r="AC3044">
        <v>148</v>
      </c>
      <c r="AD3044">
        <v>0.199101796</v>
      </c>
    </row>
    <row r="3045" spans="27:34">
      <c r="AA3045">
        <v>9.2200000000000006</v>
      </c>
      <c r="AB3045">
        <v>5</v>
      </c>
      <c r="AC3045">
        <v>148</v>
      </c>
      <c r="AD3045">
        <v>0.199101796</v>
      </c>
      <c r="AE3045">
        <v>84</v>
      </c>
    </row>
    <row r="3046" spans="27:34">
      <c r="AA3046">
        <v>9.2200000000000006</v>
      </c>
      <c r="AB3046">
        <v>5</v>
      </c>
      <c r="AC3046">
        <v>148</v>
      </c>
      <c r="AD3046">
        <v>0.199101796</v>
      </c>
    </row>
    <row r="3047" spans="27:34">
      <c r="AA3047">
        <v>9.2200000000000006</v>
      </c>
      <c r="AB3047">
        <v>5</v>
      </c>
      <c r="AC3047">
        <v>148</v>
      </c>
      <c r="AD3047">
        <v>0.199101796</v>
      </c>
    </row>
    <row r="3048" spans="27:34">
      <c r="AA3048">
        <v>9.2200000000000006</v>
      </c>
      <c r="AB3048">
        <v>5</v>
      </c>
      <c r="AC3048">
        <v>148</v>
      </c>
      <c r="AD3048">
        <v>0.199101796</v>
      </c>
    </row>
    <row r="3049" spans="27:34">
      <c r="AA3049">
        <v>11.55</v>
      </c>
      <c r="AB3049">
        <v>4.2</v>
      </c>
      <c r="AC3049">
        <v>427</v>
      </c>
      <c r="AD3049">
        <v>0.431539691</v>
      </c>
      <c r="AE3049">
        <v>42</v>
      </c>
      <c r="AG3049">
        <v>512.04731400780304</v>
      </c>
      <c r="AH3049">
        <v>20953589</v>
      </c>
    </row>
    <row r="3050" spans="27:34">
      <c r="AA3050">
        <v>11.55</v>
      </c>
      <c r="AB3050">
        <v>4.2</v>
      </c>
      <c r="AC3050">
        <v>427</v>
      </c>
      <c r="AD3050">
        <v>0.431539691</v>
      </c>
      <c r="AG3050">
        <v>551.70775112197396</v>
      </c>
      <c r="AH3050">
        <v>21617190</v>
      </c>
    </row>
    <row r="3051" spans="27:34">
      <c r="AA3051">
        <v>11.55</v>
      </c>
      <c r="AB3051">
        <v>4.2</v>
      </c>
      <c r="AC3051">
        <v>427</v>
      </c>
      <c r="AD3051">
        <v>0.431539691</v>
      </c>
      <c r="AG3051">
        <v>572.35921789136603</v>
      </c>
      <c r="AH3051">
        <v>22288245</v>
      </c>
    </row>
    <row r="3052" spans="27:34">
      <c r="AA3052">
        <v>11.55</v>
      </c>
      <c r="AB3052">
        <v>4.2</v>
      </c>
      <c r="AC3052">
        <v>427</v>
      </c>
      <c r="AD3052">
        <v>0.431539691</v>
      </c>
      <c r="AG3052">
        <v>589.08602737855801</v>
      </c>
      <c r="AH3052">
        <v>22974610</v>
      </c>
    </row>
    <row r="3053" spans="27:34">
      <c r="AA3053">
        <v>11.55</v>
      </c>
      <c r="AB3053">
        <v>4.2</v>
      </c>
      <c r="AC3053">
        <v>427</v>
      </c>
      <c r="AD3053">
        <v>0.431539691</v>
      </c>
      <c r="AG3053">
        <v>664.12610681515298</v>
      </c>
      <c r="AH3053">
        <v>23686817</v>
      </c>
    </row>
    <row r="3054" spans="27:34">
      <c r="AA3054">
        <v>11.55</v>
      </c>
      <c r="AB3054">
        <v>4.2</v>
      </c>
      <c r="AC3054">
        <v>427</v>
      </c>
      <c r="AD3054">
        <v>0.431539691</v>
      </c>
      <c r="AE3054">
        <v>44</v>
      </c>
      <c r="AF3054">
        <v>0.49940000000000001</v>
      </c>
      <c r="AG3054">
        <v>678.44479790242201</v>
      </c>
      <c r="AH3054">
        <v>24432843</v>
      </c>
    </row>
    <row r="3055" spans="27:34">
      <c r="AA3055">
        <v>11.55</v>
      </c>
      <c r="AB3055">
        <v>4.2</v>
      </c>
      <c r="AC3055">
        <v>427</v>
      </c>
      <c r="AD3055">
        <v>0.431539691</v>
      </c>
      <c r="AG3055">
        <v>707.12860589255604</v>
      </c>
      <c r="AH3055">
        <v>25215902</v>
      </c>
    </row>
    <row r="3056" spans="27:34">
      <c r="AA3056">
        <v>11.55</v>
      </c>
      <c r="AB3056">
        <v>4.2</v>
      </c>
      <c r="AC3056">
        <v>427</v>
      </c>
      <c r="AD3056">
        <v>0.431539691</v>
      </c>
      <c r="AG3056">
        <v>756.77835387439995</v>
      </c>
      <c r="AH3056">
        <v>26035327</v>
      </c>
    </row>
    <row r="3057" spans="27:34">
      <c r="AA3057">
        <v>11.55</v>
      </c>
      <c r="AB3057">
        <v>4.2</v>
      </c>
      <c r="AC3057">
        <v>427</v>
      </c>
      <c r="AD3057">
        <v>0.431539691</v>
      </c>
      <c r="AG3057">
        <v>796.95937063499503</v>
      </c>
      <c r="AH3057">
        <v>26890404</v>
      </c>
    </row>
    <row r="3058" spans="27:34">
      <c r="AA3058">
        <v>11.55</v>
      </c>
      <c r="AB3058">
        <v>4.2</v>
      </c>
      <c r="AC3058">
        <v>427</v>
      </c>
      <c r="AD3058">
        <v>0.431539691</v>
      </c>
      <c r="AG3058">
        <v>847.34080747393</v>
      </c>
      <c r="AH3058">
        <v>27778909</v>
      </c>
    </row>
    <row r="3059" spans="27:34">
      <c r="AA3059">
        <v>11.55</v>
      </c>
      <c r="AB3059">
        <v>4.2</v>
      </c>
      <c r="AC3059">
        <v>427</v>
      </c>
      <c r="AD3059">
        <v>0.431539691</v>
      </c>
      <c r="AE3059">
        <v>47</v>
      </c>
      <c r="AG3059">
        <v>901.18714572696695</v>
      </c>
      <c r="AH3059">
        <v>28699255</v>
      </c>
    </row>
    <row r="3060" spans="27:34">
      <c r="AA3060">
        <v>11.55</v>
      </c>
      <c r="AB3060">
        <v>4.2</v>
      </c>
      <c r="AC3060">
        <v>427</v>
      </c>
      <c r="AD3060">
        <v>0.431539691</v>
      </c>
      <c r="AG3060">
        <v>997.737228137329</v>
      </c>
      <c r="AH3060">
        <v>29651734</v>
      </c>
    </row>
    <row r="3061" spans="27:34">
      <c r="AA3061">
        <v>11.55</v>
      </c>
      <c r="AB3061">
        <v>4.2</v>
      </c>
      <c r="AC3061">
        <v>427</v>
      </c>
      <c r="AD3061">
        <v>0.431539691</v>
      </c>
      <c r="AG3061">
        <v>1082.7395513778999</v>
      </c>
      <c r="AH3061">
        <v>30637544</v>
      </c>
    </row>
    <row r="3062" spans="27:34">
      <c r="AA3062">
        <v>11.55</v>
      </c>
      <c r="AB3062">
        <v>4.2</v>
      </c>
      <c r="AC3062">
        <v>427</v>
      </c>
      <c r="AD3062">
        <v>0.431539691</v>
      </c>
      <c r="AE3062">
        <v>48</v>
      </c>
      <c r="AG3062">
        <v>1164.0373267689499</v>
      </c>
      <c r="AH3062">
        <v>31656865</v>
      </c>
    </row>
    <row r="3063" spans="27:34">
      <c r="AA3063">
        <v>11.55</v>
      </c>
      <c r="AB3063">
        <v>4.2</v>
      </c>
      <c r="AC3063">
        <v>427</v>
      </c>
      <c r="AD3063">
        <v>0.431539691</v>
      </c>
      <c r="AG3063">
        <v>1217.17533645499</v>
      </c>
      <c r="AH3063">
        <v>32709865</v>
      </c>
    </row>
    <row r="3064" spans="27:34">
      <c r="AA3064">
        <v>11.55</v>
      </c>
      <c r="AB3064">
        <v>4.2</v>
      </c>
      <c r="AC3064">
        <v>427</v>
      </c>
      <c r="AD3064">
        <v>0.431539691</v>
      </c>
    </row>
    <row r="3065" spans="27:34">
      <c r="AA3065">
        <v>11.55</v>
      </c>
      <c r="AB3065">
        <v>4.2</v>
      </c>
      <c r="AC3065">
        <v>427</v>
      </c>
      <c r="AD3065">
        <v>0.431539691</v>
      </c>
    </row>
    <row r="3066" spans="27:34">
      <c r="AA3066">
        <v>0.99</v>
      </c>
      <c r="AB3066">
        <v>2.2000000000000002</v>
      </c>
      <c r="AC3066">
        <v>3</v>
      </c>
      <c r="AD3066">
        <v>9.1350825999999996E-2</v>
      </c>
      <c r="AE3066">
        <v>95</v>
      </c>
      <c r="AG3066">
        <v>3178.1472800598699</v>
      </c>
      <c r="AH3066">
        <v>51512298.605672799</v>
      </c>
    </row>
    <row r="3067" spans="27:34">
      <c r="AA3067">
        <v>0.99</v>
      </c>
      <c r="AB3067">
        <v>2.2000000000000002</v>
      </c>
      <c r="AC3067">
        <v>3</v>
      </c>
      <c r="AD3067">
        <v>9.1350825999999996E-2</v>
      </c>
      <c r="AG3067">
        <v>2941.0109176543801</v>
      </c>
      <c r="AH3067">
        <v>51057188.9809848</v>
      </c>
    </row>
    <row r="3068" spans="27:34">
      <c r="AA3068">
        <v>0.99</v>
      </c>
      <c r="AB3068">
        <v>2.2000000000000002</v>
      </c>
      <c r="AC3068">
        <v>3</v>
      </c>
      <c r="AD3068">
        <v>9.1350825999999996E-2</v>
      </c>
      <c r="AG3068">
        <v>2929.9408924529098</v>
      </c>
      <c r="AH3068">
        <v>50594105.019458503</v>
      </c>
    </row>
    <row r="3069" spans="27:34">
      <c r="AA3069">
        <v>0.99</v>
      </c>
      <c r="AB3069">
        <v>2.2000000000000002</v>
      </c>
      <c r="AC3069">
        <v>3</v>
      </c>
      <c r="AD3069">
        <v>9.1350825999999996E-2</v>
      </c>
      <c r="AG3069">
        <v>2932.8804773544898</v>
      </c>
      <c r="AH3069">
        <v>50143939.130068399</v>
      </c>
    </row>
    <row r="3070" spans="27:34">
      <c r="AA3070">
        <v>0.99</v>
      </c>
      <c r="AB3070">
        <v>2.2000000000000002</v>
      </c>
      <c r="AC3070">
        <v>3</v>
      </c>
      <c r="AD3070">
        <v>9.1350825999999996E-2</v>
      </c>
      <c r="AG3070">
        <v>2998.0481806685898</v>
      </c>
      <c r="AH3070">
        <v>49673349.9915196</v>
      </c>
    </row>
    <row r="3071" spans="27:34">
      <c r="AA3071">
        <v>0.99</v>
      </c>
      <c r="AB3071">
        <v>2.2000000000000002</v>
      </c>
      <c r="AC3071">
        <v>3</v>
      </c>
      <c r="AD3071">
        <v>9.1350825999999996E-2</v>
      </c>
      <c r="AE3071">
        <v>95</v>
      </c>
      <c r="AF3071">
        <v>27.56</v>
      </c>
      <c r="AG3071">
        <v>3276.4403735177998</v>
      </c>
      <c r="AH3071">
        <v>49175847.642516501</v>
      </c>
    </row>
    <row r="3072" spans="27:34">
      <c r="AA3072">
        <v>0.99</v>
      </c>
      <c r="AB3072">
        <v>2.2000000000000002</v>
      </c>
      <c r="AC3072">
        <v>3</v>
      </c>
      <c r="AD3072">
        <v>9.1350825999999996E-2</v>
      </c>
      <c r="AG3072">
        <v>3695.9647973881602</v>
      </c>
      <c r="AH3072">
        <v>48683864.5779071</v>
      </c>
    </row>
    <row r="3073" spans="27:34">
      <c r="AA3073">
        <v>0.99</v>
      </c>
      <c r="AB3073">
        <v>2.2000000000000002</v>
      </c>
      <c r="AC3073">
        <v>3</v>
      </c>
      <c r="AD3073">
        <v>9.1350825999999996E-2</v>
      </c>
      <c r="AG3073">
        <v>3990.7797203743999</v>
      </c>
      <c r="AH3073">
        <v>48202500</v>
      </c>
    </row>
    <row r="3074" spans="27:34">
      <c r="AA3074">
        <v>0.99</v>
      </c>
      <c r="AB3074">
        <v>2.2000000000000002</v>
      </c>
      <c r="AC3074">
        <v>3</v>
      </c>
      <c r="AD3074">
        <v>9.1350825999999996E-2</v>
      </c>
      <c r="AG3074">
        <v>4496.3522411894201</v>
      </c>
      <c r="AH3074">
        <v>47812950</v>
      </c>
    </row>
    <row r="3075" spans="27:34">
      <c r="AA3075">
        <v>0.99</v>
      </c>
      <c r="AB3075">
        <v>2.2000000000000002</v>
      </c>
      <c r="AC3075">
        <v>3</v>
      </c>
      <c r="AD3075">
        <v>9.1350825999999996E-2</v>
      </c>
      <c r="AG3075">
        <v>5222.7561757210096</v>
      </c>
      <c r="AH3075">
        <v>47451600</v>
      </c>
    </row>
    <row r="3076" spans="27:34">
      <c r="AA3076">
        <v>0.99</v>
      </c>
      <c r="AB3076">
        <v>2.2000000000000002</v>
      </c>
      <c r="AC3076">
        <v>3</v>
      </c>
      <c r="AD3076">
        <v>9.1350825999999996E-2</v>
      </c>
      <c r="AE3076">
        <v>95</v>
      </c>
      <c r="AG3076">
        <v>5583.39917464071</v>
      </c>
      <c r="AH3076">
        <v>47105150</v>
      </c>
    </row>
    <row r="3077" spans="27:34">
      <c r="AA3077">
        <v>0.99</v>
      </c>
      <c r="AB3077">
        <v>2.2000000000000002</v>
      </c>
      <c r="AC3077">
        <v>3</v>
      </c>
      <c r="AD3077">
        <v>9.1350825999999996E-2</v>
      </c>
      <c r="AG3077">
        <v>6227.8096705722101</v>
      </c>
      <c r="AH3077">
        <v>46787750</v>
      </c>
    </row>
    <row r="3078" spans="27:34">
      <c r="AA3078">
        <v>0.99</v>
      </c>
      <c r="AB3078">
        <v>2.2000000000000002</v>
      </c>
      <c r="AC3078">
        <v>3</v>
      </c>
      <c r="AD3078">
        <v>9.1350825999999996E-2</v>
      </c>
      <c r="AG3078">
        <v>6991.6758288331503</v>
      </c>
      <c r="AH3078">
        <v>46509350</v>
      </c>
    </row>
    <row r="3079" spans="27:34">
      <c r="AA3079">
        <v>0.99</v>
      </c>
      <c r="AB3079">
        <v>2.2000000000000002</v>
      </c>
      <c r="AC3079">
        <v>3</v>
      </c>
      <c r="AD3079">
        <v>9.1350825999999996E-2</v>
      </c>
      <c r="AE3079">
        <v>95</v>
      </c>
      <c r="AG3079">
        <v>7334.1620223543796</v>
      </c>
      <c r="AH3079">
        <v>46258200</v>
      </c>
    </row>
    <row r="3080" spans="27:34">
      <c r="AA3080">
        <v>0.99</v>
      </c>
      <c r="AB3080">
        <v>2.2000000000000002</v>
      </c>
      <c r="AC3080">
        <v>3</v>
      </c>
      <c r="AD3080">
        <v>9.1350825999999996E-2</v>
      </c>
      <c r="AG3080">
        <v>6317.8376352998503</v>
      </c>
      <c r="AH3080">
        <v>46008406</v>
      </c>
    </row>
    <row r="3081" spans="27:34">
      <c r="AA3081">
        <v>0.99</v>
      </c>
      <c r="AB3081">
        <v>2.2000000000000002</v>
      </c>
      <c r="AC3081">
        <v>3</v>
      </c>
      <c r="AD3081">
        <v>9.1350825999999996E-2</v>
      </c>
    </row>
    <row r="3082" spans="27:34">
      <c r="AA3082">
        <v>0.99</v>
      </c>
      <c r="AB3082">
        <v>2.2000000000000002</v>
      </c>
      <c r="AC3082">
        <v>3</v>
      </c>
      <c r="AD3082">
        <v>9.1350825999999996E-2</v>
      </c>
    </row>
    <row r="3083" spans="27:34">
      <c r="AA3083">
        <v>21.13</v>
      </c>
      <c r="AB3083">
        <v>3.5</v>
      </c>
      <c r="AC3083">
        <v>10</v>
      </c>
      <c r="AD3083">
        <v>0.14119922600000001</v>
      </c>
      <c r="AE3083">
        <v>97</v>
      </c>
      <c r="AF3083">
        <v>1149</v>
      </c>
      <c r="AG3083">
        <v>37635.671040540801</v>
      </c>
      <c r="AH3083">
        <v>2431533</v>
      </c>
    </row>
    <row r="3084" spans="27:34">
      <c r="AA3084">
        <v>21.13</v>
      </c>
      <c r="AB3084">
        <v>3.5</v>
      </c>
      <c r="AC3084">
        <v>10</v>
      </c>
      <c r="AD3084">
        <v>0.14119922600000001</v>
      </c>
      <c r="AG3084">
        <v>38441.976336326101</v>
      </c>
      <c r="AH3084">
        <v>2575697</v>
      </c>
    </row>
    <row r="3085" spans="27:34">
      <c r="AA3085">
        <v>21.13</v>
      </c>
      <c r="AB3085">
        <v>3.5</v>
      </c>
      <c r="AC3085">
        <v>10</v>
      </c>
      <c r="AD3085">
        <v>0.14119922600000001</v>
      </c>
      <c r="AG3085">
        <v>39356.455981370498</v>
      </c>
      <c r="AH3085">
        <v>2730920</v>
      </c>
    </row>
    <row r="3086" spans="27:34">
      <c r="AA3086">
        <v>21.13</v>
      </c>
      <c r="AB3086">
        <v>3.5</v>
      </c>
      <c r="AC3086">
        <v>10</v>
      </c>
      <c r="AD3086">
        <v>0.14119922600000001</v>
      </c>
      <c r="AG3086">
        <v>39147.638924948398</v>
      </c>
      <c r="AH3086">
        <v>2895067</v>
      </c>
    </row>
    <row r="3087" spans="27:34">
      <c r="AA3087">
        <v>21.13</v>
      </c>
      <c r="AB3087">
        <v>3.5</v>
      </c>
      <c r="AC3087">
        <v>10</v>
      </c>
      <c r="AD3087">
        <v>0.14119922600000001</v>
      </c>
      <c r="AG3087">
        <v>38974.519506744</v>
      </c>
      <c r="AH3087">
        <v>3065042</v>
      </c>
    </row>
    <row r="3088" spans="27:34">
      <c r="AA3088">
        <v>21.13</v>
      </c>
      <c r="AB3088">
        <v>3.5</v>
      </c>
      <c r="AC3088">
        <v>10</v>
      </c>
      <c r="AD3088">
        <v>0.14119922600000001</v>
      </c>
      <c r="AE3088">
        <v>97</v>
      </c>
      <c r="AF3088">
        <v>1679</v>
      </c>
      <c r="AG3088">
        <v>39568.718669030597</v>
      </c>
      <c r="AH3088">
        <v>3238054</v>
      </c>
    </row>
    <row r="3089" spans="27:34">
      <c r="AA3089">
        <v>21.13</v>
      </c>
      <c r="AB3089">
        <v>3.5</v>
      </c>
      <c r="AC3089">
        <v>10</v>
      </c>
      <c r="AD3089">
        <v>0.14119922600000001</v>
      </c>
      <c r="AG3089">
        <v>39036.782839452899</v>
      </c>
      <c r="AH3089">
        <v>3413651</v>
      </c>
    </row>
    <row r="3090" spans="27:34">
      <c r="AA3090">
        <v>21.13</v>
      </c>
      <c r="AB3090">
        <v>3.5</v>
      </c>
      <c r="AC3090">
        <v>10</v>
      </c>
      <c r="AD3090">
        <v>0.14119922600000001</v>
      </c>
      <c r="AG3090">
        <v>38694.097713748299</v>
      </c>
      <c r="AH3090">
        <v>3590827</v>
      </c>
    </row>
    <row r="3091" spans="27:34">
      <c r="AA3091">
        <v>21.13</v>
      </c>
      <c r="AB3091">
        <v>3.5</v>
      </c>
      <c r="AC3091">
        <v>10</v>
      </c>
      <c r="AD3091">
        <v>0.14119922600000001</v>
      </c>
      <c r="AG3091">
        <v>42179.834000692397</v>
      </c>
      <c r="AH3091">
        <v>3765526</v>
      </c>
    </row>
    <row r="3092" spans="27:34">
      <c r="AA3092">
        <v>21.13</v>
      </c>
      <c r="AB3092">
        <v>3.5</v>
      </c>
      <c r="AC3092">
        <v>10</v>
      </c>
      <c r="AD3092">
        <v>0.14119922600000001</v>
      </c>
      <c r="AG3092">
        <v>45559.163518715999</v>
      </c>
      <c r="AH3092">
        <v>3932788</v>
      </c>
    </row>
    <row r="3093" spans="27:34">
      <c r="AA3093">
        <v>21.13</v>
      </c>
      <c r="AB3093">
        <v>3.5</v>
      </c>
      <c r="AC3093">
        <v>10</v>
      </c>
      <c r="AD3093">
        <v>0.14119922600000001</v>
      </c>
      <c r="AE3093">
        <v>97</v>
      </c>
      <c r="AF3093">
        <v>2032</v>
      </c>
      <c r="AG3093">
        <v>48992.436983207001</v>
      </c>
      <c r="AH3093">
        <v>4089032</v>
      </c>
    </row>
    <row r="3094" spans="27:34">
      <c r="AA3094">
        <v>21.13</v>
      </c>
      <c r="AB3094">
        <v>3.5</v>
      </c>
      <c r="AC3094">
        <v>10</v>
      </c>
      <c r="AD3094">
        <v>0.14119922600000001</v>
      </c>
      <c r="AG3094">
        <v>53122.564667365703</v>
      </c>
      <c r="AH3094">
        <v>4232537</v>
      </c>
    </row>
    <row r="3095" spans="27:34">
      <c r="AA3095">
        <v>21.13</v>
      </c>
      <c r="AB3095">
        <v>3.5</v>
      </c>
      <c r="AC3095">
        <v>10</v>
      </c>
      <c r="AD3095">
        <v>0.14119922600000001</v>
      </c>
      <c r="AG3095">
        <v>56539.467145273797</v>
      </c>
      <c r="AH3095">
        <v>4363913</v>
      </c>
    </row>
    <row r="3096" spans="27:34">
      <c r="AA3096">
        <v>21.13</v>
      </c>
      <c r="AB3096">
        <v>3.5</v>
      </c>
      <c r="AC3096">
        <v>10</v>
      </c>
      <c r="AD3096">
        <v>0.14119922600000001</v>
      </c>
      <c r="AE3096">
        <v>97</v>
      </c>
      <c r="AG3096">
        <v>59083.510477570897</v>
      </c>
      <c r="AH3096">
        <v>4484935</v>
      </c>
    </row>
    <row r="3097" spans="27:34">
      <c r="AA3097">
        <v>21.13</v>
      </c>
      <c r="AB3097">
        <v>3.5</v>
      </c>
      <c r="AC3097">
        <v>10</v>
      </c>
      <c r="AD3097">
        <v>0.14119922600000001</v>
      </c>
      <c r="AG3097">
        <v>57743.723604377803</v>
      </c>
      <c r="AH3097">
        <v>4598600</v>
      </c>
    </row>
    <row r="3098" spans="27:34">
      <c r="AA3098">
        <v>21.13</v>
      </c>
      <c r="AB3098">
        <v>3.5</v>
      </c>
      <c r="AC3098">
        <v>10</v>
      </c>
      <c r="AD3098">
        <v>0.14119922600000001</v>
      </c>
    </row>
    <row r="3099" spans="27:34">
      <c r="AA3099">
        <v>21.13</v>
      </c>
      <c r="AB3099">
        <v>3.5</v>
      </c>
      <c r="AC3099">
        <v>10</v>
      </c>
      <c r="AD3099">
        <v>0.14119922600000001</v>
      </c>
    </row>
    <row r="3100" spans="27:34">
      <c r="AA3100">
        <v>3.12</v>
      </c>
      <c r="AB3100">
        <v>1.2</v>
      </c>
      <c r="AC3100" t="e">
        <v>#N/A</v>
      </c>
      <c r="AD3100">
        <v>7.7922078000000006E-2</v>
      </c>
      <c r="AE3100">
        <v>100</v>
      </c>
      <c r="AF3100">
        <v>8.2240000000000002</v>
      </c>
      <c r="AG3100">
        <v>19710.995877167599</v>
      </c>
      <c r="AH3100">
        <v>58019030</v>
      </c>
    </row>
    <row r="3101" spans="27:34">
      <c r="AA3101">
        <v>3.12</v>
      </c>
      <c r="AB3101">
        <v>1.2</v>
      </c>
      <c r="AD3101">
        <v>7.7922078000000006E-2</v>
      </c>
      <c r="AG3101">
        <v>20935.778749462199</v>
      </c>
      <c r="AH3101">
        <v>58166950</v>
      </c>
    </row>
    <row r="3102" spans="27:34">
      <c r="AA3102">
        <v>3.12</v>
      </c>
      <c r="AB3102">
        <v>1.2</v>
      </c>
      <c r="AD3102">
        <v>7.7922078000000006E-2</v>
      </c>
      <c r="AG3102">
        <v>22418.255443287901</v>
      </c>
      <c r="AH3102">
        <v>58316955</v>
      </c>
    </row>
    <row r="3103" spans="27:34">
      <c r="AA3103">
        <v>3.12</v>
      </c>
      <c r="AB3103">
        <v>1.2</v>
      </c>
      <c r="AD3103">
        <v>7.7922078000000006E-2</v>
      </c>
      <c r="AG3103">
        <v>23299.347849784899</v>
      </c>
      <c r="AH3103">
        <v>58487141</v>
      </c>
    </row>
    <row r="3104" spans="27:34">
      <c r="AA3104">
        <v>3.12</v>
      </c>
      <c r="AB3104">
        <v>1.2</v>
      </c>
      <c r="AD3104">
        <v>7.7922078000000006E-2</v>
      </c>
      <c r="AG3104">
        <v>24249.597286148299</v>
      </c>
      <c r="AH3104">
        <v>58682466</v>
      </c>
    </row>
    <row r="3105" spans="27:34">
      <c r="AA3105">
        <v>3.12</v>
      </c>
      <c r="AB3105">
        <v>1.2</v>
      </c>
      <c r="AD3105">
        <v>7.7922078000000006E-2</v>
      </c>
      <c r="AE3105">
        <v>100</v>
      </c>
      <c r="AF3105">
        <v>10.59</v>
      </c>
      <c r="AG3105">
        <v>26068.4229856977</v>
      </c>
      <c r="AH3105">
        <v>58892514</v>
      </c>
    </row>
    <row r="3106" spans="27:34">
      <c r="AA3106">
        <v>3.12</v>
      </c>
      <c r="AB3106">
        <v>1.2</v>
      </c>
      <c r="AD3106">
        <v>7.7922078000000006E-2</v>
      </c>
      <c r="AG3106">
        <v>27580.298016339799</v>
      </c>
      <c r="AH3106">
        <v>59108687</v>
      </c>
    </row>
    <row r="3107" spans="27:34">
      <c r="AA3107">
        <v>3.12</v>
      </c>
      <c r="AB3107">
        <v>1.2</v>
      </c>
      <c r="AD3107">
        <v>7.7922078000000006E-2</v>
      </c>
      <c r="AG3107">
        <v>28885.317032784202</v>
      </c>
      <c r="AH3107">
        <v>59327658</v>
      </c>
    </row>
    <row r="3108" spans="27:34">
      <c r="AA3108">
        <v>3.12</v>
      </c>
      <c r="AB3108">
        <v>1.2</v>
      </c>
      <c r="AD3108">
        <v>7.7922078000000006E-2</v>
      </c>
      <c r="AG3108">
        <v>29842.831216405099</v>
      </c>
      <c r="AH3108">
        <v>59568776</v>
      </c>
    </row>
    <row r="3109" spans="27:34">
      <c r="AA3109">
        <v>3.12</v>
      </c>
      <c r="AB3109">
        <v>1.2</v>
      </c>
      <c r="AD3109">
        <v>7.7922078000000006E-2</v>
      </c>
      <c r="AG3109">
        <v>31773.0139369358</v>
      </c>
      <c r="AH3109">
        <v>59879865</v>
      </c>
    </row>
    <row r="3110" spans="27:34">
      <c r="AA3110">
        <v>3.12</v>
      </c>
      <c r="AB3110">
        <v>1.2</v>
      </c>
      <c r="AD3110">
        <v>7.7922078000000006E-2</v>
      </c>
      <c r="AE3110">
        <v>100</v>
      </c>
      <c r="AF3110">
        <v>8.8160000000000007</v>
      </c>
      <c r="AG3110">
        <v>32730.654371283799</v>
      </c>
      <c r="AH3110">
        <v>60226500</v>
      </c>
    </row>
    <row r="3111" spans="27:34">
      <c r="AA3111">
        <v>3.12</v>
      </c>
      <c r="AB3111">
        <v>1.2</v>
      </c>
      <c r="AD3111">
        <v>7.7922078000000006E-2</v>
      </c>
      <c r="AG3111">
        <v>34890.876992575497</v>
      </c>
      <c r="AH3111">
        <v>60604901</v>
      </c>
    </row>
    <row r="3112" spans="27:34">
      <c r="AA3112">
        <v>3.12</v>
      </c>
      <c r="AB3112">
        <v>1.2</v>
      </c>
      <c r="AD3112">
        <v>7.7922078000000006E-2</v>
      </c>
      <c r="AG3112">
        <v>35570.914681732</v>
      </c>
      <c r="AH3112">
        <v>60980304</v>
      </c>
    </row>
    <row r="3113" spans="27:34">
      <c r="AA3113">
        <v>3.12</v>
      </c>
      <c r="AB3113">
        <v>1.2</v>
      </c>
      <c r="AD3113">
        <v>7.7922078000000006E-2</v>
      </c>
      <c r="AE3113">
        <v>100</v>
      </c>
      <c r="AG3113">
        <v>36883.748680090801</v>
      </c>
      <c r="AH3113">
        <v>61406928</v>
      </c>
    </row>
    <row r="3114" spans="27:34">
      <c r="AA3114">
        <v>3.12</v>
      </c>
      <c r="AB3114">
        <v>1.2</v>
      </c>
      <c r="AD3114">
        <v>7.7922078000000006E-2</v>
      </c>
      <c r="AG3114">
        <v>35154.797399998199</v>
      </c>
      <c r="AH3114">
        <v>61838154</v>
      </c>
    </row>
    <row r="3115" spans="27:34">
      <c r="AA3115">
        <v>3.12</v>
      </c>
      <c r="AB3115">
        <v>1.2</v>
      </c>
      <c r="AD3115">
        <v>7.7922078000000006E-2</v>
      </c>
    </row>
    <row r="3116" spans="27:34">
      <c r="AA3116">
        <v>3.12</v>
      </c>
      <c r="AB3116">
        <v>1.2</v>
      </c>
      <c r="AD3116">
        <v>7.7922078000000006E-2</v>
      </c>
    </row>
    <row r="3117" spans="27:34">
      <c r="AA3117">
        <v>3.01</v>
      </c>
      <c r="AB3117">
        <v>1</v>
      </c>
      <c r="AC3117">
        <v>0</v>
      </c>
      <c r="AD3117">
        <v>6.7326733E-2</v>
      </c>
      <c r="AE3117">
        <v>100</v>
      </c>
      <c r="AF3117">
        <v>15.23</v>
      </c>
      <c r="AG3117">
        <v>27637.6568849098</v>
      </c>
      <c r="AH3117">
        <v>266278000</v>
      </c>
    </row>
    <row r="3118" spans="27:34">
      <c r="AA3118">
        <v>3.01</v>
      </c>
      <c r="AB3118">
        <v>1</v>
      </c>
      <c r="AC3118">
        <v>0</v>
      </c>
      <c r="AD3118">
        <v>6.7326733E-2</v>
      </c>
      <c r="AG3118">
        <v>28894.110485014498</v>
      </c>
      <c r="AH3118">
        <v>269394000</v>
      </c>
    </row>
    <row r="3119" spans="27:34">
      <c r="AA3119">
        <v>3.01</v>
      </c>
      <c r="AB3119">
        <v>1</v>
      </c>
      <c r="AC3119">
        <v>0</v>
      </c>
      <c r="AD3119">
        <v>6.7326733E-2</v>
      </c>
      <c r="AG3119">
        <v>30363.790403327301</v>
      </c>
      <c r="AH3119">
        <v>272657000</v>
      </c>
    </row>
    <row r="3120" spans="27:34">
      <c r="AA3120">
        <v>3.01</v>
      </c>
      <c r="AB3120">
        <v>1</v>
      </c>
      <c r="AC3120">
        <v>0</v>
      </c>
      <c r="AD3120">
        <v>6.7326733E-2</v>
      </c>
      <c r="AG3120">
        <v>31687.051846266499</v>
      </c>
      <c r="AH3120">
        <v>275854000</v>
      </c>
    </row>
    <row r="3121" spans="27:34">
      <c r="AA3121">
        <v>3.01</v>
      </c>
      <c r="AB3121">
        <v>1</v>
      </c>
      <c r="AC3121">
        <v>0</v>
      </c>
      <c r="AD3121">
        <v>6.7326733E-2</v>
      </c>
      <c r="AG3121">
        <v>33332.138761467897</v>
      </c>
      <c r="AH3121">
        <v>279040000</v>
      </c>
    </row>
    <row r="3122" spans="27:34">
      <c r="AA3122">
        <v>3.01</v>
      </c>
      <c r="AB3122">
        <v>1</v>
      </c>
      <c r="AC3122">
        <v>0</v>
      </c>
      <c r="AD3122">
        <v>6.7326733E-2</v>
      </c>
      <c r="AE3122">
        <v>100</v>
      </c>
      <c r="AF3122">
        <v>15.41</v>
      </c>
      <c r="AG3122">
        <v>35080.7309017195</v>
      </c>
      <c r="AH3122">
        <v>282172000</v>
      </c>
    </row>
    <row r="3123" spans="27:34">
      <c r="AA3123">
        <v>3.01</v>
      </c>
      <c r="AB3123">
        <v>1</v>
      </c>
      <c r="AC3123">
        <v>0</v>
      </c>
      <c r="AD3123">
        <v>6.7326733E-2</v>
      </c>
      <c r="AG3123">
        <v>35898.092478655301</v>
      </c>
      <c r="AH3123">
        <v>285082000</v>
      </c>
    </row>
    <row r="3124" spans="27:34">
      <c r="AA3124">
        <v>3.01</v>
      </c>
      <c r="AB3124">
        <v>1</v>
      </c>
      <c r="AC3124">
        <v>0</v>
      </c>
      <c r="AD3124">
        <v>6.7326733E-2</v>
      </c>
      <c r="AG3124">
        <v>36796.569887840298</v>
      </c>
      <c r="AH3124">
        <v>287804000</v>
      </c>
    </row>
    <row r="3125" spans="27:34">
      <c r="AA3125">
        <v>3.01</v>
      </c>
      <c r="AB3125">
        <v>1</v>
      </c>
      <c r="AC3125">
        <v>0</v>
      </c>
      <c r="AD3125">
        <v>6.7326733E-2</v>
      </c>
      <c r="AG3125">
        <v>38195.683473061297</v>
      </c>
      <c r="AH3125">
        <v>290326000</v>
      </c>
    </row>
    <row r="3126" spans="27:34">
      <c r="AA3126">
        <v>3.01</v>
      </c>
      <c r="AB3126">
        <v>1</v>
      </c>
      <c r="AC3126">
        <v>0</v>
      </c>
      <c r="AD3126">
        <v>6.7326733E-2</v>
      </c>
      <c r="AG3126">
        <v>40308.688738286801</v>
      </c>
      <c r="AH3126">
        <v>293046000</v>
      </c>
    </row>
    <row r="3127" spans="27:34">
      <c r="AA3127">
        <v>3.01</v>
      </c>
      <c r="AB3127">
        <v>1</v>
      </c>
      <c r="AC3127">
        <v>0</v>
      </c>
      <c r="AD3127">
        <v>6.7326733E-2</v>
      </c>
      <c r="AE3127">
        <v>100</v>
      </c>
      <c r="AF3127">
        <v>15.57</v>
      </c>
      <c r="AG3127">
        <v>42534.479785496696</v>
      </c>
      <c r="AH3127">
        <v>295753000</v>
      </c>
    </row>
    <row r="3128" spans="27:34">
      <c r="AA3128">
        <v>3.01</v>
      </c>
      <c r="AB3128">
        <v>1</v>
      </c>
      <c r="AC3128">
        <v>0</v>
      </c>
      <c r="AD3128">
        <v>6.7326733E-2</v>
      </c>
      <c r="AG3128">
        <v>44663.471682189498</v>
      </c>
      <c r="AH3128">
        <v>298593000</v>
      </c>
    </row>
    <row r="3129" spans="27:34">
      <c r="AA3129">
        <v>3.01</v>
      </c>
      <c r="AB3129">
        <v>1</v>
      </c>
      <c r="AC3129">
        <v>0</v>
      </c>
      <c r="AD3129">
        <v>6.7326733E-2</v>
      </c>
      <c r="AG3129">
        <v>46627.097287618497</v>
      </c>
      <c r="AH3129">
        <v>301580000</v>
      </c>
    </row>
    <row r="3130" spans="27:34">
      <c r="AA3130">
        <v>3.01</v>
      </c>
      <c r="AB3130">
        <v>1</v>
      </c>
      <c r="AC3130">
        <v>0</v>
      </c>
      <c r="AD3130">
        <v>6.7326733E-2</v>
      </c>
      <c r="AE3130">
        <v>100</v>
      </c>
      <c r="AG3130">
        <v>47208.542094455799</v>
      </c>
      <c r="AH3130">
        <v>304375000</v>
      </c>
    </row>
    <row r="3131" spans="27:34">
      <c r="AA3131">
        <v>3.01</v>
      </c>
      <c r="AB3131">
        <v>1</v>
      </c>
      <c r="AC3131">
        <v>0</v>
      </c>
      <c r="AD3131">
        <v>6.7326733E-2</v>
      </c>
      <c r="AG3131">
        <v>45989.179399818197</v>
      </c>
      <c r="AH3131">
        <v>307007000</v>
      </c>
    </row>
    <row r="3132" spans="27:34">
      <c r="AA3132">
        <v>3.01</v>
      </c>
      <c r="AB3132">
        <v>1</v>
      </c>
      <c r="AC3132">
        <v>0</v>
      </c>
      <c r="AD3132">
        <v>6.7326733E-2</v>
      </c>
    </row>
    <row r="3133" spans="27:34">
      <c r="AA3133">
        <v>3.01</v>
      </c>
      <c r="AB3133">
        <v>1</v>
      </c>
      <c r="AC3133">
        <v>0</v>
      </c>
      <c r="AD3133">
        <v>6.7326733E-2</v>
      </c>
    </row>
    <row r="3134" spans="27:34">
      <c r="AA3134">
        <v>12.69</v>
      </c>
      <c r="AB3134">
        <v>4.2</v>
      </c>
      <c r="AC3134">
        <v>3</v>
      </c>
      <c r="AD3134">
        <v>8.7579617999999998E-2</v>
      </c>
      <c r="AE3134">
        <v>94</v>
      </c>
      <c r="AG3134">
        <v>6974.7686915731001</v>
      </c>
      <c r="AH3134">
        <v>3218193</v>
      </c>
    </row>
    <row r="3135" spans="27:34">
      <c r="AA3135">
        <v>12.69</v>
      </c>
      <c r="AB3135">
        <v>4.2</v>
      </c>
      <c r="AC3135">
        <v>3</v>
      </c>
      <c r="AD3135">
        <v>8.7579617999999998E-2</v>
      </c>
      <c r="AG3135">
        <v>7464.3715638746598</v>
      </c>
      <c r="AH3135">
        <v>3235549</v>
      </c>
    </row>
    <row r="3136" spans="27:34">
      <c r="AA3136">
        <v>12.69</v>
      </c>
      <c r="AB3136">
        <v>4.2</v>
      </c>
      <c r="AC3136">
        <v>3</v>
      </c>
      <c r="AD3136">
        <v>8.7579617999999998E-2</v>
      </c>
      <c r="AG3136">
        <v>8193.82448327575</v>
      </c>
      <c r="AH3136">
        <v>3256181.7530971998</v>
      </c>
    </row>
    <row r="3137" spans="27:34">
      <c r="AA3137">
        <v>12.69</v>
      </c>
      <c r="AB3137">
        <v>4.2</v>
      </c>
      <c r="AC3137">
        <v>3</v>
      </c>
      <c r="AD3137">
        <v>8.7579617999999998E-2</v>
      </c>
      <c r="AG3137">
        <v>8614.4198124280501</v>
      </c>
      <c r="AH3137">
        <v>3273776.8966352898</v>
      </c>
    </row>
    <row r="3138" spans="27:34">
      <c r="AA3138">
        <v>12.69</v>
      </c>
      <c r="AB3138">
        <v>4.2</v>
      </c>
      <c r="AC3138">
        <v>3</v>
      </c>
      <c r="AD3138">
        <v>8.7579617999999998E-2</v>
      </c>
      <c r="AG3138">
        <v>8531.9679295184196</v>
      </c>
      <c r="AH3138">
        <v>3288819.0581223499</v>
      </c>
    </row>
    <row r="3139" spans="27:34">
      <c r="AA3139">
        <v>12.69</v>
      </c>
      <c r="AB3139">
        <v>4.2</v>
      </c>
      <c r="AC3139">
        <v>3</v>
      </c>
      <c r="AD3139">
        <v>8.7579617999999998E-2</v>
      </c>
      <c r="AE3139">
        <v>96</v>
      </c>
      <c r="AF3139">
        <v>2.633</v>
      </c>
      <c r="AG3139">
        <v>8517.1899788343508</v>
      </c>
      <c r="AH3139">
        <v>3300847.4078949299</v>
      </c>
    </row>
    <row r="3140" spans="27:34">
      <c r="AA3140">
        <v>12.69</v>
      </c>
      <c r="AB3140">
        <v>4.2</v>
      </c>
      <c r="AC3140">
        <v>3</v>
      </c>
      <c r="AD3140">
        <v>8.7579617999999998E-2</v>
      </c>
      <c r="AG3140">
        <v>8356.4419855006199</v>
      </c>
      <c r="AH3140">
        <v>3308356.4247897202</v>
      </c>
    </row>
    <row r="3141" spans="27:34">
      <c r="AA3141">
        <v>12.69</v>
      </c>
      <c r="AB3141">
        <v>4.2</v>
      </c>
      <c r="AC3141">
        <v>3</v>
      </c>
      <c r="AD3141">
        <v>8.7579617999999998E-2</v>
      </c>
      <c r="AG3141">
        <v>7835.1774209816203</v>
      </c>
      <c r="AH3141">
        <v>3308526.6757417601</v>
      </c>
    </row>
    <row r="3142" spans="27:34">
      <c r="AA3142">
        <v>12.69</v>
      </c>
      <c r="AB3142">
        <v>4.2</v>
      </c>
      <c r="AC3142">
        <v>3</v>
      </c>
      <c r="AD3142">
        <v>8.7579617999999998E-2</v>
      </c>
      <c r="AG3142">
        <v>8080.6907064730503</v>
      </c>
      <c r="AH3142">
        <v>3303539.5683395299</v>
      </c>
    </row>
    <row r="3143" spans="27:34">
      <c r="AA3143">
        <v>12.69</v>
      </c>
      <c r="AB3143">
        <v>4.2</v>
      </c>
      <c r="AC3143">
        <v>3</v>
      </c>
      <c r="AD3143">
        <v>8.7579617999999998E-2</v>
      </c>
      <c r="AG3143">
        <v>8730.3532801704496</v>
      </c>
      <c r="AH3143">
        <v>3301732</v>
      </c>
    </row>
    <row r="3144" spans="27:34">
      <c r="AA3144">
        <v>12.69</v>
      </c>
      <c r="AB3144">
        <v>4.2</v>
      </c>
      <c r="AC3144">
        <v>3</v>
      </c>
      <c r="AD3144">
        <v>8.7579617999999998E-2</v>
      </c>
      <c r="AE3144">
        <v>99</v>
      </c>
      <c r="AG3144">
        <v>9682.7910689830896</v>
      </c>
      <c r="AH3144">
        <v>3305723</v>
      </c>
    </row>
    <row r="3145" spans="27:34">
      <c r="AA3145">
        <v>12.69</v>
      </c>
      <c r="AB3145">
        <v>4.2</v>
      </c>
      <c r="AC3145">
        <v>3</v>
      </c>
      <c r="AD3145">
        <v>8.7579617999999998E-2</v>
      </c>
      <c r="AG3145">
        <v>10402.648057209901</v>
      </c>
      <c r="AH3145">
        <v>3314466</v>
      </c>
    </row>
    <row r="3146" spans="27:34">
      <c r="AA3146">
        <v>12.69</v>
      </c>
      <c r="AB3146">
        <v>4.2</v>
      </c>
      <c r="AC3146">
        <v>3</v>
      </c>
      <c r="AD3146">
        <v>8.7579617999999998E-2</v>
      </c>
      <c r="AG3146">
        <v>11529.141194325801</v>
      </c>
      <c r="AH3146">
        <v>3323906</v>
      </c>
    </row>
    <row r="3147" spans="27:34">
      <c r="AA3147">
        <v>12.69</v>
      </c>
      <c r="AB3147">
        <v>4.2</v>
      </c>
      <c r="AC3147">
        <v>3</v>
      </c>
      <c r="AD3147">
        <v>8.7579617999999998E-2</v>
      </c>
      <c r="AE3147">
        <v>100</v>
      </c>
      <c r="AG3147">
        <v>12747.8249534772</v>
      </c>
      <c r="AH3147">
        <v>3334052</v>
      </c>
    </row>
    <row r="3148" spans="27:34">
      <c r="AA3148">
        <v>12.69</v>
      </c>
      <c r="AB3148">
        <v>4.2</v>
      </c>
      <c r="AC3148">
        <v>3</v>
      </c>
      <c r="AD3148">
        <v>8.7579617999999998E-2</v>
      </c>
      <c r="AG3148">
        <v>13189.127706663699</v>
      </c>
      <c r="AH3148">
        <v>3344938</v>
      </c>
    </row>
    <row r="3149" spans="27:34">
      <c r="AA3149">
        <v>12.69</v>
      </c>
      <c r="AB3149">
        <v>4.2</v>
      </c>
      <c r="AC3149">
        <v>3</v>
      </c>
      <c r="AD3149">
        <v>8.7579617999999998E-2</v>
      </c>
    </row>
    <row r="3150" spans="27:34">
      <c r="AA3150">
        <v>12.69</v>
      </c>
      <c r="AB3150">
        <v>4.2</v>
      </c>
      <c r="AC3150">
        <v>3</v>
      </c>
      <c r="AD3150">
        <v>8.7579617999999998E-2</v>
      </c>
    </row>
    <row r="3151" spans="27:34">
      <c r="AA3151">
        <v>-0.11</v>
      </c>
      <c r="AB3151">
        <v>2.5</v>
      </c>
      <c r="AC3151">
        <v>325</v>
      </c>
      <c r="AD3151">
        <v>0.10547667300000001</v>
      </c>
      <c r="AE3151">
        <v>85</v>
      </c>
      <c r="AF3151">
        <v>115.2</v>
      </c>
      <c r="AG3151">
        <v>1191.6067937164901</v>
      </c>
      <c r="AH3151">
        <v>22785000</v>
      </c>
    </row>
    <row r="3152" spans="27:34">
      <c r="AA3152">
        <v>-0.11</v>
      </c>
      <c r="AB3152">
        <v>2.5</v>
      </c>
      <c r="AC3152">
        <v>325</v>
      </c>
      <c r="AD3152">
        <v>0.10547667300000001</v>
      </c>
      <c r="AG3152">
        <v>1211.6391921099701</v>
      </c>
      <c r="AH3152">
        <v>23225000</v>
      </c>
    </row>
    <row r="3153" spans="27:34">
      <c r="AA3153">
        <v>-0.11</v>
      </c>
      <c r="AB3153">
        <v>2.5</v>
      </c>
      <c r="AC3153">
        <v>325</v>
      </c>
      <c r="AD3153">
        <v>0.10547667300000001</v>
      </c>
      <c r="AG3153">
        <v>1273.0195405377699</v>
      </c>
      <c r="AH3153">
        <v>23667000</v>
      </c>
    </row>
    <row r="3154" spans="27:34">
      <c r="AA3154">
        <v>-0.11</v>
      </c>
      <c r="AB3154">
        <v>2.5</v>
      </c>
      <c r="AC3154">
        <v>325</v>
      </c>
      <c r="AD3154">
        <v>0.10547667300000001</v>
      </c>
      <c r="AG3154">
        <v>1321.33968508713</v>
      </c>
      <c r="AH3154">
        <v>24051000</v>
      </c>
    </row>
    <row r="3155" spans="27:34">
      <c r="AA3155">
        <v>-0.11</v>
      </c>
      <c r="AB3155">
        <v>2.5</v>
      </c>
      <c r="AC3155">
        <v>325</v>
      </c>
      <c r="AD3155">
        <v>0.10547667300000001</v>
      </c>
      <c r="AG3155">
        <v>1378.35410363655</v>
      </c>
      <c r="AH3155">
        <v>24400000</v>
      </c>
    </row>
    <row r="3156" spans="27:34">
      <c r="AA3156">
        <v>-0.11</v>
      </c>
      <c r="AB3156">
        <v>2.5</v>
      </c>
      <c r="AC3156">
        <v>325</v>
      </c>
      <c r="AD3156">
        <v>0.10547667300000001</v>
      </c>
      <c r="AE3156">
        <v>91</v>
      </c>
      <c r="AF3156">
        <v>118.3</v>
      </c>
      <c r="AG3156">
        <v>1446.86218172809</v>
      </c>
      <c r="AH3156">
        <v>24650000</v>
      </c>
    </row>
    <row r="3157" spans="27:34">
      <c r="AA3157">
        <v>-0.11</v>
      </c>
      <c r="AB3157">
        <v>2.5</v>
      </c>
      <c r="AC3157">
        <v>325</v>
      </c>
      <c r="AD3157">
        <v>0.10547667300000001</v>
      </c>
      <c r="AG3157">
        <v>1522.2344855107001</v>
      </c>
      <c r="AH3157">
        <v>24967000</v>
      </c>
    </row>
    <row r="3158" spans="27:34">
      <c r="AA3158">
        <v>-0.11</v>
      </c>
      <c r="AB3158">
        <v>2.5</v>
      </c>
      <c r="AC3158">
        <v>325</v>
      </c>
      <c r="AD3158">
        <v>0.10547667300000001</v>
      </c>
      <c r="AG3158">
        <v>1589.4387231728899</v>
      </c>
      <c r="AH3158">
        <v>25271800</v>
      </c>
    </row>
    <row r="3159" spans="27:34">
      <c r="AA3159">
        <v>-0.11</v>
      </c>
      <c r="AB3159">
        <v>2.5</v>
      </c>
      <c r="AC3159">
        <v>325</v>
      </c>
      <c r="AD3159">
        <v>0.10547667300000001</v>
      </c>
      <c r="AG3159">
        <v>1672.31177123727</v>
      </c>
      <c r="AH3159">
        <v>25567700</v>
      </c>
    </row>
    <row r="3160" spans="27:34">
      <c r="AA3160">
        <v>-0.11</v>
      </c>
      <c r="AB3160">
        <v>2.5</v>
      </c>
      <c r="AC3160">
        <v>325</v>
      </c>
      <c r="AD3160">
        <v>0.10547667300000001</v>
      </c>
      <c r="AG3160">
        <v>1830.88713103489</v>
      </c>
      <c r="AH3160">
        <v>25864386</v>
      </c>
    </row>
    <row r="3161" spans="27:34">
      <c r="AA3161">
        <v>-0.11</v>
      </c>
      <c r="AB3161">
        <v>2.5</v>
      </c>
      <c r="AC3161">
        <v>325</v>
      </c>
      <c r="AD3161">
        <v>0.10547667300000001</v>
      </c>
      <c r="AE3161">
        <v>97</v>
      </c>
      <c r="AG3161">
        <v>2000.93728864697</v>
      </c>
      <c r="AH3161">
        <v>26167369</v>
      </c>
    </row>
    <row r="3162" spans="27:34">
      <c r="AA3162">
        <v>-0.11</v>
      </c>
      <c r="AB3162">
        <v>2.5</v>
      </c>
      <c r="AC3162">
        <v>325</v>
      </c>
      <c r="AD3162">
        <v>0.10547667300000001</v>
      </c>
      <c r="AG3162">
        <v>2190.1853220346402</v>
      </c>
      <c r="AH3162">
        <v>26485800</v>
      </c>
    </row>
    <row r="3163" spans="27:34">
      <c r="AA3163">
        <v>-0.11</v>
      </c>
      <c r="AB3163">
        <v>2.5</v>
      </c>
      <c r="AC3163">
        <v>325</v>
      </c>
      <c r="AD3163">
        <v>0.10547667300000001</v>
      </c>
      <c r="AG3163">
        <v>2445.1673363848499</v>
      </c>
      <c r="AH3163">
        <v>26867800</v>
      </c>
    </row>
    <row r="3164" spans="27:34">
      <c r="AA3164">
        <v>-0.11</v>
      </c>
      <c r="AB3164">
        <v>2.5</v>
      </c>
      <c r="AC3164">
        <v>325</v>
      </c>
      <c r="AD3164">
        <v>0.10547667300000001</v>
      </c>
      <c r="AE3164">
        <v>100</v>
      </c>
      <c r="AG3164">
        <v>2679.0362422936</v>
      </c>
      <c r="AH3164">
        <v>27313700</v>
      </c>
    </row>
    <row r="3165" spans="27:34">
      <c r="AA3165">
        <v>-0.11</v>
      </c>
      <c r="AB3165">
        <v>2.5</v>
      </c>
      <c r="AC3165">
        <v>325</v>
      </c>
      <c r="AD3165">
        <v>0.10547667300000001</v>
      </c>
      <c r="AG3165">
        <v>2874.8356477433299</v>
      </c>
      <c r="AH3165">
        <v>27767100</v>
      </c>
    </row>
    <row r="3166" spans="27:34">
      <c r="AA3166">
        <v>-0.11</v>
      </c>
      <c r="AB3166">
        <v>2.5</v>
      </c>
      <c r="AC3166">
        <v>325</v>
      </c>
      <c r="AD3166">
        <v>0.10547667300000001</v>
      </c>
    </row>
    <row r="3167" spans="27:34">
      <c r="AA3167">
        <v>-0.11</v>
      </c>
      <c r="AB3167">
        <v>2.5</v>
      </c>
      <c r="AC3167">
        <v>325</v>
      </c>
      <c r="AD3167">
        <v>0.10547667300000001</v>
      </c>
    </row>
    <row r="3168" spans="27:34">
      <c r="AA3168">
        <v>2.8</v>
      </c>
      <c r="AB3168">
        <v>4.5</v>
      </c>
      <c r="AC3168">
        <v>41</v>
      </c>
      <c r="AD3168">
        <v>0.19618834099999999</v>
      </c>
      <c r="AE3168">
        <v>34</v>
      </c>
      <c r="AG3168">
        <v>2883.3338557861498</v>
      </c>
      <c r="AH3168">
        <v>172220</v>
      </c>
    </row>
    <row r="3169" spans="27:34">
      <c r="AA3169">
        <v>2.8</v>
      </c>
      <c r="AB3169">
        <v>4.5</v>
      </c>
      <c r="AC3169">
        <v>41</v>
      </c>
      <c r="AD3169">
        <v>0.19618834099999999</v>
      </c>
      <c r="AG3169">
        <v>2943.7311320274298</v>
      </c>
      <c r="AH3169">
        <v>175915</v>
      </c>
    </row>
    <row r="3170" spans="27:34">
      <c r="AA3170">
        <v>2.8</v>
      </c>
      <c r="AB3170">
        <v>4.5</v>
      </c>
      <c r="AC3170">
        <v>41</v>
      </c>
      <c r="AD3170">
        <v>0.19618834099999999</v>
      </c>
      <c r="AG3170">
        <v>3085.44008841098</v>
      </c>
      <c r="AH3170">
        <v>179204</v>
      </c>
    </row>
    <row r="3171" spans="27:34">
      <c r="AA3171">
        <v>2.8</v>
      </c>
      <c r="AB3171">
        <v>4.5</v>
      </c>
      <c r="AC3171">
        <v>41</v>
      </c>
      <c r="AD3171">
        <v>0.19618834099999999</v>
      </c>
      <c r="AG3171">
        <v>3198.2723083325</v>
      </c>
      <c r="AH3171">
        <v>182358</v>
      </c>
    </row>
    <row r="3172" spans="27:34">
      <c r="AA3172">
        <v>2.8</v>
      </c>
      <c r="AB3172">
        <v>4.5</v>
      </c>
      <c r="AC3172">
        <v>41</v>
      </c>
      <c r="AD3172">
        <v>0.19618834099999999</v>
      </c>
      <c r="AG3172">
        <v>3199.2602414642502</v>
      </c>
      <c r="AH3172">
        <v>185770</v>
      </c>
    </row>
    <row r="3173" spans="27:34">
      <c r="AA3173">
        <v>2.8</v>
      </c>
      <c r="AB3173">
        <v>4.5</v>
      </c>
      <c r="AC3173">
        <v>41</v>
      </c>
      <c r="AD3173">
        <v>0.19618834099999999</v>
      </c>
      <c r="AE3173">
        <v>41</v>
      </c>
      <c r="AG3173">
        <v>3386.36266005776</v>
      </c>
      <c r="AH3173">
        <v>189723</v>
      </c>
    </row>
    <row r="3174" spans="27:34">
      <c r="AA3174">
        <v>2.8</v>
      </c>
      <c r="AB3174">
        <v>4.5</v>
      </c>
      <c r="AC3174">
        <v>41</v>
      </c>
      <c r="AD3174">
        <v>0.19618834099999999</v>
      </c>
      <c r="AG3174">
        <v>3268.9813016533899</v>
      </c>
      <c r="AH3174">
        <v>194307</v>
      </c>
    </row>
    <row r="3175" spans="27:34">
      <c r="AA3175">
        <v>2.8</v>
      </c>
      <c r="AB3175">
        <v>4.5</v>
      </c>
      <c r="AC3175">
        <v>41</v>
      </c>
      <c r="AD3175">
        <v>0.19618834099999999</v>
      </c>
      <c r="AG3175">
        <v>3100.49808905904</v>
      </c>
      <c r="AH3175">
        <v>199428</v>
      </c>
    </row>
    <row r="3176" spans="27:34">
      <c r="AA3176">
        <v>2.8</v>
      </c>
      <c r="AB3176">
        <v>4.5</v>
      </c>
      <c r="AC3176">
        <v>41</v>
      </c>
      <c r="AD3176">
        <v>0.19618834099999999</v>
      </c>
      <c r="AG3176">
        <v>3195.1533200988301</v>
      </c>
      <c r="AH3176">
        <v>204955</v>
      </c>
    </row>
    <row r="3177" spans="27:34">
      <c r="AA3177">
        <v>2.8</v>
      </c>
      <c r="AB3177">
        <v>4.5</v>
      </c>
      <c r="AC3177">
        <v>41</v>
      </c>
      <c r="AD3177">
        <v>0.19618834099999999</v>
      </c>
      <c r="AG3177">
        <v>3337.0551826803899</v>
      </c>
      <c r="AH3177">
        <v>210677</v>
      </c>
    </row>
    <row r="3178" spans="27:34">
      <c r="AA3178">
        <v>2.8</v>
      </c>
      <c r="AB3178">
        <v>4.5</v>
      </c>
      <c r="AC3178">
        <v>41</v>
      </c>
      <c r="AD3178">
        <v>0.19618834099999999</v>
      </c>
      <c r="AE3178">
        <v>47</v>
      </c>
      <c r="AG3178">
        <v>3528.90885910524</v>
      </c>
      <c r="AH3178">
        <v>216436</v>
      </c>
    </row>
    <row r="3179" spans="27:34">
      <c r="AA3179">
        <v>2.8</v>
      </c>
      <c r="AB3179">
        <v>4.5</v>
      </c>
      <c r="AC3179">
        <v>41</v>
      </c>
      <c r="AD3179">
        <v>0.19618834099999999</v>
      </c>
      <c r="AG3179">
        <v>3804.3033183204602</v>
      </c>
      <c r="AH3179">
        <v>222200</v>
      </c>
    </row>
    <row r="3180" spans="27:34">
      <c r="AA3180">
        <v>2.8</v>
      </c>
      <c r="AB3180">
        <v>4.5</v>
      </c>
      <c r="AC3180">
        <v>41</v>
      </c>
      <c r="AD3180">
        <v>0.19618834099999999</v>
      </c>
      <c r="AG3180">
        <v>4092.8826237865201</v>
      </c>
      <c r="AH3180">
        <v>228009</v>
      </c>
    </row>
    <row r="3181" spans="27:34">
      <c r="AA3181">
        <v>2.8</v>
      </c>
      <c r="AB3181">
        <v>4.5</v>
      </c>
      <c r="AC3181">
        <v>41</v>
      </c>
      <c r="AD3181">
        <v>0.19618834099999999</v>
      </c>
      <c r="AE3181">
        <v>52</v>
      </c>
      <c r="AG3181">
        <v>4336.0302000203501</v>
      </c>
      <c r="AH3181">
        <v>233866</v>
      </c>
    </row>
    <row r="3182" spans="27:34">
      <c r="AA3182">
        <v>2.8</v>
      </c>
      <c r="AB3182">
        <v>4.5</v>
      </c>
      <c r="AC3182">
        <v>41</v>
      </c>
      <c r="AD3182">
        <v>0.19618834099999999</v>
      </c>
      <c r="AG3182">
        <v>4438.3751503439798</v>
      </c>
      <c r="AH3182">
        <v>239788</v>
      </c>
    </row>
    <row r="3183" spans="27:34">
      <c r="AA3183">
        <v>2.8</v>
      </c>
      <c r="AB3183">
        <v>4.5</v>
      </c>
      <c r="AC3183">
        <v>41</v>
      </c>
      <c r="AD3183">
        <v>0.19618834099999999</v>
      </c>
    </row>
    <row r="3184" spans="27:34">
      <c r="AA3184">
        <v>2.8</v>
      </c>
      <c r="AB3184">
        <v>4.5</v>
      </c>
      <c r="AC3184">
        <v>41</v>
      </c>
      <c r="AD3184">
        <v>0.19618834099999999</v>
      </c>
    </row>
    <row r="3185" spans="27:34">
      <c r="AA3185">
        <v>4.38</v>
      </c>
      <c r="AB3185">
        <v>4.5</v>
      </c>
      <c r="AC3185">
        <v>30</v>
      </c>
      <c r="AD3185">
        <v>0.117355372</v>
      </c>
      <c r="AE3185">
        <v>86</v>
      </c>
      <c r="AG3185">
        <v>8283.7310676590096</v>
      </c>
      <c r="AH3185">
        <v>22043000</v>
      </c>
    </row>
    <row r="3186" spans="27:34">
      <c r="AA3186">
        <v>4.38</v>
      </c>
      <c r="AB3186">
        <v>4.5</v>
      </c>
      <c r="AC3186">
        <v>30</v>
      </c>
      <c r="AD3186">
        <v>0.117355372</v>
      </c>
      <c r="AG3186">
        <v>8253.56550495384</v>
      </c>
      <c r="AH3186">
        <v>22502000</v>
      </c>
    </row>
    <row r="3187" spans="27:34">
      <c r="AA3187">
        <v>4.38</v>
      </c>
      <c r="AB3187">
        <v>4.5</v>
      </c>
      <c r="AC3187">
        <v>30</v>
      </c>
      <c r="AD3187">
        <v>0.117355372</v>
      </c>
      <c r="AG3187">
        <v>8757.2192453625903</v>
      </c>
      <c r="AH3187">
        <v>22959000</v>
      </c>
    </row>
    <row r="3188" spans="27:34">
      <c r="AA3188">
        <v>4.38</v>
      </c>
      <c r="AB3188">
        <v>4.5</v>
      </c>
      <c r="AC3188">
        <v>30</v>
      </c>
      <c r="AD3188">
        <v>0.117355372</v>
      </c>
      <c r="AG3188">
        <v>8710.0840325234003</v>
      </c>
      <c r="AH3188">
        <v>23413000</v>
      </c>
    </row>
    <row r="3189" spans="27:34">
      <c r="AA3189">
        <v>4.38</v>
      </c>
      <c r="AB3189">
        <v>4.5</v>
      </c>
      <c r="AC3189">
        <v>30</v>
      </c>
      <c r="AD3189">
        <v>0.117355372</v>
      </c>
      <c r="AG3189">
        <v>8152.0080799538</v>
      </c>
      <c r="AH3189">
        <v>23867000</v>
      </c>
    </row>
    <row r="3190" spans="27:34">
      <c r="AA3190">
        <v>4.38</v>
      </c>
      <c r="AB3190">
        <v>4.5</v>
      </c>
      <c r="AC3190">
        <v>30</v>
      </c>
      <c r="AD3190">
        <v>0.117355372</v>
      </c>
      <c r="AE3190">
        <v>89</v>
      </c>
      <c r="AF3190">
        <v>0.73470000000000002</v>
      </c>
      <c r="AG3190">
        <v>8477.7341161790591</v>
      </c>
      <c r="AH3190">
        <v>24311000</v>
      </c>
    </row>
    <row r="3191" spans="27:34">
      <c r="AA3191">
        <v>4.38</v>
      </c>
      <c r="AB3191">
        <v>4.5</v>
      </c>
      <c r="AC3191">
        <v>30</v>
      </c>
      <c r="AD3191">
        <v>0.117355372</v>
      </c>
      <c r="AG3191">
        <v>8799.8794298536595</v>
      </c>
      <c r="AH3191">
        <v>24765000</v>
      </c>
    </row>
    <row r="3192" spans="27:34">
      <c r="AA3192">
        <v>4.38</v>
      </c>
      <c r="AB3192">
        <v>4.5</v>
      </c>
      <c r="AC3192">
        <v>30</v>
      </c>
      <c r="AD3192">
        <v>0.117355372</v>
      </c>
      <c r="AG3192">
        <v>8003.8408583324499</v>
      </c>
      <c r="AH3192">
        <v>25220000</v>
      </c>
    </row>
    <row r="3193" spans="27:34">
      <c r="AA3193">
        <v>4.38</v>
      </c>
      <c r="AB3193">
        <v>4.5</v>
      </c>
      <c r="AC3193">
        <v>30</v>
      </c>
      <c r="AD3193">
        <v>0.117355372</v>
      </c>
      <c r="AG3193">
        <v>7408.88130339903</v>
      </c>
      <c r="AH3193">
        <v>25674000</v>
      </c>
    </row>
    <row r="3194" spans="27:34">
      <c r="AA3194">
        <v>4.38</v>
      </c>
      <c r="AB3194">
        <v>4.5</v>
      </c>
      <c r="AC3194">
        <v>30</v>
      </c>
      <c r="AD3194">
        <v>0.117355372</v>
      </c>
      <c r="AG3194">
        <v>8855.8720914855003</v>
      </c>
      <c r="AH3194">
        <v>26127000</v>
      </c>
    </row>
    <row r="3195" spans="27:34">
      <c r="AA3195">
        <v>4.38</v>
      </c>
      <c r="AB3195">
        <v>4.5</v>
      </c>
      <c r="AC3195">
        <v>30</v>
      </c>
      <c r="AD3195">
        <v>0.117355372</v>
      </c>
      <c r="AE3195">
        <v>91</v>
      </c>
      <c r="AG3195">
        <v>9924.4621088899603</v>
      </c>
      <c r="AH3195">
        <v>26577000</v>
      </c>
    </row>
    <row r="3196" spans="27:34">
      <c r="AA3196">
        <v>4.38</v>
      </c>
      <c r="AB3196">
        <v>4.5</v>
      </c>
      <c r="AC3196">
        <v>30</v>
      </c>
      <c r="AD3196">
        <v>0.117355372</v>
      </c>
      <c r="AG3196">
        <v>11069.783889055499</v>
      </c>
      <c r="AH3196">
        <v>27031000</v>
      </c>
    </row>
    <row r="3197" spans="27:34">
      <c r="AA3197">
        <v>4.38</v>
      </c>
      <c r="AB3197">
        <v>4.5</v>
      </c>
      <c r="AC3197">
        <v>30</v>
      </c>
      <c r="AD3197">
        <v>0.117355372</v>
      </c>
      <c r="AG3197">
        <v>12178.7832957071</v>
      </c>
      <c r="AH3197">
        <v>27483000</v>
      </c>
    </row>
    <row r="3198" spans="27:34">
      <c r="AA3198">
        <v>4.38</v>
      </c>
      <c r="AB3198">
        <v>4.5</v>
      </c>
      <c r="AC3198">
        <v>30</v>
      </c>
      <c r="AD3198">
        <v>0.117355372</v>
      </c>
      <c r="AG3198">
        <v>12829.1172372438</v>
      </c>
      <c r="AH3198">
        <v>27935000</v>
      </c>
    </row>
    <row r="3199" spans="27:34">
      <c r="AA3199">
        <v>4.38</v>
      </c>
      <c r="AB3199">
        <v>4.5</v>
      </c>
      <c r="AC3199">
        <v>30</v>
      </c>
      <c r="AD3199">
        <v>0.117355372</v>
      </c>
      <c r="AG3199">
        <v>12322.9249256975</v>
      </c>
      <c r="AH3199">
        <v>28384000</v>
      </c>
    </row>
    <row r="3200" spans="27:34">
      <c r="AA3200">
        <v>4.38</v>
      </c>
      <c r="AB3200">
        <v>4.5</v>
      </c>
      <c r="AC3200">
        <v>30</v>
      </c>
      <c r="AD3200">
        <v>0.117355372</v>
      </c>
    </row>
    <row r="3201" spans="27:34">
      <c r="AA3201">
        <v>4.38</v>
      </c>
      <c r="AB3201">
        <v>4.5</v>
      </c>
      <c r="AC3201">
        <v>30</v>
      </c>
      <c r="AD3201">
        <v>0.117355372</v>
      </c>
    </row>
    <row r="3202" spans="27:34">
      <c r="AA3202">
        <v>0.09</v>
      </c>
      <c r="AB3202">
        <v>3.8</v>
      </c>
      <c r="AC3202">
        <v>65</v>
      </c>
      <c r="AD3202">
        <v>0.153459119</v>
      </c>
      <c r="AE3202">
        <v>47</v>
      </c>
      <c r="AG3202">
        <v>989.75287757158299</v>
      </c>
      <c r="AH3202">
        <v>72980000</v>
      </c>
    </row>
    <row r="3203" spans="27:34">
      <c r="AA3203">
        <v>0.09</v>
      </c>
      <c r="AB3203">
        <v>3.8</v>
      </c>
      <c r="AC3203">
        <v>65</v>
      </c>
      <c r="AD3203">
        <v>0.153459119</v>
      </c>
      <c r="AG3203">
        <v>1083.2957426026101</v>
      </c>
      <c r="AH3203">
        <v>74300000</v>
      </c>
    </row>
    <row r="3204" spans="27:34">
      <c r="AA3204">
        <v>0.09</v>
      </c>
      <c r="AB3204">
        <v>3.8</v>
      </c>
      <c r="AC3204">
        <v>65</v>
      </c>
      <c r="AD3204">
        <v>0.153459119</v>
      </c>
      <c r="AG3204">
        <v>1174.0523110428001</v>
      </c>
      <c r="AH3204">
        <v>75460000</v>
      </c>
    </row>
    <row r="3205" spans="27:34">
      <c r="AA3205">
        <v>0.09</v>
      </c>
      <c r="AB3205">
        <v>3.8</v>
      </c>
      <c r="AC3205">
        <v>65</v>
      </c>
      <c r="AD3205">
        <v>0.153459119</v>
      </c>
      <c r="AG3205">
        <v>1238.38035185187</v>
      </c>
      <c r="AH3205">
        <v>76520000</v>
      </c>
    </row>
    <row r="3206" spans="27:34">
      <c r="AA3206">
        <v>0.09</v>
      </c>
      <c r="AB3206">
        <v>3.8</v>
      </c>
      <c r="AC3206">
        <v>65</v>
      </c>
      <c r="AD3206">
        <v>0.153459119</v>
      </c>
      <c r="AG3206">
        <v>1299.6121991278301</v>
      </c>
      <c r="AH3206">
        <v>77515000</v>
      </c>
    </row>
    <row r="3207" spans="27:34">
      <c r="AA3207">
        <v>0.09</v>
      </c>
      <c r="AB3207">
        <v>3.8</v>
      </c>
      <c r="AC3207">
        <v>65</v>
      </c>
      <c r="AD3207">
        <v>0.153459119</v>
      </c>
      <c r="AE3207">
        <v>57</v>
      </c>
      <c r="AG3207">
        <v>1415.64876293578</v>
      </c>
      <c r="AH3207">
        <v>77635400</v>
      </c>
    </row>
    <row r="3208" spans="27:34">
      <c r="AA3208">
        <v>0.09</v>
      </c>
      <c r="AB3208">
        <v>3.8</v>
      </c>
      <c r="AC3208">
        <v>65</v>
      </c>
      <c r="AD3208">
        <v>0.153459119</v>
      </c>
      <c r="AG3208">
        <v>1526.90502692377</v>
      </c>
      <c r="AH3208">
        <v>78685800</v>
      </c>
    </row>
    <row r="3209" spans="27:34">
      <c r="AA3209">
        <v>0.09</v>
      </c>
      <c r="AB3209">
        <v>3.8</v>
      </c>
      <c r="AC3209">
        <v>65</v>
      </c>
      <c r="AD3209">
        <v>0.153459119</v>
      </c>
      <c r="AG3209">
        <v>1639.86690617352</v>
      </c>
      <c r="AH3209">
        <v>79727400</v>
      </c>
    </row>
    <row r="3210" spans="27:34">
      <c r="AA3210">
        <v>0.09</v>
      </c>
      <c r="AB3210">
        <v>3.8</v>
      </c>
      <c r="AC3210">
        <v>65</v>
      </c>
      <c r="AD3210">
        <v>0.153459119</v>
      </c>
      <c r="AG3210">
        <v>1772.0760393589601</v>
      </c>
      <c r="AH3210">
        <v>80902400</v>
      </c>
    </row>
    <row r="3211" spans="27:34">
      <c r="AA3211">
        <v>0.09</v>
      </c>
      <c r="AB3211">
        <v>3.8</v>
      </c>
      <c r="AC3211">
        <v>65</v>
      </c>
      <c r="AD3211">
        <v>0.153459119</v>
      </c>
      <c r="AG3211">
        <v>1937.2160510510801</v>
      </c>
      <c r="AH3211">
        <v>82031700</v>
      </c>
    </row>
    <row r="3212" spans="27:34">
      <c r="AA3212">
        <v>0.09</v>
      </c>
      <c r="AB3212">
        <v>3.8</v>
      </c>
      <c r="AC3212">
        <v>65</v>
      </c>
      <c r="AD3212">
        <v>0.153459119</v>
      </c>
      <c r="AE3212">
        <v>68</v>
      </c>
      <c r="AF3212">
        <v>9.2780000000000005</v>
      </c>
      <c r="AG3212">
        <v>2142.7352419577501</v>
      </c>
      <c r="AH3212">
        <v>83106300</v>
      </c>
    </row>
    <row r="3213" spans="27:34">
      <c r="AA3213">
        <v>0.09</v>
      </c>
      <c r="AB3213">
        <v>3.8</v>
      </c>
      <c r="AC3213">
        <v>65</v>
      </c>
      <c r="AD3213">
        <v>0.153459119</v>
      </c>
      <c r="AG3213">
        <v>2365.1586878510798</v>
      </c>
      <c r="AH3213">
        <v>84136800</v>
      </c>
    </row>
    <row r="3214" spans="27:34">
      <c r="AA3214">
        <v>0.09</v>
      </c>
      <c r="AB3214">
        <v>3.8</v>
      </c>
      <c r="AC3214">
        <v>65</v>
      </c>
      <c r="AD3214">
        <v>0.153459119</v>
      </c>
      <c r="AG3214">
        <v>2621.3451156955998</v>
      </c>
      <c r="AH3214">
        <v>85154900</v>
      </c>
    </row>
    <row r="3215" spans="27:34">
      <c r="AA3215">
        <v>0.09</v>
      </c>
      <c r="AB3215">
        <v>3.8</v>
      </c>
      <c r="AC3215">
        <v>65</v>
      </c>
      <c r="AD3215">
        <v>0.153459119</v>
      </c>
      <c r="AE3215">
        <v>75</v>
      </c>
      <c r="AG3215">
        <v>2812.8148451460802</v>
      </c>
      <c r="AH3215">
        <v>86210781</v>
      </c>
    </row>
    <row r="3216" spans="27:34">
      <c r="AA3216">
        <v>0.09</v>
      </c>
      <c r="AB3216">
        <v>3.8</v>
      </c>
      <c r="AC3216">
        <v>65</v>
      </c>
      <c r="AD3216">
        <v>0.153459119</v>
      </c>
      <c r="AG3216">
        <v>2953.0691299201198</v>
      </c>
      <c r="AH3216">
        <v>87279754.431394607</v>
      </c>
    </row>
    <row r="3217" spans="27:34">
      <c r="AA3217">
        <v>0.09</v>
      </c>
      <c r="AB3217">
        <v>3.8</v>
      </c>
      <c r="AC3217">
        <v>65</v>
      </c>
      <c r="AD3217">
        <v>0.153459119</v>
      </c>
    </row>
    <row r="3218" spans="27:34">
      <c r="AA3218">
        <v>0.09</v>
      </c>
      <c r="AB3218">
        <v>3.8</v>
      </c>
      <c r="AC3218">
        <v>65</v>
      </c>
      <c r="AD3218">
        <v>0.153459119</v>
      </c>
    </row>
    <row r="3219" spans="27:34">
      <c r="AA3219">
        <v>7.23</v>
      </c>
      <c r="AB3219">
        <v>3.5</v>
      </c>
      <c r="AC3219">
        <v>377</v>
      </c>
      <c r="AD3219">
        <v>0.20530973499999999</v>
      </c>
      <c r="AE3219">
        <v>28</v>
      </c>
      <c r="AG3219">
        <v>1506.2138994481099</v>
      </c>
      <c r="AH3219">
        <v>15522959</v>
      </c>
    </row>
    <row r="3220" spans="27:34">
      <c r="AA3220">
        <v>7.23</v>
      </c>
      <c r="AB3220">
        <v>3.5</v>
      </c>
      <c r="AC3220">
        <v>377</v>
      </c>
      <c r="AD3220">
        <v>0.20530973499999999</v>
      </c>
      <c r="AG3220">
        <v>1569.32473298846</v>
      </c>
      <c r="AH3220">
        <v>16100966</v>
      </c>
    </row>
    <row r="3221" spans="27:34">
      <c r="AA3221">
        <v>7.23</v>
      </c>
      <c r="AB3221">
        <v>3.5</v>
      </c>
      <c r="AC3221">
        <v>377</v>
      </c>
      <c r="AD3221">
        <v>0.20530973499999999</v>
      </c>
      <c r="AG3221">
        <v>1668.4579252348799</v>
      </c>
      <c r="AH3221">
        <v>16638608</v>
      </c>
    </row>
    <row r="3222" spans="27:34">
      <c r="AA3222">
        <v>7.23</v>
      </c>
      <c r="AB3222">
        <v>3.5</v>
      </c>
      <c r="AC3222">
        <v>377</v>
      </c>
      <c r="AD3222">
        <v>0.20530973499999999</v>
      </c>
      <c r="AG3222">
        <v>1742.91984199287</v>
      </c>
      <c r="AH3222">
        <v>17150274</v>
      </c>
    </row>
    <row r="3223" spans="27:34">
      <c r="AA3223">
        <v>7.23</v>
      </c>
      <c r="AB3223">
        <v>3.5</v>
      </c>
      <c r="AC3223">
        <v>377</v>
      </c>
      <c r="AD3223">
        <v>0.20530973499999999</v>
      </c>
      <c r="AG3223">
        <v>1764.59203851288</v>
      </c>
      <c r="AH3223">
        <v>17658898</v>
      </c>
    </row>
    <row r="3224" spans="27:34">
      <c r="AA3224">
        <v>7.23</v>
      </c>
      <c r="AB3224">
        <v>3.5</v>
      </c>
      <c r="AC3224">
        <v>377</v>
      </c>
      <c r="AD3224">
        <v>0.20530973499999999</v>
      </c>
      <c r="AE3224">
        <v>37</v>
      </c>
      <c r="AF3224">
        <v>161.4</v>
      </c>
      <c r="AG3224">
        <v>1827.9707478627399</v>
      </c>
      <c r="AH3224">
        <v>18181733</v>
      </c>
    </row>
    <row r="3225" spans="27:34">
      <c r="AA3225">
        <v>7.23</v>
      </c>
      <c r="AB3225">
        <v>3.5</v>
      </c>
      <c r="AC3225">
        <v>377</v>
      </c>
      <c r="AD3225">
        <v>0.20530973499999999</v>
      </c>
      <c r="AG3225">
        <v>1898.98265939321</v>
      </c>
      <c r="AH3225">
        <v>18721960</v>
      </c>
    </row>
    <row r="3226" spans="27:34">
      <c r="AA3226">
        <v>7.23</v>
      </c>
      <c r="AB3226">
        <v>3.5</v>
      </c>
      <c r="AC3226">
        <v>377</v>
      </c>
      <c r="AD3226">
        <v>0.20530973499999999</v>
      </c>
      <c r="AG3226">
        <v>1947.5257731429799</v>
      </c>
      <c r="AH3226">
        <v>19275398</v>
      </c>
    </row>
    <row r="3227" spans="27:34">
      <c r="AA3227">
        <v>7.23</v>
      </c>
      <c r="AB3227">
        <v>3.5</v>
      </c>
      <c r="AC3227">
        <v>377</v>
      </c>
      <c r="AD3227">
        <v>0.20530973499999999</v>
      </c>
      <c r="AG3227">
        <v>1992.4602696996999</v>
      </c>
      <c r="AH3227">
        <v>19843432</v>
      </c>
    </row>
    <row r="3228" spans="27:34">
      <c r="AA3228">
        <v>7.23</v>
      </c>
      <c r="AB3228">
        <v>3.5</v>
      </c>
      <c r="AC3228">
        <v>377</v>
      </c>
      <c r="AD3228">
        <v>0.20530973499999999</v>
      </c>
      <c r="AG3228">
        <v>2069.5649531105501</v>
      </c>
      <c r="AH3228">
        <v>20426158</v>
      </c>
    </row>
    <row r="3229" spans="27:34">
      <c r="AA3229">
        <v>7.23</v>
      </c>
      <c r="AB3229">
        <v>3.5</v>
      </c>
      <c r="AC3229">
        <v>377</v>
      </c>
      <c r="AD3229">
        <v>0.20530973499999999</v>
      </c>
      <c r="AE3229">
        <v>46</v>
      </c>
      <c r="AF3229">
        <v>168.6</v>
      </c>
      <c r="AG3229">
        <v>2193.9649191130402</v>
      </c>
      <c r="AH3229">
        <v>21023692</v>
      </c>
    </row>
    <row r="3230" spans="27:34">
      <c r="AA3230">
        <v>7.23</v>
      </c>
      <c r="AB3230">
        <v>3.5</v>
      </c>
      <c r="AC3230">
        <v>377</v>
      </c>
      <c r="AD3230">
        <v>0.20530973499999999</v>
      </c>
      <c r="AG3230">
        <v>2271.4785334408002</v>
      </c>
      <c r="AH3230">
        <v>21637666</v>
      </c>
    </row>
    <row r="3231" spans="27:34">
      <c r="AA3231">
        <v>7.23</v>
      </c>
      <c r="AB3231">
        <v>3.5</v>
      </c>
      <c r="AC3231">
        <v>377</v>
      </c>
      <c r="AD3231">
        <v>0.20530973499999999</v>
      </c>
      <c r="AG3231">
        <v>2358.0081516095302</v>
      </c>
      <c r="AH3231">
        <v>22269306</v>
      </c>
    </row>
    <row r="3232" spans="27:34">
      <c r="AA3232">
        <v>7.23</v>
      </c>
      <c r="AB3232">
        <v>3.5</v>
      </c>
      <c r="AC3232">
        <v>377</v>
      </c>
      <c r="AD3232">
        <v>0.20530973499999999</v>
      </c>
      <c r="AE3232">
        <v>52</v>
      </c>
      <c r="AG3232">
        <v>2426.7983942575102</v>
      </c>
      <c r="AH3232">
        <v>22917485</v>
      </c>
    </row>
    <row r="3233" spans="27:34">
      <c r="AA3233">
        <v>7.23</v>
      </c>
      <c r="AB3233">
        <v>3.5</v>
      </c>
      <c r="AC3233">
        <v>377</v>
      </c>
      <c r="AD3233">
        <v>0.20530973499999999</v>
      </c>
      <c r="AG3233">
        <v>2469.58938892163</v>
      </c>
      <c r="AH3233">
        <v>23580220</v>
      </c>
    </row>
    <row r="3234" spans="27:34">
      <c r="AA3234">
        <v>7.23</v>
      </c>
      <c r="AB3234">
        <v>3.5</v>
      </c>
      <c r="AC3234">
        <v>377</v>
      </c>
      <c r="AD3234">
        <v>0.20530973499999999</v>
      </c>
    </row>
    <row r="3235" spans="27:34">
      <c r="AA3235">
        <v>7.23</v>
      </c>
      <c r="AB3235">
        <v>3.5</v>
      </c>
      <c r="AC3235">
        <v>377</v>
      </c>
      <c r="AD3235">
        <v>0.20530973499999999</v>
      </c>
    </row>
    <row r="3236" spans="27:34">
      <c r="AA3236">
        <v>-9.06</v>
      </c>
      <c r="AB3236">
        <v>4.0999999999999996</v>
      </c>
      <c r="AC3236">
        <v>503</v>
      </c>
      <c r="AD3236">
        <v>0.46313252999999999</v>
      </c>
      <c r="AE3236">
        <v>47</v>
      </c>
      <c r="AF3236">
        <v>1.6220000000000001</v>
      </c>
      <c r="AG3236">
        <v>816.74690496878998</v>
      </c>
      <c r="AH3236">
        <v>9107859</v>
      </c>
    </row>
    <row r="3237" spans="27:34">
      <c r="AA3237">
        <v>-9.06</v>
      </c>
      <c r="AB3237">
        <v>4.0999999999999996</v>
      </c>
      <c r="AC3237">
        <v>503</v>
      </c>
      <c r="AD3237">
        <v>0.46313252999999999</v>
      </c>
      <c r="AG3237">
        <v>865.05146582247903</v>
      </c>
      <c r="AH3237">
        <v>9372406</v>
      </c>
    </row>
    <row r="3238" spans="27:34">
      <c r="AA3238">
        <v>-9.06</v>
      </c>
      <c r="AB3238">
        <v>4.0999999999999996</v>
      </c>
      <c r="AC3238">
        <v>503</v>
      </c>
      <c r="AD3238">
        <v>0.46313252999999999</v>
      </c>
      <c r="AG3238">
        <v>883.57843763249002</v>
      </c>
      <c r="AH3238">
        <v>9646656</v>
      </c>
    </row>
    <row r="3239" spans="27:34">
      <c r="AA3239">
        <v>-9.06</v>
      </c>
      <c r="AB3239">
        <v>4.0999999999999996</v>
      </c>
      <c r="AC3239">
        <v>503</v>
      </c>
      <c r="AD3239">
        <v>0.46313252999999999</v>
      </c>
      <c r="AG3239">
        <v>852.35547729437997</v>
      </c>
      <c r="AH3239">
        <v>9925170</v>
      </c>
    </row>
    <row r="3240" spans="27:34">
      <c r="AA3240">
        <v>-9.06</v>
      </c>
      <c r="AB3240">
        <v>4.0999999999999996</v>
      </c>
      <c r="AC3240">
        <v>503</v>
      </c>
      <c r="AD3240">
        <v>0.46313252999999999</v>
      </c>
      <c r="AG3240">
        <v>860.23100208047003</v>
      </c>
      <c r="AH3240">
        <v>10200392</v>
      </c>
    </row>
    <row r="3241" spans="27:34">
      <c r="AA3241">
        <v>-9.06</v>
      </c>
      <c r="AB3241">
        <v>4.0999999999999996</v>
      </c>
      <c r="AC3241">
        <v>503</v>
      </c>
      <c r="AD3241">
        <v>0.46313252999999999</v>
      </c>
      <c r="AE3241">
        <v>47</v>
      </c>
      <c r="AF3241">
        <v>1.6539999999999999</v>
      </c>
      <c r="AG3241">
        <v>887.08443368508802</v>
      </c>
      <c r="AH3241">
        <v>10467278</v>
      </c>
    </row>
    <row r="3242" spans="27:34">
      <c r="AA3242">
        <v>-9.06</v>
      </c>
      <c r="AB3242">
        <v>4.0999999999999996</v>
      </c>
      <c r="AC3242">
        <v>503</v>
      </c>
      <c r="AD3242">
        <v>0.46313252999999999</v>
      </c>
      <c r="AG3242">
        <v>928.89717883279695</v>
      </c>
      <c r="AH3242">
        <v>10723651</v>
      </c>
    </row>
    <row r="3243" spans="27:34">
      <c r="AA3243">
        <v>-9.06</v>
      </c>
      <c r="AB3243">
        <v>4.0999999999999996</v>
      </c>
      <c r="AC3243">
        <v>503</v>
      </c>
      <c r="AD3243">
        <v>0.46313252999999999</v>
      </c>
      <c r="AG3243">
        <v>953.04596895576196</v>
      </c>
      <c r="AH3243">
        <v>10972245</v>
      </c>
    </row>
    <row r="3244" spans="27:34">
      <c r="AA3244">
        <v>-9.06</v>
      </c>
      <c r="AB3244">
        <v>4.0999999999999996</v>
      </c>
      <c r="AC3244">
        <v>503</v>
      </c>
      <c r="AD3244">
        <v>0.46313252999999999</v>
      </c>
      <c r="AG3244">
        <v>1000.73867926746</v>
      </c>
      <c r="AH3244">
        <v>11218960</v>
      </c>
    </row>
    <row r="3245" spans="27:34">
      <c r="AA3245">
        <v>-9.06</v>
      </c>
      <c r="AB3245">
        <v>4.0999999999999996</v>
      </c>
      <c r="AC3245">
        <v>503</v>
      </c>
      <c r="AD3245">
        <v>0.46313252999999999</v>
      </c>
      <c r="AG3245">
        <v>1060.7263738276399</v>
      </c>
      <c r="AH3245">
        <v>11472278</v>
      </c>
    </row>
    <row r="3246" spans="27:34">
      <c r="AA3246">
        <v>-9.06</v>
      </c>
      <c r="AB3246">
        <v>4.0999999999999996</v>
      </c>
      <c r="AC3246">
        <v>503</v>
      </c>
      <c r="AD3246">
        <v>0.46313252999999999</v>
      </c>
      <c r="AE3246">
        <v>47</v>
      </c>
      <c r="AG3246">
        <v>1126.95012084984</v>
      </c>
      <c r="AH3246">
        <v>11738432</v>
      </c>
    </row>
    <row r="3247" spans="27:34">
      <c r="AA3247">
        <v>-9.06</v>
      </c>
      <c r="AB3247">
        <v>4.0999999999999996</v>
      </c>
      <c r="AC3247">
        <v>503</v>
      </c>
      <c r="AD3247">
        <v>0.46313252999999999</v>
      </c>
      <c r="AG3247">
        <v>1206.8527532062401</v>
      </c>
      <c r="AH3247">
        <v>12019481</v>
      </c>
    </row>
    <row r="3248" spans="27:34">
      <c r="AA3248">
        <v>-9.06</v>
      </c>
      <c r="AB3248">
        <v>4.0999999999999996</v>
      </c>
      <c r="AC3248">
        <v>503</v>
      </c>
      <c r="AD3248">
        <v>0.46313252999999999</v>
      </c>
      <c r="AG3248">
        <v>1293.8979588802499</v>
      </c>
      <c r="AH3248">
        <v>12313942</v>
      </c>
    </row>
    <row r="3249" spans="27:34">
      <c r="AA3249">
        <v>-9.06</v>
      </c>
      <c r="AB3249">
        <v>4.0999999999999996</v>
      </c>
      <c r="AC3249">
        <v>503</v>
      </c>
      <c r="AD3249">
        <v>0.46313252999999999</v>
      </c>
      <c r="AE3249">
        <v>49</v>
      </c>
      <c r="AG3249">
        <v>1365.2152368681</v>
      </c>
      <c r="AH3249">
        <v>12620219</v>
      </c>
    </row>
    <row r="3250" spans="27:34">
      <c r="AA3250">
        <v>-9.06</v>
      </c>
      <c r="AB3250">
        <v>4.0999999999999996</v>
      </c>
      <c r="AC3250">
        <v>503</v>
      </c>
      <c r="AD3250">
        <v>0.46313252999999999</v>
      </c>
      <c r="AG3250">
        <v>1430.2170162018899</v>
      </c>
      <c r="AH3250">
        <v>12935368</v>
      </c>
    </row>
    <row r="3251" spans="27:34">
      <c r="AA3251">
        <v>-9.06</v>
      </c>
      <c r="AB3251">
        <v>4.0999999999999996</v>
      </c>
      <c r="AC3251">
        <v>503</v>
      </c>
      <c r="AD3251">
        <v>0.46313252999999999</v>
      </c>
    </row>
    <row r="3252" spans="27:34">
      <c r="AA3252">
        <v>-9.06</v>
      </c>
      <c r="AB3252">
        <v>4.0999999999999996</v>
      </c>
      <c r="AC3252">
        <v>503</v>
      </c>
      <c r="AD3252">
        <v>0.46313252999999999</v>
      </c>
    </row>
    <row r="3253" spans="27:34">
      <c r="AA3253">
        <v>-7.29</v>
      </c>
      <c r="AB3253">
        <v>4.3</v>
      </c>
      <c r="AC3253">
        <v>256</v>
      </c>
      <c r="AD3253">
        <v>0.69069870899999997</v>
      </c>
      <c r="AE3253">
        <v>43</v>
      </c>
      <c r="AH3253">
        <v>11713351</v>
      </c>
    </row>
    <row r="3254" spans="27:34">
      <c r="AA3254">
        <v>-7.29</v>
      </c>
      <c r="AB3254">
        <v>4.3</v>
      </c>
      <c r="AC3254">
        <v>256</v>
      </c>
      <c r="AD3254">
        <v>0.69069870899999997</v>
      </c>
      <c r="AH3254">
        <v>11911509</v>
      </c>
    </row>
    <row r="3255" spans="27:34">
      <c r="AA3255">
        <v>-7.29</v>
      </c>
      <c r="AB3255">
        <v>4.3</v>
      </c>
      <c r="AC3255">
        <v>256</v>
      </c>
      <c r="AD3255">
        <v>0.69069870899999997</v>
      </c>
      <c r="AH3255">
        <v>12091779</v>
      </c>
    </row>
    <row r="3256" spans="27:34">
      <c r="AA3256">
        <v>-7.29</v>
      </c>
      <c r="AB3256">
        <v>4.3</v>
      </c>
      <c r="AC3256">
        <v>256</v>
      </c>
      <c r="AD3256">
        <v>0.69069870899999997</v>
      </c>
      <c r="AH3256">
        <v>12247626</v>
      </c>
    </row>
    <row r="3257" spans="27:34">
      <c r="AA3257">
        <v>-7.29</v>
      </c>
      <c r="AB3257">
        <v>4.3</v>
      </c>
      <c r="AC3257">
        <v>256</v>
      </c>
      <c r="AD3257">
        <v>0.69069870899999997</v>
      </c>
      <c r="AH3257">
        <v>12370456</v>
      </c>
    </row>
    <row r="3258" spans="27:34">
      <c r="AA3258">
        <v>-7.29</v>
      </c>
      <c r="AB3258">
        <v>4.3</v>
      </c>
      <c r="AC3258">
        <v>256</v>
      </c>
      <c r="AD3258">
        <v>0.69069870899999997</v>
      </c>
      <c r="AE3258">
        <v>44</v>
      </c>
      <c r="AF3258">
        <v>21.02</v>
      </c>
      <c r="AH3258">
        <v>12455362</v>
      </c>
    </row>
    <row r="3259" spans="27:34">
      <c r="AA3259">
        <v>-7.29</v>
      </c>
      <c r="AB3259">
        <v>4.3</v>
      </c>
      <c r="AC3259">
        <v>256</v>
      </c>
      <c r="AD3259">
        <v>0.69069870899999997</v>
      </c>
      <c r="AH3259">
        <v>12502406</v>
      </c>
    </row>
    <row r="3260" spans="27:34">
      <c r="AA3260">
        <v>-7.29</v>
      </c>
      <c r="AB3260">
        <v>4.3</v>
      </c>
      <c r="AC3260">
        <v>256</v>
      </c>
      <c r="AD3260">
        <v>0.69069870899999997</v>
      </c>
      <c r="AH3260">
        <v>12517662</v>
      </c>
    </row>
    <row r="3261" spans="27:34">
      <c r="AA3261">
        <v>-7.29</v>
      </c>
      <c r="AB3261">
        <v>4.3</v>
      </c>
      <c r="AC3261">
        <v>256</v>
      </c>
      <c r="AD3261">
        <v>0.69069870899999997</v>
      </c>
      <c r="AH3261">
        <v>12510191</v>
      </c>
    </row>
    <row r="3262" spans="27:34">
      <c r="AA3262">
        <v>-7.29</v>
      </c>
      <c r="AB3262">
        <v>4.3</v>
      </c>
      <c r="AC3262">
        <v>256</v>
      </c>
      <c r="AD3262">
        <v>0.69069870899999997</v>
      </c>
      <c r="AH3262">
        <v>12492297</v>
      </c>
    </row>
    <row r="3263" spans="27:34">
      <c r="AA3263">
        <v>-7.29</v>
      </c>
      <c r="AB3263">
        <v>4.3</v>
      </c>
      <c r="AC3263">
        <v>256</v>
      </c>
      <c r="AD3263">
        <v>0.69069870899999997</v>
      </c>
      <c r="AE3263">
        <v>44</v>
      </c>
      <c r="AH3263">
        <v>12475084</v>
      </c>
    </row>
    <row r="3264" spans="27:34">
      <c r="AA3264">
        <v>-7.29</v>
      </c>
      <c r="AB3264">
        <v>4.3</v>
      </c>
      <c r="AC3264">
        <v>256</v>
      </c>
      <c r="AD3264">
        <v>0.69069870899999997</v>
      </c>
      <c r="AH3264">
        <v>12459352</v>
      </c>
    </row>
    <row r="3265" spans="27:34">
      <c r="AA3265">
        <v>-7.29</v>
      </c>
      <c r="AB3265">
        <v>4.3</v>
      </c>
      <c r="AC3265">
        <v>256</v>
      </c>
      <c r="AD3265">
        <v>0.69069870899999997</v>
      </c>
      <c r="AH3265">
        <v>12449219</v>
      </c>
    </row>
    <row r="3266" spans="27:34">
      <c r="AA3266">
        <v>-7.29</v>
      </c>
      <c r="AB3266">
        <v>4.3</v>
      </c>
      <c r="AC3266">
        <v>256</v>
      </c>
      <c r="AD3266">
        <v>0.69069870899999997</v>
      </c>
      <c r="AE3266">
        <v>44</v>
      </c>
      <c r="AH3266">
        <v>12462879</v>
      </c>
    </row>
    <row r="3267" spans="27:34">
      <c r="AA3267">
        <v>-7.29</v>
      </c>
      <c r="AB3267">
        <v>4.3</v>
      </c>
      <c r="AC3267">
        <v>256</v>
      </c>
      <c r="AD3267">
        <v>0.69069870899999997</v>
      </c>
      <c r="AH3267">
        <v>12522784</v>
      </c>
    </row>
    <row r="3268" spans="27:34">
      <c r="AA3268">
        <v>-7.29</v>
      </c>
      <c r="AB3268">
        <v>4.3</v>
      </c>
      <c r="AC3268">
        <v>256</v>
      </c>
      <c r="AD3268">
        <v>0.69069870899999997</v>
      </c>
    </row>
    <row r="3269" spans="27:34">
      <c r="AA3269">
        <v>-7.29</v>
      </c>
      <c r="AB3269">
        <v>4.3</v>
      </c>
      <c r="AC3269">
        <v>256</v>
      </c>
      <c r="AD3269">
        <v>0.69069870899999997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P22" sqref="P22"/>
    </sheetView>
  </sheetViews>
  <sheetFormatPr baseColWidth="10" defaultRowHeight="15" x14ac:dyDescent="0"/>
  <cols>
    <col min="6" max="6" width="10.83203125" style="14"/>
    <col min="7" max="7" width="10.83203125" style="17"/>
    <col min="10" max="10" width="18" customWidth="1"/>
  </cols>
  <sheetData>
    <row r="2" spans="3:11">
      <c r="F2" s="12" t="s">
        <v>40</v>
      </c>
      <c r="G2" s="15" t="s">
        <v>39</v>
      </c>
      <c r="I2" s="18" t="s">
        <v>478</v>
      </c>
      <c r="J2" s="18"/>
    </row>
    <row r="3" spans="3:11">
      <c r="C3" t="s">
        <v>4</v>
      </c>
      <c r="F3" s="12" t="s">
        <v>42</v>
      </c>
      <c r="G3" s="15" t="s">
        <v>41</v>
      </c>
      <c r="I3" t="s">
        <v>451</v>
      </c>
      <c r="J3" t="s">
        <v>4</v>
      </c>
      <c r="K3" s="6" t="s">
        <v>429</v>
      </c>
    </row>
    <row r="4" spans="3:11">
      <c r="C4" t="s">
        <v>0</v>
      </c>
      <c r="F4" s="12" t="s">
        <v>44</v>
      </c>
      <c r="G4" s="15" t="s">
        <v>43</v>
      </c>
      <c r="I4" t="s">
        <v>452</v>
      </c>
      <c r="J4" t="s">
        <v>0</v>
      </c>
      <c r="K4" s="6" t="s">
        <v>429</v>
      </c>
    </row>
    <row r="5" spans="3:11">
      <c r="C5" t="s">
        <v>3</v>
      </c>
      <c r="F5" s="12" t="s">
        <v>46</v>
      </c>
      <c r="G5" s="15" t="s">
        <v>45</v>
      </c>
      <c r="J5" t="s">
        <v>3</v>
      </c>
      <c r="K5" s="6" t="s">
        <v>429</v>
      </c>
    </row>
    <row r="6" spans="3:11">
      <c r="C6" t="s">
        <v>1</v>
      </c>
      <c r="F6" s="12" t="s">
        <v>48</v>
      </c>
      <c r="G6" s="15" t="s">
        <v>47</v>
      </c>
      <c r="I6" t="s">
        <v>453</v>
      </c>
      <c r="J6" t="s">
        <v>1</v>
      </c>
      <c r="K6" s="6" t="s">
        <v>428</v>
      </c>
    </row>
    <row r="7" spans="3:11">
      <c r="C7" t="s">
        <v>2</v>
      </c>
      <c r="F7" s="12" t="s">
        <v>50</v>
      </c>
      <c r="G7" s="15" t="s">
        <v>49</v>
      </c>
      <c r="I7" t="s">
        <v>454</v>
      </c>
      <c r="J7" t="s">
        <v>2</v>
      </c>
      <c r="K7" s="6" t="s">
        <v>429</v>
      </c>
    </row>
    <row r="8" spans="3:11">
      <c r="C8" s="1" t="s">
        <v>35</v>
      </c>
      <c r="F8" s="12" t="s">
        <v>52</v>
      </c>
      <c r="G8" s="15" t="s">
        <v>51</v>
      </c>
      <c r="I8" t="s">
        <v>455</v>
      </c>
      <c r="J8" t="s">
        <v>35</v>
      </c>
      <c r="K8" s="6" t="s">
        <v>429</v>
      </c>
    </row>
    <row r="9" spans="3:11">
      <c r="C9" s="1" t="s">
        <v>5</v>
      </c>
      <c r="F9" s="12" t="s">
        <v>54</v>
      </c>
      <c r="G9" s="15" t="s">
        <v>53</v>
      </c>
      <c r="I9" t="s">
        <v>456</v>
      </c>
      <c r="J9" t="s">
        <v>5</v>
      </c>
      <c r="K9" s="6" t="s">
        <v>429</v>
      </c>
    </row>
    <row r="10" spans="3:11">
      <c r="C10" t="s">
        <v>6</v>
      </c>
      <c r="F10" s="12" t="s">
        <v>56</v>
      </c>
      <c r="G10" s="15" t="s">
        <v>55</v>
      </c>
      <c r="I10" t="s">
        <v>457</v>
      </c>
      <c r="J10" t="s">
        <v>6</v>
      </c>
      <c r="K10" s="6" t="s">
        <v>429</v>
      </c>
    </row>
    <row r="11" spans="3:11">
      <c r="C11" t="s">
        <v>7</v>
      </c>
      <c r="F11" s="12" t="s">
        <v>58</v>
      </c>
      <c r="G11" s="15" t="s">
        <v>57</v>
      </c>
      <c r="I11" t="s">
        <v>458</v>
      </c>
      <c r="J11" t="s">
        <v>7</v>
      </c>
      <c r="K11" s="6" t="s">
        <v>429</v>
      </c>
    </row>
    <row r="12" spans="3:11">
      <c r="C12" t="s">
        <v>8</v>
      </c>
      <c r="F12" s="12" t="s">
        <v>60</v>
      </c>
      <c r="G12" s="15" t="s">
        <v>59</v>
      </c>
      <c r="I12" t="s">
        <v>459</v>
      </c>
      <c r="J12" t="s">
        <v>8</v>
      </c>
      <c r="K12" s="6" t="s">
        <v>429</v>
      </c>
    </row>
    <row r="13" spans="3:11">
      <c r="C13" t="s">
        <v>9</v>
      </c>
      <c r="F13" s="12" t="s">
        <v>62</v>
      </c>
      <c r="G13" s="15" t="s">
        <v>61</v>
      </c>
      <c r="I13" t="s">
        <v>460</v>
      </c>
      <c r="J13" t="s">
        <v>9</v>
      </c>
      <c r="K13" s="6" t="s">
        <v>429</v>
      </c>
    </row>
    <row r="14" spans="3:11">
      <c r="C14" t="s">
        <v>10</v>
      </c>
      <c r="F14" s="12" t="s">
        <v>64</v>
      </c>
      <c r="G14" s="15" t="s">
        <v>63</v>
      </c>
      <c r="J14" t="s">
        <v>10</v>
      </c>
      <c r="K14" s="6" t="s">
        <v>426</v>
      </c>
    </row>
    <row r="15" spans="3:11">
      <c r="C15" t="s">
        <v>11</v>
      </c>
      <c r="F15" s="12" t="s">
        <v>66</v>
      </c>
      <c r="G15" s="15" t="s">
        <v>65</v>
      </c>
      <c r="I15" t="s">
        <v>462</v>
      </c>
      <c r="J15" t="s">
        <v>11</v>
      </c>
      <c r="K15" s="6" t="s">
        <v>429</v>
      </c>
    </row>
    <row r="16" spans="3:11">
      <c r="C16" t="s">
        <v>12</v>
      </c>
      <c r="F16" s="12" t="s">
        <v>68</v>
      </c>
      <c r="G16" s="15" t="s">
        <v>67</v>
      </c>
      <c r="I16" t="s">
        <v>463</v>
      </c>
      <c r="J16" t="s">
        <v>12</v>
      </c>
      <c r="K16" s="6" t="s">
        <v>428</v>
      </c>
    </row>
    <row r="17" spans="3:11">
      <c r="C17" t="s">
        <v>13</v>
      </c>
      <c r="F17" s="12" t="s">
        <v>70</v>
      </c>
      <c r="G17" s="15" t="s">
        <v>69</v>
      </c>
      <c r="I17" t="s">
        <v>464</v>
      </c>
      <c r="J17" t="s">
        <v>13</v>
      </c>
      <c r="K17" s="6" t="s">
        <v>428</v>
      </c>
    </row>
    <row r="18" spans="3:11">
      <c r="C18" t="s">
        <v>14</v>
      </c>
      <c r="F18" s="12" t="s">
        <v>72</v>
      </c>
      <c r="G18" s="15" t="s">
        <v>71</v>
      </c>
      <c r="I18" t="s">
        <v>465</v>
      </c>
      <c r="J18" t="s">
        <v>14</v>
      </c>
      <c r="K18" s="6" t="s">
        <v>429</v>
      </c>
    </row>
    <row r="19" spans="3:11">
      <c r="C19" t="s">
        <v>15</v>
      </c>
      <c r="F19" s="12" t="s">
        <v>74</v>
      </c>
      <c r="G19" s="15" t="s">
        <v>73</v>
      </c>
      <c r="I19" t="s">
        <v>461</v>
      </c>
      <c r="J19" t="s">
        <v>15</v>
      </c>
      <c r="K19" s="6" t="s">
        <v>429</v>
      </c>
    </row>
    <row r="20" spans="3:11">
      <c r="C20" t="s">
        <v>16</v>
      </c>
      <c r="F20" s="12" t="s">
        <v>76</v>
      </c>
      <c r="G20" s="15" t="s">
        <v>75</v>
      </c>
      <c r="J20" t="s">
        <v>16</v>
      </c>
      <c r="K20" s="6" t="s">
        <v>427</v>
      </c>
    </row>
    <row r="21" spans="3:11">
      <c r="C21" t="s">
        <v>17</v>
      </c>
      <c r="F21" s="12" t="s">
        <v>78</v>
      </c>
      <c r="G21" s="15" t="s">
        <v>77</v>
      </c>
      <c r="J21" t="s">
        <v>17</v>
      </c>
      <c r="K21" s="6" t="s">
        <v>427</v>
      </c>
    </row>
    <row r="22" spans="3:11">
      <c r="C22" t="s">
        <v>18</v>
      </c>
      <c r="F22" s="12" t="s">
        <v>432</v>
      </c>
      <c r="G22" s="15" t="s">
        <v>79</v>
      </c>
      <c r="I22" t="s">
        <v>466</v>
      </c>
      <c r="J22" t="s">
        <v>18</v>
      </c>
      <c r="K22" s="6" t="s">
        <v>429</v>
      </c>
    </row>
    <row r="23" spans="3:11">
      <c r="C23" t="s">
        <v>19</v>
      </c>
      <c r="F23" s="12" t="s">
        <v>449</v>
      </c>
      <c r="G23" s="15" t="s">
        <v>81</v>
      </c>
      <c r="J23" t="s">
        <v>19</v>
      </c>
      <c r="K23" s="6" t="s">
        <v>429</v>
      </c>
    </row>
    <row r="24" spans="3:11">
      <c r="C24" t="s">
        <v>20</v>
      </c>
      <c r="F24" s="12" t="s">
        <v>84</v>
      </c>
      <c r="G24" s="15" t="s">
        <v>83</v>
      </c>
      <c r="I24" t="s">
        <v>467</v>
      </c>
      <c r="J24" t="s">
        <v>20</v>
      </c>
      <c r="K24" s="6" t="s">
        <v>429</v>
      </c>
    </row>
    <row r="25" spans="3:11">
      <c r="C25" t="s">
        <v>21</v>
      </c>
      <c r="F25" s="12" t="s">
        <v>86</v>
      </c>
      <c r="G25" s="15" t="s">
        <v>85</v>
      </c>
      <c r="I25" t="s">
        <v>468</v>
      </c>
      <c r="J25" t="s">
        <v>21</v>
      </c>
      <c r="K25" s="6" t="s">
        <v>428</v>
      </c>
    </row>
    <row r="26" spans="3:11">
      <c r="C26" t="s">
        <v>22</v>
      </c>
      <c r="F26" s="12" t="s">
        <v>88</v>
      </c>
      <c r="G26" s="15" t="s">
        <v>87</v>
      </c>
      <c r="J26" t="s">
        <v>37</v>
      </c>
      <c r="K26" s="6" t="s">
        <v>429</v>
      </c>
    </row>
    <row r="27" spans="3:11">
      <c r="C27" t="s">
        <v>23</v>
      </c>
      <c r="F27" s="12" t="s">
        <v>90</v>
      </c>
      <c r="G27" s="15" t="s">
        <v>89</v>
      </c>
      <c r="I27" t="s">
        <v>469</v>
      </c>
      <c r="J27" t="s">
        <v>23</v>
      </c>
      <c r="K27" s="6" t="s">
        <v>430</v>
      </c>
    </row>
    <row r="28" spans="3:11">
      <c r="C28" t="s">
        <v>24</v>
      </c>
      <c r="F28" s="12" t="s">
        <v>92</v>
      </c>
      <c r="G28" s="15" t="s">
        <v>91</v>
      </c>
      <c r="I28" t="s">
        <v>470</v>
      </c>
      <c r="J28" t="s">
        <v>24</v>
      </c>
      <c r="K28" s="6" t="s">
        <v>429</v>
      </c>
    </row>
    <row r="29" spans="3:11">
      <c r="C29" t="s">
        <v>25</v>
      </c>
      <c r="F29" s="12" t="s">
        <v>94</v>
      </c>
      <c r="G29" s="15" t="s">
        <v>93</v>
      </c>
      <c r="I29" t="s">
        <v>471</v>
      </c>
      <c r="J29" t="s">
        <v>25</v>
      </c>
      <c r="K29" s="6" t="s">
        <v>429</v>
      </c>
    </row>
    <row r="30" spans="3:11">
      <c r="C30" t="s">
        <v>26</v>
      </c>
      <c r="F30" s="12" t="s">
        <v>96</v>
      </c>
      <c r="G30" s="15" t="s">
        <v>95</v>
      </c>
      <c r="J30" t="s">
        <v>26</v>
      </c>
      <c r="K30" s="6" t="s">
        <v>427</v>
      </c>
    </row>
    <row r="31" spans="3:11">
      <c r="C31" t="s">
        <v>27</v>
      </c>
      <c r="F31" s="12" t="s">
        <v>98</v>
      </c>
      <c r="G31" s="15" t="s">
        <v>97</v>
      </c>
      <c r="I31" t="s">
        <v>472</v>
      </c>
      <c r="J31" t="s">
        <v>27</v>
      </c>
      <c r="K31" s="6" t="s">
        <v>429</v>
      </c>
    </row>
    <row r="32" spans="3:11">
      <c r="C32" t="s">
        <v>28</v>
      </c>
      <c r="F32" s="12" t="s">
        <v>100</v>
      </c>
      <c r="G32" s="15" t="s">
        <v>99</v>
      </c>
      <c r="I32" t="s">
        <v>473</v>
      </c>
      <c r="J32" t="s">
        <v>28</v>
      </c>
      <c r="K32" s="6" t="s">
        <v>429</v>
      </c>
    </row>
    <row r="33" spans="3:11">
      <c r="C33" t="s">
        <v>29</v>
      </c>
      <c r="F33" s="12" t="s">
        <v>102</v>
      </c>
      <c r="G33" s="15" t="s">
        <v>101</v>
      </c>
      <c r="I33" t="s">
        <v>474</v>
      </c>
      <c r="J33" t="s">
        <v>29</v>
      </c>
      <c r="K33" s="6" t="s">
        <v>429</v>
      </c>
    </row>
    <row r="34" spans="3:11">
      <c r="C34" t="s">
        <v>30</v>
      </c>
      <c r="F34" s="12" t="s">
        <v>450</v>
      </c>
      <c r="G34" s="15" t="s">
        <v>103</v>
      </c>
      <c r="I34" t="s">
        <v>475</v>
      </c>
      <c r="J34" t="s">
        <v>30</v>
      </c>
      <c r="K34" s="6" t="s">
        <v>429</v>
      </c>
    </row>
    <row r="35" spans="3:11">
      <c r="C35" t="s">
        <v>31</v>
      </c>
      <c r="F35" s="12" t="s">
        <v>106</v>
      </c>
      <c r="G35" s="15" t="s">
        <v>105</v>
      </c>
      <c r="J35" t="s">
        <v>31</v>
      </c>
      <c r="K35" s="6" t="s">
        <v>428</v>
      </c>
    </row>
    <row r="36" spans="3:11">
      <c r="C36" t="s">
        <v>32</v>
      </c>
      <c r="F36" s="12" t="s">
        <v>108</v>
      </c>
      <c r="G36" s="15" t="s">
        <v>107</v>
      </c>
      <c r="J36" t="s">
        <v>32</v>
      </c>
      <c r="K36" s="6" t="s">
        <v>428</v>
      </c>
    </row>
    <row r="37" spans="3:11">
      <c r="C37" t="s">
        <v>33</v>
      </c>
      <c r="F37" s="12" t="s">
        <v>110</v>
      </c>
      <c r="G37" s="15" t="s">
        <v>109</v>
      </c>
      <c r="J37" t="s">
        <v>33</v>
      </c>
      <c r="K37" s="6" t="s">
        <v>428</v>
      </c>
    </row>
    <row r="38" spans="3:11">
      <c r="C38" t="s">
        <v>34</v>
      </c>
      <c r="F38" s="12" t="s">
        <v>112</v>
      </c>
      <c r="G38" s="15" t="s">
        <v>111</v>
      </c>
      <c r="I38" t="s">
        <v>476</v>
      </c>
      <c r="J38" t="s">
        <v>34</v>
      </c>
      <c r="K38" s="6" t="s">
        <v>428</v>
      </c>
    </row>
    <row r="39" spans="3:11">
      <c r="F39" s="12" t="s">
        <v>114</v>
      </c>
      <c r="G39" s="15" t="s">
        <v>113</v>
      </c>
    </row>
    <row r="40" spans="3:11">
      <c r="F40" s="12" t="s">
        <v>116</v>
      </c>
      <c r="G40" s="15" t="s">
        <v>115</v>
      </c>
    </row>
    <row r="41" spans="3:11">
      <c r="F41" s="12" t="s">
        <v>433</v>
      </c>
      <c r="G41" s="15" t="s">
        <v>117</v>
      </c>
    </row>
    <row r="42" spans="3:11">
      <c r="F42" s="12" t="s">
        <v>120</v>
      </c>
      <c r="G42" s="15" t="s">
        <v>119</v>
      </c>
    </row>
    <row r="43" spans="3:11">
      <c r="F43" s="12" t="s">
        <v>122</v>
      </c>
      <c r="G43" s="15" t="s">
        <v>121</v>
      </c>
    </row>
    <row r="44" spans="3:11">
      <c r="F44" s="12" t="s">
        <v>124</v>
      </c>
      <c r="G44" s="15" t="s">
        <v>123</v>
      </c>
    </row>
    <row r="45" spans="3:11">
      <c r="F45" s="12" t="s">
        <v>126</v>
      </c>
      <c r="G45" s="15" t="s">
        <v>125</v>
      </c>
    </row>
    <row r="46" spans="3:11">
      <c r="F46" s="12" t="s">
        <v>128</v>
      </c>
      <c r="G46" s="15" t="s">
        <v>127</v>
      </c>
    </row>
    <row r="47" spans="3:11">
      <c r="F47" s="12" t="s">
        <v>130</v>
      </c>
      <c r="G47" s="15" t="s">
        <v>129</v>
      </c>
    </row>
    <row r="48" spans="3:11">
      <c r="F48" s="12" t="s">
        <v>132</v>
      </c>
      <c r="G48" s="15" t="s">
        <v>131</v>
      </c>
    </row>
    <row r="49" spans="6:7">
      <c r="F49" s="12" t="s">
        <v>134</v>
      </c>
      <c r="G49" s="15" t="s">
        <v>133</v>
      </c>
    </row>
    <row r="50" spans="6:7">
      <c r="F50" s="12" t="s">
        <v>136</v>
      </c>
      <c r="G50" s="15" t="s">
        <v>135</v>
      </c>
    </row>
    <row r="51" spans="6:7">
      <c r="F51" s="12" t="s">
        <v>434</v>
      </c>
      <c r="G51" s="15" t="s">
        <v>137</v>
      </c>
    </row>
    <row r="52" spans="6:7">
      <c r="F52" s="12" t="s">
        <v>140</v>
      </c>
      <c r="G52" s="15" t="s">
        <v>139</v>
      </c>
    </row>
    <row r="53" spans="6:7">
      <c r="F53" s="12" t="s">
        <v>142</v>
      </c>
      <c r="G53" s="15" t="s">
        <v>141</v>
      </c>
    </row>
    <row r="54" spans="6:7">
      <c r="F54" s="12" t="s">
        <v>144</v>
      </c>
      <c r="G54" s="15" t="s">
        <v>143</v>
      </c>
    </row>
    <row r="55" spans="6:7">
      <c r="F55" s="12" t="s">
        <v>146</v>
      </c>
      <c r="G55" s="15" t="s">
        <v>145</v>
      </c>
    </row>
    <row r="56" spans="6:7">
      <c r="F56" s="12" t="s">
        <v>148</v>
      </c>
      <c r="G56" s="15" t="s">
        <v>147</v>
      </c>
    </row>
    <row r="57" spans="6:7">
      <c r="F57" s="12" t="s">
        <v>150</v>
      </c>
      <c r="G57" s="15" t="s">
        <v>149</v>
      </c>
    </row>
    <row r="58" spans="6:7">
      <c r="F58" s="12" t="s">
        <v>152</v>
      </c>
      <c r="G58" s="15" t="s">
        <v>151</v>
      </c>
    </row>
    <row r="59" spans="6:7">
      <c r="F59" s="12" t="s">
        <v>154</v>
      </c>
      <c r="G59" s="15" t="s">
        <v>153</v>
      </c>
    </row>
    <row r="60" spans="6:7">
      <c r="F60" s="12" t="s">
        <v>156</v>
      </c>
      <c r="G60" s="15" t="s">
        <v>155</v>
      </c>
    </row>
    <row r="61" spans="6:7">
      <c r="F61" s="12" t="s">
        <v>158</v>
      </c>
      <c r="G61" s="15" t="s">
        <v>157</v>
      </c>
    </row>
    <row r="62" spans="6:7">
      <c r="F62" s="12" t="s">
        <v>160</v>
      </c>
      <c r="G62" s="15" t="s">
        <v>159</v>
      </c>
    </row>
    <row r="63" spans="6:7">
      <c r="F63" s="12" t="s">
        <v>162</v>
      </c>
      <c r="G63" s="15" t="s">
        <v>161</v>
      </c>
    </row>
    <row r="64" spans="6:7">
      <c r="F64" s="12" t="s">
        <v>164</v>
      </c>
      <c r="G64" s="15" t="s">
        <v>163</v>
      </c>
    </row>
    <row r="65" spans="6:7">
      <c r="F65" s="12" t="s">
        <v>166</v>
      </c>
      <c r="G65" s="15" t="s">
        <v>165</v>
      </c>
    </row>
    <row r="66" spans="6:7">
      <c r="F66" s="12" t="s">
        <v>168</v>
      </c>
      <c r="G66" s="15" t="s">
        <v>167</v>
      </c>
    </row>
    <row r="67" spans="6:7">
      <c r="F67" s="12" t="s">
        <v>170</v>
      </c>
      <c r="G67" s="15" t="s">
        <v>169</v>
      </c>
    </row>
    <row r="68" spans="6:7">
      <c r="F68" s="12" t="s">
        <v>172</v>
      </c>
      <c r="G68" s="15" t="s">
        <v>171</v>
      </c>
    </row>
    <row r="69" spans="6:7">
      <c r="F69" s="12" t="s">
        <v>174</v>
      </c>
      <c r="G69" s="15" t="s">
        <v>173</v>
      </c>
    </row>
    <row r="70" spans="6:7">
      <c r="F70" s="12" t="s">
        <v>176</v>
      </c>
      <c r="G70" s="15" t="s">
        <v>175</v>
      </c>
    </row>
    <row r="71" spans="6:7">
      <c r="F71" s="12" t="s">
        <v>178</v>
      </c>
      <c r="G71" s="15" t="s">
        <v>177</v>
      </c>
    </row>
    <row r="72" spans="6:7">
      <c r="F72" s="12" t="s">
        <v>180</v>
      </c>
      <c r="G72" s="15" t="s">
        <v>179</v>
      </c>
    </row>
    <row r="73" spans="6:7">
      <c r="F73" s="12" t="s">
        <v>182</v>
      </c>
      <c r="G73" s="15" t="s">
        <v>181</v>
      </c>
    </row>
    <row r="74" spans="6:7">
      <c r="F74" s="12" t="s">
        <v>184</v>
      </c>
      <c r="G74" s="15" t="s">
        <v>183</v>
      </c>
    </row>
    <row r="75" spans="6:7">
      <c r="F75" s="12" t="s">
        <v>186</v>
      </c>
      <c r="G75" s="15" t="s">
        <v>185</v>
      </c>
    </row>
    <row r="76" spans="6:7">
      <c r="F76" s="12" t="s">
        <v>188</v>
      </c>
      <c r="G76" s="15" t="s">
        <v>187</v>
      </c>
    </row>
    <row r="77" spans="6:7">
      <c r="F77" s="12" t="s">
        <v>190</v>
      </c>
      <c r="G77" s="15" t="s">
        <v>189</v>
      </c>
    </row>
    <row r="78" spans="6:7">
      <c r="F78" s="12" t="s">
        <v>192</v>
      </c>
      <c r="G78" s="15" t="s">
        <v>191</v>
      </c>
    </row>
    <row r="79" spans="6:7">
      <c r="F79" s="12" t="s">
        <v>435</v>
      </c>
      <c r="G79" s="15" t="s">
        <v>193</v>
      </c>
    </row>
    <row r="80" spans="6:7">
      <c r="F80" s="12" t="s">
        <v>196</v>
      </c>
      <c r="G80" s="15" t="s">
        <v>195</v>
      </c>
    </row>
    <row r="81" spans="6:7">
      <c r="F81" s="12" t="s">
        <v>198</v>
      </c>
      <c r="G81" s="15" t="s">
        <v>197</v>
      </c>
    </row>
    <row r="82" spans="6:7">
      <c r="F82" s="12" t="s">
        <v>200</v>
      </c>
      <c r="G82" s="15" t="s">
        <v>199</v>
      </c>
    </row>
    <row r="83" spans="6:7">
      <c r="F83" s="12" t="s">
        <v>202</v>
      </c>
      <c r="G83" s="15" t="s">
        <v>201</v>
      </c>
    </row>
    <row r="84" spans="6:7">
      <c r="F84" s="12" t="s">
        <v>204</v>
      </c>
      <c r="G84" s="15" t="s">
        <v>203</v>
      </c>
    </row>
    <row r="85" spans="6:7">
      <c r="F85" s="12" t="s">
        <v>206</v>
      </c>
      <c r="G85" s="15" t="s">
        <v>205</v>
      </c>
    </row>
    <row r="86" spans="6:7">
      <c r="F86" s="12" t="s">
        <v>208</v>
      </c>
      <c r="G86" s="15" t="s">
        <v>207</v>
      </c>
    </row>
    <row r="87" spans="6:7">
      <c r="F87" s="12" t="s">
        <v>210</v>
      </c>
      <c r="G87" s="15" t="s">
        <v>209</v>
      </c>
    </row>
    <row r="88" spans="6:7">
      <c r="F88" s="12" t="s">
        <v>212</v>
      </c>
      <c r="G88" s="15" t="s">
        <v>211</v>
      </c>
    </row>
    <row r="89" spans="6:7">
      <c r="F89" s="12" t="s">
        <v>214</v>
      </c>
      <c r="G89" s="15" t="s">
        <v>213</v>
      </c>
    </row>
    <row r="90" spans="6:7">
      <c r="F90" s="12" t="s">
        <v>436</v>
      </c>
      <c r="G90" s="15" t="s">
        <v>215</v>
      </c>
    </row>
    <row r="91" spans="6:7">
      <c r="F91" s="12" t="s">
        <v>437</v>
      </c>
      <c r="G91" s="15" t="s">
        <v>217</v>
      </c>
    </row>
    <row r="92" spans="6:7">
      <c r="F92" s="12" t="s">
        <v>220</v>
      </c>
      <c r="G92" s="15" t="s">
        <v>219</v>
      </c>
    </row>
    <row r="93" spans="6:7">
      <c r="F93" s="12" t="s">
        <v>222</v>
      </c>
      <c r="G93" s="15" t="s">
        <v>221</v>
      </c>
    </row>
    <row r="94" spans="6:7">
      <c r="F94" s="12" t="s">
        <v>438</v>
      </c>
      <c r="G94" s="15" t="s">
        <v>223</v>
      </c>
    </row>
    <row r="95" spans="6:7">
      <c r="F95" s="12" t="s">
        <v>226</v>
      </c>
      <c r="G95" s="15" t="s">
        <v>225</v>
      </c>
    </row>
    <row r="96" spans="6:7">
      <c r="F96" s="12" t="s">
        <v>228</v>
      </c>
      <c r="G96" s="15" t="s">
        <v>227</v>
      </c>
    </row>
    <row r="97" spans="6:7">
      <c r="F97" s="12" t="s">
        <v>230</v>
      </c>
      <c r="G97" s="15" t="s">
        <v>229</v>
      </c>
    </row>
    <row r="98" spans="6:7">
      <c r="F98" s="13" t="s">
        <v>232</v>
      </c>
      <c r="G98" s="16" t="s">
        <v>231</v>
      </c>
    </row>
    <row r="99" spans="6:7">
      <c r="F99" s="13" t="s">
        <v>439</v>
      </c>
      <c r="G99" s="16" t="s">
        <v>233</v>
      </c>
    </row>
    <row r="100" spans="6:7" ht="30">
      <c r="F100" s="13" t="s">
        <v>236</v>
      </c>
      <c r="G100" s="16" t="s">
        <v>235</v>
      </c>
    </row>
    <row r="101" spans="6:7">
      <c r="F101" s="13" t="s">
        <v>238</v>
      </c>
      <c r="G101" s="16" t="s">
        <v>237</v>
      </c>
    </row>
    <row r="102" spans="6:7" ht="30">
      <c r="F102" s="13" t="s">
        <v>240</v>
      </c>
      <c r="G102" s="16" t="s">
        <v>239</v>
      </c>
    </row>
    <row r="103" spans="6:7" ht="30">
      <c r="F103" s="13" t="s">
        <v>242</v>
      </c>
      <c r="G103" s="16" t="s">
        <v>241</v>
      </c>
    </row>
    <row r="104" spans="6:7">
      <c r="F104" s="13" t="s">
        <v>244</v>
      </c>
      <c r="G104" s="16" t="s">
        <v>243</v>
      </c>
    </row>
    <row r="105" spans="6:7">
      <c r="F105" s="13" t="s">
        <v>246</v>
      </c>
      <c r="G105" s="16" t="s">
        <v>245</v>
      </c>
    </row>
    <row r="106" spans="6:7">
      <c r="F106" s="13" t="s">
        <v>248</v>
      </c>
      <c r="G106" s="16" t="s">
        <v>247</v>
      </c>
    </row>
    <row r="107" spans="6:7">
      <c r="F107" s="13" t="s">
        <v>250</v>
      </c>
      <c r="G107" s="16" t="s">
        <v>249</v>
      </c>
    </row>
    <row r="108" spans="6:7">
      <c r="F108" s="13" t="s">
        <v>252</v>
      </c>
      <c r="G108" s="16" t="s">
        <v>251</v>
      </c>
    </row>
    <row r="109" spans="6:7" ht="30">
      <c r="F109" s="13" t="s">
        <v>254</v>
      </c>
      <c r="G109" s="16" t="s">
        <v>253</v>
      </c>
    </row>
    <row r="110" spans="6:7">
      <c r="F110" s="13" t="s">
        <v>256</v>
      </c>
      <c r="G110" s="16" t="s">
        <v>255</v>
      </c>
    </row>
    <row r="111" spans="6:7">
      <c r="F111" s="13" t="s">
        <v>258</v>
      </c>
      <c r="G111" s="16" t="s">
        <v>257</v>
      </c>
    </row>
    <row r="112" spans="6:7">
      <c r="F112" s="13" t="s">
        <v>260</v>
      </c>
      <c r="G112" s="16" t="s">
        <v>259</v>
      </c>
    </row>
    <row r="113" spans="6:7" ht="30">
      <c r="F113" s="13" t="s">
        <v>440</v>
      </c>
      <c r="G113" s="16" t="s">
        <v>261</v>
      </c>
    </row>
    <row r="114" spans="6:7">
      <c r="F114" s="13" t="s">
        <v>441</v>
      </c>
      <c r="G114" s="16" t="s">
        <v>263</v>
      </c>
    </row>
    <row r="115" spans="6:7">
      <c r="F115" s="13" t="s">
        <v>266</v>
      </c>
      <c r="G115" s="16" t="s">
        <v>265</v>
      </c>
    </row>
    <row r="116" spans="6:7">
      <c r="F116" s="13" t="s">
        <v>268</v>
      </c>
      <c r="G116" s="16" t="s">
        <v>267</v>
      </c>
    </row>
    <row r="117" spans="6:7">
      <c r="F117" s="13" t="s">
        <v>270</v>
      </c>
      <c r="G117" s="16" t="s">
        <v>269</v>
      </c>
    </row>
    <row r="118" spans="6:7" ht="30">
      <c r="F118" s="13" t="s">
        <v>272</v>
      </c>
      <c r="G118" s="16" t="s">
        <v>271</v>
      </c>
    </row>
    <row r="119" spans="6:7">
      <c r="F119" s="13" t="s">
        <v>274</v>
      </c>
      <c r="G119" s="16" t="s">
        <v>273</v>
      </c>
    </row>
    <row r="120" spans="6:7" ht="30">
      <c r="F120" s="13" t="s">
        <v>276</v>
      </c>
      <c r="G120" s="16" t="s">
        <v>275</v>
      </c>
    </row>
    <row r="121" spans="6:7">
      <c r="F121" s="13" t="s">
        <v>278</v>
      </c>
      <c r="G121" s="16" t="s">
        <v>277</v>
      </c>
    </row>
    <row r="122" spans="6:7">
      <c r="F122" s="13" t="s">
        <v>280</v>
      </c>
      <c r="G122" s="16" t="s">
        <v>279</v>
      </c>
    </row>
    <row r="123" spans="6:7">
      <c r="F123" s="13" t="s">
        <v>282</v>
      </c>
      <c r="G123" s="16" t="s">
        <v>281</v>
      </c>
    </row>
    <row r="124" spans="6:7">
      <c r="F124" s="13" t="s">
        <v>284</v>
      </c>
      <c r="G124" s="16" t="s">
        <v>283</v>
      </c>
    </row>
    <row r="125" spans="6:7" ht="30">
      <c r="F125" s="13" t="s">
        <v>286</v>
      </c>
      <c r="G125" s="16" t="s">
        <v>285</v>
      </c>
    </row>
    <row r="126" spans="6:7" ht="30">
      <c r="F126" s="13" t="s">
        <v>288</v>
      </c>
      <c r="G126" s="16" t="s">
        <v>287</v>
      </c>
    </row>
    <row r="127" spans="6:7">
      <c r="F127" s="13" t="s">
        <v>290</v>
      </c>
      <c r="G127" s="16" t="s">
        <v>289</v>
      </c>
    </row>
    <row r="128" spans="6:7">
      <c r="F128" s="13" t="s">
        <v>292</v>
      </c>
      <c r="G128" s="16" t="s">
        <v>291</v>
      </c>
    </row>
    <row r="129" spans="6:7">
      <c r="F129" s="13" t="s">
        <v>294</v>
      </c>
      <c r="G129" s="16" t="s">
        <v>293</v>
      </c>
    </row>
    <row r="130" spans="6:7">
      <c r="F130" s="13" t="s">
        <v>296</v>
      </c>
      <c r="G130" s="16" t="s">
        <v>295</v>
      </c>
    </row>
    <row r="131" spans="6:7">
      <c r="F131" s="13" t="s">
        <v>298</v>
      </c>
      <c r="G131" s="16" t="s">
        <v>297</v>
      </c>
    </row>
    <row r="132" spans="6:7">
      <c r="F132" s="13" t="s">
        <v>300</v>
      </c>
      <c r="G132" s="16" t="s">
        <v>299</v>
      </c>
    </row>
    <row r="133" spans="6:7">
      <c r="F133" s="13" t="s">
        <v>302</v>
      </c>
      <c r="G133" s="16" t="s">
        <v>301</v>
      </c>
    </row>
    <row r="134" spans="6:7">
      <c r="F134" s="13" t="s">
        <v>304</v>
      </c>
      <c r="G134" s="16" t="s">
        <v>303</v>
      </c>
    </row>
    <row r="135" spans="6:7" ht="30">
      <c r="F135" s="13" t="s">
        <v>306</v>
      </c>
      <c r="G135" s="16" t="s">
        <v>305</v>
      </c>
    </row>
    <row r="136" spans="6:7">
      <c r="F136" s="13" t="s">
        <v>308</v>
      </c>
      <c r="G136" s="16" t="s">
        <v>307</v>
      </c>
    </row>
    <row r="137" spans="6:7">
      <c r="F137" s="13" t="s">
        <v>310</v>
      </c>
      <c r="G137" s="16" t="s">
        <v>309</v>
      </c>
    </row>
    <row r="138" spans="6:7">
      <c r="F138" s="13" t="s">
        <v>312</v>
      </c>
      <c r="G138" s="16" t="s">
        <v>311</v>
      </c>
    </row>
    <row r="139" spans="6:7">
      <c r="F139" s="13" t="s">
        <v>314</v>
      </c>
      <c r="G139" s="16" t="s">
        <v>313</v>
      </c>
    </row>
    <row r="140" spans="6:7">
      <c r="F140" s="13" t="s">
        <v>316</v>
      </c>
      <c r="G140" s="16" t="s">
        <v>315</v>
      </c>
    </row>
    <row r="141" spans="6:7">
      <c r="F141" s="13" t="s">
        <v>318</v>
      </c>
      <c r="G141" s="16" t="s">
        <v>317</v>
      </c>
    </row>
    <row r="142" spans="6:7">
      <c r="F142" s="13" t="s">
        <v>320</v>
      </c>
      <c r="G142" s="16" t="s">
        <v>319</v>
      </c>
    </row>
    <row r="143" spans="6:7">
      <c r="F143" s="13" t="s">
        <v>442</v>
      </c>
      <c r="G143" s="16" t="s">
        <v>321</v>
      </c>
    </row>
    <row r="144" spans="6:7">
      <c r="F144" s="13" t="s">
        <v>324</v>
      </c>
      <c r="G144" s="16" t="s">
        <v>323</v>
      </c>
    </row>
    <row r="145" spans="6:7" ht="30">
      <c r="F145" s="13" t="s">
        <v>326</v>
      </c>
      <c r="G145" s="16" t="s">
        <v>325</v>
      </c>
    </row>
    <row r="146" spans="6:7">
      <c r="F146" s="13" t="s">
        <v>328</v>
      </c>
      <c r="G146" s="16" t="s">
        <v>327</v>
      </c>
    </row>
    <row r="147" spans="6:7" ht="45">
      <c r="F147" s="13" t="s">
        <v>443</v>
      </c>
      <c r="G147" s="16" t="s">
        <v>329</v>
      </c>
    </row>
    <row r="148" spans="6:7">
      <c r="F148" s="13" t="s">
        <v>332</v>
      </c>
      <c r="G148" s="16" t="s">
        <v>331</v>
      </c>
    </row>
    <row r="149" spans="6:7">
      <c r="F149" s="13" t="s">
        <v>334</v>
      </c>
      <c r="G149" s="16" t="s">
        <v>333</v>
      </c>
    </row>
    <row r="150" spans="6:7" ht="30">
      <c r="F150" s="13" t="s">
        <v>444</v>
      </c>
      <c r="G150" s="16" t="s">
        <v>335</v>
      </c>
    </row>
    <row r="151" spans="6:7" ht="30">
      <c r="F151" s="13" t="s">
        <v>338</v>
      </c>
      <c r="G151" s="16" t="s">
        <v>337</v>
      </c>
    </row>
    <row r="152" spans="6:7">
      <c r="F152" s="13" t="s">
        <v>340</v>
      </c>
      <c r="G152" s="16" t="s">
        <v>339</v>
      </c>
    </row>
    <row r="153" spans="6:7">
      <c r="F153" s="13" t="s">
        <v>342</v>
      </c>
      <c r="G153" s="16" t="s">
        <v>341</v>
      </c>
    </row>
    <row r="154" spans="6:7">
      <c r="F154" s="13" t="s">
        <v>344</v>
      </c>
      <c r="G154" s="16" t="s">
        <v>343</v>
      </c>
    </row>
    <row r="155" spans="6:7" ht="30">
      <c r="F155" s="13" t="s">
        <v>346</v>
      </c>
      <c r="G155" s="16" t="s">
        <v>345</v>
      </c>
    </row>
    <row r="156" spans="6:7">
      <c r="F156" s="13" t="s">
        <v>348</v>
      </c>
      <c r="G156" s="16" t="s">
        <v>347</v>
      </c>
    </row>
    <row r="157" spans="6:7">
      <c r="F157" s="13" t="s">
        <v>350</v>
      </c>
      <c r="G157" s="16" t="s">
        <v>349</v>
      </c>
    </row>
    <row r="158" spans="6:7">
      <c r="F158" s="13" t="s">
        <v>352</v>
      </c>
      <c r="G158" s="16" t="s">
        <v>351</v>
      </c>
    </row>
    <row r="159" spans="6:7" ht="30">
      <c r="F159" s="13" t="s">
        <v>354</v>
      </c>
      <c r="G159" s="16" t="s">
        <v>353</v>
      </c>
    </row>
    <row r="160" spans="6:7">
      <c r="F160" s="13" t="s">
        <v>356</v>
      </c>
      <c r="G160" s="16" t="s">
        <v>355</v>
      </c>
    </row>
    <row r="161" spans="6:7" ht="30">
      <c r="F161" s="13" t="s">
        <v>358</v>
      </c>
      <c r="G161" s="16" t="s">
        <v>357</v>
      </c>
    </row>
    <row r="162" spans="6:7">
      <c r="F162" s="13" t="s">
        <v>360</v>
      </c>
      <c r="G162" s="16" t="s">
        <v>359</v>
      </c>
    </row>
    <row r="163" spans="6:7">
      <c r="F163" s="13" t="s">
        <v>362</v>
      </c>
      <c r="G163" s="16" t="s">
        <v>361</v>
      </c>
    </row>
    <row r="164" spans="6:7">
      <c r="F164" s="13" t="s">
        <v>364</v>
      </c>
      <c r="G164" s="16" t="s">
        <v>363</v>
      </c>
    </row>
    <row r="165" spans="6:7">
      <c r="F165" s="13" t="s">
        <v>366</v>
      </c>
      <c r="G165" s="16" t="s">
        <v>365</v>
      </c>
    </row>
    <row r="166" spans="6:7">
      <c r="F166" s="13" t="s">
        <v>368</v>
      </c>
      <c r="G166" s="16" t="s">
        <v>367</v>
      </c>
    </row>
    <row r="167" spans="6:7">
      <c r="F167" s="13" t="s">
        <v>370</v>
      </c>
      <c r="G167" s="16" t="s">
        <v>369</v>
      </c>
    </row>
    <row r="168" spans="6:7">
      <c r="F168" s="13" t="s">
        <v>372</v>
      </c>
      <c r="G168" s="16" t="s">
        <v>371</v>
      </c>
    </row>
    <row r="169" spans="6:7">
      <c r="F169" s="13" t="s">
        <v>445</v>
      </c>
      <c r="G169" s="16" t="s">
        <v>373</v>
      </c>
    </row>
    <row r="170" spans="6:7">
      <c r="F170" s="13" t="s">
        <v>376</v>
      </c>
      <c r="G170" s="16" t="s">
        <v>375</v>
      </c>
    </row>
    <row r="171" spans="6:7">
      <c r="F171" s="13" t="s">
        <v>446</v>
      </c>
      <c r="G171" s="16" t="s">
        <v>377</v>
      </c>
    </row>
    <row r="172" spans="6:7">
      <c r="F172" s="13" t="s">
        <v>380</v>
      </c>
      <c r="G172" s="16" t="s">
        <v>379</v>
      </c>
    </row>
    <row r="173" spans="6:7" ht="30">
      <c r="F173" s="13" t="s">
        <v>382</v>
      </c>
      <c r="G173" s="16" t="s">
        <v>381</v>
      </c>
    </row>
    <row r="174" spans="6:7">
      <c r="F174" s="13" t="s">
        <v>384</v>
      </c>
      <c r="G174" s="16" t="s">
        <v>383</v>
      </c>
    </row>
    <row r="175" spans="6:7">
      <c r="F175" s="13" t="s">
        <v>386</v>
      </c>
      <c r="G175" s="16" t="s">
        <v>385</v>
      </c>
    </row>
    <row r="176" spans="6:7" ht="30">
      <c r="F176" s="13" t="s">
        <v>447</v>
      </c>
      <c r="G176" s="16" t="s">
        <v>387</v>
      </c>
    </row>
    <row r="177" spans="6:7">
      <c r="F177" s="13" t="s">
        <v>390</v>
      </c>
      <c r="G177" s="16" t="s">
        <v>389</v>
      </c>
    </row>
    <row r="178" spans="6:7">
      <c r="F178" s="13" t="s">
        <v>392</v>
      </c>
      <c r="G178" s="16" t="s">
        <v>391</v>
      </c>
    </row>
    <row r="179" spans="6:7" ht="30">
      <c r="F179" s="13" t="s">
        <v>394</v>
      </c>
      <c r="G179" s="16" t="s">
        <v>393</v>
      </c>
    </row>
    <row r="180" spans="6:7">
      <c r="F180" s="13" t="s">
        <v>396</v>
      </c>
      <c r="G180" s="16" t="s">
        <v>395</v>
      </c>
    </row>
    <row r="181" spans="6:7">
      <c r="F181" s="13" t="s">
        <v>398</v>
      </c>
      <c r="G181" s="16" t="s">
        <v>397</v>
      </c>
    </row>
    <row r="182" spans="6:7">
      <c r="F182" s="13" t="s">
        <v>400</v>
      </c>
      <c r="G182" s="16" t="s">
        <v>399</v>
      </c>
    </row>
    <row r="183" spans="6:7" ht="45">
      <c r="F183" s="13" t="s">
        <v>402</v>
      </c>
      <c r="G183" s="16" t="s">
        <v>401</v>
      </c>
    </row>
    <row r="184" spans="6:7" ht="30">
      <c r="F184" s="13" t="s">
        <v>404</v>
      </c>
      <c r="G184" s="16" t="s">
        <v>403</v>
      </c>
    </row>
    <row r="185" spans="6:7" ht="30">
      <c r="F185" s="13" t="s">
        <v>406</v>
      </c>
      <c r="G185" s="16" t="s">
        <v>405</v>
      </c>
    </row>
    <row r="186" spans="6:7">
      <c r="F186" s="13" t="s">
        <v>408</v>
      </c>
      <c r="G186" s="16" t="s">
        <v>407</v>
      </c>
    </row>
    <row r="187" spans="6:7">
      <c r="F187" s="13" t="s">
        <v>410</v>
      </c>
      <c r="G187" s="16" t="s">
        <v>409</v>
      </c>
    </row>
    <row r="188" spans="6:7">
      <c r="F188" s="13" t="s">
        <v>412</v>
      </c>
      <c r="G188" s="16" t="s">
        <v>411</v>
      </c>
    </row>
    <row r="189" spans="6:7">
      <c r="F189" s="13" t="s">
        <v>448</v>
      </c>
      <c r="G189" s="16" t="s">
        <v>413</v>
      </c>
    </row>
    <row r="190" spans="6:7">
      <c r="F190" s="13" t="s">
        <v>416</v>
      </c>
      <c r="G190" s="16" t="s">
        <v>415</v>
      </c>
    </row>
    <row r="191" spans="6:7">
      <c r="F191" s="13" t="s">
        <v>418</v>
      </c>
      <c r="G191" s="16" t="s">
        <v>417</v>
      </c>
    </row>
    <row r="192" spans="6:7">
      <c r="F192" s="13" t="s">
        <v>420</v>
      </c>
      <c r="G192" s="16" t="s">
        <v>419</v>
      </c>
    </row>
    <row r="193" spans="6:7">
      <c r="F193" s="13" t="s">
        <v>422</v>
      </c>
      <c r="G193" s="16" t="s">
        <v>421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Batch_List</vt:lpstr>
      <vt:lpstr>Summary</vt:lpstr>
      <vt:lpstr>Years</vt:lpstr>
      <vt:lpstr>GapM</vt:lpstr>
      <vt:lpstr>Backups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2011-07-17T20:20:17Z</dcterms:modified>
</cp:coreProperties>
</file>